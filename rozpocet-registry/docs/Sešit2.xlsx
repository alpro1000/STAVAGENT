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okopovo\Desktop\"/>
    </mc:Choice>
  </mc:AlternateContent>
  <xr:revisionPtr revIDLastSave="0" documentId="8_{3C53BB0A-5050-417D-95FF-D5BEBD3A4C91}" xr6:coauthVersionLast="47" xr6:coauthVersionMax="47" xr10:uidLastSave="{00000000-0000-0000-0000-000000000000}"/>
  <bookViews>
    <workbookView xWindow="-108" yWindow="-108" windowWidth="23256" windowHeight="12456" xr2:uid="{E8A07436-32A8-4F9C-9704-39C5FB940CE9}"/>
  </bookViews>
  <sheets>
    <sheet name="SO 202 - Most na D6 přes ..." sheetId="1" r:id="rId1"/>
  </sheets>
  <externalReferences>
    <externalReference r:id="rId2"/>
  </externalReferences>
  <definedNames>
    <definedName name="_xlnm._FilterDatabase" localSheetId="0" hidden="1">'SO 202 - Most na D6 přes ...'!$C$124:$K$708</definedName>
    <definedName name="_xlnm.Print_Titles" localSheetId="0">'SO 202 - Most na D6 přes ...'!$124:$124</definedName>
    <definedName name="_xlnm.Print_Area" localSheetId="0">'SO 202 - Most na D6 přes ...'!$C$112:$J$708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705" i="1" l="1"/>
  <c r="BI705" i="1"/>
  <c r="BH705" i="1"/>
  <c r="BG705" i="1"/>
  <c r="BF705" i="1"/>
  <c r="T705" i="1"/>
  <c r="R705" i="1"/>
  <c r="P705" i="1"/>
  <c r="J705" i="1"/>
  <c r="BE705" i="1" s="1"/>
  <c r="BK701" i="1"/>
  <c r="BI701" i="1"/>
  <c r="BH701" i="1"/>
  <c r="BG701" i="1"/>
  <c r="BF701" i="1"/>
  <c r="BE701" i="1"/>
  <c r="T701" i="1"/>
  <c r="R701" i="1"/>
  <c r="P701" i="1"/>
  <c r="J701" i="1"/>
  <c r="BK697" i="1"/>
  <c r="BI697" i="1"/>
  <c r="BH697" i="1"/>
  <c r="BG697" i="1"/>
  <c r="BF697" i="1"/>
  <c r="T697" i="1"/>
  <c r="R697" i="1"/>
  <c r="P697" i="1"/>
  <c r="J697" i="1"/>
  <c r="BE697" i="1" s="1"/>
  <c r="BK693" i="1"/>
  <c r="BI693" i="1"/>
  <c r="BH693" i="1"/>
  <c r="BG693" i="1"/>
  <c r="BF693" i="1"/>
  <c r="T693" i="1"/>
  <c r="R693" i="1"/>
  <c r="P693" i="1"/>
  <c r="J693" i="1"/>
  <c r="BE693" i="1" s="1"/>
  <c r="BK679" i="1"/>
  <c r="BI679" i="1"/>
  <c r="BH679" i="1"/>
  <c r="BG679" i="1"/>
  <c r="BF679" i="1"/>
  <c r="BE679" i="1"/>
  <c r="T679" i="1"/>
  <c r="R679" i="1"/>
  <c r="P679" i="1"/>
  <c r="J679" i="1"/>
  <c r="BK675" i="1"/>
  <c r="BI675" i="1"/>
  <c r="BH675" i="1"/>
  <c r="BG675" i="1"/>
  <c r="BF675" i="1"/>
  <c r="T675" i="1"/>
  <c r="R675" i="1"/>
  <c r="P675" i="1"/>
  <c r="J675" i="1"/>
  <c r="BE675" i="1" s="1"/>
  <c r="BK671" i="1"/>
  <c r="BI671" i="1"/>
  <c r="BH671" i="1"/>
  <c r="BG671" i="1"/>
  <c r="BF671" i="1"/>
  <c r="T671" i="1"/>
  <c r="R671" i="1"/>
  <c r="P671" i="1"/>
  <c r="J671" i="1"/>
  <c r="BE671" i="1" s="1"/>
  <c r="BK667" i="1"/>
  <c r="BI667" i="1"/>
  <c r="BH667" i="1"/>
  <c r="BG667" i="1"/>
  <c r="BF667" i="1"/>
  <c r="T667" i="1"/>
  <c r="R667" i="1"/>
  <c r="P667" i="1"/>
  <c r="J667" i="1"/>
  <c r="BE667" i="1" s="1"/>
  <c r="BK663" i="1"/>
  <c r="BI663" i="1"/>
  <c r="BH663" i="1"/>
  <c r="BG663" i="1"/>
  <c r="BF663" i="1"/>
  <c r="BE663" i="1"/>
  <c r="T663" i="1"/>
  <c r="R663" i="1"/>
  <c r="P663" i="1"/>
  <c r="J663" i="1"/>
  <c r="BK659" i="1"/>
  <c r="BI659" i="1"/>
  <c r="BH659" i="1"/>
  <c r="BG659" i="1"/>
  <c r="BF659" i="1"/>
  <c r="BE659" i="1"/>
  <c r="T659" i="1"/>
  <c r="R659" i="1"/>
  <c r="P659" i="1"/>
  <c r="J659" i="1"/>
  <c r="BK655" i="1"/>
  <c r="BI655" i="1"/>
  <c r="BH655" i="1"/>
  <c r="BG655" i="1"/>
  <c r="BF655" i="1"/>
  <c r="T655" i="1"/>
  <c r="R655" i="1"/>
  <c r="P655" i="1"/>
  <c r="J655" i="1"/>
  <c r="BE655" i="1" s="1"/>
  <c r="BK650" i="1"/>
  <c r="BI650" i="1"/>
  <c r="BH650" i="1"/>
  <c r="BG650" i="1"/>
  <c r="BF650" i="1"/>
  <c r="T650" i="1"/>
  <c r="R650" i="1"/>
  <c r="P650" i="1"/>
  <c r="J650" i="1"/>
  <c r="BE650" i="1" s="1"/>
  <c r="BK645" i="1"/>
  <c r="BI645" i="1"/>
  <c r="BH645" i="1"/>
  <c r="BG645" i="1"/>
  <c r="BF645" i="1"/>
  <c r="BE645" i="1"/>
  <c r="T645" i="1"/>
  <c r="R645" i="1"/>
  <c r="P645" i="1"/>
  <c r="J645" i="1"/>
  <c r="BK640" i="1"/>
  <c r="BI640" i="1"/>
  <c r="BH640" i="1"/>
  <c r="BG640" i="1"/>
  <c r="BF640" i="1"/>
  <c r="BE640" i="1"/>
  <c r="T640" i="1"/>
  <c r="R640" i="1"/>
  <c r="P640" i="1"/>
  <c r="J640" i="1"/>
  <c r="BK635" i="1"/>
  <c r="BI635" i="1"/>
  <c r="BH635" i="1"/>
  <c r="BG635" i="1"/>
  <c r="BF635" i="1"/>
  <c r="T635" i="1"/>
  <c r="R635" i="1"/>
  <c r="P635" i="1"/>
  <c r="J635" i="1"/>
  <c r="BE635" i="1" s="1"/>
  <c r="BK628" i="1"/>
  <c r="BI628" i="1"/>
  <c r="BH628" i="1"/>
  <c r="BG628" i="1"/>
  <c r="BF628" i="1"/>
  <c r="T628" i="1"/>
  <c r="R628" i="1"/>
  <c r="P628" i="1"/>
  <c r="J628" i="1"/>
  <c r="BE628" i="1" s="1"/>
  <c r="BK623" i="1"/>
  <c r="BI623" i="1"/>
  <c r="BH623" i="1"/>
  <c r="BG623" i="1"/>
  <c r="BF623" i="1"/>
  <c r="BE623" i="1"/>
  <c r="T623" i="1"/>
  <c r="R623" i="1"/>
  <c r="P623" i="1"/>
  <c r="J623" i="1"/>
  <c r="BK612" i="1"/>
  <c r="BI612" i="1"/>
  <c r="BH612" i="1"/>
  <c r="BG612" i="1"/>
  <c r="BF612" i="1"/>
  <c r="BE612" i="1"/>
  <c r="T612" i="1"/>
  <c r="R612" i="1"/>
  <c r="P612" i="1"/>
  <c r="J612" i="1"/>
  <c r="BK608" i="1"/>
  <c r="BI608" i="1"/>
  <c r="BH608" i="1"/>
  <c r="BG608" i="1"/>
  <c r="BF608" i="1"/>
  <c r="T608" i="1"/>
  <c r="R608" i="1"/>
  <c r="P608" i="1"/>
  <c r="J608" i="1"/>
  <c r="BE608" i="1" s="1"/>
  <c r="BK603" i="1"/>
  <c r="BI603" i="1"/>
  <c r="BH603" i="1"/>
  <c r="BG603" i="1"/>
  <c r="BF603" i="1"/>
  <c r="T603" i="1"/>
  <c r="R603" i="1"/>
  <c r="P603" i="1"/>
  <c r="J603" i="1"/>
  <c r="BE603" i="1" s="1"/>
  <c r="BK598" i="1"/>
  <c r="BI598" i="1"/>
  <c r="BH598" i="1"/>
  <c r="BG598" i="1"/>
  <c r="BF598" i="1"/>
  <c r="BE598" i="1"/>
  <c r="T598" i="1"/>
  <c r="R598" i="1"/>
  <c r="P598" i="1"/>
  <c r="J598" i="1"/>
  <c r="BK589" i="1"/>
  <c r="BI589" i="1"/>
  <c r="BH589" i="1"/>
  <c r="BG589" i="1"/>
  <c r="BF589" i="1"/>
  <c r="BE589" i="1"/>
  <c r="T589" i="1"/>
  <c r="R589" i="1"/>
  <c r="P589" i="1"/>
  <c r="J589" i="1"/>
  <c r="BK585" i="1"/>
  <c r="BI585" i="1"/>
  <c r="BH585" i="1"/>
  <c r="BG585" i="1"/>
  <c r="BF585" i="1"/>
  <c r="T585" i="1"/>
  <c r="R585" i="1"/>
  <c r="P585" i="1"/>
  <c r="J585" i="1"/>
  <c r="BE585" i="1" s="1"/>
  <c r="BK576" i="1"/>
  <c r="BI576" i="1"/>
  <c r="BH576" i="1"/>
  <c r="BG576" i="1"/>
  <c r="BF576" i="1"/>
  <c r="T576" i="1"/>
  <c r="R576" i="1"/>
  <c r="R575" i="1" s="1"/>
  <c r="P576" i="1"/>
  <c r="J576" i="1"/>
  <c r="BE576" i="1" s="1"/>
  <c r="BK575" i="1"/>
  <c r="J575" i="1" s="1"/>
  <c r="J105" i="1" s="1"/>
  <c r="T575" i="1"/>
  <c r="P575" i="1"/>
  <c r="BK571" i="1"/>
  <c r="BI571" i="1"/>
  <c r="BH571" i="1"/>
  <c r="BG571" i="1"/>
  <c r="BF571" i="1"/>
  <c r="BE571" i="1"/>
  <c r="T571" i="1"/>
  <c r="R571" i="1"/>
  <c r="P571" i="1"/>
  <c r="J571" i="1"/>
  <c r="BK567" i="1"/>
  <c r="BI567" i="1"/>
  <c r="BH567" i="1"/>
  <c r="BG567" i="1"/>
  <c r="BF567" i="1"/>
  <c r="BE567" i="1"/>
  <c r="T567" i="1"/>
  <c r="R567" i="1"/>
  <c r="P567" i="1"/>
  <c r="J567" i="1"/>
  <c r="BK563" i="1"/>
  <c r="BI563" i="1"/>
  <c r="BH563" i="1"/>
  <c r="BG563" i="1"/>
  <c r="BF563" i="1"/>
  <c r="T563" i="1"/>
  <c r="R563" i="1"/>
  <c r="P563" i="1"/>
  <c r="J563" i="1"/>
  <c r="BE563" i="1" s="1"/>
  <c r="BK559" i="1"/>
  <c r="BI559" i="1"/>
  <c r="BH559" i="1"/>
  <c r="BG559" i="1"/>
  <c r="BF559" i="1"/>
  <c r="T559" i="1"/>
  <c r="R559" i="1"/>
  <c r="P559" i="1"/>
  <c r="J559" i="1"/>
  <c r="BE559" i="1" s="1"/>
  <c r="BK554" i="1"/>
  <c r="BI554" i="1"/>
  <c r="BH554" i="1"/>
  <c r="BG554" i="1"/>
  <c r="BF554" i="1"/>
  <c r="T554" i="1"/>
  <c r="R554" i="1"/>
  <c r="P554" i="1"/>
  <c r="J554" i="1"/>
  <c r="BE554" i="1" s="1"/>
  <c r="BK550" i="1"/>
  <c r="BK549" i="1" s="1"/>
  <c r="J549" i="1" s="1"/>
  <c r="J104" i="1" s="1"/>
  <c r="BI550" i="1"/>
  <c r="BH550" i="1"/>
  <c r="BG550" i="1"/>
  <c r="BF550" i="1"/>
  <c r="BE550" i="1"/>
  <c r="T550" i="1"/>
  <c r="T549" i="1" s="1"/>
  <c r="R550" i="1"/>
  <c r="R549" i="1" s="1"/>
  <c r="P550" i="1"/>
  <c r="J550" i="1"/>
  <c r="P549" i="1"/>
  <c r="BK544" i="1"/>
  <c r="BI544" i="1"/>
  <c r="BH544" i="1"/>
  <c r="BG544" i="1"/>
  <c r="BF544" i="1"/>
  <c r="T544" i="1"/>
  <c r="R544" i="1"/>
  <c r="P544" i="1"/>
  <c r="J544" i="1"/>
  <c r="BE544" i="1" s="1"/>
  <c r="BK540" i="1"/>
  <c r="BI540" i="1"/>
  <c r="BH540" i="1"/>
  <c r="BG540" i="1"/>
  <c r="BF540" i="1"/>
  <c r="BE540" i="1"/>
  <c r="T540" i="1"/>
  <c r="R540" i="1"/>
  <c r="P540" i="1"/>
  <c r="J540" i="1"/>
  <c r="BK529" i="1"/>
  <c r="BI529" i="1"/>
  <c r="BH529" i="1"/>
  <c r="BG529" i="1"/>
  <c r="BF529" i="1"/>
  <c r="BE529" i="1"/>
  <c r="T529" i="1"/>
  <c r="R529" i="1"/>
  <c r="P529" i="1"/>
  <c r="J529" i="1"/>
  <c r="BK524" i="1"/>
  <c r="BI524" i="1"/>
  <c r="BH524" i="1"/>
  <c r="BG524" i="1"/>
  <c r="BF524" i="1"/>
  <c r="T524" i="1"/>
  <c r="R524" i="1"/>
  <c r="P524" i="1"/>
  <c r="P507" i="1" s="1"/>
  <c r="J524" i="1"/>
  <c r="BE524" i="1" s="1"/>
  <c r="BK519" i="1"/>
  <c r="BK507" i="1" s="1"/>
  <c r="J507" i="1" s="1"/>
  <c r="J103" i="1" s="1"/>
  <c r="BI519" i="1"/>
  <c r="BH519" i="1"/>
  <c r="BG519" i="1"/>
  <c r="BF519" i="1"/>
  <c r="T519" i="1"/>
  <c r="R519" i="1"/>
  <c r="P519" i="1"/>
  <c r="J519" i="1"/>
  <c r="BE519" i="1" s="1"/>
  <c r="BK508" i="1"/>
  <c r="BI508" i="1"/>
  <c r="BH508" i="1"/>
  <c r="BG508" i="1"/>
  <c r="BF508" i="1"/>
  <c r="BE508" i="1"/>
  <c r="T508" i="1"/>
  <c r="T507" i="1" s="1"/>
  <c r="R508" i="1"/>
  <c r="P508" i="1"/>
  <c r="J508" i="1"/>
  <c r="R507" i="1"/>
  <c r="BK503" i="1"/>
  <c r="BI503" i="1"/>
  <c r="BH503" i="1"/>
  <c r="BG503" i="1"/>
  <c r="BF503" i="1"/>
  <c r="BE503" i="1"/>
  <c r="T503" i="1"/>
  <c r="R503" i="1"/>
  <c r="P503" i="1"/>
  <c r="J503" i="1"/>
  <c r="BK499" i="1"/>
  <c r="BI499" i="1"/>
  <c r="BH499" i="1"/>
  <c r="BG499" i="1"/>
  <c r="BF499" i="1"/>
  <c r="BE499" i="1"/>
  <c r="T499" i="1"/>
  <c r="R499" i="1"/>
  <c r="P499" i="1"/>
  <c r="J499" i="1"/>
  <c r="BK492" i="1"/>
  <c r="BI492" i="1"/>
  <c r="BH492" i="1"/>
  <c r="BG492" i="1"/>
  <c r="BF492" i="1"/>
  <c r="T492" i="1"/>
  <c r="R492" i="1"/>
  <c r="P492" i="1"/>
  <c r="J492" i="1"/>
  <c r="BE492" i="1" s="1"/>
  <c r="BK488" i="1"/>
  <c r="BI488" i="1"/>
  <c r="BH488" i="1"/>
  <c r="BG488" i="1"/>
  <c r="BF488" i="1"/>
  <c r="T488" i="1"/>
  <c r="R488" i="1"/>
  <c r="R477" i="1" s="1"/>
  <c r="P488" i="1"/>
  <c r="J488" i="1"/>
  <c r="BE488" i="1" s="1"/>
  <c r="BK482" i="1"/>
  <c r="BK477" i="1" s="1"/>
  <c r="J477" i="1" s="1"/>
  <c r="J102" i="1" s="1"/>
  <c r="BI482" i="1"/>
  <c r="BH482" i="1"/>
  <c r="BG482" i="1"/>
  <c r="BF482" i="1"/>
  <c r="BE482" i="1"/>
  <c r="T482" i="1"/>
  <c r="R482" i="1"/>
  <c r="P482" i="1"/>
  <c r="P477" i="1" s="1"/>
  <c r="J482" i="1"/>
  <c r="BK478" i="1"/>
  <c r="BI478" i="1"/>
  <c r="BH478" i="1"/>
  <c r="BG478" i="1"/>
  <c r="BF478" i="1"/>
  <c r="BE478" i="1"/>
  <c r="T478" i="1"/>
  <c r="R478" i="1"/>
  <c r="P478" i="1"/>
  <c r="J478" i="1"/>
  <c r="T477" i="1"/>
  <c r="BK465" i="1"/>
  <c r="BI465" i="1"/>
  <c r="BH465" i="1"/>
  <c r="BG465" i="1"/>
  <c r="BF465" i="1"/>
  <c r="BE465" i="1"/>
  <c r="T465" i="1"/>
  <c r="R465" i="1"/>
  <c r="P465" i="1"/>
  <c r="J465" i="1"/>
  <c r="BK461" i="1"/>
  <c r="BI461" i="1"/>
  <c r="BH461" i="1"/>
  <c r="BG461" i="1"/>
  <c r="BF461" i="1"/>
  <c r="BE461" i="1"/>
  <c r="T461" i="1"/>
  <c r="R461" i="1"/>
  <c r="P461" i="1"/>
  <c r="J461" i="1"/>
  <c r="BK452" i="1"/>
  <c r="BI452" i="1"/>
  <c r="BH452" i="1"/>
  <c r="BG452" i="1"/>
  <c r="BF452" i="1"/>
  <c r="T452" i="1"/>
  <c r="R452" i="1"/>
  <c r="P452" i="1"/>
  <c r="J452" i="1"/>
  <c r="BE452" i="1" s="1"/>
  <c r="BK447" i="1"/>
  <c r="BI447" i="1"/>
  <c r="BH447" i="1"/>
  <c r="BG447" i="1"/>
  <c r="BF447" i="1"/>
  <c r="T447" i="1"/>
  <c r="R447" i="1"/>
  <c r="P447" i="1"/>
  <c r="J447" i="1"/>
  <c r="BE447" i="1" s="1"/>
  <c r="BK443" i="1"/>
  <c r="BI443" i="1"/>
  <c r="BH443" i="1"/>
  <c r="BG443" i="1"/>
  <c r="BF443" i="1"/>
  <c r="BE443" i="1"/>
  <c r="T443" i="1"/>
  <c r="R443" i="1"/>
  <c r="P443" i="1"/>
  <c r="J443" i="1"/>
  <c r="BK438" i="1"/>
  <c r="BI438" i="1"/>
  <c r="BH438" i="1"/>
  <c r="BG438" i="1"/>
  <c r="BF438" i="1"/>
  <c r="BE438" i="1"/>
  <c r="T438" i="1"/>
  <c r="R438" i="1"/>
  <c r="P438" i="1"/>
  <c r="J438" i="1"/>
  <c r="BK432" i="1"/>
  <c r="BI432" i="1"/>
  <c r="BH432" i="1"/>
  <c r="BG432" i="1"/>
  <c r="BF432" i="1"/>
  <c r="T432" i="1"/>
  <c r="R432" i="1"/>
  <c r="P432" i="1"/>
  <c r="J432" i="1"/>
  <c r="BE432" i="1" s="1"/>
  <c r="BK427" i="1"/>
  <c r="BI427" i="1"/>
  <c r="BH427" i="1"/>
  <c r="BG427" i="1"/>
  <c r="BF427" i="1"/>
  <c r="T427" i="1"/>
  <c r="R427" i="1"/>
  <c r="P427" i="1"/>
  <c r="J427" i="1"/>
  <c r="BE427" i="1" s="1"/>
  <c r="BK423" i="1"/>
  <c r="BI423" i="1"/>
  <c r="BH423" i="1"/>
  <c r="BG423" i="1"/>
  <c r="BF423" i="1"/>
  <c r="BE423" i="1"/>
  <c r="T423" i="1"/>
  <c r="R423" i="1"/>
  <c r="P423" i="1"/>
  <c r="J423" i="1"/>
  <c r="BK419" i="1"/>
  <c r="BI419" i="1"/>
  <c r="BH419" i="1"/>
  <c r="BG419" i="1"/>
  <c r="BF419" i="1"/>
  <c r="BE419" i="1"/>
  <c r="T419" i="1"/>
  <c r="R419" i="1"/>
  <c r="P419" i="1"/>
  <c r="J419" i="1"/>
  <c r="BK415" i="1"/>
  <c r="BI415" i="1"/>
  <c r="BH415" i="1"/>
  <c r="BG415" i="1"/>
  <c r="BF415" i="1"/>
  <c r="T415" i="1"/>
  <c r="R415" i="1"/>
  <c r="P415" i="1"/>
  <c r="J415" i="1"/>
  <c r="BE415" i="1" s="1"/>
  <c r="BK410" i="1"/>
  <c r="BI410" i="1"/>
  <c r="BH410" i="1"/>
  <c r="BG410" i="1"/>
  <c r="BF410" i="1"/>
  <c r="T410" i="1"/>
  <c r="R410" i="1"/>
  <c r="P410" i="1"/>
  <c r="J410" i="1"/>
  <c r="BE410" i="1" s="1"/>
  <c r="BK406" i="1"/>
  <c r="BI406" i="1"/>
  <c r="BH406" i="1"/>
  <c r="BG406" i="1"/>
  <c r="BF406" i="1"/>
  <c r="BE406" i="1"/>
  <c r="T406" i="1"/>
  <c r="R406" i="1"/>
  <c r="P406" i="1"/>
  <c r="J406" i="1"/>
  <c r="BK402" i="1"/>
  <c r="BI402" i="1"/>
  <c r="BH402" i="1"/>
  <c r="BG402" i="1"/>
  <c r="BF402" i="1"/>
  <c r="BE402" i="1"/>
  <c r="T402" i="1"/>
  <c r="R402" i="1"/>
  <c r="P402" i="1"/>
  <c r="J402" i="1"/>
  <c r="BK397" i="1"/>
  <c r="BI397" i="1"/>
  <c r="BH397" i="1"/>
  <c r="BG397" i="1"/>
  <c r="BF397" i="1"/>
  <c r="T397" i="1"/>
  <c r="R397" i="1"/>
  <c r="P397" i="1"/>
  <c r="P387" i="1" s="1"/>
  <c r="J397" i="1"/>
  <c r="BE397" i="1" s="1"/>
  <c r="BK393" i="1"/>
  <c r="BK387" i="1" s="1"/>
  <c r="J387" i="1" s="1"/>
  <c r="J101" i="1" s="1"/>
  <c r="BI393" i="1"/>
  <c r="BH393" i="1"/>
  <c r="BG393" i="1"/>
  <c r="BF393" i="1"/>
  <c r="T393" i="1"/>
  <c r="R393" i="1"/>
  <c r="P393" i="1"/>
  <c r="J393" i="1"/>
  <c r="BE393" i="1" s="1"/>
  <c r="BK388" i="1"/>
  <c r="BI388" i="1"/>
  <c r="BH388" i="1"/>
  <c r="BG388" i="1"/>
  <c r="BF388" i="1"/>
  <c r="BE388" i="1"/>
  <c r="T388" i="1"/>
  <c r="T387" i="1" s="1"/>
  <c r="R388" i="1"/>
  <c r="P388" i="1"/>
  <c r="J388" i="1"/>
  <c r="R387" i="1"/>
  <c r="BK382" i="1"/>
  <c r="BI382" i="1"/>
  <c r="BH382" i="1"/>
  <c r="BG382" i="1"/>
  <c r="BF382" i="1"/>
  <c r="BE382" i="1"/>
  <c r="T382" i="1"/>
  <c r="R382" i="1"/>
  <c r="P382" i="1"/>
  <c r="J382" i="1"/>
  <c r="BK374" i="1"/>
  <c r="BI374" i="1"/>
  <c r="BH374" i="1"/>
  <c r="BG374" i="1"/>
  <c r="BF374" i="1"/>
  <c r="BE374" i="1"/>
  <c r="T374" i="1"/>
  <c r="R374" i="1"/>
  <c r="P374" i="1"/>
  <c r="J374" i="1"/>
  <c r="BK369" i="1"/>
  <c r="BI369" i="1"/>
  <c r="BH369" i="1"/>
  <c r="BG369" i="1"/>
  <c r="BF369" i="1"/>
  <c r="T369" i="1"/>
  <c r="R369" i="1"/>
  <c r="P369" i="1"/>
  <c r="J369" i="1"/>
  <c r="BE369" i="1" s="1"/>
  <c r="BK353" i="1"/>
  <c r="BI353" i="1"/>
  <c r="BH353" i="1"/>
  <c r="BG353" i="1"/>
  <c r="BF353" i="1"/>
  <c r="T353" i="1"/>
  <c r="R353" i="1"/>
  <c r="P353" i="1"/>
  <c r="J353" i="1"/>
  <c r="BE353" i="1" s="1"/>
  <c r="BK345" i="1"/>
  <c r="BI345" i="1"/>
  <c r="BH345" i="1"/>
  <c r="BG345" i="1"/>
  <c r="BF345" i="1"/>
  <c r="BE345" i="1"/>
  <c r="T345" i="1"/>
  <c r="R345" i="1"/>
  <c r="P345" i="1"/>
  <c r="J345" i="1"/>
  <c r="BK341" i="1"/>
  <c r="BI341" i="1"/>
  <c r="BH341" i="1"/>
  <c r="BG341" i="1"/>
  <c r="BF341" i="1"/>
  <c r="BE341" i="1"/>
  <c r="T341" i="1"/>
  <c r="R341" i="1"/>
  <c r="P341" i="1"/>
  <c r="J341" i="1"/>
  <c r="BK336" i="1"/>
  <c r="BI336" i="1"/>
  <c r="BH336" i="1"/>
  <c r="BG336" i="1"/>
  <c r="BF336" i="1"/>
  <c r="T336" i="1"/>
  <c r="R336" i="1"/>
  <c r="P336" i="1"/>
  <c r="J336" i="1"/>
  <c r="BE336" i="1" s="1"/>
  <c r="BK331" i="1"/>
  <c r="BK330" i="1" s="1"/>
  <c r="J330" i="1" s="1"/>
  <c r="J100" i="1" s="1"/>
  <c r="BI331" i="1"/>
  <c r="BH331" i="1"/>
  <c r="BG331" i="1"/>
  <c r="BF331" i="1"/>
  <c r="T331" i="1"/>
  <c r="T330" i="1" s="1"/>
  <c r="R331" i="1"/>
  <c r="R330" i="1" s="1"/>
  <c r="P331" i="1"/>
  <c r="P330" i="1" s="1"/>
  <c r="J331" i="1"/>
  <c r="BE331" i="1" s="1"/>
  <c r="BK325" i="1"/>
  <c r="BI325" i="1"/>
  <c r="BH325" i="1"/>
  <c r="BG325" i="1"/>
  <c r="BF325" i="1"/>
  <c r="T325" i="1"/>
  <c r="R325" i="1"/>
  <c r="P325" i="1"/>
  <c r="J325" i="1"/>
  <c r="BE325" i="1" s="1"/>
  <c r="BK316" i="1"/>
  <c r="BI316" i="1"/>
  <c r="BH316" i="1"/>
  <c r="BG316" i="1"/>
  <c r="BF316" i="1"/>
  <c r="T316" i="1"/>
  <c r="R316" i="1"/>
  <c r="P316" i="1"/>
  <c r="J316" i="1"/>
  <c r="BE316" i="1" s="1"/>
  <c r="BK302" i="1"/>
  <c r="BI302" i="1"/>
  <c r="BH302" i="1"/>
  <c r="BG302" i="1"/>
  <c r="BF302" i="1"/>
  <c r="BE302" i="1"/>
  <c r="T302" i="1"/>
  <c r="R302" i="1"/>
  <c r="P302" i="1"/>
  <c r="J302" i="1"/>
  <c r="BK290" i="1"/>
  <c r="BI290" i="1"/>
  <c r="BH290" i="1"/>
  <c r="BG290" i="1"/>
  <c r="BF290" i="1"/>
  <c r="BE290" i="1"/>
  <c r="T290" i="1"/>
  <c r="R290" i="1"/>
  <c r="P290" i="1"/>
  <c r="J290" i="1"/>
  <c r="BK285" i="1"/>
  <c r="BI285" i="1"/>
  <c r="BH285" i="1"/>
  <c r="BG285" i="1"/>
  <c r="BF285" i="1"/>
  <c r="T285" i="1"/>
  <c r="R285" i="1"/>
  <c r="P285" i="1"/>
  <c r="P273" i="1" s="1"/>
  <c r="J285" i="1"/>
  <c r="BE285" i="1" s="1"/>
  <c r="BK279" i="1"/>
  <c r="BK273" i="1" s="1"/>
  <c r="J273" i="1" s="1"/>
  <c r="J99" i="1" s="1"/>
  <c r="BI279" i="1"/>
  <c r="BH279" i="1"/>
  <c r="BG279" i="1"/>
  <c r="BF279" i="1"/>
  <c r="T279" i="1"/>
  <c r="R279" i="1"/>
  <c r="P279" i="1"/>
  <c r="J279" i="1"/>
  <c r="BE279" i="1" s="1"/>
  <c r="BK274" i="1"/>
  <c r="BI274" i="1"/>
  <c r="BH274" i="1"/>
  <c r="BG274" i="1"/>
  <c r="BF274" i="1"/>
  <c r="BE274" i="1"/>
  <c r="T274" i="1"/>
  <c r="T273" i="1" s="1"/>
  <c r="R274" i="1"/>
  <c r="P274" i="1"/>
  <c r="J274" i="1"/>
  <c r="R273" i="1"/>
  <c r="BK268" i="1"/>
  <c r="BI268" i="1"/>
  <c r="BH268" i="1"/>
  <c r="BG268" i="1"/>
  <c r="BF268" i="1"/>
  <c r="BE268" i="1"/>
  <c r="T268" i="1"/>
  <c r="R268" i="1"/>
  <c r="P268" i="1"/>
  <c r="J268" i="1"/>
  <c r="BK263" i="1"/>
  <c r="BI263" i="1"/>
  <c r="BH263" i="1"/>
  <c r="BG263" i="1"/>
  <c r="BF263" i="1"/>
  <c r="BE263" i="1"/>
  <c r="T263" i="1"/>
  <c r="R263" i="1"/>
  <c r="P263" i="1"/>
  <c r="J263" i="1"/>
  <c r="BK258" i="1"/>
  <c r="BI258" i="1"/>
  <c r="BH258" i="1"/>
  <c r="BG258" i="1"/>
  <c r="BF258" i="1"/>
  <c r="T258" i="1"/>
  <c r="R258" i="1"/>
  <c r="P258" i="1"/>
  <c r="J258" i="1"/>
  <c r="BE258" i="1" s="1"/>
  <c r="BK252" i="1"/>
  <c r="BI252" i="1"/>
  <c r="BH252" i="1"/>
  <c r="BG252" i="1"/>
  <c r="BF252" i="1"/>
  <c r="T252" i="1"/>
  <c r="R252" i="1"/>
  <c r="P252" i="1"/>
  <c r="J252" i="1"/>
  <c r="BE252" i="1" s="1"/>
  <c r="BK247" i="1"/>
  <c r="BI247" i="1"/>
  <c r="BH247" i="1"/>
  <c r="BG247" i="1"/>
  <c r="BF247" i="1"/>
  <c r="BE247" i="1"/>
  <c r="T247" i="1"/>
  <c r="R247" i="1"/>
  <c r="P247" i="1"/>
  <c r="J247" i="1"/>
  <c r="BK240" i="1"/>
  <c r="BI240" i="1"/>
  <c r="BH240" i="1"/>
  <c r="BG240" i="1"/>
  <c r="BF240" i="1"/>
  <c r="BE240" i="1"/>
  <c r="T240" i="1"/>
  <c r="R240" i="1"/>
  <c r="P240" i="1"/>
  <c r="J240" i="1"/>
  <c r="BK222" i="1"/>
  <c r="BI222" i="1"/>
  <c r="BH222" i="1"/>
  <c r="BG222" i="1"/>
  <c r="BF222" i="1"/>
  <c r="T222" i="1"/>
  <c r="R222" i="1"/>
  <c r="P222" i="1"/>
  <c r="J222" i="1"/>
  <c r="BE222" i="1" s="1"/>
  <c r="BK215" i="1"/>
  <c r="BI215" i="1"/>
  <c r="BH215" i="1"/>
  <c r="BG215" i="1"/>
  <c r="BF215" i="1"/>
  <c r="T215" i="1"/>
  <c r="R215" i="1"/>
  <c r="P215" i="1"/>
  <c r="J215" i="1"/>
  <c r="BE215" i="1" s="1"/>
  <c r="BK210" i="1"/>
  <c r="BI210" i="1"/>
  <c r="BH210" i="1"/>
  <c r="BG210" i="1"/>
  <c r="BF210" i="1"/>
  <c r="BE210" i="1"/>
  <c r="T210" i="1"/>
  <c r="R210" i="1"/>
  <c r="P210" i="1"/>
  <c r="J210" i="1"/>
  <c r="BK205" i="1"/>
  <c r="BI205" i="1"/>
  <c r="BH205" i="1"/>
  <c r="BG205" i="1"/>
  <c r="BF205" i="1"/>
  <c r="BE205" i="1"/>
  <c r="T205" i="1"/>
  <c r="R205" i="1"/>
  <c r="P205" i="1"/>
  <c r="J205" i="1"/>
  <c r="BK200" i="1"/>
  <c r="BI200" i="1"/>
  <c r="BH200" i="1"/>
  <c r="BG200" i="1"/>
  <c r="BF200" i="1"/>
  <c r="T200" i="1"/>
  <c r="R200" i="1"/>
  <c r="P200" i="1"/>
  <c r="J200" i="1"/>
  <c r="BE200" i="1" s="1"/>
  <c r="BK190" i="1"/>
  <c r="BI190" i="1"/>
  <c r="BH190" i="1"/>
  <c r="BG190" i="1"/>
  <c r="BF190" i="1"/>
  <c r="T190" i="1"/>
  <c r="R190" i="1"/>
  <c r="P190" i="1"/>
  <c r="J190" i="1"/>
  <c r="BE190" i="1" s="1"/>
  <c r="BK186" i="1"/>
  <c r="BI186" i="1"/>
  <c r="BH186" i="1"/>
  <c r="BG186" i="1"/>
  <c r="BF186" i="1"/>
  <c r="BE186" i="1"/>
  <c r="T186" i="1"/>
  <c r="R186" i="1"/>
  <c r="P186" i="1"/>
  <c r="J186" i="1"/>
  <c r="BK181" i="1"/>
  <c r="BI181" i="1"/>
  <c r="BH181" i="1"/>
  <c r="BG181" i="1"/>
  <c r="BF181" i="1"/>
  <c r="BE181" i="1"/>
  <c r="T181" i="1"/>
  <c r="R181" i="1"/>
  <c r="P181" i="1"/>
  <c r="J181" i="1"/>
  <c r="BK177" i="1"/>
  <c r="BI177" i="1"/>
  <c r="BH177" i="1"/>
  <c r="BG177" i="1"/>
  <c r="BF177" i="1"/>
  <c r="T177" i="1"/>
  <c r="R177" i="1"/>
  <c r="P177" i="1"/>
  <c r="J177" i="1"/>
  <c r="BE177" i="1" s="1"/>
  <c r="BK172" i="1"/>
  <c r="BI172" i="1"/>
  <c r="BH172" i="1"/>
  <c r="BG172" i="1"/>
  <c r="BF172" i="1"/>
  <c r="T172" i="1"/>
  <c r="R172" i="1"/>
  <c r="P172" i="1"/>
  <c r="J172" i="1"/>
  <c r="BE172" i="1" s="1"/>
  <c r="BK164" i="1"/>
  <c r="BK163" i="1" s="1"/>
  <c r="J163" i="1" s="1"/>
  <c r="J98" i="1" s="1"/>
  <c r="BI164" i="1"/>
  <c r="BH164" i="1"/>
  <c r="BG164" i="1"/>
  <c r="BF164" i="1"/>
  <c r="BE164" i="1"/>
  <c r="T164" i="1"/>
  <c r="T163" i="1" s="1"/>
  <c r="R164" i="1"/>
  <c r="R163" i="1" s="1"/>
  <c r="P164" i="1"/>
  <c r="J164" i="1"/>
  <c r="P163" i="1"/>
  <c r="BK159" i="1"/>
  <c r="BI159" i="1"/>
  <c r="BH159" i="1"/>
  <c r="BG159" i="1"/>
  <c r="BF159" i="1"/>
  <c r="T159" i="1"/>
  <c r="R159" i="1"/>
  <c r="P159" i="1"/>
  <c r="J159" i="1"/>
  <c r="BE159" i="1" s="1"/>
  <c r="BK155" i="1"/>
  <c r="BI155" i="1"/>
  <c r="BH155" i="1"/>
  <c r="BG155" i="1"/>
  <c r="BF155" i="1"/>
  <c r="BE155" i="1"/>
  <c r="T155" i="1"/>
  <c r="R155" i="1"/>
  <c r="P155" i="1"/>
  <c r="J155" i="1"/>
  <c r="BK151" i="1"/>
  <c r="BI151" i="1"/>
  <c r="BH151" i="1"/>
  <c r="BG151" i="1"/>
  <c r="BF151" i="1"/>
  <c r="BE151" i="1"/>
  <c r="T151" i="1"/>
  <c r="R151" i="1"/>
  <c r="P151" i="1"/>
  <c r="J151" i="1"/>
  <c r="BK147" i="1"/>
  <c r="BI147" i="1"/>
  <c r="BH147" i="1"/>
  <c r="BG147" i="1"/>
  <c r="BF147" i="1"/>
  <c r="T147" i="1"/>
  <c r="R147" i="1"/>
  <c r="P147" i="1"/>
  <c r="J147" i="1"/>
  <c r="BE147" i="1" s="1"/>
  <c r="BK143" i="1"/>
  <c r="BI143" i="1"/>
  <c r="BH143" i="1"/>
  <c r="BG143" i="1"/>
  <c r="BF143" i="1"/>
  <c r="T143" i="1"/>
  <c r="T126" i="1" s="1"/>
  <c r="R143" i="1"/>
  <c r="P143" i="1"/>
  <c r="J143" i="1"/>
  <c r="BE143" i="1" s="1"/>
  <c r="BK139" i="1"/>
  <c r="BI139" i="1"/>
  <c r="BH139" i="1"/>
  <c r="BG139" i="1"/>
  <c r="BF139" i="1"/>
  <c r="BE139" i="1"/>
  <c r="T139" i="1"/>
  <c r="R139" i="1"/>
  <c r="P139" i="1"/>
  <c r="J139" i="1"/>
  <c r="BK134" i="1"/>
  <c r="BI134" i="1"/>
  <c r="BH134" i="1"/>
  <c r="BG134" i="1"/>
  <c r="BF134" i="1"/>
  <c r="BE134" i="1"/>
  <c r="T134" i="1"/>
  <c r="R134" i="1"/>
  <c r="P134" i="1"/>
  <c r="J134" i="1"/>
  <c r="BK127" i="1"/>
  <c r="BK126" i="1" s="1"/>
  <c r="BI127" i="1"/>
  <c r="BH127" i="1"/>
  <c r="BG127" i="1"/>
  <c r="BF127" i="1"/>
  <c r="J34" i="1" s="1"/>
  <c r="T127" i="1"/>
  <c r="R127" i="1"/>
  <c r="R126" i="1" s="1"/>
  <c r="R125" i="1" s="1"/>
  <c r="P127" i="1"/>
  <c r="P126" i="1" s="1"/>
  <c r="P125" i="1" s="1"/>
  <c r="J127" i="1"/>
  <c r="BE127" i="1" s="1"/>
  <c r="J121" i="1"/>
  <c r="F121" i="1"/>
  <c r="F119" i="1"/>
  <c r="E117" i="1"/>
  <c r="J91" i="1"/>
  <c r="F91" i="1"/>
  <c r="F89" i="1"/>
  <c r="E87" i="1"/>
  <c r="J37" i="1"/>
  <c r="F37" i="1"/>
  <c r="J36" i="1"/>
  <c r="F36" i="1"/>
  <c r="J35" i="1"/>
  <c r="F35" i="1"/>
  <c r="F34" i="1"/>
  <c r="J24" i="1"/>
  <c r="E24" i="1"/>
  <c r="J122" i="1" s="1"/>
  <c r="J23" i="1"/>
  <c r="J18" i="1"/>
  <c r="E18" i="1"/>
  <c r="F122" i="1" s="1"/>
  <c r="J17" i="1"/>
  <c r="J12" i="1"/>
  <c r="J119" i="1" s="1"/>
  <c r="E7" i="1"/>
  <c r="E85" i="1" s="1"/>
  <c r="J33" i="1" l="1"/>
  <c r="F33" i="1"/>
  <c r="J126" i="1"/>
  <c r="J97" i="1" s="1"/>
  <c r="BK125" i="1"/>
  <c r="J125" i="1" s="1"/>
  <c r="T125" i="1"/>
  <c r="E115" i="1"/>
  <c r="J89" i="1"/>
  <c r="F92" i="1"/>
  <c r="J92" i="1"/>
  <c r="J96" i="1" l="1"/>
  <c r="J30" i="1"/>
  <c r="J39" i="1" s="1"/>
</calcChain>
</file>

<file path=xl/sharedStrings.xml><?xml version="1.0" encoding="utf-8"?>
<sst xmlns="http://schemas.openxmlformats.org/spreadsheetml/2006/main" count="5385" uniqueCount="1122">
  <si>
    <t>&gt;&gt;  skryté sloupce  &lt;&lt;</t>
  </si>
  <si>
    <t>{2aaf53af-6cfb-48fa-be98-33ae881c43e5}</t>
  </si>
  <si>
    <t>A976</t>
  </si>
  <si>
    <t/>
  </si>
  <si>
    <t>469,926</t>
  </si>
  <si>
    <t>2</t>
  </si>
  <si>
    <t>-1</t>
  </si>
  <si>
    <t>KRYCÍ LIST SOUPISU PRACÍ</t>
  </si>
  <si>
    <t>v ---  níže se nacházejí doplnkové a pomocné údaje k sestavám  --- v</t>
  </si>
  <si>
    <t>False</t>
  </si>
  <si>
    <t>Stavba:</t>
  </si>
  <si>
    <t>Objekt:</t>
  </si>
  <si>
    <t>SO 202 - Most na D6 přes Lomnický potok v km 1,600 SO 101</t>
  </si>
  <si>
    <t>KSO:</t>
  </si>
  <si>
    <t>CC-CZ:</t>
  </si>
  <si>
    <t>Místo:</t>
  </si>
  <si>
    <t xml:space="preserve"> </t>
  </si>
  <si>
    <t>Datum:</t>
  </si>
  <si>
    <t>Zadavatel:</t>
  </si>
  <si>
    <t>IČ:</t>
  </si>
  <si>
    <t>65993390</t>
  </si>
  <si>
    <t>Ředitelství silnic a dálnic s. p.</t>
  </si>
  <si>
    <t>DIČ:</t>
  </si>
  <si>
    <t>CZ65993390</t>
  </si>
  <si>
    <t>Zhotovitel:</t>
  </si>
  <si>
    <t>Projektant:</t>
  </si>
  <si>
    <t>45272387</t>
  </si>
  <si>
    <t>PRAGOPROJEKT, a.s.</t>
  </si>
  <si>
    <t>CZ45272387</t>
  </si>
  <si>
    <t>Zpracovatel:</t>
  </si>
  <si>
    <t>Poznámka:</t>
  </si>
  <si>
    <t>Cena bez DPH</t>
  </si>
  <si>
    <t>Základ daně</t>
  </si>
  <si>
    <t>Sazba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</si>
  <si>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</si>
  <si>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</si>
  <si>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</si>
  <si>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</si>
  <si>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</si>
  <si>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</si>
  <si>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</si>
  <si>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</si>
  <si>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</si>
  <si>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</si>
  <si>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</si>
  <si>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</si>
  <si>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</si>
  <si>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</si>
  <si>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</si>
  <si>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Zhotovitel</t>
  </si>
  <si>
    <t>REKAPITULACE ČLENĚNÍ SOUPISU PRACÍ</t>
  </si>
  <si>
    <t>Kód dílu - Popis</t>
  </si>
  <si>
    <t>Cena celkem [CZK]</t>
  </si>
  <si>
    <t>Náklady ze soupisu prací</t>
  </si>
  <si>
    <t>0 - Všeobecné konstrukce a práce</t>
  </si>
  <si>
    <t>1 - Zemní práce</t>
  </si>
  <si>
    <t>2 - Základy</t>
  </si>
  <si>
    <t>3 - Svislé konstrukce</t>
  </si>
  <si>
    <t>4 - Vodorovné konstrukce</t>
  </si>
  <si>
    <t>5 - Komunikace</t>
  </si>
  <si>
    <t>7 - Přidružená stavební výroba</t>
  </si>
  <si>
    <t>8 - Potrubí</t>
  </si>
  <si>
    <t>9 - Ostatní konstrukce a práce</t>
  </si>
  <si>
    <t>SOUPIS PRACÍ</t>
  </si>
  <si>
    <t>PČ</t>
  </si>
  <si>
    <t>Typ</t>
  </si>
  <si>
    <t>Kód</t>
  </si>
  <si>
    <t>Popis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</si>
  <si>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</si>
  <si>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</si>
  <si>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</si>
  <si>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</si>
  <si>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</si>
  <si>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</si>
  <si>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</si>
  <si>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</si>
  <si>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</si>
  <si>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</si>
  <si>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</si>
  <si>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D</t>
  </si>
  <si>
    <t>0</t>
  </si>
  <si>
    <t>Všeobecné konstrukce a práce</t>
  </si>
  <si>
    <t>4</t>
  </si>
  <si>
    <t>ROZPOCET</t>
  </si>
  <si>
    <t>1</t>
  </si>
  <si>
    <t>K</t>
  </si>
  <si>
    <t>014101.a</t>
  </si>
  <si>
    <t>POPLATKY ZA SKLÁDKU</t>
  </si>
  <si>
    <t>M3</t>
  </si>
  <si>
    <t>-534218675</t>
  </si>
  <si>
    <t>PP</t>
  </si>
  <si>
    <t>zemina, kámen, kamenivo</t>
  </si>
  <si>
    <t>VV</t>
  </si>
  <si>
    <t>A965</t>
  </si>
  <si>
    <t>"viz pol. 13173.A965 "290,793</t>
  </si>
  <si>
    <t>True</t>
  </si>
  <si>
    <t>B354</t>
  </si>
  <si>
    <t>"viz pol. 13183 "1375,572</t>
  </si>
  <si>
    <t>D229</t>
  </si>
  <si>
    <t>"viz pol. 13193 "1322,070</t>
  </si>
  <si>
    <t>C337</t>
  </si>
  <si>
    <t>"viz pol. 11329 "40,788</t>
  </si>
  <si>
    <t>"Celkové množství "3029.223000</t>
  </si>
  <si>
    <t>014101.b</t>
  </si>
  <si>
    <t>1305748058</t>
  </si>
  <si>
    <t>beton</t>
  </si>
  <si>
    <t>A964</t>
  </si>
  <si>
    <t>"pol. 96615 "291,6</t>
  </si>
  <si>
    <t>B353</t>
  </si>
  <si>
    <t>"pol. 11352 "(0,15*0,25*20,0)+(0,08*0,150*77,24)</t>
  </si>
  <si>
    <t>"Celkové množství "293.277000</t>
  </si>
  <si>
    <t>3</t>
  </si>
  <si>
    <t>014101.c</t>
  </si>
  <si>
    <t>1386573820</t>
  </si>
  <si>
    <t>železobeton</t>
  </si>
  <si>
    <t>A963</t>
  </si>
  <si>
    <t>"pol. 96716 "1317,057</t>
  </si>
  <si>
    <t>"Celkové množství "1317.057000</t>
  </si>
  <si>
    <t>015760</t>
  </si>
  <si>
    <t>POPLATKY ZA LIKVIDACI ODPADŮ NEBEZPEČNÝCH - 17 06 03*  IZOLAČNÍ MATERIÁLY OBSAHUJÍCÍ NEBEZPEČNÉ LÁTKY</t>
  </si>
  <si>
    <t>T</t>
  </si>
  <si>
    <t>1541596666</t>
  </si>
  <si>
    <t>izolace
objem. hmotnost 1300 kg/m3</t>
  </si>
  <si>
    <t>A966</t>
  </si>
  <si>
    <t>"pol. 97817 "1364,172*0,005*1,30</t>
  </si>
  <si>
    <t>"Celkové množství "8.867000</t>
  </si>
  <si>
    <t>5</t>
  </si>
  <si>
    <t>02742R</t>
  </si>
  <si>
    <t>REVIZNÍ LÁVKA</t>
  </si>
  <si>
    <t>M2</t>
  </si>
  <si>
    <t>1436666308</t>
  </si>
  <si>
    <t>revizní lávka pod vnitřní konzolu pravého mostu
kompletní provedení
vč. kotvení</t>
  </si>
  <si>
    <t>A967</t>
  </si>
  <si>
    <t>100,0*2,0</t>
  </si>
  <si>
    <t>"Celkové množství "200.000000</t>
  </si>
  <si>
    <t>6</t>
  </si>
  <si>
    <t>02912</t>
  </si>
  <si>
    <t>OSTATNÍ POŽADAVKY - VYTYČOVACÍ BOD MIKROSÍTĚ</t>
  </si>
  <si>
    <t>KUS</t>
  </si>
  <si>
    <t>2065138967</t>
  </si>
  <si>
    <t>A968</t>
  </si>
  <si>
    <t>"Celkové množství "5.000000</t>
  </si>
  <si>
    <t>7</t>
  </si>
  <si>
    <t>029412</t>
  </si>
  <si>
    <t>OSTATNÍ POŽADAVKY - VYPRACOVÁNÍ MOSTNÍHO LISTU</t>
  </si>
  <si>
    <t>533136335</t>
  </si>
  <si>
    <t>A969</t>
  </si>
  <si>
    <t>"Celkové množství "1.000000</t>
  </si>
  <si>
    <t>8</t>
  </si>
  <si>
    <t>02950</t>
  </si>
  <si>
    <t>OSTATNÍ POŽADAVKY - POSUDKY, KONTROLY, REVIZNÍ ZPRÁVY</t>
  </si>
  <si>
    <t>KPL</t>
  </si>
  <si>
    <t>321678344</t>
  </si>
  <si>
    <t>stanovení zatížitelnosti</t>
  </si>
  <si>
    <t>A970</t>
  </si>
  <si>
    <t>Zemní práce</t>
  </si>
  <si>
    <t>9</t>
  </si>
  <si>
    <t>11329</t>
  </si>
  <si>
    <t>ODSTRANĚNÍ ZPEVNĚNÝCH PLOCH, PŘÍKOPŮ A RIGOLŮ Z LOMOVÉHO KAMENE</t>
  </si>
  <si>
    <t>-1694944134</t>
  </si>
  <si>
    <t>odstranění odláždění v okolí stávajícího mostu (v místě nového pravého mostu)
vč. odvozu a uložení na skládku</t>
  </si>
  <si>
    <t xml:space="preserve">"O1 </t>
  </si>
  <si>
    <t>B355</t>
  </si>
  <si>
    <t>"dlažba okolo opěry/křídla "1/4*3,14*5,5*6,8*0,35*2+5,0*7,0*0,35</t>
  </si>
  <si>
    <t>C338</t>
  </si>
  <si>
    <t>"příkop u opěry "0,6*0,350*15,0</t>
  </si>
  <si>
    <t xml:space="preserve">"O4 </t>
  </si>
  <si>
    <t>E182</t>
  </si>
  <si>
    <t>"dlažba okolo opěry/křídla "7,5*0,5*0,35*2+12,64*0,5*0,35</t>
  </si>
  <si>
    <t>"Celkové množství "40.788000</t>
  </si>
  <si>
    <t>10</t>
  </si>
  <si>
    <t>11352</t>
  </si>
  <si>
    <t>ODSTRANĚNÍ CHODNÍKOVÝCH A SILNIČNÍCH OBRUBNÍKŮ BETONOVÝCH</t>
  </si>
  <si>
    <t>M</t>
  </si>
  <si>
    <t>202257831</t>
  </si>
  <si>
    <t>vč. odvozu a uložení na skládku</t>
  </si>
  <si>
    <t>A971</t>
  </si>
  <si>
    <t>"obruba 150 mm "5,0*4</t>
  </si>
  <si>
    <t>B356</t>
  </si>
  <si>
    <t>"obruba 80 mm "(6,8*2+5,0+15,0*2)+(7,5*2+12,64+0,5*2)</t>
  </si>
  <si>
    <t>"Celkové množství "97.240000</t>
  </si>
  <si>
    <t>11</t>
  </si>
  <si>
    <t>11372</t>
  </si>
  <si>
    <t>FRÉZOVÁNÍ ZPEVNĚNÝCH PLOCH ASFALTOVÝCH</t>
  </si>
  <si>
    <t>1408721576</t>
  </si>
  <si>
    <t>odstranění vozovkových vrstev na stávajícím mostě
povinný odkup zhotovitelem</t>
  </si>
  <si>
    <t>A972</t>
  </si>
  <si>
    <t>"tl. 80 mm "11,5*107,925*0,080</t>
  </si>
  <si>
    <t>"Celkové množství "99.291000</t>
  </si>
  <si>
    <t>12</t>
  </si>
  <si>
    <t>12573.a</t>
  </si>
  <si>
    <t>VYKOPÁVKY ZE ZEMNÍKŮ A SKLÁDEK TŘ. I</t>
  </si>
  <si>
    <t>447793460</t>
  </si>
  <si>
    <t>vykopávka zeminy z meziskládky pro zpětný zásyp</t>
  </si>
  <si>
    <t>A973</t>
  </si>
  <si>
    <t>"pol. 17411 "3099,181</t>
  </si>
  <si>
    <t>B357</t>
  </si>
  <si>
    <t>"pol. 17511 "26,376</t>
  </si>
  <si>
    <t>"Celkové množství "3125.557000</t>
  </si>
  <si>
    <t>13</t>
  </si>
  <si>
    <t>12573.b</t>
  </si>
  <si>
    <t>461108343</t>
  </si>
  <si>
    <t>vykopávka ornice z meziskládky</t>
  </si>
  <si>
    <t>A974</t>
  </si>
  <si>
    <t>"viz pol. 18222 "104,177*0,15</t>
  </si>
  <si>
    <t>"Celkové množství "15.627000</t>
  </si>
  <si>
    <t>14</t>
  </si>
  <si>
    <t>13173.a</t>
  </si>
  <si>
    <t>HLOUBENÍ JAM ZAPAŽ I NEPAŽ TŘ. I</t>
  </si>
  <si>
    <t>-898311243</t>
  </si>
  <si>
    <t>výkopy
vč. odvozu na skládku</t>
  </si>
  <si>
    <t>"O1P - hl. cca 3,0 m "(218,398+94,886)/2*3,0</t>
  </si>
  <si>
    <t>B359</t>
  </si>
  <si>
    <t>"O1L - hl. cca 3,9 m "(403,153+142,932)/2*3,9</t>
  </si>
  <si>
    <t>C339</t>
  </si>
  <si>
    <t>"O4P - hl. cca 3,5 m "(353,263+139,831)/2*3,5</t>
  </si>
  <si>
    <t>D230</t>
  </si>
  <si>
    <t>"O4L - hl. cca 2,6 m "(226,881+114,786)/2*2,6</t>
  </si>
  <si>
    <t>E183</t>
  </si>
  <si>
    <t>"výkop pro gabion u O1 - prům. plocha řezu 10,0m2 "10,0"m2"*54,0</t>
  </si>
  <si>
    <t>F102</t>
  </si>
  <si>
    <t>"výkop pro gabion u O4 - prům. plocha řezu 2,873 m2 "2,873"m2"*12,0</t>
  </si>
  <si>
    <t>G57</t>
  </si>
  <si>
    <t>"odpočet zeminy pro zpětný zásyp - pol. 17411 A976 pol. 17511 "-(3099,181+26,376)</t>
  </si>
  <si>
    <t>"Celkové množství "290.793000</t>
  </si>
  <si>
    <t>15</t>
  </si>
  <si>
    <t>13173.b</t>
  </si>
  <si>
    <t>-2007909581</t>
  </si>
  <si>
    <t>materiál určený pro zpětné použití
vč. odvozu na meziskládku</t>
  </si>
  <si>
    <t>A975</t>
  </si>
  <si>
    <t>B358</t>
  </si>
  <si>
    <t>16</t>
  </si>
  <si>
    <t>13183</t>
  </si>
  <si>
    <t>HLOUBENÍ JAM ZAPAŽ I NEPAŽ TŘ II</t>
  </si>
  <si>
    <t>2049734349</t>
  </si>
  <si>
    <t>A977</t>
  </si>
  <si>
    <t>"P2L - hl. cca 3,7 m "(304,615+116,44)/2*3,7</t>
  </si>
  <si>
    <t>B360</t>
  </si>
  <si>
    <t>"P3L - hl. cca 3,1 m "(268,476+116,44)/2*3,1</t>
  </si>
  <si>
    <t>"Celkové množství "1375.572000</t>
  </si>
  <si>
    <t>17</t>
  </si>
  <si>
    <t>13193</t>
  </si>
  <si>
    <t>HLOUBENÍ JAM ZAPAŽ I NEPAŽ TŘ III</t>
  </si>
  <si>
    <t>-1978333165</t>
  </si>
  <si>
    <t>A978</t>
  </si>
  <si>
    <t>"P2P - hl. cca 3,8 m "(321,75+116,44)/2*3,8</t>
  </si>
  <si>
    <t>B361</t>
  </si>
  <si>
    <t>"P3P - hl. cca 2,6 m "(260,105+116,44)/2*2,6</t>
  </si>
  <si>
    <t>"Celkové množství "1322.070000</t>
  </si>
  <si>
    <t>18</t>
  </si>
  <si>
    <t>17120</t>
  </si>
  <si>
    <t>ULOŽENÍ SYPANINY DO NÁSYPŮ A NA SKLÁDKY BEZ ZHUTNĚNÍ</t>
  </si>
  <si>
    <t>-1944020652</t>
  </si>
  <si>
    <t>uložení zeminy na skládku/meziskládku</t>
  </si>
  <si>
    <t>A979</t>
  </si>
  <si>
    <t>"viz pol. 13173.A979 "290,793</t>
  </si>
  <si>
    <t>B362</t>
  </si>
  <si>
    <t>"viz pol. 13173.B362 "3125,557</t>
  </si>
  <si>
    <t>C340</t>
  </si>
  <si>
    <t>D231</t>
  </si>
  <si>
    <t>"Celkové množství "6113.992000</t>
  </si>
  <si>
    <t>19</t>
  </si>
  <si>
    <t>17411</t>
  </si>
  <si>
    <t>ZÁSYP JAM A RÝH ZEMINOU SE ZHUTNĚNÍM</t>
  </si>
  <si>
    <t>2005810417</t>
  </si>
  <si>
    <t>zpětný zásyp</t>
  </si>
  <si>
    <t xml:space="preserve">"plochy odměřeny digitálně z řezu </t>
  </si>
  <si>
    <t xml:space="preserve">"zásyp za opěrou - po úroveň těsnící vrstvy </t>
  </si>
  <si>
    <t>C341</t>
  </si>
  <si>
    <t>"O1 "7,96"m2"*12,1+7,02"m2"*16,1+0,7*2,65*2,67</t>
  </si>
  <si>
    <t>D232</t>
  </si>
  <si>
    <t>"O4 "6,01"m2"*12,1+6,15"m2"*16,1+0,7*3,15*2,67</t>
  </si>
  <si>
    <t xml:space="preserve">"zásyp před opěrou - zásyp základů </t>
  </si>
  <si>
    <t>F103</t>
  </si>
  <si>
    <t>"O1 "1,828"m2"*(4,4+3,2+13,26+8,0+18,3+11,6)</t>
  </si>
  <si>
    <t>G58</t>
  </si>
  <si>
    <t>"O4 "3,54"m2"*(6,35+16,5+8,6+17,8+8,75)</t>
  </si>
  <si>
    <t xml:space="preserve">"zásyp pilířů </t>
  </si>
  <si>
    <t>I23</t>
  </si>
  <si>
    <t>"P2P "(321,75+116,44)/2*3,8-6,8*12,8*0,25-6,0*12,0*1,8-3,84*2,37*2</t>
  </si>
  <si>
    <t>J20</t>
  </si>
  <si>
    <t>"P2L "(304,615+116,44)/2*3,7-6,8*12,8*0,25-6,0*12,0*1,8-3,84*2,37*2</t>
  </si>
  <si>
    <t>K20</t>
  </si>
  <si>
    <t>"P3P "(260,105+116,44)/2*2,6-6,8*12,8*0,25-6,0*12,0*1,8-3,84*2,4*2</t>
  </si>
  <si>
    <t>L19</t>
  </si>
  <si>
    <t>"P3L "(268,476+116,44)/2*3,1-6,8*12,8*0,25-6,0*12,0*1,8-3,84*2,4*2</t>
  </si>
  <si>
    <t xml:space="preserve">"zásyp gabionu </t>
  </si>
  <si>
    <t>N20</t>
  </si>
  <si>
    <t>"u O1 - prům. plocha řezu 6,4 m2 "6,4*54,0</t>
  </si>
  <si>
    <t>O20</t>
  </si>
  <si>
    <t>"u O4 - prům. plocha řezu 2,5 m2 "2,5*12,0</t>
  </si>
  <si>
    <t>"Celkové množství "3099.181000</t>
  </si>
  <si>
    <t>20</t>
  </si>
  <si>
    <t>17481</t>
  </si>
  <si>
    <t>ZÁSYP JAM A RÝH Z NAKUPOVANÝCH MATERIÁLŮ</t>
  </si>
  <si>
    <t>419790124</t>
  </si>
  <si>
    <t>zásyp za opěrou - nad úroveň těsnící vrstvy</t>
  </si>
  <si>
    <t>B363</t>
  </si>
  <si>
    <t>"O1 "9,26"m2"*12,1+9,27"m2"*16,1+0,4*2,65*3,16</t>
  </si>
  <si>
    <t>C342</t>
  </si>
  <si>
    <t>"O4 "9,445"m2"*12,1+8,52"m2"*16,1+0,4*3,15*3,16</t>
  </si>
  <si>
    <t>D233</t>
  </si>
  <si>
    <t>"zásyp za gabiony - průměrná plocha řezu 5,5 m2 "5,5*54,0</t>
  </si>
  <si>
    <t>"Celkové množství "817.081000</t>
  </si>
  <si>
    <t>21</t>
  </si>
  <si>
    <t>17511</t>
  </si>
  <si>
    <t>OBSYP POTRUBÍ A OBJEKTŮ SE ZHUTNĚNÍM</t>
  </si>
  <si>
    <t>2093950479</t>
  </si>
  <si>
    <t>svahové kužely</t>
  </si>
  <si>
    <t>A980</t>
  </si>
  <si>
    <t>"O1 "(1/4)*(1/3)*3,14*(8,0*5,0+7,2*4,5)</t>
  </si>
  <si>
    <t>B364</t>
  </si>
  <si>
    <t>"O4 "(1/4)*(1/3)*3,14*7,1*4,0</t>
  </si>
  <si>
    <t>"Celkové množství "26.376000</t>
  </si>
  <si>
    <t>22</t>
  </si>
  <si>
    <t>17581</t>
  </si>
  <si>
    <t>OBSYP POTRUBÍ A OBJEKTŮ Z NAKUPOVANÝCH MATERIÁLŮ</t>
  </si>
  <si>
    <t>1924797949</t>
  </si>
  <si>
    <t>ochranný obsyp s drenážní funkcí - přechodový klín</t>
  </si>
  <si>
    <t>B365</t>
  </si>
  <si>
    <t>"O1 "6,78"m2"*12,1+7,06"m2"*16,1+0,6*2,65*3,16</t>
  </si>
  <si>
    <t>C343</t>
  </si>
  <si>
    <t>"O4 "6,16"m2"*12,1+5,85"m2"*16,1+0,6*3,15*3,16</t>
  </si>
  <si>
    <t>"Celkové množství "375.421000</t>
  </si>
  <si>
    <t>23</t>
  </si>
  <si>
    <t>18222</t>
  </si>
  <si>
    <t>ROZPROSTŘENÍ ORNICE VE SVAHU V TL DO 0,15M</t>
  </si>
  <si>
    <t>1718735811</t>
  </si>
  <si>
    <t>A981</t>
  </si>
  <si>
    <t>"O1 "1/4*3,14*8,0*9,4</t>
  </si>
  <si>
    <t>B366</t>
  </si>
  <si>
    <t>"O4 "1/4*3,14*7,1*8,1</t>
  </si>
  <si>
    <t>"Celkové množství "104.177000</t>
  </si>
  <si>
    <t>24</t>
  </si>
  <si>
    <t>18241</t>
  </si>
  <si>
    <t>ZALOŽENÍ TRÁVNÍKU RUČNÍM VÝSEVEM</t>
  </si>
  <si>
    <t>249870624</t>
  </si>
  <si>
    <t>A982</t>
  </si>
  <si>
    <t>B367</t>
  </si>
  <si>
    <t>25</t>
  </si>
  <si>
    <t>18247</t>
  </si>
  <si>
    <t>OŠETŘOVÁNÍ TRÁVNÍKU</t>
  </si>
  <si>
    <t>-603851696</t>
  </si>
  <si>
    <t>A983</t>
  </si>
  <si>
    <t>B368</t>
  </si>
  <si>
    <t>Základy</t>
  </si>
  <si>
    <t>26</t>
  </si>
  <si>
    <t>21331</t>
  </si>
  <si>
    <t>DRENÁŽNÍ VRSTVY Z BETONU MEZEROVITÉHO (DRENÁŽNÍHO)</t>
  </si>
  <si>
    <t>-676194874</t>
  </si>
  <si>
    <t>okolo drenážního potrubí - za opěrou</t>
  </si>
  <si>
    <t>A984</t>
  </si>
  <si>
    <t>"O1 "(0,3*0,3-3,14*0,08^2)*33,4</t>
  </si>
  <si>
    <t>B369</t>
  </si>
  <si>
    <t>"O4 "(0,3*0,3-3,14*0,08^2)*33,5</t>
  </si>
  <si>
    <t>"Celkové množství "4.677000</t>
  </si>
  <si>
    <t>27</t>
  </si>
  <si>
    <t>21341</t>
  </si>
  <si>
    <t>DRENÁŽNÍ VRSTVY Z PLASTBETONU (PLASTMALTY)</t>
  </si>
  <si>
    <t>-1606494130</t>
  </si>
  <si>
    <t>odvodňovací proužek</t>
  </si>
  <si>
    <t>A985</t>
  </si>
  <si>
    <t>0,150*0,04*107,50*2-(0,8*0,15*14+0,4*0,15*26)*0,040</t>
  </si>
  <si>
    <t>B370</t>
  </si>
  <si>
    <t>"okolo odvodňovačů "(0,8*0,6-0,3*0,5)*0,04*14</t>
  </si>
  <si>
    <t>C344</t>
  </si>
  <si>
    <t>"okolo trubiček "0,4*0,6*0,040*26</t>
  </si>
  <si>
    <t>"Celkové množství "1.595000</t>
  </si>
  <si>
    <t>28</t>
  </si>
  <si>
    <t>21461E</t>
  </si>
  <si>
    <t>SEPARAČNÍ GEOTEXTILIE DO 500G/M2</t>
  </si>
  <si>
    <t>903372840</t>
  </si>
  <si>
    <t>opatření gabionů separační geotextilií min. 400 g/m2</t>
  </si>
  <si>
    <t>A986</t>
  </si>
  <si>
    <t>"u O1 - plocha odměřena digitálně + přípočet přesahů "159,0"m2"*1,3</t>
  </si>
  <si>
    <t>B371</t>
  </si>
  <si>
    <t>"u O4 - plocha odměřena digitálně + přípočet přesahů "21,9"m2"*1,3</t>
  </si>
  <si>
    <t>"Celkové množství "235.170000</t>
  </si>
  <si>
    <t>29</t>
  </si>
  <si>
    <t>226940R</t>
  </si>
  <si>
    <t>ZÁPOROVÉ PAŽENÍ</t>
  </si>
  <si>
    <t>1696495628</t>
  </si>
  <si>
    <t>kompletní provedení záporového pažení - dle možností zhotovitele
vykázána pohledová plocha
vč. dodávky, zřízení, částečné demontáže
vč. kotvení
vč. likvidace vzniklých odpadů a skládkovné</t>
  </si>
  <si>
    <t xml:space="preserve">"pro pravý most </t>
  </si>
  <si>
    <t>B372</t>
  </si>
  <si>
    <t>"O1 "7,0*6,8</t>
  </si>
  <si>
    <t>C345</t>
  </si>
  <si>
    <t>"P2 "12,0*3,8</t>
  </si>
  <si>
    <t>D234</t>
  </si>
  <si>
    <t>"O4 "6,0*5,8</t>
  </si>
  <si>
    <t xml:space="preserve">"pro levý most </t>
  </si>
  <si>
    <t>F104</t>
  </si>
  <si>
    <t>G59</t>
  </si>
  <si>
    <t>"P2 "12,0*3,7</t>
  </si>
  <si>
    <t>H59</t>
  </si>
  <si>
    <t>"P3 "18,0*3,1</t>
  </si>
  <si>
    <t>I59</t>
  </si>
  <si>
    <t>"O4 "13,0*5,8</t>
  </si>
  <si>
    <t>"Celkové množství "351.200000</t>
  </si>
  <si>
    <t>30</t>
  </si>
  <si>
    <t>272325</t>
  </si>
  <si>
    <t>ZÁKLADY ZE ŽELEZOBETONU DO C30/37</t>
  </si>
  <si>
    <t>-1016099305</t>
  </si>
  <si>
    <t>vč. nátěru ALP+2x ALN všech součástí v kontaktu se zeminou</t>
  </si>
  <si>
    <t xml:space="preserve">"opěra O1 </t>
  </si>
  <si>
    <t>B373</t>
  </si>
  <si>
    <t>"O1P "(12,879*4,15+(2,798+4,15)/2*1,761)*1,2</t>
  </si>
  <si>
    <t>C346</t>
  </si>
  <si>
    <t>"O1L "14,25*4,15*1,2</t>
  </si>
  <si>
    <t>D235</t>
  </si>
  <si>
    <t>"křídlo "3,5*7,382*1,2</t>
  </si>
  <si>
    <t xml:space="preserve">"pilíře </t>
  </si>
  <si>
    <t>F105</t>
  </si>
  <si>
    <t>"P2 "6,0*12,0*1,8*2</t>
  </si>
  <si>
    <t>G60</t>
  </si>
  <si>
    <t>"P3 "6,0*12,0*1,8*2</t>
  </si>
  <si>
    <t xml:space="preserve">"opěra O4 </t>
  </si>
  <si>
    <t>I60</t>
  </si>
  <si>
    <t>"O4P "14,25*4,15*1,2</t>
  </si>
  <si>
    <t>J34</t>
  </si>
  <si>
    <t>"O4L "14,64*4,15*1,2</t>
  </si>
  <si>
    <t>K30</t>
  </si>
  <si>
    <t>"křídlo "3,5*7,48*1,2</t>
  </si>
  <si>
    <t>"Celkové množství "867.136000</t>
  </si>
  <si>
    <t>31</t>
  </si>
  <si>
    <t>272365</t>
  </si>
  <si>
    <t>VÝZTUŽ ZÁKLADŮ Z OCELI 10505, B500B</t>
  </si>
  <si>
    <t>360835235</t>
  </si>
  <si>
    <t xml:space="preserve">"výztuž opěr </t>
  </si>
  <si>
    <t xml:space="preserve">"vykázáno na základě procenta z celkového objemu základů opěr, dříků, křídel </t>
  </si>
  <si>
    <t>C347</t>
  </si>
  <si>
    <t>"celkový objem = 906,587 m3, pro základy opěr a křídel = 348,736 m3 "(348,736/906,587)*104275,0/1000</t>
  </si>
  <si>
    <t xml:space="preserve">"výztuž pilířů </t>
  </si>
  <si>
    <t xml:space="preserve">"vykázáno na základě procenta z celkového objemu základů pilířů, sloupů </t>
  </si>
  <si>
    <t>F106</t>
  </si>
  <si>
    <t>"celkový objem = 879,784, pro základy pilířů = 518,4 m3 "(518,4/879,784)*152342,5/1000</t>
  </si>
  <si>
    <t>"Celkové množství "129.877000</t>
  </si>
  <si>
    <t>32</t>
  </si>
  <si>
    <t>28999</t>
  </si>
  <si>
    <t>OPLÁŠTĚNÍ (ZPEVNĚNÍ) Z FÓLIE</t>
  </si>
  <si>
    <t>434886147</t>
  </si>
  <si>
    <t>těsnění za opěrou v úrovni drenáže</t>
  </si>
  <si>
    <t>A987</t>
  </si>
  <si>
    <t>"O1 "4,79*12,1+4,53*16,1+1,0*2,65</t>
  </si>
  <si>
    <t>B374</t>
  </si>
  <si>
    <t>"O4 "4,42*12,1+4,32*16,1+1,0*3,15</t>
  </si>
  <si>
    <t>"Celkové množství "259.726000</t>
  </si>
  <si>
    <t>Svislé konstrukce</t>
  </si>
  <si>
    <t>33</t>
  </si>
  <si>
    <t>31717</t>
  </si>
  <si>
    <t>KOVOVÉ KONSTRUKCE PRO KOTVENÍ ŘÍMSY</t>
  </si>
  <si>
    <t>KG</t>
  </si>
  <si>
    <t>-1075929705</t>
  </si>
  <si>
    <t>6 kg/kotva
na nosné konstrukci po 1,0 m</t>
  </si>
  <si>
    <t>A988</t>
  </si>
  <si>
    <t>"pravý most "6,0*110*2</t>
  </si>
  <si>
    <t>B375</t>
  </si>
  <si>
    <t>"levý most "6,0*110*2</t>
  </si>
  <si>
    <t>"Celkové množství "2640.000000</t>
  </si>
  <si>
    <t>34</t>
  </si>
  <si>
    <t>317325</t>
  </si>
  <si>
    <t>ŘÍMSY ZE ŽELEZOBETONU DO C30/37 (B37)</t>
  </si>
  <si>
    <t>1320235244</t>
  </si>
  <si>
    <t>A989</t>
  </si>
  <si>
    <t>"pravý most "(1,95*0,234+0,6*0,43)*123,95+(0,9*0,24+0,35*0,44)*118,95+(0,85*1,25*0,24+0,25*0,25*0,7)*2</t>
  </si>
  <si>
    <t>B376</t>
  </si>
  <si>
    <t>"levý most "(1,95*0,234+0,6*0,43)*124,0+(0,9*0,24+0,35*0,44)*118,95+(0,85*1,25*0,24+0,25*0,25*0,7)*2</t>
  </si>
  <si>
    <t>"Celkové množství "266.328000</t>
  </si>
  <si>
    <t>35</t>
  </si>
  <si>
    <t>317365</t>
  </si>
  <si>
    <t>VÝZTUŽ ŘÍMS Z OCELI 10505, B500B</t>
  </si>
  <si>
    <t>-56014565</t>
  </si>
  <si>
    <t>A990</t>
  </si>
  <si>
    <t>30073,7/1000</t>
  </si>
  <si>
    <t>"Celkové množství "30.074000</t>
  </si>
  <si>
    <t>36</t>
  </si>
  <si>
    <t>3272A7</t>
  </si>
  <si>
    <t>ZDI OPĚR, ZÁRUB, NÁBŘEŽ Z GABIONŮ RUČNĚ ROVNANÝCH, DRÁT O4,0MM, POVRCHOVÁ ÚPRAVA Zn + Al</t>
  </si>
  <si>
    <t>-2037992921</t>
  </si>
  <si>
    <t>A991</t>
  </si>
  <si>
    <t>"před opěrou O1 "(2,0*1,0*5+2,0*0,7*9)*1,5+(0,7+0,9)/2*2,0*1,0+(0,2+1,0)/2*8,0*1,0</t>
  </si>
  <si>
    <t>B377</t>
  </si>
  <si>
    <t>(2,0*1,0*3)*1,8+(2,0*0,7*3)*1,8+(2,0*0,7*6)*1,5+((0,3+0,7)/2*4,0+2,0*0,7)*1,0</t>
  </si>
  <si>
    <t>C348</t>
  </si>
  <si>
    <t>(2,0*1,0*7)*1,5+(2,0*0,7*21)*1,5+(2,0*0,7*7)*1,0</t>
  </si>
  <si>
    <t>D236</t>
  </si>
  <si>
    <t>(2,0*1,0*11)*1,5+(1,233+1,0)/2*2,0*1,5+(2,0*0,7*15)*1,5+(0,7+0,233)/2*4,0*1,0+(0,933+0,233)/2*6,0*3*1,0</t>
  </si>
  <si>
    <t>E184</t>
  </si>
  <si>
    <t>"vedle opěry O4 "(1,0*(6,0+8,0*3)+0,8*6,0+0,5*2,0)*1,5</t>
  </si>
  <si>
    <t>"Celkové množství "283.470000</t>
  </si>
  <si>
    <t>37</t>
  </si>
  <si>
    <t>333325</t>
  </si>
  <si>
    <t>MOSTNÍ OPĚRY A KŘÍDLA ZE ŽELEZOVÉHO BETONU DO C30/37</t>
  </si>
  <si>
    <t>596112658</t>
  </si>
  <si>
    <t xml:space="preserve">"O1P </t>
  </si>
  <si>
    <t>B378</t>
  </si>
  <si>
    <t>"úložné prahy + ZZ "(3,35*2,176+0,6*2,7+(0,6+0,9)/2*0,45)*13,65</t>
  </si>
  <si>
    <t>C349</t>
  </si>
  <si>
    <t>"křídla "0,69*4,75*0,6+(0,3*5,0+(1,0+4,41)/2*5,0)*0,75</t>
  </si>
  <si>
    <t xml:space="preserve">"O1L </t>
  </si>
  <si>
    <t>E185</t>
  </si>
  <si>
    <t>"úložné prahy + ZZ "(3,35*2,3+0,6*2,7+(0,6+0,9)/2*0,45)*13,65</t>
  </si>
  <si>
    <t>F107</t>
  </si>
  <si>
    <t>"křídla "(5,185+5,301)/2*7,4*(0,8+0,55)/2+0,69*4,75*0,6+(0,3*5,07+(1,0+4,415)/2*5,0)*0,75</t>
  </si>
  <si>
    <t xml:space="preserve">"O4P </t>
  </si>
  <si>
    <t>H60</t>
  </si>
  <si>
    <t>"úložné prahy + ZZ "(3,35*1,46+0,6*2,8+(0,6+0,9)/2*0,45)*13,65</t>
  </si>
  <si>
    <t>I61</t>
  </si>
  <si>
    <t>"křídla "(4,378+4,564)/2*7,5*(0,8+0,55)/2+0,69*4,25*0,6+(0,3*4,313+(1,0+4,314)/2*5,154)*0,75</t>
  </si>
  <si>
    <t xml:space="preserve">"O4L </t>
  </si>
  <si>
    <t>K37</t>
  </si>
  <si>
    <t>"úložné prahy + ZZ "(3,35*1,62+0,6*2,8+(0,6+0,9)/2*0,45)*13,65</t>
  </si>
  <si>
    <t>L37</t>
  </si>
  <si>
    <t>"křídla "0,69*4,25*0,6+(0,3*4,5+(1,0+4,35)/2*5,195)*0,75</t>
  </si>
  <si>
    <t>M37</t>
  </si>
  <si>
    <t>"podložiskové bloky "1,2*1,2*0,2*(2*2)*2</t>
  </si>
  <si>
    <t>"Celkové množství "557.851000</t>
  </si>
  <si>
    <t>38</t>
  </si>
  <si>
    <t>333365</t>
  </si>
  <si>
    <t>VÝZTUŽ MOSTNÍCH OPĚR A KŘÍDEL Z OCELI 10505, B500B</t>
  </si>
  <si>
    <t>-2106538538</t>
  </si>
  <si>
    <t>B379</t>
  </si>
  <si>
    <t>"celkový objem = 906,587 m3, pro dříky a křídla = 557,851 m3 "(557,851/906,587)*104275,0/1000</t>
  </si>
  <si>
    <t>"Celkové množství "64.164000</t>
  </si>
  <si>
    <t>39</t>
  </si>
  <si>
    <t>334326</t>
  </si>
  <si>
    <t>MOSTNÍ PILÍŘE A STATIVA ZE ŽELEZOVÉHO BETONU DO C40/50 (B50)</t>
  </si>
  <si>
    <t>-398297714</t>
  </si>
  <si>
    <t>A992</t>
  </si>
  <si>
    <t>"P2P "3,84*(10,45+10,29)</t>
  </si>
  <si>
    <t>B380</t>
  </si>
  <si>
    <t>"P2L "3,84*(10,44+10,6)</t>
  </si>
  <si>
    <t>C350</t>
  </si>
  <si>
    <t>"P3P "3,84*(12,93+12,76)</t>
  </si>
  <si>
    <t>D237</t>
  </si>
  <si>
    <t>"P3L "3,84*(12,94+13,1)</t>
  </si>
  <si>
    <t>E186</t>
  </si>
  <si>
    <t>"Celkové množství "361.384000</t>
  </si>
  <si>
    <t>40</t>
  </si>
  <si>
    <t>334365</t>
  </si>
  <si>
    <t>VÝZTUŽ MOSTNÍCH PILÍŘŮ A STATIV Z OCELI 10505, B500B</t>
  </si>
  <si>
    <t>-1486200710</t>
  </si>
  <si>
    <t>B381</t>
  </si>
  <si>
    <t>"celkový objem = 879,784, pro sloupy = 361,384 m3 "(361,384/879,784)*152342,5/1000</t>
  </si>
  <si>
    <t>"Celkové množství "62.577000</t>
  </si>
  <si>
    <t>Vodorovné konstrukce</t>
  </si>
  <si>
    <t>41</t>
  </si>
  <si>
    <t>420324</t>
  </si>
  <si>
    <t>PŘECHODOVÉ DESKY MOSTNÍCH OPĚR ZE ŽELEZOBETONU C25/30</t>
  </si>
  <si>
    <t>7015099</t>
  </si>
  <si>
    <t>A993</t>
  </si>
  <si>
    <t>"O1L + O1P "5,0*0,35*11,7*2</t>
  </si>
  <si>
    <t>B382</t>
  </si>
  <si>
    <t>"O4L + O4P "5,0*0,35*11,7*2</t>
  </si>
  <si>
    <t>"Celkové množství "81.900000</t>
  </si>
  <si>
    <t>42</t>
  </si>
  <si>
    <t>420365</t>
  </si>
  <si>
    <t>VÝZTUŽ PŘECHODOVÝCH DESEK MOSTNÍCH OPĚR Z OCELI 10505, B500B</t>
  </si>
  <si>
    <t>880552634</t>
  </si>
  <si>
    <t>A994</t>
  </si>
  <si>
    <t>12348,0/1000</t>
  </si>
  <si>
    <t>"Celkové množství "12.348000</t>
  </si>
  <si>
    <t>43</t>
  </si>
  <si>
    <t>422336</t>
  </si>
  <si>
    <t>MOSTNÍ NOSNÉ TRÁM KONSTR Z PŘEDPJ BET DO C40/50</t>
  </si>
  <si>
    <t>259809908</t>
  </si>
  <si>
    <t>A995</t>
  </si>
  <si>
    <t>"trámy "((0,30+0,50)/2*(2,65+2,7)+1,6*2,4*2+1,7*0,35+(0,35+0,5)/2*1,7*2)*106,90*2</t>
  </si>
  <si>
    <t>B383</t>
  </si>
  <si>
    <t>"příčníky "((0,55+0,752)/2*(2,663+2,713)+8,195*2,283+1,4*0,1+1,4*0,135)*1,8*2*2</t>
  </si>
  <si>
    <t>"Celkové množství "2697.941000</t>
  </si>
  <si>
    <t>44</t>
  </si>
  <si>
    <t>422365</t>
  </si>
  <si>
    <t>VÝZTUŽ MOSTNÍ TRÁMOVÉ KONSTRUKCE Z OCELI 10505, B500B</t>
  </si>
  <si>
    <t>1259629264</t>
  </si>
  <si>
    <t>A996</t>
  </si>
  <si>
    <t>468886,0/1000</t>
  </si>
  <si>
    <t>"Celkové množství "468.886000</t>
  </si>
  <si>
    <t>45</t>
  </si>
  <si>
    <t>42237</t>
  </si>
  <si>
    <t>VÝZTUŽ MOSTNÍ NOSNÉ TRÁMOVÉ KONSTR PŘEDPÍNACÍ</t>
  </si>
  <si>
    <t>-1264573120</t>
  </si>
  <si>
    <t>A997</t>
  </si>
  <si>
    <t>82,84</t>
  </si>
  <si>
    <t>"Celkové množství "82.840000</t>
  </si>
  <si>
    <t>46</t>
  </si>
  <si>
    <t>42838</t>
  </si>
  <si>
    <t>KLOUB ZE ŽELEZOBETONU VČET VÝZTUŽE</t>
  </si>
  <si>
    <t>1633064690</t>
  </si>
  <si>
    <t>kloub přechodové desky
vykázáno na půdorysný průmět</t>
  </si>
  <si>
    <t>A998</t>
  </si>
  <si>
    <t>"O1 "11,7*2</t>
  </si>
  <si>
    <t>B384</t>
  </si>
  <si>
    <t>"O4 "11,7*2</t>
  </si>
  <si>
    <t>"Celkové množství "46.800000</t>
  </si>
  <si>
    <t>47</t>
  </si>
  <si>
    <t>428741</t>
  </si>
  <si>
    <t>KALOTOVÉ LOŽISKO PRO ZATÍŽ. DO 10MN, VŠESMĚRNÉ</t>
  </si>
  <si>
    <t>-936519822</t>
  </si>
  <si>
    <t>kalotové ložisko všesměrně pohyblivé</t>
  </si>
  <si>
    <t>A999</t>
  </si>
  <si>
    <t>"na opěrách "1*2*2</t>
  </si>
  <si>
    <t>"Celkové množství "4.000000</t>
  </si>
  <si>
    <t>48</t>
  </si>
  <si>
    <t>428742</t>
  </si>
  <si>
    <t>KALOTOVÉ LOŽISKO PRO ZATÍŽ. DO 10MN, JEDNOSMĚRNÉ</t>
  </si>
  <si>
    <t>-664994035</t>
  </si>
  <si>
    <t>kalotové ložisko podélně pohyblivé</t>
  </si>
  <si>
    <t>A1000</t>
  </si>
  <si>
    <t>49</t>
  </si>
  <si>
    <t>428763</t>
  </si>
  <si>
    <t>KALOTOVÉ LOŽISKO PRO ZATÍŽ. DO 20MN, PEVNÉ</t>
  </si>
  <si>
    <t>1116935381</t>
  </si>
  <si>
    <t>kalotové ložisko pevné</t>
  </si>
  <si>
    <t>A1001</t>
  </si>
  <si>
    <t>"na pilířích "2*2*2</t>
  </si>
  <si>
    <t>"Celkové množství "8.000000</t>
  </si>
  <si>
    <t>50</t>
  </si>
  <si>
    <t>434125</t>
  </si>
  <si>
    <t>SCHODIŠŤOVÉ STUPNĚ, Z DÍLCŮ ŽELEZOBETON DO C30/37</t>
  </si>
  <si>
    <t>-1884363538</t>
  </si>
  <si>
    <t>únikové schodiště š. 1,0 m</t>
  </si>
  <si>
    <t>A1002</t>
  </si>
  <si>
    <t>"u O1 "0,6*0,18*1,0*(29+36)</t>
  </si>
  <si>
    <t>B385</t>
  </si>
  <si>
    <t>"u O4 "0,6*0,18*1,0*(63+58)</t>
  </si>
  <si>
    <t>"Celkové množství "20.088000</t>
  </si>
  <si>
    <t>51</t>
  </si>
  <si>
    <t>451312</t>
  </si>
  <si>
    <t>PODKLADNÍ A VÝPLŇOVÉ VRSTVY Z PROSTÉHO BETONU C12/15</t>
  </si>
  <si>
    <t>1657687353</t>
  </si>
  <si>
    <t>podkladní beton</t>
  </si>
  <si>
    <t>A1003</t>
  </si>
  <si>
    <t>"pod drenáž "0,3*(1,13+0,448)/2*33,4+0,3*(0,58+1,28)/2*33,5</t>
  </si>
  <si>
    <t>B386</t>
  </si>
  <si>
    <t>"pod základy opěr "171,212"m2"*0,25+147,111"m2"*0,25</t>
  </si>
  <si>
    <t>C351</t>
  </si>
  <si>
    <t>"pod gabion. zdi "2,1*(54,0-6,0)*0,15+2,35*6,0*0,15+3,054"m2"*2,1</t>
  </si>
  <si>
    <t>"Celkové množství "120.481000</t>
  </si>
  <si>
    <t>52</t>
  </si>
  <si>
    <t>451313</t>
  </si>
  <si>
    <t>PODKLADNÍ A VÝPLŇOVÉ VRSTVY Z PROSTÉHO BETONU C16/20</t>
  </si>
  <si>
    <t>-1119379849</t>
  </si>
  <si>
    <t>podkladní beton pod přechodovou desku</t>
  </si>
  <si>
    <t>A1004</t>
  </si>
  <si>
    <t>"O1 "5,045*0,15*11,745*2</t>
  </si>
  <si>
    <t>B387</t>
  </si>
  <si>
    <t>"O4 "5,045*0,15*11,745*2</t>
  </si>
  <si>
    <t>"Celkové množství "35.552000</t>
  </si>
  <si>
    <t>53</t>
  </si>
  <si>
    <t>451314</t>
  </si>
  <si>
    <t>PODKLADNÍ A VÝPLŇOVÉ VRSTVY Z PROSTÉHO BETONU C25/30</t>
  </si>
  <si>
    <t>-1661025333</t>
  </si>
  <si>
    <t>podkladní beton pod základy pilířů</t>
  </si>
  <si>
    <t>A1005</t>
  </si>
  <si>
    <t>6,8*12,8*0,25*2*2</t>
  </si>
  <si>
    <t>"Celkové množství "87.040000</t>
  </si>
  <si>
    <t>54</t>
  </si>
  <si>
    <t>45131A</t>
  </si>
  <si>
    <t>PODKLADNÍ A VÝPLŇOVÉ VRSTVY Z PROSTÉHO BETONU C20/25</t>
  </si>
  <si>
    <t>1729971192</t>
  </si>
  <si>
    <t>lože pod dlažbu a schodiště</t>
  </si>
  <si>
    <t>A1006</t>
  </si>
  <si>
    <t>"pod dlažbu tl. 150 mm - viz pol. 465512 "(188,815/0,2)*0,15</t>
  </si>
  <si>
    <t>B388</t>
  </si>
  <si>
    <t>"pod schodiště "(2,944"m2"+3,153"m2"+6,437"m2"+5,874"m2")*1,0</t>
  </si>
  <si>
    <t>"Celkové množství "160.019000</t>
  </si>
  <si>
    <t>55</t>
  </si>
  <si>
    <t>45152</t>
  </si>
  <si>
    <t>PODKLADNÍ A VÝPLŇOVÉ VRSTVY Z KAMENIVA DRCENÉHO</t>
  </si>
  <si>
    <t>-158357569</t>
  </si>
  <si>
    <t>- vrstva štěrkopísku (okolo těsnící folie) za rubem opěr - 2*0,15m
- vrstva válcovaného štěrkopísku tl. 200 mm pod mostem</t>
  </si>
  <si>
    <t xml:space="preserve">"okolo těsnící folie </t>
  </si>
  <si>
    <t>B389</t>
  </si>
  <si>
    <t>"O1 "(4,49*12,1+4,23*16,1+1,0*2,65)*0,15*2</t>
  </si>
  <si>
    <t>C352</t>
  </si>
  <si>
    <t>"O4 "(4,12*12,1+4,02*16,1+1,0*3,15)*0,15*2</t>
  </si>
  <si>
    <t xml:space="preserve">"pod dlažbu </t>
  </si>
  <si>
    <t>E187</t>
  </si>
  <si>
    <t>"O1 "231,66"m2"*0,20</t>
  </si>
  <si>
    <t>F108</t>
  </si>
  <si>
    <t>"O4 "127,58"m2"*0,20</t>
  </si>
  <si>
    <t>"Celkové množství "144.690000</t>
  </si>
  <si>
    <t>56</t>
  </si>
  <si>
    <t>461314</t>
  </si>
  <si>
    <t>PATKY Z PROSTÉHO BETONU C25/30</t>
  </si>
  <si>
    <t>1934756640</t>
  </si>
  <si>
    <t>betonové prahy dlažby svahu</t>
  </si>
  <si>
    <t>A1007</t>
  </si>
  <si>
    <t>"u O4 "0,5*0,8*31,832</t>
  </si>
  <si>
    <t>"Celkové množství "12.733000</t>
  </si>
  <si>
    <t>57</t>
  </si>
  <si>
    <t>465512</t>
  </si>
  <si>
    <t>DLAŽBY Z LOMOVÉHO KAMENE NA MC</t>
  </si>
  <si>
    <t>-1189536253</t>
  </si>
  <si>
    <t>dlažba z lomového kamene tl. 200 mm</t>
  </si>
  <si>
    <t>B390</t>
  </si>
  <si>
    <t>"zádlažba u říms "((4,75*2,8+0,513*1,0)+3,9*2,2+(4,75*2,8+0,16*1,0))*0,20</t>
  </si>
  <si>
    <t>C353</t>
  </si>
  <si>
    <t>"svahové kužely "(1/4*3,14*5,5*6,8+7,357*4,0)*0,20</t>
  </si>
  <si>
    <t>D238</t>
  </si>
  <si>
    <t>"dlažba u křídel "8,75*0,5*0,20+6,8*1,8*0,20</t>
  </si>
  <si>
    <t>E188</t>
  </si>
  <si>
    <t>"dlažba pod mostem - (koef. svahu = 1,2) "219,863"m2"*1,2*0,20</t>
  </si>
  <si>
    <t>G61</t>
  </si>
  <si>
    <t>"zádlažba u říms "((4,75*2,8+0,2*1,0)+3,9*2,2+(4,75*2,8+0,2*1,0))*0,20</t>
  </si>
  <si>
    <t>H61</t>
  </si>
  <si>
    <t>"dlažba u křídel "(7,5+7,2)*0,5*0,20+(3,77+2,96)*1,2*0,20+2,96</t>
  </si>
  <si>
    <t>I62</t>
  </si>
  <si>
    <t>"dlažba pod mostem - (koef. svahu = 1,2) "419,315"m2"*1,2*0,20</t>
  </si>
  <si>
    <t>"Celkové množství "188.815000</t>
  </si>
  <si>
    <t>Komunikace</t>
  </si>
  <si>
    <t>58</t>
  </si>
  <si>
    <t>572214</t>
  </si>
  <si>
    <t>SPOJOVACÍ POSTŘIK Z MODIFIK EMULZE DO 0,5KG/M2</t>
  </si>
  <si>
    <t>-376549195</t>
  </si>
  <si>
    <t>PS-CP 0,35 kg/m2</t>
  </si>
  <si>
    <t>A1008</t>
  </si>
  <si>
    <t>"viz pol. 574J54 "2489,25</t>
  </si>
  <si>
    <t>"Celkové množství "2489.250000</t>
  </si>
  <si>
    <t>59</t>
  </si>
  <si>
    <t>574J54</t>
  </si>
  <si>
    <t>ASFALTOVÝ KOBEREC MASTIXOVÝ MODIFIK SMA 11S TL. 40MM</t>
  </si>
  <si>
    <t>-1603619889</t>
  </si>
  <si>
    <t>SMA 11S PmB  tl. 40 mm</t>
  </si>
  <si>
    <t>A1009</t>
  </si>
  <si>
    <t>"pravý most "11,75*110,50</t>
  </si>
  <si>
    <t>B391</t>
  </si>
  <si>
    <t>"levý most "11,75*110,50</t>
  </si>
  <si>
    <t>C354</t>
  </si>
  <si>
    <t>"odpočet odvodňovacího proužku "-0,5*107,50*2</t>
  </si>
  <si>
    <t>60</t>
  </si>
  <si>
    <t>575A01</t>
  </si>
  <si>
    <t>LITÝ ASFALT MA I (SILNICE, DÁLNICE) 8</t>
  </si>
  <si>
    <t>-2130391614</t>
  </si>
  <si>
    <t>odvodňovací proužek z litého asfaltu tl. 30 mm</t>
  </si>
  <si>
    <t>A1010</t>
  </si>
  <si>
    <t>0,5*107,50*2*0,030</t>
  </si>
  <si>
    <t>"Celkové množství "3.225000</t>
  </si>
  <si>
    <t>61</t>
  </si>
  <si>
    <t>575F53</t>
  </si>
  <si>
    <t>LITÝ ASFALT MA IV (OCHRANA MOSTNÍ IZOLACE) 11 TL. 40MM MODIFIK</t>
  </si>
  <si>
    <t>-1143996806</t>
  </si>
  <si>
    <t>MA 11 IV PmB tl. 40 mm</t>
  </si>
  <si>
    <t>A1011</t>
  </si>
  <si>
    <t>B392</t>
  </si>
  <si>
    <t>C355</t>
  </si>
  <si>
    <t>"přetažení na přechodovou desku "(0,75+1,0)*11,7*2*2</t>
  </si>
  <si>
    <t>D239</t>
  </si>
  <si>
    <t>"odpočet odvodňovacího proužku z polymerbetonu - pol. 21341 "-((1,16+0,25)/0,04+0,8*0,6*14)</t>
  </si>
  <si>
    <t>"Celkové množství "2636.680000</t>
  </si>
  <si>
    <t>62</t>
  </si>
  <si>
    <t>576411</t>
  </si>
  <si>
    <t>POSYP KAMENIVEM OBALOVANÝM 2KG/M2</t>
  </si>
  <si>
    <t>695857922</t>
  </si>
  <si>
    <t>posyp předobal. kamenivem frakce 2/4</t>
  </si>
  <si>
    <t>A1012</t>
  </si>
  <si>
    <t>63</t>
  </si>
  <si>
    <t>576413</t>
  </si>
  <si>
    <t>POSYP KAMENIVEM OBALOVANÝM 4KG/M2</t>
  </si>
  <si>
    <t>-327016168</t>
  </si>
  <si>
    <t>posyp předobal. drtí 4/8</t>
  </si>
  <si>
    <t>A1013</t>
  </si>
  <si>
    <t>"pol. 575F53 "2636,680</t>
  </si>
  <si>
    <t>Přidružená stavební výroba</t>
  </si>
  <si>
    <t>64</t>
  </si>
  <si>
    <t>711132</t>
  </si>
  <si>
    <t>IZOLACE BĚŽNÝCH KONSTRUKCÍ PROTI VOLNĚ STÉKAJÍCÍ VODĚ ASFALTOVÝMI PÁSY</t>
  </si>
  <si>
    <t>-746756153</t>
  </si>
  <si>
    <t>izolace rubu opěr a křídel</t>
  </si>
  <si>
    <t>B393</t>
  </si>
  <si>
    <t>"O1P "6,073*13,59</t>
  </si>
  <si>
    <t>C356</t>
  </si>
  <si>
    <t>"O1L "6,073*12,1</t>
  </si>
  <si>
    <t>G64</t>
  </si>
  <si>
    <t>"křídla "0,69*4,75+(0,3*5,0+(1,0+4,41)/2*5,0)+(5,185+5,301)/2*7,4+0,69*4,75+(0,3*5,07+(1,0+4,415)/2*5,0)</t>
  </si>
  <si>
    <t>D240</t>
  </si>
  <si>
    <t>"O4P "5,409*12,1</t>
  </si>
  <si>
    <t>E189</t>
  </si>
  <si>
    <t>"O4L "5,568*13,59</t>
  </si>
  <si>
    <t>F109</t>
  </si>
  <si>
    <t>"křídla "(4,378+4,564)/2*7,5+0,69*4,25+(0,3*4,313+(1,0+4,314)/2*5,154)+0,69*4,25+(0,3*4,5+(1,0+4,35)/2*5,195)</t>
  </si>
  <si>
    <t>"Celkové množství "442.202000</t>
  </si>
  <si>
    <t>65</t>
  </si>
  <si>
    <t>711442</t>
  </si>
  <si>
    <t>IZOLACE MOSTOVEK CELOPLOŠNÁ ASFALTOVÝMI PÁSY S PEČETÍCÍ VRSTVOU</t>
  </si>
  <si>
    <t>-168594721</t>
  </si>
  <si>
    <t>na nosné konstrukci</t>
  </si>
  <si>
    <t>A1014</t>
  </si>
  <si>
    <t>"NK "13,65*110,5*2</t>
  </si>
  <si>
    <t>B394</t>
  </si>
  <si>
    <t>"Celkové množství "3098.550000</t>
  </si>
  <si>
    <t>66</t>
  </si>
  <si>
    <t>711502</t>
  </si>
  <si>
    <t>OCHRANA IZOLACE NA POVRCHU ASFALTOVÝMI PÁSY</t>
  </si>
  <si>
    <t>996222432</t>
  </si>
  <si>
    <t>pod římsami - asfaltový pás s hliníkovou vložkou</t>
  </si>
  <si>
    <t>A1015</t>
  </si>
  <si>
    <t>"pravý most "(0,715+1,516)*110,50</t>
  </si>
  <si>
    <t>B395</t>
  </si>
  <si>
    <t>"levý most "(0,715+1,516)*110,50</t>
  </si>
  <si>
    <t>"Celkové množství "493.052000</t>
  </si>
  <si>
    <t>67</t>
  </si>
  <si>
    <t>711509</t>
  </si>
  <si>
    <t>OCHRANA IZOLACE NA POVRCHU TEXTILIÍ</t>
  </si>
  <si>
    <t>-1221846305</t>
  </si>
  <si>
    <t>ochrana izolace geotextilí
rub opěr a křídel</t>
  </si>
  <si>
    <t>B396</t>
  </si>
  <si>
    <t>C357</t>
  </si>
  <si>
    <t>G67</t>
  </si>
  <si>
    <t>D241</t>
  </si>
  <si>
    <t>E190</t>
  </si>
  <si>
    <t>F110</t>
  </si>
  <si>
    <t>68</t>
  </si>
  <si>
    <t>78382</t>
  </si>
  <si>
    <t>NÁTĚRY BETON KONSTR TYP S2 (OS-B)</t>
  </si>
  <si>
    <t>-1646865049</t>
  </si>
  <si>
    <t>hrana NK pod římsou</t>
  </si>
  <si>
    <t>A1016</t>
  </si>
  <si>
    <t>((0,3+0,3)*106,5*2+(0,55+0,3)*1,8*2*2)*2</t>
  </si>
  <si>
    <t>"Celkové množství "267.840000</t>
  </si>
  <si>
    <t>69</t>
  </si>
  <si>
    <t>78383</t>
  </si>
  <si>
    <t>NÁTĚRY BETON KONSTR TYP S4 (OS-C)</t>
  </si>
  <si>
    <t>1035076503</t>
  </si>
  <si>
    <t>Horní plocha římsy a hrana k vozovce</t>
  </si>
  <si>
    <t>A1017</t>
  </si>
  <si>
    <t>"pravý most "(0,15+0,15)*(123,95+120,655)</t>
  </si>
  <si>
    <t>B397</t>
  </si>
  <si>
    <t>"levý most "(0,15+0,15)*(124,0+120,655)</t>
  </si>
  <si>
    <t>"Celkové množství "146.779000</t>
  </si>
  <si>
    <t>Potrubí</t>
  </si>
  <si>
    <t>70</t>
  </si>
  <si>
    <t>84915</t>
  </si>
  <si>
    <t>POTRUBÍ ODPADNÍ MOSTNÍCH OBJEKTŮ ZE SKLOLAM TRUB DN DO 300MM</t>
  </si>
  <si>
    <t>2074273106</t>
  </si>
  <si>
    <t>podélný svod
vyústěno do přechodové oblasti průpichem skrz závěrnou zídku</t>
  </si>
  <si>
    <t>A1018</t>
  </si>
  <si>
    <t>118,505+118,492</t>
  </si>
  <si>
    <t>"Celkové množství "236.997000</t>
  </si>
  <si>
    <t>71</t>
  </si>
  <si>
    <t>87533</t>
  </si>
  <si>
    <t>POTRUBÍ DREN Z TRUB PLAST DN DO 150MM</t>
  </si>
  <si>
    <t>-220862273</t>
  </si>
  <si>
    <t>drenážní potrubí
vyústěno skrz křídlo</t>
  </si>
  <si>
    <t>A1019</t>
  </si>
  <si>
    <t>"O1 "21,445+28,23</t>
  </si>
  <si>
    <t>B398</t>
  </si>
  <si>
    <t>"O4 "33,92+12,9</t>
  </si>
  <si>
    <t>"Celkové množství "96.495000</t>
  </si>
  <si>
    <t>72</t>
  </si>
  <si>
    <t>87627</t>
  </si>
  <si>
    <t>CHRÁNIČKY Z TRUB PLASTOVÝCH DN DO 100MM</t>
  </si>
  <si>
    <t>1939641859</t>
  </si>
  <si>
    <t>chráničky ve vnitřních římsách</t>
  </si>
  <si>
    <t>A1020</t>
  </si>
  <si>
    <t>3*120,655*2</t>
  </si>
  <si>
    <t>"Celkové množství "723.930000</t>
  </si>
  <si>
    <t>73</t>
  </si>
  <si>
    <t>87634</t>
  </si>
  <si>
    <t>CHRÁNIČKY Z TRUB PLASTOVÝCH DN DO 200MM</t>
  </si>
  <si>
    <t>-2116688402</t>
  </si>
  <si>
    <t>prostup drenáže skrz křídla</t>
  </si>
  <si>
    <t>A1021</t>
  </si>
  <si>
    <t>0,8*2*2</t>
  </si>
  <si>
    <t>"Celkové množství "3.200000</t>
  </si>
  <si>
    <t>74</t>
  </si>
  <si>
    <t>87645</t>
  </si>
  <si>
    <t>CHRÁNIČKY Z TRUB PLASTOVÝCH DN DO 300MM</t>
  </si>
  <si>
    <t>-443483623</t>
  </si>
  <si>
    <t>prostup podélného svodu skrz závěrnou zídku</t>
  </si>
  <si>
    <t>A1022</t>
  </si>
  <si>
    <t>0,6*2</t>
  </si>
  <si>
    <t>"Celkové množství "1.200000</t>
  </si>
  <si>
    <t>75</t>
  </si>
  <si>
    <t>89536</t>
  </si>
  <si>
    <t>DRENÁŽNÍ VÝUSŤ Z PROST BETONU</t>
  </si>
  <si>
    <t>1364590182</t>
  </si>
  <si>
    <t>vyústění drenáže ve svahovém kuželu</t>
  </si>
  <si>
    <t>A1023</t>
  </si>
  <si>
    <t>"Celkové množství "3.000000</t>
  </si>
  <si>
    <t>Ostatní konstrukce a práce</t>
  </si>
  <si>
    <t>76</t>
  </si>
  <si>
    <t>9112A1R</t>
  </si>
  <si>
    <t>ZÁBRADLÍ MOSTNÍ S VODOR MADLY z kompozitu - DODÁVKA A MONTÁŽ</t>
  </si>
  <si>
    <t>-1914904944</t>
  </si>
  <si>
    <t>zábradlí z kompozitu
vč. kotevní</t>
  </si>
  <si>
    <t>A1024</t>
  </si>
  <si>
    <t>"O1L "1,65+5,0+9,5</t>
  </si>
  <si>
    <t>B399</t>
  </si>
  <si>
    <t>"O1P "1,65+1,13+4,28+11,26*2</t>
  </si>
  <si>
    <t>C358</t>
  </si>
  <si>
    <t>"gabionová zeď u O1 "54,3</t>
  </si>
  <si>
    <t>D242</t>
  </si>
  <si>
    <t>"O4L "1,6+5,69+24,95</t>
  </si>
  <si>
    <t>E191</t>
  </si>
  <si>
    <t>"O4P "1,6+5,715+24,877</t>
  </si>
  <si>
    <t>H77</t>
  </si>
  <si>
    <t>"gabionová zeď u O4 "5,5</t>
  </si>
  <si>
    <t>"Celkové množství "169.962000</t>
  </si>
  <si>
    <t>77</t>
  </si>
  <si>
    <t>9117C3</t>
  </si>
  <si>
    <t>SVOD OCEL ZÁBRADEL ÚROVEŇ ZADRŽ H2 - DEMONTÁŽ S PŘESUNEM</t>
  </si>
  <si>
    <t>93565938</t>
  </si>
  <si>
    <t>odstranění stávajícího svodidla na mostě</t>
  </si>
  <si>
    <t>A1025</t>
  </si>
  <si>
    <t>114,3+115,3</t>
  </si>
  <si>
    <t>"Celkové množství "229.600000</t>
  </si>
  <si>
    <t>78</t>
  </si>
  <si>
    <t>9117D1</t>
  </si>
  <si>
    <t>SVOD OCEL ZÁBRADEL ÚROVEŇ ZADRŽ H3 - DODÁVKA A MONTÁŽ</t>
  </si>
  <si>
    <t>1954231649</t>
  </si>
  <si>
    <t>zábradelní svodidlo H3 - na vnitřních římsách</t>
  </si>
  <si>
    <t xml:space="preserve">"vnitřní římsy </t>
  </si>
  <si>
    <t>B400</t>
  </si>
  <si>
    <t>"pravý most "123,95</t>
  </si>
  <si>
    <t>C359</t>
  </si>
  <si>
    <t>"levý most "124,0</t>
  </si>
  <si>
    <t xml:space="preserve">"vnější římsy </t>
  </si>
  <si>
    <t>E192</t>
  </si>
  <si>
    <t>"pravý most "120,655</t>
  </si>
  <si>
    <t>F111</t>
  </si>
  <si>
    <t>"levý most "120,655</t>
  </si>
  <si>
    <t>"Celkové množství "489.260000</t>
  </si>
  <si>
    <t>79</t>
  </si>
  <si>
    <t>91345</t>
  </si>
  <si>
    <t>NIVELAČNÍ ZNAČKY KOVOVÉ</t>
  </si>
  <si>
    <t>1525201699</t>
  </si>
  <si>
    <t>A1026</t>
  </si>
  <si>
    <t>"spodní stavba "(2*4)*2</t>
  </si>
  <si>
    <t>B401</t>
  </si>
  <si>
    <t>"římsy "(2*5)*2</t>
  </si>
  <si>
    <t>"Celkové množství "36.000000</t>
  </si>
  <si>
    <t>80</t>
  </si>
  <si>
    <t>91355</t>
  </si>
  <si>
    <t>EVIDENČNÍ ČÍSLO MOSTU</t>
  </si>
  <si>
    <t>-1642083289</t>
  </si>
  <si>
    <t>komplet</t>
  </si>
  <si>
    <t>A1027</t>
  </si>
  <si>
    <t>"na obou koncích mostu "2</t>
  </si>
  <si>
    <t>B402</t>
  </si>
  <si>
    <t>"na komunikaci pod mostem - oba směry "2</t>
  </si>
  <si>
    <t>81</t>
  </si>
  <si>
    <t>914123</t>
  </si>
  <si>
    <t>DOPRAVNÍ ZNAČKY ZÁKLADNÍ VELIKOSTI OCELOVÉ TŘ RA1 - DEMONTÁŽ</t>
  </si>
  <si>
    <t>-1465637701</t>
  </si>
  <si>
    <t>odstranění tab. s ev. č. mostu na stávajícím mostě
povinný odkup zhotovitelem</t>
  </si>
  <si>
    <t>A1028</t>
  </si>
  <si>
    <t>"Celkové množství "2.000000</t>
  </si>
  <si>
    <t>82</t>
  </si>
  <si>
    <t>917212</t>
  </si>
  <si>
    <t>ZÁHONOVÉ OBRUBY Z BETONOVÝCH OBRUBNÍKŮ ŠÍŘ 80MM</t>
  </si>
  <si>
    <t>611688147</t>
  </si>
  <si>
    <t>obruba okolo zádlažby a schodiště (vnitřní strana)</t>
  </si>
  <si>
    <t xml:space="preserve">"zádlažba (SDP) </t>
  </si>
  <si>
    <t>B403</t>
  </si>
  <si>
    <t>"O1 "2,2</t>
  </si>
  <si>
    <t>C360</t>
  </si>
  <si>
    <t>"O4 "2,2</t>
  </si>
  <si>
    <t xml:space="preserve">"schodiště </t>
  </si>
  <si>
    <t>E193</t>
  </si>
  <si>
    <t>"O1L "9,5</t>
  </si>
  <si>
    <t>F112</t>
  </si>
  <si>
    <t>"O1P "11,25</t>
  </si>
  <si>
    <t>G82</t>
  </si>
  <si>
    <t>"O4L "24,95</t>
  </si>
  <si>
    <t>H82</t>
  </si>
  <si>
    <t>"O4P "24,88</t>
  </si>
  <si>
    <t>"Celkové množství "74.980000</t>
  </si>
  <si>
    <t>83</t>
  </si>
  <si>
    <t>917224</t>
  </si>
  <si>
    <t>SILNIČNÍ A CHODNÍKOVÉ OBRUBY Z BETONOVÝCH OBRUBNÍKŮ ŠÍŘ 150MM</t>
  </si>
  <si>
    <t>-974066256</t>
  </si>
  <si>
    <t>A1029</t>
  </si>
  <si>
    <t>"pravý most "5,0*2+4,0*2</t>
  </si>
  <si>
    <t>B404</t>
  </si>
  <si>
    <t>"levý most "5,0*2+4,0*2</t>
  </si>
  <si>
    <t>84</t>
  </si>
  <si>
    <t>917225R</t>
  </si>
  <si>
    <t>SILNIČNÍ A CHODNÍKOVÉ OBRUBY Z BETONOVÝCH OBRUBNÍKŮ ŠÍŘ 250MM</t>
  </si>
  <si>
    <t>-1514233194</t>
  </si>
  <si>
    <t>obruby 250 mm okolo zádlažby a schodiště (vnější strana)</t>
  </si>
  <si>
    <t>A1030</t>
  </si>
  <si>
    <t>"O1L "3,2+5,5+9,5</t>
  </si>
  <si>
    <t>B405</t>
  </si>
  <si>
    <t>"O1P "3,4+1,25+4,275+11,25</t>
  </si>
  <si>
    <t>C361</t>
  </si>
  <si>
    <t>"O4L "2,8+5,81+24,95</t>
  </si>
  <si>
    <t>D243</t>
  </si>
  <si>
    <t>"O4P "2,8+5,0+24,88</t>
  </si>
  <si>
    <t>"Celkové množství "104.615000</t>
  </si>
  <si>
    <t>85</t>
  </si>
  <si>
    <t>931326.a</t>
  </si>
  <si>
    <t>TĚSNĚNÍ DILATAČ SPAR ASF ZÁLIVKOU MODIFIK PRŮŘ DO 800MM2</t>
  </si>
  <si>
    <t>464661991</t>
  </si>
  <si>
    <t>těsnění spáry ve spodní vrstvě podél římsy</t>
  </si>
  <si>
    <t>A1032</t>
  </si>
  <si>
    <t>"pravý most "123,95+120,655</t>
  </si>
  <si>
    <t>B407</t>
  </si>
  <si>
    <t>"levý most "124,0+120,655</t>
  </si>
  <si>
    <t>86</t>
  </si>
  <si>
    <t>931326.b</t>
  </si>
  <si>
    <t>1533984651</t>
  </si>
  <si>
    <t>s předtěsněním
podél říms</t>
  </si>
  <si>
    <t>A1031</t>
  </si>
  <si>
    <t>B406</t>
  </si>
  <si>
    <t>87</t>
  </si>
  <si>
    <t>93152</t>
  </si>
  <si>
    <t>MOSTNÍ ZÁVĚRY POVRCHOVÉ POSUN DO 100MM</t>
  </si>
  <si>
    <t>-1114194271</t>
  </si>
  <si>
    <t>A1033</t>
  </si>
  <si>
    <t>"pravý most "14,6*2</t>
  </si>
  <si>
    <t>B408</t>
  </si>
  <si>
    <t>"levý most "14,6*2</t>
  </si>
  <si>
    <t>"Celkové množství "58.400000</t>
  </si>
  <si>
    <t>88</t>
  </si>
  <si>
    <t>93261</t>
  </si>
  <si>
    <t>POCHOZÍ ROŠT Z KOMPOZITU - PŘEKRYTÍ ZRCADLA MOSTU</t>
  </si>
  <si>
    <t>-2114199997</t>
  </si>
  <si>
    <t>zakrytí zrcadla</t>
  </si>
  <si>
    <t>A1034</t>
  </si>
  <si>
    <t>"mimo opěry - kompozitní rošty "0,7*98,543</t>
  </si>
  <si>
    <t>B409</t>
  </si>
  <si>
    <t>"nad opěrami - kompozitní desky "0,7*(9,905+10,5)</t>
  </si>
  <si>
    <t>"Celkové množství "83.264000</t>
  </si>
  <si>
    <t>89</t>
  </si>
  <si>
    <t>93313</t>
  </si>
  <si>
    <t>ZATĚŽOVACÍ ZKOUŠKA MOSTU STATICKÁ 1. POLE DO 800M2</t>
  </si>
  <si>
    <t>-163700084</t>
  </si>
  <si>
    <t>zkouška 2. pole
na obou mostech</t>
  </si>
  <si>
    <t>A1035</t>
  </si>
  <si>
    <t>1*2</t>
  </si>
  <si>
    <t>90</t>
  </si>
  <si>
    <t>935212</t>
  </si>
  <si>
    <t>PŘÍKOPOVÉ ŽLABY Z BETON TVÁRNIC ŠÍŘ DO 600MM DO BETONU TL 100MM</t>
  </si>
  <si>
    <t>141364744</t>
  </si>
  <si>
    <t>betonové žlabovky za gabionovou zdí u O1</t>
  </si>
  <si>
    <t>A1036</t>
  </si>
  <si>
    <t>54,0+3,6+1,5</t>
  </si>
  <si>
    <t>"Celkové množství "59.100000</t>
  </si>
  <si>
    <t>91</t>
  </si>
  <si>
    <t>93639</t>
  </si>
  <si>
    <t>ZAÚSTĚNÍ SKLUZŮ (VČET DLAŽBY Z LOM KAMENE)</t>
  </si>
  <si>
    <t>792322616</t>
  </si>
  <si>
    <t>vývařiště
kompletní provedení
vč. zemních prací, obetonování, dlažby</t>
  </si>
  <si>
    <t>A1037</t>
  </si>
  <si>
    <t>92</t>
  </si>
  <si>
    <t>936532</t>
  </si>
  <si>
    <t>MOSTNÍ ODVODŇOVACÍ SOUPRAVA 300/500</t>
  </si>
  <si>
    <t>-1496030315</t>
  </si>
  <si>
    <t>A1038</t>
  </si>
  <si>
    <t>7*2</t>
  </si>
  <si>
    <t>"Celkové množství "14.000000</t>
  </si>
  <si>
    <t>93</t>
  </si>
  <si>
    <t>936541</t>
  </si>
  <si>
    <t>MOSTNÍ ODVODŇOVACÍ TRUBKA (POVRCHŮ IZOLACE) Z NEREZ OCELI</t>
  </si>
  <si>
    <t>42410371</t>
  </si>
  <si>
    <t>A1039</t>
  </si>
  <si>
    <t>13*2</t>
  </si>
  <si>
    <t>"Celkové množství "26.000000</t>
  </si>
  <si>
    <t>94</t>
  </si>
  <si>
    <t>96615</t>
  </si>
  <si>
    <t>BOURÁNÍ KONSTRUKCÍ Z PROSTÉHO BETONU</t>
  </si>
  <si>
    <t>1885952124</t>
  </si>
  <si>
    <t>odstranění mezerovitého betonu u stáv. mostu
vč. odvozu a uložení na skládku</t>
  </si>
  <si>
    <t>A1040</t>
  </si>
  <si>
    <t>(5,5+3,5)/2*2,7*12,0*2</t>
  </si>
  <si>
    <t>"Celkové množství "291.600000</t>
  </si>
  <si>
    <t>95</t>
  </si>
  <si>
    <t>96716</t>
  </si>
  <si>
    <t>VYBOURÁNÍ ČÁSTÍ KONSTRUKCÍ ŽELEZOBET</t>
  </si>
  <si>
    <t>661843015</t>
  </si>
  <si>
    <t>odstranění částí stávajícího mostu
vč. odvozu a uložení na skládku</t>
  </si>
  <si>
    <t xml:space="preserve">"spodní stavba </t>
  </si>
  <si>
    <t>B410</t>
  </si>
  <si>
    <t>"dříky opěr + ZZ "(2,3*4,13+0,35*2,0)*12,64+(2,2*2,88+0,35*2,0)*12,64</t>
  </si>
  <si>
    <t>C362</t>
  </si>
  <si>
    <t>"křídla "(0,8*3,3+(3,3+0,5)/2*1,89)*0,5*2+(0,8*3,3+(3,3+0,5)/2*2,0)*0,5*2</t>
  </si>
  <si>
    <t>D244</t>
  </si>
  <si>
    <t>"pilíře "3,14*1,0^2*(9,0*2+11,0*2+10,5*2)</t>
  </si>
  <si>
    <t xml:space="preserve">"NK </t>
  </si>
  <si>
    <t>F113</t>
  </si>
  <si>
    <t>"nosníky - plocha řezu nosníku cca 0,65 m2 "0,65*24,5*6*2+0,65*25,2*6*2</t>
  </si>
  <si>
    <t>G95</t>
  </si>
  <si>
    <t>"příčníky "1,8*1,35*12,0*5</t>
  </si>
  <si>
    <t>H95</t>
  </si>
  <si>
    <t>"deska "12,64*107,925*0,220</t>
  </si>
  <si>
    <t xml:space="preserve">"Římsy </t>
  </si>
  <si>
    <t>J95</t>
  </si>
  <si>
    <t>"mon. část "0,65*0,25*(115,3+114,3)</t>
  </si>
  <si>
    <t>K95</t>
  </si>
  <si>
    <t>"prefabrikáty "0,15*0,7*(115,3+114,3)</t>
  </si>
  <si>
    <t>96</t>
  </si>
  <si>
    <t>967852</t>
  </si>
  <si>
    <t>VYBOURÁNÍ MOST DILATAČ ZÁVĚRŮ POVRCHOVÝCH POSUN DO 100MM</t>
  </si>
  <si>
    <t>1627504048</t>
  </si>
  <si>
    <t>odstranění most. závěru na stávajícím mostě
vč. likvidace vzniklých odpadů (doprava, uložení, skládkovné)</t>
  </si>
  <si>
    <t>A1041</t>
  </si>
  <si>
    <t>13,1*2</t>
  </si>
  <si>
    <t>"Celkové množství "26.200000</t>
  </si>
  <si>
    <t>97</t>
  </si>
  <si>
    <t>967865</t>
  </si>
  <si>
    <t>VYBOURÁNÍ MOST LOŽISEK HRNCOVÝCH</t>
  </si>
  <si>
    <t>782704511</t>
  </si>
  <si>
    <t>odstranění ložisek na stávajícím mostě
vč. likvidace vzniklých odpadů (doprava, uložení, skládkovné)</t>
  </si>
  <si>
    <t>A1042</t>
  </si>
  <si>
    <t>"Celkové množství "10.000000</t>
  </si>
  <si>
    <t>98</t>
  </si>
  <si>
    <t>96787</t>
  </si>
  <si>
    <t>VYBOURÁNÍ MOSTNÍCH ODVODŇOVAČŮ</t>
  </si>
  <si>
    <t>-790148659</t>
  </si>
  <si>
    <t>odstranění odvodňovačů na stávajícím mostě
vč. likvidace vzniklých odpadů (doprava, uložení, skládkovné)</t>
  </si>
  <si>
    <t>A1043</t>
  </si>
  <si>
    <t>"Celkové množství "6.000000</t>
  </si>
  <si>
    <t>99</t>
  </si>
  <si>
    <t>97817</t>
  </si>
  <si>
    <t>ODSTRANĚNÍ MOSTNÍ IZOLACE</t>
  </si>
  <si>
    <t>-1020677599</t>
  </si>
  <si>
    <t>odstranění izolace na stávajícím mostě
vč. odvozu a uložení na skládku</t>
  </si>
  <si>
    <t>A1044</t>
  </si>
  <si>
    <t>12,64*107,925</t>
  </si>
  <si>
    <t>"Celkové množství "1364.172000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</si>
</sst>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%"/>
    <numFmt numFmtId="166" formatCode="#,##0.00000"/>
    <numFmt numFmtId="167" formatCode="#,##0.000"/>
  </numFmts>
  <fonts count="24" x14ac:knownFonts="1">
    <font>
      <sz val="8"/>
      <name val="Arial CE"/>
      <family val="2"/>
    </font>
    <font>
      <sz val="8"/>
      <color rgb="FF3366FF"/>
      <name val="Arial CE"/>
      <family val="2"/>
      <charset val="238"/>
    </font>
    <font>
      <sz val="8"/>
      <color rgb="FF000000"/>
      <name val="Arial CE"/>
      <family val="2"/>
      <charset val="238"/>
    </font>
    <font>
      <b/>
      <sz val="14"/>
      <name val="Arial CE"/>
      <family val="2"/>
      <charset val="238"/>
    </font>
    <font>
      <sz val="10"/>
      <color rgb="FF3366FF"/>
      <name val="Arial CE"/>
      <family val="2"/>
      <charset val="238"/>
    </font>
    <font>
      <sz val="10"/>
      <color rgb="FF969696"/>
      <name val="Arial CE"/>
      <family val="2"/>
      <charset val="238"/>
    </font>
    <font>
      <b/>
      <sz val="11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b/>
      <sz val="12"/>
      <color rgb="FF960000"/>
      <name val="Arial CE"/>
      <family val="2"/>
      <charset val="238"/>
    </font>
    <font>
      <sz val="8"/>
      <color rgb="FF969696"/>
      <name val="Arial CE"/>
      <family val="2"/>
      <charset val="238"/>
    </font>
    <font>
      <b/>
      <sz val="12"/>
      <name val="Arial CE"/>
      <family val="2"/>
      <charset val="238"/>
    </font>
    <font>
      <b/>
      <sz val="10"/>
      <color rgb="FF464646"/>
      <name val="Arial CE"/>
      <family val="2"/>
      <charset val="238"/>
    </font>
    <font>
      <sz val="9"/>
      <name val="Arial CE"/>
      <family val="2"/>
      <charset val="238"/>
    </font>
    <font>
      <b/>
      <sz val="12"/>
      <color rgb="FF800000"/>
      <name val="Arial CE"/>
      <family val="2"/>
      <charset val="238"/>
    </font>
    <font>
      <sz val="12"/>
      <color rgb="FF003366"/>
      <name val="Arial CE"/>
      <family val="2"/>
      <charset val="238"/>
    </font>
    <font>
      <sz val="9"/>
      <color rgb="FF969696"/>
      <name val="Arial CE"/>
      <family val="2"/>
      <charset val="238"/>
    </font>
    <font>
      <sz val="8"/>
      <color rgb="FF960000"/>
      <name val="Arial CE"/>
      <family val="2"/>
      <charset val="238"/>
    </font>
    <font>
      <b/>
      <sz val="8"/>
      <name val="Arial CE"/>
      <family val="2"/>
      <charset val="238"/>
    </font>
    <font>
      <sz val="8"/>
      <color rgb="FF003366"/>
      <name val="Arial CE"/>
      <family val="2"/>
      <charset val="238"/>
    </font>
    <font>
      <sz val="7"/>
      <color rgb="FF969696"/>
      <name val="Arial CE"/>
      <family val="2"/>
      <charset val="238"/>
    </font>
    <font>
      <sz val="7"/>
      <name val="Arial CE"/>
      <family val="2"/>
      <charset val="238"/>
    </font>
    <font>
      <sz val="8"/>
      <color rgb="FF505050"/>
      <name val="Arial CE"/>
      <family val="2"/>
      <charset val="238"/>
    </font>
    <font>
      <sz val="8"/>
      <color rgb="FF800080"/>
      <name val="Arial CE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969696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8" fillId="0" borderId="0" xfId="0" applyFont="1" applyAlignment="1">
      <alignment horizontal="left" vertical="center"/>
    </xf>
    <xf numFmtId="4" fontId="9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right" vertical="center"/>
    </xf>
    <xf numFmtId="0" fontId="0" fillId="3" borderId="0" xfId="0" applyFill="1" applyAlignment="1">
      <alignment vertical="center"/>
    </xf>
    <xf numFmtId="0" fontId="11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vertical="center"/>
    </xf>
    <xf numFmtId="0" fontId="11" fillId="3" borderId="6" xfId="0" applyFont="1" applyFill="1" applyBorder="1" applyAlignment="1">
      <alignment horizontal="right" vertical="center"/>
    </xf>
    <xf numFmtId="0" fontId="11" fillId="3" borderId="6" xfId="0" applyFont="1" applyFill="1" applyBorder="1" applyAlignment="1">
      <alignment horizontal="center" vertical="center"/>
    </xf>
    <xf numFmtId="4" fontId="11" fillId="3" borderId="6" xfId="0" applyNumberFormat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2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4" fontId="15" fillId="0" borderId="12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4" fontId="9" fillId="0" borderId="0" xfId="0" applyNumberFormat="1" applyFont="1"/>
    <xf numFmtId="0" fontId="0" fillId="0" borderId="16" xfId="0" applyBorder="1" applyAlignment="1">
      <alignment vertical="center"/>
    </xf>
    <xf numFmtId="166" fontId="17" fillId="0" borderId="4" xfId="0" applyNumberFormat="1" applyFont="1" applyBorder="1"/>
    <xf numFmtId="166" fontId="17" fillId="0" borderId="17" xfId="0" applyNumberFormat="1" applyFont="1" applyBorder="1"/>
    <xf numFmtId="4" fontId="18" fillId="0" borderId="0" xfId="0" applyNumberFormat="1" applyFont="1" applyAlignment="1">
      <alignment vertical="center"/>
    </xf>
    <xf numFmtId="0" fontId="19" fillId="0" borderId="3" xfId="0" applyFont="1" applyBorder="1"/>
    <xf numFmtId="0" fontId="19" fillId="0" borderId="0" xfId="0" applyFont="1"/>
    <xf numFmtId="0" fontId="19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4" fontId="15" fillId="0" borderId="0" xfId="0" applyNumberFormat="1" applyFont="1"/>
    <xf numFmtId="0" fontId="19" fillId="0" borderId="18" xfId="0" applyFont="1" applyBorder="1"/>
    <xf numFmtId="166" fontId="19" fillId="0" borderId="0" xfId="0" applyNumberFormat="1" applyFont="1"/>
    <xf numFmtId="166" fontId="19" fillId="0" borderId="19" xfId="0" applyNumberFormat="1" applyFont="1" applyBorder="1"/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vertical="center"/>
    </xf>
    <xf numFmtId="0" fontId="0" fillId="0" borderId="3" xfId="0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49" fontId="13" fillId="0" borderId="20" xfId="0" applyNumberFormat="1" applyFont="1" applyBorder="1" applyAlignment="1" applyProtection="1">
      <alignment horizontal="left" vertical="center" wrapText="1"/>
      <protection locked="0"/>
    </xf>
    <xf numFmtId="0" fontId="13" fillId="0" borderId="20" xfId="0" applyFont="1" applyBorder="1" applyAlignment="1" applyProtection="1">
      <alignment horizontal="left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167" fontId="13" fillId="0" borderId="20" xfId="0" applyNumberFormat="1" applyFont="1" applyBorder="1" applyAlignment="1" applyProtection="1">
      <alignment vertical="center"/>
      <protection locked="0"/>
    </xf>
    <xf numFmtId="4" fontId="13" fillId="0" borderId="20" xfId="0" applyNumberFormat="1" applyFont="1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16" fillId="0" borderId="18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166" fontId="16" fillId="0" borderId="19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4" fontId="0" fillId="0" borderId="0" xfId="0" applyNumberForma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167" fontId="22" fillId="0" borderId="0" xfId="0" applyNumberFormat="1" applyFont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23" fillId="0" borderId="18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22" xfId="0" applyFont="1" applyBorder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.urs.cz/products/kros4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164465</xdr:colOff>
      <xdr:row>3</xdr:row>
      <xdr:rowOff>0</xdr:rowOff>
    </xdr:from>
    <xdr:to>
      <xdr:col>9</xdr:col>
      <xdr:colOff>1214755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5B281-16EF-4111-AC25-0DDCF790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2905" y="594360"/>
          <a:ext cx="1027430" cy="0"/>
        </a:xfrm>
        <a:prstGeom prst="rect">
          <a:avLst/>
        </a:prstGeom>
      </xdr:spPr>
    </xdr:pic>
    <xdr:clientData/>
  </xdr:twoCellAnchor>
  <xdr:twoCellAnchor>
    <xdr:from>
      <xdr:col>9</xdr:col>
      <xdr:colOff>164465</xdr:colOff>
      <xdr:row>111</xdr:row>
      <xdr:rowOff>0</xdr:rowOff>
    </xdr:from>
    <xdr:to>
      <xdr:col>9</xdr:col>
      <xdr:colOff>1214755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DB469F-2308-4F56-A392-904A62903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2905" y="678180"/>
          <a:ext cx="1027430" cy="754380"/>
        </a:xfrm>
        <a:prstGeom prst="rect">
          <a:avLst/>
        </a:prstGeom>
      </xdr:spPr>
    </xdr:pic>
    <xdr:clientData/>
  </xdr:twoCellAnchor>
  <xdr:absoluteAnchor>
    <xdr:pos x="0" y="0"/>
    <xdr:ext cx="285750" cy="285750"/>
    <xdr:pic>
      <xdr:nvPicPr>
        <xdr:cNvPr id="4" name="Picture 3">
          <a:hlinkClick xmlns:r="http://schemas.openxmlformats.org/officeDocument/2006/relationships" r:id="rId2" tooltip="https://app.urs.cz/products/kros4"/>
          <a:extLst>
            <a:ext uri="{FF2B5EF4-FFF2-40B4-BE49-F238E27FC236}">
              <a16:creationId xmlns:a16="http://schemas.microsoft.com/office/drawing/2014/main" id="{7D5A627B-F152-4544-8E5E-7E51B4A7BF45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picz008\B_Bohemia\Vyroba\DZMS\Kalkulace\2026\027-26-DZMS%20-%20D6%20Ol&#353;ov&#225;%20Vrata%20-%20&#381;almanov\D%20Subdodavatel&#233;\D6%20Ol&#353;ov&#225;%20Vrata%20-%20&#381;almanov%20-%20bez%20cen.xlsx" TargetMode="External"/><Relationship Id="rId1" Type="http://schemas.openxmlformats.org/officeDocument/2006/relationships/externalLinkPath" Target="file:///\\spicz008\B_Bohemia\Vyroba\DZMS\Kalkulace\2026\027-26-DZMS%20-%20D6%20Ol&#353;ov&#225;%20Vrata%20-%20&#381;almanov\D%20Subdodavatel&#233;\D6%20Ol&#353;ov&#225;%20Vrata%20-%20&#381;almanov%20-%20bez%20c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ce stavby"/>
      <sheetName val="CETIN 461 - Přeložka sděl..."/>
      <sheetName val="CETIN 462 - Přeložka sděl..."/>
      <sheetName val="CETIN 463 - Přeložka sděl..."/>
      <sheetName val="CETIN 464 - Přeložka sděl..."/>
      <sheetName val="SO 000 - Vedlejší a ostat..."/>
      <sheetName val="SO 001 - Demolice stávají..."/>
      <sheetName val="SO 002 - Demolice stávají..."/>
      <sheetName val="SO 003 - Demolice mostu v..."/>
      <sheetName val="SO 004 - Demolice podchod..."/>
      <sheetName val="SO 005 - Demolice RD čp. ..."/>
      <sheetName val="SO 101 - Dálnice D6"/>
      <sheetName val="SO 101.1 - Úprava na úsek..."/>
      <sheetName val="SO 110 - MUK Žalmanov km ..."/>
      <sheetName val="SO 120 - Silnice II-606 H..."/>
      <sheetName val="SO 121 - Silnice II-606 Ž..."/>
      <sheetName val="SO 122 - Přeložka sil.III..."/>
      <sheetName val="SO 124 - Připojení MUK Ža..."/>
      <sheetName val="SO 125 - Propojení MK a S..."/>
      <sheetName val="SO 126 - MK Andělská Hora..."/>
      <sheetName val="SO 126.1 - Úprava na úsek..."/>
      <sheetName val="SO 127 - Propojení sil. I..."/>
      <sheetName val="SO 128 - Úprava sil. III-..."/>
      <sheetName val="SO 129 - Úprava sil. III-..."/>
      <sheetName val="SO 134 - Chodníky Andělsk..."/>
      <sheetName val="SO 140 - Sjezd k ORL 2"/>
      <sheetName val="SO 141 - Sjezd k ORL 3"/>
      <sheetName val="SO 142 - Sjezd k ORL 4"/>
      <sheetName val="SO 143 - Sjezd k ORL 5"/>
      <sheetName val="SO 144 - Sjezd k ORL 6"/>
      <sheetName val="SO 145 - Sjezd k RN2"/>
      <sheetName val="SO 146 - Sjezd k RN3"/>
      <sheetName val="SO 151 - Polní cesta podé..."/>
      <sheetName val="SO 171 - Provizorní napoj..."/>
      <sheetName val="SO 172 - Provizorní napoj..."/>
      <sheetName val="SO 173 - Provizorní napoj..."/>
      <sheetName val="SO 180 - Přechodné doprav..."/>
      <sheetName val="SO 190.1 - Pevné svislé a..."/>
      <sheetName val="SO 190.2 - Portály doprav..."/>
      <sheetName val="SO 190.3 - Proměnné dopra..."/>
      <sheetName val="SO 193 - Dopravní značení..."/>
      <sheetName val="SO 194 - Dopravní značení MK"/>
      <sheetName val="SO 202 - Most na D6 přes ..."/>
      <sheetName val="SO 204 - Most na D6 přes ..."/>
      <sheetName val="SO 206 - Most na D6 v km ..."/>
      <sheetName val="SO 207 - Most na D6 přes ..."/>
      <sheetName val="SO 220 - Most na biokorid..."/>
      <sheetName val="SO 221 - Most přes D6 v k..."/>
      <sheetName val="SO 222 - Lávka pro pěší p..."/>
      <sheetName val="SO 250 - Zárubní zeď v km..."/>
      <sheetName val="SO 301 - Středová kanaliz..."/>
      <sheetName val="SO 302 - Středová kanaliz..."/>
      <sheetName val="SO 303 - Středová kanaliz..."/>
      <sheetName val="SO 304 - Středová kanaliz..."/>
      <sheetName val="SO 305 - Středová kanaliz..."/>
      <sheetName val="SO 306 - Středová kanaliz..."/>
      <sheetName val="SO 320 - Úprava Lomnickéh..."/>
      <sheetName val="SO 321 - Přeložka Žalmano..."/>
      <sheetName val="SO 322 - Úprava vodotečí ..."/>
      <sheetName val="SO 323 - Úprava trubního ..."/>
      <sheetName val="SO 330 - Přeložka splaško..."/>
      <sheetName val="SO 340 - Přeložka vodovod..."/>
      <sheetName val="SO 341 - Přeložka vodovod..."/>
      <sheetName val="SO 362 - ORL 2 v km 1,430"/>
      <sheetName val="SO 363 - ORL 3 v km 1,700"/>
      <sheetName val="SO 364 - ORL 4 v km 3,900"/>
      <sheetName val="SO 365 - ORL 5 v km 4,100"/>
      <sheetName val="SO 366 - ORL 6 v KÚ"/>
      <sheetName val="SO 371 - Retenční nádrž R..."/>
      <sheetName val="SO 372 - Retenční nádrž R..."/>
      <sheetName val="SO 373 - Retenční nádrž R..."/>
      <sheetName val="SO 374 - Retenční nádrž R..."/>
      <sheetName val="SO 375 - Retenční nádrž R..."/>
      <sheetName val="SO 380 - Úprava meliorací..."/>
      <sheetName val="SO 381 - Úprava meliorací..."/>
      <sheetName val="SO 382 - Úprava meliorací..."/>
      <sheetName val="SO 383 - Úprava meliorací..."/>
      <sheetName val="SO 384 - Úprava meliorací..."/>
      <sheetName val="SO 390 - Úprava melioračn..."/>
      <sheetName val="SO 391 - Úprava melioračn..."/>
      <sheetName val="SO 392 - Úprava melioračn..."/>
      <sheetName val="SO 393 - Úprava melioračn..."/>
      <sheetName val="SO 394 - Úprava melioračn..."/>
      <sheetName val="SO 395 - Úprava melioračn..."/>
      <sheetName val="SO 396 - Úprava melioračn..."/>
      <sheetName val="SO 397 - Úprava melioračn..."/>
      <sheetName val="SO 432 - Přeložka VO Andě..."/>
      <sheetName val="SO 434 - Přeložka VO Horn..."/>
      <sheetName val="SO 490 - Přípojka vedení ..."/>
      <sheetName val="SO 491.1 - Kabelové vedení"/>
      <sheetName val="SO 491.2 - Šachty a prostupy"/>
      <sheetName val="SO 491.3 - Trubky pro opt..."/>
      <sheetName val="SO 491.4 - Optické kabely..."/>
      <sheetName val="SO 492.1 - Hlásky SOS"/>
      <sheetName val="SO 492.2 - Meteostanice"/>
      <sheetName val="SO 492.3 - Automatické sč..."/>
      <sheetName val="SO 492.4 - Kamerový dohled"/>
      <sheetName val="SO 492.5 - Dálniční infor..."/>
      <sheetName val="SO 760 - Protihluková zeď..."/>
      <sheetName val="SO 761 - Protihluková zeď..."/>
      <sheetName val="SO 762 - Protihluková zeď..."/>
      <sheetName val="SO 763 - Protihluková zeď..."/>
      <sheetName val="SO 766 - Clonící zeď v km..."/>
      <sheetName val="SO 801.1 - Vegetační úpra..."/>
      <sheetName val="SO 801.2 - Vegetační úpra..."/>
      <sheetName val="SO 801.3 - Náhradní výsad..."/>
      <sheetName val="SO 801.4 - Náhradní výsad..."/>
      <sheetName val="SO 810 - Příprava území"/>
      <sheetName val="SO 810.1 - Odstranění pro..."/>
      <sheetName val="SO 830 - Rekultivace opuš..."/>
      <sheetName val="SO 830.1 - Rekultivace si..."/>
      <sheetName val="SO 831 - Rekultivace doča..."/>
      <sheetName val="SO 860 - Oplocení dálnice D6"/>
      <sheetName val="SO 860.1 - Palisády na mo..."/>
      <sheetName val="SO 107 - Komunikace"/>
      <sheetName val="SO 182 190 193 - Dopravní..."/>
      <sheetName val="SO 430 431 492 - Elektro ..."/>
      <sheetName val="SO 701 - Buňky"/>
      <sheetName val="SO 702 - Silo"/>
      <sheetName val="SO 703 - Nádrž na solanku"/>
      <sheetName val="SO 801 - Vegetační úpravy"/>
      <sheetName val="SO 860 - Oplocení"/>
      <sheetName val="SO 120 - Přeložka sil. II..."/>
      <sheetName val="SO 151 - Polní cesty – př..."/>
      <sheetName val="SO 171 - Provizorní komun..."/>
      <sheetName val="SO 182 - Přechodné doprav..."/>
      <sheetName val="SO 193.1 - Svislé a vodor..."/>
      <sheetName val="SO 450 - Přeložka vedení ..."/>
      <sheetName val="SO 765 - Clonící zeď v km..."/>
      <sheetName val="SO 810 - Příprava území a..."/>
      <sheetName val="SO 811 - Kácení zeleně"/>
      <sheetName val="Seznam figur"/>
    </sheetNames>
    <sheetDataSet>
      <sheetData sheetId="0">
        <row r="6">
          <cell r="K6" t="str">
            <v>D6 Olšová Vrata - Žalmanov - bez cen</v>
          </cell>
        </row>
        <row r="8">
          <cell r="AN8" t="str">
            <v>14. 4. 2026</v>
          </cell>
        </row>
        <row r="13">
          <cell r="AN13" t="str">
            <v/>
          </cell>
        </row>
        <row r="14">
          <cell r="E14" t="str">
            <v xml:space="preserve"> </v>
          </cell>
          <cell r="AN14" t="str">
            <v/>
          </cell>
        </row>
        <row r="19">
          <cell r="AN19" t="str">
            <v/>
          </cell>
        </row>
        <row r="20">
          <cell r="E20" t="str">
            <v xml:space="preserve"> </v>
          </cell>
          <cell r="AN20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5D9F-4738-4A4C-9FAC-2710AA714DB0}">
  <sheetPr>
    <pageSetUpPr fitToPage="1"/>
  </sheetPr>
  <dimension ref="B2:BM709"/>
  <sheetViews>
    <sheetView showGridLines="0" tabSelected="1" workbookViewId="0">
      <selection activeCell="C2" sqref="C2"/>
    </sheetView>
  </sheetViews>
  <sheetFormatPr defaultRowHeight="10.199999999999999" x14ac:dyDescent="0.2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0" width="22.28515625" customWidth="1"/>
    <col min="11" max="11" width="22.28515625" hidden="1" customWidth="1"/>
    <col min="12" max="12" width="9.28515625" customWidth="1"/>
    <col min="13" max="13" width="10.85546875" hidden="1" customWidth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</cols>
  <sheetData>
    <row r="2" spans="2:56" ht="36.9" customHeight="1" x14ac:dyDescent="0.2">
      <c r="L2" s="1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AT2" s="3" t="s">
        <v>1</v>
      </c>
      <c r="AZ2" s="4" t="s">
        <v>2</v>
      </c>
      <c r="BA2" s="4" t="s">
        <v>2</v>
      </c>
      <c r="BB2" s="4" t="s">
        <v>3</v>
      </c>
      <c r="BC2" s="4" t="s">
        <v>4</v>
      </c>
      <c r="BD2" s="4" t="s">
        <v>5</v>
      </c>
    </row>
    <row r="3" spans="2:56" ht="6.9" hidden="1" customHeight="1" x14ac:dyDescent="0.2">
      <c r="B3" s="5"/>
      <c r="C3" s="6"/>
      <c r="D3" s="6"/>
      <c r="E3" s="6"/>
      <c r="F3" s="6"/>
      <c r="G3" s="6"/>
      <c r="H3" s="6"/>
      <c r="I3" s="6"/>
      <c r="J3" s="6"/>
      <c r="K3" s="6"/>
      <c r="L3" s="7"/>
      <c r="AT3" s="3" t="s">
        <v>6</v>
      </c>
    </row>
    <row r="4" spans="2:56" ht="24.9" hidden="1" customHeight="1" x14ac:dyDescent="0.2">
      <c r="B4" s="7"/>
      <c r="D4" s="8" t="s">
        <v>7</v>
      </c>
      <c r="L4" s="7"/>
      <c r="M4" s="9" t="s">
        <v>8</v>
      </c>
      <c r="AT4" s="3" t="s">
        <v>9</v>
      </c>
    </row>
    <row r="5" spans="2:56" ht="6.9" hidden="1" customHeight="1" x14ac:dyDescent="0.2">
      <c r="B5" s="7"/>
      <c r="L5" s="7"/>
    </row>
    <row r="6" spans="2:56" ht="12" hidden="1" customHeight="1" x14ac:dyDescent="0.2">
      <c r="B6" s="7"/>
      <c r="D6" s="10" t="s">
        <v>10</v>
      </c>
      <c r="L6" s="7"/>
    </row>
    <row r="7" spans="2:56" ht="16.5" hidden="1" customHeight="1" x14ac:dyDescent="0.2">
      <c r="B7" s="7"/>
      <c r="E7" s="11" t="str">
        <f>'[1]Rekapitulace stavby'!K6</f>
        <v>D6 Olšová Vrata - Žalmanov - bez cen</v>
      </c>
      <c r="F7" s="12"/>
      <c r="G7" s="12"/>
      <c r="H7" s="12"/>
      <c r="L7" s="7"/>
    </row>
    <row r="8" spans="2:56" s="14" customFormat="1" ht="12" hidden="1" customHeight="1" x14ac:dyDescent="0.2">
      <c r="B8" s="13"/>
      <c r="D8" s="10" t="s">
        <v>11</v>
      </c>
      <c r="L8" s="13"/>
    </row>
    <row r="9" spans="2:56" s="14" customFormat="1" ht="30" hidden="1" customHeight="1" x14ac:dyDescent="0.2">
      <c r="B9" s="13"/>
      <c r="E9" s="15" t="s">
        <v>12</v>
      </c>
      <c r="F9" s="16"/>
      <c r="G9" s="16"/>
      <c r="H9" s="16"/>
      <c r="L9" s="13"/>
    </row>
    <row r="10" spans="2:56" s="14" customFormat="1" hidden="1" x14ac:dyDescent="0.2">
      <c r="B10" s="13"/>
      <c r="L10" s="13"/>
    </row>
    <row r="11" spans="2:56" s="14" customFormat="1" ht="12" hidden="1" customHeight="1" x14ac:dyDescent="0.2">
      <c r="B11" s="13"/>
      <c r="D11" s="10" t="s">
        <v>13</v>
      </c>
      <c r="F11" s="17" t="s">
        <v>3</v>
      </c>
      <c r="I11" s="10" t="s">
        <v>14</v>
      </c>
      <c r="J11" s="17" t="s">
        <v>3</v>
      </c>
      <c r="L11" s="13"/>
    </row>
    <row r="12" spans="2:56" s="14" customFormat="1" ht="12" hidden="1" customHeight="1" x14ac:dyDescent="0.2">
      <c r="B12" s="13"/>
      <c r="D12" s="10" t="s">
        <v>15</v>
      </c>
      <c r="F12" s="17" t="s">
        <v>16</v>
      </c>
      <c r="I12" s="10" t="s">
        <v>17</v>
      </c>
      <c r="J12" s="18" t="str">
        <f>'[1]Rekapitulace stavby'!AN8</f>
        <v>14. 4. 2026</v>
      </c>
      <c r="L12" s="13"/>
    </row>
    <row r="13" spans="2:56" s="14" customFormat="1" ht="10.95" hidden="1" customHeight="1" x14ac:dyDescent="0.2">
      <c r="B13" s="13"/>
      <c r="L13" s="13"/>
    </row>
    <row r="14" spans="2:56" s="14" customFormat="1" ht="12" hidden="1" customHeight="1" x14ac:dyDescent="0.2">
      <c r="B14" s="13"/>
      <c r="D14" s="10" t="s">
        <v>18</v>
      </c>
      <c r="I14" s="10" t="s">
        <v>19</v>
      </c>
      <c r="J14" s="17" t="s">
        <v>20</v>
      </c>
      <c r="L14" s="13"/>
    </row>
    <row r="15" spans="2:56" s="14" customFormat="1" ht="18" hidden="1" customHeight="1" x14ac:dyDescent="0.2">
      <c r="B15" s="13"/>
      <c r="E15" s="17" t="s">
        <v>21</v>
      </c>
      <c r="I15" s="10" t="s">
        <v>22</v>
      </c>
      <c r="J15" s="17" t="s">
        <v>23</v>
      </c>
      <c r="L15" s="13"/>
    </row>
    <row r="16" spans="2:56" s="14" customFormat="1" ht="6.9" hidden="1" customHeight="1" x14ac:dyDescent="0.2">
      <c r="B16" s="13"/>
      <c r="L16" s="13"/>
    </row>
    <row r="17" spans="2:12" s="14" customFormat="1" ht="12" hidden="1" customHeight="1" x14ac:dyDescent="0.2">
      <c r="B17" s="13"/>
      <c r="D17" s="10" t="s">
        <v>24</v>
      </c>
      <c r="I17" s="10" t="s">
        <v>19</v>
      </c>
      <c r="J17" s="17" t="str">
        <f>'[1]Rekapitulace stavby'!AN13</f>
        <v/>
      </c>
      <c r="L17" s="13"/>
    </row>
    <row r="18" spans="2:12" s="14" customFormat="1" ht="18" hidden="1" customHeight="1" x14ac:dyDescent="0.2">
      <c r="B18" s="13"/>
      <c r="E18" s="19" t="str">
        <f>'[1]Rekapitulace stavby'!E14</f>
        <v xml:space="preserve"> </v>
      </c>
      <c r="F18" s="19"/>
      <c r="G18" s="19"/>
      <c r="H18" s="19"/>
      <c r="I18" s="10" t="s">
        <v>22</v>
      </c>
      <c r="J18" s="17" t="str">
        <f>'[1]Rekapitulace stavby'!AN14</f>
        <v/>
      </c>
      <c r="L18" s="13"/>
    </row>
    <row r="19" spans="2:12" s="14" customFormat="1" ht="6.9" hidden="1" customHeight="1" x14ac:dyDescent="0.2">
      <c r="B19" s="13"/>
      <c r="L19" s="13"/>
    </row>
    <row r="20" spans="2:12" s="14" customFormat="1" ht="12" hidden="1" customHeight="1" x14ac:dyDescent="0.2">
      <c r="B20" s="13"/>
      <c r="D20" s="10" t="s">
        <v>25</v>
      </c>
      <c r="I20" s="10" t="s">
        <v>19</v>
      </c>
      <c r="J20" s="17" t="s">
        <v>26</v>
      </c>
      <c r="L20" s="13"/>
    </row>
    <row r="21" spans="2:12" s="14" customFormat="1" ht="18" hidden="1" customHeight="1" x14ac:dyDescent="0.2">
      <c r="B21" s="13"/>
      <c r="E21" s="17" t="s">
        <v>27</v>
      </c>
      <c r="I21" s="10" t="s">
        <v>22</v>
      </c>
      <c r="J21" s="17" t="s">
        <v>28</v>
      </c>
      <c r="L21" s="13"/>
    </row>
    <row r="22" spans="2:12" s="14" customFormat="1" ht="6.9" hidden="1" customHeight="1" x14ac:dyDescent="0.2">
      <c r="B22" s="13"/>
      <c r="L22" s="13"/>
    </row>
    <row r="23" spans="2:12" s="14" customFormat="1" ht="12" hidden="1" customHeight="1" x14ac:dyDescent="0.2">
      <c r="B23" s="13"/>
      <c r="D23" s="10" t="s">
        <v>29</v>
      </c>
      <c r="I23" s="10" t="s">
        <v>19</v>
      </c>
      <c r="J23" s="17" t="str">
        <f>IF('[1]Rekapitulace stavby'!AN19="","",'[1]Rekapitulace stavby'!AN19)</f>
        <v/>
      </c>
      <c r="L23" s="13"/>
    </row>
    <row r="24" spans="2:12" s="14" customFormat="1" ht="18" hidden="1" customHeight="1" x14ac:dyDescent="0.2">
      <c r="B24" s="13"/>
      <c r="E24" s="17" t="str">
        <f>IF('[1]Rekapitulace stavby'!E20="","",'[1]Rekapitulace stavby'!E20)</f>
        <v xml:space="preserve"> </v>
      </c>
      <c r="I24" s="10" t="s">
        <v>22</v>
      </c>
      <c r="J24" s="17" t="str">
        <f>IF('[1]Rekapitulace stavby'!AN20="","",'[1]Rekapitulace stavby'!AN20)</f>
        <v/>
      </c>
      <c r="L24" s="13"/>
    </row>
    <row r="25" spans="2:12" s="14" customFormat="1" ht="6.9" hidden="1" customHeight="1" x14ac:dyDescent="0.2">
      <c r="B25" s="13"/>
      <c r="L25" s="13"/>
    </row>
    <row r="26" spans="2:12" s="14" customFormat="1" ht="12" hidden="1" customHeight="1" x14ac:dyDescent="0.2">
      <c r="B26" s="13"/>
      <c r="D26" s="10" t="s">
        <v>30</v>
      </c>
      <c r="L26" s="13"/>
    </row>
    <row r="27" spans="2:12" s="21" customFormat="1" ht="16.5" hidden="1" customHeight="1" x14ac:dyDescent="0.2">
      <c r="B27" s="20"/>
      <c r="E27" s="22" t="s">
        <v>3</v>
      </c>
      <c r="F27" s="22"/>
      <c r="G27" s="22"/>
      <c r="H27" s="22"/>
      <c r="L27" s="20"/>
    </row>
    <row r="28" spans="2:12" s="14" customFormat="1" ht="6.9" hidden="1" customHeight="1" x14ac:dyDescent="0.2">
      <c r="B28" s="13"/>
      <c r="L28" s="13"/>
    </row>
    <row r="29" spans="2:12" s="14" customFormat="1" ht="6.9" hidden="1" customHeight="1" x14ac:dyDescent="0.2">
      <c r="B29" s="13"/>
      <c r="D29" s="23"/>
      <c r="E29" s="23"/>
      <c r="F29" s="23"/>
      <c r="G29" s="23"/>
      <c r="H29" s="23"/>
      <c r="I29" s="23"/>
      <c r="J29" s="23"/>
      <c r="K29" s="23"/>
      <c r="L29" s="13"/>
    </row>
    <row r="30" spans="2:12" s="14" customFormat="1" ht="25.35" hidden="1" customHeight="1" x14ac:dyDescent="0.2">
      <c r="B30" s="13"/>
      <c r="D30" s="24" t="s">
        <v>31</v>
      </c>
      <c r="J30" s="25">
        <f>ROUND(J125, 2)</f>
        <v>0</v>
      </c>
      <c r="L30" s="13"/>
    </row>
    <row r="31" spans="2:12" s="14" customFormat="1" ht="6.9" hidden="1" customHeight="1" x14ac:dyDescent="0.2">
      <c r="B31" s="13"/>
      <c r="D31" s="23"/>
      <c r="E31" s="23"/>
      <c r="F31" s="23"/>
      <c r="G31" s="23"/>
      <c r="H31" s="23"/>
      <c r="I31" s="23"/>
      <c r="J31" s="23"/>
      <c r="K31" s="23"/>
      <c r="L31" s="13"/>
    </row>
    <row r="32" spans="2:12" s="14" customFormat="1" ht="14.4" hidden="1" customHeight="1" x14ac:dyDescent="0.2">
      <c r="B32" s="13"/>
      <c r="F32" s="26" t="s">
        <v>32</v>
      </c>
      <c r="I32" s="26" t="s">
        <v>33</v>
      </c>
      <c r="J32" s="26" t="s">
        <v>34</v>
      </c>
      <c r="L32" s="13"/>
    </row>
    <row r="33" spans="2:12" s="14" customFormat="1" ht="14.4" hidden="1" customHeight="1" x14ac:dyDescent="0.2">
      <c r="B33" s="13"/>
      <c r="D33" s="27" t="s">
        <v>35</v>
      </c>
      <c r="E33" s="10" t="s">
        <v>36</v>
      </c>
      <c r="F33" s="28">
        <f>ROUND((SUM(BE125:BE708)),  2)</f>
        <v>0</v>
      </c>
      <c r="I33" s="29">
        <v>0.21</v>
      </c>
      <c r="J33" s="28">
        <f>ROUND(((SUM(BE125:BE708))*I33),  2)</f>
        <v>0</v>
      </c>
      <c r="L33" s="13"/>
    </row>
    <row r="34" spans="2:12" s="14" customFormat="1" ht="14.4" hidden="1" customHeight="1" x14ac:dyDescent="0.2">
      <c r="B34" s="13"/>
      <c r="E34" s="10" t="s">
        <v>37</v>
      </c>
      <c r="F34" s="28">
        <f>ROUND((SUM(BF125:BF708)),  2)</f>
        <v>0</v>
      </c>
      <c r="I34" s="29">
        <v>0.12</v>
      </c>
      <c r="J34" s="28">
        <f>ROUND(((SUM(BF125:BF708))*I34),  2)</f>
        <v>0</v>
      </c>
      <c r="L34" s="13"/>
    </row>
    <row r="35" spans="2:12" s="14" customFormat="1" ht="14.4" hidden="1" customHeight="1" x14ac:dyDescent="0.2">
      <c r="B35" s="13"/>
      <c r="E35" s="10" t="s">
        <v>38</v>
      </c>
      <c r="F35" s="28">
        <f>ROUND((SUM(BG125:BG708)),  2)</f>
        <v>0</v>
      </c>
      <c r="I35" s="29">
        <v>0.21</v>
      </c>
      <c r="J35" s="28">
        <f>0</f>
        <v>0</v>
      </c>
      <c r="L35" s="13"/>
    </row>
    <row r="36" spans="2:12" s="14" customFormat="1" ht="14.4" hidden="1" customHeight="1" x14ac:dyDescent="0.2">
      <c r="B36" s="13"/>
      <c r="E36" s="10" t="s">
        <v>39</v>
      </c>
      <c r="F36" s="28">
        <f>ROUND((SUM(BH125:BH708)),  2)</f>
        <v>0</v>
      </c>
      <c r="I36" s="29">
        <v>0.12</v>
      </c>
      <c r="J36" s="28">
        <f>0</f>
        <v>0</v>
      </c>
      <c r="L36" s="13"/>
    </row>
    <row r="37" spans="2:12" s="14" customFormat="1" ht="14.4" hidden="1" customHeight="1" x14ac:dyDescent="0.2">
      <c r="B37" s="13"/>
      <c r="E37" s="10" t="s">
        <v>40</v>
      </c>
      <c r="F37" s="28">
        <f>ROUND((SUM(BI125:BI708)),  2)</f>
        <v>0</v>
      </c>
      <c r="I37" s="29">
        <v>0</v>
      </c>
      <c r="J37" s="28">
        <f>0</f>
        <v>0</v>
      </c>
      <c r="L37" s="13"/>
    </row>
    <row r="38" spans="2:12" s="14" customFormat="1" ht="6.9" hidden="1" customHeight="1" x14ac:dyDescent="0.2">
      <c r="B38" s="13"/>
      <c r="L38" s="13"/>
    </row>
    <row r="39" spans="2:12" s="14" customFormat="1" ht="25.35" hidden="1" customHeight="1" x14ac:dyDescent="0.2">
      <c r="B39" s="13"/>
      <c r="C39" s="30"/>
      <c r="D39" s="31" t="s">
        <v>41</v>
      </c>
      <c r="E39" s="32"/>
      <c r="F39" s="32"/>
      <c r="G39" s="33" t="s">
        <v>42</v>
      </c>
      <c r="H39" s="34" t="s">
        <v>43</v>
      </c>
      <c r="I39" s="32"/>
      <c r="J39" s="35">
        <f>SUM(J30:J37)</f>
        <v>0</v>
      </c>
      <c r="K39" s="36"/>
      <c r="L39" s="13"/>
    </row>
    <row r="40" spans="2:12" s="14" customFormat="1" ht="14.4" hidden="1" customHeight="1" x14ac:dyDescent="0.2">
      <c r="B40" s="13"/>
      <c r="L40" s="13"/>
    </row>
    <row r="41" spans="2:12" ht="14.4" hidden="1" customHeight="1" x14ac:dyDescent="0.2">
      <c r="B41" s="7"/>
      <c r="L41" s="7"/>
    </row>
    <row r="42" spans="2:12" ht="14.4" hidden="1" customHeight="1" x14ac:dyDescent="0.2">
      <c r="B42" s="7"/>
      <c r="L42" s="7"/>
    </row>
    <row r="43" spans="2:12" ht="14.4" hidden="1" customHeight="1" x14ac:dyDescent="0.2">
      <c r="B43" s="7"/>
      <c r="L43" s="7"/>
    </row>
    <row r="44" spans="2:12" ht="14.4" hidden="1" customHeight="1" x14ac:dyDescent="0.2">
      <c r="B44" s="7"/>
      <c r="L44" s="7"/>
    </row>
    <row r="45" spans="2:12" ht="14.4" hidden="1" customHeight="1" x14ac:dyDescent="0.2">
      <c r="B45" s="7"/>
      <c r="L45" s="7"/>
    </row>
    <row r="46" spans="2:12" ht="14.4" hidden="1" customHeight="1" x14ac:dyDescent="0.2">
      <c r="B46" s="7"/>
      <c r="L46" s="7"/>
    </row>
    <row r="47" spans="2:12" ht="14.4" hidden="1" customHeight="1" x14ac:dyDescent="0.2">
      <c r="B47" s="7"/>
      <c r="L47" s="7"/>
    </row>
    <row r="48" spans="2:12" ht="14.4" hidden="1" customHeight="1" x14ac:dyDescent="0.2">
      <c r="B48" s="7"/>
      <c r="L48" s="7"/>
    </row>
    <row r="49" spans="2:12" ht="14.4" hidden="1" customHeight="1" x14ac:dyDescent="0.2">
      <c r="B49" s="7"/>
      <c r="L49" s="7"/>
    </row>
    <row r="50" spans="2:12" s="14" customFormat="1" ht="14.4" hidden="1" customHeight="1" x14ac:dyDescent="0.2">
      <c r="B50" s="13"/>
      <c r="D50" s="37" t="s">
        <v>44</v>
      </c>
      <c r="E50" s="38"/>
      <c r="F50" s="38"/>
      <c r="G50" s="37" t="s">
        <v>45</v>
      </c>
      <c r="H50" s="38"/>
      <c r="I50" s="38"/>
      <c r="J50" s="38"/>
      <c r="K50" s="38"/>
      <c r="L50" s="13"/>
    </row>
    <row r="51" spans="2:12" hidden="1" x14ac:dyDescent="0.2">
      <c r="B51" s="7"/>
      <c r="L51" s="7"/>
    </row>
    <row r="52" spans="2:12" hidden="1" x14ac:dyDescent="0.2">
      <c r="B52" s="7"/>
      <c r="L52" s="7"/>
    </row>
    <row r="53" spans="2:12" hidden="1" x14ac:dyDescent="0.2">
      <c r="B53" s="7"/>
      <c r="L53" s="7"/>
    </row>
    <row r="54" spans="2:12" hidden="1" x14ac:dyDescent="0.2">
      <c r="B54" s="7"/>
      <c r="L54" s="7"/>
    </row>
    <row r="55" spans="2:12" hidden="1" x14ac:dyDescent="0.2">
      <c r="B55" s="7"/>
      <c r="L55" s="7"/>
    </row>
    <row r="56" spans="2:12" hidden="1" x14ac:dyDescent="0.2">
      <c r="B56" s="7"/>
      <c r="L56" s="7"/>
    </row>
    <row r="57" spans="2:12" hidden="1" x14ac:dyDescent="0.2">
      <c r="B57" s="7"/>
      <c r="L57" s="7"/>
    </row>
    <row r="58" spans="2:12" hidden="1" x14ac:dyDescent="0.2">
      <c r="B58" s="7"/>
      <c r="L58" s="7"/>
    </row>
    <row r="59" spans="2:12" hidden="1" x14ac:dyDescent="0.2">
      <c r="B59" s="7"/>
      <c r="L59" s="7"/>
    </row>
    <row r="60" spans="2:12" hidden="1" x14ac:dyDescent="0.2">
      <c r="B60" s="7"/>
      <c r="L60" s="7"/>
    </row>
    <row r="61" spans="2:12" s="14" customFormat="1" ht="13.2" hidden="1" x14ac:dyDescent="0.2">
      <c r="B61" s="13"/>
      <c r="D61" s="39" t="s">
        <v>46</v>
      </c>
      <c r="E61" s="40"/>
      <c r="F61" s="41" t="s">
        <v>47</v>
      </c>
      <c r="G61" s="39" t="s">
        <v>46</v>
      </c>
      <c r="H61" s="40"/>
      <c r="I61" s="40"/>
      <c r="J61" s="42" t="s">
        <v>47</v>
      </c>
      <c r="K61" s="40"/>
      <c r="L61" s="13"/>
    </row>
    <row r="62" spans="2:12" hidden="1" x14ac:dyDescent="0.2">
      <c r="B62" s="7"/>
      <c r="L62" s="7"/>
    </row>
    <row r="63" spans="2:12" hidden="1" x14ac:dyDescent="0.2">
      <c r="B63" s="7"/>
      <c r="L63" s="7"/>
    </row>
    <row r="64" spans="2:12" hidden="1" x14ac:dyDescent="0.2">
      <c r="B64" s="7"/>
      <c r="L64" s="7"/>
    </row>
    <row r="65" spans="2:12" s="14" customFormat="1" ht="13.2" hidden="1" x14ac:dyDescent="0.2">
      <c r="B65" s="13"/>
      <c r="D65" s="37" t="s">
        <v>48</v>
      </c>
      <c r="E65" s="38"/>
      <c r="F65" s="38"/>
      <c r="G65" s="37" t="s">
        <v>49</v>
      </c>
      <c r="H65" s="38"/>
      <c r="I65" s="38"/>
      <c r="J65" s="38"/>
      <c r="K65" s="38"/>
      <c r="L65" s="13"/>
    </row>
    <row r="66" spans="2:12" hidden="1" x14ac:dyDescent="0.2">
      <c r="B66" s="7"/>
      <c r="L66" s="7"/>
    </row>
    <row r="67" spans="2:12" hidden="1" x14ac:dyDescent="0.2">
      <c r="B67" s="7"/>
      <c r="L67" s="7"/>
    </row>
    <row r="68" spans="2:12" hidden="1" x14ac:dyDescent="0.2">
      <c r="B68" s="7"/>
      <c r="L68" s="7"/>
    </row>
    <row r="69" spans="2:12" hidden="1" x14ac:dyDescent="0.2">
      <c r="B69" s="7"/>
      <c r="L69" s="7"/>
    </row>
    <row r="70" spans="2:12" hidden="1" x14ac:dyDescent="0.2">
      <c r="B70" s="7"/>
      <c r="L70" s="7"/>
    </row>
    <row r="71" spans="2:12" hidden="1" x14ac:dyDescent="0.2">
      <c r="B71" s="7"/>
      <c r="L71" s="7"/>
    </row>
    <row r="72" spans="2:12" hidden="1" x14ac:dyDescent="0.2">
      <c r="B72" s="7"/>
      <c r="L72" s="7"/>
    </row>
    <row r="73" spans="2:12" hidden="1" x14ac:dyDescent="0.2">
      <c r="B73" s="7"/>
      <c r="L73" s="7"/>
    </row>
    <row r="74" spans="2:12" hidden="1" x14ac:dyDescent="0.2">
      <c r="B74" s="7"/>
      <c r="L74" s="7"/>
    </row>
    <row r="75" spans="2:12" hidden="1" x14ac:dyDescent="0.2">
      <c r="B75" s="7"/>
      <c r="L75" s="7"/>
    </row>
    <row r="76" spans="2:12" s="14" customFormat="1" ht="13.2" hidden="1" x14ac:dyDescent="0.2">
      <c r="B76" s="13"/>
      <c r="D76" s="39" t="s">
        <v>46</v>
      </c>
      <c r="E76" s="40"/>
      <c r="F76" s="41" t="s">
        <v>47</v>
      </c>
      <c r="G76" s="39" t="s">
        <v>46</v>
      </c>
      <c r="H76" s="40"/>
      <c r="I76" s="40"/>
      <c r="J76" s="42" t="s">
        <v>47</v>
      </c>
      <c r="K76" s="40"/>
      <c r="L76" s="13"/>
    </row>
    <row r="77" spans="2:12" s="14" customFormat="1" ht="14.4" hidden="1" customHeight="1" x14ac:dyDescent="0.2">
      <c r="B77" s="43"/>
      <c r="C77" s="44"/>
      <c r="D77" s="44"/>
      <c r="E77" s="44"/>
      <c r="F77" s="44"/>
      <c r="G77" s="44"/>
      <c r="H77" s="44"/>
      <c r="I77" s="44"/>
      <c r="J77" s="44"/>
      <c r="K77" s="44"/>
      <c r="L77" s="13"/>
    </row>
    <row r="78" spans="2:12" hidden="1" x14ac:dyDescent="0.2"/>
    <row r="79" spans="2:12" hidden="1" x14ac:dyDescent="0.2"/>
    <row r="80" spans="2:12" hidden="1" x14ac:dyDescent="0.2"/>
    <row r="81" spans="2:47" s="14" customFormat="1" ht="6.9" hidden="1" customHeight="1" x14ac:dyDescent="0.2">
      <c r="B81" s="45"/>
      <c r="C81" s="46"/>
      <c r="D81" s="46"/>
      <c r="E81" s="46"/>
      <c r="F81" s="46"/>
      <c r="G81" s="46"/>
      <c r="H81" s="46"/>
      <c r="I81" s="46"/>
      <c r="J81" s="46"/>
      <c r="K81" s="46"/>
      <c r="L81" s="13"/>
    </row>
    <row r="82" spans="2:47" s="14" customFormat="1" ht="24.9" hidden="1" customHeight="1" x14ac:dyDescent="0.2">
      <c r="B82" s="13"/>
      <c r="C82" s="8" t="s">
        <v>50</v>
      </c>
      <c r="L82" s="13"/>
    </row>
    <row r="83" spans="2:47" s="14" customFormat="1" ht="6.9" hidden="1" customHeight="1" x14ac:dyDescent="0.2">
      <c r="B83" s="13"/>
      <c r="L83" s="13"/>
    </row>
    <row r="84" spans="2:47" s="14" customFormat="1" ht="12" hidden="1" customHeight="1" x14ac:dyDescent="0.2">
      <c r="B84" s="13"/>
      <c r="C84" s="10" t="s">
        <v>10</v>
      </c>
      <c r="L84" s="13"/>
    </row>
    <row r="85" spans="2:47" s="14" customFormat="1" ht="16.5" hidden="1" customHeight="1" x14ac:dyDescent="0.2">
      <c r="B85" s="13"/>
      <c r="E85" s="11" t="str">
        <f>E7</f>
        <v>D6 Olšová Vrata - Žalmanov - bez cen</v>
      </c>
      <c r="F85" s="12"/>
      <c r="G85" s="12"/>
      <c r="H85" s="12"/>
      <c r="L85" s="13"/>
    </row>
    <row r="86" spans="2:47" s="14" customFormat="1" ht="12" hidden="1" customHeight="1" x14ac:dyDescent="0.2">
      <c r="B86" s="13"/>
      <c r="C86" s="10" t="s">
        <v>11</v>
      </c>
      <c r="L86" s="13"/>
    </row>
    <row r="87" spans="2:47" s="14" customFormat="1" ht="30" hidden="1" customHeight="1" x14ac:dyDescent="0.2">
      <c r="B87" s="13"/>
      <c r="E87" s="15" t="str">
        <f>E9</f>
        <v>SO 202 - Most na D6 přes Lomnický potok v km 1,600 SO 101</v>
      </c>
      <c r="F87" s="16"/>
      <c r="G87" s="16"/>
      <c r="H87" s="16"/>
      <c r="L87" s="13"/>
    </row>
    <row r="88" spans="2:47" s="14" customFormat="1" ht="6.9" hidden="1" customHeight="1" x14ac:dyDescent="0.2">
      <c r="B88" s="13"/>
      <c r="L88" s="13"/>
    </row>
    <row r="89" spans="2:47" s="14" customFormat="1" ht="12" hidden="1" customHeight="1" x14ac:dyDescent="0.2">
      <c r="B89" s="13"/>
      <c r="C89" s="10" t="s">
        <v>15</v>
      </c>
      <c r="F89" s="17" t="str">
        <f>F12</f>
        <v xml:space="preserve"> </v>
      </c>
      <c r="I89" s="10" t="s">
        <v>17</v>
      </c>
      <c r="J89" s="18" t="str">
        <f>IF(J12="","",J12)</f>
        <v>14. 4. 2026</v>
      </c>
      <c r="L89" s="13"/>
    </row>
    <row r="90" spans="2:47" s="14" customFormat="1" ht="6.9" hidden="1" customHeight="1" x14ac:dyDescent="0.2">
      <c r="B90" s="13"/>
      <c r="L90" s="13"/>
    </row>
    <row r="91" spans="2:47" s="14" customFormat="1" ht="25.65" hidden="1" customHeight="1" x14ac:dyDescent="0.2">
      <c r="B91" s="13"/>
      <c r="C91" s="10" t="s">
        <v>18</v>
      </c>
      <c r="F91" s="17" t="str">
        <f>E15</f>
        <v>Ředitelství silnic a dálnic s. p.</v>
      </c>
      <c r="I91" s="10" t="s">
        <v>25</v>
      </c>
      <c r="J91" s="47" t="str">
        <f>E21</f>
        <v>PRAGOPROJEKT, a.s.</v>
      </c>
      <c r="L91" s="13"/>
    </row>
    <row r="92" spans="2:47" s="14" customFormat="1" ht="15.15" hidden="1" customHeight="1" x14ac:dyDescent="0.2">
      <c r="B92" s="13"/>
      <c r="C92" s="10" t="s">
        <v>24</v>
      </c>
      <c r="F92" s="17" t="str">
        <f>IF(E18="","",E18)</f>
        <v xml:space="preserve"> </v>
      </c>
      <c r="I92" s="10" t="s">
        <v>29</v>
      </c>
      <c r="J92" s="47" t="str">
        <f>E24</f>
        <v xml:space="preserve"> </v>
      </c>
      <c r="L92" s="13"/>
    </row>
    <row r="93" spans="2:47" s="14" customFormat="1" ht="10.35" hidden="1" customHeight="1" x14ac:dyDescent="0.2">
      <c r="B93" s="13"/>
      <c r="L93" s="13"/>
    </row>
    <row r="94" spans="2:47" s="14" customFormat="1" ht="29.25" hidden="1" customHeight="1" x14ac:dyDescent="0.2">
      <c r="B94" s="13"/>
      <c r="C94" s="48" t="s">
        <v>51</v>
      </c>
      <c r="D94" s="30"/>
      <c r="E94" s="30"/>
      <c r="F94" s="30"/>
      <c r="G94" s="30"/>
      <c r="H94" s="30"/>
      <c r="I94" s="30"/>
      <c r="J94" s="49" t="s">
        <v>52</v>
      </c>
      <c r="K94" s="30"/>
      <c r="L94" s="13"/>
    </row>
    <row r="95" spans="2:47" s="14" customFormat="1" ht="10.35" hidden="1" customHeight="1" x14ac:dyDescent="0.2">
      <c r="B95" s="13"/>
      <c r="L95" s="13"/>
    </row>
    <row r="96" spans="2:47" s="14" customFormat="1" ht="22.95" hidden="1" customHeight="1" x14ac:dyDescent="0.2">
      <c r="B96" s="13"/>
      <c r="C96" s="50" t="s">
        <v>53</v>
      </c>
      <c r="J96" s="25">
        <f>J125</f>
        <v>0</v>
      </c>
      <c r="L96" s="13"/>
      <c r="AU96" s="3" t="s">
        <v>6</v>
      </c>
    </row>
    <row r="97" spans="2:12" s="52" customFormat="1" ht="24.9" hidden="1" customHeight="1" x14ac:dyDescent="0.2">
      <c r="B97" s="51"/>
      <c r="D97" s="53" t="s">
        <v>54</v>
      </c>
      <c r="E97" s="54"/>
      <c r="F97" s="54"/>
      <c r="G97" s="54"/>
      <c r="H97" s="54"/>
      <c r="I97" s="54"/>
      <c r="J97" s="55">
        <f>J126</f>
        <v>0</v>
      </c>
      <c r="L97" s="51"/>
    </row>
    <row r="98" spans="2:12" s="52" customFormat="1" ht="24.9" hidden="1" customHeight="1" x14ac:dyDescent="0.2">
      <c r="B98" s="51"/>
      <c r="D98" s="53" t="s">
        <v>55</v>
      </c>
      <c r="E98" s="54"/>
      <c r="F98" s="54"/>
      <c r="G98" s="54"/>
      <c r="H98" s="54"/>
      <c r="I98" s="54"/>
      <c r="J98" s="55">
        <f>J163</f>
        <v>0</v>
      </c>
      <c r="L98" s="51"/>
    </row>
    <row r="99" spans="2:12" s="52" customFormat="1" ht="24.9" hidden="1" customHeight="1" x14ac:dyDescent="0.2">
      <c r="B99" s="51"/>
      <c r="D99" s="53" t="s">
        <v>56</v>
      </c>
      <c r="E99" s="54"/>
      <c r="F99" s="54"/>
      <c r="G99" s="54"/>
      <c r="H99" s="54"/>
      <c r="I99" s="54"/>
      <c r="J99" s="55">
        <f>J273</f>
        <v>0</v>
      </c>
      <c r="L99" s="51"/>
    </row>
    <row r="100" spans="2:12" s="52" customFormat="1" ht="24.9" hidden="1" customHeight="1" x14ac:dyDescent="0.2">
      <c r="B100" s="51"/>
      <c r="D100" s="53" t="s">
        <v>57</v>
      </c>
      <c r="E100" s="54"/>
      <c r="F100" s="54"/>
      <c r="G100" s="54"/>
      <c r="H100" s="54"/>
      <c r="I100" s="54"/>
      <c r="J100" s="55">
        <f>J330</f>
        <v>0</v>
      </c>
      <c r="L100" s="51"/>
    </row>
    <row r="101" spans="2:12" s="52" customFormat="1" ht="24.9" hidden="1" customHeight="1" x14ac:dyDescent="0.2">
      <c r="B101" s="51"/>
      <c r="D101" s="53" t="s">
        <v>58</v>
      </c>
      <c r="E101" s="54"/>
      <c r="F101" s="54"/>
      <c r="G101" s="54"/>
      <c r="H101" s="54"/>
      <c r="I101" s="54"/>
      <c r="J101" s="55">
        <f>J387</f>
        <v>0</v>
      </c>
      <c r="L101" s="51"/>
    </row>
    <row r="102" spans="2:12" s="52" customFormat="1" ht="24.9" hidden="1" customHeight="1" x14ac:dyDescent="0.2">
      <c r="B102" s="51"/>
      <c r="D102" s="53" t="s">
        <v>59</v>
      </c>
      <c r="E102" s="54"/>
      <c r="F102" s="54"/>
      <c r="G102" s="54"/>
      <c r="H102" s="54"/>
      <c r="I102" s="54"/>
      <c r="J102" s="55">
        <f>J477</f>
        <v>0</v>
      </c>
      <c r="L102" s="51"/>
    </row>
    <row r="103" spans="2:12" s="52" customFormat="1" ht="24.9" hidden="1" customHeight="1" x14ac:dyDescent="0.2">
      <c r="B103" s="51"/>
      <c r="D103" s="53" t="s">
        <v>60</v>
      </c>
      <c r="E103" s="54"/>
      <c r="F103" s="54"/>
      <c r="G103" s="54"/>
      <c r="H103" s="54"/>
      <c r="I103" s="54"/>
      <c r="J103" s="55">
        <f>J507</f>
        <v>0</v>
      </c>
      <c r="L103" s="51"/>
    </row>
    <row r="104" spans="2:12" s="52" customFormat="1" ht="24.9" hidden="1" customHeight="1" x14ac:dyDescent="0.2">
      <c r="B104" s="51"/>
      <c r="D104" s="53" t="s">
        <v>61</v>
      </c>
      <c r="E104" s="54"/>
      <c r="F104" s="54"/>
      <c r="G104" s="54"/>
      <c r="H104" s="54"/>
      <c r="I104" s="54"/>
      <c r="J104" s="55">
        <f>J549</f>
        <v>0</v>
      </c>
      <c r="L104" s="51"/>
    </row>
    <row r="105" spans="2:12" s="52" customFormat="1" ht="24.9" hidden="1" customHeight="1" x14ac:dyDescent="0.2">
      <c r="B105" s="51"/>
      <c r="D105" s="53" t="s">
        <v>62</v>
      </c>
      <c r="E105" s="54"/>
      <c r="F105" s="54"/>
      <c r="G105" s="54"/>
      <c r="H105" s="54"/>
      <c r="I105" s="54"/>
      <c r="J105" s="55">
        <f>J575</f>
        <v>0</v>
      </c>
      <c r="L105" s="51"/>
    </row>
    <row r="106" spans="2:12" s="14" customFormat="1" ht="21.75" hidden="1" customHeight="1" x14ac:dyDescent="0.2">
      <c r="B106" s="13"/>
      <c r="L106" s="13"/>
    </row>
    <row r="107" spans="2:12" s="14" customFormat="1" ht="6.9" hidden="1" customHeight="1" x14ac:dyDescent="0.2">
      <c r="B107" s="43"/>
      <c r="C107" s="44"/>
      <c r="D107" s="44"/>
      <c r="E107" s="44"/>
      <c r="F107" s="44"/>
      <c r="G107" s="44"/>
      <c r="H107" s="44"/>
      <c r="I107" s="44"/>
      <c r="J107" s="44"/>
      <c r="K107" s="44"/>
      <c r="L107" s="13"/>
    </row>
    <row r="108" spans="2:12" hidden="1" x14ac:dyDescent="0.2"/>
    <row r="109" spans="2:12" hidden="1" x14ac:dyDescent="0.2"/>
    <row r="110" spans="2:12" hidden="1" x14ac:dyDescent="0.2"/>
    <row r="111" spans="2:12" s="14" customFormat="1" ht="6.9" customHeight="1" x14ac:dyDescent="0.2">
      <c r="B111" s="45"/>
      <c r="C111" s="46"/>
      <c r="D111" s="46"/>
      <c r="E111" s="46"/>
      <c r="F111" s="46"/>
      <c r="G111" s="46"/>
      <c r="H111" s="46"/>
      <c r="I111" s="46"/>
      <c r="J111" s="46"/>
      <c r="K111" s="46"/>
      <c r="L111" s="13"/>
    </row>
    <row r="112" spans="2:12" s="14" customFormat="1" ht="24.9" customHeight="1" x14ac:dyDescent="0.2">
      <c r="B112" s="13"/>
      <c r="C112" s="8" t="s">
        <v>63</v>
      </c>
      <c r="L112" s="13"/>
    </row>
    <row r="113" spans="2:65" s="14" customFormat="1" ht="6.9" customHeight="1" x14ac:dyDescent="0.2">
      <c r="B113" s="13"/>
      <c r="L113" s="13"/>
    </row>
    <row r="114" spans="2:65" s="14" customFormat="1" ht="12" customHeight="1" x14ac:dyDescent="0.2">
      <c r="B114" s="13"/>
      <c r="C114" s="10" t="s">
        <v>10</v>
      </c>
      <c r="L114" s="13"/>
    </row>
    <row r="115" spans="2:65" s="14" customFormat="1" ht="16.5" customHeight="1" x14ac:dyDescent="0.2">
      <c r="B115" s="13"/>
      <c r="E115" s="11" t="str">
        <f>E7</f>
        <v>D6 Olšová Vrata - Žalmanov - bez cen</v>
      </c>
      <c r="F115" s="12"/>
      <c r="G115" s="12"/>
      <c r="H115" s="12"/>
      <c r="L115" s="13"/>
    </row>
    <row r="116" spans="2:65" s="14" customFormat="1" ht="12" customHeight="1" x14ac:dyDescent="0.2">
      <c r="B116" s="13"/>
      <c r="C116" s="10" t="s">
        <v>11</v>
      </c>
      <c r="L116" s="13"/>
    </row>
    <row r="117" spans="2:65" s="14" customFormat="1" ht="30" customHeight="1" x14ac:dyDescent="0.2">
      <c r="B117" s="13"/>
      <c r="E117" s="15" t="str">
        <f>E9</f>
        <v>SO 202 - Most na D6 přes Lomnický potok v km 1,600 SO 101</v>
      </c>
      <c r="F117" s="16"/>
      <c r="G117" s="16"/>
      <c r="H117" s="16"/>
      <c r="L117" s="13"/>
    </row>
    <row r="118" spans="2:65" s="14" customFormat="1" ht="6.9" customHeight="1" x14ac:dyDescent="0.2">
      <c r="B118" s="13"/>
      <c r="L118" s="13"/>
    </row>
    <row r="119" spans="2:65" s="14" customFormat="1" ht="12" customHeight="1" x14ac:dyDescent="0.2">
      <c r="B119" s="13"/>
      <c r="C119" s="10" t="s">
        <v>15</v>
      </c>
      <c r="F119" s="17" t="str">
        <f>F12</f>
        <v xml:space="preserve"> </v>
      </c>
      <c r="I119" s="10" t="s">
        <v>17</v>
      </c>
      <c r="J119" s="18" t="str">
        <f>IF(J12="","",J12)</f>
        <v>14. 4. 2026</v>
      </c>
      <c r="L119" s="13"/>
    </row>
    <row r="120" spans="2:65" s="14" customFormat="1" ht="6.9" customHeight="1" x14ac:dyDescent="0.2">
      <c r="B120" s="13"/>
      <c r="L120" s="13"/>
    </row>
    <row r="121" spans="2:65" s="14" customFormat="1" ht="25.65" customHeight="1" x14ac:dyDescent="0.2">
      <c r="B121" s="13"/>
      <c r="C121" s="10" t="s">
        <v>18</v>
      </c>
      <c r="F121" s="17" t="str">
        <f>E15</f>
        <v>Ředitelství silnic a dálnic s. p.</v>
      </c>
      <c r="I121" s="10" t="s">
        <v>25</v>
      </c>
      <c r="J121" s="47" t="str">
        <f>E21</f>
        <v>PRAGOPROJEKT, a.s.</v>
      </c>
      <c r="L121" s="13"/>
    </row>
    <row r="122" spans="2:65" s="14" customFormat="1" ht="15.15" customHeight="1" x14ac:dyDescent="0.2">
      <c r="B122" s="13"/>
      <c r="C122" s="10" t="s">
        <v>24</v>
      </c>
      <c r="F122" s="17" t="str">
        <f>IF(E18="","",E18)</f>
        <v xml:space="preserve"> </v>
      </c>
      <c r="I122" s="10" t="s">
        <v>29</v>
      </c>
      <c r="J122" s="47" t="str">
        <f>E24</f>
        <v xml:space="preserve"> </v>
      </c>
      <c r="L122" s="13"/>
    </row>
    <row r="123" spans="2:65" s="14" customFormat="1" ht="10.35" customHeight="1" x14ac:dyDescent="0.2">
      <c r="B123" s="13"/>
      <c r="L123" s="13"/>
    </row>
    <row r="124" spans="2:65" s="64" customFormat="1" ht="29.25" customHeight="1" x14ac:dyDescent="0.2">
      <c r="B124" s="56"/>
      <c r="C124" s="57" t="s">
        <v>64</v>
      </c>
      <c r="D124" s="58" t="s">
        <v>65</v>
      </c>
      <c r="E124" s="58" t="s">
        <v>66</v>
      </c>
      <c r="F124" s="58" t="s">
        <v>67</v>
      </c>
      <c r="G124" s="58" t="s">
        <v>68</v>
      </c>
      <c r="H124" s="58" t="s">
        <v>69</v>
      </c>
      <c r="I124" s="58" t="s">
        <v>70</v>
      </c>
      <c r="J124" s="59" t="s">
        <v>52</v>
      </c>
      <c r="K124" s="60" t="s">
        <v>71</v>
      </c>
      <c r="L124" s="56"/>
      <c r="M124" s="61" t="s">
        <v>3</v>
      </c>
      <c r="N124" s="62" t="s">
        <v>35</v>
      </c>
      <c r="O124" s="62" t="s">
        <v>72</v>
      </c>
      <c r="P124" s="62" t="s">
        <v>73</v>
      </c>
      <c r="Q124" s="62" t="s">
        <v>74</v>
      </c>
      <c r="R124" s="62" t="s">
        <v>75</v>
      </c>
      <c r="S124" s="62" t="s">
        <v>76</v>
      </c>
      <c r="T124" s="63" t="s">
        <v>77</v>
      </c>
    </row>
    <row r="125" spans="2:65" s="14" customFormat="1" ht="22.95" customHeight="1" x14ac:dyDescent="0.3">
      <c r="B125" s="13"/>
      <c r="C125" s="65" t="s">
        <v>78</v>
      </c>
      <c r="J125" s="66">
        <f>BK125</f>
        <v>0</v>
      </c>
      <c r="L125" s="13"/>
      <c r="M125" s="67"/>
      <c r="N125" s="23"/>
      <c r="O125" s="23"/>
      <c r="P125" s="68">
        <f>P126+P163+P273+P330+P387+P477+P507+P549+P575</f>
        <v>0</v>
      </c>
      <c r="Q125" s="23"/>
      <c r="R125" s="68">
        <f>R126+R163+R273+R330+R387+R477+R507+R549+R575</f>
        <v>0</v>
      </c>
      <c r="S125" s="23"/>
      <c r="T125" s="69">
        <f>T126+T163+T273+T330+T387+T477+T507+T549+T575</f>
        <v>0</v>
      </c>
      <c r="AT125" s="3" t="s">
        <v>79</v>
      </c>
      <c r="AU125" s="3" t="s">
        <v>6</v>
      </c>
      <c r="BK125" s="70">
        <f>BK126+BK163+BK273+BK330+BK387+BK477+BK507+BK549+BK575</f>
        <v>0</v>
      </c>
    </row>
    <row r="126" spans="2:65" s="72" customFormat="1" ht="25.95" customHeight="1" x14ac:dyDescent="0.25">
      <c r="B126" s="71"/>
      <c r="D126" s="73" t="s">
        <v>79</v>
      </c>
      <c r="E126" s="74" t="s">
        <v>80</v>
      </c>
      <c r="F126" s="74" t="s">
        <v>81</v>
      </c>
      <c r="J126" s="75">
        <f>BK126</f>
        <v>0</v>
      </c>
      <c r="L126" s="71"/>
      <c r="M126" s="76"/>
      <c r="P126" s="77">
        <f>SUM(P127:P162)</f>
        <v>0</v>
      </c>
      <c r="R126" s="77">
        <f>SUM(R127:R162)</f>
        <v>0</v>
      </c>
      <c r="T126" s="78">
        <f>SUM(T127:T162)</f>
        <v>0</v>
      </c>
      <c r="AR126" s="73" t="s">
        <v>82</v>
      </c>
      <c r="AT126" s="79" t="s">
        <v>79</v>
      </c>
      <c r="AU126" s="79" t="s">
        <v>80</v>
      </c>
      <c r="AY126" s="73" t="s">
        <v>83</v>
      </c>
      <c r="BK126" s="80">
        <f>SUM(BK127:BK162)</f>
        <v>0</v>
      </c>
    </row>
    <row r="127" spans="2:65" s="14" customFormat="1" ht="16.5" customHeight="1" x14ac:dyDescent="0.2">
      <c r="B127" s="81"/>
      <c r="C127" s="82" t="s">
        <v>84</v>
      </c>
      <c r="D127" s="82" t="s">
        <v>85</v>
      </c>
      <c r="E127" s="83" t="s">
        <v>86</v>
      </c>
      <c r="F127" s="84" t="s">
        <v>87</v>
      </c>
      <c r="G127" s="85" t="s">
        <v>88</v>
      </c>
      <c r="H127" s="86">
        <v>3029.223</v>
      </c>
      <c r="I127" s="87">
        <v>0</v>
      </c>
      <c r="J127" s="87">
        <f>ROUND(I127*H127,2)</f>
        <v>0</v>
      </c>
      <c r="K127" s="88"/>
      <c r="L127" s="13"/>
      <c r="M127" s="89" t="s">
        <v>3</v>
      </c>
      <c r="N127" s="90" t="s">
        <v>36</v>
      </c>
      <c r="O127" s="91">
        <v>0</v>
      </c>
      <c r="P127" s="91">
        <f>O127*H127</f>
        <v>0</v>
      </c>
      <c r="Q127" s="91">
        <v>0</v>
      </c>
      <c r="R127" s="91">
        <f>Q127*H127</f>
        <v>0</v>
      </c>
      <c r="S127" s="91">
        <v>0</v>
      </c>
      <c r="T127" s="92">
        <f>S127*H127</f>
        <v>0</v>
      </c>
      <c r="AR127" s="93" t="s">
        <v>82</v>
      </c>
      <c r="AT127" s="93" t="s">
        <v>85</v>
      </c>
      <c r="AU127" s="93" t="s">
        <v>84</v>
      </c>
      <c r="AY127" s="3" t="s">
        <v>83</v>
      </c>
      <c r="BE127" s="94">
        <f>IF(N127="základní",J127,0)</f>
        <v>0</v>
      </c>
      <c r="BF127" s="94">
        <f>IF(N127="snížená",J127,0)</f>
        <v>0</v>
      </c>
      <c r="BG127" s="94">
        <f>IF(N127="zákl. přenesená",J127,0)</f>
        <v>0</v>
      </c>
      <c r="BH127" s="94">
        <f>IF(N127="sníž. přenesená",J127,0)</f>
        <v>0</v>
      </c>
      <c r="BI127" s="94">
        <f>IF(N127="nulová",J127,0)</f>
        <v>0</v>
      </c>
      <c r="BJ127" s="3" t="s">
        <v>84</v>
      </c>
      <c r="BK127" s="94">
        <f>ROUND(I127*H127,2)</f>
        <v>0</v>
      </c>
      <c r="BL127" s="3" t="s">
        <v>82</v>
      </c>
      <c r="BM127" s="93" t="s">
        <v>89</v>
      </c>
    </row>
    <row r="128" spans="2:65" s="14" customFormat="1" x14ac:dyDescent="0.2">
      <c r="B128" s="13"/>
      <c r="D128" s="95" t="s">
        <v>90</v>
      </c>
      <c r="F128" s="96" t="s">
        <v>91</v>
      </c>
      <c r="L128" s="13"/>
      <c r="M128" s="97"/>
      <c r="T128" s="98"/>
      <c r="AT128" s="3" t="s">
        <v>90</v>
      </c>
      <c r="AU128" s="3" t="s">
        <v>84</v>
      </c>
    </row>
    <row r="129" spans="2:65" s="100" customFormat="1" x14ac:dyDescent="0.2">
      <c r="B129" s="99"/>
      <c r="D129" s="95" t="s">
        <v>92</v>
      </c>
      <c r="E129" s="101" t="s">
        <v>93</v>
      </c>
      <c r="F129" s="102" t="s">
        <v>94</v>
      </c>
      <c r="H129" s="103">
        <v>290.79300000000001</v>
      </c>
      <c r="L129" s="99"/>
      <c r="M129" s="104"/>
      <c r="T129" s="105"/>
      <c r="AT129" s="101" t="s">
        <v>92</v>
      </c>
      <c r="AU129" s="101" t="s">
        <v>84</v>
      </c>
      <c r="AV129" s="100" t="s">
        <v>5</v>
      </c>
      <c r="AW129" s="100" t="s">
        <v>95</v>
      </c>
      <c r="AX129" s="100" t="s">
        <v>80</v>
      </c>
      <c r="AY129" s="101" t="s">
        <v>83</v>
      </c>
    </row>
    <row r="130" spans="2:65" s="100" customFormat="1" x14ac:dyDescent="0.2">
      <c r="B130" s="99"/>
      <c r="D130" s="95" t="s">
        <v>92</v>
      </c>
      <c r="E130" s="101" t="s">
        <v>96</v>
      </c>
      <c r="F130" s="102" t="s">
        <v>97</v>
      </c>
      <c r="H130" s="103">
        <v>1375.5719999999999</v>
      </c>
      <c r="L130" s="99"/>
      <c r="M130" s="104"/>
      <c r="T130" s="105"/>
      <c r="AT130" s="101" t="s">
        <v>92</v>
      </c>
      <c r="AU130" s="101" t="s">
        <v>84</v>
      </c>
      <c r="AV130" s="100" t="s">
        <v>5</v>
      </c>
      <c r="AW130" s="100" t="s">
        <v>95</v>
      </c>
      <c r="AX130" s="100" t="s">
        <v>80</v>
      </c>
      <c r="AY130" s="101" t="s">
        <v>83</v>
      </c>
    </row>
    <row r="131" spans="2:65" s="100" customFormat="1" x14ac:dyDescent="0.2">
      <c r="B131" s="99"/>
      <c r="D131" s="95" t="s">
        <v>92</v>
      </c>
      <c r="E131" s="101" t="s">
        <v>98</v>
      </c>
      <c r="F131" s="102" t="s">
        <v>99</v>
      </c>
      <c r="H131" s="103">
        <v>1322.07</v>
      </c>
      <c r="L131" s="99"/>
      <c r="M131" s="104"/>
      <c r="T131" s="105"/>
      <c r="AT131" s="101" t="s">
        <v>92</v>
      </c>
      <c r="AU131" s="101" t="s">
        <v>84</v>
      </c>
      <c r="AV131" s="100" t="s">
        <v>5</v>
      </c>
      <c r="AW131" s="100" t="s">
        <v>95</v>
      </c>
      <c r="AX131" s="100" t="s">
        <v>80</v>
      </c>
      <c r="AY131" s="101" t="s">
        <v>83</v>
      </c>
    </row>
    <row r="132" spans="2:65" s="100" customFormat="1" x14ac:dyDescent="0.2">
      <c r="B132" s="99"/>
      <c r="D132" s="95" t="s">
        <v>92</v>
      </c>
      <c r="E132" s="101" t="s">
        <v>100</v>
      </c>
      <c r="F132" s="102" t="s">
        <v>101</v>
      </c>
      <c r="H132" s="103">
        <v>40.787999999999997</v>
      </c>
      <c r="L132" s="99"/>
      <c r="M132" s="104"/>
      <c r="T132" s="105"/>
      <c r="AT132" s="101" t="s">
        <v>92</v>
      </c>
      <c r="AU132" s="101" t="s">
        <v>84</v>
      </c>
      <c r="AV132" s="100" t="s">
        <v>5</v>
      </c>
      <c r="AW132" s="100" t="s">
        <v>95</v>
      </c>
      <c r="AX132" s="100" t="s">
        <v>80</v>
      </c>
      <c r="AY132" s="101" t="s">
        <v>83</v>
      </c>
    </row>
    <row r="133" spans="2:65" s="100" customFormat="1" x14ac:dyDescent="0.2">
      <c r="B133" s="99"/>
      <c r="D133" s="95" t="s">
        <v>92</v>
      </c>
      <c r="E133" s="101" t="s">
        <v>3</v>
      </c>
      <c r="F133" s="102" t="s">
        <v>102</v>
      </c>
      <c r="H133" s="103">
        <v>3029.223</v>
      </c>
      <c r="L133" s="99"/>
      <c r="M133" s="104"/>
      <c r="T133" s="105"/>
      <c r="AT133" s="101" t="s">
        <v>92</v>
      </c>
      <c r="AU133" s="101" t="s">
        <v>84</v>
      </c>
      <c r="AV133" s="100" t="s">
        <v>5</v>
      </c>
      <c r="AW133" s="100" t="s">
        <v>95</v>
      </c>
      <c r="AX133" s="100" t="s">
        <v>84</v>
      </c>
      <c r="AY133" s="101" t="s">
        <v>83</v>
      </c>
    </row>
    <row r="134" spans="2:65" s="14" customFormat="1" ht="16.5" customHeight="1" x14ac:dyDescent="0.2">
      <c r="B134" s="81"/>
      <c r="C134" s="82" t="s">
        <v>5</v>
      </c>
      <c r="D134" s="82" t="s">
        <v>85</v>
      </c>
      <c r="E134" s="83" t="s">
        <v>103</v>
      </c>
      <c r="F134" s="84" t="s">
        <v>87</v>
      </c>
      <c r="G134" s="85" t="s">
        <v>88</v>
      </c>
      <c r="H134" s="86">
        <v>293.27699999999999</v>
      </c>
      <c r="I134" s="87">
        <v>0</v>
      </c>
      <c r="J134" s="87">
        <f>ROUND(I134*H134,2)</f>
        <v>0</v>
      </c>
      <c r="K134" s="88"/>
      <c r="L134" s="13"/>
      <c r="M134" s="89" t="s">
        <v>3</v>
      </c>
      <c r="N134" s="90" t="s">
        <v>36</v>
      </c>
      <c r="O134" s="91">
        <v>0</v>
      </c>
      <c r="P134" s="91">
        <f>O134*H134</f>
        <v>0</v>
      </c>
      <c r="Q134" s="91">
        <v>0</v>
      </c>
      <c r="R134" s="91">
        <f>Q134*H134</f>
        <v>0</v>
      </c>
      <c r="S134" s="91">
        <v>0</v>
      </c>
      <c r="T134" s="92">
        <f>S134*H134</f>
        <v>0</v>
      </c>
      <c r="AR134" s="93" t="s">
        <v>82</v>
      </c>
      <c r="AT134" s="93" t="s">
        <v>85</v>
      </c>
      <c r="AU134" s="93" t="s">
        <v>84</v>
      </c>
      <c r="AY134" s="3" t="s">
        <v>83</v>
      </c>
      <c r="BE134" s="94">
        <f>IF(N134="základní",J134,0)</f>
        <v>0</v>
      </c>
      <c r="BF134" s="94">
        <f>IF(N134="snížená",J134,0)</f>
        <v>0</v>
      </c>
      <c r="BG134" s="94">
        <f>IF(N134="zákl. přenesená",J134,0)</f>
        <v>0</v>
      </c>
      <c r="BH134" s="94">
        <f>IF(N134="sníž. přenesená",J134,0)</f>
        <v>0</v>
      </c>
      <c r="BI134" s="94">
        <f>IF(N134="nulová",J134,0)</f>
        <v>0</v>
      </c>
      <c r="BJ134" s="3" t="s">
        <v>84</v>
      </c>
      <c r="BK134" s="94">
        <f>ROUND(I134*H134,2)</f>
        <v>0</v>
      </c>
      <c r="BL134" s="3" t="s">
        <v>82</v>
      </c>
      <c r="BM134" s="93" t="s">
        <v>104</v>
      </c>
    </row>
    <row r="135" spans="2:65" s="14" customFormat="1" x14ac:dyDescent="0.2">
      <c r="B135" s="13"/>
      <c r="D135" s="95" t="s">
        <v>90</v>
      </c>
      <c r="F135" s="96" t="s">
        <v>105</v>
      </c>
      <c r="L135" s="13"/>
      <c r="M135" s="97"/>
      <c r="T135" s="98"/>
      <c r="AT135" s="3" t="s">
        <v>90</v>
      </c>
      <c r="AU135" s="3" t="s">
        <v>84</v>
      </c>
    </row>
    <row r="136" spans="2:65" s="100" customFormat="1" x14ac:dyDescent="0.2">
      <c r="B136" s="99"/>
      <c r="D136" s="95" t="s">
        <v>92</v>
      </c>
      <c r="E136" s="101" t="s">
        <v>106</v>
      </c>
      <c r="F136" s="102" t="s">
        <v>107</v>
      </c>
      <c r="H136" s="103">
        <v>291.60000000000002</v>
      </c>
      <c r="L136" s="99"/>
      <c r="M136" s="104"/>
      <c r="T136" s="105"/>
      <c r="AT136" s="101" t="s">
        <v>92</v>
      </c>
      <c r="AU136" s="101" t="s">
        <v>84</v>
      </c>
      <c r="AV136" s="100" t="s">
        <v>5</v>
      </c>
      <c r="AW136" s="100" t="s">
        <v>95</v>
      </c>
      <c r="AX136" s="100" t="s">
        <v>80</v>
      </c>
      <c r="AY136" s="101" t="s">
        <v>83</v>
      </c>
    </row>
    <row r="137" spans="2:65" s="100" customFormat="1" x14ac:dyDescent="0.2">
      <c r="B137" s="99"/>
      <c r="D137" s="95" t="s">
        <v>92</v>
      </c>
      <c r="E137" s="101" t="s">
        <v>108</v>
      </c>
      <c r="F137" s="102" t="s">
        <v>109</v>
      </c>
      <c r="H137" s="103">
        <v>1.6768799999999999</v>
      </c>
      <c r="L137" s="99"/>
      <c r="M137" s="104"/>
      <c r="T137" s="105"/>
      <c r="AT137" s="101" t="s">
        <v>92</v>
      </c>
      <c r="AU137" s="101" t="s">
        <v>84</v>
      </c>
      <c r="AV137" s="100" t="s">
        <v>5</v>
      </c>
      <c r="AW137" s="100" t="s">
        <v>95</v>
      </c>
      <c r="AX137" s="100" t="s">
        <v>80</v>
      </c>
      <c r="AY137" s="101" t="s">
        <v>83</v>
      </c>
    </row>
    <row r="138" spans="2:65" s="100" customFormat="1" x14ac:dyDescent="0.2">
      <c r="B138" s="99"/>
      <c r="D138" s="95" t="s">
        <v>92</v>
      </c>
      <c r="E138" s="101" t="s">
        <v>3</v>
      </c>
      <c r="F138" s="102" t="s">
        <v>110</v>
      </c>
      <c r="H138" s="103">
        <v>293.27699999999999</v>
      </c>
      <c r="L138" s="99"/>
      <c r="M138" s="104"/>
      <c r="T138" s="105"/>
      <c r="AT138" s="101" t="s">
        <v>92</v>
      </c>
      <c r="AU138" s="101" t="s">
        <v>84</v>
      </c>
      <c r="AV138" s="100" t="s">
        <v>5</v>
      </c>
      <c r="AW138" s="100" t="s">
        <v>95</v>
      </c>
      <c r="AX138" s="100" t="s">
        <v>84</v>
      </c>
      <c r="AY138" s="101" t="s">
        <v>83</v>
      </c>
    </row>
    <row r="139" spans="2:65" s="14" customFormat="1" ht="16.5" customHeight="1" x14ac:dyDescent="0.2">
      <c r="B139" s="81"/>
      <c r="C139" s="82" t="s">
        <v>111</v>
      </c>
      <c r="D139" s="82" t="s">
        <v>85</v>
      </c>
      <c r="E139" s="83" t="s">
        <v>112</v>
      </c>
      <c r="F139" s="84" t="s">
        <v>87</v>
      </c>
      <c r="G139" s="85" t="s">
        <v>88</v>
      </c>
      <c r="H139" s="86">
        <v>1317.057</v>
      </c>
      <c r="I139" s="87">
        <v>0</v>
      </c>
      <c r="J139" s="87">
        <f>ROUND(I139*H139,2)</f>
        <v>0</v>
      </c>
      <c r="K139" s="88"/>
      <c r="L139" s="13"/>
      <c r="M139" s="89" t="s">
        <v>3</v>
      </c>
      <c r="N139" s="90" t="s">
        <v>36</v>
      </c>
      <c r="O139" s="91">
        <v>0</v>
      </c>
      <c r="P139" s="91">
        <f>O139*H139</f>
        <v>0</v>
      </c>
      <c r="Q139" s="91">
        <v>0</v>
      </c>
      <c r="R139" s="91">
        <f>Q139*H139</f>
        <v>0</v>
      </c>
      <c r="S139" s="91">
        <v>0</v>
      </c>
      <c r="T139" s="92">
        <f>S139*H139</f>
        <v>0</v>
      </c>
      <c r="AR139" s="93" t="s">
        <v>82</v>
      </c>
      <c r="AT139" s="93" t="s">
        <v>85</v>
      </c>
      <c r="AU139" s="93" t="s">
        <v>84</v>
      </c>
      <c r="AY139" s="3" t="s">
        <v>83</v>
      </c>
      <c r="BE139" s="94">
        <f>IF(N139="základní",J139,0)</f>
        <v>0</v>
      </c>
      <c r="BF139" s="94">
        <f>IF(N139="snížená",J139,0)</f>
        <v>0</v>
      </c>
      <c r="BG139" s="94">
        <f>IF(N139="zákl. přenesená",J139,0)</f>
        <v>0</v>
      </c>
      <c r="BH139" s="94">
        <f>IF(N139="sníž. přenesená",J139,0)</f>
        <v>0</v>
      </c>
      <c r="BI139" s="94">
        <f>IF(N139="nulová",J139,0)</f>
        <v>0</v>
      </c>
      <c r="BJ139" s="3" t="s">
        <v>84</v>
      </c>
      <c r="BK139" s="94">
        <f>ROUND(I139*H139,2)</f>
        <v>0</v>
      </c>
      <c r="BL139" s="3" t="s">
        <v>82</v>
      </c>
      <c r="BM139" s="93" t="s">
        <v>113</v>
      </c>
    </row>
    <row r="140" spans="2:65" s="14" customFormat="1" x14ac:dyDescent="0.2">
      <c r="B140" s="13"/>
      <c r="D140" s="95" t="s">
        <v>90</v>
      </c>
      <c r="F140" s="96" t="s">
        <v>114</v>
      </c>
      <c r="L140" s="13"/>
      <c r="M140" s="97"/>
      <c r="T140" s="98"/>
      <c r="AT140" s="3" t="s">
        <v>90</v>
      </c>
      <c r="AU140" s="3" t="s">
        <v>84</v>
      </c>
    </row>
    <row r="141" spans="2:65" s="100" customFormat="1" x14ac:dyDescent="0.2">
      <c r="B141" s="99"/>
      <c r="D141" s="95" t="s">
        <v>92</v>
      </c>
      <c r="E141" s="101" t="s">
        <v>115</v>
      </c>
      <c r="F141" s="102" t="s">
        <v>116</v>
      </c>
      <c r="H141" s="103">
        <v>1317.057</v>
      </c>
      <c r="L141" s="99"/>
      <c r="M141" s="104"/>
      <c r="T141" s="105"/>
      <c r="AT141" s="101" t="s">
        <v>92</v>
      </c>
      <c r="AU141" s="101" t="s">
        <v>84</v>
      </c>
      <c r="AV141" s="100" t="s">
        <v>5</v>
      </c>
      <c r="AW141" s="100" t="s">
        <v>95</v>
      </c>
      <c r="AX141" s="100" t="s">
        <v>80</v>
      </c>
      <c r="AY141" s="101" t="s">
        <v>83</v>
      </c>
    </row>
    <row r="142" spans="2:65" s="100" customFormat="1" x14ac:dyDescent="0.2">
      <c r="B142" s="99"/>
      <c r="D142" s="95" t="s">
        <v>92</v>
      </c>
      <c r="E142" s="101" t="s">
        <v>3</v>
      </c>
      <c r="F142" s="102" t="s">
        <v>117</v>
      </c>
      <c r="H142" s="103">
        <v>1317.057</v>
      </c>
      <c r="L142" s="99"/>
      <c r="M142" s="104"/>
      <c r="T142" s="105"/>
      <c r="AT142" s="101" t="s">
        <v>92</v>
      </c>
      <c r="AU142" s="101" t="s">
        <v>84</v>
      </c>
      <c r="AV142" s="100" t="s">
        <v>5</v>
      </c>
      <c r="AW142" s="100" t="s">
        <v>95</v>
      </c>
      <c r="AX142" s="100" t="s">
        <v>84</v>
      </c>
      <c r="AY142" s="101" t="s">
        <v>83</v>
      </c>
    </row>
    <row r="143" spans="2:65" s="14" customFormat="1" ht="37.950000000000003" customHeight="1" x14ac:dyDescent="0.2">
      <c r="B143" s="81"/>
      <c r="C143" s="82" t="s">
        <v>82</v>
      </c>
      <c r="D143" s="82" t="s">
        <v>85</v>
      </c>
      <c r="E143" s="83" t="s">
        <v>118</v>
      </c>
      <c r="F143" s="84" t="s">
        <v>119</v>
      </c>
      <c r="G143" s="85" t="s">
        <v>120</v>
      </c>
      <c r="H143" s="86">
        <v>8.8670000000000009</v>
      </c>
      <c r="I143" s="87">
        <v>0</v>
      </c>
      <c r="J143" s="87">
        <f>ROUND(I143*H143,2)</f>
        <v>0</v>
      </c>
      <c r="K143" s="88"/>
      <c r="L143" s="13"/>
      <c r="M143" s="89" t="s">
        <v>3</v>
      </c>
      <c r="N143" s="90" t="s">
        <v>36</v>
      </c>
      <c r="O143" s="91">
        <v>0</v>
      </c>
      <c r="P143" s="91">
        <f>O143*H143</f>
        <v>0</v>
      </c>
      <c r="Q143" s="91">
        <v>0</v>
      </c>
      <c r="R143" s="91">
        <f>Q143*H143</f>
        <v>0</v>
      </c>
      <c r="S143" s="91">
        <v>0</v>
      </c>
      <c r="T143" s="92">
        <f>S143*H143</f>
        <v>0</v>
      </c>
      <c r="AR143" s="93" t="s">
        <v>82</v>
      </c>
      <c r="AT143" s="93" t="s">
        <v>85</v>
      </c>
      <c r="AU143" s="93" t="s">
        <v>84</v>
      </c>
      <c r="AY143" s="3" t="s">
        <v>83</v>
      </c>
      <c r="BE143" s="94">
        <f>IF(N143="základní",J143,0)</f>
        <v>0</v>
      </c>
      <c r="BF143" s="94">
        <f>IF(N143="snížená",J143,0)</f>
        <v>0</v>
      </c>
      <c r="BG143" s="94">
        <f>IF(N143="zákl. přenesená",J143,0)</f>
        <v>0</v>
      </c>
      <c r="BH143" s="94">
        <f>IF(N143="sníž. přenesená",J143,0)</f>
        <v>0</v>
      </c>
      <c r="BI143" s="94">
        <f>IF(N143="nulová",J143,0)</f>
        <v>0</v>
      </c>
      <c r="BJ143" s="3" t="s">
        <v>84</v>
      </c>
      <c r="BK143" s="94">
        <f>ROUND(I143*H143,2)</f>
        <v>0</v>
      </c>
      <c r="BL143" s="3" t="s">
        <v>82</v>
      </c>
      <c r="BM143" s="93" t="s">
        <v>121</v>
      </c>
    </row>
    <row r="144" spans="2:65" s="14" customFormat="1" ht="19.2" x14ac:dyDescent="0.2">
      <c r="B144" s="13"/>
      <c r="D144" s="95" t="s">
        <v>90</v>
      </c>
      <c r="F144" s="96" t="s">
        <v>122</v>
      </c>
      <c r="L144" s="13"/>
      <c r="M144" s="97"/>
      <c r="T144" s="98"/>
      <c r="AT144" s="3" t="s">
        <v>90</v>
      </c>
      <c r="AU144" s="3" t="s">
        <v>84</v>
      </c>
    </row>
    <row r="145" spans="2:65" s="100" customFormat="1" x14ac:dyDescent="0.2">
      <c r="B145" s="99"/>
      <c r="D145" s="95" t="s">
        <v>92</v>
      </c>
      <c r="E145" s="101" t="s">
        <v>123</v>
      </c>
      <c r="F145" s="102" t="s">
        <v>124</v>
      </c>
      <c r="H145" s="103">
        <v>8.8671180000000014</v>
      </c>
      <c r="L145" s="99"/>
      <c r="M145" s="104"/>
      <c r="T145" s="105"/>
      <c r="AT145" s="101" t="s">
        <v>92</v>
      </c>
      <c r="AU145" s="101" t="s">
        <v>84</v>
      </c>
      <c r="AV145" s="100" t="s">
        <v>5</v>
      </c>
      <c r="AW145" s="100" t="s">
        <v>95</v>
      </c>
      <c r="AX145" s="100" t="s">
        <v>80</v>
      </c>
      <c r="AY145" s="101" t="s">
        <v>83</v>
      </c>
    </row>
    <row r="146" spans="2:65" s="100" customFormat="1" x14ac:dyDescent="0.2">
      <c r="B146" s="99"/>
      <c r="D146" s="95" t="s">
        <v>92</v>
      </c>
      <c r="E146" s="101" t="s">
        <v>3</v>
      </c>
      <c r="F146" s="102" t="s">
        <v>125</v>
      </c>
      <c r="H146" s="103">
        <v>8.8670000000000009</v>
      </c>
      <c r="L146" s="99"/>
      <c r="M146" s="104"/>
      <c r="T146" s="105"/>
      <c r="AT146" s="101" t="s">
        <v>92</v>
      </c>
      <c r="AU146" s="101" t="s">
        <v>84</v>
      </c>
      <c r="AV146" s="100" t="s">
        <v>5</v>
      </c>
      <c r="AW146" s="100" t="s">
        <v>95</v>
      </c>
      <c r="AX146" s="100" t="s">
        <v>84</v>
      </c>
      <c r="AY146" s="101" t="s">
        <v>83</v>
      </c>
    </row>
    <row r="147" spans="2:65" s="14" customFormat="1" ht="16.5" customHeight="1" x14ac:dyDescent="0.2">
      <c r="B147" s="81"/>
      <c r="C147" s="82" t="s">
        <v>126</v>
      </c>
      <c r="D147" s="82" t="s">
        <v>85</v>
      </c>
      <c r="E147" s="83" t="s">
        <v>127</v>
      </c>
      <c r="F147" s="84" t="s">
        <v>128</v>
      </c>
      <c r="G147" s="85" t="s">
        <v>129</v>
      </c>
      <c r="H147" s="86">
        <v>200</v>
      </c>
      <c r="I147" s="87">
        <v>0</v>
      </c>
      <c r="J147" s="87">
        <f>ROUND(I147*H147,2)</f>
        <v>0</v>
      </c>
      <c r="K147" s="88"/>
      <c r="L147" s="13"/>
      <c r="M147" s="89" t="s">
        <v>3</v>
      </c>
      <c r="N147" s="90" t="s">
        <v>36</v>
      </c>
      <c r="O147" s="91">
        <v>0</v>
      </c>
      <c r="P147" s="91">
        <f>O147*H147</f>
        <v>0</v>
      </c>
      <c r="Q147" s="91">
        <v>0</v>
      </c>
      <c r="R147" s="91">
        <f>Q147*H147</f>
        <v>0</v>
      </c>
      <c r="S147" s="91">
        <v>0</v>
      </c>
      <c r="T147" s="92">
        <f>S147*H147</f>
        <v>0</v>
      </c>
      <c r="AR147" s="93" t="s">
        <v>82</v>
      </c>
      <c r="AT147" s="93" t="s">
        <v>85</v>
      </c>
      <c r="AU147" s="93" t="s">
        <v>84</v>
      </c>
      <c r="AY147" s="3" t="s">
        <v>83</v>
      </c>
      <c r="BE147" s="94">
        <f>IF(N147="základní",J147,0)</f>
        <v>0</v>
      </c>
      <c r="BF147" s="94">
        <f>IF(N147="snížená",J147,0)</f>
        <v>0</v>
      </c>
      <c r="BG147" s="94">
        <f>IF(N147="zákl. přenesená",J147,0)</f>
        <v>0</v>
      </c>
      <c r="BH147" s="94">
        <f>IF(N147="sníž. přenesená",J147,0)</f>
        <v>0</v>
      </c>
      <c r="BI147" s="94">
        <f>IF(N147="nulová",J147,0)</f>
        <v>0</v>
      </c>
      <c r="BJ147" s="3" t="s">
        <v>84</v>
      </c>
      <c r="BK147" s="94">
        <f>ROUND(I147*H147,2)</f>
        <v>0</v>
      </c>
      <c r="BL147" s="3" t="s">
        <v>82</v>
      </c>
      <c r="BM147" s="93" t="s">
        <v>130</v>
      </c>
    </row>
    <row r="148" spans="2:65" s="14" customFormat="1" ht="28.8" x14ac:dyDescent="0.2">
      <c r="B148" s="13"/>
      <c r="D148" s="95" t="s">
        <v>90</v>
      </c>
      <c r="F148" s="96" t="s">
        <v>131</v>
      </c>
      <c r="L148" s="13"/>
      <c r="M148" s="97"/>
      <c r="T148" s="98"/>
      <c r="AT148" s="3" t="s">
        <v>90</v>
      </c>
      <c r="AU148" s="3" t="s">
        <v>84</v>
      </c>
    </row>
    <row r="149" spans="2:65" s="100" customFormat="1" x14ac:dyDescent="0.2">
      <c r="B149" s="99"/>
      <c r="D149" s="95" t="s">
        <v>92</v>
      </c>
      <c r="E149" s="101" t="s">
        <v>132</v>
      </c>
      <c r="F149" s="102" t="s">
        <v>133</v>
      </c>
      <c r="H149" s="103">
        <v>200</v>
      </c>
      <c r="L149" s="99"/>
      <c r="M149" s="104"/>
      <c r="T149" s="105"/>
      <c r="AT149" s="101" t="s">
        <v>92</v>
      </c>
      <c r="AU149" s="101" t="s">
        <v>84</v>
      </c>
      <c r="AV149" s="100" t="s">
        <v>5</v>
      </c>
      <c r="AW149" s="100" t="s">
        <v>95</v>
      </c>
      <c r="AX149" s="100" t="s">
        <v>80</v>
      </c>
      <c r="AY149" s="101" t="s">
        <v>83</v>
      </c>
    </row>
    <row r="150" spans="2:65" s="100" customFormat="1" x14ac:dyDescent="0.2">
      <c r="B150" s="99"/>
      <c r="D150" s="95" t="s">
        <v>92</v>
      </c>
      <c r="E150" s="101" t="s">
        <v>3</v>
      </c>
      <c r="F150" s="102" t="s">
        <v>134</v>
      </c>
      <c r="H150" s="103">
        <v>200</v>
      </c>
      <c r="L150" s="99"/>
      <c r="M150" s="104"/>
      <c r="T150" s="105"/>
      <c r="AT150" s="101" t="s">
        <v>92</v>
      </c>
      <c r="AU150" s="101" t="s">
        <v>84</v>
      </c>
      <c r="AV150" s="100" t="s">
        <v>5</v>
      </c>
      <c r="AW150" s="100" t="s">
        <v>95</v>
      </c>
      <c r="AX150" s="100" t="s">
        <v>84</v>
      </c>
      <c r="AY150" s="101" t="s">
        <v>83</v>
      </c>
    </row>
    <row r="151" spans="2:65" s="14" customFormat="1" ht="24.15" customHeight="1" x14ac:dyDescent="0.2">
      <c r="B151" s="81"/>
      <c r="C151" s="82" t="s">
        <v>135</v>
      </c>
      <c r="D151" s="82" t="s">
        <v>85</v>
      </c>
      <c r="E151" s="83" t="s">
        <v>136</v>
      </c>
      <c r="F151" s="84" t="s">
        <v>137</v>
      </c>
      <c r="G151" s="85" t="s">
        <v>138</v>
      </c>
      <c r="H151" s="86">
        <v>5</v>
      </c>
      <c r="I151" s="87">
        <v>0</v>
      </c>
      <c r="J151" s="87">
        <f>ROUND(I151*H151,2)</f>
        <v>0</v>
      </c>
      <c r="K151" s="88"/>
      <c r="L151" s="13"/>
      <c r="M151" s="89" t="s">
        <v>3</v>
      </c>
      <c r="N151" s="90" t="s">
        <v>36</v>
      </c>
      <c r="O151" s="91">
        <v>0</v>
      </c>
      <c r="P151" s="91">
        <f>O151*H151</f>
        <v>0</v>
      </c>
      <c r="Q151" s="91">
        <v>0</v>
      </c>
      <c r="R151" s="91">
        <f>Q151*H151</f>
        <v>0</v>
      </c>
      <c r="S151" s="91">
        <v>0</v>
      </c>
      <c r="T151" s="92">
        <f>S151*H151</f>
        <v>0</v>
      </c>
      <c r="AR151" s="93" t="s">
        <v>82</v>
      </c>
      <c r="AT151" s="93" t="s">
        <v>85</v>
      </c>
      <c r="AU151" s="93" t="s">
        <v>84</v>
      </c>
      <c r="AY151" s="3" t="s">
        <v>83</v>
      </c>
      <c r="BE151" s="94">
        <f>IF(N151="základní",J151,0)</f>
        <v>0</v>
      </c>
      <c r="BF151" s="94">
        <f>IF(N151="snížená",J151,0)</f>
        <v>0</v>
      </c>
      <c r="BG151" s="94">
        <f>IF(N151="zákl. přenesená",J151,0)</f>
        <v>0</v>
      </c>
      <c r="BH151" s="94">
        <f>IF(N151="sníž. přenesená",J151,0)</f>
        <v>0</v>
      </c>
      <c r="BI151" s="94">
        <f>IF(N151="nulová",J151,0)</f>
        <v>0</v>
      </c>
      <c r="BJ151" s="3" t="s">
        <v>84</v>
      </c>
      <c r="BK151" s="94">
        <f>ROUND(I151*H151,2)</f>
        <v>0</v>
      </c>
      <c r="BL151" s="3" t="s">
        <v>82</v>
      </c>
      <c r="BM151" s="93" t="s">
        <v>139</v>
      </c>
    </row>
    <row r="152" spans="2:65" s="14" customFormat="1" x14ac:dyDescent="0.2">
      <c r="B152" s="13"/>
      <c r="D152" s="95" t="s">
        <v>90</v>
      </c>
      <c r="F152" s="96" t="s">
        <v>137</v>
      </c>
      <c r="L152" s="13"/>
      <c r="M152" s="97"/>
      <c r="T152" s="98"/>
      <c r="AT152" s="3" t="s">
        <v>90</v>
      </c>
      <c r="AU152" s="3" t="s">
        <v>84</v>
      </c>
    </row>
    <row r="153" spans="2:65" s="100" customFormat="1" x14ac:dyDescent="0.2">
      <c r="B153" s="99"/>
      <c r="D153" s="95" t="s">
        <v>92</v>
      </c>
      <c r="E153" s="101" t="s">
        <v>140</v>
      </c>
      <c r="F153" s="102" t="s">
        <v>126</v>
      </c>
      <c r="H153" s="103">
        <v>5</v>
      </c>
      <c r="L153" s="99"/>
      <c r="M153" s="104"/>
      <c r="T153" s="105"/>
      <c r="AT153" s="101" t="s">
        <v>92</v>
      </c>
      <c r="AU153" s="101" t="s">
        <v>84</v>
      </c>
      <c r="AV153" s="100" t="s">
        <v>5</v>
      </c>
      <c r="AW153" s="100" t="s">
        <v>95</v>
      </c>
      <c r="AX153" s="100" t="s">
        <v>80</v>
      </c>
      <c r="AY153" s="101" t="s">
        <v>83</v>
      </c>
    </row>
    <row r="154" spans="2:65" s="100" customFormat="1" x14ac:dyDescent="0.2">
      <c r="B154" s="99"/>
      <c r="D154" s="95" t="s">
        <v>92</v>
      </c>
      <c r="E154" s="101" t="s">
        <v>3</v>
      </c>
      <c r="F154" s="102" t="s">
        <v>141</v>
      </c>
      <c r="H154" s="103">
        <v>5</v>
      </c>
      <c r="L154" s="99"/>
      <c r="M154" s="104"/>
      <c r="T154" s="105"/>
      <c r="AT154" s="101" t="s">
        <v>92</v>
      </c>
      <c r="AU154" s="101" t="s">
        <v>84</v>
      </c>
      <c r="AV154" s="100" t="s">
        <v>5</v>
      </c>
      <c r="AW154" s="100" t="s">
        <v>95</v>
      </c>
      <c r="AX154" s="100" t="s">
        <v>84</v>
      </c>
      <c r="AY154" s="101" t="s">
        <v>83</v>
      </c>
    </row>
    <row r="155" spans="2:65" s="14" customFormat="1" ht="24.15" customHeight="1" x14ac:dyDescent="0.2">
      <c r="B155" s="81"/>
      <c r="C155" s="82" t="s">
        <v>142</v>
      </c>
      <c r="D155" s="82" t="s">
        <v>85</v>
      </c>
      <c r="E155" s="83" t="s">
        <v>143</v>
      </c>
      <c r="F155" s="84" t="s">
        <v>144</v>
      </c>
      <c r="G155" s="85" t="s">
        <v>138</v>
      </c>
      <c r="H155" s="86">
        <v>1</v>
      </c>
      <c r="I155" s="87">
        <v>0</v>
      </c>
      <c r="J155" s="87">
        <f>ROUND(I155*H155,2)</f>
        <v>0</v>
      </c>
      <c r="K155" s="88"/>
      <c r="L155" s="13"/>
      <c r="M155" s="89" t="s">
        <v>3</v>
      </c>
      <c r="N155" s="90" t="s">
        <v>36</v>
      </c>
      <c r="O155" s="91">
        <v>0</v>
      </c>
      <c r="P155" s="91">
        <f>O155*H155</f>
        <v>0</v>
      </c>
      <c r="Q155" s="91">
        <v>0</v>
      </c>
      <c r="R155" s="91">
        <f>Q155*H155</f>
        <v>0</v>
      </c>
      <c r="S155" s="91">
        <v>0</v>
      </c>
      <c r="T155" s="92">
        <f>S155*H155</f>
        <v>0</v>
      </c>
      <c r="AR155" s="93" t="s">
        <v>82</v>
      </c>
      <c r="AT155" s="93" t="s">
        <v>85</v>
      </c>
      <c r="AU155" s="93" t="s">
        <v>84</v>
      </c>
      <c r="AY155" s="3" t="s">
        <v>83</v>
      </c>
      <c r="BE155" s="94">
        <f>IF(N155="základní",J155,0)</f>
        <v>0</v>
      </c>
      <c r="BF155" s="94">
        <f>IF(N155="snížená",J155,0)</f>
        <v>0</v>
      </c>
      <c r="BG155" s="94">
        <f>IF(N155="zákl. přenesená",J155,0)</f>
        <v>0</v>
      </c>
      <c r="BH155" s="94">
        <f>IF(N155="sníž. přenesená",J155,0)</f>
        <v>0</v>
      </c>
      <c r="BI155" s="94">
        <f>IF(N155="nulová",J155,0)</f>
        <v>0</v>
      </c>
      <c r="BJ155" s="3" t="s">
        <v>84</v>
      </c>
      <c r="BK155" s="94">
        <f>ROUND(I155*H155,2)</f>
        <v>0</v>
      </c>
      <c r="BL155" s="3" t="s">
        <v>82</v>
      </c>
      <c r="BM155" s="93" t="s">
        <v>145</v>
      </c>
    </row>
    <row r="156" spans="2:65" s="14" customFormat="1" x14ac:dyDescent="0.2">
      <c r="B156" s="13"/>
      <c r="D156" s="95" t="s">
        <v>90</v>
      </c>
      <c r="F156" s="96" t="s">
        <v>144</v>
      </c>
      <c r="L156" s="13"/>
      <c r="M156" s="97"/>
      <c r="T156" s="98"/>
      <c r="AT156" s="3" t="s">
        <v>90</v>
      </c>
      <c r="AU156" s="3" t="s">
        <v>84</v>
      </c>
    </row>
    <row r="157" spans="2:65" s="100" customFormat="1" x14ac:dyDescent="0.2">
      <c r="B157" s="99"/>
      <c r="D157" s="95" t="s">
        <v>92</v>
      </c>
      <c r="E157" s="101" t="s">
        <v>146</v>
      </c>
      <c r="F157" s="102" t="s">
        <v>84</v>
      </c>
      <c r="H157" s="103">
        <v>1</v>
      </c>
      <c r="L157" s="99"/>
      <c r="M157" s="104"/>
      <c r="T157" s="105"/>
      <c r="AT157" s="101" t="s">
        <v>92</v>
      </c>
      <c r="AU157" s="101" t="s">
        <v>84</v>
      </c>
      <c r="AV157" s="100" t="s">
        <v>5</v>
      </c>
      <c r="AW157" s="100" t="s">
        <v>95</v>
      </c>
      <c r="AX157" s="100" t="s">
        <v>80</v>
      </c>
      <c r="AY157" s="101" t="s">
        <v>83</v>
      </c>
    </row>
    <row r="158" spans="2:65" s="100" customFormat="1" x14ac:dyDescent="0.2">
      <c r="B158" s="99"/>
      <c r="D158" s="95" t="s">
        <v>92</v>
      </c>
      <c r="E158" s="101" t="s">
        <v>3</v>
      </c>
      <c r="F158" s="102" t="s">
        <v>147</v>
      </c>
      <c r="H158" s="103">
        <v>1</v>
      </c>
      <c r="L158" s="99"/>
      <c r="M158" s="104"/>
      <c r="T158" s="105"/>
      <c r="AT158" s="101" t="s">
        <v>92</v>
      </c>
      <c r="AU158" s="101" t="s">
        <v>84</v>
      </c>
      <c r="AV158" s="100" t="s">
        <v>5</v>
      </c>
      <c r="AW158" s="100" t="s">
        <v>95</v>
      </c>
      <c r="AX158" s="100" t="s">
        <v>84</v>
      </c>
      <c r="AY158" s="101" t="s">
        <v>83</v>
      </c>
    </row>
    <row r="159" spans="2:65" s="14" customFormat="1" ht="24.15" customHeight="1" x14ac:dyDescent="0.2">
      <c r="B159" s="81"/>
      <c r="C159" s="82" t="s">
        <v>148</v>
      </c>
      <c r="D159" s="82" t="s">
        <v>85</v>
      </c>
      <c r="E159" s="83" t="s">
        <v>149</v>
      </c>
      <c r="F159" s="84" t="s">
        <v>150</v>
      </c>
      <c r="G159" s="85" t="s">
        <v>151</v>
      </c>
      <c r="H159" s="86">
        <v>1</v>
      </c>
      <c r="I159" s="87">
        <v>0</v>
      </c>
      <c r="J159" s="87">
        <f>ROUND(I159*H159,2)</f>
        <v>0</v>
      </c>
      <c r="K159" s="88"/>
      <c r="L159" s="13"/>
      <c r="M159" s="89" t="s">
        <v>3</v>
      </c>
      <c r="N159" s="90" t="s">
        <v>36</v>
      </c>
      <c r="O159" s="91">
        <v>0</v>
      </c>
      <c r="P159" s="91">
        <f>O159*H159</f>
        <v>0</v>
      </c>
      <c r="Q159" s="91">
        <v>0</v>
      </c>
      <c r="R159" s="91">
        <f>Q159*H159</f>
        <v>0</v>
      </c>
      <c r="S159" s="91">
        <v>0</v>
      </c>
      <c r="T159" s="92">
        <f>S159*H159</f>
        <v>0</v>
      </c>
      <c r="AR159" s="93" t="s">
        <v>82</v>
      </c>
      <c r="AT159" s="93" t="s">
        <v>85</v>
      </c>
      <c r="AU159" s="93" t="s">
        <v>84</v>
      </c>
      <c r="AY159" s="3" t="s">
        <v>83</v>
      </c>
      <c r="BE159" s="94">
        <f>IF(N159="základní",J159,0)</f>
        <v>0</v>
      </c>
      <c r="BF159" s="94">
        <f>IF(N159="snížená",J159,0)</f>
        <v>0</v>
      </c>
      <c r="BG159" s="94">
        <f>IF(N159="zákl. přenesená",J159,0)</f>
        <v>0</v>
      </c>
      <c r="BH159" s="94">
        <f>IF(N159="sníž. přenesená",J159,0)</f>
        <v>0</v>
      </c>
      <c r="BI159" s="94">
        <f>IF(N159="nulová",J159,0)</f>
        <v>0</v>
      </c>
      <c r="BJ159" s="3" t="s">
        <v>84</v>
      </c>
      <c r="BK159" s="94">
        <f>ROUND(I159*H159,2)</f>
        <v>0</v>
      </c>
      <c r="BL159" s="3" t="s">
        <v>82</v>
      </c>
      <c r="BM159" s="93" t="s">
        <v>152</v>
      </c>
    </row>
    <row r="160" spans="2:65" s="14" customFormat="1" x14ac:dyDescent="0.2">
      <c r="B160" s="13"/>
      <c r="D160" s="95" t="s">
        <v>90</v>
      </c>
      <c r="F160" s="96" t="s">
        <v>153</v>
      </c>
      <c r="L160" s="13"/>
      <c r="M160" s="97"/>
      <c r="T160" s="98"/>
      <c r="AT160" s="3" t="s">
        <v>90</v>
      </c>
      <c r="AU160" s="3" t="s">
        <v>84</v>
      </c>
    </row>
    <row r="161" spans="2:65" s="100" customFormat="1" x14ac:dyDescent="0.2">
      <c r="B161" s="99"/>
      <c r="D161" s="95" t="s">
        <v>92</v>
      </c>
      <c r="E161" s="101" t="s">
        <v>154</v>
      </c>
      <c r="F161" s="102" t="s">
        <v>84</v>
      </c>
      <c r="H161" s="103">
        <v>1</v>
      </c>
      <c r="L161" s="99"/>
      <c r="M161" s="104"/>
      <c r="T161" s="105"/>
      <c r="AT161" s="101" t="s">
        <v>92</v>
      </c>
      <c r="AU161" s="101" t="s">
        <v>84</v>
      </c>
      <c r="AV161" s="100" t="s">
        <v>5</v>
      </c>
      <c r="AW161" s="100" t="s">
        <v>95</v>
      </c>
      <c r="AX161" s="100" t="s">
        <v>80</v>
      </c>
      <c r="AY161" s="101" t="s">
        <v>83</v>
      </c>
    </row>
    <row r="162" spans="2:65" s="100" customFormat="1" x14ac:dyDescent="0.2">
      <c r="B162" s="99"/>
      <c r="D162" s="95" t="s">
        <v>92</v>
      </c>
      <c r="E162" s="101" t="s">
        <v>3</v>
      </c>
      <c r="F162" s="102" t="s">
        <v>147</v>
      </c>
      <c r="H162" s="103">
        <v>1</v>
      </c>
      <c r="L162" s="99"/>
      <c r="M162" s="104"/>
      <c r="T162" s="105"/>
      <c r="AT162" s="101" t="s">
        <v>92</v>
      </c>
      <c r="AU162" s="101" t="s">
        <v>84</v>
      </c>
      <c r="AV162" s="100" t="s">
        <v>5</v>
      </c>
      <c r="AW162" s="100" t="s">
        <v>95</v>
      </c>
      <c r="AX162" s="100" t="s">
        <v>84</v>
      </c>
      <c r="AY162" s="101" t="s">
        <v>83</v>
      </c>
    </row>
    <row r="163" spans="2:65" s="72" customFormat="1" ht="25.95" customHeight="1" x14ac:dyDescent="0.25">
      <c r="B163" s="71"/>
      <c r="D163" s="73" t="s">
        <v>79</v>
      </c>
      <c r="E163" s="74" t="s">
        <v>84</v>
      </c>
      <c r="F163" s="74" t="s">
        <v>155</v>
      </c>
      <c r="J163" s="75">
        <f>BK163</f>
        <v>0</v>
      </c>
      <c r="L163" s="71"/>
      <c r="M163" s="76"/>
      <c r="P163" s="77">
        <f>SUM(P164:P272)</f>
        <v>0</v>
      </c>
      <c r="R163" s="77">
        <f>SUM(R164:R272)</f>
        <v>0</v>
      </c>
      <c r="T163" s="78">
        <f>SUM(T164:T272)</f>
        <v>0</v>
      </c>
      <c r="AR163" s="73" t="s">
        <v>82</v>
      </c>
      <c r="AT163" s="79" t="s">
        <v>79</v>
      </c>
      <c r="AU163" s="79" t="s">
        <v>80</v>
      </c>
      <c r="AY163" s="73" t="s">
        <v>83</v>
      </c>
      <c r="BK163" s="80">
        <f>SUM(BK164:BK272)</f>
        <v>0</v>
      </c>
    </row>
    <row r="164" spans="2:65" s="14" customFormat="1" ht="24.15" customHeight="1" x14ac:dyDescent="0.2">
      <c r="B164" s="81"/>
      <c r="C164" s="82" t="s">
        <v>156</v>
      </c>
      <c r="D164" s="82" t="s">
        <v>85</v>
      </c>
      <c r="E164" s="83" t="s">
        <v>157</v>
      </c>
      <c r="F164" s="84" t="s">
        <v>158</v>
      </c>
      <c r="G164" s="85" t="s">
        <v>88</v>
      </c>
      <c r="H164" s="86">
        <v>40.787999999999997</v>
      </c>
      <c r="I164" s="87">
        <v>0</v>
      </c>
      <c r="J164" s="87">
        <f>ROUND(I164*H164,2)</f>
        <v>0</v>
      </c>
      <c r="K164" s="88"/>
      <c r="L164" s="13"/>
      <c r="M164" s="89" t="s">
        <v>3</v>
      </c>
      <c r="N164" s="90" t="s">
        <v>36</v>
      </c>
      <c r="O164" s="91">
        <v>0</v>
      </c>
      <c r="P164" s="91">
        <f>O164*H164</f>
        <v>0</v>
      </c>
      <c r="Q164" s="91">
        <v>0</v>
      </c>
      <c r="R164" s="91">
        <f>Q164*H164</f>
        <v>0</v>
      </c>
      <c r="S164" s="91">
        <v>0</v>
      </c>
      <c r="T164" s="92">
        <f>S164*H164</f>
        <v>0</v>
      </c>
      <c r="AR164" s="93" t="s">
        <v>82</v>
      </c>
      <c r="AT164" s="93" t="s">
        <v>85</v>
      </c>
      <c r="AU164" s="93" t="s">
        <v>84</v>
      </c>
      <c r="AY164" s="3" t="s">
        <v>83</v>
      </c>
      <c r="BE164" s="94">
        <f>IF(N164="základní",J164,0)</f>
        <v>0</v>
      </c>
      <c r="BF164" s="94">
        <f>IF(N164="snížená",J164,0)</f>
        <v>0</v>
      </c>
      <c r="BG164" s="94">
        <f>IF(N164="zákl. přenesená",J164,0)</f>
        <v>0</v>
      </c>
      <c r="BH164" s="94">
        <f>IF(N164="sníž. přenesená",J164,0)</f>
        <v>0</v>
      </c>
      <c r="BI164" s="94">
        <f>IF(N164="nulová",J164,0)</f>
        <v>0</v>
      </c>
      <c r="BJ164" s="3" t="s">
        <v>84</v>
      </c>
      <c r="BK164" s="94">
        <f>ROUND(I164*H164,2)</f>
        <v>0</v>
      </c>
      <c r="BL164" s="3" t="s">
        <v>82</v>
      </c>
      <c r="BM164" s="93" t="s">
        <v>159</v>
      </c>
    </row>
    <row r="165" spans="2:65" s="14" customFormat="1" ht="28.8" x14ac:dyDescent="0.2">
      <c r="B165" s="13"/>
      <c r="D165" s="95" t="s">
        <v>90</v>
      </c>
      <c r="F165" s="96" t="s">
        <v>160</v>
      </c>
      <c r="L165" s="13"/>
      <c r="M165" s="97"/>
      <c r="T165" s="98"/>
      <c r="AT165" s="3" t="s">
        <v>90</v>
      </c>
      <c r="AU165" s="3" t="s">
        <v>84</v>
      </c>
    </row>
    <row r="166" spans="2:65" s="107" customFormat="1" x14ac:dyDescent="0.2">
      <c r="B166" s="106"/>
      <c r="D166" s="95" t="s">
        <v>92</v>
      </c>
      <c r="E166" s="108" t="s">
        <v>3</v>
      </c>
      <c r="F166" s="109" t="s">
        <v>161</v>
      </c>
      <c r="H166" s="108" t="s">
        <v>3</v>
      </c>
      <c r="L166" s="106"/>
      <c r="M166" s="110"/>
      <c r="T166" s="111"/>
      <c r="AT166" s="108" t="s">
        <v>92</v>
      </c>
      <c r="AU166" s="108" t="s">
        <v>84</v>
      </c>
      <c r="AV166" s="107" t="s">
        <v>84</v>
      </c>
      <c r="AW166" s="107" t="s">
        <v>95</v>
      </c>
      <c r="AX166" s="107" t="s">
        <v>80</v>
      </c>
      <c r="AY166" s="108" t="s">
        <v>83</v>
      </c>
    </row>
    <row r="167" spans="2:65" s="100" customFormat="1" ht="20.399999999999999" x14ac:dyDescent="0.2">
      <c r="B167" s="99"/>
      <c r="D167" s="95" t="s">
        <v>92</v>
      </c>
      <c r="E167" s="101" t="s">
        <v>162</v>
      </c>
      <c r="F167" s="102" t="s">
        <v>163</v>
      </c>
      <c r="H167" s="103">
        <v>32.801299999999998</v>
      </c>
      <c r="L167" s="99"/>
      <c r="M167" s="104"/>
      <c r="T167" s="105"/>
      <c r="AT167" s="101" t="s">
        <v>92</v>
      </c>
      <c r="AU167" s="101" t="s">
        <v>84</v>
      </c>
      <c r="AV167" s="100" t="s">
        <v>5</v>
      </c>
      <c r="AW167" s="100" t="s">
        <v>95</v>
      </c>
      <c r="AX167" s="100" t="s">
        <v>80</v>
      </c>
      <c r="AY167" s="101" t="s">
        <v>83</v>
      </c>
    </row>
    <row r="168" spans="2:65" s="100" customFormat="1" x14ac:dyDescent="0.2">
      <c r="B168" s="99"/>
      <c r="D168" s="95" t="s">
        <v>92</v>
      </c>
      <c r="E168" s="101" t="s">
        <v>164</v>
      </c>
      <c r="F168" s="102" t="s">
        <v>165</v>
      </c>
      <c r="H168" s="103">
        <v>3.15</v>
      </c>
      <c r="L168" s="99"/>
      <c r="M168" s="104"/>
      <c r="T168" s="105"/>
      <c r="AT168" s="101" t="s">
        <v>92</v>
      </c>
      <c r="AU168" s="101" t="s">
        <v>84</v>
      </c>
      <c r="AV168" s="100" t="s">
        <v>5</v>
      </c>
      <c r="AW168" s="100" t="s">
        <v>95</v>
      </c>
      <c r="AX168" s="100" t="s">
        <v>80</v>
      </c>
      <c r="AY168" s="101" t="s">
        <v>83</v>
      </c>
    </row>
    <row r="169" spans="2:65" s="107" customFormat="1" x14ac:dyDescent="0.2">
      <c r="B169" s="106"/>
      <c r="D169" s="95" t="s">
        <v>92</v>
      </c>
      <c r="E169" s="108" t="s">
        <v>3</v>
      </c>
      <c r="F169" s="109" t="s">
        <v>166</v>
      </c>
      <c r="H169" s="108" t="s">
        <v>3</v>
      </c>
      <c r="L169" s="106"/>
      <c r="M169" s="110"/>
      <c r="T169" s="111"/>
      <c r="AT169" s="108" t="s">
        <v>92</v>
      </c>
      <c r="AU169" s="108" t="s">
        <v>84</v>
      </c>
      <c r="AV169" s="107" t="s">
        <v>84</v>
      </c>
      <c r="AW169" s="107" t="s">
        <v>95</v>
      </c>
      <c r="AX169" s="107" t="s">
        <v>80</v>
      </c>
      <c r="AY169" s="108" t="s">
        <v>83</v>
      </c>
    </row>
    <row r="170" spans="2:65" s="100" customFormat="1" x14ac:dyDescent="0.2">
      <c r="B170" s="99"/>
      <c r="D170" s="95" t="s">
        <v>92</v>
      </c>
      <c r="E170" s="101" t="s">
        <v>167</v>
      </c>
      <c r="F170" s="102" t="s">
        <v>168</v>
      </c>
      <c r="H170" s="103">
        <v>4.8369999999999997</v>
      </c>
      <c r="L170" s="99"/>
      <c r="M170" s="104"/>
      <c r="T170" s="105"/>
      <c r="AT170" s="101" t="s">
        <v>92</v>
      </c>
      <c r="AU170" s="101" t="s">
        <v>84</v>
      </c>
      <c r="AV170" s="100" t="s">
        <v>5</v>
      </c>
      <c r="AW170" s="100" t="s">
        <v>95</v>
      </c>
      <c r="AX170" s="100" t="s">
        <v>80</v>
      </c>
      <c r="AY170" s="101" t="s">
        <v>83</v>
      </c>
    </row>
    <row r="171" spans="2:65" s="100" customFormat="1" x14ac:dyDescent="0.2">
      <c r="B171" s="99"/>
      <c r="D171" s="95" t="s">
        <v>92</v>
      </c>
      <c r="E171" s="101" t="s">
        <v>3</v>
      </c>
      <c r="F171" s="102" t="s">
        <v>169</v>
      </c>
      <c r="H171" s="103">
        <v>40.787999999999997</v>
      </c>
      <c r="L171" s="99"/>
      <c r="M171" s="104"/>
      <c r="T171" s="105"/>
      <c r="AT171" s="101" t="s">
        <v>92</v>
      </c>
      <c r="AU171" s="101" t="s">
        <v>84</v>
      </c>
      <c r="AV171" s="100" t="s">
        <v>5</v>
      </c>
      <c r="AW171" s="100" t="s">
        <v>95</v>
      </c>
      <c r="AX171" s="100" t="s">
        <v>84</v>
      </c>
      <c r="AY171" s="101" t="s">
        <v>83</v>
      </c>
    </row>
    <row r="172" spans="2:65" s="14" customFormat="1" ht="24.15" customHeight="1" x14ac:dyDescent="0.2">
      <c r="B172" s="81"/>
      <c r="C172" s="82" t="s">
        <v>170</v>
      </c>
      <c r="D172" s="82" t="s">
        <v>85</v>
      </c>
      <c r="E172" s="83" t="s">
        <v>171</v>
      </c>
      <c r="F172" s="84" t="s">
        <v>172</v>
      </c>
      <c r="G172" s="85" t="s">
        <v>173</v>
      </c>
      <c r="H172" s="86">
        <v>97.24</v>
      </c>
      <c r="I172" s="87">
        <v>0</v>
      </c>
      <c r="J172" s="87">
        <f>ROUND(I172*H172,2)</f>
        <v>0</v>
      </c>
      <c r="K172" s="88"/>
      <c r="L172" s="13"/>
      <c r="M172" s="89" t="s">
        <v>3</v>
      </c>
      <c r="N172" s="90" t="s">
        <v>36</v>
      </c>
      <c r="O172" s="91">
        <v>0</v>
      </c>
      <c r="P172" s="91">
        <f>O172*H172</f>
        <v>0</v>
      </c>
      <c r="Q172" s="91">
        <v>0</v>
      </c>
      <c r="R172" s="91">
        <f>Q172*H172</f>
        <v>0</v>
      </c>
      <c r="S172" s="91">
        <v>0</v>
      </c>
      <c r="T172" s="92">
        <f>S172*H172</f>
        <v>0</v>
      </c>
      <c r="AR172" s="93" t="s">
        <v>82</v>
      </c>
      <c r="AT172" s="93" t="s">
        <v>85</v>
      </c>
      <c r="AU172" s="93" t="s">
        <v>84</v>
      </c>
      <c r="AY172" s="3" t="s">
        <v>83</v>
      </c>
      <c r="BE172" s="94">
        <f>IF(N172="základní",J172,0)</f>
        <v>0</v>
      </c>
      <c r="BF172" s="94">
        <f>IF(N172="snížená",J172,0)</f>
        <v>0</v>
      </c>
      <c r="BG172" s="94">
        <f>IF(N172="zákl. přenesená",J172,0)</f>
        <v>0</v>
      </c>
      <c r="BH172" s="94">
        <f>IF(N172="sníž. přenesená",J172,0)</f>
        <v>0</v>
      </c>
      <c r="BI172" s="94">
        <f>IF(N172="nulová",J172,0)</f>
        <v>0</v>
      </c>
      <c r="BJ172" s="3" t="s">
        <v>84</v>
      </c>
      <c r="BK172" s="94">
        <f>ROUND(I172*H172,2)</f>
        <v>0</v>
      </c>
      <c r="BL172" s="3" t="s">
        <v>82</v>
      </c>
      <c r="BM172" s="93" t="s">
        <v>174</v>
      </c>
    </row>
    <row r="173" spans="2:65" s="14" customFormat="1" x14ac:dyDescent="0.2">
      <c r="B173" s="13"/>
      <c r="D173" s="95" t="s">
        <v>90</v>
      </c>
      <c r="F173" s="96" t="s">
        <v>175</v>
      </c>
      <c r="L173" s="13"/>
      <c r="M173" s="97"/>
      <c r="T173" s="98"/>
      <c r="AT173" s="3" t="s">
        <v>90</v>
      </c>
      <c r="AU173" s="3" t="s">
        <v>84</v>
      </c>
    </row>
    <row r="174" spans="2:65" s="100" customFormat="1" x14ac:dyDescent="0.2">
      <c r="B174" s="99"/>
      <c r="D174" s="95" t="s">
        <v>92</v>
      </c>
      <c r="E174" s="101" t="s">
        <v>176</v>
      </c>
      <c r="F174" s="102" t="s">
        <v>177</v>
      </c>
      <c r="H174" s="103">
        <v>20</v>
      </c>
      <c r="L174" s="99"/>
      <c r="M174" s="104"/>
      <c r="T174" s="105"/>
      <c r="AT174" s="101" t="s">
        <v>92</v>
      </c>
      <c r="AU174" s="101" t="s">
        <v>84</v>
      </c>
      <c r="AV174" s="100" t="s">
        <v>5</v>
      </c>
      <c r="AW174" s="100" t="s">
        <v>95</v>
      </c>
      <c r="AX174" s="100" t="s">
        <v>80</v>
      </c>
      <c r="AY174" s="101" t="s">
        <v>83</v>
      </c>
    </row>
    <row r="175" spans="2:65" s="100" customFormat="1" x14ac:dyDescent="0.2">
      <c r="B175" s="99"/>
      <c r="D175" s="95" t="s">
        <v>92</v>
      </c>
      <c r="E175" s="101" t="s">
        <v>178</v>
      </c>
      <c r="F175" s="102" t="s">
        <v>179</v>
      </c>
      <c r="H175" s="103">
        <v>77.240000000000009</v>
      </c>
      <c r="L175" s="99"/>
      <c r="M175" s="104"/>
      <c r="T175" s="105"/>
      <c r="AT175" s="101" t="s">
        <v>92</v>
      </c>
      <c r="AU175" s="101" t="s">
        <v>84</v>
      </c>
      <c r="AV175" s="100" t="s">
        <v>5</v>
      </c>
      <c r="AW175" s="100" t="s">
        <v>95</v>
      </c>
      <c r="AX175" s="100" t="s">
        <v>80</v>
      </c>
      <c r="AY175" s="101" t="s">
        <v>83</v>
      </c>
    </row>
    <row r="176" spans="2:65" s="100" customFormat="1" x14ac:dyDescent="0.2">
      <c r="B176" s="99"/>
      <c r="D176" s="95" t="s">
        <v>92</v>
      </c>
      <c r="E176" s="101" t="s">
        <v>3</v>
      </c>
      <c r="F176" s="102" t="s">
        <v>180</v>
      </c>
      <c r="H176" s="103">
        <v>97.24</v>
      </c>
      <c r="L176" s="99"/>
      <c r="M176" s="104"/>
      <c r="T176" s="105"/>
      <c r="AT176" s="101" t="s">
        <v>92</v>
      </c>
      <c r="AU176" s="101" t="s">
        <v>84</v>
      </c>
      <c r="AV176" s="100" t="s">
        <v>5</v>
      </c>
      <c r="AW176" s="100" t="s">
        <v>95</v>
      </c>
      <c r="AX176" s="100" t="s">
        <v>84</v>
      </c>
      <c r="AY176" s="101" t="s">
        <v>83</v>
      </c>
    </row>
    <row r="177" spans="2:65" s="14" customFormat="1" ht="21.75" customHeight="1" x14ac:dyDescent="0.2">
      <c r="B177" s="81"/>
      <c r="C177" s="82" t="s">
        <v>181</v>
      </c>
      <c r="D177" s="82" t="s">
        <v>85</v>
      </c>
      <c r="E177" s="83" t="s">
        <v>182</v>
      </c>
      <c r="F177" s="84" t="s">
        <v>183</v>
      </c>
      <c r="G177" s="85" t="s">
        <v>88</v>
      </c>
      <c r="H177" s="86">
        <v>99.290999999999997</v>
      </c>
      <c r="I177" s="87">
        <v>0</v>
      </c>
      <c r="J177" s="87">
        <f>ROUND(I177*H177,2)</f>
        <v>0</v>
      </c>
      <c r="K177" s="88"/>
      <c r="L177" s="13"/>
      <c r="M177" s="89" t="s">
        <v>3</v>
      </c>
      <c r="N177" s="90" t="s">
        <v>36</v>
      </c>
      <c r="O177" s="91">
        <v>0</v>
      </c>
      <c r="P177" s="91">
        <f>O177*H177</f>
        <v>0</v>
      </c>
      <c r="Q177" s="91">
        <v>0</v>
      </c>
      <c r="R177" s="91">
        <f>Q177*H177</f>
        <v>0</v>
      </c>
      <c r="S177" s="91">
        <v>0</v>
      </c>
      <c r="T177" s="92">
        <f>S177*H177</f>
        <v>0</v>
      </c>
      <c r="AR177" s="93" t="s">
        <v>82</v>
      </c>
      <c r="AT177" s="93" t="s">
        <v>85</v>
      </c>
      <c r="AU177" s="93" t="s">
        <v>84</v>
      </c>
      <c r="AY177" s="3" t="s">
        <v>83</v>
      </c>
      <c r="BE177" s="94">
        <f>IF(N177="základní",J177,0)</f>
        <v>0</v>
      </c>
      <c r="BF177" s="94">
        <f>IF(N177="snížená",J177,0)</f>
        <v>0</v>
      </c>
      <c r="BG177" s="94">
        <f>IF(N177="zákl. přenesená",J177,0)</f>
        <v>0</v>
      </c>
      <c r="BH177" s="94">
        <f>IF(N177="sníž. přenesená",J177,0)</f>
        <v>0</v>
      </c>
      <c r="BI177" s="94">
        <f>IF(N177="nulová",J177,0)</f>
        <v>0</v>
      </c>
      <c r="BJ177" s="3" t="s">
        <v>84</v>
      </c>
      <c r="BK177" s="94">
        <f>ROUND(I177*H177,2)</f>
        <v>0</v>
      </c>
      <c r="BL177" s="3" t="s">
        <v>82</v>
      </c>
      <c r="BM177" s="93" t="s">
        <v>184</v>
      </c>
    </row>
    <row r="178" spans="2:65" s="14" customFormat="1" ht="19.2" x14ac:dyDescent="0.2">
      <c r="B178" s="13"/>
      <c r="D178" s="95" t="s">
        <v>90</v>
      </c>
      <c r="F178" s="96" t="s">
        <v>185</v>
      </c>
      <c r="L178" s="13"/>
      <c r="M178" s="97"/>
      <c r="T178" s="98"/>
      <c r="AT178" s="3" t="s">
        <v>90</v>
      </c>
      <c r="AU178" s="3" t="s">
        <v>84</v>
      </c>
    </row>
    <row r="179" spans="2:65" s="100" customFormat="1" x14ac:dyDescent="0.2">
      <c r="B179" s="99"/>
      <c r="D179" s="95" t="s">
        <v>92</v>
      </c>
      <c r="E179" s="101" t="s">
        <v>186</v>
      </c>
      <c r="F179" s="102" t="s">
        <v>187</v>
      </c>
      <c r="H179" s="103">
        <v>99.291000000000011</v>
      </c>
      <c r="L179" s="99"/>
      <c r="M179" s="104"/>
      <c r="T179" s="105"/>
      <c r="AT179" s="101" t="s">
        <v>92</v>
      </c>
      <c r="AU179" s="101" t="s">
        <v>84</v>
      </c>
      <c r="AV179" s="100" t="s">
        <v>5</v>
      </c>
      <c r="AW179" s="100" t="s">
        <v>95</v>
      </c>
      <c r="AX179" s="100" t="s">
        <v>80</v>
      </c>
      <c r="AY179" s="101" t="s">
        <v>83</v>
      </c>
    </row>
    <row r="180" spans="2:65" s="100" customFormat="1" x14ac:dyDescent="0.2">
      <c r="B180" s="99"/>
      <c r="D180" s="95" t="s">
        <v>92</v>
      </c>
      <c r="E180" s="101" t="s">
        <v>3</v>
      </c>
      <c r="F180" s="102" t="s">
        <v>188</v>
      </c>
      <c r="H180" s="103">
        <v>99.290999999999997</v>
      </c>
      <c r="L180" s="99"/>
      <c r="M180" s="104"/>
      <c r="T180" s="105"/>
      <c r="AT180" s="101" t="s">
        <v>92</v>
      </c>
      <c r="AU180" s="101" t="s">
        <v>84</v>
      </c>
      <c r="AV180" s="100" t="s">
        <v>5</v>
      </c>
      <c r="AW180" s="100" t="s">
        <v>95</v>
      </c>
      <c r="AX180" s="100" t="s">
        <v>84</v>
      </c>
      <c r="AY180" s="101" t="s">
        <v>83</v>
      </c>
    </row>
    <row r="181" spans="2:65" s="14" customFormat="1" ht="16.5" customHeight="1" x14ac:dyDescent="0.2">
      <c r="B181" s="81"/>
      <c r="C181" s="82" t="s">
        <v>189</v>
      </c>
      <c r="D181" s="82" t="s">
        <v>85</v>
      </c>
      <c r="E181" s="83" t="s">
        <v>190</v>
      </c>
      <c r="F181" s="84" t="s">
        <v>191</v>
      </c>
      <c r="G181" s="85" t="s">
        <v>88</v>
      </c>
      <c r="H181" s="86">
        <v>3125.5569999999998</v>
      </c>
      <c r="I181" s="87">
        <v>0</v>
      </c>
      <c r="J181" s="87">
        <f>ROUND(I181*H181,2)</f>
        <v>0</v>
      </c>
      <c r="K181" s="88"/>
      <c r="L181" s="13"/>
      <c r="M181" s="89" t="s">
        <v>3</v>
      </c>
      <c r="N181" s="90" t="s">
        <v>36</v>
      </c>
      <c r="O181" s="91">
        <v>0</v>
      </c>
      <c r="P181" s="91">
        <f>O181*H181</f>
        <v>0</v>
      </c>
      <c r="Q181" s="91">
        <v>0</v>
      </c>
      <c r="R181" s="91">
        <f>Q181*H181</f>
        <v>0</v>
      </c>
      <c r="S181" s="91">
        <v>0</v>
      </c>
      <c r="T181" s="92">
        <f>S181*H181</f>
        <v>0</v>
      </c>
      <c r="AR181" s="93" t="s">
        <v>82</v>
      </c>
      <c r="AT181" s="93" t="s">
        <v>85</v>
      </c>
      <c r="AU181" s="93" t="s">
        <v>84</v>
      </c>
      <c r="AY181" s="3" t="s">
        <v>83</v>
      </c>
      <c r="BE181" s="94">
        <f>IF(N181="základní",J181,0)</f>
        <v>0</v>
      </c>
      <c r="BF181" s="94">
        <f>IF(N181="snížená",J181,0)</f>
        <v>0</v>
      </c>
      <c r="BG181" s="94">
        <f>IF(N181="zákl. přenesená",J181,0)</f>
        <v>0</v>
      </c>
      <c r="BH181" s="94">
        <f>IF(N181="sníž. přenesená",J181,0)</f>
        <v>0</v>
      </c>
      <c r="BI181" s="94">
        <f>IF(N181="nulová",J181,0)</f>
        <v>0</v>
      </c>
      <c r="BJ181" s="3" t="s">
        <v>84</v>
      </c>
      <c r="BK181" s="94">
        <f>ROUND(I181*H181,2)</f>
        <v>0</v>
      </c>
      <c r="BL181" s="3" t="s">
        <v>82</v>
      </c>
      <c r="BM181" s="93" t="s">
        <v>192</v>
      </c>
    </row>
    <row r="182" spans="2:65" s="14" customFormat="1" x14ac:dyDescent="0.2">
      <c r="B182" s="13"/>
      <c r="D182" s="95" t="s">
        <v>90</v>
      </c>
      <c r="F182" s="96" t="s">
        <v>193</v>
      </c>
      <c r="L182" s="13"/>
      <c r="M182" s="97"/>
      <c r="T182" s="98"/>
      <c r="AT182" s="3" t="s">
        <v>90</v>
      </c>
      <c r="AU182" s="3" t="s">
        <v>84</v>
      </c>
    </row>
    <row r="183" spans="2:65" s="100" customFormat="1" x14ac:dyDescent="0.2">
      <c r="B183" s="99"/>
      <c r="D183" s="95" t="s">
        <v>92</v>
      </c>
      <c r="E183" s="101" t="s">
        <v>194</v>
      </c>
      <c r="F183" s="102" t="s">
        <v>195</v>
      </c>
      <c r="H183" s="103">
        <v>3099.181</v>
      </c>
      <c r="L183" s="99"/>
      <c r="M183" s="104"/>
      <c r="T183" s="105"/>
      <c r="AT183" s="101" t="s">
        <v>92</v>
      </c>
      <c r="AU183" s="101" t="s">
        <v>84</v>
      </c>
      <c r="AV183" s="100" t="s">
        <v>5</v>
      </c>
      <c r="AW183" s="100" t="s">
        <v>95</v>
      </c>
      <c r="AX183" s="100" t="s">
        <v>80</v>
      </c>
      <c r="AY183" s="101" t="s">
        <v>83</v>
      </c>
    </row>
    <row r="184" spans="2:65" s="100" customFormat="1" x14ac:dyDescent="0.2">
      <c r="B184" s="99"/>
      <c r="D184" s="95" t="s">
        <v>92</v>
      </c>
      <c r="E184" s="101" t="s">
        <v>196</v>
      </c>
      <c r="F184" s="102" t="s">
        <v>197</v>
      </c>
      <c r="H184" s="103">
        <v>26.376000000000001</v>
      </c>
      <c r="L184" s="99"/>
      <c r="M184" s="104"/>
      <c r="T184" s="105"/>
      <c r="AT184" s="101" t="s">
        <v>92</v>
      </c>
      <c r="AU184" s="101" t="s">
        <v>84</v>
      </c>
      <c r="AV184" s="100" t="s">
        <v>5</v>
      </c>
      <c r="AW184" s="100" t="s">
        <v>95</v>
      </c>
      <c r="AX184" s="100" t="s">
        <v>80</v>
      </c>
      <c r="AY184" s="101" t="s">
        <v>83</v>
      </c>
    </row>
    <row r="185" spans="2:65" s="100" customFormat="1" x14ac:dyDescent="0.2">
      <c r="B185" s="99"/>
      <c r="D185" s="95" t="s">
        <v>92</v>
      </c>
      <c r="E185" s="101" t="s">
        <v>3</v>
      </c>
      <c r="F185" s="102" t="s">
        <v>198</v>
      </c>
      <c r="H185" s="103">
        <v>3125.5569999999998</v>
      </c>
      <c r="L185" s="99"/>
      <c r="M185" s="104"/>
      <c r="T185" s="105"/>
      <c r="AT185" s="101" t="s">
        <v>92</v>
      </c>
      <c r="AU185" s="101" t="s">
        <v>84</v>
      </c>
      <c r="AV185" s="100" t="s">
        <v>5</v>
      </c>
      <c r="AW185" s="100" t="s">
        <v>95</v>
      </c>
      <c r="AX185" s="100" t="s">
        <v>84</v>
      </c>
      <c r="AY185" s="101" t="s">
        <v>83</v>
      </c>
    </row>
    <row r="186" spans="2:65" s="14" customFormat="1" ht="16.5" customHeight="1" x14ac:dyDescent="0.2">
      <c r="B186" s="81"/>
      <c r="C186" s="82" t="s">
        <v>199</v>
      </c>
      <c r="D186" s="82" t="s">
        <v>85</v>
      </c>
      <c r="E186" s="83" t="s">
        <v>200</v>
      </c>
      <c r="F186" s="84" t="s">
        <v>191</v>
      </c>
      <c r="G186" s="85" t="s">
        <v>88</v>
      </c>
      <c r="H186" s="86">
        <v>15.627000000000001</v>
      </c>
      <c r="I186" s="87">
        <v>0</v>
      </c>
      <c r="J186" s="87">
        <f>ROUND(I186*H186,2)</f>
        <v>0</v>
      </c>
      <c r="K186" s="88"/>
      <c r="L186" s="13"/>
      <c r="M186" s="89" t="s">
        <v>3</v>
      </c>
      <c r="N186" s="90" t="s">
        <v>36</v>
      </c>
      <c r="O186" s="91">
        <v>0</v>
      </c>
      <c r="P186" s="91">
        <f>O186*H186</f>
        <v>0</v>
      </c>
      <c r="Q186" s="91">
        <v>0</v>
      </c>
      <c r="R186" s="91">
        <f>Q186*H186</f>
        <v>0</v>
      </c>
      <c r="S186" s="91">
        <v>0</v>
      </c>
      <c r="T186" s="92">
        <f>S186*H186</f>
        <v>0</v>
      </c>
      <c r="AR186" s="93" t="s">
        <v>82</v>
      </c>
      <c r="AT186" s="93" t="s">
        <v>85</v>
      </c>
      <c r="AU186" s="93" t="s">
        <v>84</v>
      </c>
      <c r="AY186" s="3" t="s">
        <v>83</v>
      </c>
      <c r="BE186" s="94">
        <f>IF(N186="základní",J186,0)</f>
        <v>0</v>
      </c>
      <c r="BF186" s="94">
        <f>IF(N186="snížená",J186,0)</f>
        <v>0</v>
      </c>
      <c r="BG186" s="94">
        <f>IF(N186="zákl. přenesená",J186,0)</f>
        <v>0</v>
      </c>
      <c r="BH186" s="94">
        <f>IF(N186="sníž. přenesená",J186,0)</f>
        <v>0</v>
      </c>
      <c r="BI186" s="94">
        <f>IF(N186="nulová",J186,0)</f>
        <v>0</v>
      </c>
      <c r="BJ186" s="3" t="s">
        <v>84</v>
      </c>
      <c r="BK186" s="94">
        <f>ROUND(I186*H186,2)</f>
        <v>0</v>
      </c>
      <c r="BL186" s="3" t="s">
        <v>82</v>
      </c>
      <c r="BM186" s="93" t="s">
        <v>201</v>
      </c>
    </row>
    <row r="187" spans="2:65" s="14" customFormat="1" x14ac:dyDescent="0.2">
      <c r="B187" s="13"/>
      <c r="D187" s="95" t="s">
        <v>90</v>
      </c>
      <c r="F187" s="96" t="s">
        <v>202</v>
      </c>
      <c r="L187" s="13"/>
      <c r="M187" s="97"/>
      <c r="T187" s="98"/>
      <c r="AT187" s="3" t="s">
        <v>90</v>
      </c>
      <c r="AU187" s="3" t="s">
        <v>84</v>
      </c>
    </row>
    <row r="188" spans="2:65" s="100" customFormat="1" x14ac:dyDescent="0.2">
      <c r="B188" s="99"/>
      <c r="D188" s="95" t="s">
        <v>92</v>
      </c>
      <c r="E188" s="101" t="s">
        <v>203</v>
      </c>
      <c r="F188" s="102" t="s">
        <v>204</v>
      </c>
      <c r="H188" s="103">
        <v>15.62655</v>
      </c>
      <c r="L188" s="99"/>
      <c r="M188" s="104"/>
      <c r="T188" s="105"/>
      <c r="AT188" s="101" t="s">
        <v>92</v>
      </c>
      <c r="AU188" s="101" t="s">
        <v>84</v>
      </c>
      <c r="AV188" s="100" t="s">
        <v>5</v>
      </c>
      <c r="AW188" s="100" t="s">
        <v>95</v>
      </c>
      <c r="AX188" s="100" t="s">
        <v>80</v>
      </c>
      <c r="AY188" s="101" t="s">
        <v>83</v>
      </c>
    </row>
    <row r="189" spans="2:65" s="100" customFormat="1" x14ac:dyDescent="0.2">
      <c r="B189" s="99"/>
      <c r="D189" s="95" t="s">
        <v>92</v>
      </c>
      <c r="E189" s="101" t="s">
        <v>3</v>
      </c>
      <c r="F189" s="102" t="s">
        <v>205</v>
      </c>
      <c r="H189" s="103">
        <v>15.627000000000001</v>
      </c>
      <c r="L189" s="99"/>
      <c r="M189" s="104"/>
      <c r="T189" s="105"/>
      <c r="AT189" s="101" t="s">
        <v>92</v>
      </c>
      <c r="AU189" s="101" t="s">
        <v>84</v>
      </c>
      <c r="AV189" s="100" t="s">
        <v>5</v>
      </c>
      <c r="AW189" s="100" t="s">
        <v>95</v>
      </c>
      <c r="AX189" s="100" t="s">
        <v>84</v>
      </c>
      <c r="AY189" s="101" t="s">
        <v>83</v>
      </c>
    </row>
    <row r="190" spans="2:65" s="14" customFormat="1" ht="16.5" customHeight="1" x14ac:dyDescent="0.2">
      <c r="B190" s="81"/>
      <c r="C190" s="82" t="s">
        <v>206</v>
      </c>
      <c r="D190" s="82" t="s">
        <v>85</v>
      </c>
      <c r="E190" s="83" t="s">
        <v>207</v>
      </c>
      <c r="F190" s="84" t="s">
        <v>208</v>
      </c>
      <c r="G190" s="85" t="s">
        <v>88</v>
      </c>
      <c r="H190" s="86">
        <v>290.79300000000001</v>
      </c>
      <c r="I190" s="87">
        <v>0</v>
      </c>
      <c r="J190" s="87">
        <f>ROUND(I190*H190,2)</f>
        <v>0</v>
      </c>
      <c r="K190" s="88"/>
      <c r="L190" s="13"/>
      <c r="M190" s="89" t="s">
        <v>3</v>
      </c>
      <c r="N190" s="90" t="s">
        <v>36</v>
      </c>
      <c r="O190" s="91">
        <v>0</v>
      </c>
      <c r="P190" s="91">
        <f>O190*H190</f>
        <v>0</v>
      </c>
      <c r="Q190" s="91">
        <v>0</v>
      </c>
      <c r="R190" s="91">
        <f>Q190*H190</f>
        <v>0</v>
      </c>
      <c r="S190" s="91">
        <v>0</v>
      </c>
      <c r="T190" s="92">
        <f>S190*H190</f>
        <v>0</v>
      </c>
      <c r="AR190" s="93" t="s">
        <v>82</v>
      </c>
      <c r="AT190" s="93" t="s">
        <v>85</v>
      </c>
      <c r="AU190" s="93" t="s">
        <v>84</v>
      </c>
      <c r="AY190" s="3" t="s">
        <v>83</v>
      </c>
      <c r="BE190" s="94">
        <f>IF(N190="základní",J190,0)</f>
        <v>0</v>
      </c>
      <c r="BF190" s="94">
        <f>IF(N190="snížená",J190,0)</f>
        <v>0</v>
      </c>
      <c r="BG190" s="94">
        <f>IF(N190="zákl. přenesená",J190,0)</f>
        <v>0</v>
      </c>
      <c r="BH190" s="94">
        <f>IF(N190="sníž. přenesená",J190,0)</f>
        <v>0</v>
      </c>
      <c r="BI190" s="94">
        <f>IF(N190="nulová",J190,0)</f>
        <v>0</v>
      </c>
      <c r="BJ190" s="3" t="s">
        <v>84</v>
      </c>
      <c r="BK190" s="94">
        <f>ROUND(I190*H190,2)</f>
        <v>0</v>
      </c>
      <c r="BL190" s="3" t="s">
        <v>82</v>
      </c>
      <c r="BM190" s="93" t="s">
        <v>209</v>
      </c>
    </row>
    <row r="191" spans="2:65" s="14" customFormat="1" ht="19.2" x14ac:dyDescent="0.2">
      <c r="B191" s="13"/>
      <c r="D191" s="95" t="s">
        <v>90</v>
      </c>
      <c r="F191" s="96" t="s">
        <v>210</v>
      </c>
      <c r="L191" s="13"/>
      <c r="M191" s="97"/>
      <c r="T191" s="98"/>
      <c r="AT191" s="3" t="s">
        <v>90</v>
      </c>
      <c r="AU191" s="3" t="s">
        <v>84</v>
      </c>
    </row>
    <row r="192" spans="2:65" s="100" customFormat="1" x14ac:dyDescent="0.2">
      <c r="B192" s="99"/>
      <c r="D192" s="95" t="s">
        <v>92</v>
      </c>
      <c r="E192" s="101" t="s">
        <v>2</v>
      </c>
      <c r="F192" s="102" t="s">
        <v>211</v>
      </c>
      <c r="H192" s="103">
        <v>469.92599999999999</v>
      </c>
      <c r="L192" s="99"/>
      <c r="M192" s="104"/>
      <c r="T192" s="105"/>
      <c r="AT192" s="101" t="s">
        <v>92</v>
      </c>
      <c r="AU192" s="101" t="s">
        <v>84</v>
      </c>
      <c r="AV192" s="100" t="s">
        <v>5</v>
      </c>
      <c r="AW192" s="100" t="s">
        <v>95</v>
      </c>
      <c r="AX192" s="100" t="s">
        <v>80</v>
      </c>
      <c r="AY192" s="101" t="s">
        <v>83</v>
      </c>
    </row>
    <row r="193" spans="2:65" s="100" customFormat="1" x14ac:dyDescent="0.2">
      <c r="B193" s="99"/>
      <c r="D193" s="95" t="s">
        <v>92</v>
      </c>
      <c r="E193" s="101" t="s">
        <v>212</v>
      </c>
      <c r="F193" s="102" t="s">
        <v>213</v>
      </c>
      <c r="H193" s="103">
        <v>1064.8657499999999</v>
      </c>
      <c r="L193" s="99"/>
      <c r="M193" s="104"/>
      <c r="T193" s="105"/>
      <c r="AT193" s="101" t="s">
        <v>92</v>
      </c>
      <c r="AU193" s="101" t="s">
        <v>84</v>
      </c>
      <c r="AV193" s="100" t="s">
        <v>5</v>
      </c>
      <c r="AW193" s="100" t="s">
        <v>95</v>
      </c>
      <c r="AX193" s="100" t="s">
        <v>80</v>
      </c>
      <c r="AY193" s="101" t="s">
        <v>83</v>
      </c>
    </row>
    <row r="194" spans="2:65" s="100" customFormat="1" x14ac:dyDescent="0.2">
      <c r="B194" s="99"/>
      <c r="D194" s="95" t="s">
        <v>92</v>
      </c>
      <c r="E194" s="101" t="s">
        <v>214</v>
      </c>
      <c r="F194" s="102" t="s">
        <v>215</v>
      </c>
      <c r="H194" s="103">
        <v>862.91449999999986</v>
      </c>
      <c r="L194" s="99"/>
      <c r="M194" s="104"/>
      <c r="T194" s="105"/>
      <c r="AT194" s="101" t="s">
        <v>92</v>
      </c>
      <c r="AU194" s="101" t="s">
        <v>84</v>
      </c>
      <c r="AV194" s="100" t="s">
        <v>5</v>
      </c>
      <c r="AW194" s="100" t="s">
        <v>95</v>
      </c>
      <c r="AX194" s="100" t="s">
        <v>80</v>
      </c>
      <c r="AY194" s="101" t="s">
        <v>83</v>
      </c>
    </row>
    <row r="195" spans="2:65" s="100" customFormat="1" x14ac:dyDescent="0.2">
      <c r="B195" s="99"/>
      <c r="D195" s="95" t="s">
        <v>92</v>
      </c>
      <c r="E195" s="101" t="s">
        <v>216</v>
      </c>
      <c r="F195" s="102" t="s">
        <v>217</v>
      </c>
      <c r="H195" s="103">
        <v>444.16710000000006</v>
      </c>
      <c r="L195" s="99"/>
      <c r="M195" s="104"/>
      <c r="T195" s="105"/>
      <c r="AT195" s="101" t="s">
        <v>92</v>
      </c>
      <c r="AU195" s="101" t="s">
        <v>84</v>
      </c>
      <c r="AV195" s="100" t="s">
        <v>5</v>
      </c>
      <c r="AW195" s="100" t="s">
        <v>95</v>
      </c>
      <c r="AX195" s="100" t="s">
        <v>80</v>
      </c>
      <c r="AY195" s="101" t="s">
        <v>83</v>
      </c>
    </row>
    <row r="196" spans="2:65" s="100" customFormat="1" ht="20.399999999999999" x14ac:dyDescent="0.2">
      <c r="B196" s="99"/>
      <c r="D196" s="95" t="s">
        <v>92</v>
      </c>
      <c r="E196" s="101" t="s">
        <v>218</v>
      </c>
      <c r="F196" s="102" t="s">
        <v>219</v>
      </c>
      <c r="H196" s="103">
        <v>540</v>
      </c>
      <c r="L196" s="99"/>
      <c r="M196" s="104"/>
      <c r="T196" s="105"/>
      <c r="AT196" s="101" t="s">
        <v>92</v>
      </c>
      <c r="AU196" s="101" t="s">
        <v>84</v>
      </c>
      <c r="AV196" s="100" t="s">
        <v>5</v>
      </c>
      <c r="AW196" s="100" t="s">
        <v>95</v>
      </c>
      <c r="AX196" s="100" t="s">
        <v>80</v>
      </c>
      <c r="AY196" s="101" t="s">
        <v>83</v>
      </c>
    </row>
    <row r="197" spans="2:65" s="100" customFormat="1" ht="20.399999999999999" x14ac:dyDescent="0.2">
      <c r="B197" s="99"/>
      <c r="D197" s="95" t="s">
        <v>92</v>
      </c>
      <c r="E197" s="101" t="s">
        <v>220</v>
      </c>
      <c r="F197" s="102" t="s">
        <v>221</v>
      </c>
      <c r="H197" s="103">
        <v>34.475999999999999</v>
      </c>
      <c r="L197" s="99"/>
      <c r="M197" s="104"/>
      <c r="T197" s="105"/>
      <c r="AT197" s="101" t="s">
        <v>92</v>
      </c>
      <c r="AU197" s="101" t="s">
        <v>84</v>
      </c>
      <c r="AV197" s="100" t="s">
        <v>5</v>
      </c>
      <c r="AW197" s="100" t="s">
        <v>95</v>
      </c>
      <c r="AX197" s="100" t="s">
        <v>80</v>
      </c>
      <c r="AY197" s="101" t="s">
        <v>83</v>
      </c>
    </row>
    <row r="198" spans="2:65" s="100" customFormat="1" ht="20.399999999999999" x14ac:dyDescent="0.2">
      <c r="B198" s="99"/>
      <c r="D198" s="95" t="s">
        <v>92</v>
      </c>
      <c r="E198" s="101" t="s">
        <v>222</v>
      </c>
      <c r="F198" s="102" t="s">
        <v>223</v>
      </c>
      <c r="H198" s="103">
        <v>-3125.5570000000002</v>
      </c>
      <c r="L198" s="99"/>
      <c r="M198" s="104"/>
      <c r="T198" s="105"/>
      <c r="AT198" s="101" t="s">
        <v>92</v>
      </c>
      <c r="AU198" s="101" t="s">
        <v>84</v>
      </c>
      <c r="AV198" s="100" t="s">
        <v>5</v>
      </c>
      <c r="AW198" s="100" t="s">
        <v>95</v>
      </c>
      <c r="AX198" s="100" t="s">
        <v>80</v>
      </c>
      <c r="AY198" s="101" t="s">
        <v>83</v>
      </c>
    </row>
    <row r="199" spans="2:65" s="100" customFormat="1" x14ac:dyDescent="0.2">
      <c r="B199" s="99"/>
      <c r="D199" s="95" t="s">
        <v>92</v>
      </c>
      <c r="E199" s="101" t="s">
        <v>3</v>
      </c>
      <c r="F199" s="102" t="s">
        <v>224</v>
      </c>
      <c r="H199" s="103">
        <v>290.79300000000001</v>
      </c>
      <c r="L199" s="99"/>
      <c r="M199" s="104"/>
      <c r="T199" s="105"/>
      <c r="AT199" s="101" t="s">
        <v>92</v>
      </c>
      <c r="AU199" s="101" t="s">
        <v>84</v>
      </c>
      <c r="AV199" s="100" t="s">
        <v>5</v>
      </c>
      <c r="AW199" s="100" t="s">
        <v>95</v>
      </c>
      <c r="AX199" s="100" t="s">
        <v>84</v>
      </c>
      <c r="AY199" s="101" t="s">
        <v>83</v>
      </c>
    </row>
    <row r="200" spans="2:65" s="14" customFormat="1" ht="16.5" customHeight="1" x14ac:dyDescent="0.2">
      <c r="B200" s="81"/>
      <c r="C200" s="82" t="s">
        <v>225</v>
      </c>
      <c r="D200" s="82" t="s">
        <v>85</v>
      </c>
      <c r="E200" s="83" t="s">
        <v>226</v>
      </c>
      <c r="F200" s="84" t="s">
        <v>208</v>
      </c>
      <c r="G200" s="85" t="s">
        <v>88</v>
      </c>
      <c r="H200" s="86">
        <v>3125.5569999999998</v>
      </c>
      <c r="I200" s="87">
        <v>0</v>
      </c>
      <c r="J200" s="87">
        <f>ROUND(I200*H200,2)</f>
        <v>0</v>
      </c>
      <c r="K200" s="88"/>
      <c r="L200" s="13"/>
      <c r="M200" s="89" t="s">
        <v>3</v>
      </c>
      <c r="N200" s="90" t="s">
        <v>36</v>
      </c>
      <c r="O200" s="91">
        <v>0</v>
      </c>
      <c r="P200" s="91">
        <f>O200*H200</f>
        <v>0</v>
      </c>
      <c r="Q200" s="91">
        <v>0</v>
      </c>
      <c r="R200" s="91">
        <f>Q200*H200</f>
        <v>0</v>
      </c>
      <c r="S200" s="91">
        <v>0</v>
      </c>
      <c r="T200" s="92">
        <f>S200*H200</f>
        <v>0</v>
      </c>
      <c r="AR200" s="93" t="s">
        <v>82</v>
      </c>
      <c r="AT200" s="93" t="s">
        <v>85</v>
      </c>
      <c r="AU200" s="93" t="s">
        <v>84</v>
      </c>
      <c r="AY200" s="3" t="s">
        <v>83</v>
      </c>
      <c r="BE200" s="94">
        <f>IF(N200="základní",J200,0)</f>
        <v>0</v>
      </c>
      <c r="BF200" s="94">
        <f>IF(N200="snížená",J200,0)</f>
        <v>0</v>
      </c>
      <c r="BG200" s="94">
        <f>IF(N200="zákl. přenesená",J200,0)</f>
        <v>0</v>
      </c>
      <c r="BH200" s="94">
        <f>IF(N200="sníž. přenesená",J200,0)</f>
        <v>0</v>
      </c>
      <c r="BI200" s="94">
        <f>IF(N200="nulová",J200,0)</f>
        <v>0</v>
      </c>
      <c r="BJ200" s="3" t="s">
        <v>84</v>
      </c>
      <c r="BK200" s="94">
        <f>ROUND(I200*H200,2)</f>
        <v>0</v>
      </c>
      <c r="BL200" s="3" t="s">
        <v>82</v>
      </c>
      <c r="BM200" s="93" t="s">
        <v>227</v>
      </c>
    </row>
    <row r="201" spans="2:65" s="14" customFormat="1" ht="19.2" x14ac:dyDescent="0.2">
      <c r="B201" s="13"/>
      <c r="D201" s="95" t="s">
        <v>90</v>
      </c>
      <c r="F201" s="96" t="s">
        <v>228</v>
      </c>
      <c r="L201" s="13"/>
      <c r="M201" s="97"/>
      <c r="T201" s="98"/>
      <c r="AT201" s="3" t="s">
        <v>90</v>
      </c>
      <c r="AU201" s="3" t="s">
        <v>84</v>
      </c>
    </row>
    <row r="202" spans="2:65" s="100" customFormat="1" x14ac:dyDescent="0.2">
      <c r="B202" s="99"/>
      <c r="D202" s="95" t="s">
        <v>92</v>
      </c>
      <c r="E202" s="101" t="s">
        <v>229</v>
      </c>
      <c r="F202" s="102" t="s">
        <v>195</v>
      </c>
      <c r="H202" s="103">
        <v>3099.181</v>
      </c>
      <c r="L202" s="99"/>
      <c r="M202" s="104"/>
      <c r="T202" s="105"/>
      <c r="AT202" s="101" t="s">
        <v>92</v>
      </c>
      <c r="AU202" s="101" t="s">
        <v>84</v>
      </c>
      <c r="AV202" s="100" t="s">
        <v>5</v>
      </c>
      <c r="AW202" s="100" t="s">
        <v>95</v>
      </c>
      <c r="AX202" s="100" t="s">
        <v>80</v>
      </c>
      <c r="AY202" s="101" t="s">
        <v>83</v>
      </c>
    </row>
    <row r="203" spans="2:65" s="100" customFormat="1" x14ac:dyDescent="0.2">
      <c r="B203" s="99"/>
      <c r="D203" s="95" t="s">
        <v>92</v>
      </c>
      <c r="E203" s="101" t="s">
        <v>230</v>
      </c>
      <c r="F203" s="102" t="s">
        <v>197</v>
      </c>
      <c r="H203" s="103">
        <v>26.376000000000001</v>
      </c>
      <c r="L203" s="99"/>
      <c r="M203" s="104"/>
      <c r="T203" s="105"/>
      <c r="AT203" s="101" t="s">
        <v>92</v>
      </c>
      <c r="AU203" s="101" t="s">
        <v>84</v>
      </c>
      <c r="AV203" s="100" t="s">
        <v>5</v>
      </c>
      <c r="AW203" s="100" t="s">
        <v>95</v>
      </c>
      <c r="AX203" s="100" t="s">
        <v>80</v>
      </c>
      <c r="AY203" s="101" t="s">
        <v>83</v>
      </c>
    </row>
    <row r="204" spans="2:65" s="100" customFormat="1" x14ac:dyDescent="0.2">
      <c r="B204" s="99"/>
      <c r="D204" s="95" t="s">
        <v>92</v>
      </c>
      <c r="E204" s="101" t="s">
        <v>3</v>
      </c>
      <c r="F204" s="102" t="s">
        <v>198</v>
      </c>
      <c r="H204" s="103">
        <v>3125.5569999999998</v>
      </c>
      <c r="L204" s="99"/>
      <c r="M204" s="104"/>
      <c r="T204" s="105"/>
      <c r="AT204" s="101" t="s">
        <v>92</v>
      </c>
      <c r="AU204" s="101" t="s">
        <v>84</v>
      </c>
      <c r="AV204" s="100" t="s">
        <v>5</v>
      </c>
      <c r="AW204" s="100" t="s">
        <v>95</v>
      </c>
      <c r="AX204" s="100" t="s">
        <v>84</v>
      </c>
      <c r="AY204" s="101" t="s">
        <v>83</v>
      </c>
    </row>
    <row r="205" spans="2:65" s="14" customFormat="1" ht="16.5" customHeight="1" x14ac:dyDescent="0.2">
      <c r="B205" s="81"/>
      <c r="C205" s="82" t="s">
        <v>231</v>
      </c>
      <c r="D205" s="82" t="s">
        <v>85</v>
      </c>
      <c r="E205" s="83" t="s">
        <v>232</v>
      </c>
      <c r="F205" s="84" t="s">
        <v>233</v>
      </c>
      <c r="G205" s="85" t="s">
        <v>88</v>
      </c>
      <c r="H205" s="86">
        <v>1375.5719999999999</v>
      </c>
      <c r="I205" s="87">
        <v>0</v>
      </c>
      <c r="J205" s="87">
        <f>ROUND(I205*H205,2)</f>
        <v>0</v>
      </c>
      <c r="K205" s="88"/>
      <c r="L205" s="13"/>
      <c r="M205" s="89" t="s">
        <v>3</v>
      </c>
      <c r="N205" s="90" t="s">
        <v>36</v>
      </c>
      <c r="O205" s="91">
        <v>0</v>
      </c>
      <c r="P205" s="91">
        <f>O205*H205</f>
        <v>0</v>
      </c>
      <c r="Q205" s="91">
        <v>0</v>
      </c>
      <c r="R205" s="91">
        <f>Q205*H205</f>
        <v>0</v>
      </c>
      <c r="S205" s="91">
        <v>0</v>
      </c>
      <c r="T205" s="92">
        <f>S205*H205</f>
        <v>0</v>
      </c>
      <c r="AR205" s="93" t="s">
        <v>82</v>
      </c>
      <c r="AT205" s="93" t="s">
        <v>85</v>
      </c>
      <c r="AU205" s="93" t="s">
        <v>84</v>
      </c>
      <c r="AY205" s="3" t="s">
        <v>83</v>
      </c>
      <c r="BE205" s="94">
        <f>IF(N205="základní",J205,0)</f>
        <v>0</v>
      </c>
      <c r="BF205" s="94">
        <f>IF(N205="snížená",J205,0)</f>
        <v>0</v>
      </c>
      <c r="BG205" s="94">
        <f>IF(N205="zákl. přenesená",J205,0)</f>
        <v>0</v>
      </c>
      <c r="BH205" s="94">
        <f>IF(N205="sníž. přenesená",J205,0)</f>
        <v>0</v>
      </c>
      <c r="BI205" s="94">
        <f>IF(N205="nulová",J205,0)</f>
        <v>0</v>
      </c>
      <c r="BJ205" s="3" t="s">
        <v>84</v>
      </c>
      <c r="BK205" s="94">
        <f>ROUND(I205*H205,2)</f>
        <v>0</v>
      </c>
      <c r="BL205" s="3" t="s">
        <v>82</v>
      </c>
      <c r="BM205" s="93" t="s">
        <v>234</v>
      </c>
    </row>
    <row r="206" spans="2:65" s="14" customFormat="1" ht="19.2" x14ac:dyDescent="0.2">
      <c r="B206" s="13"/>
      <c r="D206" s="95" t="s">
        <v>90</v>
      </c>
      <c r="F206" s="96" t="s">
        <v>210</v>
      </c>
      <c r="L206" s="13"/>
      <c r="M206" s="97"/>
      <c r="T206" s="98"/>
      <c r="AT206" s="3" t="s">
        <v>90</v>
      </c>
      <c r="AU206" s="3" t="s">
        <v>84</v>
      </c>
    </row>
    <row r="207" spans="2:65" s="100" customFormat="1" x14ac:dyDescent="0.2">
      <c r="B207" s="99"/>
      <c r="D207" s="95" t="s">
        <v>92</v>
      </c>
      <c r="E207" s="101" t="s">
        <v>235</v>
      </c>
      <c r="F207" s="102" t="s">
        <v>236</v>
      </c>
      <c r="H207" s="103">
        <v>778.95175000000006</v>
      </c>
      <c r="L207" s="99"/>
      <c r="M207" s="104"/>
      <c r="T207" s="105"/>
      <c r="AT207" s="101" t="s">
        <v>92</v>
      </c>
      <c r="AU207" s="101" t="s">
        <v>84</v>
      </c>
      <c r="AV207" s="100" t="s">
        <v>5</v>
      </c>
      <c r="AW207" s="100" t="s">
        <v>95</v>
      </c>
      <c r="AX207" s="100" t="s">
        <v>80</v>
      </c>
      <c r="AY207" s="101" t="s">
        <v>83</v>
      </c>
    </row>
    <row r="208" spans="2:65" s="100" customFormat="1" x14ac:dyDescent="0.2">
      <c r="B208" s="99"/>
      <c r="D208" s="95" t="s">
        <v>92</v>
      </c>
      <c r="E208" s="101" t="s">
        <v>237</v>
      </c>
      <c r="F208" s="102" t="s">
        <v>238</v>
      </c>
      <c r="H208" s="103">
        <v>596.61980000000005</v>
      </c>
      <c r="L208" s="99"/>
      <c r="M208" s="104"/>
      <c r="T208" s="105"/>
      <c r="AT208" s="101" t="s">
        <v>92</v>
      </c>
      <c r="AU208" s="101" t="s">
        <v>84</v>
      </c>
      <c r="AV208" s="100" t="s">
        <v>5</v>
      </c>
      <c r="AW208" s="100" t="s">
        <v>95</v>
      </c>
      <c r="AX208" s="100" t="s">
        <v>80</v>
      </c>
      <c r="AY208" s="101" t="s">
        <v>83</v>
      </c>
    </row>
    <row r="209" spans="2:65" s="100" customFormat="1" x14ac:dyDescent="0.2">
      <c r="B209" s="99"/>
      <c r="D209" s="95" t="s">
        <v>92</v>
      </c>
      <c r="E209" s="101" t="s">
        <v>3</v>
      </c>
      <c r="F209" s="102" t="s">
        <v>239</v>
      </c>
      <c r="H209" s="103">
        <v>1375.5719999999999</v>
      </c>
      <c r="L209" s="99"/>
      <c r="M209" s="104"/>
      <c r="T209" s="105"/>
      <c r="AT209" s="101" t="s">
        <v>92</v>
      </c>
      <c r="AU209" s="101" t="s">
        <v>84</v>
      </c>
      <c r="AV209" s="100" t="s">
        <v>5</v>
      </c>
      <c r="AW209" s="100" t="s">
        <v>95</v>
      </c>
      <c r="AX209" s="100" t="s">
        <v>84</v>
      </c>
      <c r="AY209" s="101" t="s">
        <v>83</v>
      </c>
    </row>
    <row r="210" spans="2:65" s="14" customFormat="1" ht="16.5" customHeight="1" x14ac:dyDescent="0.2">
      <c r="B210" s="81"/>
      <c r="C210" s="82" t="s">
        <v>240</v>
      </c>
      <c r="D210" s="82" t="s">
        <v>85</v>
      </c>
      <c r="E210" s="83" t="s">
        <v>241</v>
      </c>
      <c r="F210" s="84" t="s">
        <v>242</v>
      </c>
      <c r="G210" s="85" t="s">
        <v>88</v>
      </c>
      <c r="H210" s="86">
        <v>1322.07</v>
      </c>
      <c r="I210" s="87">
        <v>0</v>
      </c>
      <c r="J210" s="87">
        <f>ROUND(I210*H210,2)</f>
        <v>0</v>
      </c>
      <c r="K210" s="88"/>
      <c r="L210" s="13"/>
      <c r="M210" s="89" t="s">
        <v>3</v>
      </c>
      <c r="N210" s="90" t="s">
        <v>36</v>
      </c>
      <c r="O210" s="91">
        <v>0</v>
      </c>
      <c r="P210" s="91">
        <f>O210*H210</f>
        <v>0</v>
      </c>
      <c r="Q210" s="91">
        <v>0</v>
      </c>
      <c r="R210" s="91">
        <f>Q210*H210</f>
        <v>0</v>
      </c>
      <c r="S210" s="91">
        <v>0</v>
      </c>
      <c r="T210" s="92">
        <f>S210*H210</f>
        <v>0</v>
      </c>
      <c r="AR210" s="93" t="s">
        <v>82</v>
      </c>
      <c r="AT210" s="93" t="s">
        <v>85</v>
      </c>
      <c r="AU210" s="93" t="s">
        <v>84</v>
      </c>
      <c r="AY210" s="3" t="s">
        <v>83</v>
      </c>
      <c r="BE210" s="94">
        <f>IF(N210="základní",J210,0)</f>
        <v>0</v>
      </c>
      <c r="BF210" s="94">
        <f>IF(N210="snížená",J210,0)</f>
        <v>0</v>
      </c>
      <c r="BG210" s="94">
        <f>IF(N210="zákl. přenesená",J210,0)</f>
        <v>0</v>
      </c>
      <c r="BH210" s="94">
        <f>IF(N210="sníž. přenesená",J210,0)</f>
        <v>0</v>
      </c>
      <c r="BI210" s="94">
        <f>IF(N210="nulová",J210,0)</f>
        <v>0</v>
      </c>
      <c r="BJ210" s="3" t="s">
        <v>84</v>
      </c>
      <c r="BK210" s="94">
        <f>ROUND(I210*H210,2)</f>
        <v>0</v>
      </c>
      <c r="BL210" s="3" t="s">
        <v>82</v>
      </c>
      <c r="BM210" s="93" t="s">
        <v>243</v>
      </c>
    </row>
    <row r="211" spans="2:65" s="14" customFormat="1" ht="19.2" x14ac:dyDescent="0.2">
      <c r="B211" s="13"/>
      <c r="D211" s="95" t="s">
        <v>90</v>
      </c>
      <c r="F211" s="96" t="s">
        <v>210</v>
      </c>
      <c r="L211" s="13"/>
      <c r="M211" s="97"/>
      <c r="T211" s="98"/>
      <c r="AT211" s="3" t="s">
        <v>90</v>
      </c>
      <c r="AU211" s="3" t="s">
        <v>84</v>
      </c>
    </row>
    <row r="212" spans="2:65" s="100" customFormat="1" x14ac:dyDescent="0.2">
      <c r="B212" s="99"/>
      <c r="D212" s="95" t="s">
        <v>92</v>
      </c>
      <c r="E212" s="101" t="s">
        <v>244</v>
      </c>
      <c r="F212" s="102" t="s">
        <v>245</v>
      </c>
      <c r="H212" s="103">
        <v>832.56099999999992</v>
      </c>
      <c r="L212" s="99"/>
      <c r="M212" s="104"/>
      <c r="T212" s="105"/>
      <c r="AT212" s="101" t="s">
        <v>92</v>
      </c>
      <c r="AU212" s="101" t="s">
        <v>84</v>
      </c>
      <c r="AV212" s="100" t="s">
        <v>5</v>
      </c>
      <c r="AW212" s="100" t="s">
        <v>95</v>
      </c>
      <c r="AX212" s="100" t="s">
        <v>80</v>
      </c>
      <c r="AY212" s="101" t="s">
        <v>83</v>
      </c>
    </row>
    <row r="213" spans="2:65" s="100" customFormat="1" x14ac:dyDescent="0.2">
      <c r="B213" s="99"/>
      <c r="D213" s="95" t="s">
        <v>92</v>
      </c>
      <c r="E213" s="101" t="s">
        <v>246</v>
      </c>
      <c r="F213" s="102" t="s">
        <v>247</v>
      </c>
      <c r="H213" s="103">
        <v>489.50850000000003</v>
      </c>
      <c r="L213" s="99"/>
      <c r="M213" s="104"/>
      <c r="T213" s="105"/>
      <c r="AT213" s="101" t="s">
        <v>92</v>
      </c>
      <c r="AU213" s="101" t="s">
        <v>84</v>
      </c>
      <c r="AV213" s="100" t="s">
        <v>5</v>
      </c>
      <c r="AW213" s="100" t="s">
        <v>95</v>
      </c>
      <c r="AX213" s="100" t="s">
        <v>80</v>
      </c>
      <c r="AY213" s="101" t="s">
        <v>83</v>
      </c>
    </row>
    <row r="214" spans="2:65" s="100" customFormat="1" x14ac:dyDescent="0.2">
      <c r="B214" s="99"/>
      <c r="D214" s="95" t="s">
        <v>92</v>
      </c>
      <c r="E214" s="101" t="s">
        <v>3</v>
      </c>
      <c r="F214" s="102" t="s">
        <v>248</v>
      </c>
      <c r="H214" s="103">
        <v>1322.07</v>
      </c>
      <c r="L214" s="99"/>
      <c r="M214" s="104"/>
      <c r="T214" s="105"/>
      <c r="AT214" s="101" t="s">
        <v>92</v>
      </c>
      <c r="AU214" s="101" t="s">
        <v>84</v>
      </c>
      <c r="AV214" s="100" t="s">
        <v>5</v>
      </c>
      <c r="AW214" s="100" t="s">
        <v>95</v>
      </c>
      <c r="AX214" s="100" t="s">
        <v>84</v>
      </c>
      <c r="AY214" s="101" t="s">
        <v>83</v>
      </c>
    </row>
    <row r="215" spans="2:65" s="14" customFormat="1" ht="24.15" customHeight="1" x14ac:dyDescent="0.2">
      <c r="B215" s="81"/>
      <c r="C215" s="82" t="s">
        <v>249</v>
      </c>
      <c r="D215" s="82" t="s">
        <v>85</v>
      </c>
      <c r="E215" s="83" t="s">
        <v>250</v>
      </c>
      <c r="F215" s="84" t="s">
        <v>251</v>
      </c>
      <c r="G215" s="85" t="s">
        <v>88</v>
      </c>
      <c r="H215" s="86">
        <v>6113.9920000000002</v>
      </c>
      <c r="I215" s="87">
        <v>0</v>
      </c>
      <c r="J215" s="87">
        <f>ROUND(I215*H215,2)</f>
        <v>0</v>
      </c>
      <c r="K215" s="88"/>
      <c r="L215" s="13"/>
      <c r="M215" s="89" t="s">
        <v>3</v>
      </c>
      <c r="N215" s="90" t="s">
        <v>36</v>
      </c>
      <c r="O215" s="91">
        <v>0</v>
      </c>
      <c r="P215" s="91">
        <f>O215*H215</f>
        <v>0</v>
      </c>
      <c r="Q215" s="91">
        <v>0</v>
      </c>
      <c r="R215" s="91">
        <f>Q215*H215</f>
        <v>0</v>
      </c>
      <c r="S215" s="91">
        <v>0</v>
      </c>
      <c r="T215" s="92">
        <f>S215*H215</f>
        <v>0</v>
      </c>
      <c r="AR215" s="93" t="s">
        <v>82</v>
      </c>
      <c r="AT215" s="93" t="s">
        <v>85</v>
      </c>
      <c r="AU215" s="93" t="s">
        <v>84</v>
      </c>
      <c r="AY215" s="3" t="s">
        <v>83</v>
      </c>
      <c r="BE215" s="94">
        <f>IF(N215="základní",J215,0)</f>
        <v>0</v>
      </c>
      <c r="BF215" s="94">
        <f>IF(N215="snížená",J215,0)</f>
        <v>0</v>
      </c>
      <c r="BG215" s="94">
        <f>IF(N215="zákl. přenesená",J215,0)</f>
        <v>0</v>
      </c>
      <c r="BH215" s="94">
        <f>IF(N215="sníž. přenesená",J215,0)</f>
        <v>0</v>
      </c>
      <c r="BI215" s="94">
        <f>IF(N215="nulová",J215,0)</f>
        <v>0</v>
      </c>
      <c r="BJ215" s="3" t="s">
        <v>84</v>
      </c>
      <c r="BK215" s="94">
        <f>ROUND(I215*H215,2)</f>
        <v>0</v>
      </c>
      <c r="BL215" s="3" t="s">
        <v>82</v>
      </c>
      <c r="BM215" s="93" t="s">
        <v>252</v>
      </c>
    </row>
    <row r="216" spans="2:65" s="14" customFormat="1" x14ac:dyDescent="0.2">
      <c r="B216" s="13"/>
      <c r="D216" s="95" t="s">
        <v>90</v>
      </c>
      <c r="F216" s="96" t="s">
        <v>253</v>
      </c>
      <c r="L216" s="13"/>
      <c r="M216" s="97"/>
      <c r="T216" s="98"/>
      <c r="AT216" s="3" t="s">
        <v>90</v>
      </c>
      <c r="AU216" s="3" t="s">
        <v>84</v>
      </c>
    </row>
    <row r="217" spans="2:65" s="100" customFormat="1" x14ac:dyDescent="0.2">
      <c r="B217" s="99"/>
      <c r="D217" s="95" t="s">
        <v>92</v>
      </c>
      <c r="E217" s="101" t="s">
        <v>254</v>
      </c>
      <c r="F217" s="102" t="s">
        <v>255</v>
      </c>
      <c r="H217" s="103">
        <v>290.79300000000001</v>
      </c>
      <c r="L217" s="99"/>
      <c r="M217" s="104"/>
      <c r="T217" s="105"/>
      <c r="AT217" s="101" t="s">
        <v>92</v>
      </c>
      <c r="AU217" s="101" t="s">
        <v>84</v>
      </c>
      <c r="AV217" s="100" t="s">
        <v>5</v>
      </c>
      <c r="AW217" s="100" t="s">
        <v>95</v>
      </c>
      <c r="AX217" s="100" t="s">
        <v>80</v>
      </c>
      <c r="AY217" s="101" t="s">
        <v>83</v>
      </c>
    </row>
    <row r="218" spans="2:65" s="100" customFormat="1" x14ac:dyDescent="0.2">
      <c r="B218" s="99"/>
      <c r="D218" s="95" t="s">
        <v>92</v>
      </c>
      <c r="E218" s="101" t="s">
        <v>256</v>
      </c>
      <c r="F218" s="102" t="s">
        <v>257</v>
      </c>
      <c r="H218" s="103">
        <v>3125.5569999999998</v>
      </c>
      <c r="L218" s="99"/>
      <c r="M218" s="104"/>
      <c r="T218" s="105"/>
      <c r="AT218" s="101" t="s">
        <v>92</v>
      </c>
      <c r="AU218" s="101" t="s">
        <v>84</v>
      </c>
      <c r="AV218" s="100" t="s">
        <v>5</v>
      </c>
      <c r="AW218" s="100" t="s">
        <v>95</v>
      </c>
      <c r="AX218" s="100" t="s">
        <v>80</v>
      </c>
      <c r="AY218" s="101" t="s">
        <v>83</v>
      </c>
    </row>
    <row r="219" spans="2:65" s="100" customFormat="1" x14ac:dyDescent="0.2">
      <c r="B219" s="99"/>
      <c r="D219" s="95" t="s">
        <v>92</v>
      </c>
      <c r="E219" s="101" t="s">
        <v>258</v>
      </c>
      <c r="F219" s="102" t="s">
        <v>97</v>
      </c>
      <c r="H219" s="103">
        <v>1375.5719999999999</v>
      </c>
      <c r="L219" s="99"/>
      <c r="M219" s="104"/>
      <c r="T219" s="105"/>
      <c r="AT219" s="101" t="s">
        <v>92</v>
      </c>
      <c r="AU219" s="101" t="s">
        <v>84</v>
      </c>
      <c r="AV219" s="100" t="s">
        <v>5</v>
      </c>
      <c r="AW219" s="100" t="s">
        <v>95</v>
      </c>
      <c r="AX219" s="100" t="s">
        <v>80</v>
      </c>
      <c r="AY219" s="101" t="s">
        <v>83</v>
      </c>
    </row>
    <row r="220" spans="2:65" s="100" customFormat="1" x14ac:dyDescent="0.2">
      <c r="B220" s="99"/>
      <c r="D220" s="95" t="s">
        <v>92</v>
      </c>
      <c r="E220" s="101" t="s">
        <v>259</v>
      </c>
      <c r="F220" s="102" t="s">
        <v>99</v>
      </c>
      <c r="H220" s="103">
        <v>1322.07</v>
      </c>
      <c r="L220" s="99"/>
      <c r="M220" s="104"/>
      <c r="T220" s="105"/>
      <c r="AT220" s="101" t="s">
        <v>92</v>
      </c>
      <c r="AU220" s="101" t="s">
        <v>84</v>
      </c>
      <c r="AV220" s="100" t="s">
        <v>5</v>
      </c>
      <c r="AW220" s="100" t="s">
        <v>95</v>
      </c>
      <c r="AX220" s="100" t="s">
        <v>80</v>
      </c>
      <c r="AY220" s="101" t="s">
        <v>83</v>
      </c>
    </row>
    <row r="221" spans="2:65" s="100" customFormat="1" x14ac:dyDescent="0.2">
      <c r="B221" s="99"/>
      <c r="D221" s="95" t="s">
        <v>92</v>
      </c>
      <c r="E221" s="101" t="s">
        <v>3</v>
      </c>
      <c r="F221" s="102" t="s">
        <v>260</v>
      </c>
      <c r="H221" s="103">
        <v>6113.9920000000002</v>
      </c>
      <c r="L221" s="99"/>
      <c r="M221" s="104"/>
      <c r="T221" s="105"/>
      <c r="AT221" s="101" t="s">
        <v>92</v>
      </c>
      <c r="AU221" s="101" t="s">
        <v>84</v>
      </c>
      <c r="AV221" s="100" t="s">
        <v>5</v>
      </c>
      <c r="AW221" s="100" t="s">
        <v>95</v>
      </c>
      <c r="AX221" s="100" t="s">
        <v>84</v>
      </c>
      <c r="AY221" s="101" t="s">
        <v>83</v>
      </c>
    </row>
    <row r="222" spans="2:65" s="14" customFormat="1" ht="16.5" customHeight="1" x14ac:dyDescent="0.2">
      <c r="B222" s="81"/>
      <c r="C222" s="82" t="s">
        <v>261</v>
      </c>
      <c r="D222" s="82" t="s">
        <v>85</v>
      </c>
      <c r="E222" s="83" t="s">
        <v>262</v>
      </c>
      <c r="F222" s="84" t="s">
        <v>263</v>
      </c>
      <c r="G222" s="85" t="s">
        <v>88</v>
      </c>
      <c r="H222" s="86">
        <v>3099.181</v>
      </c>
      <c r="I222" s="87">
        <v>0</v>
      </c>
      <c r="J222" s="87">
        <f>ROUND(I222*H222,2)</f>
        <v>0</v>
      </c>
      <c r="K222" s="88"/>
      <c r="L222" s="13"/>
      <c r="M222" s="89" t="s">
        <v>3</v>
      </c>
      <c r="N222" s="90" t="s">
        <v>36</v>
      </c>
      <c r="O222" s="91">
        <v>0</v>
      </c>
      <c r="P222" s="91">
        <f>O222*H222</f>
        <v>0</v>
      </c>
      <c r="Q222" s="91">
        <v>0</v>
      </c>
      <c r="R222" s="91">
        <f>Q222*H222</f>
        <v>0</v>
      </c>
      <c r="S222" s="91">
        <v>0</v>
      </c>
      <c r="T222" s="92">
        <f>S222*H222</f>
        <v>0</v>
      </c>
      <c r="AR222" s="93" t="s">
        <v>82</v>
      </c>
      <c r="AT222" s="93" t="s">
        <v>85</v>
      </c>
      <c r="AU222" s="93" t="s">
        <v>84</v>
      </c>
      <c r="AY222" s="3" t="s">
        <v>83</v>
      </c>
      <c r="BE222" s="94">
        <f>IF(N222="základní",J222,0)</f>
        <v>0</v>
      </c>
      <c r="BF222" s="94">
        <f>IF(N222="snížená",J222,0)</f>
        <v>0</v>
      </c>
      <c r="BG222" s="94">
        <f>IF(N222="zákl. přenesená",J222,0)</f>
        <v>0</v>
      </c>
      <c r="BH222" s="94">
        <f>IF(N222="sníž. přenesená",J222,0)</f>
        <v>0</v>
      </c>
      <c r="BI222" s="94">
        <f>IF(N222="nulová",J222,0)</f>
        <v>0</v>
      </c>
      <c r="BJ222" s="3" t="s">
        <v>84</v>
      </c>
      <c r="BK222" s="94">
        <f>ROUND(I222*H222,2)</f>
        <v>0</v>
      </c>
      <c r="BL222" s="3" t="s">
        <v>82</v>
      </c>
      <c r="BM222" s="93" t="s">
        <v>264</v>
      </c>
    </row>
    <row r="223" spans="2:65" s="14" customFormat="1" x14ac:dyDescent="0.2">
      <c r="B223" s="13"/>
      <c r="D223" s="95" t="s">
        <v>90</v>
      </c>
      <c r="F223" s="96" t="s">
        <v>265</v>
      </c>
      <c r="L223" s="13"/>
      <c r="M223" s="97"/>
      <c r="T223" s="98"/>
      <c r="AT223" s="3" t="s">
        <v>90</v>
      </c>
      <c r="AU223" s="3" t="s">
        <v>84</v>
      </c>
    </row>
    <row r="224" spans="2:65" s="107" customFormat="1" x14ac:dyDescent="0.2">
      <c r="B224" s="106"/>
      <c r="D224" s="95" t="s">
        <v>92</v>
      </c>
      <c r="E224" s="108" t="s">
        <v>3</v>
      </c>
      <c r="F224" s="109" t="s">
        <v>266</v>
      </c>
      <c r="H224" s="108" t="s">
        <v>3</v>
      </c>
      <c r="L224" s="106"/>
      <c r="M224" s="110"/>
      <c r="T224" s="111"/>
      <c r="AT224" s="108" t="s">
        <v>92</v>
      </c>
      <c r="AU224" s="108" t="s">
        <v>84</v>
      </c>
      <c r="AV224" s="107" t="s">
        <v>84</v>
      </c>
      <c r="AW224" s="107" t="s">
        <v>95</v>
      </c>
      <c r="AX224" s="107" t="s">
        <v>80</v>
      </c>
      <c r="AY224" s="108" t="s">
        <v>83</v>
      </c>
    </row>
    <row r="225" spans="2:65" s="107" customFormat="1" x14ac:dyDescent="0.2">
      <c r="B225" s="106"/>
      <c r="D225" s="95" t="s">
        <v>92</v>
      </c>
      <c r="E225" s="108" t="s">
        <v>3</v>
      </c>
      <c r="F225" s="109" t="s">
        <v>267</v>
      </c>
      <c r="H225" s="108" t="s">
        <v>3</v>
      </c>
      <c r="L225" s="106"/>
      <c r="M225" s="110"/>
      <c r="T225" s="111"/>
      <c r="AT225" s="108" t="s">
        <v>92</v>
      </c>
      <c r="AU225" s="108" t="s">
        <v>84</v>
      </c>
      <c r="AV225" s="107" t="s">
        <v>84</v>
      </c>
      <c r="AW225" s="107" t="s">
        <v>95</v>
      </c>
      <c r="AX225" s="107" t="s">
        <v>80</v>
      </c>
      <c r="AY225" s="108" t="s">
        <v>83</v>
      </c>
    </row>
    <row r="226" spans="2:65" s="100" customFormat="1" x14ac:dyDescent="0.2">
      <c r="B226" s="99"/>
      <c r="D226" s="95" t="s">
        <v>92</v>
      </c>
      <c r="E226" s="101" t="s">
        <v>268</v>
      </c>
      <c r="F226" s="102" t="s">
        <v>269</v>
      </c>
      <c r="H226" s="103">
        <v>214.29085000000003</v>
      </c>
      <c r="L226" s="99"/>
      <c r="M226" s="104"/>
      <c r="T226" s="105"/>
      <c r="AT226" s="101" t="s">
        <v>92</v>
      </c>
      <c r="AU226" s="101" t="s">
        <v>84</v>
      </c>
      <c r="AV226" s="100" t="s">
        <v>5</v>
      </c>
      <c r="AW226" s="100" t="s">
        <v>95</v>
      </c>
      <c r="AX226" s="100" t="s">
        <v>80</v>
      </c>
      <c r="AY226" s="101" t="s">
        <v>83</v>
      </c>
    </row>
    <row r="227" spans="2:65" s="100" customFormat="1" x14ac:dyDescent="0.2">
      <c r="B227" s="99"/>
      <c r="D227" s="95" t="s">
        <v>92</v>
      </c>
      <c r="E227" s="101" t="s">
        <v>270</v>
      </c>
      <c r="F227" s="102" t="s">
        <v>271</v>
      </c>
      <c r="H227" s="103">
        <v>177.62334999999999</v>
      </c>
      <c r="L227" s="99"/>
      <c r="M227" s="104"/>
      <c r="T227" s="105"/>
      <c r="AT227" s="101" t="s">
        <v>92</v>
      </c>
      <c r="AU227" s="101" t="s">
        <v>84</v>
      </c>
      <c r="AV227" s="100" t="s">
        <v>5</v>
      </c>
      <c r="AW227" s="100" t="s">
        <v>95</v>
      </c>
      <c r="AX227" s="100" t="s">
        <v>80</v>
      </c>
      <c r="AY227" s="101" t="s">
        <v>83</v>
      </c>
    </row>
    <row r="228" spans="2:65" s="107" customFormat="1" x14ac:dyDescent="0.2">
      <c r="B228" s="106"/>
      <c r="D228" s="95" t="s">
        <v>92</v>
      </c>
      <c r="E228" s="108" t="s">
        <v>3</v>
      </c>
      <c r="F228" s="109" t="s">
        <v>272</v>
      </c>
      <c r="H228" s="108" t="s">
        <v>3</v>
      </c>
      <c r="L228" s="106"/>
      <c r="M228" s="110"/>
      <c r="T228" s="111"/>
      <c r="AT228" s="108" t="s">
        <v>92</v>
      </c>
      <c r="AU228" s="108" t="s">
        <v>84</v>
      </c>
      <c r="AV228" s="107" t="s">
        <v>84</v>
      </c>
      <c r="AW228" s="107" t="s">
        <v>95</v>
      </c>
      <c r="AX228" s="107" t="s">
        <v>80</v>
      </c>
      <c r="AY228" s="108" t="s">
        <v>83</v>
      </c>
    </row>
    <row r="229" spans="2:65" s="100" customFormat="1" x14ac:dyDescent="0.2">
      <c r="B229" s="99"/>
      <c r="D229" s="95" t="s">
        <v>92</v>
      </c>
      <c r="E229" s="101" t="s">
        <v>273</v>
      </c>
      <c r="F229" s="102" t="s">
        <v>274</v>
      </c>
      <c r="H229" s="103">
        <v>107.41328</v>
      </c>
      <c r="L229" s="99"/>
      <c r="M229" s="104"/>
      <c r="T229" s="105"/>
      <c r="AT229" s="101" t="s">
        <v>92</v>
      </c>
      <c r="AU229" s="101" t="s">
        <v>84</v>
      </c>
      <c r="AV229" s="100" t="s">
        <v>5</v>
      </c>
      <c r="AW229" s="100" t="s">
        <v>95</v>
      </c>
      <c r="AX229" s="100" t="s">
        <v>80</v>
      </c>
      <c r="AY229" s="101" t="s">
        <v>83</v>
      </c>
    </row>
    <row r="230" spans="2:65" s="100" customFormat="1" x14ac:dyDescent="0.2">
      <c r="B230" s="99"/>
      <c r="D230" s="95" t="s">
        <v>92</v>
      </c>
      <c r="E230" s="101" t="s">
        <v>275</v>
      </c>
      <c r="F230" s="102" t="s">
        <v>276</v>
      </c>
      <c r="H230" s="103">
        <v>205.32</v>
      </c>
      <c r="L230" s="99"/>
      <c r="M230" s="104"/>
      <c r="T230" s="105"/>
      <c r="AT230" s="101" t="s">
        <v>92</v>
      </c>
      <c r="AU230" s="101" t="s">
        <v>84</v>
      </c>
      <c r="AV230" s="100" t="s">
        <v>5</v>
      </c>
      <c r="AW230" s="100" t="s">
        <v>95</v>
      </c>
      <c r="AX230" s="100" t="s">
        <v>80</v>
      </c>
      <c r="AY230" s="101" t="s">
        <v>83</v>
      </c>
    </row>
    <row r="231" spans="2:65" s="107" customFormat="1" x14ac:dyDescent="0.2">
      <c r="B231" s="106"/>
      <c r="D231" s="95" t="s">
        <v>92</v>
      </c>
      <c r="E231" s="108" t="s">
        <v>3</v>
      </c>
      <c r="F231" s="109" t="s">
        <v>277</v>
      </c>
      <c r="H231" s="108" t="s">
        <v>3</v>
      </c>
      <c r="L231" s="106"/>
      <c r="M231" s="110"/>
      <c r="T231" s="111"/>
      <c r="AT231" s="108" t="s">
        <v>92</v>
      </c>
      <c r="AU231" s="108" t="s">
        <v>84</v>
      </c>
      <c r="AV231" s="107" t="s">
        <v>84</v>
      </c>
      <c r="AW231" s="107" t="s">
        <v>95</v>
      </c>
      <c r="AX231" s="107" t="s">
        <v>80</v>
      </c>
      <c r="AY231" s="108" t="s">
        <v>83</v>
      </c>
    </row>
    <row r="232" spans="2:65" s="100" customFormat="1" ht="20.399999999999999" x14ac:dyDescent="0.2">
      <c r="B232" s="99"/>
      <c r="D232" s="95" t="s">
        <v>92</v>
      </c>
      <c r="E232" s="101" t="s">
        <v>278</v>
      </c>
      <c r="F232" s="102" t="s">
        <v>279</v>
      </c>
      <c r="H232" s="103">
        <v>662.99939999999992</v>
      </c>
      <c r="L232" s="99"/>
      <c r="M232" s="104"/>
      <c r="T232" s="105"/>
      <c r="AT232" s="101" t="s">
        <v>92</v>
      </c>
      <c r="AU232" s="101" t="s">
        <v>84</v>
      </c>
      <c r="AV232" s="100" t="s">
        <v>5</v>
      </c>
      <c r="AW232" s="100" t="s">
        <v>95</v>
      </c>
      <c r="AX232" s="100" t="s">
        <v>80</v>
      </c>
      <c r="AY232" s="101" t="s">
        <v>83</v>
      </c>
    </row>
    <row r="233" spans="2:65" s="100" customFormat="1" ht="20.399999999999999" x14ac:dyDescent="0.2">
      <c r="B233" s="99"/>
      <c r="D233" s="95" t="s">
        <v>92</v>
      </c>
      <c r="E233" s="101" t="s">
        <v>280</v>
      </c>
      <c r="F233" s="102" t="s">
        <v>281</v>
      </c>
      <c r="H233" s="103">
        <v>609.39015000000006</v>
      </c>
      <c r="L233" s="99"/>
      <c r="M233" s="104"/>
      <c r="T233" s="105"/>
      <c r="AT233" s="101" t="s">
        <v>92</v>
      </c>
      <c r="AU233" s="101" t="s">
        <v>84</v>
      </c>
      <c r="AV233" s="100" t="s">
        <v>5</v>
      </c>
      <c r="AW233" s="100" t="s">
        <v>95</v>
      </c>
      <c r="AX233" s="100" t="s">
        <v>80</v>
      </c>
      <c r="AY233" s="101" t="s">
        <v>83</v>
      </c>
    </row>
    <row r="234" spans="2:65" s="100" customFormat="1" ht="20.399999999999999" x14ac:dyDescent="0.2">
      <c r="B234" s="99"/>
      <c r="D234" s="95" t="s">
        <v>92</v>
      </c>
      <c r="E234" s="101" t="s">
        <v>282</v>
      </c>
      <c r="F234" s="102" t="s">
        <v>283</v>
      </c>
      <c r="H234" s="103">
        <v>319.7165</v>
      </c>
      <c r="L234" s="99"/>
      <c r="M234" s="104"/>
      <c r="T234" s="105"/>
      <c r="AT234" s="101" t="s">
        <v>92</v>
      </c>
      <c r="AU234" s="101" t="s">
        <v>84</v>
      </c>
      <c r="AV234" s="100" t="s">
        <v>5</v>
      </c>
      <c r="AW234" s="100" t="s">
        <v>95</v>
      </c>
      <c r="AX234" s="100" t="s">
        <v>80</v>
      </c>
      <c r="AY234" s="101" t="s">
        <v>83</v>
      </c>
    </row>
    <row r="235" spans="2:65" s="100" customFormat="1" ht="20.399999999999999" x14ac:dyDescent="0.2">
      <c r="B235" s="99"/>
      <c r="D235" s="95" t="s">
        <v>92</v>
      </c>
      <c r="E235" s="101" t="s">
        <v>284</v>
      </c>
      <c r="F235" s="102" t="s">
        <v>285</v>
      </c>
      <c r="H235" s="103">
        <v>426.82780000000002</v>
      </c>
      <c r="L235" s="99"/>
      <c r="M235" s="104"/>
      <c r="T235" s="105"/>
      <c r="AT235" s="101" t="s">
        <v>92</v>
      </c>
      <c r="AU235" s="101" t="s">
        <v>84</v>
      </c>
      <c r="AV235" s="100" t="s">
        <v>5</v>
      </c>
      <c r="AW235" s="100" t="s">
        <v>95</v>
      </c>
      <c r="AX235" s="100" t="s">
        <v>80</v>
      </c>
      <c r="AY235" s="101" t="s">
        <v>83</v>
      </c>
    </row>
    <row r="236" spans="2:65" s="107" customFormat="1" x14ac:dyDescent="0.2">
      <c r="B236" s="106"/>
      <c r="D236" s="95" t="s">
        <v>92</v>
      </c>
      <c r="E236" s="108" t="s">
        <v>3</v>
      </c>
      <c r="F236" s="109" t="s">
        <v>286</v>
      </c>
      <c r="H236" s="108" t="s">
        <v>3</v>
      </c>
      <c r="L236" s="106"/>
      <c r="M236" s="110"/>
      <c r="T236" s="111"/>
      <c r="AT236" s="108" t="s">
        <v>92</v>
      </c>
      <c r="AU236" s="108" t="s">
        <v>84</v>
      </c>
      <c r="AV236" s="107" t="s">
        <v>84</v>
      </c>
      <c r="AW236" s="107" t="s">
        <v>95</v>
      </c>
      <c r="AX236" s="107" t="s">
        <v>80</v>
      </c>
      <c r="AY236" s="108" t="s">
        <v>83</v>
      </c>
    </row>
    <row r="237" spans="2:65" s="100" customFormat="1" x14ac:dyDescent="0.2">
      <c r="B237" s="99"/>
      <c r="D237" s="95" t="s">
        <v>92</v>
      </c>
      <c r="E237" s="101" t="s">
        <v>287</v>
      </c>
      <c r="F237" s="102" t="s">
        <v>288</v>
      </c>
      <c r="H237" s="103">
        <v>345.6</v>
      </c>
      <c r="L237" s="99"/>
      <c r="M237" s="104"/>
      <c r="T237" s="105"/>
      <c r="AT237" s="101" t="s">
        <v>92</v>
      </c>
      <c r="AU237" s="101" t="s">
        <v>84</v>
      </c>
      <c r="AV237" s="100" t="s">
        <v>5</v>
      </c>
      <c r="AW237" s="100" t="s">
        <v>95</v>
      </c>
      <c r="AX237" s="100" t="s">
        <v>80</v>
      </c>
      <c r="AY237" s="101" t="s">
        <v>83</v>
      </c>
    </row>
    <row r="238" spans="2:65" s="100" customFormat="1" x14ac:dyDescent="0.2">
      <c r="B238" s="99"/>
      <c r="D238" s="95" t="s">
        <v>92</v>
      </c>
      <c r="E238" s="101" t="s">
        <v>289</v>
      </c>
      <c r="F238" s="102" t="s">
        <v>290</v>
      </c>
      <c r="H238" s="103">
        <v>30</v>
      </c>
      <c r="L238" s="99"/>
      <c r="M238" s="104"/>
      <c r="T238" s="105"/>
      <c r="AT238" s="101" t="s">
        <v>92</v>
      </c>
      <c r="AU238" s="101" t="s">
        <v>84</v>
      </c>
      <c r="AV238" s="100" t="s">
        <v>5</v>
      </c>
      <c r="AW238" s="100" t="s">
        <v>95</v>
      </c>
      <c r="AX238" s="100" t="s">
        <v>80</v>
      </c>
      <c r="AY238" s="101" t="s">
        <v>83</v>
      </c>
    </row>
    <row r="239" spans="2:65" s="100" customFormat="1" x14ac:dyDescent="0.2">
      <c r="B239" s="99"/>
      <c r="D239" s="95" t="s">
        <v>92</v>
      </c>
      <c r="E239" s="101" t="s">
        <v>3</v>
      </c>
      <c r="F239" s="102" t="s">
        <v>291</v>
      </c>
      <c r="H239" s="103">
        <v>3099.181</v>
      </c>
      <c r="L239" s="99"/>
      <c r="M239" s="104"/>
      <c r="T239" s="105"/>
      <c r="AT239" s="101" t="s">
        <v>92</v>
      </c>
      <c r="AU239" s="101" t="s">
        <v>84</v>
      </c>
      <c r="AV239" s="100" t="s">
        <v>5</v>
      </c>
      <c r="AW239" s="100" t="s">
        <v>95</v>
      </c>
      <c r="AX239" s="100" t="s">
        <v>84</v>
      </c>
      <c r="AY239" s="101" t="s">
        <v>83</v>
      </c>
    </row>
    <row r="240" spans="2:65" s="14" customFormat="1" ht="21.75" customHeight="1" x14ac:dyDescent="0.2">
      <c r="B240" s="81"/>
      <c r="C240" s="82" t="s">
        <v>292</v>
      </c>
      <c r="D240" s="82" t="s">
        <v>85</v>
      </c>
      <c r="E240" s="83" t="s">
        <v>293</v>
      </c>
      <c r="F240" s="84" t="s">
        <v>294</v>
      </c>
      <c r="G240" s="85" t="s">
        <v>88</v>
      </c>
      <c r="H240" s="86">
        <v>817.08100000000002</v>
      </c>
      <c r="I240" s="87">
        <v>0</v>
      </c>
      <c r="J240" s="87">
        <f>ROUND(I240*H240,2)</f>
        <v>0</v>
      </c>
      <c r="K240" s="88"/>
      <c r="L240" s="13"/>
      <c r="M240" s="89" t="s">
        <v>3</v>
      </c>
      <c r="N240" s="90" t="s">
        <v>36</v>
      </c>
      <c r="O240" s="91">
        <v>0</v>
      </c>
      <c r="P240" s="91">
        <f>O240*H240</f>
        <v>0</v>
      </c>
      <c r="Q240" s="91">
        <v>0</v>
      </c>
      <c r="R240" s="91">
        <f>Q240*H240</f>
        <v>0</v>
      </c>
      <c r="S240" s="91">
        <v>0</v>
      </c>
      <c r="T240" s="92">
        <f>S240*H240</f>
        <v>0</v>
      </c>
      <c r="AR240" s="93" t="s">
        <v>82</v>
      </c>
      <c r="AT240" s="93" t="s">
        <v>85</v>
      </c>
      <c r="AU240" s="93" t="s">
        <v>84</v>
      </c>
      <c r="AY240" s="3" t="s">
        <v>83</v>
      </c>
      <c r="BE240" s="94">
        <f>IF(N240="základní",J240,0)</f>
        <v>0</v>
      </c>
      <c r="BF240" s="94">
        <f>IF(N240="snížená",J240,0)</f>
        <v>0</v>
      </c>
      <c r="BG240" s="94">
        <f>IF(N240="zákl. přenesená",J240,0)</f>
        <v>0</v>
      </c>
      <c r="BH240" s="94">
        <f>IF(N240="sníž. přenesená",J240,0)</f>
        <v>0</v>
      </c>
      <c r="BI240" s="94">
        <f>IF(N240="nulová",J240,0)</f>
        <v>0</v>
      </c>
      <c r="BJ240" s="3" t="s">
        <v>84</v>
      </c>
      <c r="BK240" s="94">
        <f>ROUND(I240*H240,2)</f>
        <v>0</v>
      </c>
      <c r="BL240" s="3" t="s">
        <v>82</v>
      </c>
      <c r="BM240" s="93" t="s">
        <v>295</v>
      </c>
    </row>
    <row r="241" spans="2:65" s="14" customFormat="1" x14ac:dyDescent="0.2">
      <c r="B241" s="13"/>
      <c r="D241" s="95" t="s">
        <v>90</v>
      </c>
      <c r="F241" s="96" t="s">
        <v>296</v>
      </c>
      <c r="L241" s="13"/>
      <c r="M241" s="97"/>
      <c r="T241" s="98"/>
      <c r="AT241" s="3" t="s">
        <v>90</v>
      </c>
      <c r="AU241" s="3" t="s">
        <v>84</v>
      </c>
    </row>
    <row r="242" spans="2:65" s="107" customFormat="1" x14ac:dyDescent="0.2">
      <c r="B242" s="106"/>
      <c r="D242" s="95" t="s">
        <v>92</v>
      </c>
      <c r="E242" s="108" t="s">
        <v>3</v>
      </c>
      <c r="F242" s="109" t="s">
        <v>266</v>
      </c>
      <c r="H242" s="108" t="s">
        <v>3</v>
      </c>
      <c r="L242" s="106"/>
      <c r="M242" s="110"/>
      <c r="T242" s="111"/>
      <c r="AT242" s="108" t="s">
        <v>92</v>
      </c>
      <c r="AU242" s="108" t="s">
        <v>84</v>
      </c>
      <c r="AV242" s="107" t="s">
        <v>84</v>
      </c>
      <c r="AW242" s="107" t="s">
        <v>95</v>
      </c>
      <c r="AX242" s="107" t="s">
        <v>80</v>
      </c>
      <c r="AY242" s="108" t="s">
        <v>83</v>
      </c>
    </row>
    <row r="243" spans="2:65" s="100" customFormat="1" x14ac:dyDescent="0.2">
      <c r="B243" s="99"/>
      <c r="D243" s="95" t="s">
        <v>92</v>
      </c>
      <c r="E243" s="101" t="s">
        <v>297</v>
      </c>
      <c r="F243" s="102" t="s">
        <v>298</v>
      </c>
      <c r="H243" s="103">
        <v>264.64260000000002</v>
      </c>
      <c r="L243" s="99"/>
      <c r="M243" s="104"/>
      <c r="T243" s="105"/>
      <c r="AT243" s="101" t="s">
        <v>92</v>
      </c>
      <c r="AU243" s="101" t="s">
        <v>84</v>
      </c>
      <c r="AV243" s="100" t="s">
        <v>5</v>
      </c>
      <c r="AW243" s="100" t="s">
        <v>95</v>
      </c>
      <c r="AX243" s="100" t="s">
        <v>80</v>
      </c>
      <c r="AY243" s="101" t="s">
        <v>83</v>
      </c>
    </row>
    <row r="244" spans="2:65" s="100" customFormat="1" x14ac:dyDescent="0.2">
      <c r="B244" s="99"/>
      <c r="D244" s="95" t="s">
        <v>92</v>
      </c>
      <c r="E244" s="101" t="s">
        <v>299</v>
      </c>
      <c r="F244" s="102" t="s">
        <v>300</v>
      </c>
      <c r="H244" s="103">
        <v>255.43810000000002</v>
      </c>
      <c r="L244" s="99"/>
      <c r="M244" s="104"/>
      <c r="T244" s="105"/>
      <c r="AT244" s="101" t="s">
        <v>92</v>
      </c>
      <c r="AU244" s="101" t="s">
        <v>84</v>
      </c>
      <c r="AV244" s="100" t="s">
        <v>5</v>
      </c>
      <c r="AW244" s="100" t="s">
        <v>95</v>
      </c>
      <c r="AX244" s="100" t="s">
        <v>80</v>
      </c>
      <c r="AY244" s="101" t="s">
        <v>83</v>
      </c>
    </row>
    <row r="245" spans="2:65" s="100" customFormat="1" ht="20.399999999999999" x14ac:dyDescent="0.2">
      <c r="B245" s="99"/>
      <c r="D245" s="95" t="s">
        <v>92</v>
      </c>
      <c r="E245" s="101" t="s">
        <v>301</v>
      </c>
      <c r="F245" s="102" t="s">
        <v>302</v>
      </c>
      <c r="H245" s="103">
        <v>297</v>
      </c>
      <c r="L245" s="99"/>
      <c r="M245" s="104"/>
      <c r="T245" s="105"/>
      <c r="AT245" s="101" t="s">
        <v>92</v>
      </c>
      <c r="AU245" s="101" t="s">
        <v>84</v>
      </c>
      <c r="AV245" s="100" t="s">
        <v>5</v>
      </c>
      <c r="AW245" s="100" t="s">
        <v>95</v>
      </c>
      <c r="AX245" s="100" t="s">
        <v>80</v>
      </c>
      <c r="AY245" s="101" t="s">
        <v>83</v>
      </c>
    </row>
    <row r="246" spans="2:65" s="100" customFormat="1" x14ac:dyDescent="0.2">
      <c r="B246" s="99"/>
      <c r="D246" s="95" t="s">
        <v>92</v>
      </c>
      <c r="E246" s="101" t="s">
        <v>3</v>
      </c>
      <c r="F246" s="102" t="s">
        <v>303</v>
      </c>
      <c r="H246" s="103">
        <v>817.08100000000002</v>
      </c>
      <c r="L246" s="99"/>
      <c r="M246" s="104"/>
      <c r="T246" s="105"/>
      <c r="AT246" s="101" t="s">
        <v>92</v>
      </c>
      <c r="AU246" s="101" t="s">
        <v>84</v>
      </c>
      <c r="AV246" s="100" t="s">
        <v>5</v>
      </c>
      <c r="AW246" s="100" t="s">
        <v>95</v>
      </c>
      <c r="AX246" s="100" t="s">
        <v>84</v>
      </c>
      <c r="AY246" s="101" t="s">
        <v>83</v>
      </c>
    </row>
    <row r="247" spans="2:65" s="14" customFormat="1" ht="16.5" customHeight="1" x14ac:dyDescent="0.2">
      <c r="B247" s="81"/>
      <c r="C247" s="82" t="s">
        <v>304</v>
      </c>
      <c r="D247" s="82" t="s">
        <v>85</v>
      </c>
      <c r="E247" s="83" t="s">
        <v>305</v>
      </c>
      <c r="F247" s="84" t="s">
        <v>306</v>
      </c>
      <c r="G247" s="85" t="s">
        <v>88</v>
      </c>
      <c r="H247" s="86">
        <v>26.376000000000001</v>
      </c>
      <c r="I247" s="87">
        <v>0</v>
      </c>
      <c r="J247" s="87">
        <f>ROUND(I247*H247,2)</f>
        <v>0</v>
      </c>
      <c r="K247" s="88"/>
      <c r="L247" s="13"/>
      <c r="M247" s="89" t="s">
        <v>3</v>
      </c>
      <c r="N247" s="90" t="s">
        <v>36</v>
      </c>
      <c r="O247" s="91">
        <v>0</v>
      </c>
      <c r="P247" s="91">
        <f>O247*H247</f>
        <v>0</v>
      </c>
      <c r="Q247" s="91">
        <v>0</v>
      </c>
      <c r="R247" s="91">
        <f>Q247*H247</f>
        <v>0</v>
      </c>
      <c r="S247" s="91">
        <v>0</v>
      </c>
      <c r="T247" s="92">
        <f>S247*H247</f>
        <v>0</v>
      </c>
      <c r="AR247" s="93" t="s">
        <v>82</v>
      </c>
      <c r="AT247" s="93" t="s">
        <v>85</v>
      </c>
      <c r="AU247" s="93" t="s">
        <v>84</v>
      </c>
      <c r="AY247" s="3" t="s">
        <v>83</v>
      </c>
      <c r="BE247" s="94">
        <f>IF(N247="základní",J247,0)</f>
        <v>0</v>
      </c>
      <c r="BF247" s="94">
        <f>IF(N247="snížená",J247,0)</f>
        <v>0</v>
      </c>
      <c r="BG247" s="94">
        <f>IF(N247="zákl. přenesená",J247,0)</f>
        <v>0</v>
      </c>
      <c r="BH247" s="94">
        <f>IF(N247="sníž. přenesená",J247,0)</f>
        <v>0</v>
      </c>
      <c r="BI247" s="94">
        <f>IF(N247="nulová",J247,0)</f>
        <v>0</v>
      </c>
      <c r="BJ247" s="3" t="s">
        <v>84</v>
      </c>
      <c r="BK247" s="94">
        <f>ROUND(I247*H247,2)</f>
        <v>0</v>
      </c>
      <c r="BL247" s="3" t="s">
        <v>82</v>
      </c>
      <c r="BM247" s="93" t="s">
        <v>307</v>
      </c>
    </row>
    <row r="248" spans="2:65" s="14" customFormat="1" x14ac:dyDescent="0.2">
      <c r="B248" s="13"/>
      <c r="D248" s="95" t="s">
        <v>90</v>
      </c>
      <c r="F248" s="96" t="s">
        <v>308</v>
      </c>
      <c r="L248" s="13"/>
      <c r="M248" s="97"/>
      <c r="T248" s="98"/>
      <c r="AT248" s="3" t="s">
        <v>90</v>
      </c>
      <c r="AU248" s="3" t="s">
        <v>84</v>
      </c>
    </row>
    <row r="249" spans="2:65" s="100" customFormat="1" x14ac:dyDescent="0.2">
      <c r="B249" s="99"/>
      <c r="D249" s="95" t="s">
        <v>92</v>
      </c>
      <c r="E249" s="101" t="s">
        <v>309</v>
      </c>
      <c r="F249" s="102" t="s">
        <v>310</v>
      </c>
      <c r="H249" s="103">
        <v>18.944666666666667</v>
      </c>
      <c r="L249" s="99"/>
      <c r="M249" s="104"/>
      <c r="T249" s="105"/>
      <c r="AT249" s="101" t="s">
        <v>92</v>
      </c>
      <c r="AU249" s="101" t="s">
        <v>84</v>
      </c>
      <c r="AV249" s="100" t="s">
        <v>5</v>
      </c>
      <c r="AW249" s="100" t="s">
        <v>95</v>
      </c>
      <c r="AX249" s="100" t="s">
        <v>80</v>
      </c>
      <c r="AY249" s="101" t="s">
        <v>83</v>
      </c>
    </row>
    <row r="250" spans="2:65" s="100" customFormat="1" x14ac:dyDescent="0.2">
      <c r="B250" s="99"/>
      <c r="D250" s="95" t="s">
        <v>92</v>
      </c>
      <c r="E250" s="101" t="s">
        <v>311</v>
      </c>
      <c r="F250" s="102" t="s">
        <v>312</v>
      </c>
      <c r="H250" s="103">
        <v>7.4313333333333329</v>
      </c>
      <c r="L250" s="99"/>
      <c r="M250" s="104"/>
      <c r="T250" s="105"/>
      <c r="AT250" s="101" t="s">
        <v>92</v>
      </c>
      <c r="AU250" s="101" t="s">
        <v>84</v>
      </c>
      <c r="AV250" s="100" t="s">
        <v>5</v>
      </c>
      <c r="AW250" s="100" t="s">
        <v>95</v>
      </c>
      <c r="AX250" s="100" t="s">
        <v>80</v>
      </c>
      <c r="AY250" s="101" t="s">
        <v>83</v>
      </c>
    </row>
    <row r="251" spans="2:65" s="100" customFormat="1" x14ac:dyDescent="0.2">
      <c r="B251" s="99"/>
      <c r="D251" s="95" t="s">
        <v>92</v>
      </c>
      <c r="E251" s="101" t="s">
        <v>3</v>
      </c>
      <c r="F251" s="102" t="s">
        <v>313</v>
      </c>
      <c r="H251" s="103">
        <v>26.376000000000001</v>
      </c>
      <c r="L251" s="99"/>
      <c r="M251" s="104"/>
      <c r="T251" s="105"/>
      <c r="AT251" s="101" t="s">
        <v>92</v>
      </c>
      <c r="AU251" s="101" t="s">
        <v>84</v>
      </c>
      <c r="AV251" s="100" t="s">
        <v>5</v>
      </c>
      <c r="AW251" s="100" t="s">
        <v>95</v>
      </c>
      <c r="AX251" s="100" t="s">
        <v>84</v>
      </c>
      <c r="AY251" s="101" t="s">
        <v>83</v>
      </c>
    </row>
    <row r="252" spans="2:65" s="14" customFormat="1" ht="24.15" customHeight="1" x14ac:dyDescent="0.2">
      <c r="B252" s="81"/>
      <c r="C252" s="82" t="s">
        <v>314</v>
      </c>
      <c r="D252" s="82" t="s">
        <v>85</v>
      </c>
      <c r="E252" s="83" t="s">
        <v>315</v>
      </c>
      <c r="F252" s="84" t="s">
        <v>316</v>
      </c>
      <c r="G252" s="85" t="s">
        <v>88</v>
      </c>
      <c r="H252" s="86">
        <v>375.42099999999999</v>
      </c>
      <c r="I252" s="87">
        <v>0</v>
      </c>
      <c r="J252" s="87">
        <f>ROUND(I252*H252,2)</f>
        <v>0</v>
      </c>
      <c r="K252" s="88"/>
      <c r="L252" s="13"/>
      <c r="M252" s="89" t="s">
        <v>3</v>
      </c>
      <c r="N252" s="90" t="s">
        <v>36</v>
      </c>
      <c r="O252" s="91">
        <v>0</v>
      </c>
      <c r="P252" s="91">
        <f>O252*H252</f>
        <v>0</v>
      </c>
      <c r="Q252" s="91">
        <v>0</v>
      </c>
      <c r="R252" s="91">
        <f>Q252*H252</f>
        <v>0</v>
      </c>
      <c r="S252" s="91">
        <v>0</v>
      </c>
      <c r="T252" s="92">
        <f>S252*H252</f>
        <v>0</v>
      </c>
      <c r="AR252" s="93" t="s">
        <v>82</v>
      </c>
      <c r="AT252" s="93" t="s">
        <v>85</v>
      </c>
      <c r="AU252" s="93" t="s">
        <v>84</v>
      </c>
      <c r="AY252" s="3" t="s">
        <v>83</v>
      </c>
      <c r="BE252" s="94">
        <f>IF(N252="základní",J252,0)</f>
        <v>0</v>
      </c>
      <c r="BF252" s="94">
        <f>IF(N252="snížená",J252,0)</f>
        <v>0</v>
      </c>
      <c r="BG252" s="94">
        <f>IF(N252="zákl. přenesená",J252,0)</f>
        <v>0</v>
      </c>
      <c r="BH252" s="94">
        <f>IF(N252="sníž. přenesená",J252,0)</f>
        <v>0</v>
      </c>
      <c r="BI252" s="94">
        <f>IF(N252="nulová",J252,0)</f>
        <v>0</v>
      </c>
      <c r="BJ252" s="3" t="s">
        <v>84</v>
      </c>
      <c r="BK252" s="94">
        <f>ROUND(I252*H252,2)</f>
        <v>0</v>
      </c>
      <c r="BL252" s="3" t="s">
        <v>82</v>
      </c>
      <c r="BM252" s="93" t="s">
        <v>317</v>
      </c>
    </row>
    <row r="253" spans="2:65" s="14" customFormat="1" x14ac:dyDescent="0.2">
      <c r="B253" s="13"/>
      <c r="D253" s="95" t="s">
        <v>90</v>
      </c>
      <c r="F253" s="96" t="s">
        <v>318</v>
      </c>
      <c r="L253" s="13"/>
      <c r="M253" s="97"/>
      <c r="T253" s="98"/>
      <c r="AT253" s="3" t="s">
        <v>90</v>
      </c>
      <c r="AU253" s="3" t="s">
        <v>84</v>
      </c>
    </row>
    <row r="254" spans="2:65" s="107" customFormat="1" x14ac:dyDescent="0.2">
      <c r="B254" s="106"/>
      <c r="D254" s="95" t="s">
        <v>92</v>
      </c>
      <c r="E254" s="108" t="s">
        <v>3</v>
      </c>
      <c r="F254" s="109" t="s">
        <v>266</v>
      </c>
      <c r="H254" s="108" t="s">
        <v>3</v>
      </c>
      <c r="L254" s="106"/>
      <c r="M254" s="110"/>
      <c r="T254" s="111"/>
      <c r="AT254" s="108" t="s">
        <v>92</v>
      </c>
      <c r="AU254" s="108" t="s">
        <v>84</v>
      </c>
      <c r="AV254" s="107" t="s">
        <v>84</v>
      </c>
      <c r="AW254" s="107" t="s">
        <v>95</v>
      </c>
      <c r="AX254" s="107" t="s">
        <v>80</v>
      </c>
      <c r="AY254" s="108" t="s">
        <v>83</v>
      </c>
    </row>
    <row r="255" spans="2:65" s="100" customFormat="1" x14ac:dyDescent="0.2">
      <c r="B255" s="99"/>
      <c r="D255" s="95" t="s">
        <v>92</v>
      </c>
      <c r="E255" s="101" t="s">
        <v>319</v>
      </c>
      <c r="F255" s="102" t="s">
        <v>320</v>
      </c>
      <c r="H255" s="103">
        <v>200.72840000000002</v>
      </c>
      <c r="L255" s="99"/>
      <c r="M255" s="104"/>
      <c r="T255" s="105"/>
      <c r="AT255" s="101" t="s">
        <v>92</v>
      </c>
      <c r="AU255" s="101" t="s">
        <v>84</v>
      </c>
      <c r="AV255" s="100" t="s">
        <v>5</v>
      </c>
      <c r="AW255" s="100" t="s">
        <v>95</v>
      </c>
      <c r="AX255" s="100" t="s">
        <v>80</v>
      </c>
      <c r="AY255" s="101" t="s">
        <v>83</v>
      </c>
    </row>
    <row r="256" spans="2:65" s="100" customFormat="1" x14ac:dyDescent="0.2">
      <c r="B256" s="99"/>
      <c r="D256" s="95" t="s">
        <v>92</v>
      </c>
      <c r="E256" s="101" t="s">
        <v>321</v>
      </c>
      <c r="F256" s="102" t="s">
        <v>322</v>
      </c>
      <c r="H256" s="103">
        <v>174.6934</v>
      </c>
      <c r="L256" s="99"/>
      <c r="M256" s="104"/>
      <c r="T256" s="105"/>
      <c r="AT256" s="101" t="s">
        <v>92</v>
      </c>
      <c r="AU256" s="101" t="s">
        <v>84</v>
      </c>
      <c r="AV256" s="100" t="s">
        <v>5</v>
      </c>
      <c r="AW256" s="100" t="s">
        <v>95</v>
      </c>
      <c r="AX256" s="100" t="s">
        <v>80</v>
      </c>
      <c r="AY256" s="101" t="s">
        <v>83</v>
      </c>
    </row>
    <row r="257" spans="2:65" s="100" customFormat="1" x14ac:dyDescent="0.2">
      <c r="B257" s="99"/>
      <c r="D257" s="95" t="s">
        <v>92</v>
      </c>
      <c r="E257" s="101" t="s">
        <v>3</v>
      </c>
      <c r="F257" s="102" t="s">
        <v>323</v>
      </c>
      <c r="H257" s="103">
        <v>375.42099999999999</v>
      </c>
      <c r="L257" s="99"/>
      <c r="M257" s="104"/>
      <c r="T257" s="105"/>
      <c r="AT257" s="101" t="s">
        <v>92</v>
      </c>
      <c r="AU257" s="101" t="s">
        <v>84</v>
      </c>
      <c r="AV257" s="100" t="s">
        <v>5</v>
      </c>
      <c r="AW257" s="100" t="s">
        <v>95</v>
      </c>
      <c r="AX257" s="100" t="s">
        <v>84</v>
      </c>
      <c r="AY257" s="101" t="s">
        <v>83</v>
      </c>
    </row>
    <row r="258" spans="2:65" s="14" customFormat="1" ht="21.75" customHeight="1" x14ac:dyDescent="0.2">
      <c r="B258" s="81"/>
      <c r="C258" s="82" t="s">
        <v>324</v>
      </c>
      <c r="D258" s="82" t="s">
        <v>85</v>
      </c>
      <c r="E258" s="83" t="s">
        <v>325</v>
      </c>
      <c r="F258" s="84" t="s">
        <v>326</v>
      </c>
      <c r="G258" s="85" t="s">
        <v>129</v>
      </c>
      <c r="H258" s="86">
        <v>104.17700000000001</v>
      </c>
      <c r="I258" s="87">
        <v>0</v>
      </c>
      <c r="J258" s="87">
        <f>ROUND(I258*H258,2)</f>
        <v>0</v>
      </c>
      <c r="K258" s="88"/>
      <c r="L258" s="13"/>
      <c r="M258" s="89" t="s">
        <v>3</v>
      </c>
      <c r="N258" s="90" t="s">
        <v>36</v>
      </c>
      <c r="O258" s="91">
        <v>0</v>
      </c>
      <c r="P258" s="91">
        <f>O258*H258</f>
        <v>0</v>
      </c>
      <c r="Q258" s="91">
        <v>0</v>
      </c>
      <c r="R258" s="91">
        <f>Q258*H258</f>
        <v>0</v>
      </c>
      <c r="S258" s="91">
        <v>0</v>
      </c>
      <c r="T258" s="92">
        <f>S258*H258</f>
        <v>0</v>
      </c>
      <c r="AR258" s="93" t="s">
        <v>82</v>
      </c>
      <c r="AT258" s="93" t="s">
        <v>85</v>
      </c>
      <c r="AU258" s="93" t="s">
        <v>84</v>
      </c>
      <c r="AY258" s="3" t="s">
        <v>83</v>
      </c>
      <c r="BE258" s="94">
        <f>IF(N258="základní",J258,0)</f>
        <v>0</v>
      </c>
      <c r="BF258" s="94">
        <f>IF(N258="snížená",J258,0)</f>
        <v>0</v>
      </c>
      <c r="BG258" s="94">
        <f>IF(N258="zákl. přenesená",J258,0)</f>
        <v>0</v>
      </c>
      <c r="BH258" s="94">
        <f>IF(N258="sníž. přenesená",J258,0)</f>
        <v>0</v>
      </c>
      <c r="BI258" s="94">
        <f>IF(N258="nulová",J258,0)</f>
        <v>0</v>
      </c>
      <c r="BJ258" s="3" t="s">
        <v>84</v>
      </c>
      <c r="BK258" s="94">
        <f>ROUND(I258*H258,2)</f>
        <v>0</v>
      </c>
      <c r="BL258" s="3" t="s">
        <v>82</v>
      </c>
      <c r="BM258" s="93" t="s">
        <v>327</v>
      </c>
    </row>
    <row r="259" spans="2:65" s="14" customFormat="1" x14ac:dyDescent="0.2">
      <c r="B259" s="13"/>
      <c r="D259" s="95" t="s">
        <v>90</v>
      </c>
      <c r="F259" s="96" t="s">
        <v>308</v>
      </c>
      <c r="L259" s="13"/>
      <c r="M259" s="97"/>
      <c r="T259" s="98"/>
      <c r="AT259" s="3" t="s">
        <v>90</v>
      </c>
      <c r="AU259" s="3" t="s">
        <v>84</v>
      </c>
    </row>
    <row r="260" spans="2:65" s="100" customFormat="1" x14ac:dyDescent="0.2">
      <c r="B260" s="99"/>
      <c r="D260" s="95" t="s">
        <v>92</v>
      </c>
      <c r="E260" s="101" t="s">
        <v>328</v>
      </c>
      <c r="F260" s="102" t="s">
        <v>329</v>
      </c>
      <c r="H260" s="103">
        <v>59.032000000000004</v>
      </c>
      <c r="L260" s="99"/>
      <c r="M260" s="104"/>
      <c r="T260" s="105"/>
      <c r="AT260" s="101" t="s">
        <v>92</v>
      </c>
      <c r="AU260" s="101" t="s">
        <v>84</v>
      </c>
      <c r="AV260" s="100" t="s">
        <v>5</v>
      </c>
      <c r="AW260" s="100" t="s">
        <v>95</v>
      </c>
      <c r="AX260" s="100" t="s">
        <v>80</v>
      </c>
      <c r="AY260" s="101" t="s">
        <v>83</v>
      </c>
    </row>
    <row r="261" spans="2:65" s="100" customFormat="1" x14ac:dyDescent="0.2">
      <c r="B261" s="99"/>
      <c r="D261" s="95" t="s">
        <v>92</v>
      </c>
      <c r="E261" s="101" t="s">
        <v>330</v>
      </c>
      <c r="F261" s="102" t="s">
        <v>331</v>
      </c>
      <c r="H261" s="103">
        <v>45.145350000000001</v>
      </c>
      <c r="L261" s="99"/>
      <c r="M261" s="104"/>
      <c r="T261" s="105"/>
      <c r="AT261" s="101" t="s">
        <v>92</v>
      </c>
      <c r="AU261" s="101" t="s">
        <v>84</v>
      </c>
      <c r="AV261" s="100" t="s">
        <v>5</v>
      </c>
      <c r="AW261" s="100" t="s">
        <v>95</v>
      </c>
      <c r="AX261" s="100" t="s">
        <v>80</v>
      </c>
      <c r="AY261" s="101" t="s">
        <v>83</v>
      </c>
    </row>
    <row r="262" spans="2:65" s="100" customFormat="1" x14ac:dyDescent="0.2">
      <c r="B262" s="99"/>
      <c r="D262" s="95" t="s">
        <v>92</v>
      </c>
      <c r="E262" s="101" t="s">
        <v>3</v>
      </c>
      <c r="F262" s="102" t="s">
        <v>332</v>
      </c>
      <c r="H262" s="103">
        <v>104.17700000000001</v>
      </c>
      <c r="L262" s="99"/>
      <c r="M262" s="104"/>
      <c r="T262" s="105"/>
      <c r="AT262" s="101" t="s">
        <v>92</v>
      </c>
      <c r="AU262" s="101" t="s">
        <v>84</v>
      </c>
      <c r="AV262" s="100" t="s">
        <v>5</v>
      </c>
      <c r="AW262" s="100" t="s">
        <v>95</v>
      </c>
      <c r="AX262" s="100" t="s">
        <v>84</v>
      </c>
      <c r="AY262" s="101" t="s">
        <v>83</v>
      </c>
    </row>
    <row r="263" spans="2:65" s="14" customFormat="1" ht="16.5" customHeight="1" x14ac:dyDescent="0.2">
      <c r="B263" s="81"/>
      <c r="C263" s="82" t="s">
        <v>333</v>
      </c>
      <c r="D263" s="82" t="s">
        <v>85</v>
      </c>
      <c r="E263" s="83" t="s">
        <v>334</v>
      </c>
      <c r="F263" s="84" t="s">
        <v>335</v>
      </c>
      <c r="G263" s="85" t="s">
        <v>129</v>
      </c>
      <c r="H263" s="86">
        <v>104.17700000000001</v>
      </c>
      <c r="I263" s="87">
        <v>0</v>
      </c>
      <c r="J263" s="87">
        <f>ROUND(I263*H263,2)</f>
        <v>0</v>
      </c>
      <c r="K263" s="88"/>
      <c r="L263" s="13"/>
      <c r="M263" s="89" t="s">
        <v>3</v>
      </c>
      <c r="N263" s="90" t="s">
        <v>36</v>
      </c>
      <c r="O263" s="91">
        <v>0</v>
      </c>
      <c r="P263" s="91">
        <f>O263*H263</f>
        <v>0</v>
      </c>
      <c r="Q263" s="91">
        <v>0</v>
      </c>
      <c r="R263" s="91">
        <f>Q263*H263</f>
        <v>0</v>
      </c>
      <c r="S263" s="91">
        <v>0</v>
      </c>
      <c r="T263" s="92">
        <f>S263*H263</f>
        <v>0</v>
      </c>
      <c r="AR263" s="93" t="s">
        <v>82</v>
      </c>
      <c r="AT263" s="93" t="s">
        <v>85</v>
      </c>
      <c r="AU263" s="93" t="s">
        <v>84</v>
      </c>
      <c r="AY263" s="3" t="s">
        <v>83</v>
      </c>
      <c r="BE263" s="94">
        <f>IF(N263="základní",J263,0)</f>
        <v>0</v>
      </c>
      <c r="BF263" s="94">
        <f>IF(N263="snížená",J263,0)</f>
        <v>0</v>
      </c>
      <c r="BG263" s="94">
        <f>IF(N263="zákl. přenesená",J263,0)</f>
        <v>0</v>
      </c>
      <c r="BH263" s="94">
        <f>IF(N263="sníž. přenesená",J263,0)</f>
        <v>0</v>
      </c>
      <c r="BI263" s="94">
        <f>IF(N263="nulová",J263,0)</f>
        <v>0</v>
      </c>
      <c r="BJ263" s="3" t="s">
        <v>84</v>
      </c>
      <c r="BK263" s="94">
        <f>ROUND(I263*H263,2)</f>
        <v>0</v>
      </c>
      <c r="BL263" s="3" t="s">
        <v>82</v>
      </c>
      <c r="BM263" s="93" t="s">
        <v>336</v>
      </c>
    </row>
    <row r="264" spans="2:65" s="14" customFormat="1" x14ac:dyDescent="0.2">
      <c r="B264" s="13"/>
      <c r="D264" s="95" t="s">
        <v>90</v>
      </c>
      <c r="F264" s="96" t="s">
        <v>335</v>
      </c>
      <c r="L264" s="13"/>
      <c r="M264" s="97"/>
      <c r="T264" s="98"/>
      <c r="AT264" s="3" t="s">
        <v>90</v>
      </c>
      <c r="AU264" s="3" t="s">
        <v>84</v>
      </c>
    </row>
    <row r="265" spans="2:65" s="100" customFormat="1" x14ac:dyDescent="0.2">
      <c r="B265" s="99"/>
      <c r="D265" s="95" t="s">
        <v>92</v>
      </c>
      <c r="E265" s="101" t="s">
        <v>337</v>
      </c>
      <c r="F265" s="102" t="s">
        <v>329</v>
      </c>
      <c r="H265" s="103">
        <v>59.032000000000004</v>
      </c>
      <c r="L265" s="99"/>
      <c r="M265" s="104"/>
      <c r="T265" s="105"/>
      <c r="AT265" s="101" t="s">
        <v>92</v>
      </c>
      <c r="AU265" s="101" t="s">
        <v>84</v>
      </c>
      <c r="AV265" s="100" t="s">
        <v>5</v>
      </c>
      <c r="AW265" s="100" t="s">
        <v>95</v>
      </c>
      <c r="AX265" s="100" t="s">
        <v>80</v>
      </c>
      <c r="AY265" s="101" t="s">
        <v>83</v>
      </c>
    </row>
    <row r="266" spans="2:65" s="100" customFormat="1" x14ac:dyDescent="0.2">
      <c r="B266" s="99"/>
      <c r="D266" s="95" t="s">
        <v>92</v>
      </c>
      <c r="E266" s="101" t="s">
        <v>338</v>
      </c>
      <c r="F266" s="102" t="s">
        <v>331</v>
      </c>
      <c r="H266" s="103">
        <v>45.145350000000001</v>
      </c>
      <c r="L266" s="99"/>
      <c r="M266" s="104"/>
      <c r="T266" s="105"/>
      <c r="AT266" s="101" t="s">
        <v>92</v>
      </c>
      <c r="AU266" s="101" t="s">
        <v>84</v>
      </c>
      <c r="AV266" s="100" t="s">
        <v>5</v>
      </c>
      <c r="AW266" s="100" t="s">
        <v>95</v>
      </c>
      <c r="AX266" s="100" t="s">
        <v>80</v>
      </c>
      <c r="AY266" s="101" t="s">
        <v>83</v>
      </c>
    </row>
    <row r="267" spans="2:65" s="100" customFormat="1" x14ac:dyDescent="0.2">
      <c r="B267" s="99"/>
      <c r="D267" s="95" t="s">
        <v>92</v>
      </c>
      <c r="E267" s="101" t="s">
        <v>3</v>
      </c>
      <c r="F267" s="102" t="s">
        <v>332</v>
      </c>
      <c r="H267" s="103">
        <v>104.17700000000001</v>
      </c>
      <c r="L267" s="99"/>
      <c r="M267" s="104"/>
      <c r="T267" s="105"/>
      <c r="AT267" s="101" t="s">
        <v>92</v>
      </c>
      <c r="AU267" s="101" t="s">
        <v>84</v>
      </c>
      <c r="AV267" s="100" t="s">
        <v>5</v>
      </c>
      <c r="AW267" s="100" t="s">
        <v>95</v>
      </c>
      <c r="AX267" s="100" t="s">
        <v>84</v>
      </c>
      <c r="AY267" s="101" t="s">
        <v>83</v>
      </c>
    </row>
    <row r="268" spans="2:65" s="14" customFormat="1" ht="16.5" customHeight="1" x14ac:dyDescent="0.2">
      <c r="B268" s="81"/>
      <c r="C268" s="82" t="s">
        <v>339</v>
      </c>
      <c r="D268" s="82" t="s">
        <v>85</v>
      </c>
      <c r="E268" s="83" t="s">
        <v>340</v>
      </c>
      <c r="F268" s="84" t="s">
        <v>341</v>
      </c>
      <c r="G268" s="85" t="s">
        <v>129</v>
      </c>
      <c r="H268" s="86">
        <v>104.17700000000001</v>
      </c>
      <c r="I268" s="87">
        <v>0</v>
      </c>
      <c r="J268" s="87">
        <f>ROUND(I268*H268,2)</f>
        <v>0</v>
      </c>
      <c r="K268" s="88"/>
      <c r="L268" s="13"/>
      <c r="M268" s="89" t="s">
        <v>3</v>
      </c>
      <c r="N268" s="90" t="s">
        <v>36</v>
      </c>
      <c r="O268" s="91">
        <v>0</v>
      </c>
      <c r="P268" s="91">
        <f>O268*H268</f>
        <v>0</v>
      </c>
      <c r="Q268" s="91">
        <v>0</v>
      </c>
      <c r="R268" s="91">
        <f>Q268*H268</f>
        <v>0</v>
      </c>
      <c r="S268" s="91">
        <v>0</v>
      </c>
      <c r="T268" s="92">
        <f>S268*H268</f>
        <v>0</v>
      </c>
      <c r="AR268" s="93" t="s">
        <v>82</v>
      </c>
      <c r="AT268" s="93" t="s">
        <v>85</v>
      </c>
      <c r="AU268" s="93" t="s">
        <v>84</v>
      </c>
      <c r="AY268" s="3" t="s">
        <v>83</v>
      </c>
      <c r="BE268" s="94">
        <f>IF(N268="základní",J268,0)</f>
        <v>0</v>
      </c>
      <c r="BF268" s="94">
        <f>IF(N268="snížená",J268,0)</f>
        <v>0</v>
      </c>
      <c r="BG268" s="94">
        <f>IF(N268="zákl. přenesená",J268,0)</f>
        <v>0</v>
      </c>
      <c r="BH268" s="94">
        <f>IF(N268="sníž. přenesená",J268,0)</f>
        <v>0</v>
      </c>
      <c r="BI268" s="94">
        <f>IF(N268="nulová",J268,0)</f>
        <v>0</v>
      </c>
      <c r="BJ268" s="3" t="s">
        <v>84</v>
      </c>
      <c r="BK268" s="94">
        <f>ROUND(I268*H268,2)</f>
        <v>0</v>
      </c>
      <c r="BL268" s="3" t="s">
        <v>82</v>
      </c>
      <c r="BM268" s="93" t="s">
        <v>342</v>
      </c>
    </row>
    <row r="269" spans="2:65" s="14" customFormat="1" x14ac:dyDescent="0.2">
      <c r="B269" s="13"/>
      <c r="D269" s="95" t="s">
        <v>90</v>
      </c>
      <c r="F269" s="96" t="s">
        <v>341</v>
      </c>
      <c r="L269" s="13"/>
      <c r="M269" s="97"/>
      <c r="T269" s="98"/>
      <c r="AT269" s="3" t="s">
        <v>90</v>
      </c>
      <c r="AU269" s="3" t="s">
        <v>84</v>
      </c>
    </row>
    <row r="270" spans="2:65" s="100" customFormat="1" x14ac:dyDescent="0.2">
      <c r="B270" s="99"/>
      <c r="D270" s="95" t="s">
        <v>92</v>
      </c>
      <c r="E270" s="101" t="s">
        <v>343</v>
      </c>
      <c r="F270" s="102" t="s">
        <v>329</v>
      </c>
      <c r="H270" s="103">
        <v>59.032000000000004</v>
      </c>
      <c r="L270" s="99"/>
      <c r="M270" s="104"/>
      <c r="T270" s="105"/>
      <c r="AT270" s="101" t="s">
        <v>92</v>
      </c>
      <c r="AU270" s="101" t="s">
        <v>84</v>
      </c>
      <c r="AV270" s="100" t="s">
        <v>5</v>
      </c>
      <c r="AW270" s="100" t="s">
        <v>95</v>
      </c>
      <c r="AX270" s="100" t="s">
        <v>80</v>
      </c>
      <c r="AY270" s="101" t="s">
        <v>83</v>
      </c>
    </row>
    <row r="271" spans="2:65" s="100" customFormat="1" x14ac:dyDescent="0.2">
      <c r="B271" s="99"/>
      <c r="D271" s="95" t="s">
        <v>92</v>
      </c>
      <c r="E271" s="101" t="s">
        <v>344</v>
      </c>
      <c r="F271" s="102" t="s">
        <v>331</v>
      </c>
      <c r="H271" s="103">
        <v>45.145350000000001</v>
      </c>
      <c r="L271" s="99"/>
      <c r="M271" s="104"/>
      <c r="T271" s="105"/>
      <c r="AT271" s="101" t="s">
        <v>92</v>
      </c>
      <c r="AU271" s="101" t="s">
        <v>84</v>
      </c>
      <c r="AV271" s="100" t="s">
        <v>5</v>
      </c>
      <c r="AW271" s="100" t="s">
        <v>95</v>
      </c>
      <c r="AX271" s="100" t="s">
        <v>80</v>
      </c>
      <c r="AY271" s="101" t="s">
        <v>83</v>
      </c>
    </row>
    <row r="272" spans="2:65" s="100" customFormat="1" x14ac:dyDescent="0.2">
      <c r="B272" s="99"/>
      <c r="D272" s="95" t="s">
        <v>92</v>
      </c>
      <c r="E272" s="101" t="s">
        <v>3</v>
      </c>
      <c r="F272" s="102" t="s">
        <v>332</v>
      </c>
      <c r="H272" s="103">
        <v>104.17700000000001</v>
      </c>
      <c r="L272" s="99"/>
      <c r="M272" s="104"/>
      <c r="T272" s="105"/>
      <c r="AT272" s="101" t="s">
        <v>92</v>
      </c>
      <c r="AU272" s="101" t="s">
        <v>84</v>
      </c>
      <c r="AV272" s="100" t="s">
        <v>5</v>
      </c>
      <c r="AW272" s="100" t="s">
        <v>95</v>
      </c>
      <c r="AX272" s="100" t="s">
        <v>84</v>
      </c>
      <c r="AY272" s="101" t="s">
        <v>83</v>
      </c>
    </row>
    <row r="273" spans="2:65" s="72" customFormat="1" ht="25.95" customHeight="1" x14ac:dyDescent="0.25">
      <c r="B273" s="71"/>
      <c r="D273" s="73" t="s">
        <v>79</v>
      </c>
      <c r="E273" s="74" t="s">
        <v>5</v>
      </c>
      <c r="F273" s="74" t="s">
        <v>345</v>
      </c>
      <c r="J273" s="75">
        <f>BK273</f>
        <v>0</v>
      </c>
      <c r="L273" s="71"/>
      <c r="M273" s="76"/>
      <c r="P273" s="77">
        <f>SUM(P274:P329)</f>
        <v>0</v>
      </c>
      <c r="R273" s="77">
        <f>SUM(R274:R329)</f>
        <v>0</v>
      </c>
      <c r="T273" s="78">
        <f>SUM(T274:T329)</f>
        <v>0</v>
      </c>
      <c r="AR273" s="73" t="s">
        <v>82</v>
      </c>
      <c r="AT273" s="79" t="s">
        <v>79</v>
      </c>
      <c r="AU273" s="79" t="s">
        <v>80</v>
      </c>
      <c r="AY273" s="73" t="s">
        <v>83</v>
      </c>
      <c r="BK273" s="80">
        <f>SUM(BK274:BK329)</f>
        <v>0</v>
      </c>
    </row>
    <row r="274" spans="2:65" s="14" customFormat="1" ht="24.15" customHeight="1" x14ac:dyDescent="0.2">
      <c r="B274" s="81"/>
      <c r="C274" s="82" t="s">
        <v>346</v>
      </c>
      <c r="D274" s="82" t="s">
        <v>85</v>
      </c>
      <c r="E274" s="83" t="s">
        <v>347</v>
      </c>
      <c r="F274" s="84" t="s">
        <v>348</v>
      </c>
      <c r="G274" s="85" t="s">
        <v>88</v>
      </c>
      <c r="H274" s="86">
        <v>4.6769999999999996</v>
      </c>
      <c r="I274" s="87">
        <v>0</v>
      </c>
      <c r="J274" s="87">
        <f>ROUND(I274*H274,2)</f>
        <v>0</v>
      </c>
      <c r="K274" s="88"/>
      <c r="L274" s="13"/>
      <c r="M274" s="89" t="s">
        <v>3</v>
      </c>
      <c r="N274" s="90" t="s">
        <v>36</v>
      </c>
      <c r="O274" s="91">
        <v>0</v>
      </c>
      <c r="P274" s="91">
        <f>O274*H274</f>
        <v>0</v>
      </c>
      <c r="Q274" s="91">
        <v>0</v>
      </c>
      <c r="R274" s="91">
        <f>Q274*H274</f>
        <v>0</v>
      </c>
      <c r="S274" s="91">
        <v>0</v>
      </c>
      <c r="T274" s="92">
        <f>S274*H274</f>
        <v>0</v>
      </c>
      <c r="AR274" s="93" t="s">
        <v>82</v>
      </c>
      <c r="AT274" s="93" t="s">
        <v>85</v>
      </c>
      <c r="AU274" s="93" t="s">
        <v>84</v>
      </c>
      <c r="AY274" s="3" t="s">
        <v>83</v>
      </c>
      <c r="BE274" s="94">
        <f>IF(N274="základní",J274,0)</f>
        <v>0</v>
      </c>
      <c r="BF274" s="94">
        <f>IF(N274="snížená",J274,0)</f>
        <v>0</v>
      </c>
      <c r="BG274" s="94">
        <f>IF(N274="zákl. přenesená",J274,0)</f>
        <v>0</v>
      </c>
      <c r="BH274" s="94">
        <f>IF(N274="sníž. přenesená",J274,0)</f>
        <v>0</v>
      </c>
      <c r="BI274" s="94">
        <f>IF(N274="nulová",J274,0)</f>
        <v>0</v>
      </c>
      <c r="BJ274" s="3" t="s">
        <v>84</v>
      </c>
      <c r="BK274" s="94">
        <f>ROUND(I274*H274,2)</f>
        <v>0</v>
      </c>
      <c r="BL274" s="3" t="s">
        <v>82</v>
      </c>
      <c r="BM274" s="93" t="s">
        <v>349</v>
      </c>
    </row>
    <row r="275" spans="2:65" s="14" customFormat="1" x14ac:dyDescent="0.2">
      <c r="B275" s="13"/>
      <c r="D275" s="95" t="s">
        <v>90</v>
      </c>
      <c r="F275" s="96" t="s">
        <v>350</v>
      </c>
      <c r="L275" s="13"/>
      <c r="M275" s="97"/>
      <c r="T275" s="98"/>
      <c r="AT275" s="3" t="s">
        <v>90</v>
      </c>
      <c r="AU275" s="3" t="s">
        <v>84</v>
      </c>
    </row>
    <row r="276" spans="2:65" s="100" customFormat="1" x14ac:dyDescent="0.2">
      <c r="B276" s="99"/>
      <c r="D276" s="95" t="s">
        <v>92</v>
      </c>
      <c r="E276" s="101" t="s">
        <v>351</v>
      </c>
      <c r="F276" s="102" t="s">
        <v>352</v>
      </c>
      <c r="H276" s="103">
        <v>2.3347935999999998</v>
      </c>
      <c r="L276" s="99"/>
      <c r="M276" s="104"/>
      <c r="T276" s="105"/>
      <c r="AT276" s="101" t="s">
        <v>92</v>
      </c>
      <c r="AU276" s="101" t="s">
        <v>84</v>
      </c>
      <c r="AV276" s="100" t="s">
        <v>5</v>
      </c>
      <c r="AW276" s="100" t="s">
        <v>95</v>
      </c>
      <c r="AX276" s="100" t="s">
        <v>80</v>
      </c>
      <c r="AY276" s="101" t="s">
        <v>83</v>
      </c>
    </row>
    <row r="277" spans="2:65" s="100" customFormat="1" x14ac:dyDescent="0.2">
      <c r="B277" s="99"/>
      <c r="D277" s="95" t="s">
        <v>92</v>
      </c>
      <c r="E277" s="101" t="s">
        <v>353</v>
      </c>
      <c r="F277" s="102" t="s">
        <v>354</v>
      </c>
      <c r="H277" s="103">
        <v>2.3417839999999996</v>
      </c>
      <c r="L277" s="99"/>
      <c r="M277" s="104"/>
      <c r="T277" s="105"/>
      <c r="AT277" s="101" t="s">
        <v>92</v>
      </c>
      <c r="AU277" s="101" t="s">
        <v>84</v>
      </c>
      <c r="AV277" s="100" t="s">
        <v>5</v>
      </c>
      <c r="AW277" s="100" t="s">
        <v>95</v>
      </c>
      <c r="AX277" s="100" t="s">
        <v>80</v>
      </c>
      <c r="AY277" s="101" t="s">
        <v>83</v>
      </c>
    </row>
    <row r="278" spans="2:65" s="100" customFormat="1" x14ac:dyDescent="0.2">
      <c r="B278" s="99"/>
      <c r="D278" s="95" t="s">
        <v>92</v>
      </c>
      <c r="E278" s="101" t="s">
        <v>3</v>
      </c>
      <c r="F278" s="102" t="s">
        <v>355</v>
      </c>
      <c r="H278" s="103">
        <v>4.6769999999999996</v>
      </c>
      <c r="L278" s="99"/>
      <c r="M278" s="104"/>
      <c r="T278" s="105"/>
      <c r="AT278" s="101" t="s">
        <v>92</v>
      </c>
      <c r="AU278" s="101" t="s">
        <v>84</v>
      </c>
      <c r="AV278" s="100" t="s">
        <v>5</v>
      </c>
      <c r="AW278" s="100" t="s">
        <v>95</v>
      </c>
      <c r="AX278" s="100" t="s">
        <v>84</v>
      </c>
      <c r="AY278" s="101" t="s">
        <v>83</v>
      </c>
    </row>
    <row r="279" spans="2:65" s="14" customFormat="1" ht="21.75" customHeight="1" x14ac:dyDescent="0.2">
      <c r="B279" s="81"/>
      <c r="C279" s="82" t="s">
        <v>356</v>
      </c>
      <c r="D279" s="82" t="s">
        <v>85</v>
      </c>
      <c r="E279" s="83" t="s">
        <v>357</v>
      </c>
      <c r="F279" s="84" t="s">
        <v>358</v>
      </c>
      <c r="G279" s="85" t="s">
        <v>88</v>
      </c>
      <c r="H279" s="86">
        <v>1.595</v>
      </c>
      <c r="I279" s="87">
        <v>0</v>
      </c>
      <c r="J279" s="87">
        <f>ROUND(I279*H279,2)</f>
        <v>0</v>
      </c>
      <c r="K279" s="88"/>
      <c r="L279" s="13"/>
      <c r="M279" s="89" t="s">
        <v>3</v>
      </c>
      <c r="N279" s="90" t="s">
        <v>36</v>
      </c>
      <c r="O279" s="91">
        <v>0</v>
      </c>
      <c r="P279" s="91">
        <f>O279*H279</f>
        <v>0</v>
      </c>
      <c r="Q279" s="91">
        <v>0</v>
      </c>
      <c r="R279" s="91">
        <f>Q279*H279</f>
        <v>0</v>
      </c>
      <c r="S279" s="91">
        <v>0</v>
      </c>
      <c r="T279" s="92">
        <f>S279*H279</f>
        <v>0</v>
      </c>
      <c r="AR279" s="93" t="s">
        <v>82</v>
      </c>
      <c r="AT279" s="93" t="s">
        <v>85</v>
      </c>
      <c r="AU279" s="93" t="s">
        <v>84</v>
      </c>
      <c r="AY279" s="3" t="s">
        <v>83</v>
      </c>
      <c r="BE279" s="94">
        <f>IF(N279="základní",J279,0)</f>
        <v>0</v>
      </c>
      <c r="BF279" s="94">
        <f>IF(N279="snížená",J279,0)</f>
        <v>0</v>
      </c>
      <c r="BG279" s="94">
        <f>IF(N279="zákl. přenesená",J279,0)</f>
        <v>0</v>
      </c>
      <c r="BH279" s="94">
        <f>IF(N279="sníž. přenesená",J279,0)</f>
        <v>0</v>
      </c>
      <c r="BI279" s="94">
        <f>IF(N279="nulová",J279,0)</f>
        <v>0</v>
      </c>
      <c r="BJ279" s="3" t="s">
        <v>84</v>
      </c>
      <c r="BK279" s="94">
        <f>ROUND(I279*H279,2)</f>
        <v>0</v>
      </c>
      <c r="BL279" s="3" t="s">
        <v>82</v>
      </c>
      <c r="BM279" s="93" t="s">
        <v>359</v>
      </c>
    </row>
    <row r="280" spans="2:65" s="14" customFormat="1" x14ac:dyDescent="0.2">
      <c r="B280" s="13"/>
      <c r="D280" s="95" t="s">
        <v>90</v>
      </c>
      <c r="F280" s="96" t="s">
        <v>360</v>
      </c>
      <c r="L280" s="13"/>
      <c r="M280" s="97"/>
      <c r="T280" s="98"/>
      <c r="AT280" s="3" t="s">
        <v>90</v>
      </c>
      <c r="AU280" s="3" t="s">
        <v>84</v>
      </c>
    </row>
    <row r="281" spans="2:65" s="100" customFormat="1" x14ac:dyDescent="0.2">
      <c r="B281" s="99"/>
      <c r="D281" s="95" t="s">
        <v>92</v>
      </c>
      <c r="E281" s="101" t="s">
        <v>361</v>
      </c>
      <c r="F281" s="102" t="s">
        <v>362</v>
      </c>
      <c r="H281" s="103">
        <v>1.1604000000000001</v>
      </c>
      <c r="L281" s="99"/>
      <c r="M281" s="104"/>
      <c r="T281" s="105"/>
      <c r="AT281" s="101" t="s">
        <v>92</v>
      </c>
      <c r="AU281" s="101" t="s">
        <v>84</v>
      </c>
      <c r="AV281" s="100" t="s">
        <v>5</v>
      </c>
      <c r="AW281" s="100" t="s">
        <v>95</v>
      </c>
      <c r="AX281" s="100" t="s">
        <v>80</v>
      </c>
      <c r="AY281" s="101" t="s">
        <v>83</v>
      </c>
    </row>
    <row r="282" spans="2:65" s="100" customFormat="1" x14ac:dyDescent="0.2">
      <c r="B282" s="99"/>
      <c r="D282" s="95" t="s">
        <v>92</v>
      </c>
      <c r="E282" s="101" t="s">
        <v>363</v>
      </c>
      <c r="F282" s="102" t="s">
        <v>364</v>
      </c>
      <c r="H282" s="103">
        <v>0.18479999999999996</v>
      </c>
      <c r="L282" s="99"/>
      <c r="M282" s="104"/>
      <c r="T282" s="105"/>
      <c r="AT282" s="101" t="s">
        <v>92</v>
      </c>
      <c r="AU282" s="101" t="s">
        <v>84</v>
      </c>
      <c r="AV282" s="100" t="s">
        <v>5</v>
      </c>
      <c r="AW282" s="100" t="s">
        <v>95</v>
      </c>
      <c r="AX282" s="100" t="s">
        <v>80</v>
      </c>
      <c r="AY282" s="101" t="s">
        <v>83</v>
      </c>
    </row>
    <row r="283" spans="2:65" s="100" customFormat="1" x14ac:dyDescent="0.2">
      <c r="B283" s="99"/>
      <c r="D283" s="95" t="s">
        <v>92</v>
      </c>
      <c r="E283" s="101" t="s">
        <v>365</v>
      </c>
      <c r="F283" s="102" t="s">
        <v>366</v>
      </c>
      <c r="H283" s="103">
        <v>0.24959999999999999</v>
      </c>
      <c r="L283" s="99"/>
      <c r="M283" s="104"/>
      <c r="T283" s="105"/>
      <c r="AT283" s="101" t="s">
        <v>92</v>
      </c>
      <c r="AU283" s="101" t="s">
        <v>84</v>
      </c>
      <c r="AV283" s="100" t="s">
        <v>5</v>
      </c>
      <c r="AW283" s="100" t="s">
        <v>95</v>
      </c>
      <c r="AX283" s="100" t="s">
        <v>80</v>
      </c>
      <c r="AY283" s="101" t="s">
        <v>83</v>
      </c>
    </row>
    <row r="284" spans="2:65" s="100" customFormat="1" x14ac:dyDescent="0.2">
      <c r="B284" s="99"/>
      <c r="D284" s="95" t="s">
        <v>92</v>
      </c>
      <c r="E284" s="101" t="s">
        <v>3</v>
      </c>
      <c r="F284" s="102" t="s">
        <v>367</v>
      </c>
      <c r="H284" s="103">
        <v>1.595</v>
      </c>
      <c r="L284" s="99"/>
      <c r="M284" s="104"/>
      <c r="T284" s="105"/>
      <c r="AT284" s="101" t="s">
        <v>92</v>
      </c>
      <c r="AU284" s="101" t="s">
        <v>84</v>
      </c>
      <c r="AV284" s="100" t="s">
        <v>5</v>
      </c>
      <c r="AW284" s="100" t="s">
        <v>95</v>
      </c>
      <c r="AX284" s="100" t="s">
        <v>84</v>
      </c>
      <c r="AY284" s="101" t="s">
        <v>83</v>
      </c>
    </row>
    <row r="285" spans="2:65" s="14" customFormat="1" ht="16.5" customHeight="1" x14ac:dyDescent="0.2">
      <c r="B285" s="81"/>
      <c r="C285" s="82" t="s">
        <v>368</v>
      </c>
      <c r="D285" s="82" t="s">
        <v>85</v>
      </c>
      <c r="E285" s="83" t="s">
        <v>369</v>
      </c>
      <c r="F285" s="84" t="s">
        <v>370</v>
      </c>
      <c r="G285" s="85" t="s">
        <v>129</v>
      </c>
      <c r="H285" s="86">
        <v>235.17</v>
      </c>
      <c r="I285" s="87">
        <v>0</v>
      </c>
      <c r="J285" s="87">
        <f>ROUND(I285*H285,2)</f>
        <v>0</v>
      </c>
      <c r="K285" s="88"/>
      <c r="L285" s="13"/>
      <c r="M285" s="89" t="s">
        <v>3</v>
      </c>
      <c r="N285" s="90" t="s">
        <v>36</v>
      </c>
      <c r="O285" s="91">
        <v>0</v>
      </c>
      <c r="P285" s="91">
        <f>O285*H285</f>
        <v>0</v>
      </c>
      <c r="Q285" s="91">
        <v>0</v>
      </c>
      <c r="R285" s="91">
        <f>Q285*H285</f>
        <v>0</v>
      </c>
      <c r="S285" s="91">
        <v>0</v>
      </c>
      <c r="T285" s="92">
        <f>S285*H285</f>
        <v>0</v>
      </c>
      <c r="AR285" s="93" t="s">
        <v>82</v>
      </c>
      <c r="AT285" s="93" t="s">
        <v>85</v>
      </c>
      <c r="AU285" s="93" t="s">
        <v>84</v>
      </c>
      <c r="AY285" s="3" t="s">
        <v>83</v>
      </c>
      <c r="BE285" s="94">
        <f>IF(N285="základní",J285,0)</f>
        <v>0</v>
      </c>
      <c r="BF285" s="94">
        <f>IF(N285="snížená",J285,0)</f>
        <v>0</v>
      </c>
      <c r="BG285" s="94">
        <f>IF(N285="zákl. přenesená",J285,0)</f>
        <v>0</v>
      </c>
      <c r="BH285" s="94">
        <f>IF(N285="sníž. přenesená",J285,0)</f>
        <v>0</v>
      </c>
      <c r="BI285" s="94">
        <f>IF(N285="nulová",J285,0)</f>
        <v>0</v>
      </c>
      <c r="BJ285" s="3" t="s">
        <v>84</v>
      </c>
      <c r="BK285" s="94">
        <f>ROUND(I285*H285,2)</f>
        <v>0</v>
      </c>
      <c r="BL285" s="3" t="s">
        <v>82</v>
      </c>
      <c r="BM285" s="93" t="s">
        <v>371</v>
      </c>
    </row>
    <row r="286" spans="2:65" s="14" customFormat="1" x14ac:dyDescent="0.2">
      <c r="B286" s="13"/>
      <c r="D286" s="95" t="s">
        <v>90</v>
      </c>
      <c r="F286" s="96" t="s">
        <v>372</v>
      </c>
      <c r="L286" s="13"/>
      <c r="M286" s="97"/>
      <c r="T286" s="98"/>
      <c r="AT286" s="3" t="s">
        <v>90</v>
      </c>
      <c r="AU286" s="3" t="s">
        <v>84</v>
      </c>
    </row>
    <row r="287" spans="2:65" s="100" customFormat="1" ht="20.399999999999999" x14ac:dyDescent="0.2">
      <c r="B287" s="99"/>
      <c r="D287" s="95" t="s">
        <v>92</v>
      </c>
      <c r="E287" s="101" t="s">
        <v>373</v>
      </c>
      <c r="F287" s="102" t="s">
        <v>374</v>
      </c>
      <c r="H287" s="103">
        <v>206.70000000000002</v>
      </c>
      <c r="L287" s="99"/>
      <c r="M287" s="104"/>
      <c r="T287" s="105"/>
      <c r="AT287" s="101" t="s">
        <v>92</v>
      </c>
      <c r="AU287" s="101" t="s">
        <v>84</v>
      </c>
      <c r="AV287" s="100" t="s">
        <v>5</v>
      </c>
      <c r="AW287" s="100" t="s">
        <v>95</v>
      </c>
      <c r="AX287" s="100" t="s">
        <v>80</v>
      </c>
      <c r="AY287" s="101" t="s">
        <v>83</v>
      </c>
    </row>
    <row r="288" spans="2:65" s="100" customFormat="1" ht="20.399999999999999" x14ac:dyDescent="0.2">
      <c r="B288" s="99"/>
      <c r="D288" s="95" t="s">
        <v>92</v>
      </c>
      <c r="E288" s="101" t="s">
        <v>375</v>
      </c>
      <c r="F288" s="102" t="s">
        <v>376</v>
      </c>
      <c r="H288" s="103">
        <v>28.47</v>
      </c>
      <c r="L288" s="99"/>
      <c r="M288" s="104"/>
      <c r="T288" s="105"/>
      <c r="AT288" s="101" t="s">
        <v>92</v>
      </c>
      <c r="AU288" s="101" t="s">
        <v>84</v>
      </c>
      <c r="AV288" s="100" t="s">
        <v>5</v>
      </c>
      <c r="AW288" s="100" t="s">
        <v>95</v>
      </c>
      <c r="AX288" s="100" t="s">
        <v>80</v>
      </c>
      <c r="AY288" s="101" t="s">
        <v>83</v>
      </c>
    </row>
    <row r="289" spans="2:65" s="100" customFormat="1" x14ac:dyDescent="0.2">
      <c r="B289" s="99"/>
      <c r="D289" s="95" t="s">
        <v>92</v>
      </c>
      <c r="E289" s="101" t="s">
        <v>3</v>
      </c>
      <c r="F289" s="102" t="s">
        <v>377</v>
      </c>
      <c r="H289" s="103">
        <v>235.17</v>
      </c>
      <c r="L289" s="99"/>
      <c r="M289" s="104"/>
      <c r="T289" s="105"/>
      <c r="AT289" s="101" t="s">
        <v>92</v>
      </c>
      <c r="AU289" s="101" t="s">
        <v>84</v>
      </c>
      <c r="AV289" s="100" t="s">
        <v>5</v>
      </c>
      <c r="AW289" s="100" t="s">
        <v>95</v>
      </c>
      <c r="AX289" s="100" t="s">
        <v>84</v>
      </c>
      <c r="AY289" s="101" t="s">
        <v>83</v>
      </c>
    </row>
    <row r="290" spans="2:65" s="14" customFormat="1" ht="16.5" customHeight="1" x14ac:dyDescent="0.2">
      <c r="B290" s="81"/>
      <c r="C290" s="82" t="s">
        <v>378</v>
      </c>
      <c r="D290" s="82" t="s">
        <v>85</v>
      </c>
      <c r="E290" s="83" t="s">
        <v>379</v>
      </c>
      <c r="F290" s="84" t="s">
        <v>380</v>
      </c>
      <c r="G290" s="85" t="s">
        <v>129</v>
      </c>
      <c r="H290" s="86">
        <v>351.2</v>
      </c>
      <c r="I290" s="87">
        <v>0</v>
      </c>
      <c r="J290" s="87">
        <f>ROUND(I290*H290,2)</f>
        <v>0</v>
      </c>
      <c r="K290" s="88"/>
      <c r="L290" s="13"/>
      <c r="M290" s="89" t="s">
        <v>3</v>
      </c>
      <c r="N290" s="90" t="s">
        <v>36</v>
      </c>
      <c r="O290" s="91">
        <v>0</v>
      </c>
      <c r="P290" s="91">
        <f>O290*H290</f>
        <v>0</v>
      </c>
      <c r="Q290" s="91">
        <v>0</v>
      </c>
      <c r="R290" s="91">
        <f>Q290*H290</f>
        <v>0</v>
      </c>
      <c r="S290" s="91">
        <v>0</v>
      </c>
      <c r="T290" s="92">
        <f>S290*H290</f>
        <v>0</v>
      </c>
      <c r="AR290" s="93" t="s">
        <v>82</v>
      </c>
      <c r="AT290" s="93" t="s">
        <v>85</v>
      </c>
      <c r="AU290" s="93" t="s">
        <v>84</v>
      </c>
      <c r="AY290" s="3" t="s">
        <v>83</v>
      </c>
      <c r="BE290" s="94">
        <f>IF(N290="základní",J290,0)</f>
        <v>0</v>
      </c>
      <c r="BF290" s="94">
        <f>IF(N290="snížená",J290,0)</f>
        <v>0</v>
      </c>
      <c r="BG290" s="94">
        <f>IF(N290="zákl. přenesená",J290,0)</f>
        <v>0</v>
      </c>
      <c r="BH290" s="94">
        <f>IF(N290="sníž. přenesená",J290,0)</f>
        <v>0</v>
      </c>
      <c r="BI290" s="94">
        <f>IF(N290="nulová",J290,0)</f>
        <v>0</v>
      </c>
      <c r="BJ290" s="3" t="s">
        <v>84</v>
      </c>
      <c r="BK290" s="94">
        <f>ROUND(I290*H290,2)</f>
        <v>0</v>
      </c>
      <c r="BL290" s="3" t="s">
        <v>82</v>
      </c>
      <c r="BM290" s="93" t="s">
        <v>381</v>
      </c>
    </row>
    <row r="291" spans="2:65" s="14" customFormat="1" ht="57.6" x14ac:dyDescent="0.2">
      <c r="B291" s="13"/>
      <c r="D291" s="95" t="s">
        <v>90</v>
      </c>
      <c r="F291" s="96" t="s">
        <v>382</v>
      </c>
      <c r="L291" s="13"/>
      <c r="M291" s="97"/>
      <c r="T291" s="98"/>
      <c r="AT291" s="3" t="s">
        <v>90</v>
      </c>
      <c r="AU291" s="3" t="s">
        <v>84</v>
      </c>
    </row>
    <row r="292" spans="2:65" s="107" customFormat="1" x14ac:dyDescent="0.2">
      <c r="B292" s="106"/>
      <c r="D292" s="95" t="s">
        <v>92</v>
      </c>
      <c r="E292" s="108" t="s">
        <v>3</v>
      </c>
      <c r="F292" s="109" t="s">
        <v>383</v>
      </c>
      <c r="H292" s="108" t="s">
        <v>3</v>
      </c>
      <c r="L292" s="106"/>
      <c r="M292" s="110"/>
      <c r="T292" s="111"/>
      <c r="AT292" s="108" t="s">
        <v>92</v>
      </c>
      <c r="AU292" s="108" t="s">
        <v>84</v>
      </c>
      <c r="AV292" s="107" t="s">
        <v>84</v>
      </c>
      <c r="AW292" s="107" t="s">
        <v>95</v>
      </c>
      <c r="AX292" s="107" t="s">
        <v>80</v>
      </c>
      <c r="AY292" s="108" t="s">
        <v>83</v>
      </c>
    </row>
    <row r="293" spans="2:65" s="100" customFormat="1" x14ac:dyDescent="0.2">
      <c r="B293" s="99"/>
      <c r="D293" s="95" t="s">
        <v>92</v>
      </c>
      <c r="E293" s="101" t="s">
        <v>384</v>
      </c>
      <c r="F293" s="102" t="s">
        <v>385</v>
      </c>
      <c r="H293" s="103">
        <v>47.6</v>
      </c>
      <c r="L293" s="99"/>
      <c r="M293" s="104"/>
      <c r="T293" s="105"/>
      <c r="AT293" s="101" t="s">
        <v>92</v>
      </c>
      <c r="AU293" s="101" t="s">
        <v>84</v>
      </c>
      <c r="AV293" s="100" t="s">
        <v>5</v>
      </c>
      <c r="AW293" s="100" t="s">
        <v>95</v>
      </c>
      <c r="AX293" s="100" t="s">
        <v>80</v>
      </c>
      <c r="AY293" s="101" t="s">
        <v>83</v>
      </c>
    </row>
    <row r="294" spans="2:65" s="100" customFormat="1" x14ac:dyDescent="0.2">
      <c r="B294" s="99"/>
      <c r="D294" s="95" t="s">
        <v>92</v>
      </c>
      <c r="E294" s="101" t="s">
        <v>386</v>
      </c>
      <c r="F294" s="102" t="s">
        <v>387</v>
      </c>
      <c r="H294" s="103">
        <v>45.599999999999994</v>
      </c>
      <c r="L294" s="99"/>
      <c r="M294" s="104"/>
      <c r="T294" s="105"/>
      <c r="AT294" s="101" t="s">
        <v>92</v>
      </c>
      <c r="AU294" s="101" t="s">
        <v>84</v>
      </c>
      <c r="AV294" s="100" t="s">
        <v>5</v>
      </c>
      <c r="AW294" s="100" t="s">
        <v>95</v>
      </c>
      <c r="AX294" s="100" t="s">
        <v>80</v>
      </c>
      <c r="AY294" s="101" t="s">
        <v>83</v>
      </c>
    </row>
    <row r="295" spans="2:65" s="100" customFormat="1" x14ac:dyDescent="0.2">
      <c r="B295" s="99"/>
      <c r="D295" s="95" t="s">
        <v>92</v>
      </c>
      <c r="E295" s="101" t="s">
        <v>388</v>
      </c>
      <c r="F295" s="102" t="s">
        <v>389</v>
      </c>
      <c r="H295" s="103">
        <v>34.799999999999997</v>
      </c>
      <c r="L295" s="99"/>
      <c r="M295" s="104"/>
      <c r="T295" s="105"/>
      <c r="AT295" s="101" t="s">
        <v>92</v>
      </c>
      <c r="AU295" s="101" t="s">
        <v>84</v>
      </c>
      <c r="AV295" s="100" t="s">
        <v>5</v>
      </c>
      <c r="AW295" s="100" t="s">
        <v>95</v>
      </c>
      <c r="AX295" s="100" t="s">
        <v>80</v>
      </c>
      <c r="AY295" s="101" t="s">
        <v>83</v>
      </c>
    </row>
    <row r="296" spans="2:65" s="107" customFormat="1" x14ac:dyDescent="0.2">
      <c r="B296" s="106"/>
      <c r="D296" s="95" t="s">
        <v>92</v>
      </c>
      <c r="E296" s="108" t="s">
        <v>3</v>
      </c>
      <c r="F296" s="109" t="s">
        <v>390</v>
      </c>
      <c r="H296" s="108" t="s">
        <v>3</v>
      </c>
      <c r="L296" s="106"/>
      <c r="M296" s="110"/>
      <c r="T296" s="111"/>
      <c r="AT296" s="108" t="s">
        <v>92</v>
      </c>
      <c r="AU296" s="108" t="s">
        <v>84</v>
      </c>
      <c r="AV296" s="107" t="s">
        <v>84</v>
      </c>
      <c r="AW296" s="107" t="s">
        <v>95</v>
      </c>
      <c r="AX296" s="107" t="s">
        <v>80</v>
      </c>
      <c r="AY296" s="108" t="s">
        <v>83</v>
      </c>
    </row>
    <row r="297" spans="2:65" s="100" customFormat="1" x14ac:dyDescent="0.2">
      <c r="B297" s="99"/>
      <c r="D297" s="95" t="s">
        <v>92</v>
      </c>
      <c r="E297" s="101" t="s">
        <v>391</v>
      </c>
      <c r="F297" s="102" t="s">
        <v>385</v>
      </c>
      <c r="H297" s="103">
        <v>47.6</v>
      </c>
      <c r="L297" s="99"/>
      <c r="M297" s="104"/>
      <c r="T297" s="105"/>
      <c r="AT297" s="101" t="s">
        <v>92</v>
      </c>
      <c r="AU297" s="101" t="s">
        <v>84</v>
      </c>
      <c r="AV297" s="100" t="s">
        <v>5</v>
      </c>
      <c r="AW297" s="100" t="s">
        <v>95</v>
      </c>
      <c r="AX297" s="100" t="s">
        <v>80</v>
      </c>
      <c r="AY297" s="101" t="s">
        <v>83</v>
      </c>
    </row>
    <row r="298" spans="2:65" s="100" customFormat="1" x14ac:dyDescent="0.2">
      <c r="B298" s="99"/>
      <c r="D298" s="95" t="s">
        <v>92</v>
      </c>
      <c r="E298" s="101" t="s">
        <v>392</v>
      </c>
      <c r="F298" s="102" t="s">
        <v>393</v>
      </c>
      <c r="H298" s="103">
        <v>44.400000000000006</v>
      </c>
      <c r="L298" s="99"/>
      <c r="M298" s="104"/>
      <c r="T298" s="105"/>
      <c r="AT298" s="101" t="s">
        <v>92</v>
      </c>
      <c r="AU298" s="101" t="s">
        <v>84</v>
      </c>
      <c r="AV298" s="100" t="s">
        <v>5</v>
      </c>
      <c r="AW298" s="100" t="s">
        <v>95</v>
      </c>
      <c r="AX298" s="100" t="s">
        <v>80</v>
      </c>
      <c r="AY298" s="101" t="s">
        <v>83</v>
      </c>
    </row>
    <row r="299" spans="2:65" s="100" customFormat="1" x14ac:dyDescent="0.2">
      <c r="B299" s="99"/>
      <c r="D299" s="95" t="s">
        <v>92</v>
      </c>
      <c r="E299" s="101" t="s">
        <v>394</v>
      </c>
      <c r="F299" s="102" t="s">
        <v>395</v>
      </c>
      <c r="H299" s="103">
        <v>55.800000000000004</v>
      </c>
      <c r="L299" s="99"/>
      <c r="M299" s="104"/>
      <c r="T299" s="105"/>
      <c r="AT299" s="101" t="s">
        <v>92</v>
      </c>
      <c r="AU299" s="101" t="s">
        <v>84</v>
      </c>
      <c r="AV299" s="100" t="s">
        <v>5</v>
      </c>
      <c r="AW299" s="100" t="s">
        <v>95</v>
      </c>
      <c r="AX299" s="100" t="s">
        <v>80</v>
      </c>
      <c r="AY299" s="101" t="s">
        <v>83</v>
      </c>
    </row>
    <row r="300" spans="2:65" s="100" customFormat="1" x14ac:dyDescent="0.2">
      <c r="B300" s="99"/>
      <c r="D300" s="95" t="s">
        <v>92</v>
      </c>
      <c r="E300" s="101" t="s">
        <v>396</v>
      </c>
      <c r="F300" s="102" t="s">
        <v>397</v>
      </c>
      <c r="H300" s="103">
        <v>75.399999999999991</v>
      </c>
      <c r="L300" s="99"/>
      <c r="M300" s="104"/>
      <c r="T300" s="105"/>
      <c r="AT300" s="101" t="s">
        <v>92</v>
      </c>
      <c r="AU300" s="101" t="s">
        <v>84</v>
      </c>
      <c r="AV300" s="100" t="s">
        <v>5</v>
      </c>
      <c r="AW300" s="100" t="s">
        <v>95</v>
      </c>
      <c r="AX300" s="100" t="s">
        <v>80</v>
      </c>
      <c r="AY300" s="101" t="s">
        <v>83</v>
      </c>
    </row>
    <row r="301" spans="2:65" s="100" customFormat="1" x14ac:dyDescent="0.2">
      <c r="B301" s="99"/>
      <c r="D301" s="95" t="s">
        <v>92</v>
      </c>
      <c r="E301" s="101" t="s">
        <v>3</v>
      </c>
      <c r="F301" s="102" t="s">
        <v>398</v>
      </c>
      <c r="H301" s="103">
        <v>351.2</v>
      </c>
      <c r="L301" s="99"/>
      <c r="M301" s="104"/>
      <c r="T301" s="105"/>
      <c r="AT301" s="101" t="s">
        <v>92</v>
      </c>
      <c r="AU301" s="101" t="s">
        <v>84</v>
      </c>
      <c r="AV301" s="100" t="s">
        <v>5</v>
      </c>
      <c r="AW301" s="100" t="s">
        <v>95</v>
      </c>
      <c r="AX301" s="100" t="s">
        <v>84</v>
      </c>
      <c r="AY301" s="101" t="s">
        <v>83</v>
      </c>
    </row>
    <row r="302" spans="2:65" s="14" customFormat="1" ht="16.5" customHeight="1" x14ac:dyDescent="0.2">
      <c r="B302" s="81"/>
      <c r="C302" s="82" t="s">
        <v>399</v>
      </c>
      <c r="D302" s="82" t="s">
        <v>85</v>
      </c>
      <c r="E302" s="83" t="s">
        <v>400</v>
      </c>
      <c r="F302" s="84" t="s">
        <v>401</v>
      </c>
      <c r="G302" s="85" t="s">
        <v>88</v>
      </c>
      <c r="H302" s="86">
        <v>867.13599999999997</v>
      </c>
      <c r="I302" s="87">
        <v>0</v>
      </c>
      <c r="J302" s="87">
        <f>ROUND(I302*H302,2)</f>
        <v>0</v>
      </c>
      <c r="K302" s="88"/>
      <c r="L302" s="13"/>
      <c r="M302" s="89" t="s">
        <v>3</v>
      </c>
      <c r="N302" s="90" t="s">
        <v>36</v>
      </c>
      <c r="O302" s="91">
        <v>0</v>
      </c>
      <c r="P302" s="91">
        <f>O302*H302</f>
        <v>0</v>
      </c>
      <c r="Q302" s="91">
        <v>0</v>
      </c>
      <c r="R302" s="91">
        <f>Q302*H302</f>
        <v>0</v>
      </c>
      <c r="S302" s="91">
        <v>0</v>
      </c>
      <c r="T302" s="92">
        <f>S302*H302</f>
        <v>0</v>
      </c>
      <c r="AR302" s="93" t="s">
        <v>82</v>
      </c>
      <c r="AT302" s="93" t="s">
        <v>85</v>
      </c>
      <c r="AU302" s="93" t="s">
        <v>84</v>
      </c>
      <c r="AY302" s="3" t="s">
        <v>83</v>
      </c>
      <c r="BE302" s="94">
        <f>IF(N302="základní",J302,0)</f>
        <v>0</v>
      </c>
      <c r="BF302" s="94">
        <f>IF(N302="snížená",J302,0)</f>
        <v>0</v>
      </c>
      <c r="BG302" s="94">
        <f>IF(N302="zákl. přenesená",J302,0)</f>
        <v>0</v>
      </c>
      <c r="BH302" s="94">
        <f>IF(N302="sníž. přenesená",J302,0)</f>
        <v>0</v>
      </c>
      <c r="BI302" s="94">
        <f>IF(N302="nulová",J302,0)</f>
        <v>0</v>
      </c>
      <c r="BJ302" s="3" t="s">
        <v>84</v>
      </c>
      <c r="BK302" s="94">
        <f>ROUND(I302*H302,2)</f>
        <v>0</v>
      </c>
      <c r="BL302" s="3" t="s">
        <v>82</v>
      </c>
      <c r="BM302" s="93" t="s">
        <v>402</v>
      </c>
    </row>
    <row r="303" spans="2:65" s="14" customFormat="1" x14ac:dyDescent="0.2">
      <c r="B303" s="13"/>
      <c r="D303" s="95" t="s">
        <v>90</v>
      </c>
      <c r="F303" s="96" t="s">
        <v>403</v>
      </c>
      <c r="L303" s="13"/>
      <c r="M303" s="97"/>
      <c r="T303" s="98"/>
      <c r="AT303" s="3" t="s">
        <v>90</v>
      </c>
      <c r="AU303" s="3" t="s">
        <v>84</v>
      </c>
    </row>
    <row r="304" spans="2:65" s="107" customFormat="1" x14ac:dyDescent="0.2">
      <c r="B304" s="106"/>
      <c r="D304" s="95" t="s">
        <v>92</v>
      </c>
      <c r="E304" s="108" t="s">
        <v>3</v>
      </c>
      <c r="F304" s="109" t="s">
        <v>404</v>
      </c>
      <c r="H304" s="108" t="s">
        <v>3</v>
      </c>
      <c r="L304" s="106"/>
      <c r="M304" s="110"/>
      <c r="T304" s="111"/>
      <c r="AT304" s="108" t="s">
        <v>92</v>
      </c>
      <c r="AU304" s="108" t="s">
        <v>84</v>
      </c>
      <c r="AV304" s="107" t="s">
        <v>84</v>
      </c>
      <c r="AW304" s="107" t="s">
        <v>95</v>
      </c>
      <c r="AX304" s="107" t="s">
        <v>80</v>
      </c>
      <c r="AY304" s="108" t="s">
        <v>83</v>
      </c>
    </row>
    <row r="305" spans="2:65" s="100" customFormat="1" x14ac:dyDescent="0.2">
      <c r="B305" s="99"/>
      <c r="D305" s="95" t="s">
        <v>92</v>
      </c>
      <c r="E305" s="101" t="s">
        <v>405</v>
      </c>
      <c r="F305" s="102" t="s">
        <v>406</v>
      </c>
      <c r="H305" s="103">
        <v>71.478676800000002</v>
      </c>
      <c r="L305" s="99"/>
      <c r="M305" s="104"/>
      <c r="T305" s="105"/>
      <c r="AT305" s="101" t="s">
        <v>92</v>
      </c>
      <c r="AU305" s="101" t="s">
        <v>84</v>
      </c>
      <c r="AV305" s="100" t="s">
        <v>5</v>
      </c>
      <c r="AW305" s="100" t="s">
        <v>95</v>
      </c>
      <c r="AX305" s="100" t="s">
        <v>80</v>
      </c>
      <c r="AY305" s="101" t="s">
        <v>83</v>
      </c>
    </row>
    <row r="306" spans="2:65" s="100" customFormat="1" x14ac:dyDescent="0.2">
      <c r="B306" s="99"/>
      <c r="D306" s="95" t="s">
        <v>92</v>
      </c>
      <c r="E306" s="101" t="s">
        <v>407</v>
      </c>
      <c r="F306" s="102" t="s">
        <v>408</v>
      </c>
      <c r="H306" s="103">
        <v>70.965000000000003</v>
      </c>
      <c r="L306" s="99"/>
      <c r="M306" s="104"/>
      <c r="T306" s="105"/>
      <c r="AT306" s="101" t="s">
        <v>92</v>
      </c>
      <c r="AU306" s="101" t="s">
        <v>84</v>
      </c>
      <c r="AV306" s="100" t="s">
        <v>5</v>
      </c>
      <c r="AW306" s="100" t="s">
        <v>95</v>
      </c>
      <c r="AX306" s="100" t="s">
        <v>80</v>
      </c>
      <c r="AY306" s="101" t="s">
        <v>83</v>
      </c>
    </row>
    <row r="307" spans="2:65" s="100" customFormat="1" x14ac:dyDescent="0.2">
      <c r="B307" s="99"/>
      <c r="D307" s="95" t="s">
        <v>92</v>
      </c>
      <c r="E307" s="101" t="s">
        <v>409</v>
      </c>
      <c r="F307" s="102" t="s">
        <v>410</v>
      </c>
      <c r="H307" s="103">
        <v>31.004399999999997</v>
      </c>
      <c r="L307" s="99"/>
      <c r="M307" s="104"/>
      <c r="T307" s="105"/>
      <c r="AT307" s="101" t="s">
        <v>92</v>
      </c>
      <c r="AU307" s="101" t="s">
        <v>84</v>
      </c>
      <c r="AV307" s="100" t="s">
        <v>5</v>
      </c>
      <c r="AW307" s="100" t="s">
        <v>95</v>
      </c>
      <c r="AX307" s="100" t="s">
        <v>80</v>
      </c>
      <c r="AY307" s="101" t="s">
        <v>83</v>
      </c>
    </row>
    <row r="308" spans="2:65" s="107" customFormat="1" x14ac:dyDescent="0.2">
      <c r="B308" s="106"/>
      <c r="D308" s="95" t="s">
        <v>92</v>
      </c>
      <c r="E308" s="108" t="s">
        <v>3</v>
      </c>
      <c r="F308" s="109" t="s">
        <v>411</v>
      </c>
      <c r="H308" s="108" t="s">
        <v>3</v>
      </c>
      <c r="L308" s="106"/>
      <c r="M308" s="110"/>
      <c r="T308" s="111"/>
      <c r="AT308" s="108" t="s">
        <v>92</v>
      </c>
      <c r="AU308" s="108" t="s">
        <v>84</v>
      </c>
      <c r="AV308" s="107" t="s">
        <v>84</v>
      </c>
      <c r="AW308" s="107" t="s">
        <v>95</v>
      </c>
      <c r="AX308" s="107" t="s">
        <v>80</v>
      </c>
      <c r="AY308" s="108" t="s">
        <v>83</v>
      </c>
    </row>
    <row r="309" spans="2:65" s="100" customFormat="1" x14ac:dyDescent="0.2">
      <c r="B309" s="99"/>
      <c r="D309" s="95" t="s">
        <v>92</v>
      </c>
      <c r="E309" s="101" t="s">
        <v>412</v>
      </c>
      <c r="F309" s="102" t="s">
        <v>413</v>
      </c>
      <c r="H309" s="103">
        <v>259.2</v>
      </c>
      <c r="L309" s="99"/>
      <c r="M309" s="104"/>
      <c r="T309" s="105"/>
      <c r="AT309" s="101" t="s">
        <v>92</v>
      </c>
      <c r="AU309" s="101" t="s">
        <v>84</v>
      </c>
      <c r="AV309" s="100" t="s">
        <v>5</v>
      </c>
      <c r="AW309" s="100" t="s">
        <v>95</v>
      </c>
      <c r="AX309" s="100" t="s">
        <v>80</v>
      </c>
      <c r="AY309" s="101" t="s">
        <v>83</v>
      </c>
    </row>
    <row r="310" spans="2:65" s="100" customFormat="1" x14ac:dyDescent="0.2">
      <c r="B310" s="99"/>
      <c r="D310" s="95" t="s">
        <v>92</v>
      </c>
      <c r="E310" s="101" t="s">
        <v>414</v>
      </c>
      <c r="F310" s="102" t="s">
        <v>415</v>
      </c>
      <c r="H310" s="103">
        <v>259.2</v>
      </c>
      <c r="L310" s="99"/>
      <c r="M310" s="104"/>
      <c r="T310" s="105"/>
      <c r="AT310" s="101" t="s">
        <v>92</v>
      </c>
      <c r="AU310" s="101" t="s">
        <v>84</v>
      </c>
      <c r="AV310" s="100" t="s">
        <v>5</v>
      </c>
      <c r="AW310" s="100" t="s">
        <v>95</v>
      </c>
      <c r="AX310" s="100" t="s">
        <v>80</v>
      </c>
      <c r="AY310" s="101" t="s">
        <v>83</v>
      </c>
    </row>
    <row r="311" spans="2:65" s="107" customFormat="1" x14ac:dyDescent="0.2">
      <c r="B311" s="106"/>
      <c r="D311" s="95" t="s">
        <v>92</v>
      </c>
      <c r="E311" s="108" t="s">
        <v>3</v>
      </c>
      <c r="F311" s="109" t="s">
        <v>416</v>
      </c>
      <c r="H311" s="108" t="s">
        <v>3</v>
      </c>
      <c r="L311" s="106"/>
      <c r="M311" s="110"/>
      <c r="T311" s="111"/>
      <c r="AT311" s="108" t="s">
        <v>92</v>
      </c>
      <c r="AU311" s="108" t="s">
        <v>84</v>
      </c>
      <c r="AV311" s="107" t="s">
        <v>84</v>
      </c>
      <c r="AW311" s="107" t="s">
        <v>95</v>
      </c>
      <c r="AX311" s="107" t="s">
        <v>80</v>
      </c>
      <c r="AY311" s="108" t="s">
        <v>83</v>
      </c>
    </row>
    <row r="312" spans="2:65" s="100" customFormat="1" x14ac:dyDescent="0.2">
      <c r="B312" s="99"/>
      <c r="D312" s="95" t="s">
        <v>92</v>
      </c>
      <c r="E312" s="101" t="s">
        <v>417</v>
      </c>
      <c r="F312" s="102" t="s">
        <v>418</v>
      </c>
      <c r="H312" s="103">
        <v>70.965000000000003</v>
      </c>
      <c r="L312" s="99"/>
      <c r="M312" s="104"/>
      <c r="T312" s="105"/>
      <c r="AT312" s="101" t="s">
        <v>92</v>
      </c>
      <c r="AU312" s="101" t="s">
        <v>84</v>
      </c>
      <c r="AV312" s="100" t="s">
        <v>5</v>
      </c>
      <c r="AW312" s="100" t="s">
        <v>95</v>
      </c>
      <c r="AX312" s="100" t="s">
        <v>80</v>
      </c>
      <c r="AY312" s="101" t="s">
        <v>83</v>
      </c>
    </row>
    <row r="313" spans="2:65" s="100" customFormat="1" x14ac:dyDescent="0.2">
      <c r="B313" s="99"/>
      <c r="D313" s="95" t="s">
        <v>92</v>
      </c>
      <c r="E313" s="101" t="s">
        <v>419</v>
      </c>
      <c r="F313" s="102" t="s">
        <v>420</v>
      </c>
      <c r="H313" s="103">
        <v>72.907200000000003</v>
      </c>
      <c r="L313" s="99"/>
      <c r="M313" s="104"/>
      <c r="T313" s="105"/>
      <c r="AT313" s="101" t="s">
        <v>92</v>
      </c>
      <c r="AU313" s="101" t="s">
        <v>84</v>
      </c>
      <c r="AV313" s="100" t="s">
        <v>5</v>
      </c>
      <c r="AW313" s="100" t="s">
        <v>95</v>
      </c>
      <c r="AX313" s="100" t="s">
        <v>80</v>
      </c>
      <c r="AY313" s="101" t="s">
        <v>83</v>
      </c>
    </row>
    <row r="314" spans="2:65" s="100" customFormat="1" x14ac:dyDescent="0.2">
      <c r="B314" s="99"/>
      <c r="D314" s="95" t="s">
        <v>92</v>
      </c>
      <c r="E314" s="101" t="s">
        <v>421</v>
      </c>
      <c r="F314" s="102" t="s">
        <v>422</v>
      </c>
      <c r="H314" s="103">
        <v>31.415999999999997</v>
      </c>
      <c r="L314" s="99"/>
      <c r="M314" s="104"/>
      <c r="T314" s="105"/>
      <c r="AT314" s="101" t="s">
        <v>92</v>
      </c>
      <c r="AU314" s="101" t="s">
        <v>84</v>
      </c>
      <c r="AV314" s="100" t="s">
        <v>5</v>
      </c>
      <c r="AW314" s="100" t="s">
        <v>95</v>
      </c>
      <c r="AX314" s="100" t="s">
        <v>80</v>
      </c>
      <c r="AY314" s="101" t="s">
        <v>83</v>
      </c>
    </row>
    <row r="315" spans="2:65" s="100" customFormat="1" x14ac:dyDescent="0.2">
      <c r="B315" s="99"/>
      <c r="D315" s="95" t="s">
        <v>92</v>
      </c>
      <c r="E315" s="101" t="s">
        <v>3</v>
      </c>
      <c r="F315" s="102" t="s">
        <v>423</v>
      </c>
      <c r="H315" s="103">
        <v>867.13599999999997</v>
      </c>
      <c r="L315" s="99"/>
      <c r="M315" s="104"/>
      <c r="T315" s="105"/>
      <c r="AT315" s="101" t="s">
        <v>92</v>
      </c>
      <c r="AU315" s="101" t="s">
        <v>84</v>
      </c>
      <c r="AV315" s="100" t="s">
        <v>5</v>
      </c>
      <c r="AW315" s="100" t="s">
        <v>95</v>
      </c>
      <c r="AX315" s="100" t="s">
        <v>84</v>
      </c>
      <c r="AY315" s="101" t="s">
        <v>83</v>
      </c>
    </row>
    <row r="316" spans="2:65" s="14" customFormat="1" ht="16.5" customHeight="1" x14ac:dyDescent="0.2">
      <c r="B316" s="81"/>
      <c r="C316" s="82" t="s">
        <v>424</v>
      </c>
      <c r="D316" s="82" t="s">
        <v>85</v>
      </c>
      <c r="E316" s="83" t="s">
        <v>425</v>
      </c>
      <c r="F316" s="84" t="s">
        <v>426</v>
      </c>
      <c r="G316" s="85" t="s">
        <v>120</v>
      </c>
      <c r="H316" s="86">
        <v>129.87700000000001</v>
      </c>
      <c r="I316" s="87">
        <v>0</v>
      </c>
      <c r="J316" s="87">
        <f>ROUND(I316*H316,2)</f>
        <v>0</v>
      </c>
      <c r="K316" s="88"/>
      <c r="L316" s="13"/>
      <c r="M316" s="89" t="s">
        <v>3</v>
      </c>
      <c r="N316" s="90" t="s">
        <v>36</v>
      </c>
      <c r="O316" s="91">
        <v>0</v>
      </c>
      <c r="P316" s="91">
        <f>O316*H316</f>
        <v>0</v>
      </c>
      <c r="Q316" s="91">
        <v>0</v>
      </c>
      <c r="R316" s="91">
        <f>Q316*H316</f>
        <v>0</v>
      </c>
      <c r="S316" s="91">
        <v>0</v>
      </c>
      <c r="T316" s="92">
        <f>S316*H316</f>
        <v>0</v>
      </c>
      <c r="AR316" s="93" t="s">
        <v>82</v>
      </c>
      <c r="AT316" s="93" t="s">
        <v>85</v>
      </c>
      <c r="AU316" s="93" t="s">
        <v>84</v>
      </c>
      <c r="AY316" s="3" t="s">
        <v>83</v>
      </c>
      <c r="BE316" s="94">
        <f>IF(N316="základní",J316,0)</f>
        <v>0</v>
      </c>
      <c r="BF316" s="94">
        <f>IF(N316="snížená",J316,0)</f>
        <v>0</v>
      </c>
      <c r="BG316" s="94">
        <f>IF(N316="zákl. přenesená",J316,0)</f>
        <v>0</v>
      </c>
      <c r="BH316" s="94">
        <f>IF(N316="sníž. přenesená",J316,0)</f>
        <v>0</v>
      </c>
      <c r="BI316" s="94">
        <f>IF(N316="nulová",J316,0)</f>
        <v>0</v>
      </c>
      <c r="BJ316" s="3" t="s">
        <v>84</v>
      </c>
      <c r="BK316" s="94">
        <f>ROUND(I316*H316,2)</f>
        <v>0</v>
      </c>
      <c r="BL316" s="3" t="s">
        <v>82</v>
      </c>
      <c r="BM316" s="93" t="s">
        <v>427</v>
      </c>
    </row>
    <row r="317" spans="2:65" s="14" customFormat="1" x14ac:dyDescent="0.2">
      <c r="B317" s="13"/>
      <c r="D317" s="95" t="s">
        <v>90</v>
      </c>
      <c r="F317" s="96" t="s">
        <v>426</v>
      </c>
      <c r="L317" s="13"/>
      <c r="M317" s="97"/>
      <c r="T317" s="98"/>
      <c r="AT317" s="3" t="s">
        <v>90</v>
      </c>
      <c r="AU317" s="3" t="s">
        <v>84</v>
      </c>
    </row>
    <row r="318" spans="2:65" s="107" customFormat="1" x14ac:dyDescent="0.2">
      <c r="B318" s="106"/>
      <c r="D318" s="95" t="s">
        <v>92</v>
      </c>
      <c r="E318" s="108" t="s">
        <v>3</v>
      </c>
      <c r="F318" s="109" t="s">
        <v>428</v>
      </c>
      <c r="H318" s="108" t="s">
        <v>3</v>
      </c>
      <c r="L318" s="106"/>
      <c r="M318" s="110"/>
      <c r="T318" s="111"/>
      <c r="AT318" s="108" t="s">
        <v>92</v>
      </c>
      <c r="AU318" s="108" t="s">
        <v>84</v>
      </c>
      <c r="AV318" s="107" t="s">
        <v>84</v>
      </c>
      <c r="AW318" s="107" t="s">
        <v>95</v>
      </c>
      <c r="AX318" s="107" t="s">
        <v>80</v>
      </c>
      <c r="AY318" s="108" t="s">
        <v>83</v>
      </c>
    </row>
    <row r="319" spans="2:65" s="107" customFormat="1" ht="20.399999999999999" x14ac:dyDescent="0.2">
      <c r="B319" s="106"/>
      <c r="D319" s="95" t="s">
        <v>92</v>
      </c>
      <c r="E319" s="108" t="s">
        <v>3</v>
      </c>
      <c r="F319" s="109" t="s">
        <v>429</v>
      </c>
      <c r="H319" s="108" t="s">
        <v>3</v>
      </c>
      <c r="L319" s="106"/>
      <c r="M319" s="110"/>
      <c r="T319" s="111"/>
      <c r="AT319" s="108" t="s">
        <v>92</v>
      </c>
      <c r="AU319" s="108" t="s">
        <v>84</v>
      </c>
      <c r="AV319" s="107" t="s">
        <v>84</v>
      </c>
      <c r="AW319" s="107" t="s">
        <v>95</v>
      </c>
      <c r="AX319" s="107" t="s">
        <v>80</v>
      </c>
      <c r="AY319" s="108" t="s">
        <v>83</v>
      </c>
    </row>
    <row r="320" spans="2:65" s="100" customFormat="1" ht="20.399999999999999" x14ac:dyDescent="0.2">
      <c r="B320" s="99"/>
      <c r="D320" s="95" t="s">
        <v>92</v>
      </c>
      <c r="E320" s="101" t="s">
        <v>430</v>
      </c>
      <c r="F320" s="102" t="s">
        <v>431</v>
      </c>
      <c r="H320" s="103">
        <v>40.111369785801024</v>
      </c>
      <c r="L320" s="99"/>
      <c r="M320" s="104"/>
      <c r="T320" s="105"/>
      <c r="AT320" s="101" t="s">
        <v>92</v>
      </c>
      <c r="AU320" s="101" t="s">
        <v>84</v>
      </c>
      <c r="AV320" s="100" t="s">
        <v>5</v>
      </c>
      <c r="AW320" s="100" t="s">
        <v>95</v>
      </c>
      <c r="AX320" s="100" t="s">
        <v>80</v>
      </c>
      <c r="AY320" s="101" t="s">
        <v>83</v>
      </c>
    </row>
    <row r="321" spans="2:65" s="107" customFormat="1" x14ac:dyDescent="0.2">
      <c r="B321" s="106"/>
      <c r="D321" s="95" t="s">
        <v>92</v>
      </c>
      <c r="E321" s="108" t="s">
        <v>3</v>
      </c>
      <c r="F321" s="109" t="s">
        <v>432</v>
      </c>
      <c r="H321" s="108" t="s">
        <v>3</v>
      </c>
      <c r="L321" s="106"/>
      <c r="M321" s="110"/>
      <c r="T321" s="111"/>
      <c r="AT321" s="108" t="s">
        <v>92</v>
      </c>
      <c r="AU321" s="108" t="s">
        <v>84</v>
      </c>
      <c r="AV321" s="107" t="s">
        <v>84</v>
      </c>
      <c r="AW321" s="107" t="s">
        <v>95</v>
      </c>
      <c r="AX321" s="107" t="s">
        <v>80</v>
      </c>
      <c r="AY321" s="108" t="s">
        <v>83</v>
      </c>
    </row>
    <row r="322" spans="2:65" s="107" customFormat="1" ht="20.399999999999999" x14ac:dyDescent="0.2">
      <c r="B322" s="106"/>
      <c r="D322" s="95" t="s">
        <v>92</v>
      </c>
      <c r="E322" s="108" t="s">
        <v>3</v>
      </c>
      <c r="F322" s="109" t="s">
        <v>433</v>
      </c>
      <c r="H322" s="108" t="s">
        <v>3</v>
      </c>
      <c r="L322" s="106"/>
      <c r="M322" s="110"/>
      <c r="T322" s="111"/>
      <c r="AT322" s="108" t="s">
        <v>92</v>
      </c>
      <c r="AU322" s="108" t="s">
        <v>84</v>
      </c>
      <c r="AV322" s="107" t="s">
        <v>84</v>
      </c>
      <c r="AW322" s="107" t="s">
        <v>95</v>
      </c>
      <c r="AX322" s="107" t="s">
        <v>80</v>
      </c>
      <c r="AY322" s="108" t="s">
        <v>83</v>
      </c>
    </row>
    <row r="323" spans="2:65" s="100" customFormat="1" ht="20.399999999999999" x14ac:dyDescent="0.2">
      <c r="B323" s="99"/>
      <c r="D323" s="95" t="s">
        <v>92</v>
      </c>
      <c r="E323" s="101" t="s">
        <v>434</v>
      </c>
      <c r="F323" s="102" t="s">
        <v>435</v>
      </c>
      <c r="H323" s="103">
        <v>89.765615196457304</v>
      </c>
      <c r="L323" s="99"/>
      <c r="M323" s="104"/>
      <c r="T323" s="105"/>
      <c r="AT323" s="101" t="s">
        <v>92</v>
      </c>
      <c r="AU323" s="101" t="s">
        <v>84</v>
      </c>
      <c r="AV323" s="100" t="s">
        <v>5</v>
      </c>
      <c r="AW323" s="100" t="s">
        <v>95</v>
      </c>
      <c r="AX323" s="100" t="s">
        <v>80</v>
      </c>
      <c r="AY323" s="101" t="s">
        <v>83</v>
      </c>
    </row>
    <row r="324" spans="2:65" s="100" customFormat="1" x14ac:dyDescent="0.2">
      <c r="B324" s="99"/>
      <c r="D324" s="95" t="s">
        <v>92</v>
      </c>
      <c r="E324" s="101" t="s">
        <v>3</v>
      </c>
      <c r="F324" s="102" t="s">
        <v>436</v>
      </c>
      <c r="H324" s="103">
        <v>129.87700000000001</v>
      </c>
      <c r="L324" s="99"/>
      <c r="M324" s="104"/>
      <c r="T324" s="105"/>
      <c r="AT324" s="101" t="s">
        <v>92</v>
      </c>
      <c r="AU324" s="101" t="s">
        <v>84</v>
      </c>
      <c r="AV324" s="100" t="s">
        <v>5</v>
      </c>
      <c r="AW324" s="100" t="s">
        <v>95</v>
      </c>
      <c r="AX324" s="100" t="s">
        <v>84</v>
      </c>
      <c r="AY324" s="101" t="s">
        <v>83</v>
      </c>
    </row>
    <row r="325" spans="2:65" s="14" customFormat="1" ht="16.5" customHeight="1" x14ac:dyDescent="0.2">
      <c r="B325" s="81"/>
      <c r="C325" s="82" t="s">
        <v>437</v>
      </c>
      <c r="D325" s="82" t="s">
        <v>85</v>
      </c>
      <c r="E325" s="83" t="s">
        <v>438</v>
      </c>
      <c r="F325" s="84" t="s">
        <v>439</v>
      </c>
      <c r="G325" s="85" t="s">
        <v>129</v>
      </c>
      <c r="H325" s="86">
        <v>259.726</v>
      </c>
      <c r="I325" s="87">
        <v>0</v>
      </c>
      <c r="J325" s="87">
        <f>ROUND(I325*H325,2)</f>
        <v>0</v>
      </c>
      <c r="K325" s="88"/>
      <c r="L325" s="13"/>
      <c r="M325" s="89" t="s">
        <v>3</v>
      </c>
      <c r="N325" s="90" t="s">
        <v>36</v>
      </c>
      <c r="O325" s="91">
        <v>0</v>
      </c>
      <c r="P325" s="91">
        <f>O325*H325</f>
        <v>0</v>
      </c>
      <c r="Q325" s="91">
        <v>0</v>
      </c>
      <c r="R325" s="91">
        <f>Q325*H325</f>
        <v>0</v>
      </c>
      <c r="S325" s="91">
        <v>0</v>
      </c>
      <c r="T325" s="92">
        <f>S325*H325</f>
        <v>0</v>
      </c>
      <c r="AR325" s="93" t="s">
        <v>82</v>
      </c>
      <c r="AT325" s="93" t="s">
        <v>85</v>
      </c>
      <c r="AU325" s="93" t="s">
        <v>84</v>
      </c>
      <c r="AY325" s="3" t="s">
        <v>83</v>
      </c>
      <c r="BE325" s="94">
        <f>IF(N325="základní",J325,0)</f>
        <v>0</v>
      </c>
      <c r="BF325" s="94">
        <f>IF(N325="snížená",J325,0)</f>
        <v>0</v>
      </c>
      <c r="BG325" s="94">
        <f>IF(N325="zákl. přenesená",J325,0)</f>
        <v>0</v>
      </c>
      <c r="BH325" s="94">
        <f>IF(N325="sníž. přenesená",J325,0)</f>
        <v>0</v>
      </c>
      <c r="BI325" s="94">
        <f>IF(N325="nulová",J325,0)</f>
        <v>0</v>
      </c>
      <c r="BJ325" s="3" t="s">
        <v>84</v>
      </c>
      <c r="BK325" s="94">
        <f>ROUND(I325*H325,2)</f>
        <v>0</v>
      </c>
      <c r="BL325" s="3" t="s">
        <v>82</v>
      </c>
      <c r="BM325" s="93" t="s">
        <v>440</v>
      </c>
    </row>
    <row r="326" spans="2:65" s="14" customFormat="1" x14ac:dyDescent="0.2">
      <c r="B326" s="13"/>
      <c r="D326" s="95" t="s">
        <v>90</v>
      </c>
      <c r="F326" s="96" t="s">
        <v>441</v>
      </c>
      <c r="L326" s="13"/>
      <c r="M326" s="97"/>
      <c r="T326" s="98"/>
      <c r="AT326" s="3" t="s">
        <v>90</v>
      </c>
      <c r="AU326" s="3" t="s">
        <v>84</v>
      </c>
    </row>
    <row r="327" spans="2:65" s="100" customFormat="1" x14ac:dyDescent="0.2">
      <c r="B327" s="99"/>
      <c r="D327" s="95" t="s">
        <v>92</v>
      </c>
      <c r="E327" s="101" t="s">
        <v>442</v>
      </c>
      <c r="F327" s="102" t="s">
        <v>443</v>
      </c>
      <c r="H327" s="103">
        <v>133.542</v>
      </c>
      <c r="L327" s="99"/>
      <c r="M327" s="104"/>
      <c r="T327" s="105"/>
      <c r="AT327" s="101" t="s">
        <v>92</v>
      </c>
      <c r="AU327" s="101" t="s">
        <v>84</v>
      </c>
      <c r="AV327" s="100" t="s">
        <v>5</v>
      </c>
      <c r="AW327" s="100" t="s">
        <v>95</v>
      </c>
      <c r="AX327" s="100" t="s">
        <v>80</v>
      </c>
      <c r="AY327" s="101" t="s">
        <v>83</v>
      </c>
    </row>
    <row r="328" spans="2:65" s="100" customFormat="1" x14ac:dyDescent="0.2">
      <c r="B328" s="99"/>
      <c r="D328" s="95" t="s">
        <v>92</v>
      </c>
      <c r="E328" s="101" t="s">
        <v>444</v>
      </c>
      <c r="F328" s="102" t="s">
        <v>445</v>
      </c>
      <c r="H328" s="103">
        <v>126.18400000000001</v>
      </c>
      <c r="L328" s="99"/>
      <c r="M328" s="104"/>
      <c r="T328" s="105"/>
      <c r="AT328" s="101" t="s">
        <v>92</v>
      </c>
      <c r="AU328" s="101" t="s">
        <v>84</v>
      </c>
      <c r="AV328" s="100" t="s">
        <v>5</v>
      </c>
      <c r="AW328" s="100" t="s">
        <v>95</v>
      </c>
      <c r="AX328" s="100" t="s">
        <v>80</v>
      </c>
      <c r="AY328" s="101" t="s">
        <v>83</v>
      </c>
    </row>
    <row r="329" spans="2:65" s="100" customFormat="1" x14ac:dyDescent="0.2">
      <c r="B329" s="99"/>
      <c r="D329" s="95" t="s">
        <v>92</v>
      </c>
      <c r="E329" s="101" t="s">
        <v>3</v>
      </c>
      <c r="F329" s="102" t="s">
        <v>446</v>
      </c>
      <c r="H329" s="103">
        <v>259.726</v>
      </c>
      <c r="L329" s="99"/>
      <c r="M329" s="104"/>
      <c r="T329" s="105"/>
      <c r="AT329" s="101" t="s">
        <v>92</v>
      </c>
      <c r="AU329" s="101" t="s">
        <v>84</v>
      </c>
      <c r="AV329" s="100" t="s">
        <v>5</v>
      </c>
      <c r="AW329" s="100" t="s">
        <v>95</v>
      </c>
      <c r="AX329" s="100" t="s">
        <v>84</v>
      </c>
      <c r="AY329" s="101" t="s">
        <v>83</v>
      </c>
    </row>
    <row r="330" spans="2:65" s="72" customFormat="1" ht="25.95" customHeight="1" x14ac:dyDescent="0.25">
      <c r="B330" s="71"/>
      <c r="D330" s="73" t="s">
        <v>79</v>
      </c>
      <c r="E330" s="74" t="s">
        <v>111</v>
      </c>
      <c r="F330" s="74" t="s">
        <v>447</v>
      </c>
      <c r="J330" s="75">
        <f>BK330</f>
        <v>0</v>
      </c>
      <c r="L330" s="71"/>
      <c r="M330" s="76"/>
      <c r="P330" s="77">
        <f>SUM(P331:P386)</f>
        <v>0</v>
      </c>
      <c r="R330" s="77">
        <f>SUM(R331:R386)</f>
        <v>0</v>
      </c>
      <c r="T330" s="78">
        <f>SUM(T331:T386)</f>
        <v>0</v>
      </c>
      <c r="AR330" s="73" t="s">
        <v>82</v>
      </c>
      <c r="AT330" s="79" t="s">
        <v>79</v>
      </c>
      <c r="AU330" s="79" t="s">
        <v>80</v>
      </c>
      <c r="AY330" s="73" t="s">
        <v>83</v>
      </c>
      <c r="BK330" s="80">
        <f>SUM(BK331:BK386)</f>
        <v>0</v>
      </c>
    </row>
    <row r="331" spans="2:65" s="14" customFormat="1" ht="16.5" customHeight="1" x14ac:dyDescent="0.2">
      <c r="B331" s="81"/>
      <c r="C331" s="82" t="s">
        <v>448</v>
      </c>
      <c r="D331" s="82" t="s">
        <v>85</v>
      </c>
      <c r="E331" s="83" t="s">
        <v>449</v>
      </c>
      <c r="F331" s="84" t="s">
        <v>450</v>
      </c>
      <c r="G331" s="85" t="s">
        <v>451</v>
      </c>
      <c r="H331" s="86">
        <v>2640</v>
      </c>
      <c r="I331" s="87">
        <v>0</v>
      </c>
      <c r="J331" s="87">
        <f>ROUND(I331*H331,2)</f>
        <v>0</v>
      </c>
      <c r="K331" s="88"/>
      <c r="L331" s="13"/>
      <c r="M331" s="89" t="s">
        <v>3</v>
      </c>
      <c r="N331" s="90" t="s">
        <v>36</v>
      </c>
      <c r="O331" s="91">
        <v>0</v>
      </c>
      <c r="P331" s="91">
        <f>O331*H331</f>
        <v>0</v>
      </c>
      <c r="Q331" s="91">
        <v>0</v>
      </c>
      <c r="R331" s="91">
        <f>Q331*H331</f>
        <v>0</v>
      </c>
      <c r="S331" s="91">
        <v>0</v>
      </c>
      <c r="T331" s="92">
        <f>S331*H331</f>
        <v>0</v>
      </c>
      <c r="AR331" s="93" t="s">
        <v>82</v>
      </c>
      <c r="AT331" s="93" t="s">
        <v>85</v>
      </c>
      <c r="AU331" s="93" t="s">
        <v>84</v>
      </c>
      <c r="AY331" s="3" t="s">
        <v>83</v>
      </c>
      <c r="BE331" s="94">
        <f>IF(N331="základní",J331,0)</f>
        <v>0</v>
      </c>
      <c r="BF331" s="94">
        <f>IF(N331="snížená",J331,0)</f>
        <v>0</v>
      </c>
      <c r="BG331" s="94">
        <f>IF(N331="zákl. přenesená",J331,0)</f>
        <v>0</v>
      </c>
      <c r="BH331" s="94">
        <f>IF(N331="sníž. přenesená",J331,0)</f>
        <v>0</v>
      </c>
      <c r="BI331" s="94">
        <f>IF(N331="nulová",J331,0)</f>
        <v>0</v>
      </c>
      <c r="BJ331" s="3" t="s">
        <v>84</v>
      </c>
      <c r="BK331" s="94">
        <f>ROUND(I331*H331,2)</f>
        <v>0</v>
      </c>
      <c r="BL331" s="3" t="s">
        <v>82</v>
      </c>
      <c r="BM331" s="93" t="s">
        <v>452</v>
      </c>
    </row>
    <row r="332" spans="2:65" s="14" customFormat="1" ht="19.2" x14ac:dyDescent="0.2">
      <c r="B332" s="13"/>
      <c r="D332" s="95" t="s">
        <v>90</v>
      </c>
      <c r="F332" s="96" t="s">
        <v>453</v>
      </c>
      <c r="L332" s="13"/>
      <c r="M332" s="97"/>
      <c r="T332" s="98"/>
      <c r="AT332" s="3" t="s">
        <v>90</v>
      </c>
      <c r="AU332" s="3" t="s">
        <v>84</v>
      </c>
    </row>
    <row r="333" spans="2:65" s="100" customFormat="1" x14ac:dyDescent="0.2">
      <c r="B333" s="99"/>
      <c r="D333" s="95" t="s">
        <v>92</v>
      </c>
      <c r="E333" s="101" t="s">
        <v>454</v>
      </c>
      <c r="F333" s="102" t="s">
        <v>455</v>
      </c>
      <c r="H333" s="103">
        <v>1320</v>
      </c>
      <c r="L333" s="99"/>
      <c r="M333" s="104"/>
      <c r="T333" s="105"/>
      <c r="AT333" s="101" t="s">
        <v>92</v>
      </c>
      <c r="AU333" s="101" t="s">
        <v>84</v>
      </c>
      <c r="AV333" s="100" t="s">
        <v>5</v>
      </c>
      <c r="AW333" s="100" t="s">
        <v>95</v>
      </c>
      <c r="AX333" s="100" t="s">
        <v>80</v>
      </c>
      <c r="AY333" s="101" t="s">
        <v>83</v>
      </c>
    </row>
    <row r="334" spans="2:65" s="100" customFormat="1" x14ac:dyDescent="0.2">
      <c r="B334" s="99"/>
      <c r="D334" s="95" t="s">
        <v>92</v>
      </c>
      <c r="E334" s="101" t="s">
        <v>456</v>
      </c>
      <c r="F334" s="102" t="s">
        <v>457</v>
      </c>
      <c r="H334" s="103">
        <v>1320</v>
      </c>
      <c r="L334" s="99"/>
      <c r="M334" s="104"/>
      <c r="T334" s="105"/>
      <c r="AT334" s="101" t="s">
        <v>92</v>
      </c>
      <c r="AU334" s="101" t="s">
        <v>84</v>
      </c>
      <c r="AV334" s="100" t="s">
        <v>5</v>
      </c>
      <c r="AW334" s="100" t="s">
        <v>95</v>
      </c>
      <c r="AX334" s="100" t="s">
        <v>80</v>
      </c>
      <c r="AY334" s="101" t="s">
        <v>83</v>
      </c>
    </row>
    <row r="335" spans="2:65" s="100" customFormat="1" x14ac:dyDescent="0.2">
      <c r="B335" s="99"/>
      <c r="D335" s="95" t="s">
        <v>92</v>
      </c>
      <c r="E335" s="101" t="s">
        <v>3</v>
      </c>
      <c r="F335" s="102" t="s">
        <v>458</v>
      </c>
      <c r="H335" s="103">
        <v>2640</v>
      </c>
      <c r="L335" s="99"/>
      <c r="M335" s="104"/>
      <c r="T335" s="105"/>
      <c r="AT335" s="101" t="s">
        <v>92</v>
      </c>
      <c r="AU335" s="101" t="s">
        <v>84</v>
      </c>
      <c r="AV335" s="100" t="s">
        <v>5</v>
      </c>
      <c r="AW335" s="100" t="s">
        <v>95</v>
      </c>
      <c r="AX335" s="100" t="s">
        <v>84</v>
      </c>
      <c r="AY335" s="101" t="s">
        <v>83</v>
      </c>
    </row>
    <row r="336" spans="2:65" s="14" customFormat="1" ht="16.5" customHeight="1" x14ac:dyDescent="0.2">
      <c r="B336" s="81"/>
      <c r="C336" s="82" t="s">
        <v>459</v>
      </c>
      <c r="D336" s="82" t="s">
        <v>85</v>
      </c>
      <c r="E336" s="83" t="s">
        <v>460</v>
      </c>
      <c r="F336" s="84" t="s">
        <v>461</v>
      </c>
      <c r="G336" s="85" t="s">
        <v>88</v>
      </c>
      <c r="H336" s="86">
        <v>266.32799999999997</v>
      </c>
      <c r="I336" s="87">
        <v>0</v>
      </c>
      <c r="J336" s="87">
        <f>ROUND(I336*H336,2)</f>
        <v>0</v>
      </c>
      <c r="K336" s="88"/>
      <c r="L336" s="13"/>
      <c r="M336" s="89" t="s">
        <v>3</v>
      </c>
      <c r="N336" s="90" t="s">
        <v>36</v>
      </c>
      <c r="O336" s="91">
        <v>0</v>
      </c>
      <c r="P336" s="91">
        <f>O336*H336</f>
        <v>0</v>
      </c>
      <c r="Q336" s="91">
        <v>0</v>
      </c>
      <c r="R336" s="91">
        <f>Q336*H336</f>
        <v>0</v>
      </c>
      <c r="S336" s="91">
        <v>0</v>
      </c>
      <c r="T336" s="92">
        <f>S336*H336</f>
        <v>0</v>
      </c>
      <c r="AR336" s="93" t="s">
        <v>82</v>
      </c>
      <c r="AT336" s="93" t="s">
        <v>85</v>
      </c>
      <c r="AU336" s="93" t="s">
        <v>84</v>
      </c>
      <c r="AY336" s="3" t="s">
        <v>83</v>
      </c>
      <c r="BE336" s="94">
        <f>IF(N336="základní",J336,0)</f>
        <v>0</v>
      </c>
      <c r="BF336" s="94">
        <f>IF(N336="snížená",J336,0)</f>
        <v>0</v>
      </c>
      <c r="BG336" s="94">
        <f>IF(N336="zákl. přenesená",J336,0)</f>
        <v>0</v>
      </c>
      <c r="BH336" s="94">
        <f>IF(N336="sníž. přenesená",J336,0)</f>
        <v>0</v>
      </c>
      <c r="BI336" s="94">
        <f>IF(N336="nulová",J336,0)</f>
        <v>0</v>
      </c>
      <c r="BJ336" s="3" t="s">
        <v>84</v>
      </c>
      <c r="BK336" s="94">
        <f>ROUND(I336*H336,2)</f>
        <v>0</v>
      </c>
      <c r="BL336" s="3" t="s">
        <v>82</v>
      </c>
      <c r="BM336" s="93" t="s">
        <v>462</v>
      </c>
    </row>
    <row r="337" spans="2:65" s="14" customFormat="1" x14ac:dyDescent="0.2">
      <c r="B337" s="13"/>
      <c r="D337" s="95" t="s">
        <v>90</v>
      </c>
      <c r="F337" s="96" t="s">
        <v>461</v>
      </c>
      <c r="L337" s="13"/>
      <c r="M337" s="97"/>
      <c r="T337" s="98"/>
      <c r="AT337" s="3" t="s">
        <v>90</v>
      </c>
      <c r="AU337" s="3" t="s">
        <v>84</v>
      </c>
    </row>
    <row r="338" spans="2:65" s="100" customFormat="1" ht="30.6" x14ac:dyDescent="0.2">
      <c r="B338" s="99"/>
      <c r="D338" s="95" t="s">
        <v>92</v>
      </c>
      <c r="E338" s="101" t="s">
        <v>463</v>
      </c>
      <c r="F338" s="102" t="s">
        <v>464</v>
      </c>
      <c r="H338" s="103">
        <v>133.14648500000001</v>
      </c>
      <c r="L338" s="99"/>
      <c r="M338" s="104"/>
      <c r="T338" s="105"/>
      <c r="AT338" s="101" t="s">
        <v>92</v>
      </c>
      <c r="AU338" s="101" t="s">
        <v>84</v>
      </c>
      <c r="AV338" s="100" t="s">
        <v>5</v>
      </c>
      <c r="AW338" s="100" t="s">
        <v>95</v>
      </c>
      <c r="AX338" s="100" t="s">
        <v>80</v>
      </c>
      <c r="AY338" s="101" t="s">
        <v>83</v>
      </c>
    </row>
    <row r="339" spans="2:65" s="100" customFormat="1" ht="30.6" x14ac:dyDescent="0.2">
      <c r="B339" s="99"/>
      <c r="D339" s="95" t="s">
        <v>92</v>
      </c>
      <c r="E339" s="101" t="s">
        <v>465</v>
      </c>
      <c r="F339" s="102" t="s">
        <v>466</v>
      </c>
      <c r="H339" s="103">
        <v>133.18219999999999</v>
      </c>
      <c r="L339" s="99"/>
      <c r="M339" s="104"/>
      <c r="T339" s="105"/>
      <c r="AT339" s="101" t="s">
        <v>92</v>
      </c>
      <c r="AU339" s="101" t="s">
        <v>84</v>
      </c>
      <c r="AV339" s="100" t="s">
        <v>5</v>
      </c>
      <c r="AW339" s="100" t="s">
        <v>95</v>
      </c>
      <c r="AX339" s="100" t="s">
        <v>80</v>
      </c>
      <c r="AY339" s="101" t="s">
        <v>83</v>
      </c>
    </row>
    <row r="340" spans="2:65" s="100" customFormat="1" x14ac:dyDescent="0.2">
      <c r="B340" s="99"/>
      <c r="D340" s="95" t="s">
        <v>92</v>
      </c>
      <c r="E340" s="101" t="s">
        <v>3</v>
      </c>
      <c r="F340" s="102" t="s">
        <v>467</v>
      </c>
      <c r="H340" s="103">
        <v>266.32799999999997</v>
      </c>
      <c r="L340" s="99"/>
      <c r="M340" s="104"/>
      <c r="T340" s="105"/>
      <c r="AT340" s="101" t="s">
        <v>92</v>
      </c>
      <c r="AU340" s="101" t="s">
        <v>84</v>
      </c>
      <c r="AV340" s="100" t="s">
        <v>5</v>
      </c>
      <c r="AW340" s="100" t="s">
        <v>95</v>
      </c>
      <c r="AX340" s="100" t="s">
        <v>84</v>
      </c>
      <c r="AY340" s="101" t="s">
        <v>83</v>
      </c>
    </row>
    <row r="341" spans="2:65" s="14" customFormat="1" ht="16.5" customHeight="1" x14ac:dyDescent="0.2">
      <c r="B341" s="81"/>
      <c r="C341" s="82" t="s">
        <v>468</v>
      </c>
      <c r="D341" s="82" t="s">
        <v>85</v>
      </c>
      <c r="E341" s="83" t="s">
        <v>469</v>
      </c>
      <c r="F341" s="84" t="s">
        <v>470</v>
      </c>
      <c r="G341" s="85" t="s">
        <v>120</v>
      </c>
      <c r="H341" s="86">
        <v>30.074000000000002</v>
      </c>
      <c r="I341" s="87">
        <v>0</v>
      </c>
      <c r="J341" s="87">
        <f>ROUND(I341*H341,2)</f>
        <v>0</v>
      </c>
      <c r="K341" s="88"/>
      <c r="L341" s="13"/>
      <c r="M341" s="89" t="s">
        <v>3</v>
      </c>
      <c r="N341" s="90" t="s">
        <v>36</v>
      </c>
      <c r="O341" s="91">
        <v>0</v>
      </c>
      <c r="P341" s="91">
        <f>O341*H341</f>
        <v>0</v>
      </c>
      <c r="Q341" s="91">
        <v>0</v>
      </c>
      <c r="R341" s="91">
        <f>Q341*H341</f>
        <v>0</v>
      </c>
      <c r="S341" s="91">
        <v>0</v>
      </c>
      <c r="T341" s="92">
        <f>S341*H341</f>
        <v>0</v>
      </c>
      <c r="AR341" s="93" t="s">
        <v>82</v>
      </c>
      <c r="AT341" s="93" t="s">
        <v>85</v>
      </c>
      <c r="AU341" s="93" t="s">
        <v>84</v>
      </c>
      <c r="AY341" s="3" t="s">
        <v>83</v>
      </c>
      <c r="BE341" s="94">
        <f>IF(N341="základní",J341,0)</f>
        <v>0</v>
      </c>
      <c r="BF341" s="94">
        <f>IF(N341="snížená",J341,0)</f>
        <v>0</v>
      </c>
      <c r="BG341" s="94">
        <f>IF(N341="zákl. přenesená",J341,0)</f>
        <v>0</v>
      </c>
      <c r="BH341" s="94">
        <f>IF(N341="sníž. přenesená",J341,0)</f>
        <v>0</v>
      </c>
      <c r="BI341" s="94">
        <f>IF(N341="nulová",J341,0)</f>
        <v>0</v>
      </c>
      <c r="BJ341" s="3" t="s">
        <v>84</v>
      </c>
      <c r="BK341" s="94">
        <f>ROUND(I341*H341,2)</f>
        <v>0</v>
      </c>
      <c r="BL341" s="3" t="s">
        <v>82</v>
      </c>
      <c r="BM341" s="93" t="s">
        <v>471</v>
      </c>
    </row>
    <row r="342" spans="2:65" s="14" customFormat="1" x14ac:dyDescent="0.2">
      <c r="B342" s="13"/>
      <c r="D342" s="95" t="s">
        <v>90</v>
      </c>
      <c r="F342" s="96" t="s">
        <v>470</v>
      </c>
      <c r="L342" s="13"/>
      <c r="M342" s="97"/>
      <c r="T342" s="98"/>
      <c r="AT342" s="3" t="s">
        <v>90</v>
      </c>
      <c r="AU342" s="3" t="s">
        <v>84</v>
      </c>
    </row>
    <row r="343" spans="2:65" s="100" customFormat="1" x14ac:dyDescent="0.2">
      <c r="B343" s="99"/>
      <c r="D343" s="95" t="s">
        <v>92</v>
      </c>
      <c r="E343" s="101" t="s">
        <v>472</v>
      </c>
      <c r="F343" s="102" t="s">
        <v>473</v>
      </c>
      <c r="H343" s="103">
        <v>30.073700000000002</v>
      </c>
      <c r="L343" s="99"/>
      <c r="M343" s="104"/>
      <c r="T343" s="105"/>
      <c r="AT343" s="101" t="s">
        <v>92</v>
      </c>
      <c r="AU343" s="101" t="s">
        <v>84</v>
      </c>
      <c r="AV343" s="100" t="s">
        <v>5</v>
      </c>
      <c r="AW343" s="100" t="s">
        <v>95</v>
      </c>
      <c r="AX343" s="100" t="s">
        <v>80</v>
      </c>
      <c r="AY343" s="101" t="s">
        <v>83</v>
      </c>
    </row>
    <row r="344" spans="2:65" s="100" customFormat="1" x14ac:dyDescent="0.2">
      <c r="B344" s="99"/>
      <c r="D344" s="95" t="s">
        <v>92</v>
      </c>
      <c r="E344" s="101" t="s">
        <v>3</v>
      </c>
      <c r="F344" s="102" t="s">
        <v>474</v>
      </c>
      <c r="H344" s="103">
        <v>30.074000000000002</v>
      </c>
      <c r="L344" s="99"/>
      <c r="M344" s="104"/>
      <c r="T344" s="105"/>
      <c r="AT344" s="101" t="s">
        <v>92</v>
      </c>
      <c r="AU344" s="101" t="s">
        <v>84</v>
      </c>
      <c r="AV344" s="100" t="s">
        <v>5</v>
      </c>
      <c r="AW344" s="100" t="s">
        <v>95</v>
      </c>
      <c r="AX344" s="100" t="s">
        <v>84</v>
      </c>
      <c r="AY344" s="101" t="s">
        <v>83</v>
      </c>
    </row>
    <row r="345" spans="2:65" s="14" customFormat="1" ht="37.950000000000003" customHeight="1" x14ac:dyDescent="0.2">
      <c r="B345" s="81"/>
      <c r="C345" s="82" t="s">
        <v>475</v>
      </c>
      <c r="D345" s="82" t="s">
        <v>85</v>
      </c>
      <c r="E345" s="83" t="s">
        <v>476</v>
      </c>
      <c r="F345" s="84" t="s">
        <v>477</v>
      </c>
      <c r="G345" s="85" t="s">
        <v>88</v>
      </c>
      <c r="H345" s="86">
        <v>283.47000000000003</v>
      </c>
      <c r="I345" s="87">
        <v>0</v>
      </c>
      <c r="J345" s="87">
        <f>ROUND(I345*H345,2)</f>
        <v>0</v>
      </c>
      <c r="K345" s="88"/>
      <c r="L345" s="13"/>
      <c r="M345" s="89" t="s">
        <v>3</v>
      </c>
      <c r="N345" s="90" t="s">
        <v>36</v>
      </c>
      <c r="O345" s="91">
        <v>0</v>
      </c>
      <c r="P345" s="91">
        <f>O345*H345</f>
        <v>0</v>
      </c>
      <c r="Q345" s="91">
        <v>0</v>
      </c>
      <c r="R345" s="91">
        <f>Q345*H345</f>
        <v>0</v>
      </c>
      <c r="S345" s="91">
        <v>0</v>
      </c>
      <c r="T345" s="92">
        <f>S345*H345</f>
        <v>0</v>
      </c>
      <c r="AR345" s="93" t="s">
        <v>82</v>
      </c>
      <c r="AT345" s="93" t="s">
        <v>85</v>
      </c>
      <c r="AU345" s="93" t="s">
        <v>84</v>
      </c>
      <c r="AY345" s="3" t="s">
        <v>83</v>
      </c>
      <c r="BE345" s="94">
        <f>IF(N345="základní",J345,0)</f>
        <v>0</v>
      </c>
      <c r="BF345" s="94">
        <f>IF(N345="snížená",J345,0)</f>
        <v>0</v>
      </c>
      <c r="BG345" s="94">
        <f>IF(N345="zákl. přenesená",J345,0)</f>
        <v>0</v>
      </c>
      <c r="BH345" s="94">
        <f>IF(N345="sníž. přenesená",J345,0)</f>
        <v>0</v>
      </c>
      <c r="BI345" s="94">
        <f>IF(N345="nulová",J345,0)</f>
        <v>0</v>
      </c>
      <c r="BJ345" s="3" t="s">
        <v>84</v>
      </c>
      <c r="BK345" s="94">
        <f>ROUND(I345*H345,2)</f>
        <v>0</v>
      </c>
      <c r="BL345" s="3" t="s">
        <v>82</v>
      </c>
      <c r="BM345" s="93" t="s">
        <v>478</v>
      </c>
    </row>
    <row r="346" spans="2:65" s="14" customFormat="1" ht="19.2" x14ac:dyDescent="0.2">
      <c r="B346" s="13"/>
      <c r="D346" s="95" t="s">
        <v>90</v>
      </c>
      <c r="F346" s="96" t="s">
        <v>477</v>
      </c>
      <c r="L346" s="13"/>
      <c r="M346" s="97"/>
      <c r="T346" s="98"/>
      <c r="AT346" s="3" t="s">
        <v>90</v>
      </c>
      <c r="AU346" s="3" t="s">
        <v>84</v>
      </c>
    </row>
    <row r="347" spans="2:65" s="100" customFormat="1" ht="30.6" x14ac:dyDescent="0.2">
      <c r="B347" s="99"/>
      <c r="D347" s="95" t="s">
        <v>92</v>
      </c>
      <c r="E347" s="101" t="s">
        <v>479</v>
      </c>
      <c r="F347" s="102" t="s">
        <v>480</v>
      </c>
      <c r="H347" s="103">
        <v>40.300000000000004</v>
      </c>
      <c r="L347" s="99"/>
      <c r="M347" s="104"/>
      <c r="T347" s="105"/>
      <c r="AT347" s="101" t="s">
        <v>92</v>
      </c>
      <c r="AU347" s="101" t="s">
        <v>84</v>
      </c>
      <c r="AV347" s="100" t="s">
        <v>5</v>
      </c>
      <c r="AW347" s="100" t="s">
        <v>95</v>
      </c>
      <c r="AX347" s="100" t="s">
        <v>80</v>
      </c>
      <c r="AY347" s="101" t="s">
        <v>83</v>
      </c>
    </row>
    <row r="348" spans="2:65" s="100" customFormat="1" ht="20.399999999999999" x14ac:dyDescent="0.2">
      <c r="B348" s="99"/>
      <c r="D348" s="95" t="s">
        <v>92</v>
      </c>
      <c r="E348" s="101" t="s">
        <v>481</v>
      </c>
      <c r="F348" s="102" t="s">
        <v>482</v>
      </c>
      <c r="H348" s="103">
        <v>34.36</v>
      </c>
      <c r="L348" s="99"/>
      <c r="M348" s="104"/>
      <c r="T348" s="105"/>
      <c r="AT348" s="101" t="s">
        <v>92</v>
      </c>
      <c r="AU348" s="101" t="s">
        <v>84</v>
      </c>
      <c r="AV348" s="100" t="s">
        <v>5</v>
      </c>
      <c r="AW348" s="100" t="s">
        <v>95</v>
      </c>
      <c r="AX348" s="100" t="s">
        <v>80</v>
      </c>
      <c r="AY348" s="101" t="s">
        <v>83</v>
      </c>
    </row>
    <row r="349" spans="2:65" s="100" customFormat="1" x14ac:dyDescent="0.2">
      <c r="B349" s="99"/>
      <c r="D349" s="95" t="s">
        <v>92</v>
      </c>
      <c r="E349" s="101" t="s">
        <v>483</v>
      </c>
      <c r="F349" s="102" t="s">
        <v>484</v>
      </c>
      <c r="H349" s="103">
        <v>74.899999999999991</v>
      </c>
      <c r="L349" s="99"/>
      <c r="M349" s="104"/>
      <c r="T349" s="105"/>
      <c r="AT349" s="101" t="s">
        <v>92</v>
      </c>
      <c r="AU349" s="101" t="s">
        <v>84</v>
      </c>
      <c r="AV349" s="100" t="s">
        <v>5</v>
      </c>
      <c r="AW349" s="100" t="s">
        <v>95</v>
      </c>
      <c r="AX349" s="100" t="s">
        <v>80</v>
      </c>
      <c r="AY349" s="101" t="s">
        <v>83</v>
      </c>
    </row>
    <row r="350" spans="2:65" s="100" customFormat="1" ht="20.399999999999999" x14ac:dyDescent="0.2">
      <c r="B350" s="99"/>
      <c r="D350" s="95" t="s">
        <v>92</v>
      </c>
      <c r="E350" s="101" t="s">
        <v>485</v>
      </c>
      <c r="F350" s="102" t="s">
        <v>486</v>
      </c>
      <c r="H350" s="103">
        <v>80.209500000000006</v>
      </c>
      <c r="L350" s="99"/>
      <c r="M350" s="104"/>
      <c r="T350" s="105"/>
      <c r="AT350" s="101" t="s">
        <v>92</v>
      </c>
      <c r="AU350" s="101" t="s">
        <v>84</v>
      </c>
      <c r="AV350" s="100" t="s">
        <v>5</v>
      </c>
      <c r="AW350" s="100" t="s">
        <v>95</v>
      </c>
      <c r="AX350" s="100" t="s">
        <v>80</v>
      </c>
      <c r="AY350" s="101" t="s">
        <v>83</v>
      </c>
    </row>
    <row r="351" spans="2:65" s="100" customFormat="1" x14ac:dyDescent="0.2">
      <c r="B351" s="99"/>
      <c r="D351" s="95" t="s">
        <v>92</v>
      </c>
      <c r="E351" s="101" t="s">
        <v>487</v>
      </c>
      <c r="F351" s="102" t="s">
        <v>488</v>
      </c>
      <c r="H351" s="103">
        <v>53.699999999999996</v>
      </c>
      <c r="L351" s="99"/>
      <c r="M351" s="104"/>
      <c r="T351" s="105"/>
      <c r="AT351" s="101" t="s">
        <v>92</v>
      </c>
      <c r="AU351" s="101" t="s">
        <v>84</v>
      </c>
      <c r="AV351" s="100" t="s">
        <v>5</v>
      </c>
      <c r="AW351" s="100" t="s">
        <v>95</v>
      </c>
      <c r="AX351" s="100" t="s">
        <v>80</v>
      </c>
      <c r="AY351" s="101" t="s">
        <v>83</v>
      </c>
    </row>
    <row r="352" spans="2:65" s="100" customFormat="1" x14ac:dyDescent="0.2">
      <c r="B352" s="99"/>
      <c r="D352" s="95" t="s">
        <v>92</v>
      </c>
      <c r="E352" s="101" t="s">
        <v>3</v>
      </c>
      <c r="F352" s="102" t="s">
        <v>489</v>
      </c>
      <c r="H352" s="103">
        <v>283.47000000000003</v>
      </c>
      <c r="L352" s="99"/>
      <c r="M352" s="104"/>
      <c r="T352" s="105"/>
      <c r="AT352" s="101" t="s">
        <v>92</v>
      </c>
      <c r="AU352" s="101" t="s">
        <v>84</v>
      </c>
      <c r="AV352" s="100" t="s">
        <v>5</v>
      </c>
      <c r="AW352" s="100" t="s">
        <v>95</v>
      </c>
      <c r="AX352" s="100" t="s">
        <v>84</v>
      </c>
      <c r="AY352" s="101" t="s">
        <v>83</v>
      </c>
    </row>
    <row r="353" spans="2:65" s="14" customFormat="1" ht="24.15" customHeight="1" x14ac:dyDescent="0.2">
      <c r="B353" s="81"/>
      <c r="C353" s="82" t="s">
        <v>490</v>
      </c>
      <c r="D353" s="82" t="s">
        <v>85</v>
      </c>
      <c r="E353" s="83" t="s">
        <v>491</v>
      </c>
      <c r="F353" s="84" t="s">
        <v>492</v>
      </c>
      <c r="G353" s="85" t="s">
        <v>88</v>
      </c>
      <c r="H353" s="86">
        <v>557.851</v>
      </c>
      <c r="I353" s="87">
        <v>0</v>
      </c>
      <c r="J353" s="87">
        <f>ROUND(I353*H353,2)</f>
        <v>0</v>
      </c>
      <c r="K353" s="88"/>
      <c r="L353" s="13"/>
      <c r="M353" s="89" t="s">
        <v>3</v>
      </c>
      <c r="N353" s="90" t="s">
        <v>36</v>
      </c>
      <c r="O353" s="91">
        <v>0</v>
      </c>
      <c r="P353" s="91">
        <f>O353*H353</f>
        <v>0</v>
      </c>
      <c r="Q353" s="91">
        <v>0</v>
      </c>
      <c r="R353" s="91">
        <f>Q353*H353</f>
        <v>0</v>
      </c>
      <c r="S353" s="91">
        <v>0</v>
      </c>
      <c r="T353" s="92">
        <f>S353*H353</f>
        <v>0</v>
      </c>
      <c r="AR353" s="93" t="s">
        <v>82</v>
      </c>
      <c r="AT353" s="93" t="s">
        <v>85</v>
      </c>
      <c r="AU353" s="93" t="s">
        <v>84</v>
      </c>
      <c r="AY353" s="3" t="s">
        <v>83</v>
      </c>
      <c r="BE353" s="94">
        <f>IF(N353="základní",J353,0)</f>
        <v>0</v>
      </c>
      <c r="BF353" s="94">
        <f>IF(N353="snížená",J353,0)</f>
        <v>0</v>
      </c>
      <c r="BG353" s="94">
        <f>IF(N353="zákl. přenesená",J353,0)</f>
        <v>0</v>
      </c>
      <c r="BH353" s="94">
        <f>IF(N353="sníž. přenesená",J353,0)</f>
        <v>0</v>
      </c>
      <c r="BI353" s="94">
        <f>IF(N353="nulová",J353,0)</f>
        <v>0</v>
      </c>
      <c r="BJ353" s="3" t="s">
        <v>84</v>
      </c>
      <c r="BK353" s="94">
        <f>ROUND(I353*H353,2)</f>
        <v>0</v>
      </c>
      <c r="BL353" s="3" t="s">
        <v>82</v>
      </c>
      <c r="BM353" s="93" t="s">
        <v>493</v>
      </c>
    </row>
    <row r="354" spans="2:65" s="14" customFormat="1" x14ac:dyDescent="0.2">
      <c r="B354" s="13"/>
      <c r="D354" s="95" t="s">
        <v>90</v>
      </c>
      <c r="F354" s="96" t="s">
        <v>403</v>
      </c>
      <c r="L354" s="13"/>
      <c r="M354" s="97"/>
      <c r="T354" s="98"/>
      <c r="AT354" s="3" t="s">
        <v>90</v>
      </c>
      <c r="AU354" s="3" t="s">
        <v>84</v>
      </c>
    </row>
    <row r="355" spans="2:65" s="107" customFormat="1" x14ac:dyDescent="0.2">
      <c r="B355" s="106"/>
      <c r="D355" s="95" t="s">
        <v>92</v>
      </c>
      <c r="E355" s="108" t="s">
        <v>3</v>
      </c>
      <c r="F355" s="109" t="s">
        <v>494</v>
      </c>
      <c r="H355" s="108" t="s">
        <v>3</v>
      </c>
      <c r="L355" s="106"/>
      <c r="M355" s="110"/>
      <c r="T355" s="111"/>
      <c r="AT355" s="108" t="s">
        <v>92</v>
      </c>
      <c r="AU355" s="108" t="s">
        <v>84</v>
      </c>
      <c r="AV355" s="107" t="s">
        <v>84</v>
      </c>
      <c r="AW355" s="107" t="s">
        <v>95</v>
      </c>
      <c r="AX355" s="107" t="s">
        <v>80</v>
      </c>
      <c r="AY355" s="108" t="s">
        <v>83</v>
      </c>
    </row>
    <row r="356" spans="2:65" s="100" customFormat="1" ht="20.399999999999999" x14ac:dyDescent="0.2">
      <c r="B356" s="99"/>
      <c r="D356" s="95" t="s">
        <v>92</v>
      </c>
      <c r="E356" s="101" t="s">
        <v>495</v>
      </c>
      <c r="F356" s="102" t="s">
        <v>496</v>
      </c>
      <c r="H356" s="103">
        <v>126.22291500000003</v>
      </c>
      <c r="L356" s="99"/>
      <c r="M356" s="104"/>
      <c r="T356" s="105"/>
      <c r="AT356" s="101" t="s">
        <v>92</v>
      </c>
      <c r="AU356" s="101" t="s">
        <v>84</v>
      </c>
      <c r="AV356" s="100" t="s">
        <v>5</v>
      </c>
      <c r="AW356" s="100" t="s">
        <v>95</v>
      </c>
      <c r="AX356" s="100" t="s">
        <v>80</v>
      </c>
      <c r="AY356" s="101" t="s">
        <v>83</v>
      </c>
    </row>
    <row r="357" spans="2:65" s="100" customFormat="1" x14ac:dyDescent="0.2">
      <c r="B357" s="99"/>
      <c r="D357" s="95" t="s">
        <v>92</v>
      </c>
      <c r="E357" s="101" t="s">
        <v>497</v>
      </c>
      <c r="F357" s="102" t="s">
        <v>498</v>
      </c>
      <c r="H357" s="103">
        <v>13.235250000000001</v>
      </c>
      <c r="L357" s="99"/>
      <c r="M357" s="104"/>
      <c r="T357" s="105"/>
      <c r="AT357" s="101" t="s">
        <v>92</v>
      </c>
      <c r="AU357" s="101" t="s">
        <v>84</v>
      </c>
      <c r="AV357" s="100" t="s">
        <v>5</v>
      </c>
      <c r="AW357" s="100" t="s">
        <v>95</v>
      </c>
      <c r="AX357" s="100" t="s">
        <v>80</v>
      </c>
      <c r="AY357" s="101" t="s">
        <v>83</v>
      </c>
    </row>
    <row r="358" spans="2:65" s="107" customFormat="1" x14ac:dyDescent="0.2">
      <c r="B358" s="106"/>
      <c r="D358" s="95" t="s">
        <v>92</v>
      </c>
      <c r="E358" s="108" t="s">
        <v>3</v>
      </c>
      <c r="F358" s="109" t="s">
        <v>499</v>
      </c>
      <c r="H358" s="108" t="s">
        <v>3</v>
      </c>
      <c r="L358" s="106"/>
      <c r="M358" s="110"/>
      <c r="T358" s="111"/>
      <c r="AT358" s="108" t="s">
        <v>92</v>
      </c>
      <c r="AU358" s="108" t="s">
        <v>84</v>
      </c>
      <c r="AV358" s="107" t="s">
        <v>84</v>
      </c>
      <c r="AW358" s="107" t="s">
        <v>95</v>
      </c>
      <c r="AX358" s="107" t="s">
        <v>80</v>
      </c>
      <c r="AY358" s="108" t="s">
        <v>83</v>
      </c>
    </row>
    <row r="359" spans="2:65" s="100" customFormat="1" ht="20.399999999999999" x14ac:dyDescent="0.2">
      <c r="B359" s="99"/>
      <c r="D359" s="95" t="s">
        <v>92</v>
      </c>
      <c r="E359" s="101" t="s">
        <v>500</v>
      </c>
      <c r="F359" s="102" t="s">
        <v>501</v>
      </c>
      <c r="H359" s="103">
        <v>131.893125</v>
      </c>
      <c r="L359" s="99"/>
      <c r="M359" s="104"/>
      <c r="T359" s="105"/>
      <c r="AT359" s="101" t="s">
        <v>92</v>
      </c>
      <c r="AU359" s="101" t="s">
        <v>84</v>
      </c>
      <c r="AV359" s="100" t="s">
        <v>5</v>
      </c>
      <c r="AW359" s="100" t="s">
        <v>95</v>
      </c>
      <c r="AX359" s="100" t="s">
        <v>80</v>
      </c>
      <c r="AY359" s="101" t="s">
        <v>83</v>
      </c>
    </row>
    <row r="360" spans="2:65" s="100" customFormat="1" ht="30.6" x14ac:dyDescent="0.2">
      <c r="B360" s="99"/>
      <c r="D360" s="95" t="s">
        <v>92</v>
      </c>
      <c r="E360" s="101" t="s">
        <v>502</v>
      </c>
      <c r="F360" s="102" t="s">
        <v>503</v>
      </c>
      <c r="H360" s="103">
        <v>39.449160000000006</v>
      </c>
      <c r="L360" s="99"/>
      <c r="M360" s="104"/>
      <c r="T360" s="105"/>
      <c r="AT360" s="101" t="s">
        <v>92</v>
      </c>
      <c r="AU360" s="101" t="s">
        <v>84</v>
      </c>
      <c r="AV360" s="100" t="s">
        <v>5</v>
      </c>
      <c r="AW360" s="100" t="s">
        <v>95</v>
      </c>
      <c r="AX360" s="100" t="s">
        <v>80</v>
      </c>
      <c r="AY360" s="101" t="s">
        <v>83</v>
      </c>
    </row>
    <row r="361" spans="2:65" s="107" customFormat="1" x14ac:dyDescent="0.2">
      <c r="B361" s="106"/>
      <c r="D361" s="95" t="s">
        <v>92</v>
      </c>
      <c r="E361" s="108" t="s">
        <v>3</v>
      </c>
      <c r="F361" s="109" t="s">
        <v>504</v>
      </c>
      <c r="H361" s="108" t="s">
        <v>3</v>
      </c>
      <c r="L361" s="106"/>
      <c r="M361" s="110"/>
      <c r="T361" s="111"/>
      <c r="AT361" s="108" t="s">
        <v>92</v>
      </c>
      <c r="AU361" s="108" t="s">
        <v>84</v>
      </c>
      <c r="AV361" s="107" t="s">
        <v>84</v>
      </c>
      <c r="AW361" s="107" t="s">
        <v>95</v>
      </c>
      <c r="AX361" s="107" t="s">
        <v>80</v>
      </c>
      <c r="AY361" s="108" t="s">
        <v>83</v>
      </c>
    </row>
    <row r="362" spans="2:65" s="100" customFormat="1" ht="20.399999999999999" x14ac:dyDescent="0.2">
      <c r="B362" s="99"/>
      <c r="D362" s="95" t="s">
        <v>92</v>
      </c>
      <c r="E362" s="101" t="s">
        <v>505</v>
      </c>
      <c r="F362" s="102" t="s">
        <v>506</v>
      </c>
      <c r="H362" s="103">
        <v>94.30102500000001</v>
      </c>
      <c r="L362" s="99"/>
      <c r="M362" s="104"/>
      <c r="T362" s="105"/>
      <c r="AT362" s="101" t="s">
        <v>92</v>
      </c>
      <c r="AU362" s="101" t="s">
        <v>84</v>
      </c>
      <c r="AV362" s="100" t="s">
        <v>5</v>
      </c>
      <c r="AW362" s="100" t="s">
        <v>95</v>
      </c>
      <c r="AX362" s="100" t="s">
        <v>80</v>
      </c>
      <c r="AY362" s="101" t="s">
        <v>83</v>
      </c>
    </row>
    <row r="363" spans="2:65" s="100" customFormat="1" ht="30.6" x14ac:dyDescent="0.2">
      <c r="B363" s="99"/>
      <c r="D363" s="95" t="s">
        <v>92</v>
      </c>
      <c r="E363" s="101" t="s">
        <v>507</v>
      </c>
      <c r="F363" s="102" t="s">
        <v>508</v>
      </c>
      <c r="H363" s="103">
        <v>35.634996000000001</v>
      </c>
      <c r="L363" s="99"/>
      <c r="M363" s="104"/>
      <c r="T363" s="105"/>
      <c r="AT363" s="101" t="s">
        <v>92</v>
      </c>
      <c r="AU363" s="101" t="s">
        <v>84</v>
      </c>
      <c r="AV363" s="100" t="s">
        <v>5</v>
      </c>
      <c r="AW363" s="100" t="s">
        <v>95</v>
      </c>
      <c r="AX363" s="100" t="s">
        <v>80</v>
      </c>
      <c r="AY363" s="101" t="s">
        <v>83</v>
      </c>
    </row>
    <row r="364" spans="2:65" s="107" customFormat="1" x14ac:dyDescent="0.2">
      <c r="B364" s="106"/>
      <c r="D364" s="95" t="s">
        <v>92</v>
      </c>
      <c r="E364" s="108" t="s">
        <v>3</v>
      </c>
      <c r="F364" s="109" t="s">
        <v>509</v>
      </c>
      <c r="H364" s="108" t="s">
        <v>3</v>
      </c>
      <c r="L364" s="106"/>
      <c r="M364" s="110"/>
      <c r="T364" s="111"/>
      <c r="AT364" s="108" t="s">
        <v>92</v>
      </c>
      <c r="AU364" s="108" t="s">
        <v>84</v>
      </c>
      <c r="AV364" s="107" t="s">
        <v>84</v>
      </c>
      <c r="AW364" s="107" t="s">
        <v>95</v>
      </c>
      <c r="AX364" s="107" t="s">
        <v>80</v>
      </c>
      <c r="AY364" s="108" t="s">
        <v>83</v>
      </c>
    </row>
    <row r="365" spans="2:65" s="100" customFormat="1" ht="20.399999999999999" x14ac:dyDescent="0.2">
      <c r="B365" s="99"/>
      <c r="D365" s="95" t="s">
        <v>92</v>
      </c>
      <c r="E365" s="101" t="s">
        <v>510</v>
      </c>
      <c r="F365" s="102" t="s">
        <v>511</v>
      </c>
      <c r="H365" s="103">
        <v>101.61742500000001</v>
      </c>
      <c r="L365" s="99"/>
      <c r="M365" s="104"/>
      <c r="T365" s="105"/>
      <c r="AT365" s="101" t="s">
        <v>92</v>
      </c>
      <c r="AU365" s="101" t="s">
        <v>84</v>
      </c>
      <c r="AV365" s="100" t="s">
        <v>5</v>
      </c>
      <c r="AW365" s="100" t="s">
        <v>95</v>
      </c>
      <c r="AX365" s="100" t="s">
        <v>80</v>
      </c>
      <c r="AY365" s="101" t="s">
        <v>83</v>
      </c>
    </row>
    <row r="366" spans="2:65" s="100" customFormat="1" x14ac:dyDescent="0.2">
      <c r="B366" s="99"/>
      <c r="D366" s="95" t="s">
        <v>92</v>
      </c>
      <c r="E366" s="101" t="s">
        <v>512</v>
      </c>
      <c r="F366" s="102" t="s">
        <v>513</v>
      </c>
      <c r="H366" s="103">
        <v>13.194468749999999</v>
      </c>
      <c r="L366" s="99"/>
      <c r="M366" s="104"/>
      <c r="T366" s="105"/>
      <c r="AT366" s="101" t="s">
        <v>92</v>
      </c>
      <c r="AU366" s="101" t="s">
        <v>84</v>
      </c>
      <c r="AV366" s="100" t="s">
        <v>5</v>
      </c>
      <c r="AW366" s="100" t="s">
        <v>95</v>
      </c>
      <c r="AX366" s="100" t="s">
        <v>80</v>
      </c>
      <c r="AY366" s="101" t="s">
        <v>83</v>
      </c>
    </row>
    <row r="367" spans="2:65" s="100" customFormat="1" x14ac:dyDescent="0.2">
      <c r="B367" s="99"/>
      <c r="D367" s="95" t="s">
        <v>92</v>
      </c>
      <c r="E367" s="101" t="s">
        <v>514</v>
      </c>
      <c r="F367" s="102" t="s">
        <v>515</v>
      </c>
      <c r="H367" s="103">
        <v>2.3039999999999998</v>
      </c>
      <c r="L367" s="99"/>
      <c r="M367" s="104"/>
      <c r="T367" s="105"/>
      <c r="AT367" s="101" t="s">
        <v>92</v>
      </c>
      <c r="AU367" s="101" t="s">
        <v>84</v>
      </c>
      <c r="AV367" s="100" t="s">
        <v>5</v>
      </c>
      <c r="AW367" s="100" t="s">
        <v>95</v>
      </c>
      <c r="AX367" s="100" t="s">
        <v>80</v>
      </c>
      <c r="AY367" s="101" t="s">
        <v>83</v>
      </c>
    </row>
    <row r="368" spans="2:65" s="100" customFormat="1" x14ac:dyDescent="0.2">
      <c r="B368" s="99"/>
      <c r="D368" s="95" t="s">
        <v>92</v>
      </c>
      <c r="E368" s="101" t="s">
        <v>3</v>
      </c>
      <c r="F368" s="102" t="s">
        <v>516</v>
      </c>
      <c r="H368" s="103">
        <v>557.851</v>
      </c>
      <c r="L368" s="99"/>
      <c r="M368" s="104"/>
      <c r="T368" s="105"/>
      <c r="AT368" s="101" t="s">
        <v>92</v>
      </c>
      <c r="AU368" s="101" t="s">
        <v>84</v>
      </c>
      <c r="AV368" s="100" t="s">
        <v>5</v>
      </c>
      <c r="AW368" s="100" t="s">
        <v>95</v>
      </c>
      <c r="AX368" s="100" t="s">
        <v>84</v>
      </c>
      <c r="AY368" s="101" t="s">
        <v>83</v>
      </c>
    </row>
    <row r="369" spans="2:65" s="14" customFormat="1" ht="24.15" customHeight="1" x14ac:dyDescent="0.2">
      <c r="B369" s="81"/>
      <c r="C369" s="82" t="s">
        <v>517</v>
      </c>
      <c r="D369" s="82" t="s">
        <v>85</v>
      </c>
      <c r="E369" s="83" t="s">
        <v>518</v>
      </c>
      <c r="F369" s="84" t="s">
        <v>519</v>
      </c>
      <c r="G369" s="85" t="s">
        <v>120</v>
      </c>
      <c r="H369" s="86">
        <v>64.164000000000001</v>
      </c>
      <c r="I369" s="87">
        <v>0</v>
      </c>
      <c r="J369" s="87">
        <f>ROUND(I369*H369,2)</f>
        <v>0</v>
      </c>
      <c r="K369" s="88"/>
      <c r="L369" s="13"/>
      <c r="M369" s="89" t="s">
        <v>3</v>
      </c>
      <c r="N369" s="90" t="s">
        <v>36</v>
      </c>
      <c r="O369" s="91">
        <v>0</v>
      </c>
      <c r="P369" s="91">
        <f>O369*H369</f>
        <v>0</v>
      </c>
      <c r="Q369" s="91">
        <v>0</v>
      </c>
      <c r="R369" s="91">
        <f>Q369*H369</f>
        <v>0</v>
      </c>
      <c r="S369" s="91">
        <v>0</v>
      </c>
      <c r="T369" s="92">
        <f>S369*H369</f>
        <v>0</v>
      </c>
      <c r="AR369" s="93" t="s">
        <v>82</v>
      </c>
      <c r="AT369" s="93" t="s">
        <v>85</v>
      </c>
      <c r="AU369" s="93" t="s">
        <v>84</v>
      </c>
      <c r="AY369" s="3" t="s">
        <v>83</v>
      </c>
      <c r="BE369" s="94">
        <f>IF(N369="základní",J369,0)</f>
        <v>0</v>
      </c>
      <c r="BF369" s="94">
        <f>IF(N369="snížená",J369,0)</f>
        <v>0</v>
      </c>
      <c r="BG369" s="94">
        <f>IF(N369="zákl. přenesená",J369,0)</f>
        <v>0</v>
      </c>
      <c r="BH369" s="94">
        <f>IF(N369="sníž. přenesená",J369,0)</f>
        <v>0</v>
      </c>
      <c r="BI369" s="94">
        <f>IF(N369="nulová",J369,0)</f>
        <v>0</v>
      </c>
      <c r="BJ369" s="3" t="s">
        <v>84</v>
      </c>
      <c r="BK369" s="94">
        <f>ROUND(I369*H369,2)</f>
        <v>0</v>
      </c>
      <c r="BL369" s="3" t="s">
        <v>82</v>
      </c>
      <c r="BM369" s="93" t="s">
        <v>520</v>
      </c>
    </row>
    <row r="370" spans="2:65" s="14" customFormat="1" x14ac:dyDescent="0.2">
      <c r="B370" s="13"/>
      <c r="D370" s="95" t="s">
        <v>90</v>
      </c>
      <c r="F370" s="96" t="s">
        <v>519</v>
      </c>
      <c r="L370" s="13"/>
      <c r="M370" s="97"/>
      <c r="T370" s="98"/>
      <c r="AT370" s="3" t="s">
        <v>90</v>
      </c>
      <c r="AU370" s="3" t="s">
        <v>84</v>
      </c>
    </row>
    <row r="371" spans="2:65" s="107" customFormat="1" ht="20.399999999999999" x14ac:dyDescent="0.2">
      <c r="B371" s="106"/>
      <c r="D371" s="95" t="s">
        <v>92</v>
      </c>
      <c r="E371" s="108" t="s">
        <v>3</v>
      </c>
      <c r="F371" s="109" t="s">
        <v>429</v>
      </c>
      <c r="H371" s="108" t="s">
        <v>3</v>
      </c>
      <c r="L371" s="106"/>
      <c r="M371" s="110"/>
      <c r="T371" s="111"/>
      <c r="AT371" s="108" t="s">
        <v>92</v>
      </c>
      <c r="AU371" s="108" t="s">
        <v>84</v>
      </c>
      <c r="AV371" s="107" t="s">
        <v>84</v>
      </c>
      <c r="AW371" s="107" t="s">
        <v>95</v>
      </c>
      <c r="AX371" s="107" t="s">
        <v>80</v>
      </c>
      <c r="AY371" s="108" t="s">
        <v>83</v>
      </c>
    </row>
    <row r="372" spans="2:65" s="100" customFormat="1" ht="20.399999999999999" x14ac:dyDescent="0.2">
      <c r="B372" s="99"/>
      <c r="D372" s="95" t="s">
        <v>92</v>
      </c>
      <c r="E372" s="101" t="s">
        <v>521</v>
      </c>
      <c r="F372" s="102" t="s">
        <v>522</v>
      </c>
      <c r="H372" s="103">
        <v>64.163630214198974</v>
      </c>
      <c r="L372" s="99"/>
      <c r="M372" s="104"/>
      <c r="T372" s="105"/>
      <c r="AT372" s="101" t="s">
        <v>92</v>
      </c>
      <c r="AU372" s="101" t="s">
        <v>84</v>
      </c>
      <c r="AV372" s="100" t="s">
        <v>5</v>
      </c>
      <c r="AW372" s="100" t="s">
        <v>95</v>
      </c>
      <c r="AX372" s="100" t="s">
        <v>80</v>
      </c>
      <c r="AY372" s="101" t="s">
        <v>83</v>
      </c>
    </row>
    <row r="373" spans="2:65" s="100" customFormat="1" x14ac:dyDescent="0.2">
      <c r="B373" s="99"/>
      <c r="D373" s="95" t="s">
        <v>92</v>
      </c>
      <c r="E373" s="101" t="s">
        <v>3</v>
      </c>
      <c r="F373" s="102" t="s">
        <v>523</v>
      </c>
      <c r="H373" s="103">
        <v>64.164000000000001</v>
      </c>
      <c r="L373" s="99"/>
      <c r="M373" s="104"/>
      <c r="T373" s="105"/>
      <c r="AT373" s="101" t="s">
        <v>92</v>
      </c>
      <c r="AU373" s="101" t="s">
        <v>84</v>
      </c>
      <c r="AV373" s="100" t="s">
        <v>5</v>
      </c>
      <c r="AW373" s="100" t="s">
        <v>95</v>
      </c>
      <c r="AX373" s="100" t="s">
        <v>84</v>
      </c>
      <c r="AY373" s="101" t="s">
        <v>83</v>
      </c>
    </row>
    <row r="374" spans="2:65" s="14" customFormat="1" ht="24.15" customHeight="1" x14ac:dyDescent="0.2">
      <c r="B374" s="81"/>
      <c r="C374" s="82" t="s">
        <v>524</v>
      </c>
      <c r="D374" s="82" t="s">
        <v>85</v>
      </c>
      <c r="E374" s="83" t="s">
        <v>525</v>
      </c>
      <c r="F374" s="84" t="s">
        <v>526</v>
      </c>
      <c r="G374" s="85" t="s">
        <v>88</v>
      </c>
      <c r="H374" s="86">
        <v>361.38400000000001</v>
      </c>
      <c r="I374" s="87">
        <v>0</v>
      </c>
      <c r="J374" s="87">
        <f>ROUND(I374*H374,2)</f>
        <v>0</v>
      </c>
      <c r="K374" s="88"/>
      <c r="L374" s="13"/>
      <c r="M374" s="89" t="s">
        <v>3</v>
      </c>
      <c r="N374" s="90" t="s">
        <v>36</v>
      </c>
      <c r="O374" s="91">
        <v>0</v>
      </c>
      <c r="P374" s="91">
        <f>O374*H374</f>
        <v>0</v>
      </c>
      <c r="Q374" s="91">
        <v>0</v>
      </c>
      <c r="R374" s="91">
        <f>Q374*H374</f>
        <v>0</v>
      </c>
      <c r="S374" s="91">
        <v>0</v>
      </c>
      <c r="T374" s="92">
        <f>S374*H374</f>
        <v>0</v>
      </c>
      <c r="AR374" s="93" t="s">
        <v>82</v>
      </c>
      <c r="AT374" s="93" t="s">
        <v>85</v>
      </c>
      <c r="AU374" s="93" t="s">
        <v>84</v>
      </c>
      <c r="AY374" s="3" t="s">
        <v>83</v>
      </c>
      <c r="BE374" s="94">
        <f>IF(N374="základní",J374,0)</f>
        <v>0</v>
      </c>
      <c r="BF374" s="94">
        <f>IF(N374="snížená",J374,0)</f>
        <v>0</v>
      </c>
      <c r="BG374" s="94">
        <f>IF(N374="zákl. přenesená",J374,0)</f>
        <v>0</v>
      </c>
      <c r="BH374" s="94">
        <f>IF(N374="sníž. přenesená",J374,0)</f>
        <v>0</v>
      </c>
      <c r="BI374" s="94">
        <f>IF(N374="nulová",J374,0)</f>
        <v>0</v>
      </c>
      <c r="BJ374" s="3" t="s">
        <v>84</v>
      </c>
      <c r="BK374" s="94">
        <f>ROUND(I374*H374,2)</f>
        <v>0</v>
      </c>
      <c r="BL374" s="3" t="s">
        <v>82</v>
      </c>
      <c r="BM374" s="93" t="s">
        <v>527</v>
      </c>
    </row>
    <row r="375" spans="2:65" s="14" customFormat="1" x14ac:dyDescent="0.2">
      <c r="B375" s="13"/>
      <c r="D375" s="95" t="s">
        <v>90</v>
      </c>
      <c r="F375" s="96" t="s">
        <v>403</v>
      </c>
      <c r="L375" s="13"/>
      <c r="M375" s="97"/>
      <c r="T375" s="98"/>
      <c r="AT375" s="3" t="s">
        <v>90</v>
      </c>
      <c r="AU375" s="3" t="s">
        <v>84</v>
      </c>
    </row>
    <row r="376" spans="2:65" s="100" customFormat="1" x14ac:dyDescent="0.2">
      <c r="B376" s="99"/>
      <c r="D376" s="95" t="s">
        <v>92</v>
      </c>
      <c r="E376" s="101" t="s">
        <v>528</v>
      </c>
      <c r="F376" s="102" t="s">
        <v>529</v>
      </c>
      <c r="H376" s="103">
        <v>79.641599999999997</v>
      </c>
      <c r="L376" s="99"/>
      <c r="M376" s="104"/>
      <c r="T376" s="105"/>
      <c r="AT376" s="101" t="s">
        <v>92</v>
      </c>
      <c r="AU376" s="101" t="s">
        <v>84</v>
      </c>
      <c r="AV376" s="100" t="s">
        <v>5</v>
      </c>
      <c r="AW376" s="100" t="s">
        <v>95</v>
      </c>
      <c r="AX376" s="100" t="s">
        <v>80</v>
      </c>
      <c r="AY376" s="101" t="s">
        <v>83</v>
      </c>
    </row>
    <row r="377" spans="2:65" s="100" customFormat="1" x14ac:dyDescent="0.2">
      <c r="B377" s="99"/>
      <c r="D377" s="95" t="s">
        <v>92</v>
      </c>
      <c r="E377" s="101" t="s">
        <v>530</v>
      </c>
      <c r="F377" s="102" t="s">
        <v>531</v>
      </c>
      <c r="H377" s="103">
        <v>80.793599999999998</v>
      </c>
      <c r="L377" s="99"/>
      <c r="M377" s="104"/>
      <c r="T377" s="105"/>
      <c r="AT377" s="101" t="s">
        <v>92</v>
      </c>
      <c r="AU377" s="101" t="s">
        <v>84</v>
      </c>
      <c r="AV377" s="100" t="s">
        <v>5</v>
      </c>
      <c r="AW377" s="100" t="s">
        <v>95</v>
      </c>
      <c r="AX377" s="100" t="s">
        <v>80</v>
      </c>
      <c r="AY377" s="101" t="s">
        <v>83</v>
      </c>
    </row>
    <row r="378" spans="2:65" s="100" customFormat="1" x14ac:dyDescent="0.2">
      <c r="B378" s="99"/>
      <c r="D378" s="95" t="s">
        <v>92</v>
      </c>
      <c r="E378" s="101" t="s">
        <v>532</v>
      </c>
      <c r="F378" s="102" t="s">
        <v>533</v>
      </c>
      <c r="H378" s="103">
        <v>98.649599999999992</v>
      </c>
      <c r="L378" s="99"/>
      <c r="M378" s="104"/>
      <c r="T378" s="105"/>
      <c r="AT378" s="101" t="s">
        <v>92</v>
      </c>
      <c r="AU378" s="101" t="s">
        <v>84</v>
      </c>
      <c r="AV378" s="100" t="s">
        <v>5</v>
      </c>
      <c r="AW378" s="100" t="s">
        <v>95</v>
      </c>
      <c r="AX378" s="100" t="s">
        <v>80</v>
      </c>
      <c r="AY378" s="101" t="s">
        <v>83</v>
      </c>
    </row>
    <row r="379" spans="2:65" s="100" customFormat="1" x14ac:dyDescent="0.2">
      <c r="B379" s="99"/>
      <c r="D379" s="95" t="s">
        <v>92</v>
      </c>
      <c r="E379" s="101" t="s">
        <v>534</v>
      </c>
      <c r="F379" s="102" t="s">
        <v>535</v>
      </c>
      <c r="H379" s="103">
        <v>99.993599999999986</v>
      </c>
      <c r="L379" s="99"/>
      <c r="M379" s="104"/>
      <c r="T379" s="105"/>
      <c r="AT379" s="101" t="s">
        <v>92</v>
      </c>
      <c r="AU379" s="101" t="s">
        <v>84</v>
      </c>
      <c r="AV379" s="100" t="s">
        <v>5</v>
      </c>
      <c r="AW379" s="100" t="s">
        <v>95</v>
      </c>
      <c r="AX379" s="100" t="s">
        <v>80</v>
      </c>
      <c r="AY379" s="101" t="s">
        <v>83</v>
      </c>
    </row>
    <row r="380" spans="2:65" s="100" customFormat="1" x14ac:dyDescent="0.2">
      <c r="B380" s="99"/>
      <c r="D380" s="95" t="s">
        <v>92</v>
      </c>
      <c r="E380" s="101" t="s">
        <v>536</v>
      </c>
      <c r="F380" s="102" t="s">
        <v>515</v>
      </c>
      <c r="H380" s="103">
        <v>2.3039999999999998</v>
      </c>
      <c r="L380" s="99"/>
      <c r="M380" s="104"/>
      <c r="T380" s="105"/>
      <c r="AT380" s="101" t="s">
        <v>92</v>
      </c>
      <c r="AU380" s="101" t="s">
        <v>84</v>
      </c>
      <c r="AV380" s="100" t="s">
        <v>5</v>
      </c>
      <c r="AW380" s="100" t="s">
        <v>95</v>
      </c>
      <c r="AX380" s="100" t="s">
        <v>80</v>
      </c>
      <c r="AY380" s="101" t="s">
        <v>83</v>
      </c>
    </row>
    <row r="381" spans="2:65" s="100" customFormat="1" x14ac:dyDescent="0.2">
      <c r="B381" s="99"/>
      <c r="D381" s="95" t="s">
        <v>92</v>
      </c>
      <c r="E381" s="101" t="s">
        <v>3</v>
      </c>
      <c r="F381" s="102" t="s">
        <v>537</v>
      </c>
      <c r="H381" s="103">
        <v>361.38400000000001</v>
      </c>
      <c r="L381" s="99"/>
      <c r="M381" s="104"/>
      <c r="T381" s="105"/>
      <c r="AT381" s="101" t="s">
        <v>92</v>
      </c>
      <c r="AU381" s="101" t="s">
        <v>84</v>
      </c>
      <c r="AV381" s="100" t="s">
        <v>5</v>
      </c>
      <c r="AW381" s="100" t="s">
        <v>95</v>
      </c>
      <c r="AX381" s="100" t="s">
        <v>84</v>
      </c>
      <c r="AY381" s="101" t="s">
        <v>83</v>
      </c>
    </row>
    <row r="382" spans="2:65" s="14" customFormat="1" ht="24.15" customHeight="1" x14ac:dyDescent="0.2">
      <c r="B382" s="81"/>
      <c r="C382" s="82" t="s">
        <v>538</v>
      </c>
      <c r="D382" s="82" t="s">
        <v>85</v>
      </c>
      <c r="E382" s="83" t="s">
        <v>539</v>
      </c>
      <c r="F382" s="84" t="s">
        <v>540</v>
      </c>
      <c r="G382" s="85" t="s">
        <v>120</v>
      </c>
      <c r="H382" s="86">
        <v>62.576999999999998</v>
      </c>
      <c r="I382" s="87">
        <v>0</v>
      </c>
      <c r="J382" s="87">
        <f>ROUND(I382*H382,2)</f>
        <v>0</v>
      </c>
      <c r="K382" s="88"/>
      <c r="L382" s="13"/>
      <c r="M382" s="89" t="s">
        <v>3</v>
      </c>
      <c r="N382" s="90" t="s">
        <v>36</v>
      </c>
      <c r="O382" s="91">
        <v>0</v>
      </c>
      <c r="P382" s="91">
        <f>O382*H382</f>
        <v>0</v>
      </c>
      <c r="Q382" s="91">
        <v>0</v>
      </c>
      <c r="R382" s="91">
        <f>Q382*H382</f>
        <v>0</v>
      </c>
      <c r="S382" s="91">
        <v>0</v>
      </c>
      <c r="T382" s="92">
        <f>S382*H382</f>
        <v>0</v>
      </c>
      <c r="AR382" s="93" t="s">
        <v>82</v>
      </c>
      <c r="AT382" s="93" t="s">
        <v>85</v>
      </c>
      <c r="AU382" s="93" t="s">
        <v>84</v>
      </c>
      <c r="AY382" s="3" t="s">
        <v>83</v>
      </c>
      <c r="BE382" s="94">
        <f>IF(N382="základní",J382,0)</f>
        <v>0</v>
      </c>
      <c r="BF382" s="94">
        <f>IF(N382="snížená",J382,0)</f>
        <v>0</v>
      </c>
      <c r="BG382" s="94">
        <f>IF(N382="zákl. přenesená",J382,0)</f>
        <v>0</v>
      </c>
      <c r="BH382" s="94">
        <f>IF(N382="sníž. přenesená",J382,0)</f>
        <v>0</v>
      </c>
      <c r="BI382" s="94">
        <f>IF(N382="nulová",J382,0)</f>
        <v>0</v>
      </c>
      <c r="BJ382" s="3" t="s">
        <v>84</v>
      </c>
      <c r="BK382" s="94">
        <f>ROUND(I382*H382,2)</f>
        <v>0</v>
      </c>
      <c r="BL382" s="3" t="s">
        <v>82</v>
      </c>
      <c r="BM382" s="93" t="s">
        <v>541</v>
      </c>
    </row>
    <row r="383" spans="2:65" s="14" customFormat="1" x14ac:dyDescent="0.2">
      <c r="B383" s="13"/>
      <c r="D383" s="95" t="s">
        <v>90</v>
      </c>
      <c r="F383" s="96" t="s">
        <v>540</v>
      </c>
      <c r="L383" s="13"/>
      <c r="M383" s="97"/>
      <c r="T383" s="98"/>
      <c r="AT383" s="3" t="s">
        <v>90</v>
      </c>
      <c r="AU383" s="3" t="s">
        <v>84</v>
      </c>
    </row>
    <row r="384" spans="2:65" s="107" customFormat="1" ht="20.399999999999999" x14ac:dyDescent="0.2">
      <c r="B384" s="106"/>
      <c r="D384" s="95" t="s">
        <v>92</v>
      </c>
      <c r="E384" s="108" t="s">
        <v>3</v>
      </c>
      <c r="F384" s="109" t="s">
        <v>433</v>
      </c>
      <c r="H384" s="108" t="s">
        <v>3</v>
      </c>
      <c r="L384" s="106"/>
      <c r="M384" s="110"/>
      <c r="T384" s="111"/>
      <c r="AT384" s="108" t="s">
        <v>92</v>
      </c>
      <c r="AU384" s="108" t="s">
        <v>84</v>
      </c>
      <c r="AV384" s="107" t="s">
        <v>84</v>
      </c>
      <c r="AW384" s="107" t="s">
        <v>95</v>
      </c>
      <c r="AX384" s="107" t="s">
        <v>80</v>
      </c>
      <c r="AY384" s="108" t="s">
        <v>83</v>
      </c>
    </row>
    <row r="385" spans="2:65" s="100" customFormat="1" ht="20.399999999999999" x14ac:dyDescent="0.2">
      <c r="B385" s="99"/>
      <c r="D385" s="95" t="s">
        <v>92</v>
      </c>
      <c r="E385" s="101" t="s">
        <v>542</v>
      </c>
      <c r="F385" s="102" t="s">
        <v>543</v>
      </c>
      <c r="H385" s="103">
        <v>62.57688480354269</v>
      </c>
      <c r="L385" s="99"/>
      <c r="M385" s="104"/>
      <c r="T385" s="105"/>
      <c r="AT385" s="101" t="s">
        <v>92</v>
      </c>
      <c r="AU385" s="101" t="s">
        <v>84</v>
      </c>
      <c r="AV385" s="100" t="s">
        <v>5</v>
      </c>
      <c r="AW385" s="100" t="s">
        <v>95</v>
      </c>
      <c r="AX385" s="100" t="s">
        <v>80</v>
      </c>
      <c r="AY385" s="101" t="s">
        <v>83</v>
      </c>
    </row>
    <row r="386" spans="2:65" s="100" customFormat="1" x14ac:dyDescent="0.2">
      <c r="B386" s="99"/>
      <c r="D386" s="95" t="s">
        <v>92</v>
      </c>
      <c r="E386" s="101" t="s">
        <v>3</v>
      </c>
      <c r="F386" s="102" t="s">
        <v>544</v>
      </c>
      <c r="H386" s="103">
        <v>62.576999999999998</v>
      </c>
      <c r="L386" s="99"/>
      <c r="M386" s="104"/>
      <c r="T386" s="105"/>
      <c r="AT386" s="101" t="s">
        <v>92</v>
      </c>
      <c r="AU386" s="101" t="s">
        <v>84</v>
      </c>
      <c r="AV386" s="100" t="s">
        <v>5</v>
      </c>
      <c r="AW386" s="100" t="s">
        <v>95</v>
      </c>
      <c r="AX386" s="100" t="s">
        <v>84</v>
      </c>
      <c r="AY386" s="101" t="s">
        <v>83</v>
      </c>
    </row>
    <row r="387" spans="2:65" s="72" customFormat="1" ht="25.95" customHeight="1" x14ac:dyDescent="0.25">
      <c r="B387" s="71"/>
      <c r="D387" s="73" t="s">
        <v>79</v>
      </c>
      <c r="E387" s="74" t="s">
        <v>82</v>
      </c>
      <c r="F387" s="74" t="s">
        <v>545</v>
      </c>
      <c r="J387" s="75">
        <f>BK387</f>
        <v>0</v>
      </c>
      <c r="L387" s="71"/>
      <c r="M387" s="76"/>
      <c r="P387" s="77">
        <f>SUM(P388:P476)</f>
        <v>0</v>
      </c>
      <c r="R387" s="77">
        <f>SUM(R388:R476)</f>
        <v>0</v>
      </c>
      <c r="T387" s="78">
        <f>SUM(T388:T476)</f>
        <v>0</v>
      </c>
      <c r="AR387" s="73" t="s">
        <v>82</v>
      </c>
      <c r="AT387" s="79" t="s">
        <v>79</v>
      </c>
      <c r="AU387" s="79" t="s">
        <v>80</v>
      </c>
      <c r="AY387" s="73" t="s">
        <v>83</v>
      </c>
      <c r="BK387" s="80">
        <f>SUM(BK388:BK476)</f>
        <v>0</v>
      </c>
    </row>
    <row r="388" spans="2:65" s="14" customFormat="1" ht="24.15" customHeight="1" x14ac:dyDescent="0.2">
      <c r="B388" s="81"/>
      <c r="C388" s="82" t="s">
        <v>546</v>
      </c>
      <c r="D388" s="82" t="s">
        <v>85</v>
      </c>
      <c r="E388" s="83" t="s">
        <v>547</v>
      </c>
      <c r="F388" s="84" t="s">
        <v>548</v>
      </c>
      <c r="G388" s="85" t="s">
        <v>88</v>
      </c>
      <c r="H388" s="86">
        <v>81.900000000000006</v>
      </c>
      <c r="I388" s="87">
        <v>0</v>
      </c>
      <c r="J388" s="87">
        <f>ROUND(I388*H388,2)</f>
        <v>0</v>
      </c>
      <c r="K388" s="88"/>
      <c r="L388" s="13"/>
      <c r="M388" s="89" t="s">
        <v>3</v>
      </c>
      <c r="N388" s="90" t="s">
        <v>36</v>
      </c>
      <c r="O388" s="91">
        <v>0</v>
      </c>
      <c r="P388" s="91">
        <f>O388*H388</f>
        <v>0</v>
      </c>
      <c r="Q388" s="91">
        <v>0</v>
      </c>
      <c r="R388" s="91">
        <f>Q388*H388</f>
        <v>0</v>
      </c>
      <c r="S388" s="91">
        <v>0</v>
      </c>
      <c r="T388" s="92">
        <f>S388*H388</f>
        <v>0</v>
      </c>
      <c r="AR388" s="93" t="s">
        <v>82</v>
      </c>
      <c r="AT388" s="93" t="s">
        <v>85</v>
      </c>
      <c r="AU388" s="93" t="s">
        <v>84</v>
      </c>
      <c r="AY388" s="3" t="s">
        <v>83</v>
      </c>
      <c r="BE388" s="94">
        <f>IF(N388="základní",J388,0)</f>
        <v>0</v>
      </c>
      <c r="BF388" s="94">
        <f>IF(N388="snížená",J388,0)</f>
        <v>0</v>
      </c>
      <c r="BG388" s="94">
        <f>IF(N388="zákl. přenesená",J388,0)</f>
        <v>0</v>
      </c>
      <c r="BH388" s="94">
        <f>IF(N388="sníž. přenesená",J388,0)</f>
        <v>0</v>
      </c>
      <c r="BI388" s="94">
        <f>IF(N388="nulová",J388,0)</f>
        <v>0</v>
      </c>
      <c r="BJ388" s="3" t="s">
        <v>84</v>
      </c>
      <c r="BK388" s="94">
        <f>ROUND(I388*H388,2)</f>
        <v>0</v>
      </c>
      <c r="BL388" s="3" t="s">
        <v>82</v>
      </c>
      <c r="BM388" s="93" t="s">
        <v>549</v>
      </c>
    </row>
    <row r="389" spans="2:65" s="14" customFormat="1" ht="19.2" x14ac:dyDescent="0.2">
      <c r="B389" s="13"/>
      <c r="D389" s="95" t="s">
        <v>90</v>
      </c>
      <c r="F389" s="96" t="s">
        <v>548</v>
      </c>
      <c r="L389" s="13"/>
      <c r="M389" s="97"/>
      <c r="T389" s="98"/>
      <c r="AT389" s="3" t="s">
        <v>90</v>
      </c>
      <c r="AU389" s="3" t="s">
        <v>84</v>
      </c>
    </row>
    <row r="390" spans="2:65" s="100" customFormat="1" x14ac:dyDescent="0.2">
      <c r="B390" s="99"/>
      <c r="D390" s="95" t="s">
        <v>92</v>
      </c>
      <c r="E390" s="101" t="s">
        <v>550</v>
      </c>
      <c r="F390" s="102" t="s">
        <v>551</v>
      </c>
      <c r="H390" s="103">
        <v>40.949999999999996</v>
      </c>
      <c r="L390" s="99"/>
      <c r="M390" s="104"/>
      <c r="T390" s="105"/>
      <c r="AT390" s="101" t="s">
        <v>92</v>
      </c>
      <c r="AU390" s="101" t="s">
        <v>84</v>
      </c>
      <c r="AV390" s="100" t="s">
        <v>5</v>
      </c>
      <c r="AW390" s="100" t="s">
        <v>95</v>
      </c>
      <c r="AX390" s="100" t="s">
        <v>80</v>
      </c>
      <c r="AY390" s="101" t="s">
        <v>83</v>
      </c>
    </row>
    <row r="391" spans="2:65" s="100" customFormat="1" x14ac:dyDescent="0.2">
      <c r="B391" s="99"/>
      <c r="D391" s="95" t="s">
        <v>92</v>
      </c>
      <c r="E391" s="101" t="s">
        <v>552</v>
      </c>
      <c r="F391" s="102" t="s">
        <v>553</v>
      </c>
      <c r="H391" s="103">
        <v>40.949999999999996</v>
      </c>
      <c r="L391" s="99"/>
      <c r="M391" s="104"/>
      <c r="T391" s="105"/>
      <c r="AT391" s="101" t="s">
        <v>92</v>
      </c>
      <c r="AU391" s="101" t="s">
        <v>84</v>
      </c>
      <c r="AV391" s="100" t="s">
        <v>5</v>
      </c>
      <c r="AW391" s="100" t="s">
        <v>95</v>
      </c>
      <c r="AX391" s="100" t="s">
        <v>80</v>
      </c>
      <c r="AY391" s="101" t="s">
        <v>83</v>
      </c>
    </row>
    <row r="392" spans="2:65" s="100" customFormat="1" x14ac:dyDescent="0.2">
      <c r="B392" s="99"/>
      <c r="D392" s="95" t="s">
        <v>92</v>
      </c>
      <c r="E392" s="101" t="s">
        <v>3</v>
      </c>
      <c r="F392" s="102" t="s">
        <v>554</v>
      </c>
      <c r="H392" s="103">
        <v>81.900000000000006</v>
      </c>
      <c r="L392" s="99"/>
      <c r="M392" s="104"/>
      <c r="T392" s="105"/>
      <c r="AT392" s="101" t="s">
        <v>92</v>
      </c>
      <c r="AU392" s="101" t="s">
        <v>84</v>
      </c>
      <c r="AV392" s="100" t="s">
        <v>5</v>
      </c>
      <c r="AW392" s="100" t="s">
        <v>95</v>
      </c>
      <c r="AX392" s="100" t="s">
        <v>84</v>
      </c>
      <c r="AY392" s="101" t="s">
        <v>83</v>
      </c>
    </row>
    <row r="393" spans="2:65" s="14" customFormat="1" ht="24.15" customHeight="1" x14ac:dyDescent="0.2">
      <c r="B393" s="81"/>
      <c r="C393" s="82" t="s">
        <v>555</v>
      </c>
      <c r="D393" s="82" t="s">
        <v>85</v>
      </c>
      <c r="E393" s="83" t="s">
        <v>556</v>
      </c>
      <c r="F393" s="84" t="s">
        <v>557</v>
      </c>
      <c r="G393" s="85" t="s">
        <v>120</v>
      </c>
      <c r="H393" s="86">
        <v>12.348000000000001</v>
      </c>
      <c r="I393" s="87">
        <v>0</v>
      </c>
      <c r="J393" s="87">
        <f>ROUND(I393*H393,2)</f>
        <v>0</v>
      </c>
      <c r="K393" s="88"/>
      <c r="L393" s="13"/>
      <c r="M393" s="89" t="s">
        <v>3</v>
      </c>
      <c r="N393" s="90" t="s">
        <v>36</v>
      </c>
      <c r="O393" s="91">
        <v>0</v>
      </c>
      <c r="P393" s="91">
        <f>O393*H393</f>
        <v>0</v>
      </c>
      <c r="Q393" s="91">
        <v>0</v>
      </c>
      <c r="R393" s="91">
        <f>Q393*H393</f>
        <v>0</v>
      </c>
      <c r="S393" s="91">
        <v>0</v>
      </c>
      <c r="T393" s="92">
        <f>S393*H393</f>
        <v>0</v>
      </c>
      <c r="AR393" s="93" t="s">
        <v>82</v>
      </c>
      <c r="AT393" s="93" t="s">
        <v>85</v>
      </c>
      <c r="AU393" s="93" t="s">
        <v>84</v>
      </c>
      <c r="AY393" s="3" t="s">
        <v>83</v>
      </c>
      <c r="BE393" s="94">
        <f>IF(N393="základní",J393,0)</f>
        <v>0</v>
      </c>
      <c r="BF393" s="94">
        <f>IF(N393="snížená",J393,0)</f>
        <v>0</v>
      </c>
      <c r="BG393" s="94">
        <f>IF(N393="zákl. přenesená",J393,0)</f>
        <v>0</v>
      </c>
      <c r="BH393" s="94">
        <f>IF(N393="sníž. přenesená",J393,0)</f>
        <v>0</v>
      </c>
      <c r="BI393" s="94">
        <f>IF(N393="nulová",J393,0)</f>
        <v>0</v>
      </c>
      <c r="BJ393" s="3" t="s">
        <v>84</v>
      </c>
      <c r="BK393" s="94">
        <f>ROUND(I393*H393,2)</f>
        <v>0</v>
      </c>
      <c r="BL393" s="3" t="s">
        <v>82</v>
      </c>
      <c r="BM393" s="93" t="s">
        <v>558</v>
      </c>
    </row>
    <row r="394" spans="2:65" s="14" customFormat="1" ht="19.2" x14ac:dyDescent="0.2">
      <c r="B394" s="13"/>
      <c r="D394" s="95" t="s">
        <v>90</v>
      </c>
      <c r="F394" s="96" t="s">
        <v>557</v>
      </c>
      <c r="L394" s="13"/>
      <c r="M394" s="97"/>
      <c r="T394" s="98"/>
      <c r="AT394" s="3" t="s">
        <v>90</v>
      </c>
      <c r="AU394" s="3" t="s">
        <v>84</v>
      </c>
    </row>
    <row r="395" spans="2:65" s="100" customFormat="1" x14ac:dyDescent="0.2">
      <c r="B395" s="99"/>
      <c r="D395" s="95" t="s">
        <v>92</v>
      </c>
      <c r="E395" s="101" t="s">
        <v>559</v>
      </c>
      <c r="F395" s="102" t="s">
        <v>560</v>
      </c>
      <c r="H395" s="103">
        <v>12.348000000000001</v>
      </c>
      <c r="L395" s="99"/>
      <c r="M395" s="104"/>
      <c r="T395" s="105"/>
      <c r="AT395" s="101" t="s">
        <v>92</v>
      </c>
      <c r="AU395" s="101" t="s">
        <v>84</v>
      </c>
      <c r="AV395" s="100" t="s">
        <v>5</v>
      </c>
      <c r="AW395" s="100" t="s">
        <v>95</v>
      </c>
      <c r="AX395" s="100" t="s">
        <v>80</v>
      </c>
      <c r="AY395" s="101" t="s">
        <v>83</v>
      </c>
    </row>
    <row r="396" spans="2:65" s="100" customFormat="1" x14ac:dyDescent="0.2">
      <c r="B396" s="99"/>
      <c r="D396" s="95" t="s">
        <v>92</v>
      </c>
      <c r="E396" s="101" t="s">
        <v>3</v>
      </c>
      <c r="F396" s="102" t="s">
        <v>561</v>
      </c>
      <c r="H396" s="103">
        <v>12.348000000000001</v>
      </c>
      <c r="L396" s="99"/>
      <c r="M396" s="104"/>
      <c r="T396" s="105"/>
      <c r="AT396" s="101" t="s">
        <v>92</v>
      </c>
      <c r="AU396" s="101" t="s">
        <v>84</v>
      </c>
      <c r="AV396" s="100" t="s">
        <v>5</v>
      </c>
      <c r="AW396" s="100" t="s">
        <v>95</v>
      </c>
      <c r="AX396" s="100" t="s">
        <v>84</v>
      </c>
      <c r="AY396" s="101" t="s">
        <v>83</v>
      </c>
    </row>
    <row r="397" spans="2:65" s="14" customFormat="1" ht="24.15" customHeight="1" x14ac:dyDescent="0.2">
      <c r="B397" s="81"/>
      <c r="C397" s="82" t="s">
        <v>562</v>
      </c>
      <c r="D397" s="82" t="s">
        <v>85</v>
      </c>
      <c r="E397" s="83" t="s">
        <v>563</v>
      </c>
      <c r="F397" s="84" t="s">
        <v>564</v>
      </c>
      <c r="G397" s="85" t="s">
        <v>88</v>
      </c>
      <c r="H397" s="86">
        <v>2697.9409999999998</v>
      </c>
      <c r="I397" s="87">
        <v>0</v>
      </c>
      <c r="J397" s="87">
        <f>ROUND(I397*H397,2)</f>
        <v>0</v>
      </c>
      <c r="K397" s="88"/>
      <c r="L397" s="13"/>
      <c r="M397" s="89" t="s">
        <v>3</v>
      </c>
      <c r="N397" s="90" t="s">
        <v>36</v>
      </c>
      <c r="O397" s="91">
        <v>0</v>
      </c>
      <c r="P397" s="91">
        <f>O397*H397</f>
        <v>0</v>
      </c>
      <c r="Q397" s="91">
        <v>0</v>
      </c>
      <c r="R397" s="91">
        <f>Q397*H397</f>
        <v>0</v>
      </c>
      <c r="S397" s="91">
        <v>0</v>
      </c>
      <c r="T397" s="92">
        <f>S397*H397</f>
        <v>0</v>
      </c>
      <c r="AR397" s="93" t="s">
        <v>82</v>
      </c>
      <c r="AT397" s="93" t="s">
        <v>85</v>
      </c>
      <c r="AU397" s="93" t="s">
        <v>84</v>
      </c>
      <c r="AY397" s="3" t="s">
        <v>83</v>
      </c>
      <c r="BE397" s="94">
        <f>IF(N397="základní",J397,0)</f>
        <v>0</v>
      </c>
      <c r="BF397" s="94">
        <f>IF(N397="snížená",J397,0)</f>
        <v>0</v>
      </c>
      <c r="BG397" s="94">
        <f>IF(N397="zákl. přenesená",J397,0)</f>
        <v>0</v>
      </c>
      <c r="BH397" s="94">
        <f>IF(N397="sníž. přenesená",J397,0)</f>
        <v>0</v>
      </c>
      <c r="BI397" s="94">
        <f>IF(N397="nulová",J397,0)</f>
        <v>0</v>
      </c>
      <c r="BJ397" s="3" t="s">
        <v>84</v>
      </c>
      <c r="BK397" s="94">
        <f>ROUND(I397*H397,2)</f>
        <v>0</v>
      </c>
      <c r="BL397" s="3" t="s">
        <v>82</v>
      </c>
      <c r="BM397" s="93" t="s">
        <v>565</v>
      </c>
    </row>
    <row r="398" spans="2:65" s="14" customFormat="1" x14ac:dyDescent="0.2">
      <c r="B398" s="13"/>
      <c r="D398" s="95" t="s">
        <v>90</v>
      </c>
      <c r="F398" s="96" t="s">
        <v>564</v>
      </c>
      <c r="L398" s="13"/>
      <c r="M398" s="97"/>
      <c r="T398" s="98"/>
      <c r="AT398" s="3" t="s">
        <v>90</v>
      </c>
      <c r="AU398" s="3" t="s">
        <v>84</v>
      </c>
    </row>
    <row r="399" spans="2:65" s="100" customFormat="1" ht="30.6" x14ac:dyDescent="0.2">
      <c r="B399" s="99"/>
      <c r="D399" s="95" t="s">
        <v>92</v>
      </c>
      <c r="E399" s="101" t="s">
        <v>566</v>
      </c>
      <c r="F399" s="102" t="s">
        <v>567</v>
      </c>
      <c r="H399" s="103">
        <v>2535.6680000000006</v>
      </c>
      <c r="L399" s="99"/>
      <c r="M399" s="104"/>
      <c r="T399" s="105"/>
      <c r="AT399" s="101" t="s">
        <v>92</v>
      </c>
      <c r="AU399" s="101" t="s">
        <v>84</v>
      </c>
      <c r="AV399" s="100" t="s">
        <v>5</v>
      </c>
      <c r="AW399" s="100" t="s">
        <v>95</v>
      </c>
      <c r="AX399" s="100" t="s">
        <v>80</v>
      </c>
      <c r="AY399" s="101" t="s">
        <v>83</v>
      </c>
    </row>
    <row r="400" spans="2:65" s="100" customFormat="1" ht="30.6" x14ac:dyDescent="0.2">
      <c r="B400" s="99"/>
      <c r="D400" s="95" t="s">
        <v>92</v>
      </c>
      <c r="E400" s="101" t="s">
        <v>568</v>
      </c>
      <c r="F400" s="102" t="s">
        <v>569</v>
      </c>
      <c r="H400" s="103">
        <v>162.27331920000003</v>
      </c>
      <c r="L400" s="99"/>
      <c r="M400" s="104"/>
      <c r="T400" s="105"/>
      <c r="AT400" s="101" t="s">
        <v>92</v>
      </c>
      <c r="AU400" s="101" t="s">
        <v>84</v>
      </c>
      <c r="AV400" s="100" t="s">
        <v>5</v>
      </c>
      <c r="AW400" s="100" t="s">
        <v>95</v>
      </c>
      <c r="AX400" s="100" t="s">
        <v>80</v>
      </c>
      <c r="AY400" s="101" t="s">
        <v>83</v>
      </c>
    </row>
    <row r="401" spans="2:65" s="100" customFormat="1" x14ac:dyDescent="0.2">
      <c r="B401" s="99"/>
      <c r="D401" s="95" t="s">
        <v>92</v>
      </c>
      <c r="E401" s="101" t="s">
        <v>3</v>
      </c>
      <c r="F401" s="102" t="s">
        <v>570</v>
      </c>
      <c r="H401" s="103">
        <v>2697.9409999999998</v>
      </c>
      <c r="L401" s="99"/>
      <c r="M401" s="104"/>
      <c r="T401" s="105"/>
      <c r="AT401" s="101" t="s">
        <v>92</v>
      </c>
      <c r="AU401" s="101" t="s">
        <v>84</v>
      </c>
      <c r="AV401" s="100" t="s">
        <v>5</v>
      </c>
      <c r="AW401" s="100" t="s">
        <v>95</v>
      </c>
      <c r="AX401" s="100" t="s">
        <v>84</v>
      </c>
      <c r="AY401" s="101" t="s">
        <v>83</v>
      </c>
    </row>
    <row r="402" spans="2:65" s="14" customFormat="1" ht="24.15" customHeight="1" x14ac:dyDescent="0.2">
      <c r="B402" s="81"/>
      <c r="C402" s="82" t="s">
        <v>571</v>
      </c>
      <c r="D402" s="82" t="s">
        <v>85</v>
      </c>
      <c r="E402" s="83" t="s">
        <v>572</v>
      </c>
      <c r="F402" s="84" t="s">
        <v>573</v>
      </c>
      <c r="G402" s="85" t="s">
        <v>120</v>
      </c>
      <c r="H402" s="86">
        <v>468.88600000000002</v>
      </c>
      <c r="I402" s="87">
        <v>0</v>
      </c>
      <c r="J402" s="87">
        <f>ROUND(I402*H402,2)</f>
        <v>0</v>
      </c>
      <c r="K402" s="88"/>
      <c r="L402" s="13"/>
      <c r="M402" s="89" t="s">
        <v>3</v>
      </c>
      <c r="N402" s="90" t="s">
        <v>36</v>
      </c>
      <c r="O402" s="91">
        <v>0</v>
      </c>
      <c r="P402" s="91">
        <f>O402*H402</f>
        <v>0</v>
      </c>
      <c r="Q402" s="91">
        <v>0</v>
      </c>
      <c r="R402" s="91">
        <f>Q402*H402</f>
        <v>0</v>
      </c>
      <c r="S402" s="91">
        <v>0</v>
      </c>
      <c r="T402" s="92">
        <f>S402*H402</f>
        <v>0</v>
      </c>
      <c r="AR402" s="93" t="s">
        <v>82</v>
      </c>
      <c r="AT402" s="93" t="s">
        <v>85</v>
      </c>
      <c r="AU402" s="93" t="s">
        <v>84</v>
      </c>
      <c r="AY402" s="3" t="s">
        <v>83</v>
      </c>
      <c r="BE402" s="94">
        <f>IF(N402="základní",J402,0)</f>
        <v>0</v>
      </c>
      <c r="BF402" s="94">
        <f>IF(N402="snížená",J402,0)</f>
        <v>0</v>
      </c>
      <c r="BG402" s="94">
        <f>IF(N402="zákl. přenesená",J402,0)</f>
        <v>0</v>
      </c>
      <c r="BH402" s="94">
        <f>IF(N402="sníž. přenesená",J402,0)</f>
        <v>0</v>
      </c>
      <c r="BI402" s="94">
        <f>IF(N402="nulová",J402,0)</f>
        <v>0</v>
      </c>
      <c r="BJ402" s="3" t="s">
        <v>84</v>
      </c>
      <c r="BK402" s="94">
        <f>ROUND(I402*H402,2)</f>
        <v>0</v>
      </c>
      <c r="BL402" s="3" t="s">
        <v>82</v>
      </c>
      <c r="BM402" s="93" t="s">
        <v>574</v>
      </c>
    </row>
    <row r="403" spans="2:65" s="14" customFormat="1" ht="19.2" x14ac:dyDescent="0.2">
      <c r="B403" s="13"/>
      <c r="D403" s="95" t="s">
        <v>90</v>
      </c>
      <c r="F403" s="96" t="s">
        <v>573</v>
      </c>
      <c r="L403" s="13"/>
      <c r="M403" s="97"/>
      <c r="T403" s="98"/>
      <c r="AT403" s="3" t="s">
        <v>90</v>
      </c>
      <c r="AU403" s="3" t="s">
        <v>84</v>
      </c>
    </row>
    <row r="404" spans="2:65" s="100" customFormat="1" x14ac:dyDescent="0.2">
      <c r="B404" s="99"/>
      <c r="D404" s="95" t="s">
        <v>92</v>
      </c>
      <c r="E404" s="101" t="s">
        <v>575</v>
      </c>
      <c r="F404" s="102" t="s">
        <v>576</v>
      </c>
      <c r="H404" s="103">
        <v>468.88600000000002</v>
      </c>
      <c r="L404" s="99"/>
      <c r="M404" s="104"/>
      <c r="T404" s="105"/>
      <c r="AT404" s="101" t="s">
        <v>92</v>
      </c>
      <c r="AU404" s="101" t="s">
        <v>84</v>
      </c>
      <c r="AV404" s="100" t="s">
        <v>5</v>
      </c>
      <c r="AW404" s="100" t="s">
        <v>95</v>
      </c>
      <c r="AX404" s="100" t="s">
        <v>80</v>
      </c>
      <c r="AY404" s="101" t="s">
        <v>83</v>
      </c>
    </row>
    <row r="405" spans="2:65" s="100" customFormat="1" x14ac:dyDescent="0.2">
      <c r="B405" s="99"/>
      <c r="D405" s="95" t="s">
        <v>92</v>
      </c>
      <c r="E405" s="101" t="s">
        <v>3</v>
      </c>
      <c r="F405" s="102" t="s">
        <v>577</v>
      </c>
      <c r="H405" s="103">
        <v>468.88600000000002</v>
      </c>
      <c r="L405" s="99"/>
      <c r="M405" s="104"/>
      <c r="T405" s="105"/>
      <c r="AT405" s="101" t="s">
        <v>92</v>
      </c>
      <c r="AU405" s="101" t="s">
        <v>84</v>
      </c>
      <c r="AV405" s="100" t="s">
        <v>5</v>
      </c>
      <c r="AW405" s="100" t="s">
        <v>95</v>
      </c>
      <c r="AX405" s="100" t="s">
        <v>84</v>
      </c>
      <c r="AY405" s="101" t="s">
        <v>83</v>
      </c>
    </row>
    <row r="406" spans="2:65" s="14" customFormat="1" ht="24.15" customHeight="1" x14ac:dyDescent="0.2">
      <c r="B406" s="81"/>
      <c r="C406" s="82" t="s">
        <v>578</v>
      </c>
      <c r="D406" s="82" t="s">
        <v>85</v>
      </c>
      <c r="E406" s="83" t="s">
        <v>579</v>
      </c>
      <c r="F406" s="84" t="s">
        <v>580</v>
      </c>
      <c r="G406" s="85" t="s">
        <v>120</v>
      </c>
      <c r="H406" s="86">
        <v>82.84</v>
      </c>
      <c r="I406" s="87">
        <v>0</v>
      </c>
      <c r="J406" s="87">
        <f>ROUND(I406*H406,2)</f>
        <v>0</v>
      </c>
      <c r="K406" s="88"/>
      <c r="L406" s="13"/>
      <c r="M406" s="89" t="s">
        <v>3</v>
      </c>
      <c r="N406" s="90" t="s">
        <v>36</v>
      </c>
      <c r="O406" s="91">
        <v>0</v>
      </c>
      <c r="P406" s="91">
        <f>O406*H406</f>
        <v>0</v>
      </c>
      <c r="Q406" s="91">
        <v>0</v>
      </c>
      <c r="R406" s="91">
        <f>Q406*H406</f>
        <v>0</v>
      </c>
      <c r="S406" s="91">
        <v>0</v>
      </c>
      <c r="T406" s="92">
        <f>S406*H406</f>
        <v>0</v>
      </c>
      <c r="AR406" s="93" t="s">
        <v>82</v>
      </c>
      <c r="AT406" s="93" t="s">
        <v>85</v>
      </c>
      <c r="AU406" s="93" t="s">
        <v>84</v>
      </c>
      <c r="AY406" s="3" t="s">
        <v>83</v>
      </c>
      <c r="BE406" s="94">
        <f>IF(N406="základní",J406,0)</f>
        <v>0</v>
      </c>
      <c r="BF406" s="94">
        <f>IF(N406="snížená",J406,0)</f>
        <v>0</v>
      </c>
      <c r="BG406" s="94">
        <f>IF(N406="zákl. přenesená",J406,0)</f>
        <v>0</v>
      </c>
      <c r="BH406" s="94">
        <f>IF(N406="sníž. přenesená",J406,0)</f>
        <v>0</v>
      </c>
      <c r="BI406" s="94">
        <f>IF(N406="nulová",J406,0)</f>
        <v>0</v>
      </c>
      <c r="BJ406" s="3" t="s">
        <v>84</v>
      </c>
      <c r="BK406" s="94">
        <f>ROUND(I406*H406,2)</f>
        <v>0</v>
      </c>
      <c r="BL406" s="3" t="s">
        <v>82</v>
      </c>
      <c r="BM406" s="93" t="s">
        <v>581</v>
      </c>
    </row>
    <row r="407" spans="2:65" s="14" customFormat="1" x14ac:dyDescent="0.2">
      <c r="B407" s="13"/>
      <c r="D407" s="95" t="s">
        <v>90</v>
      </c>
      <c r="F407" s="96" t="s">
        <v>580</v>
      </c>
      <c r="L407" s="13"/>
      <c r="M407" s="97"/>
      <c r="T407" s="98"/>
      <c r="AT407" s="3" t="s">
        <v>90</v>
      </c>
      <c r="AU407" s="3" t="s">
        <v>84</v>
      </c>
    </row>
    <row r="408" spans="2:65" s="100" customFormat="1" x14ac:dyDescent="0.2">
      <c r="B408" s="99"/>
      <c r="D408" s="95" t="s">
        <v>92</v>
      </c>
      <c r="E408" s="101" t="s">
        <v>582</v>
      </c>
      <c r="F408" s="102" t="s">
        <v>583</v>
      </c>
      <c r="H408" s="103">
        <v>82.84</v>
      </c>
      <c r="L408" s="99"/>
      <c r="M408" s="104"/>
      <c r="T408" s="105"/>
      <c r="AT408" s="101" t="s">
        <v>92</v>
      </c>
      <c r="AU408" s="101" t="s">
        <v>84</v>
      </c>
      <c r="AV408" s="100" t="s">
        <v>5</v>
      </c>
      <c r="AW408" s="100" t="s">
        <v>95</v>
      </c>
      <c r="AX408" s="100" t="s">
        <v>80</v>
      </c>
      <c r="AY408" s="101" t="s">
        <v>83</v>
      </c>
    </row>
    <row r="409" spans="2:65" s="100" customFormat="1" x14ac:dyDescent="0.2">
      <c r="B409" s="99"/>
      <c r="D409" s="95" t="s">
        <v>92</v>
      </c>
      <c r="E409" s="101" t="s">
        <v>3</v>
      </c>
      <c r="F409" s="102" t="s">
        <v>584</v>
      </c>
      <c r="H409" s="103">
        <v>82.84</v>
      </c>
      <c r="L409" s="99"/>
      <c r="M409" s="104"/>
      <c r="T409" s="105"/>
      <c r="AT409" s="101" t="s">
        <v>92</v>
      </c>
      <c r="AU409" s="101" t="s">
        <v>84</v>
      </c>
      <c r="AV409" s="100" t="s">
        <v>5</v>
      </c>
      <c r="AW409" s="100" t="s">
        <v>95</v>
      </c>
      <c r="AX409" s="100" t="s">
        <v>84</v>
      </c>
      <c r="AY409" s="101" t="s">
        <v>83</v>
      </c>
    </row>
    <row r="410" spans="2:65" s="14" customFormat="1" ht="16.5" customHeight="1" x14ac:dyDescent="0.2">
      <c r="B410" s="81"/>
      <c r="C410" s="82" t="s">
        <v>585</v>
      </c>
      <c r="D410" s="82" t="s">
        <v>85</v>
      </c>
      <c r="E410" s="83" t="s">
        <v>586</v>
      </c>
      <c r="F410" s="84" t="s">
        <v>587</v>
      </c>
      <c r="G410" s="85" t="s">
        <v>173</v>
      </c>
      <c r="H410" s="86">
        <v>46.8</v>
      </c>
      <c r="I410" s="87">
        <v>0</v>
      </c>
      <c r="J410" s="87">
        <f>ROUND(I410*H410,2)</f>
        <v>0</v>
      </c>
      <c r="K410" s="88"/>
      <c r="L410" s="13"/>
      <c r="M410" s="89" t="s">
        <v>3</v>
      </c>
      <c r="N410" s="90" t="s">
        <v>36</v>
      </c>
      <c r="O410" s="91">
        <v>0</v>
      </c>
      <c r="P410" s="91">
        <f>O410*H410</f>
        <v>0</v>
      </c>
      <c r="Q410" s="91">
        <v>0</v>
      </c>
      <c r="R410" s="91">
        <f>Q410*H410</f>
        <v>0</v>
      </c>
      <c r="S410" s="91">
        <v>0</v>
      </c>
      <c r="T410" s="92">
        <f>S410*H410</f>
        <v>0</v>
      </c>
      <c r="AR410" s="93" t="s">
        <v>82</v>
      </c>
      <c r="AT410" s="93" t="s">
        <v>85</v>
      </c>
      <c r="AU410" s="93" t="s">
        <v>84</v>
      </c>
      <c r="AY410" s="3" t="s">
        <v>83</v>
      </c>
      <c r="BE410" s="94">
        <f>IF(N410="základní",J410,0)</f>
        <v>0</v>
      </c>
      <c r="BF410" s="94">
        <f>IF(N410="snížená",J410,0)</f>
        <v>0</v>
      </c>
      <c r="BG410" s="94">
        <f>IF(N410="zákl. přenesená",J410,0)</f>
        <v>0</v>
      </c>
      <c r="BH410" s="94">
        <f>IF(N410="sníž. přenesená",J410,0)</f>
        <v>0</v>
      </c>
      <c r="BI410" s="94">
        <f>IF(N410="nulová",J410,0)</f>
        <v>0</v>
      </c>
      <c r="BJ410" s="3" t="s">
        <v>84</v>
      </c>
      <c r="BK410" s="94">
        <f>ROUND(I410*H410,2)</f>
        <v>0</v>
      </c>
      <c r="BL410" s="3" t="s">
        <v>82</v>
      </c>
      <c r="BM410" s="93" t="s">
        <v>588</v>
      </c>
    </row>
    <row r="411" spans="2:65" s="14" customFormat="1" ht="19.2" x14ac:dyDescent="0.2">
      <c r="B411" s="13"/>
      <c r="D411" s="95" t="s">
        <v>90</v>
      </c>
      <c r="F411" s="96" t="s">
        <v>589</v>
      </c>
      <c r="L411" s="13"/>
      <c r="M411" s="97"/>
      <c r="T411" s="98"/>
      <c r="AT411" s="3" t="s">
        <v>90</v>
      </c>
      <c r="AU411" s="3" t="s">
        <v>84</v>
      </c>
    </row>
    <row r="412" spans="2:65" s="100" customFormat="1" x14ac:dyDescent="0.2">
      <c r="B412" s="99"/>
      <c r="D412" s="95" t="s">
        <v>92</v>
      </c>
      <c r="E412" s="101" t="s">
        <v>590</v>
      </c>
      <c r="F412" s="102" t="s">
        <v>591</v>
      </c>
      <c r="H412" s="103">
        <v>23.4</v>
      </c>
      <c r="L412" s="99"/>
      <c r="M412" s="104"/>
      <c r="T412" s="105"/>
      <c r="AT412" s="101" t="s">
        <v>92</v>
      </c>
      <c r="AU412" s="101" t="s">
        <v>84</v>
      </c>
      <c r="AV412" s="100" t="s">
        <v>5</v>
      </c>
      <c r="AW412" s="100" t="s">
        <v>95</v>
      </c>
      <c r="AX412" s="100" t="s">
        <v>80</v>
      </c>
      <c r="AY412" s="101" t="s">
        <v>83</v>
      </c>
    </row>
    <row r="413" spans="2:65" s="100" customFormat="1" x14ac:dyDescent="0.2">
      <c r="B413" s="99"/>
      <c r="D413" s="95" t="s">
        <v>92</v>
      </c>
      <c r="E413" s="101" t="s">
        <v>592</v>
      </c>
      <c r="F413" s="102" t="s">
        <v>593</v>
      </c>
      <c r="H413" s="103">
        <v>23.4</v>
      </c>
      <c r="L413" s="99"/>
      <c r="M413" s="104"/>
      <c r="T413" s="105"/>
      <c r="AT413" s="101" t="s">
        <v>92</v>
      </c>
      <c r="AU413" s="101" t="s">
        <v>84</v>
      </c>
      <c r="AV413" s="100" t="s">
        <v>5</v>
      </c>
      <c r="AW413" s="100" t="s">
        <v>95</v>
      </c>
      <c r="AX413" s="100" t="s">
        <v>80</v>
      </c>
      <c r="AY413" s="101" t="s">
        <v>83</v>
      </c>
    </row>
    <row r="414" spans="2:65" s="100" customFormat="1" x14ac:dyDescent="0.2">
      <c r="B414" s="99"/>
      <c r="D414" s="95" t="s">
        <v>92</v>
      </c>
      <c r="E414" s="101" t="s">
        <v>3</v>
      </c>
      <c r="F414" s="102" t="s">
        <v>594</v>
      </c>
      <c r="H414" s="103">
        <v>46.8</v>
      </c>
      <c r="L414" s="99"/>
      <c r="M414" s="104"/>
      <c r="T414" s="105"/>
      <c r="AT414" s="101" t="s">
        <v>92</v>
      </c>
      <c r="AU414" s="101" t="s">
        <v>84</v>
      </c>
      <c r="AV414" s="100" t="s">
        <v>5</v>
      </c>
      <c r="AW414" s="100" t="s">
        <v>95</v>
      </c>
      <c r="AX414" s="100" t="s">
        <v>84</v>
      </c>
      <c r="AY414" s="101" t="s">
        <v>83</v>
      </c>
    </row>
    <row r="415" spans="2:65" s="14" customFormat="1" ht="24.15" customHeight="1" x14ac:dyDescent="0.2">
      <c r="B415" s="81"/>
      <c r="C415" s="82" t="s">
        <v>595</v>
      </c>
      <c r="D415" s="82" t="s">
        <v>85</v>
      </c>
      <c r="E415" s="83" t="s">
        <v>596</v>
      </c>
      <c r="F415" s="84" t="s">
        <v>597</v>
      </c>
      <c r="G415" s="85" t="s">
        <v>138</v>
      </c>
      <c r="H415" s="86">
        <v>4</v>
      </c>
      <c r="I415" s="87">
        <v>0</v>
      </c>
      <c r="J415" s="87">
        <f>ROUND(I415*H415,2)</f>
        <v>0</v>
      </c>
      <c r="K415" s="88"/>
      <c r="L415" s="13"/>
      <c r="M415" s="89" t="s">
        <v>3</v>
      </c>
      <c r="N415" s="90" t="s">
        <v>36</v>
      </c>
      <c r="O415" s="91">
        <v>0</v>
      </c>
      <c r="P415" s="91">
        <f>O415*H415</f>
        <v>0</v>
      </c>
      <c r="Q415" s="91">
        <v>0</v>
      </c>
      <c r="R415" s="91">
        <f>Q415*H415</f>
        <v>0</v>
      </c>
      <c r="S415" s="91">
        <v>0</v>
      </c>
      <c r="T415" s="92">
        <f>S415*H415</f>
        <v>0</v>
      </c>
      <c r="AR415" s="93" t="s">
        <v>82</v>
      </c>
      <c r="AT415" s="93" t="s">
        <v>85</v>
      </c>
      <c r="AU415" s="93" t="s">
        <v>84</v>
      </c>
      <c r="AY415" s="3" t="s">
        <v>83</v>
      </c>
      <c r="BE415" s="94">
        <f>IF(N415="základní",J415,0)</f>
        <v>0</v>
      </c>
      <c r="BF415" s="94">
        <f>IF(N415="snížená",J415,0)</f>
        <v>0</v>
      </c>
      <c r="BG415" s="94">
        <f>IF(N415="zákl. přenesená",J415,0)</f>
        <v>0</v>
      </c>
      <c r="BH415" s="94">
        <f>IF(N415="sníž. přenesená",J415,0)</f>
        <v>0</v>
      </c>
      <c r="BI415" s="94">
        <f>IF(N415="nulová",J415,0)</f>
        <v>0</v>
      </c>
      <c r="BJ415" s="3" t="s">
        <v>84</v>
      </c>
      <c r="BK415" s="94">
        <f>ROUND(I415*H415,2)</f>
        <v>0</v>
      </c>
      <c r="BL415" s="3" t="s">
        <v>82</v>
      </c>
      <c r="BM415" s="93" t="s">
        <v>598</v>
      </c>
    </row>
    <row r="416" spans="2:65" s="14" customFormat="1" x14ac:dyDescent="0.2">
      <c r="B416" s="13"/>
      <c r="D416" s="95" t="s">
        <v>90</v>
      </c>
      <c r="F416" s="96" t="s">
        <v>599</v>
      </c>
      <c r="L416" s="13"/>
      <c r="M416" s="97"/>
      <c r="T416" s="98"/>
      <c r="AT416" s="3" t="s">
        <v>90</v>
      </c>
      <c r="AU416" s="3" t="s">
        <v>84</v>
      </c>
    </row>
    <row r="417" spans="2:65" s="100" customFormat="1" x14ac:dyDescent="0.2">
      <c r="B417" s="99"/>
      <c r="D417" s="95" t="s">
        <v>92</v>
      </c>
      <c r="E417" s="101" t="s">
        <v>600</v>
      </c>
      <c r="F417" s="102" t="s">
        <v>601</v>
      </c>
      <c r="H417" s="103">
        <v>4</v>
      </c>
      <c r="L417" s="99"/>
      <c r="M417" s="104"/>
      <c r="T417" s="105"/>
      <c r="AT417" s="101" t="s">
        <v>92</v>
      </c>
      <c r="AU417" s="101" t="s">
        <v>84</v>
      </c>
      <c r="AV417" s="100" t="s">
        <v>5</v>
      </c>
      <c r="AW417" s="100" t="s">
        <v>95</v>
      </c>
      <c r="AX417" s="100" t="s">
        <v>80</v>
      </c>
      <c r="AY417" s="101" t="s">
        <v>83</v>
      </c>
    </row>
    <row r="418" spans="2:65" s="100" customFormat="1" x14ac:dyDescent="0.2">
      <c r="B418" s="99"/>
      <c r="D418" s="95" t="s">
        <v>92</v>
      </c>
      <c r="E418" s="101" t="s">
        <v>3</v>
      </c>
      <c r="F418" s="102" t="s">
        <v>602</v>
      </c>
      <c r="H418" s="103">
        <v>4</v>
      </c>
      <c r="L418" s="99"/>
      <c r="M418" s="104"/>
      <c r="T418" s="105"/>
      <c r="AT418" s="101" t="s">
        <v>92</v>
      </c>
      <c r="AU418" s="101" t="s">
        <v>84</v>
      </c>
      <c r="AV418" s="100" t="s">
        <v>5</v>
      </c>
      <c r="AW418" s="100" t="s">
        <v>95</v>
      </c>
      <c r="AX418" s="100" t="s">
        <v>84</v>
      </c>
      <c r="AY418" s="101" t="s">
        <v>83</v>
      </c>
    </row>
    <row r="419" spans="2:65" s="14" customFormat="1" ht="24.15" customHeight="1" x14ac:dyDescent="0.2">
      <c r="B419" s="81"/>
      <c r="C419" s="82" t="s">
        <v>603</v>
      </c>
      <c r="D419" s="82" t="s">
        <v>85</v>
      </c>
      <c r="E419" s="83" t="s">
        <v>604</v>
      </c>
      <c r="F419" s="84" t="s">
        <v>605</v>
      </c>
      <c r="G419" s="85" t="s">
        <v>138</v>
      </c>
      <c r="H419" s="86">
        <v>4</v>
      </c>
      <c r="I419" s="87">
        <v>0</v>
      </c>
      <c r="J419" s="87">
        <f>ROUND(I419*H419,2)</f>
        <v>0</v>
      </c>
      <c r="K419" s="88"/>
      <c r="L419" s="13"/>
      <c r="M419" s="89" t="s">
        <v>3</v>
      </c>
      <c r="N419" s="90" t="s">
        <v>36</v>
      </c>
      <c r="O419" s="91">
        <v>0</v>
      </c>
      <c r="P419" s="91">
        <f>O419*H419</f>
        <v>0</v>
      </c>
      <c r="Q419" s="91">
        <v>0</v>
      </c>
      <c r="R419" s="91">
        <f>Q419*H419</f>
        <v>0</v>
      </c>
      <c r="S419" s="91">
        <v>0</v>
      </c>
      <c r="T419" s="92">
        <f>S419*H419</f>
        <v>0</v>
      </c>
      <c r="AR419" s="93" t="s">
        <v>82</v>
      </c>
      <c r="AT419" s="93" t="s">
        <v>85</v>
      </c>
      <c r="AU419" s="93" t="s">
        <v>84</v>
      </c>
      <c r="AY419" s="3" t="s">
        <v>83</v>
      </c>
      <c r="BE419" s="94">
        <f>IF(N419="základní",J419,0)</f>
        <v>0</v>
      </c>
      <c r="BF419" s="94">
        <f>IF(N419="snížená",J419,0)</f>
        <v>0</v>
      </c>
      <c r="BG419" s="94">
        <f>IF(N419="zákl. přenesená",J419,0)</f>
        <v>0</v>
      </c>
      <c r="BH419" s="94">
        <f>IF(N419="sníž. přenesená",J419,0)</f>
        <v>0</v>
      </c>
      <c r="BI419" s="94">
        <f>IF(N419="nulová",J419,0)</f>
        <v>0</v>
      </c>
      <c r="BJ419" s="3" t="s">
        <v>84</v>
      </c>
      <c r="BK419" s="94">
        <f>ROUND(I419*H419,2)</f>
        <v>0</v>
      </c>
      <c r="BL419" s="3" t="s">
        <v>82</v>
      </c>
      <c r="BM419" s="93" t="s">
        <v>606</v>
      </c>
    </row>
    <row r="420" spans="2:65" s="14" customFormat="1" x14ac:dyDescent="0.2">
      <c r="B420" s="13"/>
      <c r="D420" s="95" t="s">
        <v>90</v>
      </c>
      <c r="F420" s="96" t="s">
        <v>607</v>
      </c>
      <c r="L420" s="13"/>
      <c r="M420" s="97"/>
      <c r="T420" s="98"/>
      <c r="AT420" s="3" t="s">
        <v>90</v>
      </c>
      <c r="AU420" s="3" t="s">
        <v>84</v>
      </c>
    </row>
    <row r="421" spans="2:65" s="100" customFormat="1" x14ac:dyDescent="0.2">
      <c r="B421" s="99"/>
      <c r="D421" s="95" t="s">
        <v>92</v>
      </c>
      <c r="E421" s="101" t="s">
        <v>608</v>
      </c>
      <c r="F421" s="102" t="s">
        <v>601</v>
      </c>
      <c r="H421" s="103">
        <v>4</v>
      </c>
      <c r="L421" s="99"/>
      <c r="M421" s="104"/>
      <c r="T421" s="105"/>
      <c r="AT421" s="101" t="s">
        <v>92</v>
      </c>
      <c r="AU421" s="101" t="s">
        <v>84</v>
      </c>
      <c r="AV421" s="100" t="s">
        <v>5</v>
      </c>
      <c r="AW421" s="100" t="s">
        <v>95</v>
      </c>
      <c r="AX421" s="100" t="s">
        <v>80</v>
      </c>
      <c r="AY421" s="101" t="s">
        <v>83</v>
      </c>
    </row>
    <row r="422" spans="2:65" s="100" customFormat="1" x14ac:dyDescent="0.2">
      <c r="B422" s="99"/>
      <c r="D422" s="95" t="s">
        <v>92</v>
      </c>
      <c r="E422" s="101" t="s">
        <v>3</v>
      </c>
      <c r="F422" s="102" t="s">
        <v>602</v>
      </c>
      <c r="H422" s="103">
        <v>4</v>
      </c>
      <c r="L422" s="99"/>
      <c r="M422" s="104"/>
      <c r="T422" s="105"/>
      <c r="AT422" s="101" t="s">
        <v>92</v>
      </c>
      <c r="AU422" s="101" t="s">
        <v>84</v>
      </c>
      <c r="AV422" s="100" t="s">
        <v>5</v>
      </c>
      <c r="AW422" s="100" t="s">
        <v>95</v>
      </c>
      <c r="AX422" s="100" t="s">
        <v>84</v>
      </c>
      <c r="AY422" s="101" t="s">
        <v>83</v>
      </c>
    </row>
    <row r="423" spans="2:65" s="14" customFormat="1" ht="21.75" customHeight="1" x14ac:dyDescent="0.2">
      <c r="B423" s="81"/>
      <c r="C423" s="82" t="s">
        <v>609</v>
      </c>
      <c r="D423" s="82" t="s">
        <v>85</v>
      </c>
      <c r="E423" s="83" t="s">
        <v>610</v>
      </c>
      <c r="F423" s="84" t="s">
        <v>611</v>
      </c>
      <c r="G423" s="85" t="s">
        <v>138</v>
      </c>
      <c r="H423" s="86">
        <v>8</v>
      </c>
      <c r="I423" s="87">
        <v>0</v>
      </c>
      <c r="J423" s="87">
        <f>ROUND(I423*H423,2)</f>
        <v>0</v>
      </c>
      <c r="K423" s="88"/>
      <c r="L423" s="13"/>
      <c r="M423" s="89" t="s">
        <v>3</v>
      </c>
      <c r="N423" s="90" t="s">
        <v>36</v>
      </c>
      <c r="O423" s="91">
        <v>0</v>
      </c>
      <c r="P423" s="91">
        <f>O423*H423</f>
        <v>0</v>
      </c>
      <c r="Q423" s="91">
        <v>0</v>
      </c>
      <c r="R423" s="91">
        <f>Q423*H423</f>
        <v>0</v>
      </c>
      <c r="S423" s="91">
        <v>0</v>
      </c>
      <c r="T423" s="92">
        <f>S423*H423</f>
        <v>0</v>
      </c>
      <c r="AR423" s="93" t="s">
        <v>82</v>
      </c>
      <c r="AT423" s="93" t="s">
        <v>85</v>
      </c>
      <c r="AU423" s="93" t="s">
        <v>84</v>
      </c>
      <c r="AY423" s="3" t="s">
        <v>83</v>
      </c>
      <c r="BE423" s="94">
        <f>IF(N423="základní",J423,0)</f>
        <v>0</v>
      </c>
      <c r="BF423" s="94">
        <f>IF(N423="snížená",J423,0)</f>
        <v>0</v>
      </c>
      <c r="BG423" s="94">
        <f>IF(N423="zákl. přenesená",J423,0)</f>
        <v>0</v>
      </c>
      <c r="BH423" s="94">
        <f>IF(N423="sníž. přenesená",J423,0)</f>
        <v>0</v>
      </c>
      <c r="BI423" s="94">
        <f>IF(N423="nulová",J423,0)</f>
        <v>0</v>
      </c>
      <c r="BJ423" s="3" t="s">
        <v>84</v>
      </c>
      <c r="BK423" s="94">
        <f>ROUND(I423*H423,2)</f>
        <v>0</v>
      </c>
      <c r="BL423" s="3" t="s">
        <v>82</v>
      </c>
      <c r="BM423" s="93" t="s">
        <v>612</v>
      </c>
    </row>
    <row r="424" spans="2:65" s="14" customFormat="1" x14ac:dyDescent="0.2">
      <c r="B424" s="13"/>
      <c r="D424" s="95" t="s">
        <v>90</v>
      </c>
      <c r="F424" s="96" t="s">
        <v>613</v>
      </c>
      <c r="L424" s="13"/>
      <c r="M424" s="97"/>
      <c r="T424" s="98"/>
      <c r="AT424" s="3" t="s">
        <v>90</v>
      </c>
      <c r="AU424" s="3" t="s">
        <v>84</v>
      </c>
    </row>
    <row r="425" spans="2:65" s="100" customFormat="1" x14ac:dyDescent="0.2">
      <c r="B425" s="99"/>
      <c r="D425" s="95" t="s">
        <v>92</v>
      </c>
      <c r="E425" s="101" t="s">
        <v>614</v>
      </c>
      <c r="F425" s="102" t="s">
        <v>615</v>
      </c>
      <c r="H425" s="103">
        <v>8</v>
      </c>
      <c r="L425" s="99"/>
      <c r="M425" s="104"/>
      <c r="T425" s="105"/>
      <c r="AT425" s="101" t="s">
        <v>92</v>
      </c>
      <c r="AU425" s="101" t="s">
        <v>84</v>
      </c>
      <c r="AV425" s="100" t="s">
        <v>5</v>
      </c>
      <c r="AW425" s="100" t="s">
        <v>95</v>
      </c>
      <c r="AX425" s="100" t="s">
        <v>80</v>
      </c>
      <c r="AY425" s="101" t="s">
        <v>83</v>
      </c>
    </row>
    <row r="426" spans="2:65" s="100" customFormat="1" x14ac:dyDescent="0.2">
      <c r="B426" s="99"/>
      <c r="D426" s="95" t="s">
        <v>92</v>
      </c>
      <c r="E426" s="101" t="s">
        <v>3</v>
      </c>
      <c r="F426" s="102" t="s">
        <v>616</v>
      </c>
      <c r="H426" s="103">
        <v>8</v>
      </c>
      <c r="L426" s="99"/>
      <c r="M426" s="104"/>
      <c r="T426" s="105"/>
      <c r="AT426" s="101" t="s">
        <v>92</v>
      </c>
      <c r="AU426" s="101" t="s">
        <v>84</v>
      </c>
      <c r="AV426" s="100" t="s">
        <v>5</v>
      </c>
      <c r="AW426" s="100" t="s">
        <v>95</v>
      </c>
      <c r="AX426" s="100" t="s">
        <v>84</v>
      </c>
      <c r="AY426" s="101" t="s">
        <v>83</v>
      </c>
    </row>
    <row r="427" spans="2:65" s="14" customFormat="1" ht="24.15" customHeight="1" x14ac:dyDescent="0.2">
      <c r="B427" s="81"/>
      <c r="C427" s="82" t="s">
        <v>617</v>
      </c>
      <c r="D427" s="82" t="s">
        <v>85</v>
      </c>
      <c r="E427" s="83" t="s">
        <v>618</v>
      </c>
      <c r="F427" s="84" t="s">
        <v>619</v>
      </c>
      <c r="G427" s="85" t="s">
        <v>88</v>
      </c>
      <c r="H427" s="86">
        <v>20.088000000000001</v>
      </c>
      <c r="I427" s="87">
        <v>0</v>
      </c>
      <c r="J427" s="87">
        <f>ROUND(I427*H427,2)</f>
        <v>0</v>
      </c>
      <c r="K427" s="88"/>
      <c r="L427" s="13"/>
      <c r="M427" s="89" t="s">
        <v>3</v>
      </c>
      <c r="N427" s="90" t="s">
        <v>36</v>
      </c>
      <c r="O427" s="91">
        <v>0</v>
      </c>
      <c r="P427" s="91">
        <f>O427*H427</f>
        <v>0</v>
      </c>
      <c r="Q427" s="91">
        <v>0</v>
      </c>
      <c r="R427" s="91">
        <f>Q427*H427</f>
        <v>0</v>
      </c>
      <c r="S427" s="91">
        <v>0</v>
      </c>
      <c r="T427" s="92">
        <f>S427*H427</f>
        <v>0</v>
      </c>
      <c r="AR427" s="93" t="s">
        <v>82</v>
      </c>
      <c r="AT427" s="93" t="s">
        <v>85</v>
      </c>
      <c r="AU427" s="93" t="s">
        <v>84</v>
      </c>
      <c r="AY427" s="3" t="s">
        <v>83</v>
      </c>
      <c r="BE427" s="94">
        <f>IF(N427="základní",J427,0)</f>
        <v>0</v>
      </c>
      <c r="BF427" s="94">
        <f>IF(N427="snížená",J427,0)</f>
        <v>0</v>
      </c>
      <c r="BG427" s="94">
        <f>IF(N427="zákl. přenesená",J427,0)</f>
        <v>0</v>
      </c>
      <c r="BH427" s="94">
        <f>IF(N427="sníž. přenesená",J427,0)</f>
        <v>0</v>
      </c>
      <c r="BI427" s="94">
        <f>IF(N427="nulová",J427,0)</f>
        <v>0</v>
      </c>
      <c r="BJ427" s="3" t="s">
        <v>84</v>
      </c>
      <c r="BK427" s="94">
        <f>ROUND(I427*H427,2)</f>
        <v>0</v>
      </c>
      <c r="BL427" s="3" t="s">
        <v>82</v>
      </c>
      <c r="BM427" s="93" t="s">
        <v>620</v>
      </c>
    </row>
    <row r="428" spans="2:65" s="14" customFormat="1" x14ac:dyDescent="0.2">
      <c r="B428" s="13"/>
      <c r="D428" s="95" t="s">
        <v>90</v>
      </c>
      <c r="F428" s="96" t="s">
        <v>621</v>
      </c>
      <c r="L428" s="13"/>
      <c r="M428" s="97"/>
      <c r="T428" s="98"/>
      <c r="AT428" s="3" t="s">
        <v>90</v>
      </c>
      <c r="AU428" s="3" t="s">
        <v>84</v>
      </c>
    </row>
    <row r="429" spans="2:65" s="100" customFormat="1" x14ac:dyDescent="0.2">
      <c r="B429" s="99"/>
      <c r="D429" s="95" t="s">
        <v>92</v>
      </c>
      <c r="E429" s="101" t="s">
        <v>622</v>
      </c>
      <c r="F429" s="102" t="s">
        <v>623</v>
      </c>
      <c r="H429" s="103">
        <v>7.02</v>
      </c>
      <c r="L429" s="99"/>
      <c r="M429" s="104"/>
      <c r="T429" s="105"/>
      <c r="AT429" s="101" t="s">
        <v>92</v>
      </c>
      <c r="AU429" s="101" t="s">
        <v>84</v>
      </c>
      <c r="AV429" s="100" t="s">
        <v>5</v>
      </c>
      <c r="AW429" s="100" t="s">
        <v>95</v>
      </c>
      <c r="AX429" s="100" t="s">
        <v>80</v>
      </c>
      <c r="AY429" s="101" t="s">
        <v>83</v>
      </c>
    </row>
    <row r="430" spans="2:65" s="100" customFormat="1" x14ac:dyDescent="0.2">
      <c r="B430" s="99"/>
      <c r="D430" s="95" t="s">
        <v>92</v>
      </c>
      <c r="E430" s="101" t="s">
        <v>624</v>
      </c>
      <c r="F430" s="102" t="s">
        <v>625</v>
      </c>
      <c r="H430" s="103">
        <v>13.068</v>
      </c>
      <c r="L430" s="99"/>
      <c r="M430" s="104"/>
      <c r="T430" s="105"/>
      <c r="AT430" s="101" t="s">
        <v>92</v>
      </c>
      <c r="AU430" s="101" t="s">
        <v>84</v>
      </c>
      <c r="AV430" s="100" t="s">
        <v>5</v>
      </c>
      <c r="AW430" s="100" t="s">
        <v>95</v>
      </c>
      <c r="AX430" s="100" t="s">
        <v>80</v>
      </c>
      <c r="AY430" s="101" t="s">
        <v>83</v>
      </c>
    </row>
    <row r="431" spans="2:65" s="100" customFormat="1" x14ac:dyDescent="0.2">
      <c r="B431" s="99"/>
      <c r="D431" s="95" t="s">
        <v>92</v>
      </c>
      <c r="E431" s="101" t="s">
        <v>3</v>
      </c>
      <c r="F431" s="102" t="s">
        <v>626</v>
      </c>
      <c r="H431" s="103">
        <v>20.088000000000001</v>
      </c>
      <c r="L431" s="99"/>
      <c r="M431" s="104"/>
      <c r="T431" s="105"/>
      <c r="AT431" s="101" t="s">
        <v>92</v>
      </c>
      <c r="AU431" s="101" t="s">
        <v>84</v>
      </c>
      <c r="AV431" s="100" t="s">
        <v>5</v>
      </c>
      <c r="AW431" s="100" t="s">
        <v>95</v>
      </c>
      <c r="AX431" s="100" t="s">
        <v>84</v>
      </c>
      <c r="AY431" s="101" t="s">
        <v>83</v>
      </c>
    </row>
    <row r="432" spans="2:65" s="14" customFormat="1" ht="24.15" customHeight="1" x14ac:dyDescent="0.2">
      <c r="B432" s="81"/>
      <c r="C432" s="82" t="s">
        <v>627</v>
      </c>
      <c r="D432" s="82" t="s">
        <v>85</v>
      </c>
      <c r="E432" s="83" t="s">
        <v>628</v>
      </c>
      <c r="F432" s="84" t="s">
        <v>629</v>
      </c>
      <c r="G432" s="85" t="s">
        <v>88</v>
      </c>
      <c r="H432" s="86">
        <v>120.48099999999999</v>
      </c>
      <c r="I432" s="87">
        <v>0</v>
      </c>
      <c r="J432" s="87">
        <f>ROUND(I432*H432,2)</f>
        <v>0</v>
      </c>
      <c r="K432" s="88"/>
      <c r="L432" s="13"/>
      <c r="M432" s="89" t="s">
        <v>3</v>
      </c>
      <c r="N432" s="90" t="s">
        <v>36</v>
      </c>
      <c r="O432" s="91">
        <v>0</v>
      </c>
      <c r="P432" s="91">
        <f>O432*H432</f>
        <v>0</v>
      </c>
      <c r="Q432" s="91">
        <v>0</v>
      </c>
      <c r="R432" s="91">
        <f>Q432*H432</f>
        <v>0</v>
      </c>
      <c r="S432" s="91">
        <v>0</v>
      </c>
      <c r="T432" s="92">
        <f>S432*H432</f>
        <v>0</v>
      </c>
      <c r="AR432" s="93" t="s">
        <v>82</v>
      </c>
      <c r="AT432" s="93" t="s">
        <v>85</v>
      </c>
      <c r="AU432" s="93" t="s">
        <v>84</v>
      </c>
      <c r="AY432" s="3" t="s">
        <v>83</v>
      </c>
      <c r="BE432" s="94">
        <f>IF(N432="základní",J432,0)</f>
        <v>0</v>
      </c>
      <c r="BF432" s="94">
        <f>IF(N432="snížená",J432,0)</f>
        <v>0</v>
      </c>
      <c r="BG432" s="94">
        <f>IF(N432="zákl. přenesená",J432,0)</f>
        <v>0</v>
      </c>
      <c r="BH432" s="94">
        <f>IF(N432="sníž. přenesená",J432,0)</f>
        <v>0</v>
      </c>
      <c r="BI432" s="94">
        <f>IF(N432="nulová",J432,0)</f>
        <v>0</v>
      </c>
      <c r="BJ432" s="3" t="s">
        <v>84</v>
      </c>
      <c r="BK432" s="94">
        <f>ROUND(I432*H432,2)</f>
        <v>0</v>
      </c>
      <c r="BL432" s="3" t="s">
        <v>82</v>
      </c>
      <c r="BM432" s="93" t="s">
        <v>630</v>
      </c>
    </row>
    <row r="433" spans="2:65" s="14" customFormat="1" x14ac:dyDescent="0.2">
      <c r="B433" s="13"/>
      <c r="D433" s="95" t="s">
        <v>90</v>
      </c>
      <c r="F433" s="96" t="s">
        <v>631</v>
      </c>
      <c r="L433" s="13"/>
      <c r="M433" s="97"/>
      <c r="T433" s="98"/>
      <c r="AT433" s="3" t="s">
        <v>90</v>
      </c>
      <c r="AU433" s="3" t="s">
        <v>84</v>
      </c>
    </row>
    <row r="434" spans="2:65" s="100" customFormat="1" ht="20.399999999999999" x14ac:dyDescent="0.2">
      <c r="B434" s="99"/>
      <c r="D434" s="95" t="s">
        <v>92</v>
      </c>
      <c r="E434" s="101" t="s">
        <v>632</v>
      </c>
      <c r="F434" s="102" t="s">
        <v>633</v>
      </c>
      <c r="H434" s="103">
        <v>17.252279999999999</v>
      </c>
      <c r="L434" s="99"/>
      <c r="M434" s="104"/>
      <c r="T434" s="105"/>
      <c r="AT434" s="101" t="s">
        <v>92</v>
      </c>
      <c r="AU434" s="101" t="s">
        <v>84</v>
      </c>
      <c r="AV434" s="100" t="s">
        <v>5</v>
      </c>
      <c r="AW434" s="100" t="s">
        <v>95</v>
      </c>
      <c r="AX434" s="100" t="s">
        <v>80</v>
      </c>
      <c r="AY434" s="101" t="s">
        <v>83</v>
      </c>
    </row>
    <row r="435" spans="2:65" s="100" customFormat="1" x14ac:dyDescent="0.2">
      <c r="B435" s="99"/>
      <c r="D435" s="95" t="s">
        <v>92</v>
      </c>
      <c r="E435" s="101" t="s">
        <v>634</v>
      </c>
      <c r="F435" s="102" t="s">
        <v>635</v>
      </c>
      <c r="H435" s="103">
        <v>79.580749999999995</v>
      </c>
      <c r="L435" s="99"/>
      <c r="M435" s="104"/>
      <c r="T435" s="105"/>
      <c r="AT435" s="101" t="s">
        <v>92</v>
      </c>
      <c r="AU435" s="101" t="s">
        <v>84</v>
      </c>
      <c r="AV435" s="100" t="s">
        <v>5</v>
      </c>
      <c r="AW435" s="100" t="s">
        <v>95</v>
      </c>
      <c r="AX435" s="100" t="s">
        <v>80</v>
      </c>
      <c r="AY435" s="101" t="s">
        <v>83</v>
      </c>
    </row>
    <row r="436" spans="2:65" s="100" customFormat="1" ht="20.399999999999999" x14ac:dyDescent="0.2">
      <c r="B436" s="99"/>
      <c r="D436" s="95" t="s">
        <v>92</v>
      </c>
      <c r="E436" s="101" t="s">
        <v>636</v>
      </c>
      <c r="F436" s="102" t="s">
        <v>637</v>
      </c>
      <c r="H436" s="103">
        <v>23.648399999999999</v>
      </c>
      <c r="L436" s="99"/>
      <c r="M436" s="104"/>
      <c r="T436" s="105"/>
      <c r="AT436" s="101" t="s">
        <v>92</v>
      </c>
      <c r="AU436" s="101" t="s">
        <v>84</v>
      </c>
      <c r="AV436" s="100" t="s">
        <v>5</v>
      </c>
      <c r="AW436" s="100" t="s">
        <v>95</v>
      </c>
      <c r="AX436" s="100" t="s">
        <v>80</v>
      </c>
      <c r="AY436" s="101" t="s">
        <v>83</v>
      </c>
    </row>
    <row r="437" spans="2:65" s="100" customFormat="1" x14ac:dyDescent="0.2">
      <c r="B437" s="99"/>
      <c r="D437" s="95" t="s">
        <v>92</v>
      </c>
      <c r="E437" s="101" t="s">
        <v>3</v>
      </c>
      <c r="F437" s="102" t="s">
        <v>638</v>
      </c>
      <c r="H437" s="103">
        <v>120.48099999999999</v>
      </c>
      <c r="L437" s="99"/>
      <c r="M437" s="104"/>
      <c r="T437" s="105"/>
      <c r="AT437" s="101" t="s">
        <v>92</v>
      </c>
      <c r="AU437" s="101" t="s">
        <v>84</v>
      </c>
      <c r="AV437" s="100" t="s">
        <v>5</v>
      </c>
      <c r="AW437" s="100" t="s">
        <v>95</v>
      </c>
      <c r="AX437" s="100" t="s">
        <v>84</v>
      </c>
      <c r="AY437" s="101" t="s">
        <v>83</v>
      </c>
    </row>
    <row r="438" spans="2:65" s="14" customFormat="1" ht="24.15" customHeight="1" x14ac:dyDescent="0.2">
      <c r="B438" s="81"/>
      <c r="C438" s="82" t="s">
        <v>639</v>
      </c>
      <c r="D438" s="82" t="s">
        <v>85</v>
      </c>
      <c r="E438" s="83" t="s">
        <v>640</v>
      </c>
      <c r="F438" s="84" t="s">
        <v>641</v>
      </c>
      <c r="G438" s="85" t="s">
        <v>88</v>
      </c>
      <c r="H438" s="86">
        <v>35.552</v>
      </c>
      <c r="I438" s="87">
        <v>0</v>
      </c>
      <c r="J438" s="87">
        <f>ROUND(I438*H438,2)</f>
        <v>0</v>
      </c>
      <c r="K438" s="88"/>
      <c r="L438" s="13"/>
      <c r="M438" s="89" t="s">
        <v>3</v>
      </c>
      <c r="N438" s="90" t="s">
        <v>36</v>
      </c>
      <c r="O438" s="91">
        <v>0</v>
      </c>
      <c r="P438" s="91">
        <f>O438*H438</f>
        <v>0</v>
      </c>
      <c r="Q438" s="91">
        <v>0</v>
      </c>
      <c r="R438" s="91">
        <f>Q438*H438</f>
        <v>0</v>
      </c>
      <c r="S438" s="91">
        <v>0</v>
      </c>
      <c r="T438" s="92">
        <f>S438*H438</f>
        <v>0</v>
      </c>
      <c r="AR438" s="93" t="s">
        <v>82</v>
      </c>
      <c r="AT438" s="93" t="s">
        <v>85</v>
      </c>
      <c r="AU438" s="93" t="s">
        <v>84</v>
      </c>
      <c r="AY438" s="3" t="s">
        <v>83</v>
      </c>
      <c r="BE438" s="94">
        <f>IF(N438="základní",J438,0)</f>
        <v>0</v>
      </c>
      <c r="BF438" s="94">
        <f>IF(N438="snížená",J438,0)</f>
        <v>0</v>
      </c>
      <c r="BG438" s="94">
        <f>IF(N438="zákl. přenesená",J438,0)</f>
        <v>0</v>
      </c>
      <c r="BH438" s="94">
        <f>IF(N438="sníž. přenesená",J438,0)</f>
        <v>0</v>
      </c>
      <c r="BI438" s="94">
        <f>IF(N438="nulová",J438,0)</f>
        <v>0</v>
      </c>
      <c r="BJ438" s="3" t="s">
        <v>84</v>
      </c>
      <c r="BK438" s="94">
        <f>ROUND(I438*H438,2)</f>
        <v>0</v>
      </c>
      <c r="BL438" s="3" t="s">
        <v>82</v>
      </c>
      <c r="BM438" s="93" t="s">
        <v>642</v>
      </c>
    </row>
    <row r="439" spans="2:65" s="14" customFormat="1" x14ac:dyDescent="0.2">
      <c r="B439" s="13"/>
      <c r="D439" s="95" t="s">
        <v>90</v>
      </c>
      <c r="F439" s="96" t="s">
        <v>643</v>
      </c>
      <c r="L439" s="13"/>
      <c r="M439" s="97"/>
      <c r="T439" s="98"/>
      <c r="AT439" s="3" t="s">
        <v>90</v>
      </c>
      <c r="AU439" s="3" t="s">
        <v>84</v>
      </c>
    </row>
    <row r="440" spans="2:65" s="100" customFormat="1" x14ac:dyDescent="0.2">
      <c r="B440" s="99"/>
      <c r="D440" s="95" t="s">
        <v>92</v>
      </c>
      <c r="E440" s="101" t="s">
        <v>644</v>
      </c>
      <c r="F440" s="102" t="s">
        <v>645</v>
      </c>
      <c r="H440" s="103">
        <v>17.776057499999997</v>
      </c>
      <c r="L440" s="99"/>
      <c r="M440" s="104"/>
      <c r="T440" s="105"/>
      <c r="AT440" s="101" t="s">
        <v>92</v>
      </c>
      <c r="AU440" s="101" t="s">
        <v>84</v>
      </c>
      <c r="AV440" s="100" t="s">
        <v>5</v>
      </c>
      <c r="AW440" s="100" t="s">
        <v>95</v>
      </c>
      <c r="AX440" s="100" t="s">
        <v>80</v>
      </c>
      <c r="AY440" s="101" t="s">
        <v>83</v>
      </c>
    </row>
    <row r="441" spans="2:65" s="100" customFormat="1" x14ac:dyDescent="0.2">
      <c r="B441" s="99"/>
      <c r="D441" s="95" t="s">
        <v>92</v>
      </c>
      <c r="E441" s="101" t="s">
        <v>646</v>
      </c>
      <c r="F441" s="102" t="s">
        <v>647</v>
      </c>
      <c r="H441" s="103">
        <v>17.776057499999997</v>
      </c>
      <c r="L441" s="99"/>
      <c r="M441" s="104"/>
      <c r="T441" s="105"/>
      <c r="AT441" s="101" t="s">
        <v>92</v>
      </c>
      <c r="AU441" s="101" t="s">
        <v>84</v>
      </c>
      <c r="AV441" s="100" t="s">
        <v>5</v>
      </c>
      <c r="AW441" s="100" t="s">
        <v>95</v>
      </c>
      <c r="AX441" s="100" t="s">
        <v>80</v>
      </c>
      <c r="AY441" s="101" t="s">
        <v>83</v>
      </c>
    </row>
    <row r="442" spans="2:65" s="100" customFormat="1" x14ac:dyDescent="0.2">
      <c r="B442" s="99"/>
      <c r="D442" s="95" t="s">
        <v>92</v>
      </c>
      <c r="E442" s="101" t="s">
        <v>3</v>
      </c>
      <c r="F442" s="102" t="s">
        <v>648</v>
      </c>
      <c r="H442" s="103">
        <v>35.552</v>
      </c>
      <c r="L442" s="99"/>
      <c r="M442" s="104"/>
      <c r="T442" s="105"/>
      <c r="AT442" s="101" t="s">
        <v>92</v>
      </c>
      <c r="AU442" s="101" t="s">
        <v>84</v>
      </c>
      <c r="AV442" s="100" t="s">
        <v>5</v>
      </c>
      <c r="AW442" s="100" t="s">
        <v>95</v>
      </c>
      <c r="AX442" s="100" t="s">
        <v>84</v>
      </c>
      <c r="AY442" s="101" t="s">
        <v>83</v>
      </c>
    </row>
    <row r="443" spans="2:65" s="14" customFormat="1" ht="24.15" customHeight="1" x14ac:dyDescent="0.2">
      <c r="B443" s="81"/>
      <c r="C443" s="82" t="s">
        <v>649</v>
      </c>
      <c r="D443" s="82" t="s">
        <v>85</v>
      </c>
      <c r="E443" s="83" t="s">
        <v>650</v>
      </c>
      <c r="F443" s="84" t="s">
        <v>651</v>
      </c>
      <c r="G443" s="85" t="s">
        <v>88</v>
      </c>
      <c r="H443" s="86">
        <v>87.04</v>
      </c>
      <c r="I443" s="87">
        <v>0</v>
      </c>
      <c r="J443" s="87">
        <f>ROUND(I443*H443,2)</f>
        <v>0</v>
      </c>
      <c r="K443" s="88"/>
      <c r="L443" s="13"/>
      <c r="M443" s="89" t="s">
        <v>3</v>
      </c>
      <c r="N443" s="90" t="s">
        <v>36</v>
      </c>
      <c r="O443" s="91">
        <v>0</v>
      </c>
      <c r="P443" s="91">
        <f>O443*H443</f>
        <v>0</v>
      </c>
      <c r="Q443" s="91">
        <v>0</v>
      </c>
      <c r="R443" s="91">
        <f>Q443*H443</f>
        <v>0</v>
      </c>
      <c r="S443" s="91">
        <v>0</v>
      </c>
      <c r="T443" s="92">
        <f>S443*H443</f>
        <v>0</v>
      </c>
      <c r="AR443" s="93" t="s">
        <v>82</v>
      </c>
      <c r="AT443" s="93" t="s">
        <v>85</v>
      </c>
      <c r="AU443" s="93" t="s">
        <v>84</v>
      </c>
      <c r="AY443" s="3" t="s">
        <v>83</v>
      </c>
      <c r="BE443" s="94">
        <f>IF(N443="základní",J443,0)</f>
        <v>0</v>
      </c>
      <c r="BF443" s="94">
        <f>IF(N443="snížená",J443,0)</f>
        <v>0</v>
      </c>
      <c r="BG443" s="94">
        <f>IF(N443="zákl. přenesená",J443,0)</f>
        <v>0</v>
      </c>
      <c r="BH443" s="94">
        <f>IF(N443="sníž. přenesená",J443,0)</f>
        <v>0</v>
      </c>
      <c r="BI443" s="94">
        <f>IF(N443="nulová",J443,0)</f>
        <v>0</v>
      </c>
      <c r="BJ443" s="3" t="s">
        <v>84</v>
      </c>
      <c r="BK443" s="94">
        <f>ROUND(I443*H443,2)</f>
        <v>0</v>
      </c>
      <c r="BL443" s="3" t="s">
        <v>82</v>
      </c>
      <c r="BM443" s="93" t="s">
        <v>652</v>
      </c>
    </row>
    <row r="444" spans="2:65" s="14" customFormat="1" x14ac:dyDescent="0.2">
      <c r="B444" s="13"/>
      <c r="D444" s="95" t="s">
        <v>90</v>
      </c>
      <c r="F444" s="96" t="s">
        <v>653</v>
      </c>
      <c r="L444" s="13"/>
      <c r="M444" s="97"/>
      <c r="T444" s="98"/>
      <c r="AT444" s="3" t="s">
        <v>90</v>
      </c>
      <c r="AU444" s="3" t="s">
        <v>84</v>
      </c>
    </row>
    <row r="445" spans="2:65" s="100" customFormat="1" x14ac:dyDescent="0.2">
      <c r="B445" s="99"/>
      <c r="D445" s="95" t="s">
        <v>92</v>
      </c>
      <c r="E445" s="101" t="s">
        <v>654</v>
      </c>
      <c r="F445" s="102" t="s">
        <v>655</v>
      </c>
      <c r="H445" s="103">
        <v>87.04</v>
      </c>
      <c r="L445" s="99"/>
      <c r="M445" s="104"/>
      <c r="T445" s="105"/>
      <c r="AT445" s="101" t="s">
        <v>92</v>
      </c>
      <c r="AU445" s="101" t="s">
        <v>84</v>
      </c>
      <c r="AV445" s="100" t="s">
        <v>5</v>
      </c>
      <c r="AW445" s="100" t="s">
        <v>95</v>
      </c>
      <c r="AX445" s="100" t="s">
        <v>80</v>
      </c>
      <c r="AY445" s="101" t="s">
        <v>83</v>
      </c>
    </row>
    <row r="446" spans="2:65" s="100" customFormat="1" x14ac:dyDescent="0.2">
      <c r="B446" s="99"/>
      <c r="D446" s="95" t="s">
        <v>92</v>
      </c>
      <c r="E446" s="101" t="s">
        <v>3</v>
      </c>
      <c r="F446" s="102" t="s">
        <v>656</v>
      </c>
      <c r="H446" s="103">
        <v>87.04</v>
      </c>
      <c r="L446" s="99"/>
      <c r="M446" s="104"/>
      <c r="T446" s="105"/>
      <c r="AT446" s="101" t="s">
        <v>92</v>
      </c>
      <c r="AU446" s="101" t="s">
        <v>84</v>
      </c>
      <c r="AV446" s="100" t="s">
        <v>5</v>
      </c>
      <c r="AW446" s="100" t="s">
        <v>95</v>
      </c>
      <c r="AX446" s="100" t="s">
        <v>84</v>
      </c>
      <c r="AY446" s="101" t="s">
        <v>83</v>
      </c>
    </row>
    <row r="447" spans="2:65" s="14" customFormat="1" ht="24.15" customHeight="1" x14ac:dyDescent="0.2">
      <c r="B447" s="81"/>
      <c r="C447" s="82" t="s">
        <v>657</v>
      </c>
      <c r="D447" s="82" t="s">
        <v>85</v>
      </c>
      <c r="E447" s="83" t="s">
        <v>658</v>
      </c>
      <c r="F447" s="84" t="s">
        <v>659</v>
      </c>
      <c r="G447" s="85" t="s">
        <v>88</v>
      </c>
      <c r="H447" s="86">
        <v>160.01900000000001</v>
      </c>
      <c r="I447" s="87">
        <v>0</v>
      </c>
      <c r="J447" s="87">
        <f>ROUND(I447*H447,2)</f>
        <v>0</v>
      </c>
      <c r="K447" s="88"/>
      <c r="L447" s="13"/>
      <c r="M447" s="89" t="s">
        <v>3</v>
      </c>
      <c r="N447" s="90" t="s">
        <v>36</v>
      </c>
      <c r="O447" s="91">
        <v>0</v>
      </c>
      <c r="P447" s="91">
        <f>O447*H447</f>
        <v>0</v>
      </c>
      <c r="Q447" s="91">
        <v>0</v>
      </c>
      <c r="R447" s="91">
        <f>Q447*H447</f>
        <v>0</v>
      </c>
      <c r="S447" s="91">
        <v>0</v>
      </c>
      <c r="T447" s="92">
        <f>S447*H447</f>
        <v>0</v>
      </c>
      <c r="AR447" s="93" t="s">
        <v>82</v>
      </c>
      <c r="AT447" s="93" t="s">
        <v>85</v>
      </c>
      <c r="AU447" s="93" t="s">
        <v>84</v>
      </c>
      <c r="AY447" s="3" t="s">
        <v>83</v>
      </c>
      <c r="BE447" s="94">
        <f>IF(N447="základní",J447,0)</f>
        <v>0</v>
      </c>
      <c r="BF447" s="94">
        <f>IF(N447="snížená",J447,0)</f>
        <v>0</v>
      </c>
      <c r="BG447" s="94">
        <f>IF(N447="zákl. přenesená",J447,0)</f>
        <v>0</v>
      </c>
      <c r="BH447" s="94">
        <f>IF(N447="sníž. přenesená",J447,0)</f>
        <v>0</v>
      </c>
      <c r="BI447" s="94">
        <f>IF(N447="nulová",J447,0)</f>
        <v>0</v>
      </c>
      <c r="BJ447" s="3" t="s">
        <v>84</v>
      </c>
      <c r="BK447" s="94">
        <f>ROUND(I447*H447,2)</f>
        <v>0</v>
      </c>
      <c r="BL447" s="3" t="s">
        <v>82</v>
      </c>
      <c r="BM447" s="93" t="s">
        <v>660</v>
      </c>
    </row>
    <row r="448" spans="2:65" s="14" customFormat="1" x14ac:dyDescent="0.2">
      <c r="B448" s="13"/>
      <c r="D448" s="95" t="s">
        <v>90</v>
      </c>
      <c r="F448" s="96" t="s">
        <v>661</v>
      </c>
      <c r="L448" s="13"/>
      <c r="M448" s="97"/>
      <c r="T448" s="98"/>
      <c r="AT448" s="3" t="s">
        <v>90</v>
      </c>
      <c r="AU448" s="3" t="s">
        <v>84</v>
      </c>
    </row>
    <row r="449" spans="2:65" s="100" customFormat="1" ht="20.399999999999999" x14ac:dyDescent="0.2">
      <c r="B449" s="99"/>
      <c r="D449" s="95" t="s">
        <v>92</v>
      </c>
      <c r="E449" s="101" t="s">
        <v>662</v>
      </c>
      <c r="F449" s="102" t="s">
        <v>663</v>
      </c>
      <c r="H449" s="103">
        <v>141.61124999999998</v>
      </c>
      <c r="L449" s="99"/>
      <c r="M449" s="104"/>
      <c r="T449" s="105"/>
      <c r="AT449" s="101" t="s">
        <v>92</v>
      </c>
      <c r="AU449" s="101" t="s">
        <v>84</v>
      </c>
      <c r="AV449" s="100" t="s">
        <v>5</v>
      </c>
      <c r="AW449" s="100" t="s">
        <v>95</v>
      </c>
      <c r="AX449" s="100" t="s">
        <v>80</v>
      </c>
      <c r="AY449" s="101" t="s">
        <v>83</v>
      </c>
    </row>
    <row r="450" spans="2:65" s="100" customFormat="1" ht="20.399999999999999" x14ac:dyDescent="0.2">
      <c r="B450" s="99"/>
      <c r="D450" s="95" t="s">
        <v>92</v>
      </c>
      <c r="E450" s="101" t="s">
        <v>664</v>
      </c>
      <c r="F450" s="102" t="s">
        <v>665</v>
      </c>
      <c r="H450" s="103">
        <v>18.407999999999998</v>
      </c>
      <c r="L450" s="99"/>
      <c r="M450" s="104"/>
      <c r="T450" s="105"/>
      <c r="AT450" s="101" t="s">
        <v>92</v>
      </c>
      <c r="AU450" s="101" t="s">
        <v>84</v>
      </c>
      <c r="AV450" s="100" t="s">
        <v>5</v>
      </c>
      <c r="AW450" s="100" t="s">
        <v>95</v>
      </c>
      <c r="AX450" s="100" t="s">
        <v>80</v>
      </c>
      <c r="AY450" s="101" t="s">
        <v>83</v>
      </c>
    </row>
    <row r="451" spans="2:65" s="100" customFormat="1" x14ac:dyDescent="0.2">
      <c r="B451" s="99"/>
      <c r="D451" s="95" t="s">
        <v>92</v>
      </c>
      <c r="E451" s="101" t="s">
        <v>3</v>
      </c>
      <c r="F451" s="102" t="s">
        <v>666</v>
      </c>
      <c r="H451" s="103">
        <v>160.01900000000001</v>
      </c>
      <c r="L451" s="99"/>
      <c r="M451" s="104"/>
      <c r="T451" s="105"/>
      <c r="AT451" s="101" t="s">
        <v>92</v>
      </c>
      <c r="AU451" s="101" t="s">
        <v>84</v>
      </c>
      <c r="AV451" s="100" t="s">
        <v>5</v>
      </c>
      <c r="AW451" s="100" t="s">
        <v>95</v>
      </c>
      <c r="AX451" s="100" t="s">
        <v>84</v>
      </c>
      <c r="AY451" s="101" t="s">
        <v>83</v>
      </c>
    </row>
    <row r="452" spans="2:65" s="14" customFormat="1" ht="24.15" customHeight="1" x14ac:dyDescent="0.2">
      <c r="B452" s="81"/>
      <c r="C452" s="82" t="s">
        <v>667</v>
      </c>
      <c r="D452" s="82" t="s">
        <v>85</v>
      </c>
      <c r="E452" s="83" t="s">
        <v>668</v>
      </c>
      <c r="F452" s="84" t="s">
        <v>669</v>
      </c>
      <c r="G452" s="85" t="s">
        <v>88</v>
      </c>
      <c r="H452" s="86">
        <v>144.69</v>
      </c>
      <c r="I452" s="87">
        <v>0</v>
      </c>
      <c r="J452" s="87">
        <f>ROUND(I452*H452,2)</f>
        <v>0</v>
      </c>
      <c r="K452" s="88"/>
      <c r="L452" s="13"/>
      <c r="M452" s="89" t="s">
        <v>3</v>
      </c>
      <c r="N452" s="90" t="s">
        <v>36</v>
      </c>
      <c r="O452" s="91">
        <v>0</v>
      </c>
      <c r="P452" s="91">
        <f>O452*H452</f>
        <v>0</v>
      </c>
      <c r="Q452" s="91">
        <v>0</v>
      </c>
      <c r="R452" s="91">
        <f>Q452*H452</f>
        <v>0</v>
      </c>
      <c r="S452" s="91">
        <v>0</v>
      </c>
      <c r="T452" s="92">
        <f>S452*H452</f>
        <v>0</v>
      </c>
      <c r="AR452" s="93" t="s">
        <v>82</v>
      </c>
      <c r="AT452" s="93" t="s">
        <v>85</v>
      </c>
      <c r="AU452" s="93" t="s">
        <v>84</v>
      </c>
      <c r="AY452" s="3" t="s">
        <v>83</v>
      </c>
      <c r="BE452" s="94">
        <f>IF(N452="základní",J452,0)</f>
        <v>0</v>
      </c>
      <c r="BF452" s="94">
        <f>IF(N452="snížená",J452,0)</f>
        <v>0</v>
      </c>
      <c r="BG452" s="94">
        <f>IF(N452="zákl. přenesená",J452,0)</f>
        <v>0</v>
      </c>
      <c r="BH452" s="94">
        <f>IF(N452="sníž. přenesená",J452,0)</f>
        <v>0</v>
      </c>
      <c r="BI452" s="94">
        <f>IF(N452="nulová",J452,0)</f>
        <v>0</v>
      </c>
      <c r="BJ452" s="3" t="s">
        <v>84</v>
      </c>
      <c r="BK452" s="94">
        <f>ROUND(I452*H452,2)</f>
        <v>0</v>
      </c>
      <c r="BL452" s="3" t="s">
        <v>82</v>
      </c>
      <c r="BM452" s="93" t="s">
        <v>670</v>
      </c>
    </row>
    <row r="453" spans="2:65" s="14" customFormat="1" ht="28.8" x14ac:dyDescent="0.2">
      <c r="B453" s="13"/>
      <c r="D453" s="95" t="s">
        <v>90</v>
      </c>
      <c r="F453" s="96" t="s">
        <v>671</v>
      </c>
      <c r="L453" s="13"/>
      <c r="M453" s="97"/>
      <c r="T453" s="98"/>
      <c r="AT453" s="3" t="s">
        <v>90</v>
      </c>
      <c r="AU453" s="3" t="s">
        <v>84</v>
      </c>
    </row>
    <row r="454" spans="2:65" s="107" customFormat="1" x14ac:dyDescent="0.2">
      <c r="B454" s="106"/>
      <c r="D454" s="95" t="s">
        <v>92</v>
      </c>
      <c r="E454" s="108" t="s">
        <v>3</v>
      </c>
      <c r="F454" s="109" t="s">
        <v>672</v>
      </c>
      <c r="H454" s="108" t="s">
        <v>3</v>
      </c>
      <c r="L454" s="106"/>
      <c r="M454" s="110"/>
      <c r="T454" s="111"/>
      <c r="AT454" s="108" t="s">
        <v>92</v>
      </c>
      <c r="AU454" s="108" t="s">
        <v>84</v>
      </c>
      <c r="AV454" s="107" t="s">
        <v>84</v>
      </c>
      <c r="AW454" s="107" t="s">
        <v>95</v>
      </c>
      <c r="AX454" s="107" t="s">
        <v>80</v>
      </c>
      <c r="AY454" s="108" t="s">
        <v>83</v>
      </c>
    </row>
    <row r="455" spans="2:65" s="100" customFormat="1" x14ac:dyDescent="0.2">
      <c r="B455" s="99"/>
      <c r="D455" s="95" t="s">
        <v>92</v>
      </c>
      <c r="E455" s="101" t="s">
        <v>673</v>
      </c>
      <c r="F455" s="102" t="s">
        <v>674</v>
      </c>
      <c r="H455" s="103">
        <v>37.524600000000007</v>
      </c>
      <c r="L455" s="99"/>
      <c r="M455" s="104"/>
      <c r="T455" s="105"/>
      <c r="AT455" s="101" t="s">
        <v>92</v>
      </c>
      <c r="AU455" s="101" t="s">
        <v>84</v>
      </c>
      <c r="AV455" s="100" t="s">
        <v>5</v>
      </c>
      <c r="AW455" s="100" t="s">
        <v>95</v>
      </c>
      <c r="AX455" s="100" t="s">
        <v>80</v>
      </c>
      <c r="AY455" s="101" t="s">
        <v>83</v>
      </c>
    </row>
    <row r="456" spans="2:65" s="100" customFormat="1" x14ac:dyDescent="0.2">
      <c r="B456" s="99"/>
      <c r="D456" s="95" t="s">
        <v>92</v>
      </c>
      <c r="E456" s="101" t="s">
        <v>675</v>
      </c>
      <c r="F456" s="102" t="s">
        <v>676</v>
      </c>
      <c r="H456" s="103">
        <v>35.317199999999993</v>
      </c>
      <c r="L456" s="99"/>
      <c r="M456" s="104"/>
      <c r="T456" s="105"/>
      <c r="AT456" s="101" t="s">
        <v>92</v>
      </c>
      <c r="AU456" s="101" t="s">
        <v>84</v>
      </c>
      <c r="AV456" s="100" t="s">
        <v>5</v>
      </c>
      <c r="AW456" s="100" t="s">
        <v>95</v>
      </c>
      <c r="AX456" s="100" t="s">
        <v>80</v>
      </c>
      <c r="AY456" s="101" t="s">
        <v>83</v>
      </c>
    </row>
    <row r="457" spans="2:65" s="107" customFormat="1" x14ac:dyDescent="0.2">
      <c r="B457" s="106"/>
      <c r="D457" s="95" t="s">
        <v>92</v>
      </c>
      <c r="E457" s="108" t="s">
        <v>3</v>
      </c>
      <c r="F457" s="109" t="s">
        <v>677</v>
      </c>
      <c r="H457" s="108" t="s">
        <v>3</v>
      </c>
      <c r="L457" s="106"/>
      <c r="M457" s="110"/>
      <c r="T457" s="111"/>
      <c r="AT457" s="108" t="s">
        <v>92</v>
      </c>
      <c r="AU457" s="108" t="s">
        <v>84</v>
      </c>
      <c r="AV457" s="107" t="s">
        <v>84</v>
      </c>
      <c r="AW457" s="107" t="s">
        <v>95</v>
      </c>
      <c r="AX457" s="107" t="s">
        <v>80</v>
      </c>
      <c r="AY457" s="108" t="s">
        <v>83</v>
      </c>
    </row>
    <row r="458" spans="2:65" s="100" customFormat="1" x14ac:dyDescent="0.2">
      <c r="B458" s="99"/>
      <c r="D458" s="95" t="s">
        <v>92</v>
      </c>
      <c r="E458" s="101" t="s">
        <v>678</v>
      </c>
      <c r="F458" s="102" t="s">
        <v>679</v>
      </c>
      <c r="H458" s="103">
        <v>46.332000000000001</v>
      </c>
      <c r="L458" s="99"/>
      <c r="M458" s="104"/>
      <c r="T458" s="105"/>
      <c r="AT458" s="101" t="s">
        <v>92</v>
      </c>
      <c r="AU458" s="101" t="s">
        <v>84</v>
      </c>
      <c r="AV458" s="100" t="s">
        <v>5</v>
      </c>
      <c r="AW458" s="100" t="s">
        <v>95</v>
      </c>
      <c r="AX458" s="100" t="s">
        <v>80</v>
      </c>
      <c r="AY458" s="101" t="s">
        <v>83</v>
      </c>
    </row>
    <row r="459" spans="2:65" s="100" customFormat="1" x14ac:dyDescent="0.2">
      <c r="B459" s="99"/>
      <c r="D459" s="95" t="s">
        <v>92</v>
      </c>
      <c r="E459" s="101" t="s">
        <v>680</v>
      </c>
      <c r="F459" s="102" t="s">
        <v>681</v>
      </c>
      <c r="H459" s="103">
        <v>25.516000000000002</v>
      </c>
      <c r="L459" s="99"/>
      <c r="M459" s="104"/>
      <c r="T459" s="105"/>
      <c r="AT459" s="101" t="s">
        <v>92</v>
      </c>
      <c r="AU459" s="101" t="s">
        <v>84</v>
      </c>
      <c r="AV459" s="100" t="s">
        <v>5</v>
      </c>
      <c r="AW459" s="100" t="s">
        <v>95</v>
      </c>
      <c r="AX459" s="100" t="s">
        <v>80</v>
      </c>
      <c r="AY459" s="101" t="s">
        <v>83</v>
      </c>
    </row>
    <row r="460" spans="2:65" s="100" customFormat="1" x14ac:dyDescent="0.2">
      <c r="B460" s="99"/>
      <c r="D460" s="95" t="s">
        <v>92</v>
      </c>
      <c r="E460" s="101" t="s">
        <v>3</v>
      </c>
      <c r="F460" s="102" t="s">
        <v>682</v>
      </c>
      <c r="H460" s="103">
        <v>144.69</v>
      </c>
      <c r="L460" s="99"/>
      <c r="M460" s="104"/>
      <c r="T460" s="105"/>
      <c r="AT460" s="101" t="s">
        <v>92</v>
      </c>
      <c r="AU460" s="101" t="s">
        <v>84</v>
      </c>
      <c r="AV460" s="100" t="s">
        <v>5</v>
      </c>
      <c r="AW460" s="100" t="s">
        <v>95</v>
      </c>
      <c r="AX460" s="100" t="s">
        <v>84</v>
      </c>
      <c r="AY460" s="101" t="s">
        <v>83</v>
      </c>
    </row>
    <row r="461" spans="2:65" s="14" customFormat="1" ht="16.5" customHeight="1" x14ac:dyDescent="0.2">
      <c r="B461" s="81"/>
      <c r="C461" s="82" t="s">
        <v>683</v>
      </c>
      <c r="D461" s="82" t="s">
        <v>85</v>
      </c>
      <c r="E461" s="83" t="s">
        <v>684</v>
      </c>
      <c r="F461" s="84" t="s">
        <v>685</v>
      </c>
      <c r="G461" s="85" t="s">
        <v>88</v>
      </c>
      <c r="H461" s="86">
        <v>12.733000000000001</v>
      </c>
      <c r="I461" s="87">
        <v>0</v>
      </c>
      <c r="J461" s="87">
        <f>ROUND(I461*H461,2)</f>
        <v>0</v>
      </c>
      <c r="K461" s="88"/>
      <c r="L461" s="13"/>
      <c r="M461" s="89" t="s">
        <v>3</v>
      </c>
      <c r="N461" s="90" t="s">
        <v>36</v>
      </c>
      <c r="O461" s="91">
        <v>0</v>
      </c>
      <c r="P461" s="91">
        <f>O461*H461</f>
        <v>0</v>
      </c>
      <c r="Q461" s="91">
        <v>0</v>
      </c>
      <c r="R461" s="91">
        <f>Q461*H461</f>
        <v>0</v>
      </c>
      <c r="S461" s="91">
        <v>0</v>
      </c>
      <c r="T461" s="92">
        <f>S461*H461</f>
        <v>0</v>
      </c>
      <c r="AR461" s="93" t="s">
        <v>82</v>
      </c>
      <c r="AT461" s="93" t="s">
        <v>85</v>
      </c>
      <c r="AU461" s="93" t="s">
        <v>84</v>
      </c>
      <c r="AY461" s="3" t="s">
        <v>83</v>
      </c>
      <c r="BE461" s="94">
        <f>IF(N461="základní",J461,0)</f>
        <v>0</v>
      </c>
      <c r="BF461" s="94">
        <f>IF(N461="snížená",J461,0)</f>
        <v>0</v>
      </c>
      <c r="BG461" s="94">
        <f>IF(N461="zákl. přenesená",J461,0)</f>
        <v>0</v>
      </c>
      <c r="BH461" s="94">
        <f>IF(N461="sníž. přenesená",J461,0)</f>
        <v>0</v>
      </c>
      <c r="BI461" s="94">
        <f>IF(N461="nulová",J461,0)</f>
        <v>0</v>
      </c>
      <c r="BJ461" s="3" t="s">
        <v>84</v>
      </c>
      <c r="BK461" s="94">
        <f>ROUND(I461*H461,2)</f>
        <v>0</v>
      </c>
      <c r="BL461" s="3" t="s">
        <v>82</v>
      </c>
      <c r="BM461" s="93" t="s">
        <v>686</v>
      </c>
    </row>
    <row r="462" spans="2:65" s="14" customFormat="1" x14ac:dyDescent="0.2">
      <c r="B462" s="13"/>
      <c r="D462" s="95" t="s">
        <v>90</v>
      </c>
      <c r="F462" s="96" t="s">
        <v>687</v>
      </c>
      <c r="L462" s="13"/>
      <c r="M462" s="97"/>
      <c r="T462" s="98"/>
      <c r="AT462" s="3" t="s">
        <v>90</v>
      </c>
      <c r="AU462" s="3" t="s">
        <v>84</v>
      </c>
    </row>
    <row r="463" spans="2:65" s="100" customFormat="1" x14ac:dyDescent="0.2">
      <c r="B463" s="99"/>
      <c r="D463" s="95" t="s">
        <v>92</v>
      </c>
      <c r="E463" s="101" t="s">
        <v>688</v>
      </c>
      <c r="F463" s="102" t="s">
        <v>689</v>
      </c>
      <c r="H463" s="103">
        <v>12.732800000000001</v>
      </c>
      <c r="L463" s="99"/>
      <c r="M463" s="104"/>
      <c r="T463" s="105"/>
      <c r="AT463" s="101" t="s">
        <v>92</v>
      </c>
      <c r="AU463" s="101" t="s">
        <v>84</v>
      </c>
      <c r="AV463" s="100" t="s">
        <v>5</v>
      </c>
      <c r="AW463" s="100" t="s">
        <v>95</v>
      </c>
      <c r="AX463" s="100" t="s">
        <v>80</v>
      </c>
      <c r="AY463" s="101" t="s">
        <v>83</v>
      </c>
    </row>
    <row r="464" spans="2:65" s="100" customFormat="1" x14ac:dyDescent="0.2">
      <c r="B464" s="99"/>
      <c r="D464" s="95" t="s">
        <v>92</v>
      </c>
      <c r="E464" s="101" t="s">
        <v>3</v>
      </c>
      <c r="F464" s="102" t="s">
        <v>690</v>
      </c>
      <c r="H464" s="103">
        <v>12.733000000000001</v>
      </c>
      <c r="L464" s="99"/>
      <c r="M464" s="104"/>
      <c r="T464" s="105"/>
      <c r="AT464" s="101" t="s">
        <v>92</v>
      </c>
      <c r="AU464" s="101" t="s">
        <v>84</v>
      </c>
      <c r="AV464" s="100" t="s">
        <v>5</v>
      </c>
      <c r="AW464" s="100" t="s">
        <v>95</v>
      </c>
      <c r="AX464" s="100" t="s">
        <v>84</v>
      </c>
      <c r="AY464" s="101" t="s">
        <v>83</v>
      </c>
    </row>
    <row r="465" spans="2:65" s="14" customFormat="1" ht="16.5" customHeight="1" x14ac:dyDescent="0.2">
      <c r="B465" s="81"/>
      <c r="C465" s="82" t="s">
        <v>691</v>
      </c>
      <c r="D465" s="82" t="s">
        <v>85</v>
      </c>
      <c r="E465" s="83" t="s">
        <v>692</v>
      </c>
      <c r="F465" s="84" t="s">
        <v>693</v>
      </c>
      <c r="G465" s="85" t="s">
        <v>88</v>
      </c>
      <c r="H465" s="86">
        <v>188.815</v>
      </c>
      <c r="I465" s="87">
        <v>0</v>
      </c>
      <c r="J465" s="87">
        <f>ROUND(I465*H465,2)</f>
        <v>0</v>
      </c>
      <c r="K465" s="88"/>
      <c r="L465" s="13"/>
      <c r="M465" s="89" t="s">
        <v>3</v>
      </c>
      <c r="N465" s="90" t="s">
        <v>36</v>
      </c>
      <c r="O465" s="91">
        <v>0</v>
      </c>
      <c r="P465" s="91">
        <f>O465*H465</f>
        <v>0</v>
      </c>
      <c r="Q465" s="91">
        <v>0</v>
      </c>
      <c r="R465" s="91">
        <f>Q465*H465</f>
        <v>0</v>
      </c>
      <c r="S465" s="91">
        <v>0</v>
      </c>
      <c r="T465" s="92">
        <f>S465*H465</f>
        <v>0</v>
      </c>
      <c r="AR465" s="93" t="s">
        <v>82</v>
      </c>
      <c r="AT465" s="93" t="s">
        <v>85</v>
      </c>
      <c r="AU465" s="93" t="s">
        <v>84</v>
      </c>
      <c r="AY465" s="3" t="s">
        <v>83</v>
      </c>
      <c r="BE465" s="94">
        <f>IF(N465="základní",J465,0)</f>
        <v>0</v>
      </c>
      <c r="BF465" s="94">
        <f>IF(N465="snížená",J465,0)</f>
        <v>0</v>
      </c>
      <c r="BG465" s="94">
        <f>IF(N465="zákl. přenesená",J465,0)</f>
        <v>0</v>
      </c>
      <c r="BH465" s="94">
        <f>IF(N465="sníž. přenesená",J465,0)</f>
        <v>0</v>
      </c>
      <c r="BI465" s="94">
        <f>IF(N465="nulová",J465,0)</f>
        <v>0</v>
      </c>
      <c r="BJ465" s="3" t="s">
        <v>84</v>
      </c>
      <c r="BK465" s="94">
        <f>ROUND(I465*H465,2)</f>
        <v>0</v>
      </c>
      <c r="BL465" s="3" t="s">
        <v>82</v>
      </c>
      <c r="BM465" s="93" t="s">
        <v>694</v>
      </c>
    </row>
    <row r="466" spans="2:65" s="14" customFormat="1" x14ac:dyDescent="0.2">
      <c r="B466" s="13"/>
      <c r="D466" s="95" t="s">
        <v>90</v>
      </c>
      <c r="F466" s="96" t="s">
        <v>695</v>
      </c>
      <c r="L466" s="13"/>
      <c r="M466" s="97"/>
      <c r="T466" s="98"/>
      <c r="AT466" s="3" t="s">
        <v>90</v>
      </c>
      <c r="AU466" s="3" t="s">
        <v>84</v>
      </c>
    </row>
    <row r="467" spans="2:65" s="107" customFormat="1" x14ac:dyDescent="0.2">
      <c r="B467" s="106"/>
      <c r="D467" s="95" t="s">
        <v>92</v>
      </c>
      <c r="E467" s="108" t="s">
        <v>3</v>
      </c>
      <c r="F467" s="109" t="s">
        <v>161</v>
      </c>
      <c r="H467" s="108" t="s">
        <v>3</v>
      </c>
      <c r="L467" s="106"/>
      <c r="M467" s="110"/>
      <c r="T467" s="111"/>
      <c r="AT467" s="108" t="s">
        <v>92</v>
      </c>
      <c r="AU467" s="108" t="s">
        <v>84</v>
      </c>
      <c r="AV467" s="107" t="s">
        <v>84</v>
      </c>
      <c r="AW467" s="107" t="s">
        <v>95</v>
      </c>
      <c r="AX467" s="107" t="s">
        <v>80</v>
      </c>
      <c r="AY467" s="108" t="s">
        <v>83</v>
      </c>
    </row>
    <row r="468" spans="2:65" s="100" customFormat="1" ht="20.399999999999999" x14ac:dyDescent="0.2">
      <c r="B468" s="99"/>
      <c r="D468" s="95" t="s">
        <v>92</v>
      </c>
      <c r="E468" s="101" t="s">
        <v>696</v>
      </c>
      <c r="F468" s="102" t="s">
        <v>697</v>
      </c>
      <c r="H468" s="103">
        <v>7.1706000000000003</v>
      </c>
      <c r="L468" s="99"/>
      <c r="M468" s="104"/>
      <c r="T468" s="105"/>
      <c r="AT468" s="101" t="s">
        <v>92</v>
      </c>
      <c r="AU468" s="101" t="s">
        <v>84</v>
      </c>
      <c r="AV468" s="100" t="s">
        <v>5</v>
      </c>
      <c r="AW468" s="100" t="s">
        <v>95</v>
      </c>
      <c r="AX468" s="100" t="s">
        <v>80</v>
      </c>
      <c r="AY468" s="101" t="s">
        <v>83</v>
      </c>
    </row>
    <row r="469" spans="2:65" s="100" customFormat="1" x14ac:dyDescent="0.2">
      <c r="B469" s="99"/>
      <c r="D469" s="95" t="s">
        <v>92</v>
      </c>
      <c r="E469" s="101" t="s">
        <v>698</v>
      </c>
      <c r="F469" s="102" t="s">
        <v>699</v>
      </c>
      <c r="H469" s="103">
        <v>11.757400000000001</v>
      </c>
      <c r="L469" s="99"/>
      <c r="M469" s="104"/>
      <c r="T469" s="105"/>
      <c r="AT469" s="101" t="s">
        <v>92</v>
      </c>
      <c r="AU469" s="101" t="s">
        <v>84</v>
      </c>
      <c r="AV469" s="100" t="s">
        <v>5</v>
      </c>
      <c r="AW469" s="100" t="s">
        <v>95</v>
      </c>
      <c r="AX469" s="100" t="s">
        <v>80</v>
      </c>
      <c r="AY469" s="101" t="s">
        <v>83</v>
      </c>
    </row>
    <row r="470" spans="2:65" s="100" customFormat="1" x14ac:dyDescent="0.2">
      <c r="B470" s="99"/>
      <c r="D470" s="95" t="s">
        <v>92</v>
      </c>
      <c r="E470" s="101" t="s">
        <v>700</v>
      </c>
      <c r="F470" s="102" t="s">
        <v>701</v>
      </c>
      <c r="H470" s="103">
        <v>3.3230000000000004</v>
      </c>
      <c r="L470" s="99"/>
      <c r="M470" s="104"/>
      <c r="T470" s="105"/>
      <c r="AT470" s="101" t="s">
        <v>92</v>
      </c>
      <c r="AU470" s="101" t="s">
        <v>84</v>
      </c>
      <c r="AV470" s="100" t="s">
        <v>5</v>
      </c>
      <c r="AW470" s="100" t="s">
        <v>95</v>
      </c>
      <c r="AX470" s="100" t="s">
        <v>80</v>
      </c>
      <c r="AY470" s="101" t="s">
        <v>83</v>
      </c>
    </row>
    <row r="471" spans="2:65" s="100" customFormat="1" ht="20.399999999999999" x14ac:dyDescent="0.2">
      <c r="B471" s="99"/>
      <c r="D471" s="95" t="s">
        <v>92</v>
      </c>
      <c r="E471" s="101" t="s">
        <v>702</v>
      </c>
      <c r="F471" s="102" t="s">
        <v>703</v>
      </c>
      <c r="H471" s="103">
        <v>52.767120000000006</v>
      </c>
      <c r="L471" s="99"/>
      <c r="M471" s="104"/>
      <c r="T471" s="105"/>
      <c r="AT471" s="101" t="s">
        <v>92</v>
      </c>
      <c r="AU471" s="101" t="s">
        <v>84</v>
      </c>
      <c r="AV471" s="100" t="s">
        <v>5</v>
      </c>
      <c r="AW471" s="100" t="s">
        <v>95</v>
      </c>
      <c r="AX471" s="100" t="s">
        <v>80</v>
      </c>
      <c r="AY471" s="101" t="s">
        <v>83</v>
      </c>
    </row>
    <row r="472" spans="2:65" s="107" customFormat="1" x14ac:dyDescent="0.2">
      <c r="B472" s="106"/>
      <c r="D472" s="95" t="s">
        <v>92</v>
      </c>
      <c r="E472" s="108" t="s">
        <v>3</v>
      </c>
      <c r="F472" s="109" t="s">
        <v>166</v>
      </c>
      <c r="H472" s="108" t="s">
        <v>3</v>
      </c>
      <c r="L472" s="106"/>
      <c r="M472" s="110"/>
      <c r="T472" s="111"/>
      <c r="AT472" s="108" t="s">
        <v>92</v>
      </c>
      <c r="AU472" s="108" t="s">
        <v>84</v>
      </c>
      <c r="AV472" s="107" t="s">
        <v>84</v>
      </c>
      <c r="AW472" s="107" t="s">
        <v>95</v>
      </c>
      <c r="AX472" s="107" t="s">
        <v>80</v>
      </c>
      <c r="AY472" s="108" t="s">
        <v>83</v>
      </c>
    </row>
    <row r="473" spans="2:65" s="100" customFormat="1" ht="20.399999999999999" x14ac:dyDescent="0.2">
      <c r="B473" s="99"/>
      <c r="D473" s="95" t="s">
        <v>92</v>
      </c>
      <c r="E473" s="101" t="s">
        <v>704</v>
      </c>
      <c r="F473" s="102" t="s">
        <v>705</v>
      </c>
      <c r="H473" s="103">
        <v>7.1159999999999997</v>
      </c>
      <c r="L473" s="99"/>
      <c r="M473" s="104"/>
      <c r="T473" s="105"/>
      <c r="AT473" s="101" t="s">
        <v>92</v>
      </c>
      <c r="AU473" s="101" t="s">
        <v>84</v>
      </c>
      <c r="AV473" s="100" t="s">
        <v>5</v>
      </c>
      <c r="AW473" s="100" t="s">
        <v>95</v>
      </c>
      <c r="AX473" s="100" t="s">
        <v>80</v>
      </c>
      <c r="AY473" s="101" t="s">
        <v>83</v>
      </c>
    </row>
    <row r="474" spans="2:65" s="100" customFormat="1" ht="20.399999999999999" x14ac:dyDescent="0.2">
      <c r="B474" s="99"/>
      <c r="D474" s="95" t="s">
        <v>92</v>
      </c>
      <c r="E474" s="101" t="s">
        <v>706</v>
      </c>
      <c r="F474" s="102" t="s">
        <v>707</v>
      </c>
      <c r="H474" s="103">
        <v>6.0452000000000004</v>
      </c>
      <c r="L474" s="99"/>
      <c r="M474" s="104"/>
      <c r="T474" s="105"/>
      <c r="AT474" s="101" t="s">
        <v>92</v>
      </c>
      <c r="AU474" s="101" t="s">
        <v>84</v>
      </c>
      <c r="AV474" s="100" t="s">
        <v>5</v>
      </c>
      <c r="AW474" s="100" t="s">
        <v>95</v>
      </c>
      <c r="AX474" s="100" t="s">
        <v>80</v>
      </c>
      <c r="AY474" s="101" t="s">
        <v>83</v>
      </c>
    </row>
    <row r="475" spans="2:65" s="100" customFormat="1" ht="20.399999999999999" x14ac:dyDescent="0.2">
      <c r="B475" s="99"/>
      <c r="D475" s="95" t="s">
        <v>92</v>
      </c>
      <c r="E475" s="101" t="s">
        <v>708</v>
      </c>
      <c r="F475" s="102" t="s">
        <v>709</v>
      </c>
      <c r="H475" s="103">
        <v>100.63560000000001</v>
      </c>
      <c r="L475" s="99"/>
      <c r="M475" s="104"/>
      <c r="T475" s="105"/>
      <c r="AT475" s="101" t="s">
        <v>92</v>
      </c>
      <c r="AU475" s="101" t="s">
        <v>84</v>
      </c>
      <c r="AV475" s="100" t="s">
        <v>5</v>
      </c>
      <c r="AW475" s="100" t="s">
        <v>95</v>
      </c>
      <c r="AX475" s="100" t="s">
        <v>80</v>
      </c>
      <c r="AY475" s="101" t="s">
        <v>83</v>
      </c>
    </row>
    <row r="476" spans="2:65" s="100" customFormat="1" x14ac:dyDescent="0.2">
      <c r="B476" s="99"/>
      <c r="D476" s="95" t="s">
        <v>92</v>
      </c>
      <c r="E476" s="101" t="s">
        <v>3</v>
      </c>
      <c r="F476" s="102" t="s">
        <v>710</v>
      </c>
      <c r="H476" s="103">
        <v>188.815</v>
      </c>
      <c r="L476" s="99"/>
      <c r="M476" s="104"/>
      <c r="T476" s="105"/>
      <c r="AT476" s="101" t="s">
        <v>92</v>
      </c>
      <c r="AU476" s="101" t="s">
        <v>84</v>
      </c>
      <c r="AV476" s="100" t="s">
        <v>5</v>
      </c>
      <c r="AW476" s="100" t="s">
        <v>95</v>
      </c>
      <c r="AX476" s="100" t="s">
        <v>84</v>
      </c>
      <c r="AY476" s="101" t="s">
        <v>83</v>
      </c>
    </row>
    <row r="477" spans="2:65" s="72" customFormat="1" ht="25.95" customHeight="1" x14ac:dyDescent="0.25">
      <c r="B477" s="71"/>
      <c r="D477" s="73" t="s">
        <v>79</v>
      </c>
      <c r="E477" s="74" t="s">
        <v>126</v>
      </c>
      <c r="F477" s="74" t="s">
        <v>711</v>
      </c>
      <c r="J477" s="75">
        <f>BK477</f>
        <v>0</v>
      </c>
      <c r="L477" s="71"/>
      <c r="M477" s="76"/>
      <c r="P477" s="77">
        <f>SUM(P478:P506)</f>
        <v>0</v>
      </c>
      <c r="R477" s="77">
        <f>SUM(R478:R506)</f>
        <v>0</v>
      </c>
      <c r="T477" s="78">
        <f>SUM(T478:T506)</f>
        <v>0</v>
      </c>
      <c r="AR477" s="73" t="s">
        <v>82</v>
      </c>
      <c r="AT477" s="79" t="s">
        <v>79</v>
      </c>
      <c r="AU477" s="79" t="s">
        <v>80</v>
      </c>
      <c r="AY477" s="73" t="s">
        <v>83</v>
      </c>
      <c r="BK477" s="80">
        <f>SUM(BK478:BK506)</f>
        <v>0</v>
      </c>
    </row>
    <row r="478" spans="2:65" s="14" customFormat="1" ht="24.15" customHeight="1" x14ac:dyDescent="0.2">
      <c r="B478" s="81"/>
      <c r="C478" s="82" t="s">
        <v>712</v>
      </c>
      <c r="D478" s="82" t="s">
        <v>85</v>
      </c>
      <c r="E478" s="83" t="s">
        <v>713</v>
      </c>
      <c r="F478" s="84" t="s">
        <v>714</v>
      </c>
      <c r="G478" s="85" t="s">
        <v>129</v>
      </c>
      <c r="H478" s="86">
        <v>2489.25</v>
      </c>
      <c r="I478" s="87">
        <v>0</v>
      </c>
      <c r="J478" s="87">
        <f>ROUND(I478*H478,2)</f>
        <v>0</v>
      </c>
      <c r="K478" s="88"/>
      <c r="L478" s="13"/>
      <c r="M478" s="89" t="s">
        <v>3</v>
      </c>
      <c r="N478" s="90" t="s">
        <v>36</v>
      </c>
      <c r="O478" s="91">
        <v>0</v>
      </c>
      <c r="P478" s="91">
        <f>O478*H478</f>
        <v>0</v>
      </c>
      <c r="Q478" s="91">
        <v>0</v>
      </c>
      <c r="R478" s="91">
        <f>Q478*H478</f>
        <v>0</v>
      </c>
      <c r="S478" s="91">
        <v>0</v>
      </c>
      <c r="T478" s="92">
        <f>S478*H478</f>
        <v>0</v>
      </c>
      <c r="AR478" s="93" t="s">
        <v>82</v>
      </c>
      <c r="AT478" s="93" t="s">
        <v>85</v>
      </c>
      <c r="AU478" s="93" t="s">
        <v>84</v>
      </c>
      <c r="AY478" s="3" t="s">
        <v>83</v>
      </c>
      <c r="BE478" s="94">
        <f>IF(N478="základní",J478,0)</f>
        <v>0</v>
      </c>
      <c r="BF478" s="94">
        <f>IF(N478="snížená",J478,0)</f>
        <v>0</v>
      </c>
      <c r="BG478" s="94">
        <f>IF(N478="zákl. přenesená",J478,0)</f>
        <v>0</v>
      </c>
      <c r="BH478" s="94">
        <f>IF(N478="sníž. přenesená",J478,0)</f>
        <v>0</v>
      </c>
      <c r="BI478" s="94">
        <f>IF(N478="nulová",J478,0)</f>
        <v>0</v>
      </c>
      <c r="BJ478" s="3" t="s">
        <v>84</v>
      </c>
      <c r="BK478" s="94">
        <f>ROUND(I478*H478,2)</f>
        <v>0</v>
      </c>
      <c r="BL478" s="3" t="s">
        <v>82</v>
      </c>
      <c r="BM478" s="93" t="s">
        <v>715</v>
      </c>
    </row>
    <row r="479" spans="2:65" s="14" customFormat="1" x14ac:dyDescent="0.2">
      <c r="B479" s="13"/>
      <c r="D479" s="95" t="s">
        <v>90</v>
      </c>
      <c r="F479" s="96" t="s">
        <v>716</v>
      </c>
      <c r="L479" s="13"/>
      <c r="M479" s="97"/>
      <c r="T479" s="98"/>
      <c r="AT479" s="3" t="s">
        <v>90</v>
      </c>
      <c r="AU479" s="3" t="s">
        <v>84</v>
      </c>
    </row>
    <row r="480" spans="2:65" s="100" customFormat="1" x14ac:dyDescent="0.2">
      <c r="B480" s="99"/>
      <c r="D480" s="95" t="s">
        <v>92</v>
      </c>
      <c r="E480" s="101" t="s">
        <v>717</v>
      </c>
      <c r="F480" s="102" t="s">
        <v>718</v>
      </c>
      <c r="H480" s="103">
        <v>2489.25</v>
      </c>
      <c r="L480" s="99"/>
      <c r="M480" s="104"/>
      <c r="T480" s="105"/>
      <c r="AT480" s="101" t="s">
        <v>92</v>
      </c>
      <c r="AU480" s="101" t="s">
        <v>84</v>
      </c>
      <c r="AV480" s="100" t="s">
        <v>5</v>
      </c>
      <c r="AW480" s="100" t="s">
        <v>95</v>
      </c>
      <c r="AX480" s="100" t="s">
        <v>80</v>
      </c>
      <c r="AY480" s="101" t="s">
        <v>83</v>
      </c>
    </row>
    <row r="481" spans="2:65" s="100" customFormat="1" x14ac:dyDescent="0.2">
      <c r="B481" s="99"/>
      <c r="D481" s="95" t="s">
        <v>92</v>
      </c>
      <c r="E481" s="101" t="s">
        <v>3</v>
      </c>
      <c r="F481" s="102" t="s">
        <v>719</v>
      </c>
      <c r="H481" s="103">
        <v>2489.25</v>
      </c>
      <c r="L481" s="99"/>
      <c r="M481" s="104"/>
      <c r="T481" s="105"/>
      <c r="AT481" s="101" t="s">
        <v>92</v>
      </c>
      <c r="AU481" s="101" t="s">
        <v>84</v>
      </c>
      <c r="AV481" s="100" t="s">
        <v>5</v>
      </c>
      <c r="AW481" s="100" t="s">
        <v>95</v>
      </c>
      <c r="AX481" s="100" t="s">
        <v>84</v>
      </c>
      <c r="AY481" s="101" t="s">
        <v>83</v>
      </c>
    </row>
    <row r="482" spans="2:65" s="14" customFormat="1" ht="24.15" customHeight="1" x14ac:dyDescent="0.2">
      <c r="B482" s="81"/>
      <c r="C482" s="82" t="s">
        <v>720</v>
      </c>
      <c r="D482" s="82" t="s">
        <v>85</v>
      </c>
      <c r="E482" s="83" t="s">
        <v>721</v>
      </c>
      <c r="F482" s="84" t="s">
        <v>722</v>
      </c>
      <c r="G482" s="85" t="s">
        <v>129</v>
      </c>
      <c r="H482" s="86">
        <v>2489.25</v>
      </c>
      <c r="I482" s="87">
        <v>0</v>
      </c>
      <c r="J482" s="87">
        <f>ROUND(I482*H482,2)</f>
        <v>0</v>
      </c>
      <c r="K482" s="88"/>
      <c r="L482" s="13"/>
      <c r="M482" s="89" t="s">
        <v>3</v>
      </c>
      <c r="N482" s="90" t="s">
        <v>36</v>
      </c>
      <c r="O482" s="91">
        <v>0</v>
      </c>
      <c r="P482" s="91">
        <f>O482*H482</f>
        <v>0</v>
      </c>
      <c r="Q482" s="91">
        <v>0</v>
      </c>
      <c r="R482" s="91">
        <f>Q482*H482</f>
        <v>0</v>
      </c>
      <c r="S482" s="91">
        <v>0</v>
      </c>
      <c r="T482" s="92">
        <f>S482*H482</f>
        <v>0</v>
      </c>
      <c r="AR482" s="93" t="s">
        <v>82</v>
      </c>
      <c r="AT482" s="93" t="s">
        <v>85</v>
      </c>
      <c r="AU482" s="93" t="s">
        <v>84</v>
      </c>
      <c r="AY482" s="3" t="s">
        <v>83</v>
      </c>
      <c r="BE482" s="94">
        <f>IF(N482="základní",J482,0)</f>
        <v>0</v>
      </c>
      <c r="BF482" s="94">
        <f>IF(N482="snížená",J482,0)</f>
        <v>0</v>
      </c>
      <c r="BG482" s="94">
        <f>IF(N482="zákl. přenesená",J482,0)</f>
        <v>0</v>
      </c>
      <c r="BH482" s="94">
        <f>IF(N482="sníž. přenesená",J482,0)</f>
        <v>0</v>
      </c>
      <c r="BI482" s="94">
        <f>IF(N482="nulová",J482,0)</f>
        <v>0</v>
      </c>
      <c r="BJ482" s="3" t="s">
        <v>84</v>
      </c>
      <c r="BK482" s="94">
        <f>ROUND(I482*H482,2)</f>
        <v>0</v>
      </c>
      <c r="BL482" s="3" t="s">
        <v>82</v>
      </c>
      <c r="BM482" s="93" t="s">
        <v>723</v>
      </c>
    </row>
    <row r="483" spans="2:65" s="14" customFormat="1" x14ac:dyDescent="0.2">
      <c r="B483" s="13"/>
      <c r="D483" s="95" t="s">
        <v>90</v>
      </c>
      <c r="F483" s="96" t="s">
        <v>724</v>
      </c>
      <c r="L483" s="13"/>
      <c r="M483" s="97"/>
      <c r="T483" s="98"/>
      <c r="AT483" s="3" t="s">
        <v>90</v>
      </c>
      <c r="AU483" s="3" t="s">
        <v>84</v>
      </c>
    </row>
    <row r="484" spans="2:65" s="100" customFormat="1" x14ac:dyDescent="0.2">
      <c r="B484" s="99"/>
      <c r="D484" s="95" t="s">
        <v>92</v>
      </c>
      <c r="E484" s="101" t="s">
        <v>725</v>
      </c>
      <c r="F484" s="102" t="s">
        <v>726</v>
      </c>
      <c r="H484" s="103">
        <v>1298.375</v>
      </c>
      <c r="L484" s="99"/>
      <c r="M484" s="104"/>
      <c r="T484" s="105"/>
      <c r="AT484" s="101" t="s">
        <v>92</v>
      </c>
      <c r="AU484" s="101" t="s">
        <v>84</v>
      </c>
      <c r="AV484" s="100" t="s">
        <v>5</v>
      </c>
      <c r="AW484" s="100" t="s">
        <v>95</v>
      </c>
      <c r="AX484" s="100" t="s">
        <v>80</v>
      </c>
      <c r="AY484" s="101" t="s">
        <v>83</v>
      </c>
    </row>
    <row r="485" spans="2:65" s="100" customFormat="1" x14ac:dyDescent="0.2">
      <c r="B485" s="99"/>
      <c r="D485" s="95" t="s">
        <v>92</v>
      </c>
      <c r="E485" s="101" t="s">
        <v>727</v>
      </c>
      <c r="F485" s="102" t="s">
        <v>728</v>
      </c>
      <c r="H485" s="103">
        <v>1298.375</v>
      </c>
      <c r="L485" s="99"/>
      <c r="M485" s="104"/>
      <c r="T485" s="105"/>
      <c r="AT485" s="101" t="s">
        <v>92</v>
      </c>
      <c r="AU485" s="101" t="s">
        <v>84</v>
      </c>
      <c r="AV485" s="100" t="s">
        <v>5</v>
      </c>
      <c r="AW485" s="100" t="s">
        <v>95</v>
      </c>
      <c r="AX485" s="100" t="s">
        <v>80</v>
      </c>
      <c r="AY485" s="101" t="s">
        <v>83</v>
      </c>
    </row>
    <row r="486" spans="2:65" s="100" customFormat="1" x14ac:dyDescent="0.2">
      <c r="B486" s="99"/>
      <c r="D486" s="95" t="s">
        <v>92</v>
      </c>
      <c r="E486" s="101" t="s">
        <v>729</v>
      </c>
      <c r="F486" s="102" t="s">
        <v>730</v>
      </c>
      <c r="H486" s="103">
        <v>-107.5</v>
      </c>
      <c r="L486" s="99"/>
      <c r="M486" s="104"/>
      <c r="T486" s="105"/>
      <c r="AT486" s="101" t="s">
        <v>92</v>
      </c>
      <c r="AU486" s="101" t="s">
        <v>84</v>
      </c>
      <c r="AV486" s="100" t="s">
        <v>5</v>
      </c>
      <c r="AW486" s="100" t="s">
        <v>95</v>
      </c>
      <c r="AX486" s="100" t="s">
        <v>80</v>
      </c>
      <c r="AY486" s="101" t="s">
        <v>83</v>
      </c>
    </row>
    <row r="487" spans="2:65" s="100" customFormat="1" x14ac:dyDescent="0.2">
      <c r="B487" s="99"/>
      <c r="D487" s="95" t="s">
        <v>92</v>
      </c>
      <c r="E487" s="101" t="s">
        <v>3</v>
      </c>
      <c r="F487" s="102" t="s">
        <v>719</v>
      </c>
      <c r="H487" s="103">
        <v>2489.25</v>
      </c>
      <c r="L487" s="99"/>
      <c r="M487" s="104"/>
      <c r="T487" s="105"/>
      <c r="AT487" s="101" t="s">
        <v>92</v>
      </c>
      <c r="AU487" s="101" t="s">
        <v>84</v>
      </c>
      <c r="AV487" s="100" t="s">
        <v>5</v>
      </c>
      <c r="AW487" s="100" t="s">
        <v>95</v>
      </c>
      <c r="AX487" s="100" t="s">
        <v>84</v>
      </c>
      <c r="AY487" s="101" t="s">
        <v>83</v>
      </c>
    </row>
    <row r="488" spans="2:65" s="14" customFormat="1" ht="16.5" customHeight="1" x14ac:dyDescent="0.2">
      <c r="B488" s="81"/>
      <c r="C488" s="82" t="s">
        <v>731</v>
      </c>
      <c r="D488" s="82" t="s">
        <v>85</v>
      </c>
      <c r="E488" s="83" t="s">
        <v>732</v>
      </c>
      <c r="F488" s="84" t="s">
        <v>733</v>
      </c>
      <c r="G488" s="85" t="s">
        <v>88</v>
      </c>
      <c r="H488" s="86">
        <v>3.2250000000000001</v>
      </c>
      <c r="I488" s="87">
        <v>0</v>
      </c>
      <c r="J488" s="87">
        <f>ROUND(I488*H488,2)</f>
        <v>0</v>
      </c>
      <c r="K488" s="88"/>
      <c r="L488" s="13"/>
      <c r="M488" s="89" t="s">
        <v>3</v>
      </c>
      <c r="N488" s="90" t="s">
        <v>36</v>
      </c>
      <c r="O488" s="91">
        <v>0</v>
      </c>
      <c r="P488" s="91">
        <f>O488*H488</f>
        <v>0</v>
      </c>
      <c r="Q488" s="91">
        <v>0</v>
      </c>
      <c r="R488" s="91">
        <f>Q488*H488</f>
        <v>0</v>
      </c>
      <c r="S488" s="91">
        <v>0</v>
      </c>
      <c r="T488" s="92">
        <f>S488*H488</f>
        <v>0</v>
      </c>
      <c r="AR488" s="93" t="s">
        <v>82</v>
      </c>
      <c r="AT488" s="93" t="s">
        <v>85</v>
      </c>
      <c r="AU488" s="93" t="s">
        <v>84</v>
      </c>
      <c r="AY488" s="3" t="s">
        <v>83</v>
      </c>
      <c r="BE488" s="94">
        <f>IF(N488="základní",J488,0)</f>
        <v>0</v>
      </c>
      <c r="BF488" s="94">
        <f>IF(N488="snížená",J488,0)</f>
        <v>0</v>
      </c>
      <c r="BG488" s="94">
        <f>IF(N488="zákl. přenesená",J488,0)</f>
        <v>0</v>
      </c>
      <c r="BH488" s="94">
        <f>IF(N488="sníž. přenesená",J488,0)</f>
        <v>0</v>
      </c>
      <c r="BI488" s="94">
        <f>IF(N488="nulová",J488,0)</f>
        <v>0</v>
      </c>
      <c r="BJ488" s="3" t="s">
        <v>84</v>
      </c>
      <c r="BK488" s="94">
        <f>ROUND(I488*H488,2)</f>
        <v>0</v>
      </c>
      <c r="BL488" s="3" t="s">
        <v>82</v>
      </c>
      <c r="BM488" s="93" t="s">
        <v>734</v>
      </c>
    </row>
    <row r="489" spans="2:65" s="14" customFormat="1" x14ac:dyDescent="0.2">
      <c r="B489" s="13"/>
      <c r="D489" s="95" t="s">
        <v>90</v>
      </c>
      <c r="F489" s="96" t="s">
        <v>735</v>
      </c>
      <c r="L489" s="13"/>
      <c r="M489" s="97"/>
      <c r="T489" s="98"/>
      <c r="AT489" s="3" t="s">
        <v>90</v>
      </c>
      <c r="AU489" s="3" t="s">
        <v>84</v>
      </c>
    </row>
    <row r="490" spans="2:65" s="100" customFormat="1" x14ac:dyDescent="0.2">
      <c r="B490" s="99"/>
      <c r="D490" s="95" t="s">
        <v>92</v>
      </c>
      <c r="E490" s="101" t="s">
        <v>736</v>
      </c>
      <c r="F490" s="102" t="s">
        <v>737</v>
      </c>
      <c r="H490" s="103">
        <v>3.2250000000000001</v>
      </c>
      <c r="L490" s="99"/>
      <c r="M490" s="104"/>
      <c r="T490" s="105"/>
      <c r="AT490" s="101" t="s">
        <v>92</v>
      </c>
      <c r="AU490" s="101" t="s">
        <v>84</v>
      </c>
      <c r="AV490" s="100" t="s">
        <v>5</v>
      </c>
      <c r="AW490" s="100" t="s">
        <v>95</v>
      </c>
      <c r="AX490" s="100" t="s">
        <v>80</v>
      </c>
      <c r="AY490" s="101" t="s">
        <v>83</v>
      </c>
    </row>
    <row r="491" spans="2:65" s="100" customFormat="1" x14ac:dyDescent="0.2">
      <c r="B491" s="99"/>
      <c r="D491" s="95" t="s">
        <v>92</v>
      </c>
      <c r="E491" s="101" t="s">
        <v>3</v>
      </c>
      <c r="F491" s="102" t="s">
        <v>738</v>
      </c>
      <c r="H491" s="103">
        <v>3.2250000000000001</v>
      </c>
      <c r="L491" s="99"/>
      <c r="M491" s="104"/>
      <c r="T491" s="105"/>
      <c r="AT491" s="101" t="s">
        <v>92</v>
      </c>
      <c r="AU491" s="101" t="s">
        <v>84</v>
      </c>
      <c r="AV491" s="100" t="s">
        <v>5</v>
      </c>
      <c r="AW491" s="100" t="s">
        <v>95</v>
      </c>
      <c r="AX491" s="100" t="s">
        <v>84</v>
      </c>
      <c r="AY491" s="101" t="s">
        <v>83</v>
      </c>
    </row>
    <row r="492" spans="2:65" s="14" customFormat="1" ht="24.15" customHeight="1" x14ac:dyDescent="0.2">
      <c r="B492" s="81"/>
      <c r="C492" s="82" t="s">
        <v>739</v>
      </c>
      <c r="D492" s="82" t="s">
        <v>85</v>
      </c>
      <c r="E492" s="83" t="s">
        <v>740</v>
      </c>
      <c r="F492" s="84" t="s">
        <v>741</v>
      </c>
      <c r="G492" s="85" t="s">
        <v>129</v>
      </c>
      <c r="H492" s="86">
        <v>2636.68</v>
      </c>
      <c r="I492" s="87">
        <v>0</v>
      </c>
      <c r="J492" s="87">
        <f>ROUND(I492*H492,2)</f>
        <v>0</v>
      </c>
      <c r="K492" s="88"/>
      <c r="L492" s="13"/>
      <c r="M492" s="89" t="s">
        <v>3</v>
      </c>
      <c r="N492" s="90" t="s">
        <v>36</v>
      </c>
      <c r="O492" s="91">
        <v>0</v>
      </c>
      <c r="P492" s="91">
        <f>O492*H492</f>
        <v>0</v>
      </c>
      <c r="Q492" s="91">
        <v>0</v>
      </c>
      <c r="R492" s="91">
        <f>Q492*H492</f>
        <v>0</v>
      </c>
      <c r="S492" s="91">
        <v>0</v>
      </c>
      <c r="T492" s="92">
        <f>S492*H492</f>
        <v>0</v>
      </c>
      <c r="AR492" s="93" t="s">
        <v>82</v>
      </c>
      <c r="AT492" s="93" t="s">
        <v>85</v>
      </c>
      <c r="AU492" s="93" t="s">
        <v>84</v>
      </c>
      <c r="AY492" s="3" t="s">
        <v>83</v>
      </c>
      <c r="BE492" s="94">
        <f>IF(N492="základní",J492,0)</f>
        <v>0</v>
      </c>
      <c r="BF492" s="94">
        <f>IF(N492="snížená",J492,0)</f>
        <v>0</v>
      </c>
      <c r="BG492" s="94">
        <f>IF(N492="zákl. přenesená",J492,0)</f>
        <v>0</v>
      </c>
      <c r="BH492" s="94">
        <f>IF(N492="sníž. přenesená",J492,0)</f>
        <v>0</v>
      </c>
      <c r="BI492" s="94">
        <f>IF(N492="nulová",J492,0)</f>
        <v>0</v>
      </c>
      <c r="BJ492" s="3" t="s">
        <v>84</v>
      </c>
      <c r="BK492" s="94">
        <f>ROUND(I492*H492,2)</f>
        <v>0</v>
      </c>
      <c r="BL492" s="3" t="s">
        <v>82</v>
      </c>
      <c r="BM492" s="93" t="s">
        <v>742</v>
      </c>
    </row>
    <row r="493" spans="2:65" s="14" customFormat="1" x14ac:dyDescent="0.2">
      <c r="B493" s="13"/>
      <c r="D493" s="95" t="s">
        <v>90</v>
      </c>
      <c r="F493" s="96" t="s">
        <v>743</v>
      </c>
      <c r="L493" s="13"/>
      <c r="M493" s="97"/>
      <c r="T493" s="98"/>
      <c r="AT493" s="3" t="s">
        <v>90</v>
      </c>
      <c r="AU493" s="3" t="s">
        <v>84</v>
      </c>
    </row>
    <row r="494" spans="2:65" s="100" customFormat="1" x14ac:dyDescent="0.2">
      <c r="B494" s="99"/>
      <c r="D494" s="95" t="s">
        <v>92</v>
      </c>
      <c r="E494" s="101" t="s">
        <v>744</v>
      </c>
      <c r="F494" s="102" t="s">
        <v>726</v>
      </c>
      <c r="H494" s="103">
        <v>1298.375</v>
      </c>
      <c r="L494" s="99"/>
      <c r="M494" s="104"/>
      <c r="T494" s="105"/>
      <c r="AT494" s="101" t="s">
        <v>92</v>
      </c>
      <c r="AU494" s="101" t="s">
        <v>84</v>
      </c>
      <c r="AV494" s="100" t="s">
        <v>5</v>
      </c>
      <c r="AW494" s="100" t="s">
        <v>95</v>
      </c>
      <c r="AX494" s="100" t="s">
        <v>80</v>
      </c>
      <c r="AY494" s="101" t="s">
        <v>83</v>
      </c>
    </row>
    <row r="495" spans="2:65" s="100" customFormat="1" x14ac:dyDescent="0.2">
      <c r="B495" s="99"/>
      <c r="D495" s="95" t="s">
        <v>92</v>
      </c>
      <c r="E495" s="101" t="s">
        <v>745</v>
      </c>
      <c r="F495" s="102" t="s">
        <v>728</v>
      </c>
      <c r="H495" s="103">
        <v>1298.375</v>
      </c>
      <c r="L495" s="99"/>
      <c r="M495" s="104"/>
      <c r="T495" s="105"/>
      <c r="AT495" s="101" t="s">
        <v>92</v>
      </c>
      <c r="AU495" s="101" t="s">
        <v>84</v>
      </c>
      <c r="AV495" s="100" t="s">
        <v>5</v>
      </c>
      <c r="AW495" s="100" t="s">
        <v>95</v>
      </c>
      <c r="AX495" s="100" t="s">
        <v>80</v>
      </c>
      <c r="AY495" s="101" t="s">
        <v>83</v>
      </c>
    </row>
    <row r="496" spans="2:65" s="100" customFormat="1" x14ac:dyDescent="0.2">
      <c r="B496" s="99"/>
      <c r="D496" s="95" t="s">
        <v>92</v>
      </c>
      <c r="E496" s="101" t="s">
        <v>746</v>
      </c>
      <c r="F496" s="102" t="s">
        <v>747</v>
      </c>
      <c r="H496" s="103">
        <v>81.899999999999991</v>
      </c>
      <c r="L496" s="99"/>
      <c r="M496" s="104"/>
      <c r="T496" s="105"/>
      <c r="AT496" s="101" t="s">
        <v>92</v>
      </c>
      <c r="AU496" s="101" t="s">
        <v>84</v>
      </c>
      <c r="AV496" s="100" t="s">
        <v>5</v>
      </c>
      <c r="AW496" s="100" t="s">
        <v>95</v>
      </c>
      <c r="AX496" s="100" t="s">
        <v>80</v>
      </c>
      <c r="AY496" s="101" t="s">
        <v>83</v>
      </c>
    </row>
    <row r="497" spans="2:65" s="100" customFormat="1" ht="20.399999999999999" x14ac:dyDescent="0.2">
      <c r="B497" s="99"/>
      <c r="D497" s="95" t="s">
        <v>92</v>
      </c>
      <c r="E497" s="101" t="s">
        <v>748</v>
      </c>
      <c r="F497" s="102" t="s">
        <v>749</v>
      </c>
      <c r="H497" s="103">
        <v>-41.97</v>
      </c>
      <c r="L497" s="99"/>
      <c r="M497" s="104"/>
      <c r="T497" s="105"/>
      <c r="AT497" s="101" t="s">
        <v>92</v>
      </c>
      <c r="AU497" s="101" t="s">
        <v>84</v>
      </c>
      <c r="AV497" s="100" t="s">
        <v>5</v>
      </c>
      <c r="AW497" s="100" t="s">
        <v>95</v>
      </c>
      <c r="AX497" s="100" t="s">
        <v>80</v>
      </c>
      <c r="AY497" s="101" t="s">
        <v>83</v>
      </c>
    </row>
    <row r="498" spans="2:65" s="100" customFormat="1" x14ac:dyDescent="0.2">
      <c r="B498" s="99"/>
      <c r="D498" s="95" t="s">
        <v>92</v>
      </c>
      <c r="E498" s="101" t="s">
        <v>3</v>
      </c>
      <c r="F498" s="102" t="s">
        <v>750</v>
      </c>
      <c r="H498" s="103">
        <v>2636.68</v>
      </c>
      <c r="L498" s="99"/>
      <c r="M498" s="104"/>
      <c r="T498" s="105"/>
      <c r="AT498" s="101" t="s">
        <v>92</v>
      </c>
      <c r="AU498" s="101" t="s">
        <v>84</v>
      </c>
      <c r="AV498" s="100" t="s">
        <v>5</v>
      </c>
      <c r="AW498" s="100" t="s">
        <v>95</v>
      </c>
      <c r="AX498" s="100" t="s">
        <v>84</v>
      </c>
      <c r="AY498" s="101" t="s">
        <v>83</v>
      </c>
    </row>
    <row r="499" spans="2:65" s="14" customFormat="1" ht="16.5" customHeight="1" x14ac:dyDescent="0.2">
      <c r="B499" s="81"/>
      <c r="C499" s="82" t="s">
        <v>751</v>
      </c>
      <c r="D499" s="82" t="s">
        <v>85</v>
      </c>
      <c r="E499" s="83" t="s">
        <v>752</v>
      </c>
      <c r="F499" s="84" t="s">
        <v>753</v>
      </c>
      <c r="G499" s="85" t="s">
        <v>129</v>
      </c>
      <c r="H499" s="86">
        <v>2489.25</v>
      </c>
      <c r="I499" s="87">
        <v>0</v>
      </c>
      <c r="J499" s="87">
        <f>ROUND(I499*H499,2)</f>
        <v>0</v>
      </c>
      <c r="K499" s="88"/>
      <c r="L499" s="13"/>
      <c r="M499" s="89" t="s">
        <v>3</v>
      </c>
      <c r="N499" s="90" t="s">
        <v>36</v>
      </c>
      <c r="O499" s="91">
        <v>0</v>
      </c>
      <c r="P499" s="91">
        <f>O499*H499</f>
        <v>0</v>
      </c>
      <c r="Q499" s="91">
        <v>0</v>
      </c>
      <c r="R499" s="91">
        <f>Q499*H499</f>
        <v>0</v>
      </c>
      <c r="S499" s="91">
        <v>0</v>
      </c>
      <c r="T499" s="92">
        <f>S499*H499</f>
        <v>0</v>
      </c>
      <c r="AR499" s="93" t="s">
        <v>82</v>
      </c>
      <c r="AT499" s="93" t="s">
        <v>85</v>
      </c>
      <c r="AU499" s="93" t="s">
        <v>84</v>
      </c>
      <c r="AY499" s="3" t="s">
        <v>83</v>
      </c>
      <c r="BE499" s="94">
        <f>IF(N499="základní",J499,0)</f>
        <v>0</v>
      </c>
      <c r="BF499" s="94">
        <f>IF(N499="snížená",J499,0)</f>
        <v>0</v>
      </c>
      <c r="BG499" s="94">
        <f>IF(N499="zákl. přenesená",J499,0)</f>
        <v>0</v>
      </c>
      <c r="BH499" s="94">
        <f>IF(N499="sníž. přenesená",J499,0)</f>
        <v>0</v>
      </c>
      <c r="BI499" s="94">
        <f>IF(N499="nulová",J499,0)</f>
        <v>0</v>
      </c>
      <c r="BJ499" s="3" t="s">
        <v>84</v>
      </c>
      <c r="BK499" s="94">
        <f>ROUND(I499*H499,2)</f>
        <v>0</v>
      </c>
      <c r="BL499" s="3" t="s">
        <v>82</v>
      </c>
      <c r="BM499" s="93" t="s">
        <v>754</v>
      </c>
    </row>
    <row r="500" spans="2:65" s="14" customFormat="1" x14ac:dyDescent="0.2">
      <c r="B500" s="13"/>
      <c r="D500" s="95" t="s">
        <v>90</v>
      </c>
      <c r="F500" s="96" t="s">
        <v>755</v>
      </c>
      <c r="L500" s="13"/>
      <c r="M500" s="97"/>
      <c r="T500" s="98"/>
      <c r="AT500" s="3" t="s">
        <v>90</v>
      </c>
      <c r="AU500" s="3" t="s">
        <v>84</v>
      </c>
    </row>
    <row r="501" spans="2:65" s="100" customFormat="1" x14ac:dyDescent="0.2">
      <c r="B501" s="99"/>
      <c r="D501" s="95" t="s">
        <v>92</v>
      </c>
      <c r="E501" s="101" t="s">
        <v>756</v>
      </c>
      <c r="F501" s="102" t="s">
        <v>718</v>
      </c>
      <c r="H501" s="103">
        <v>2489.25</v>
      </c>
      <c r="L501" s="99"/>
      <c r="M501" s="104"/>
      <c r="T501" s="105"/>
      <c r="AT501" s="101" t="s">
        <v>92</v>
      </c>
      <c r="AU501" s="101" t="s">
        <v>84</v>
      </c>
      <c r="AV501" s="100" t="s">
        <v>5</v>
      </c>
      <c r="AW501" s="100" t="s">
        <v>95</v>
      </c>
      <c r="AX501" s="100" t="s">
        <v>80</v>
      </c>
      <c r="AY501" s="101" t="s">
        <v>83</v>
      </c>
    </row>
    <row r="502" spans="2:65" s="100" customFormat="1" x14ac:dyDescent="0.2">
      <c r="B502" s="99"/>
      <c r="D502" s="95" t="s">
        <v>92</v>
      </c>
      <c r="E502" s="101" t="s">
        <v>3</v>
      </c>
      <c r="F502" s="102" t="s">
        <v>719</v>
      </c>
      <c r="H502" s="103">
        <v>2489.25</v>
      </c>
      <c r="L502" s="99"/>
      <c r="M502" s="104"/>
      <c r="T502" s="105"/>
      <c r="AT502" s="101" t="s">
        <v>92</v>
      </c>
      <c r="AU502" s="101" t="s">
        <v>84</v>
      </c>
      <c r="AV502" s="100" t="s">
        <v>5</v>
      </c>
      <c r="AW502" s="100" t="s">
        <v>95</v>
      </c>
      <c r="AX502" s="100" t="s">
        <v>84</v>
      </c>
      <c r="AY502" s="101" t="s">
        <v>83</v>
      </c>
    </row>
    <row r="503" spans="2:65" s="14" customFormat="1" ht="16.5" customHeight="1" x14ac:dyDescent="0.2">
      <c r="B503" s="81"/>
      <c r="C503" s="82" t="s">
        <v>757</v>
      </c>
      <c r="D503" s="82" t="s">
        <v>85</v>
      </c>
      <c r="E503" s="83" t="s">
        <v>758</v>
      </c>
      <c r="F503" s="84" t="s">
        <v>759</v>
      </c>
      <c r="G503" s="85" t="s">
        <v>129</v>
      </c>
      <c r="H503" s="86">
        <v>2636.68</v>
      </c>
      <c r="I503" s="87">
        <v>0</v>
      </c>
      <c r="J503" s="87">
        <f>ROUND(I503*H503,2)</f>
        <v>0</v>
      </c>
      <c r="K503" s="88"/>
      <c r="L503" s="13"/>
      <c r="M503" s="89" t="s">
        <v>3</v>
      </c>
      <c r="N503" s="90" t="s">
        <v>36</v>
      </c>
      <c r="O503" s="91">
        <v>0</v>
      </c>
      <c r="P503" s="91">
        <f>O503*H503</f>
        <v>0</v>
      </c>
      <c r="Q503" s="91">
        <v>0</v>
      </c>
      <c r="R503" s="91">
        <f>Q503*H503</f>
        <v>0</v>
      </c>
      <c r="S503" s="91">
        <v>0</v>
      </c>
      <c r="T503" s="92">
        <f>S503*H503</f>
        <v>0</v>
      </c>
      <c r="AR503" s="93" t="s">
        <v>82</v>
      </c>
      <c r="AT503" s="93" t="s">
        <v>85</v>
      </c>
      <c r="AU503" s="93" t="s">
        <v>84</v>
      </c>
      <c r="AY503" s="3" t="s">
        <v>83</v>
      </c>
      <c r="BE503" s="94">
        <f>IF(N503="základní",J503,0)</f>
        <v>0</v>
      </c>
      <c r="BF503" s="94">
        <f>IF(N503="snížená",J503,0)</f>
        <v>0</v>
      </c>
      <c r="BG503" s="94">
        <f>IF(N503="zákl. přenesená",J503,0)</f>
        <v>0</v>
      </c>
      <c r="BH503" s="94">
        <f>IF(N503="sníž. přenesená",J503,0)</f>
        <v>0</v>
      </c>
      <c r="BI503" s="94">
        <f>IF(N503="nulová",J503,0)</f>
        <v>0</v>
      </c>
      <c r="BJ503" s="3" t="s">
        <v>84</v>
      </c>
      <c r="BK503" s="94">
        <f>ROUND(I503*H503,2)</f>
        <v>0</v>
      </c>
      <c r="BL503" s="3" t="s">
        <v>82</v>
      </c>
      <c r="BM503" s="93" t="s">
        <v>760</v>
      </c>
    </row>
    <row r="504" spans="2:65" s="14" customFormat="1" x14ac:dyDescent="0.2">
      <c r="B504" s="13"/>
      <c r="D504" s="95" t="s">
        <v>90</v>
      </c>
      <c r="F504" s="96" t="s">
        <v>761</v>
      </c>
      <c r="L504" s="13"/>
      <c r="M504" s="97"/>
      <c r="T504" s="98"/>
      <c r="AT504" s="3" t="s">
        <v>90</v>
      </c>
      <c r="AU504" s="3" t="s">
        <v>84</v>
      </c>
    </row>
    <row r="505" spans="2:65" s="100" customFormat="1" x14ac:dyDescent="0.2">
      <c r="B505" s="99"/>
      <c r="D505" s="95" t="s">
        <v>92</v>
      </c>
      <c r="E505" s="101" t="s">
        <v>762</v>
      </c>
      <c r="F505" s="102" t="s">
        <v>763</v>
      </c>
      <c r="H505" s="103">
        <v>2636.68</v>
      </c>
      <c r="L505" s="99"/>
      <c r="M505" s="104"/>
      <c r="T505" s="105"/>
      <c r="AT505" s="101" t="s">
        <v>92</v>
      </c>
      <c r="AU505" s="101" t="s">
        <v>84</v>
      </c>
      <c r="AV505" s="100" t="s">
        <v>5</v>
      </c>
      <c r="AW505" s="100" t="s">
        <v>95</v>
      </c>
      <c r="AX505" s="100" t="s">
        <v>80</v>
      </c>
      <c r="AY505" s="101" t="s">
        <v>83</v>
      </c>
    </row>
    <row r="506" spans="2:65" s="100" customFormat="1" x14ac:dyDescent="0.2">
      <c r="B506" s="99"/>
      <c r="D506" s="95" t="s">
        <v>92</v>
      </c>
      <c r="E506" s="101" t="s">
        <v>3</v>
      </c>
      <c r="F506" s="102" t="s">
        <v>750</v>
      </c>
      <c r="H506" s="103">
        <v>2636.68</v>
      </c>
      <c r="L506" s="99"/>
      <c r="M506" s="104"/>
      <c r="T506" s="105"/>
      <c r="AT506" s="101" t="s">
        <v>92</v>
      </c>
      <c r="AU506" s="101" t="s">
        <v>84</v>
      </c>
      <c r="AV506" s="100" t="s">
        <v>5</v>
      </c>
      <c r="AW506" s="100" t="s">
        <v>95</v>
      </c>
      <c r="AX506" s="100" t="s">
        <v>84</v>
      </c>
      <c r="AY506" s="101" t="s">
        <v>83</v>
      </c>
    </row>
    <row r="507" spans="2:65" s="72" customFormat="1" ht="25.95" customHeight="1" x14ac:dyDescent="0.25">
      <c r="B507" s="71"/>
      <c r="D507" s="73" t="s">
        <v>79</v>
      </c>
      <c r="E507" s="74" t="s">
        <v>142</v>
      </c>
      <c r="F507" s="74" t="s">
        <v>764</v>
      </c>
      <c r="J507" s="75">
        <f>BK507</f>
        <v>0</v>
      </c>
      <c r="L507" s="71"/>
      <c r="M507" s="76"/>
      <c r="P507" s="77">
        <f>SUM(P508:P548)</f>
        <v>0</v>
      </c>
      <c r="R507" s="77">
        <f>SUM(R508:R548)</f>
        <v>0</v>
      </c>
      <c r="T507" s="78">
        <f>SUM(T508:T548)</f>
        <v>0</v>
      </c>
      <c r="AR507" s="73" t="s">
        <v>82</v>
      </c>
      <c r="AT507" s="79" t="s">
        <v>79</v>
      </c>
      <c r="AU507" s="79" t="s">
        <v>80</v>
      </c>
      <c r="AY507" s="73" t="s">
        <v>83</v>
      </c>
      <c r="BK507" s="80">
        <f>SUM(BK508:BK548)</f>
        <v>0</v>
      </c>
    </row>
    <row r="508" spans="2:65" s="14" customFormat="1" ht="24.15" customHeight="1" x14ac:dyDescent="0.2">
      <c r="B508" s="81"/>
      <c r="C508" s="82" t="s">
        <v>765</v>
      </c>
      <c r="D508" s="82" t="s">
        <v>85</v>
      </c>
      <c r="E508" s="83" t="s">
        <v>766</v>
      </c>
      <c r="F508" s="84" t="s">
        <v>767</v>
      </c>
      <c r="G508" s="85" t="s">
        <v>129</v>
      </c>
      <c r="H508" s="86">
        <v>442.202</v>
      </c>
      <c r="I508" s="87">
        <v>0</v>
      </c>
      <c r="J508" s="87">
        <f>ROUND(I508*H508,2)</f>
        <v>0</v>
      </c>
      <c r="K508" s="88"/>
      <c r="L508" s="13"/>
      <c r="M508" s="89" t="s">
        <v>3</v>
      </c>
      <c r="N508" s="90" t="s">
        <v>36</v>
      </c>
      <c r="O508" s="91">
        <v>0</v>
      </c>
      <c r="P508" s="91">
        <f>O508*H508</f>
        <v>0</v>
      </c>
      <c r="Q508" s="91">
        <v>0</v>
      </c>
      <c r="R508" s="91">
        <f>Q508*H508</f>
        <v>0</v>
      </c>
      <c r="S508" s="91">
        <v>0</v>
      </c>
      <c r="T508" s="92">
        <f>S508*H508</f>
        <v>0</v>
      </c>
      <c r="AR508" s="93" t="s">
        <v>82</v>
      </c>
      <c r="AT508" s="93" t="s">
        <v>85</v>
      </c>
      <c r="AU508" s="93" t="s">
        <v>84</v>
      </c>
      <c r="AY508" s="3" t="s">
        <v>83</v>
      </c>
      <c r="BE508" s="94">
        <f>IF(N508="základní",J508,0)</f>
        <v>0</v>
      </c>
      <c r="BF508" s="94">
        <f>IF(N508="snížená",J508,0)</f>
        <v>0</v>
      </c>
      <c r="BG508" s="94">
        <f>IF(N508="zákl. přenesená",J508,0)</f>
        <v>0</v>
      </c>
      <c r="BH508" s="94">
        <f>IF(N508="sníž. přenesená",J508,0)</f>
        <v>0</v>
      </c>
      <c r="BI508" s="94">
        <f>IF(N508="nulová",J508,0)</f>
        <v>0</v>
      </c>
      <c r="BJ508" s="3" t="s">
        <v>84</v>
      </c>
      <c r="BK508" s="94">
        <f>ROUND(I508*H508,2)</f>
        <v>0</v>
      </c>
      <c r="BL508" s="3" t="s">
        <v>82</v>
      </c>
      <c r="BM508" s="93" t="s">
        <v>768</v>
      </c>
    </row>
    <row r="509" spans="2:65" s="14" customFormat="1" x14ac:dyDescent="0.2">
      <c r="B509" s="13"/>
      <c r="D509" s="95" t="s">
        <v>90</v>
      </c>
      <c r="F509" s="96" t="s">
        <v>769</v>
      </c>
      <c r="L509" s="13"/>
      <c r="M509" s="97"/>
      <c r="T509" s="98"/>
      <c r="AT509" s="3" t="s">
        <v>90</v>
      </c>
      <c r="AU509" s="3" t="s">
        <v>84</v>
      </c>
    </row>
    <row r="510" spans="2:65" s="107" customFormat="1" x14ac:dyDescent="0.2">
      <c r="B510" s="106"/>
      <c r="D510" s="95" t="s">
        <v>92</v>
      </c>
      <c r="E510" s="108" t="s">
        <v>3</v>
      </c>
      <c r="F510" s="109" t="s">
        <v>161</v>
      </c>
      <c r="H510" s="108" t="s">
        <v>3</v>
      </c>
      <c r="L510" s="106"/>
      <c r="M510" s="110"/>
      <c r="T510" s="111"/>
      <c r="AT510" s="108" t="s">
        <v>92</v>
      </c>
      <c r="AU510" s="108" t="s">
        <v>84</v>
      </c>
      <c r="AV510" s="107" t="s">
        <v>84</v>
      </c>
      <c r="AW510" s="107" t="s">
        <v>95</v>
      </c>
      <c r="AX510" s="107" t="s">
        <v>80</v>
      </c>
      <c r="AY510" s="108" t="s">
        <v>83</v>
      </c>
    </row>
    <row r="511" spans="2:65" s="100" customFormat="1" x14ac:dyDescent="0.2">
      <c r="B511" s="99"/>
      <c r="D511" s="95" t="s">
        <v>92</v>
      </c>
      <c r="E511" s="101" t="s">
        <v>770</v>
      </c>
      <c r="F511" s="102" t="s">
        <v>771</v>
      </c>
      <c r="H511" s="103">
        <v>82.532070000000004</v>
      </c>
      <c r="L511" s="99"/>
      <c r="M511" s="104"/>
      <c r="T511" s="105"/>
      <c r="AT511" s="101" t="s">
        <v>92</v>
      </c>
      <c r="AU511" s="101" t="s">
        <v>84</v>
      </c>
      <c r="AV511" s="100" t="s">
        <v>5</v>
      </c>
      <c r="AW511" s="100" t="s">
        <v>95</v>
      </c>
      <c r="AX511" s="100" t="s">
        <v>80</v>
      </c>
      <c r="AY511" s="101" t="s">
        <v>83</v>
      </c>
    </row>
    <row r="512" spans="2:65" s="100" customFormat="1" x14ac:dyDescent="0.2">
      <c r="B512" s="99"/>
      <c r="D512" s="95" t="s">
        <v>92</v>
      </c>
      <c r="E512" s="101" t="s">
        <v>772</v>
      </c>
      <c r="F512" s="102" t="s">
        <v>773</v>
      </c>
      <c r="H512" s="103">
        <v>73.4833</v>
      </c>
      <c r="L512" s="99"/>
      <c r="M512" s="104"/>
      <c r="T512" s="105"/>
      <c r="AT512" s="101" t="s">
        <v>92</v>
      </c>
      <c r="AU512" s="101" t="s">
        <v>84</v>
      </c>
      <c r="AV512" s="100" t="s">
        <v>5</v>
      </c>
      <c r="AW512" s="100" t="s">
        <v>95</v>
      </c>
      <c r="AX512" s="100" t="s">
        <v>80</v>
      </c>
      <c r="AY512" s="101" t="s">
        <v>83</v>
      </c>
    </row>
    <row r="513" spans="2:65" s="100" customFormat="1" ht="30.6" x14ac:dyDescent="0.2">
      <c r="B513" s="99"/>
      <c r="D513" s="95" t="s">
        <v>92</v>
      </c>
      <c r="E513" s="101" t="s">
        <v>774</v>
      </c>
      <c r="F513" s="102" t="s">
        <v>775</v>
      </c>
      <c r="H513" s="103">
        <v>75.436700000000002</v>
      </c>
      <c r="L513" s="99"/>
      <c r="M513" s="104"/>
      <c r="T513" s="105"/>
      <c r="AT513" s="101" t="s">
        <v>92</v>
      </c>
      <c r="AU513" s="101" t="s">
        <v>84</v>
      </c>
      <c r="AV513" s="100" t="s">
        <v>5</v>
      </c>
      <c r="AW513" s="100" t="s">
        <v>95</v>
      </c>
      <c r="AX513" s="100" t="s">
        <v>80</v>
      </c>
      <c r="AY513" s="101" t="s">
        <v>83</v>
      </c>
    </row>
    <row r="514" spans="2:65" s="107" customFormat="1" x14ac:dyDescent="0.2">
      <c r="B514" s="106"/>
      <c r="D514" s="95" t="s">
        <v>92</v>
      </c>
      <c r="E514" s="108" t="s">
        <v>3</v>
      </c>
      <c r="F514" s="109" t="s">
        <v>166</v>
      </c>
      <c r="H514" s="108" t="s">
        <v>3</v>
      </c>
      <c r="L514" s="106"/>
      <c r="M514" s="110"/>
      <c r="T514" s="111"/>
      <c r="AT514" s="108" t="s">
        <v>92</v>
      </c>
      <c r="AU514" s="108" t="s">
        <v>84</v>
      </c>
      <c r="AV514" s="107" t="s">
        <v>84</v>
      </c>
      <c r="AW514" s="107" t="s">
        <v>95</v>
      </c>
      <c r="AX514" s="107" t="s">
        <v>80</v>
      </c>
      <c r="AY514" s="108" t="s">
        <v>83</v>
      </c>
    </row>
    <row r="515" spans="2:65" s="100" customFormat="1" x14ac:dyDescent="0.2">
      <c r="B515" s="99"/>
      <c r="D515" s="95" t="s">
        <v>92</v>
      </c>
      <c r="E515" s="101" t="s">
        <v>776</v>
      </c>
      <c r="F515" s="102" t="s">
        <v>777</v>
      </c>
      <c r="H515" s="103">
        <v>65.448899999999995</v>
      </c>
      <c r="L515" s="99"/>
      <c r="M515" s="104"/>
      <c r="T515" s="105"/>
      <c r="AT515" s="101" t="s">
        <v>92</v>
      </c>
      <c r="AU515" s="101" t="s">
        <v>84</v>
      </c>
      <c r="AV515" s="100" t="s">
        <v>5</v>
      </c>
      <c r="AW515" s="100" t="s">
        <v>95</v>
      </c>
      <c r="AX515" s="100" t="s">
        <v>80</v>
      </c>
      <c r="AY515" s="101" t="s">
        <v>83</v>
      </c>
    </row>
    <row r="516" spans="2:65" s="100" customFormat="1" x14ac:dyDescent="0.2">
      <c r="B516" s="99"/>
      <c r="D516" s="95" t="s">
        <v>92</v>
      </c>
      <c r="E516" s="101" t="s">
        <v>778</v>
      </c>
      <c r="F516" s="102" t="s">
        <v>779</v>
      </c>
      <c r="H516" s="103">
        <v>75.669119999999992</v>
      </c>
      <c r="L516" s="99"/>
      <c r="M516" s="104"/>
      <c r="T516" s="105"/>
      <c r="AT516" s="101" t="s">
        <v>92</v>
      </c>
      <c r="AU516" s="101" t="s">
        <v>84</v>
      </c>
      <c r="AV516" s="100" t="s">
        <v>5</v>
      </c>
      <c r="AW516" s="100" t="s">
        <v>95</v>
      </c>
      <c r="AX516" s="100" t="s">
        <v>80</v>
      </c>
      <c r="AY516" s="101" t="s">
        <v>83</v>
      </c>
    </row>
    <row r="517" spans="2:65" s="100" customFormat="1" ht="30.6" x14ac:dyDescent="0.2">
      <c r="B517" s="99"/>
      <c r="D517" s="95" t="s">
        <v>92</v>
      </c>
      <c r="E517" s="101" t="s">
        <v>780</v>
      </c>
      <c r="F517" s="102" t="s">
        <v>781</v>
      </c>
      <c r="H517" s="103">
        <v>69.63220299999999</v>
      </c>
      <c r="L517" s="99"/>
      <c r="M517" s="104"/>
      <c r="T517" s="105"/>
      <c r="AT517" s="101" t="s">
        <v>92</v>
      </c>
      <c r="AU517" s="101" t="s">
        <v>84</v>
      </c>
      <c r="AV517" s="100" t="s">
        <v>5</v>
      </c>
      <c r="AW517" s="100" t="s">
        <v>95</v>
      </c>
      <c r="AX517" s="100" t="s">
        <v>80</v>
      </c>
      <c r="AY517" s="101" t="s">
        <v>83</v>
      </c>
    </row>
    <row r="518" spans="2:65" s="100" customFormat="1" x14ac:dyDescent="0.2">
      <c r="B518" s="99"/>
      <c r="D518" s="95" t="s">
        <v>92</v>
      </c>
      <c r="E518" s="101" t="s">
        <v>3</v>
      </c>
      <c r="F518" s="102" t="s">
        <v>782</v>
      </c>
      <c r="H518" s="103">
        <v>442.202</v>
      </c>
      <c r="L518" s="99"/>
      <c r="M518" s="104"/>
      <c r="T518" s="105"/>
      <c r="AT518" s="101" t="s">
        <v>92</v>
      </c>
      <c r="AU518" s="101" t="s">
        <v>84</v>
      </c>
      <c r="AV518" s="100" t="s">
        <v>5</v>
      </c>
      <c r="AW518" s="100" t="s">
        <v>95</v>
      </c>
      <c r="AX518" s="100" t="s">
        <v>84</v>
      </c>
      <c r="AY518" s="101" t="s">
        <v>83</v>
      </c>
    </row>
    <row r="519" spans="2:65" s="14" customFormat="1" ht="24.15" customHeight="1" x14ac:dyDescent="0.2">
      <c r="B519" s="81"/>
      <c r="C519" s="82" t="s">
        <v>783</v>
      </c>
      <c r="D519" s="82" t="s">
        <v>85</v>
      </c>
      <c r="E519" s="83" t="s">
        <v>784</v>
      </c>
      <c r="F519" s="84" t="s">
        <v>785</v>
      </c>
      <c r="G519" s="85" t="s">
        <v>129</v>
      </c>
      <c r="H519" s="86">
        <v>3098.55</v>
      </c>
      <c r="I519" s="87">
        <v>0</v>
      </c>
      <c r="J519" s="87">
        <f>ROUND(I519*H519,2)</f>
        <v>0</v>
      </c>
      <c r="K519" s="88"/>
      <c r="L519" s="13"/>
      <c r="M519" s="89" t="s">
        <v>3</v>
      </c>
      <c r="N519" s="90" t="s">
        <v>36</v>
      </c>
      <c r="O519" s="91">
        <v>0</v>
      </c>
      <c r="P519" s="91">
        <f>O519*H519</f>
        <v>0</v>
      </c>
      <c r="Q519" s="91">
        <v>0</v>
      </c>
      <c r="R519" s="91">
        <f>Q519*H519</f>
        <v>0</v>
      </c>
      <c r="S519" s="91">
        <v>0</v>
      </c>
      <c r="T519" s="92">
        <f>S519*H519</f>
        <v>0</v>
      </c>
      <c r="AR519" s="93" t="s">
        <v>82</v>
      </c>
      <c r="AT519" s="93" t="s">
        <v>85</v>
      </c>
      <c r="AU519" s="93" t="s">
        <v>84</v>
      </c>
      <c r="AY519" s="3" t="s">
        <v>83</v>
      </c>
      <c r="BE519" s="94">
        <f>IF(N519="základní",J519,0)</f>
        <v>0</v>
      </c>
      <c r="BF519" s="94">
        <f>IF(N519="snížená",J519,0)</f>
        <v>0</v>
      </c>
      <c r="BG519" s="94">
        <f>IF(N519="zákl. přenesená",J519,0)</f>
        <v>0</v>
      </c>
      <c r="BH519" s="94">
        <f>IF(N519="sníž. přenesená",J519,0)</f>
        <v>0</v>
      </c>
      <c r="BI519" s="94">
        <f>IF(N519="nulová",J519,0)</f>
        <v>0</v>
      </c>
      <c r="BJ519" s="3" t="s">
        <v>84</v>
      </c>
      <c r="BK519" s="94">
        <f>ROUND(I519*H519,2)</f>
        <v>0</v>
      </c>
      <c r="BL519" s="3" t="s">
        <v>82</v>
      </c>
      <c r="BM519" s="93" t="s">
        <v>786</v>
      </c>
    </row>
    <row r="520" spans="2:65" s="14" customFormat="1" x14ac:dyDescent="0.2">
      <c r="B520" s="13"/>
      <c r="D520" s="95" t="s">
        <v>90</v>
      </c>
      <c r="F520" s="96" t="s">
        <v>787</v>
      </c>
      <c r="L520" s="13"/>
      <c r="M520" s="97"/>
      <c r="T520" s="98"/>
      <c r="AT520" s="3" t="s">
        <v>90</v>
      </c>
      <c r="AU520" s="3" t="s">
        <v>84</v>
      </c>
    </row>
    <row r="521" spans="2:65" s="100" customFormat="1" x14ac:dyDescent="0.2">
      <c r="B521" s="99"/>
      <c r="D521" s="95" t="s">
        <v>92</v>
      </c>
      <c r="E521" s="101" t="s">
        <v>788</v>
      </c>
      <c r="F521" s="102" t="s">
        <v>789</v>
      </c>
      <c r="H521" s="103">
        <v>3016.65</v>
      </c>
      <c r="L521" s="99"/>
      <c r="M521" s="104"/>
      <c r="T521" s="105"/>
      <c r="AT521" s="101" t="s">
        <v>92</v>
      </c>
      <c r="AU521" s="101" t="s">
        <v>84</v>
      </c>
      <c r="AV521" s="100" t="s">
        <v>5</v>
      </c>
      <c r="AW521" s="100" t="s">
        <v>95</v>
      </c>
      <c r="AX521" s="100" t="s">
        <v>80</v>
      </c>
      <c r="AY521" s="101" t="s">
        <v>83</v>
      </c>
    </row>
    <row r="522" spans="2:65" s="100" customFormat="1" x14ac:dyDescent="0.2">
      <c r="B522" s="99"/>
      <c r="D522" s="95" t="s">
        <v>92</v>
      </c>
      <c r="E522" s="101" t="s">
        <v>790</v>
      </c>
      <c r="F522" s="102" t="s">
        <v>747</v>
      </c>
      <c r="H522" s="103">
        <v>81.899999999999991</v>
      </c>
      <c r="L522" s="99"/>
      <c r="M522" s="104"/>
      <c r="T522" s="105"/>
      <c r="AT522" s="101" t="s">
        <v>92</v>
      </c>
      <c r="AU522" s="101" t="s">
        <v>84</v>
      </c>
      <c r="AV522" s="100" t="s">
        <v>5</v>
      </c>
      <c r="AW522" s="100" t="s">
        <v>95</v>
      </c>
      <c r="AX522" s="100" t="s">
        <v>80</v>
      </c>
      <c r="AY522" s="101" t="s">
        <v>83</v>
      </c>
    </row>
    <row r="523" spans="2:65" s="100" customFormat="1" x14ac:dyDescent="0.2">
      <c r="B523" s="99"/>
      <c r="D523" s="95" t="s">
        <v>92</v>
      </c>
      <c r="E523" s="101" t="s">
        <v>3</v>
      </c>
      <c r="F523" s="102" t="s">
        <v>791</v>
      </c>
      <c r="H523" s="103">
        <v>3098.55</v>
      </c>
      <c r="L523" s="99"/>
      <c r="M523" s="104"/>
      <c r="T523" s="105"/>
      <c r="AT523" s="101" t="s">
        <v>92</v>
      </c>
      <c r="AU523" s="101" t="s">
        <v>84</v>
      </c>
      <c r="AV523" s="100" t="s">
        <v>5</v>
      </c>
      <c r="AW523" s="100" t="s">
        <v>95</v>
      </c>
      <c r="AX523" s="100" t="s">
        <v>84</v>
      </c>
      <c r="AY523" s="101" t="s">
        <v>83</v>
      </c>
    </row>
    <row r="524" spans="2:65" s="14" customFormat="1" ht="24.15" customHeight="1" x14ac:dyDescent="0.2">
      <c r="B524" s="81"/>
      <c r="C524" s="82" t="s">
        <v>792</v>
      </c>
      <c r="D524" s="82" t="s">
        <v>85</v>
      </c>
      <c r="E524" s="83" t="s">
        <v>793</v>
      </c>
      <c r="F524" s="84" t="s">
        <v>794</v>
      </c>
      <c r="G524" s="85" t="s">
        <v>129</v>
      </c>
      <c r="H524" s="86">
        <v>493.05200000000002</v>
      </c>
      <c r="I524" s="87">
        <v>0</v>
      </c>
      <c r="J524" s="87">
        <f>ROUND(I524*H524,2)</f>
        <v>0</v>
      </c>
      <c r="K524" s="88"/>
      <c r="L524" s="13"/>
      <c r="M524" s="89" t="s">
        <v>3</v>
      </c>
      <c r="N524" s="90" t="s">
        <v>36</v>
      </c>
      <c r="O524" s="91">
        <v>0</v>
      </c>
      <c r="P524" s="91">
        <f>O524*H524</f>
        <v>0</v>
      </c>
      <c r="Q524" s="91">
        <v>0</v>
      </c>
      <c r="R524" s="91">
        <f>Q524*H524</f>
        <v>0</v>
      </c>
      <c r="S524" s="91">
        <v>0</v>
      </c>
      <c r="T524" s="92">
        <f>S524*H524</f>
        <v>0</v>
      </c>
      <c r="AR524" s="93" t="s">
        <v>82</v>
      </c>
      <c r="AT524" s="93" t="s">
        <v>85</v>
      </c>
      <c r="AU524" s="93" t="s">
        <v>84</v>
      </c>
      <c r="AY524" s="3" t="s">
        <v>83</v>
      </c>
      <c r="BE524" s="94">
        <f>IF(N524="základní",J524,0)</f>
        <v>0</v>
      </c>
      <c r="BF524" s="94">
        <f>IF(N524="snížená",J524,0)</f>
        <v>0</v>
      </c>
      <c r="BG524" s="94">
        <f>IF(N524="zákl. přenesená",J524,0)</f>
        <v>0</v>
      </c>
      <c r="BH524" s="94">
        <f>IF(N524="sníž. přenesená",J524,0)</f>
        <v>0</v>
      </c>
      <c r="BI524" s="94">
        <f>IF(N524="nulová",J524,0)</f>
        <v>0</v>
      </c>
      <c r="BJ524" s="3" t="s">
        <v>84</v>
      </c>
      <c r="BK524" s="94">
        <f>ROUND(I524*H524,2)</f>
        <v>0</v>
      </c>
      <c r="BL524" s="3" t="s">
        <v>82</v>
      </c>
      <c r="BM524" s="93" t="s">
        <v>795</v>
      </c>
    </row>
    <row r="525" spans="2:65" s="14" customFormat="1" x14ac:dyDescent="0.2">
      <c r="B525" s="13"/>
      <c r="D525" s="95" t="s">
        <v>90</v>
      </c>
      <c r="F525" s="96" t="s">
        <v>796</v>
      </c>
      <c r="L525" s="13"/>
      <c r="M525" s="97"/>
      <c r="T525" s="98"/>
      <c r="AT525" s="3" t="s">
        <v>90</v>
      </c>
      <c r="AU525" s="3" t="s">
        <v>84</v>
      </c>
    </row>
    <row r="526" spans="2:65" s="100" customFormat="1" x14ac:dyDescent="0.2">
      <c r="B526" s="99"/>
      <c r="D526" s="95" t="s">
        <v>92</v>
      </c>
      <c r="E526" s="101" t="s">
        <v>797</v>
      </c>
      <c r="F526" s="102" t="s">
        <v>798</v>
      </c>
      <c r="H526" s="103">
        <v>246.52549999999999</v>
      </c>
      <c r="L526" s="99"/>
      <c r="M526" s="104"/>
      <c r="T526" s="105"/>
      <c r="AT526" s="101" t="s">
        <v>92</v>
      </c>
      <c r="AU526" s="101" t="s">
        <v>84</v>
      </c>
      <c r="AV526" s="100" t="s">
        <v>5</v>
      </c>
      <c r="AW526" s="100" t="s">
        <v>95</v>
      </c>
      <c r="AX526" s="100" t="s">
        <v>80</v>
      </c>
      <c r="AY526" s="101" t="s">
        <v>83</v>
      </c>
    </row>
    <row r="527" spans="2:65" s="100" customFormat="1" x14ac:dyDescent="0.2">
      <c r="B527" s="99"/>
      <c r="D527" s="95" t="s">
        <v>92</v>
      </c>
      <c r="E527" s="101" t="s">
        <v>799</v>
      </c>
      <c r="F527" s="102" t="s">
        <v>800</v>
      </c>
      <c r="H527" s="103">
        <v>246.52549999999999</v>
      </c>
      <c r="L527" s="99"/>
      <c r="M527" s="104"/>
      <c r="T527" s="105"/>
      <c r="AT527" s="101" t="s">
        <v>92</v>
      </c>
      <c r="AU527" s="101" t="s">
        <v>84</v>
      </c>
      <c r="AV527" s="100" t="s">
        <v>5</v>
      </c>
      <c r="AW527" s="100" t="s">
        <v>95</v>
      </c>
      <c r="AX527" s="100" t="s">
        <v>80</v>
      </c>
      <c r="AY527" s="101" t="s">
        <v>83</v>
      </c>
    </row>
    <row r="528" spans="2:65" s="100" customFormat="1" x14ac:dyDescent="0.2">
      <c r="B528" s="99"/>
      <c r="D528" s="95" t="s">
        <v>92</v>
      </c>
      <c r="E528" s="101" t="s">
        <v>3</v>
      </c>
      <c r="F528" s="102" t="s">
        <v>801</v>
      </c>
      <c r="H528" s="103">
        <v>493.05200000000002</v>
      </c>
      <c r="L528" s="99"/>
      <c r="M528" s="104"/>
      <c r="T528" s="105"/>
      <c r="AT528" s="101" t="s">
        <v>92</v>
      </c>
      <c r="AU528" s="101" t="s">
        <v>84</v>
      </c>
      <c r="AV528" s="100" t="s">
        <v>5</v>
      </c>
      <c r="AW528" s="100" t="s">
        <v>95</v>
      </c>
      <c r="AX528" s="100" t="s">
        <v>84</v>
      </c>
      <c r="AY528" s="101" t="s">
        <v>83</v>
      </c>
    </row>
    <row r="529" spans="2:65" s="14" customFormat="1" ht="16.5" customHeight="1" x14ac:dyDescent="0.2">
      <c r="B529" s="81"/>
      <c r="C529" s="82" t="s">
        <v>802</v>
      </c>
      <c r="D529" s="82" t="s">
        <v>85</v>
      </c>
      <c r="E529" s="83" t="s">
        <v>803</v>
      </c>
      <c r="F529" s="84" t="s">
        <v>804</v>
      </c>
      <c r="G529" s="85" t="s">
        <v>129</v>
      </c>
      <c r="H529" s="86">
        <v>442.202</v>
      </c>
      <c r="I529" s="87">
        <v>0</v>
      </c>
      <c r="J529" s="87">
        <f>ROUND(I529*H529,2)</f>
        <v>0</v>
      </c>
      <c r="K529" s="88"/>
      <c r="L529" s="13"/>
      <c r="M529" s="89" t="s">
        <v>3</v>
      </c>
      <c r="N529" s="90" t="s">
        <v>36</v>
      </c>
      <c r="O529" s="91">
        <v>0</v>
      </c>
      <c r="P529" s="91">
        <f>O529*H529</f>
        <v>0</v>
      </c>
      <c r="Q529" s="91">
        <v>0</v>
      </c>
      <c r="R529" s="91">
        <f>Q529*H529</f>
        <v>0</v>
      </c>
      <c r="S529" s="91">
        <v>0</v>
      </c>
      <c r="T529" s="92">
        <f>S529*H529</f>
        <v>0</v>
      </c>
      <c r="AR529" s="93" t="s">
        <v>82</v>
      </c>
      <c r="AT529" s="93" t="s">
        <v>85</v>
      </c>
      <c r="AU529" s="93" t="s">
        <v>84</v>
      </c>
      <c r="AY529" s="3" t="s">
        <v>83</v>
      </c>
      <c r="BE529" s="94">
        <f>IF(N529="základní",J529,0)</f>
        <v>0</v>
      </c>
      <c r="BF529" s="94">
        <f>IF(N529="snížená",J529,0)</f>
        <v>0</v>
      </c>
      <c r="BG529" s="94">
        <f>IF(N529="zákl. přenesená",J529,0)</f>
        <v>0</v>
      </c>
      <c r="BH529" s="94">
        <f>IF(N529="sníž. přenesená",J529,0)</f>
        <v>0</v>
      </c>
      <c r="BI529" s="94">
        <f>IF(N529="nulová",J529,0)</f>
        <v>0</v>
      </c>
      <c r="BJ529" s="3" t="s">
        <v>84</v>
      </c>
      <c r="BK529" s="94">
        <f>ROUND(I529*H529,2)</f>
        <v>0</v>
      </c>
      <c r="BL529" s="3" t="s">
        <v>82</v>
      </c>
      <c r="BM529" s="93" t="s">
        <v>805</v>
      </c>
    </row>
    <row r="530" spans="2:65" s="14" customFormat="1" ht="19.2" x14ac:dyDescent="0.2">
      <c r="B530" s="13"/>
      <c r="D530" s="95" t="s">
        <v>90</v>
      </c>
      <c r="F530" s="96" t="s">
        <v>806</v>
      </c>
      <c r="L530" s="13"/>
      <c r="M530" s="97"/>
      <c r="T530" s="98"/>
      <c r="AT530" s="3" t="s">
        <v>90</v>
      </c>
      <c r="AU530" s="3" t="s">
        <v>84</v>
      </c>
    </row>
    <row r="531" spans="2:65" s="107" customFormat="1" x14ac:dyDescent="0.2">
      <c r="B531" s="106"/>
      <c r="D531" s="95" t="s">
        <v>92</v>
      </c>
      <c r="E531" s="108" t="s">
        <v>3</v>
      </c>
      <c r="F531" s="109" t="s">
        <v>161</v>
      </c>
      <c r="H531" s="108" t="s">
        <v>3</v>
      </c>
      <c r="L531" s="106"/>
      <c r="M531" s="110"/>
      <c r="T531" s="111"/>
      <c r="AT531" s="108" t="s">
        <v>92</v>
      </c>
      <c r="AU531" s="108" t="s">
        <v>84</v>
      </c>
      <c r="AV531" s="107" t="s">
        <v>84</v>
      </c>
      <c r="AW531" s="107" t="s">
        <v>95</v>
      </c>
      <c r="AX531" s="107" t="s">
        <v>80</v>
      </c>
      <c r="AY531" s="108" t="s">
        <v>83</v>
      </c>
    </row>
    <row r="532" spans="2:65" s="100" customFormat="1" x14ac:dyDescent="0.2">
      <c r="B532" s="99"/>
      <c r="D532" s="95" t="s">
        <v>92</v>
      </c>
      <c r="E532" s="101" t="s">
        <v>807</v>
      </c>
      <c r="F532" s="102" t="s">
        <v>771</v>
      </c>
      <c r="H532" s="103">
        <v>82.532070000000004</v>
      </c>
      <c r="L532" s="99"/>
      <c r="M532" s="104"/>
      <c r="T532" s="105"/>
      <c r="AT532" s="101" t="s">
        <v>92</v>
      </c>
      <c r="AU532" s="101" t="s">
        <v>84</v>
      </c>
      <c r="AV532" s="100" t="s">
        <v>5</v>
      </c>
      <c r="AW532" s="100" t="s">
        <v>95</v>
      </c>
      <c r="AX532" s="100" t="s">
        <v>80</v>
      </c>
      <c r="AY532" s="101" t="s">
        <v>83</v>
      </c>
    </row>
    <row r="533" spans="2:65" s="100" customFormat="1" x14ac:dyDescent="0.2">
      <c r="B533" s="99"/>
      <c r="D533" s="95" t="s">
        <v>92</v>
      </c>
      <c r="E533" s="101" t="s">
        <v>808</v>
      </c>
      <c r="F533" s="102" t="s">
        <v>773</v>
      </c>
      <c r="H533" s="103">
        <v>73.4833</v>
      </c>
      <c r="L533" s="99"/>
      <c r="M533" s="104"/>
      <c r="T533" s="105"/>
      <c r="AT533" s="101" t="s">
        <v>92</v>
      </c>
      <c r="AU533" s="101" t="s">
        <v>84</v>
      </c>
      <c r="AV533" s="100" t="s">
        <v>5</v>
      </c>
      <c r="AW533" s="100" t="s">
        <v>95</v>
      </c>
      <c r="AX533" s="100" t="s">
        <v>80</v>
      </c>
      <c r="AY533" s="101" t="s">
        <v>83</v>
      </c>
    </row>
    <row r="534" spans="2:65" s="100" customFormat="1" ht="30.6" x14ac:dyDescent="0.2">
      <c r="B534" s="99"/>
      <c r="D534" s="95" t="s">
        <v>92</v>
      </c>
      <c r="E534" s="101" t="s">
        <v>809</v>
      </c>
      <c r="F534" s="102" t="s">
        <v>775</v>
      </c>
      <c r="H534" s="103">
        <v>75.436700000000002</v>
      </c>
      <c r="L534" s="99"/>
      <c r="M534" s="104"/>
      <c r="T534" s="105"/>
      <c r="AT534" s="101" t="s">
        <v>92</v>
      </c>
      <c r="AU534" s="101" t="s">
        <v>84</v>
      </c>
      <c r="AV534" s="100" t="s">
        <v>5</v>
      </c>
      <c r="AW534" s="100" t="s">
        <v>95</v>
      </c>
      <c r="AX534" s="100" t="s">
        <v>80</v>
      </c>
      <c r="AY534" s="101" t="s">
        <v>83</v>
      </c>
    </row>
    <row r="535" spans="2:65" s="107" customFormat="1" x14ac:dyDescent="0.2">
      <c r="B535" s="106"/>
      <c r="D535" s="95" t="s">
        <v>92</v>
      </c>
      <c r="E535" s="108" t="s">
        <v>3</v>
      </c>
      <c r="F535" s="109" t="s">
        <v>166</v>
      </c>
      <c r="H535" s="108" t="s">
        <v>3</v>
      </c>
      <c r="L535" s="106"/>
      <c r="M535" s="110"/>
      <c r="T535" s="111"/>
      <c r="AT535" s="108" t="s">
        <v>92</v>
      </c>
      <c r="AU535" s="108" t="s">
        <v>84</v>
      </c>
      <c r="AV535" s="107" t="s">
        <v>84</v>
      </c>
      <c r="AW535" s="107" t="s">
        <v>95</v>
      </c>
      <c r="AX535" s="107" t="s">
        <v>80</v>
      </c>
      <c r="AY535" s="108" t="s">
        <v>83</v>
      </c>
    </row>
    <row r="536" spans="2:65" s="100" customFormat="1" x14ac:dyDescent="0.2">
      <c r="B536" s="99"/>
      <c r="D536" s="95" t="s">
        <v>92</v>
      </c>
      <c r="E536" s="101" t="s">
        <v>810</v>
      </c>
      <c r="F536" s="102" t="s">
        <v>777</v>
      </c>
      <c r="H536" s="103">
        <v>65.448899999999995</v>
      </c>
      <c r="L536" s="99"/>
      <c r="M536" s="104"/>
      <c r="T536" s="105"/>
      <c r="AT536" s="101" t="s">
        <v>92</v>
      </c>
      <c r="AU536" s="101" t="s">
        <v>84</v>
      </c>
      <c r="AV536" s="100" t="s">
        <v>5</v>
      </c>
      <c r="AW536" s="100" t="s">
        <v>95</v>
      </c>
      <c r="AX536" s="100" t="s">
        <v>80</v>
      </c>
      <c r="AY536" s="101" t="s">
        <v>83</v>
      </c>
    </row>
    <row r="537" spans="2:65" s="100" customFormat="1" x14ac:dyDescent="0.2">
      <c r="B537" s="99"/>
      <c r="D537" s="95" t="s">
        <v>92</v>
      </c>
      <c r="E537" s="101" t="s">
        <v>811</v>
      </c>
      <c r="F537" s="102" t="s">
        <v>779</v>
      </c>
      <c r="H537" s="103">
        <v>75.669119999999992</v>
      </c>
      <c r="L537" s="99"/>
      <c r="M537" s="104"/>
      <c r="T537" s="105"/>
      <c r="AT537" s="101" t="s">
        <v>92</v>
      </c>
      <c r="AU537" s="101" t="s">
        <v>84</v>
      </c>
      <c r="AV537" s="100" t="s">
        <v>5</v>
      </c>
      <c r="AW537" s="100" t="s">
        <v>95</v>
      </c>
      <c r="AX537" s="100" t="s">
        <v>80</v>
      </c>
      <c r="AY537" s="101" t="s">
        <v>83</v>
      </c>
    </row>
    <row r="538" spans="2:65" s="100" customFormat="1" ht="30.6" x14ac:dyDescent="0.2">
      <c r="B538" s="99"/>
      <c r="D538" s="95" t="s">
        <v>92</v>
      </c>
      <c r="E538" s="101" t="s">
        <v>812</v>
      </c>
      <c r="F538" s="102" t="s">
        <v>781</v>
      </c>
      <c r="H538" s="103">
        <v>69.63220299999999</v>
      </c>
      <c r="L538" s="99"/>
      <c r="M538" s="104"/>
      <c r="T538" s="105"/>
      <c r="AT538" s="101" t="s">
        <v>92</v>
      </c>
      <c r="AU538" s="101" t="s">
        <v>84</v>
      </c>
      <c r="AV538" s="100" t="s">
        <v>5</v>
      </c>
      <c r="AW538" s="100" t="s">
        <v>95</v>
      </c>
      <c r="AX538" s="100" t="s">
        <v>80</v>
      </c>
      <c r="AY538" s="101" t="s">
        <v>83</v>
      </c>
    </row>
    <row r="539" spans="2:65" s="100" customFormat="1" x14ac:dyDescent="0.2">
      <c r="B539" s="99"/>
      <c r="D539" s="95" t="s">
        <v>92</v>
      </c>
      <c r="E539" s="101" t="s">
        <v>3</v>
      </c>
      <c r="F539" s="102" t="s">
        <v>782</v>
      </c>
      <c r="H539" s="103">
        <v>442.202</v>
      </c>
      <c r="L539" s="99"/>
      <c r="M539" s="104"/>
      <c r="T539" s="105"/>
      <c r="AT539" s="101" t="s">
        <v>92</v>
      </c>
      <c r="AU539" s="101" t="s">
        <v>84</v>
      </c>
      <c r="AV539" s="100" t="s">
        <v>5</v>
      </c>
      <c r="AW539" s="100" t="s">
        <v>95</v>
      </c>
      <c r="AX539" s="100" t="s">
        <v>84</v>
      </c>
      <c r="AY539" s="101" t="s">
        <v>83</v>
      </c>
    </row>
    <row r="540" spans="2:65" s="14" customFormat="1" ht="16.5" customHeight="1" x14ac:dyDescent="0.2">
      <c r="B540" s="81"/>
      <c r="C540" s="82" t="s">
        <v>813</v>
      </c>
      <c r="D540" s="82" t="s">
        <v>85</v>
      </c>
      <c r="E540" s="83" t="s">
        <v>814</v>
      </c>
      <c r="F540" s="84" t="s">
        <v>815</v>
      </c>
      <c r="G540" s="85" t="s">
        <v>129</v>
      </c>
      <c r="H540" s="86">
        <v>267.83999999999997</v>
      </c>
      <c r="I540" s="87">
        <v>0</v>
      </c>
      <c r="J540" s="87">
        <f>ROUND(I540*H540,2)</f>
        <v>0</v>
      </c>
      <c r="K540" s="88"/>
      <c r="L540" s="13"/>
      <c r="M540" s="89" t="s">
        <v>3</v>
      </c>
      <c r="N540" s="90" t="s">
        <v>36</v>
      </c>
      <c r="O540" s="91">
        <v>0</v>
      </c>
      <c r="P540" s="91">
        <f>O540*H540</f>
        <v>0</v>
      </c>
      <c r="Q540" s="91">
        <v>0</v>
      </c>
      <c r="R540" s="91">
        <f>Q540*H540</f>
        <v>0</v>
      </c>
      <c r="S540" s="91">
        <v>0</v>
      </c>
      <c r="T540" s="92">
        <f>S540*H540</f>
        <v>0</v>
      </c>
      <c r="AR540" s="93" t="s">
        <v>82</v>
      </c>
      <c r="AT540" s="93" t="s">
        <v>85</v>
      </c>
      <c r="AU540" s="93" t="s">
        <v>84</v>
      </c>
      <c r="AY540" s="3" t="s">
        <v>83</v>
      </c>
      <c r="BE540" s="94">
        <f>IF(N540="základní",J540,0)</f>
        <v>0</v>
      </c>
      <c r="BF540" s="94">
        <f>IF(N540="snížená",J540,0)</f>
        <v>0</v>
      </c>
      <c r="BG540" s="94">
        <f>IF(N540="zákl. přenesená",J540,0)</f>
        <v>0</v>
      </c>
      <c r="BH540" s="94">
        <f>IF(N540="sníž. přenesená",J540,0)</f>
        <v>0</v>
      </c>
      <c r="BI540" s="94">
        <f>IF(N540="nulová",J540,0)</f>
        <v>0</v>
      </c>
      <c r="BJ540" s="3" t="s">
        <v>84</v>
      </c>
      <c r="BK540" s="94">
        <f>ROUND(I540*H540,2)</f>
        <v>0</v>
      </c>
      <c r="BL540" s="3" t="s">
        <v>82</v>
      </c>
      <c r="BM540" s="93" t="s">
        <v>816</v>
      </c>
    </row>
    <row r="541" spans="2:65" s="14" customFormat="1" x14ac:dyDescent="0.2">
      <c r="B541" s="13"/>
      <c r="D541" s="95" t="s">
        <v>90</v>
      </c>
      <c r="F541" s="96" t="s">
        <v>817</v>
      </c>
      <c r="L541" s="13"/>
      <c r="M541" s="97"/>
      <c r="T541" s="98"/>
      <c r="AT541" s="3" t="s">
        <v>90</v>
      </c>
      <c r="AU541" s="3" t="s">
        <v>84</v>
      </c>
    </row>
    <row r="542" spans="2:65" s="100" customFormat="1" x14ac:dyDescent="0.2">
      <c r="B542" s="99"/>
      <c r="D542" s="95" t="s">
        <v>92</v>
      </c>
      <c r="E542" s="101" t="s">
        <v>818</v>
      </c>
      <c r="F542" s="102" t="s">
        <v>819</v>
      </c>
      <c r="H542" s="103">
        <v>267.83999999999997</v>
      </c>
      <c r="L542" s="99"/>
      <c r="M542" s="104"/>
      <c r="T542" s="105"/>
      <c r="AT542" s="101" t="s">
        <v>92</v>
      </c>
      <c r="AU542" s="101" t="s">
        <v>84</v>
      </c>
      <c r="AV542" s="100" t="s">
        <v>5</v>
      </c>
      <c r="AW542" s="100" t="s">
        <v>95</v>
      </c>
      <c r="AX542" s="100" t="s">
        <v>80</v>
      </c>
      <c r="AY542" s="101" t="s">
        <v>83</v>
      </c>
    </row>
    <row r="543" spans="2:65" s="100" customFormat="1" x14ac:dyDescent="0.2">
      <c r="B543" s="99"/>
      <c r="D543" s="95" t="s">
        <v>92</v>
      </c>
      <c r="E543" s="101" t="s">
        <v>3</v>
      </c>
      <c r="F543" s="102" t="s">
        <v>820</v>
      </c>
      <c r="H543" s="103">
        <v>267.83999999999997</v>
      </c>
      <c r="L543" s="99"/>
      <c r="M543" s="104"/>
      <c r="T543" s="105"/>
      <c r="AT543" s="101" t="s">
        <v>92</v>
      </c>
      <c r="AU543" s="101" t="s">
        <v>84</v>
      </c>
      <c r="AV543" s="100" t="s">
        <v>5</v>
      </c>
      <c r="AW543" s="100" t="s">
        <v>95</v>
      </c>
      <c r="AX543" s="100" t="s">
        <v>84</v>
      </c>
      <c r="AY543" s="101" t="s">
        <v>83</v>
      </c>
    </row>
    <row r="544" spans="2:65" s="14" customFormat="1" ht="16.5" customHeight="1" x14ac:dyDescent="0.2">
      <c r="B544" s="81"/>
      <c r="C544" s="82" t="s">
        <v>821</v>
      </c>
      <c r="D544" s="82" t="s">
        <v>85</v>
      </c>
      <c r="E544" s="83" t="s">
        <v>822</v>
      </c>
      <c r="F544" s="84" t="s">
        <v>823</v>
      </c>
      <c r="G544" s="85" t="s">
        <v>129</v>
      </c>
      <c r="H544" s="86">
        <v>146.779</v>
      </c>
      <c r="I544" s="87">
        <v>0</v>
      </c>
      <c r="J544" s="87">
        <f>ROUND(I544*H544,2)</f>
        <v>0</v>
      </c>
      <c r="K544" s="88"/>
      <c r="L544" s="13"/>
      <c r="M544" s="89" t="s">
        <v>3</v>
      </c>
      <c r="N544" s="90" t="s">
        <v>36</v>
      </c>
      <c r="O544" s="91">
        <v>0</v>
      </c>
      <c r="P544" s="91">
        <f>O544*H544</f>
        <v>0</v>
      </c>
      <c r="Q544" s="91">
        <v>0</v>
      </c>
      <c r="R544" s="91">
        <f>Q544*H544</f>
        <v>0</v>
      </c>
      <c r="S544" s="91">
        <v>0</v>
      </c>
      <c r="T544" s="92">
        <f>S544*H544</f>
        <v>0</v>
      </c>
      <c r="AR544" s="93" t="s">
        <v>82</v>
      </c>
      <c r="AT544" s="93" t="s">
        <v>85</v>
      </c>
      <c r="AU544" s="93" t="s">
        <v>84</v>
      </c>
      <c r="AY544" s="3" t="s">
        <v>83</v>
      </c>
      <c r="BE544" s="94">
        <f>IF(N544="základní",J544,0)</f>
        <v>0</v>
      </c>
      <c r="BF544" s="94">
        <f>IF(N544="snížená",J544,0)</f>
        <v>0</v>
      </c>
      <c r="BG544" s="94">
        <f>IF(N544="zákl. přenesená",J544,0)</f>
        <v>0</v>
      </c>
      <c r="BH544" s="94">
        <f>IF(N544="sníž. přenesená",J544,0)</f>
        <v>0</v>
      </c>
      <c r="BI544" s="94">
        <f>IF(N544="nulová",J544,0)</f>
        <v>0</v>
      </c>
      <c r="BJ544" s="3" t="s">
        <v>84</v>
      </c>
      <c r="BK544" s="94">
        <f>ROUND(I544*H544,2)</f>
        <v>0</v>
      </c>
      <c r="BL544" s="3" t="s">
        <v>82</v>
      </c>
      <c r="BM544" s="93" t="s">
        <v>824</v>
      </c>
    </row>
    <row r="545" spans="2:65" s="14" customFormat="1" x14ac:dyDescent="0.2">
      <c r="B545" s="13"/>
      <c r="D545" s="95" t="s">
        <v>90</v>
      </c>
      <c r="F545" s="96" t="s">
        <v>825</v>
      </c>
      <c r="L545" s="13"/>
      <c r="M545" s="97"/>
      <c r="T545" s="98"/>
      <c r="AT545" s="3" t="s">
        <v>90</v>
      </c>
      <c r="AU545" s="3" t="s">
        <v>84</v>
      </c>
    </row>
    <row r="546" spans="2:65" s="100" customFormat="1" x14ac:dyDescent="0.2">
      <c r="B546" s="99"/>
      <c r="D546" s="95" t="s">
        <v>92</v>
      </c>
      <c r="E546" s="101" t="s">
        <v>826</v>
      </c>
      <c r="F546" s="102" t="s">
        <v>827</v>
      </c>
      <c r="H546" s="103">
        <v>73.381500000000003</v>
      </c>
      <c r="L546" s="99"/>
      <c r="M546" s="104"/>
      <c r="T546" s="105"/>
      <c r="AT546" s="101" t="s">
        <v>92</v>
      </c>
      <c r="AU546" s="101" t="s">
        <v>84</v>
      </c>
      <c r="AV546" s="100" t="s">
        <v>5</v>
      </c>
      <c r="AW546" s="100" t="s">
        <v>95</v>
      </c>
      <c r="AX546" s="100" t="s">
        <v>80</v>
      </c>
      <c r="AY546" s="101" t="s">
        <v>83</v>
      </c>
    </row>
    <row r="547" spans="2:65" s="100" customFormat="1" x14ac:dyDescent="0.2">
      <c r="B547" s="99"/>
      <c r="D547" s="95" t="s">
        <v>92</v>
      </c>
      <c r="E547" s="101" t="s">
        <v>828</v>
      </c>
      <c r="F547" s="102" t="s">
        <v>829</v>
      </c>
      <c r="H547" s="103">
        <v>73.396500000000003</v>
      </c>
      <c r="L547" s="99"/>
      <c r="M547" s="104"/>
      <c r="T547" s="105"/>
      <c r="AT547" s="101" t="s">
        <v>92</v>
      </c>
      <c r="AU547" s="101" t="s">
        <v>84</v>
      </c>
      <c r="AV547" s="100" t="s">
        <v>5</v>
      </c>
      <c r="AW547" s="100" t="s">
        <v>95</v>
      </c>
      <c r="AX547" s="100" t="s">
        <v>80</v>
      </c>
      <c r="AY547" s="101" t="s">
        <v>83</v>
      </c>
    </row>
    <row r="548" spans="2:65" s="100" customFormat="1" x14ac:dyDescent="0.2">
      <c r="B548" s="99"/>
      <c r="D548" s="95" t="s">
        <v>92</v>
      </c>
      <c r="E548" s="101" t="s">
        <v>3</v>
      </c>
      <c r="F548" s="102" t="s">
        <v>830</v>
      </c>
      <c r="H548" s="103">
        <v>146.779</v>
      </c>
      <c r="L548" s="99"/>
      <c r="M548" s="104"/>
      <c r="T548" s="105"/>
      <c r="AT548" s="101" t="s">
        <v>92</v>
      </c>
      <c r="AU548" s="101" t="s">
        <v>84</v>
      </c>
      <c r="AV548" s="100" t="s">
        <v>5</v>
      </c>
      <c r="AW548" s="100" t="s">
        <v>95</v>
      </c>
      <c r="AX548" s="100" t="s">
        <v>84</v>
      </c>
      <c r="AY548" s="101" t="s">
        <v>83</v>
      </c>
    </row>
    <row r="549" spans="2:65" s="72" customFormat="1" ht="25.95" customHeight="1" x14ac:dyDescent="0.25">
      <c r="B549" s="71"/>
      <c r="D549" s="73" t="s">
        <v>79</v>
      </c>
      <c r="E549" s="74" t="s">
        <v>148</v>
      </c>
      <c r="F549" s="74" t="s">
        <v>831</v>
      </c>
      <c r="J549" s="75">
        <f>BK549</f>
        <v>0</v>
      </c>
      <c r="L549" s="71"/>
      <c r="M549" s="76"/>
      <c r="P549" s="77">
        <f>SUM(P550:P574)</f>
        <v>0</v>
      </c>
      <c r="R549" s="77">
        <f>SUM(R550:R574)</f>
        <v>0</v>
      </c>
      <c r="T549" s="78">
        <f>SUM(T550:T574)</f>
        <v>0</v>
      </c>
      <c r="AR549" s="73" t="s">
        <v>82</v>
      </c>
      <c r="AT549" s="79" t="s">
        <v>79</v>
      </c>
      <c r="AU549" s="79" t="s">
        <v>80</v>
      </c>
      <c r="AY549" s="73" t="s">
        <v>83</v>
      </c>
      <c r="BK549" s="80">
        <f>SUM(BK550:BK574)</f>
        <v>0</v>
      </c>
    </row>
    <row r="550" spans="2:65" s="14" customFormat="1" ht="24.15" customHeight="1" x14ac:dyDescent="0.2">
      <c r="B550" s="81"/>
      <c r="C550" s="82" t="s">
        <v>832</v>
      </c>
      <c r="D550" s="82" t="s">
        <v>85</v>
      </c>
      <c r="E550" s="83" t="s">
        <v>833</v>
      </c>
      <c r="F550" s="84" t="s">
        <v>834</v>
      </c>
      <c r="G550" s="85" t="s">
        <v>173</v>
      </c>
      <c r="H550" s="86">
        <v>236.99700000000001</v>
      </c>
      <c r="I550" s="87">
        <v>0</v>
      </c>
      <c r="J550" s="87">
        <f>ROUND(I550*H550,2)</f>
        <v>0</v>
      </c>
      <c r="K550" s="88"/>
      <c r="L550" s="13"/>
      <c r="M550" s="89" t="s">
        <v>3</v>
      </c>
      <c r="N550" s="90" t="s">
        <v>36</v>
      </c>
      <c r="O550" s="91">
        <v>0</v>
      </c>
      <c r="P550" s="91">
        <f>O550*H550</f>
        <v>0</v>
      </c>
      <c r="Q550" s="91">
        <v>0</v>
      </c>
      <c r="R550" s="91">
        <f>Q550*H550</f>
        <v>0</v>
      </c>
      <c r="S550" s="91">
        <v>0</v>
      </c>
      <c r="T550" s="92">
        <f>S550*H550</f>
        <v>0</v>
      </c>
      <c r="AR550" s="93" t="s">
        <v>82</v>
      </c>
      <c r="AT550" s="93" t="s">
        <v>85</v>
      </c>
      <c r="AU550" s="93" t="s">
        <v>84</v>
      </c>
      <c r="AY550" s="3" t="s">
        <v>83</v>
      </c>
      <c r="BE550" s="94">
        <f>IF(N550="základní",J550,0)</f>
        <v>0</v>
      </c>
      <c r="BF550" s="94">
        <f>IF(N550="snížená",J550,0)</f>
        <v>0</v>
      </c>
      <c r="BG550" s="94">
        <f>IF(N550="zákl. přenesená",J550,0)</f>
        <v>0</v>
      </c>
      <c r="BH550" s="94">
        <f>IF(N550="sníž. přenesená",J550,0)</f>
        <v>0</v>
      </c>
      <c r="BI550" s="94">
        <f>IF(N550="nulová",J550,0)</f>
        <v>0</v>
      </c>
      <c r="BJ550" s="3" t="s">
        <v>84</v>
      </c>
      <c r="BK550" s="94">
        <f>ROUND(I550*H550,2)</f>
        <v>0</v>
      </c>
      <c r="BL550" s="3" t="s">
        <v>82</v>
      </c>
      <c r="BM550" s="93" t="s">
        <v>835</v>
      </c>
    </row>
    <row r="551" spans="2:65" s="14" customFormat="1" ht="28.8" x14ac:dyDescent="0.2">
      <c r="B551" s="13"/>
      <c r="D551" s="95" t="s">
        <v>90</v>
      </c>
      <c r="F551" s="96" t="s">
        <v>836</v>
      </c>
      <c r="L551" s="13"/>
      <c r="M551" s="97"/>
      <c r="T551" s="98"/>
      <c r="AT551" s="3" t="s">
        <v>90</v>
      </c>
      <c r="AU551" s="3" t="s">
        <v>84</v>
      </c>
    </row>
    <row r="552" spans="2:65" s="100" customFormat="1" x14ac:dyDescent="0.2">
      <c r="B552" s="99"/>
      <c r="D552" s="95" t="s">
        <v>92</v>
      </c>
      <c r="E552" s="101" t="s">
        <v>837</v>
      </c>
      <c r="F552" s="102" t="s">
        <v>838</v>
      </c>
      <c r="H552" s="103">
        <v>236.99700000000001</v>
      </c>
      <c r="L552" s="99"/>
      <c r="M552" s="104"/>
      <c r="T552" s="105"/>
      <c r="AT552" s="101" t="s">
        <v>92</v>
      </c>
      <c r="AU552" s="101" t="s">
        <v>84</v>
      </c>
      <c r="AV552" s="100" t="s">
        <v>5</v>
      </c>
      <c r="AW552" s="100" t="s">
        <v>95</v>
      </c>
      <c r="AX552" s="100" t="s">
        <v>80</v>
      </c>
      <c r="AY552" s="101" t="s">
        <v>83</v>
      </c>
    </row>
    <row r="553" spans="2:65" s="100" customFormat="1" x14ac:dyDescent="0.2">
      <c r="B553" s="99"/>
      <c r="D553" s="95" t="s">
        <v>92</v>
      </c>
      <c r="E553" s="101" t="s">
        <v>3</v>
      </c>
      <c r="F553" s="102" t="s">
        <v>839</v>
      </c>
      <c r="H553" s="103">
        <v>236.99700000000001</v>
      </c>
      <c r="L553" s="99"/>
      <c r="M553" s="104"/>
      <c r="T553" s="105"/>
      <c r="AT553" s="101" t="s">
        <v>92</v>
      </c>
      <c r="AU553" s="101" t="s">
        <v>84</v>
      </c>
      <c r="AV553" s="100" t="s">
        <v>5</v>
      </c>
      <c r="AW553" s="100" t="s">
        <v>95</v>
      </c>
      <c r="AX553" s="100" t="s">
        <v>84</v>
      </c>
      <c r="AY553" s="101" t="s">
        <v>83</v>
      </c>
    </row>
    <row r="554" spans="2:65" s="14" customFormat="1" ht="21.75" customHeight="1" x14ac:dyDescent="0.2">
      <c r="B554" s="81"/>
      <c r="C554" s="82" t="s">
        <v>840</v>
      </c>
      <c r="D554" s="82" t="s">
        <v>85</v>
      </c>
      <c r="E554" s="83" t="s">
        <v>841</v>
      </c>
      <c r="F554" s="84" t="s">
        <v>842</v>
      </c>
      <c r="G554" s="85" t="s">
        <v>173</v>
      </c>
      <c r="H554" s="86">
        <v>96.495000000000005</v>
      </c>
      <c r="I554" s="87">
        <v>0</v>
      </c>
      <c r="J554" s="87">
        <f>ROUND(I554*H554,2)</f>
        <v>0</v>
      </c>
      <c r="K554" s="88"/>
      <c r="L554" s="13"/>
      <c r="M554" s="89" t="s">
        <v>3</v>
      </c>
      <c r="N554" s="90" t="s">
        <v>36</v>
      </c>
      <c r="O554" s="91">
        <v>0</v>
      </c>
      <c r="P554" s="91">
        <f>O554*H554</f>
        <v>0</v>
      </c>
      <c r="Q554" s="91">
        <v>0</v>
      </c>
      <c r="R554" s="91">
        <f>Q554*H554</f>
        <v>0</v>
      </c>
      <c r="S554" s="91">
        <v>0</v>
      </c>
      <c r="T554" s="92">
        <f>S554*H554</f>
        <v>0</v>
      </c>
      <c r="AR554" s="93" t="s">
        <v>82</v>
      </c>
      <c r="AT554" s="93" t="s">
        <v>85</v>
      </c>
      <c r="AU554" s="93" t="s">
        <v>84</v>
      </c>
      <c r="AY554" s="3" t="s">
        <v>83</v>
      </c>
      <c r="BE554" s="94">
        <f>IF(N554="základní",J554,0)</f>
        <v>0</v>
      </c>
      <c r="BF554" s="94">
        <f>IF(N554="snížená",J554,0)</f>
        <v>0</v>
      </c>
      <c r="BG554" s="94">
        <f>IF(N554="zákl. přenesená",J554,0)</f>
        <v>0</v>
      </c>
      <c r="BH554" s="94">
        <f>IF(N554="sníž. přenesená",J554,0)</f>
        <v>0</v>
      </c>
      <c r="BI554" s="94">
        <f>IF(N554="nulová",J554,0)</f>
        <v>0</v>
      </c>
      <c r="BJ554" s="3" t="s">
        <v>84</v>
      </c>
      <c r="BK554" s="94">
        <f>ROUND(I554*H554,2)</f>
        <v>0</v>
      </c>
      <c r="BL554" s="3" t="s">
        <v>82</v>
      </c>
      <c r="BM554" s="93" t="s">
        <v>843</v>
      </c>
    </row>
    <row r="555" spans="2:65" s="14" customFormat="1" ht="19.2" x14ac:dyDescent="0.2">
      <c r="B555" s="13"/>
      <c r="D555" s="95" t="s">
        <v>90</v>
      </c>
      <c r="F555" s="96" t="s">
        <v>844</v>
      </c>
      <c r="L555" s="13"/>
      <c r="M555" s="97"/>
      <c r="T555" s="98"/>
      <c r="AT555" s="3" t="s">
        <v>90</v>
      </c>
      <c r="AU555" s="3" t="s">
        <v>84</v>
      </c>
    </row>
    <row r="556" spans="2:65" s="100" customFormat="1" x14ac:dyDescent="0.2">
      <c r="B556" s="99"/>
      <c r="D556" s="95" t="s">
        <v>92</v>
      </c>
      <c r="E556" s="101" t="s">
        <v>845</v>
      </c>
      <c r="F556" s="102" t="s">
        <v>846</v>
      </c>
      <c r="H556" s="103">
        <v>49.674999999999997</v>
      </c>
      <c r="L556" s="99"/>
      <c r="M556" s="104"/>
      <c r="T556" s="105"/>
      <c r="AT556" s="101" t="s">
        <v>92</v>
      </c>
      <c r="AU556" s="101" t="s">
        <v>84</v>
      </c>
      <c r="AV556" s="100" t="s">
        <v>5</v>
      </c>
      <c r="AW556" s="100" t="s">
        <v>95</v>
      </c>
      <c r="AX556" s="100" t="s">
        <v>80</v>
      </c>
      <c r="AY556" s="101" t="s">
        <v>83</v>
      </c>
    </row>
    <row r="557" spans="2:65" s="100" customFormat="1" x14ac:dyDescent="0.2">
      <c r="B557" s="99"/>
      <c r="D557" s="95" t="s">
        <v>92</v>
      </c>
      <c r="E557" s="101" t="s">
        <v>847</v>
      </c>
      <c r="F557" s="102" t="s">
        <v>848</v>
      </c>
      <c r="H557" s="103">
        <v>46.82</v>
      </c>
      <c r="L557" s="99"/>
      <c r="M557" s="104"/>
      <c r="T557" s="105"/>
      <c r="AT557" s="101" t="s">
        <v>92</v>
      </c>
      <c r="AU557" s="101" t="s">
        <v>84</v>
      </c>
      <c r="AV557" s="100" t="s">
        <v>5</v>
      </c>
      <c r="AW557" s="100" t="s">
        <v>95</v>
      </c>
      <c r="AX557" s="100" t="s">
        <v>80</v>
      </c>
      <c r="AY557" s="101" t="s">
        <v>83</v>
      </c>
    </row>
    <row r="558" spans="2:65" s="100" customFormat="1" x14ac:dyDescent="0.2">
      <c r="B558" s="99"/>
      <c r="D558" s="95" t="s">
        <v>92</v>
      </c>
      <c r="E558" s="101" t="s">
        <v>3</v>
      </c>
      <c r="F558" s="102" t="s">
        <v>849</v>
      </c>
      <c r="H558" s="103">
        <v>96.495000000000005</v>
      </c>
      <c r="L558" s="99"/>
      <c r="M558" s="104"/>
      <c r="T558" s="105"/>
      <c r="AT558" s="101" t="s">
        <v>92</v>
      </c>
      <c r="AU558" s="101" t="s">
        <v>84</v>
      </c>
      <c r="AV558" s="100" t="s">
        <v>5</v>
      </c>
      <c r="AW558" s="100" t="s">
        <v>95</v>
      </c>
      <c r="AX558" s="100" t="s">
        <v>84</v>
      </c>
      <c r="AY558" s="101" t="s">
        <v>83</v>
      </c>
    </row>
    <row r="559" spans="2:65" s="14" customFormat="1" ht="21.75" customHeight="1" x14ac:dyDescent="0.2">
      <c r="B559" s="81"/>
      <c r="C559" s="82" t="s">
        <v>850</v>
      </c>
      <c r="D559" s="82" t="s">
        <v>85</v>
      </c>
      <c r="E559" s="83" t="s">
        <v>851</v>
      </c>
      <c r="F559" s="84" t="s">
        <v>852</v>
      </c>
      <c r="G559" s="85" t="s">
        <v>173</v>
      </c>
      <c r="H559" s="86">
        <v>723.93</v>
      </c>
      <c r="I559" s="87">
        <v>0</v>
      </c>
      <c r="J559" s="87">
        <f>ROUND(I559*H559,2)</f>
        <v>0</v>
      </c>
      <c r="K559" s="88"/>
      <c r="L559" s="13"/>
      <c r="M559" s="89" t="s">
        <v>3</v>
      </c>
      <c r="N559" s="90" t="s">
        <v>36</v>
      </c>
      <c r="O559" s="91">
        <v>0</v>
      </c>
      <c r="P559" s="91">
        <f>O559*H559</f>
        <v>0</v>
      </c>
      <c r="Q559" s="91">
        <v>0</v>
      </c>
      <c r="R559" s="91">
        <f>Q559*H559</f>
        <v>0</v>
      </c>
      <c r="S559" s="91">
        <v>0</v>
      </c>
      <c r="T559" s="92">
        <f>S559*H559</f>
        <v>0</v>
      </c>
      <c r="AR559" s="93" t="s">
        <v>82</v>
      </c>
      <c r="AT559" s="93" t="s">
        <v>85</v>
      </c>
      <c r="AU559" s="93" t="s">
        <v>84</v>
      </c>
      <c r="AY559" s="3" t="s">
        <v>83</v>
      </c>
      <c r="BE559" s="94">
        <f>IF(N559="základní",J559,0)</f>
        <v>0</v>
      </c>
      <c r="BF559" s="94">
        <f>IF(N559="snížená",J559,0)</f>
        <v>0</v>
      </c>
      <c r="BG559" s="94">
        <f>IF(N559="zákl. přenesená",J559,0)</f>
        <v>0</v>
      </c>
      <c r="BH559" s="94">
        <f>IF(N559="sníž. přenesená",J559,0)</f>
        <v>0</v>
      </c>
      <c r="BI559" s="94">
        <f>IF(N559="nulová",J559,0)</f>
        <v>0</v>
      </c>
      <c r="BJ559" s="3" t="s">
        <v>84</v>
      </c>
      <c r="BK559" s="94">
        <f>ROUND(I559*H559,2)</f>
        <v>0</v>
      </c>
      <c r="BL559" s="3" t="s">
        <v>82</v>
      </c>
      <c r="BM559" s="93" t="s">
        <v>853</v>
      </c>
    </row>
    <row r="560" spans="2:65" s="14" customFormat="1" x14ac:dyDescent="0.2">
      <c r="B560" s="13"/>
      <c r="D560" s="95" t="s">
        <v>90</v>
      </c>
      <c r="F560" s="96" t="s">
        <v>854</v>
      </c>
      <c r="L560" s="13"/>
      <c r="M560" s="97"/>
      <c r="T560" s="98"/>
      <c r="AT560" s="3" t="s">
        <v>90</v>
      </c>
      <c r="AU560" s="3" t="s">
        <v>84</v>
      </c>
    </row>
    <row r="561" spans="2:65" s="100" customFormat="1" x14ac:dyDescent="0.2">
      <c r="B561" s="99"/>
      <c r="D561" s="95" t="s">
        <v>92</v>
      </c>
      <c r="E561" s="101" t="s">
        <v>855</v>
      </c>
      <c r="F561" s="102" t="s">
        <v>856</v>
      </c>
      <c r="H561" s="103">
        <v>723.93000000000006</v>
      </c>
      <c r="L561" s="99"/>
      <c r="M561" s="104"/>
      <c r="T561" s="105"/>
      <c r="AT561" s="101" t="s">
        <v>92</v>
      </c>
      <c r="AU561" s="101" t="s">
        <v>84</v>
      </c>
      <c r="AV561" s="100" t="s">
        <v>5</v>
      </c>
      <c r="AW561" s="100" t="s">
        <v>95</v>
      </c>
      <c r="AX561" s="100" t="s">
        <v>80</v>
      </c>
      <c r="AY561" s="101" t="s">
        <v>83</v>
      </c>
    </row>
    <row r="562" spans="2:65" s="100" customFormat="1" x14ac:dyDescent="0.2">
      <c r="B562" s="99"/>
      <c r="D562" s="95" t="s">
        <v>92</v>
      </c>
      <c r="E562" s="101" t="s">
        <v>3</v>
      </c>
      <c r="F562" s="102" t="s">
        <v>857</v>
      </c>
      <c r="H562" s="103">
        <v>723.93</v>
      </c>
      <c r="L562" s="99"/>
      <c r="M562" s="104"/>
      <c r="T562" s="105"/>
      <c r="AT562" s="101" t="s">
        <v>92</v>
      </c>
      <c r="AU562" s="101" t="s">
        <v>84</v>
      </c>
      <c r="AV562" s="100" t="s">
        <v>5</v>
      </c>
      <c r="AW562" s="100" t="s">
        <v>95</v>
      </c>
      <c r="AX562" s="100" t="s">
        <v>84</v>
      </c>
      <c r="AY562" s="101" t="s">
        <v>83</v>
      </c>
    </row>
    <row r="563" spans="2:65" s="14" customFormat="1" ht="21.75" customHeight="1" x14ac:dyDescent="0.2">
      <c r="B563" s="81"/>
      <c r="C563" s="82" t="s">
        <v>858</v>
      </c>
      <c r="D563" s="82" t="s">
        <v>85</v>
      </c>
      <c r="E563" s="83" t="s">
        <v>859</v>
      </c>
      <c r="F563" s="84" t="s">
        <v>860</v>
      </c>
      <c r="G563" s="85" t="s">
        <v>173</v>
      </c>
      <c r="H563" s="86">
        <v>3.2</v>
      </c>
      <c r="I563" s="87">
        <v>0</v>
      </c>
      <c r="J563" s="87">
        <f>ROUND(I563*H563,2)</f>
        <v>0</v>
      </c>
      <c r="K563" s="88"/>
      <c r="L563" s="13"/>
      <c r="M563" s="89" t="s">
        <v>3</v>
      </c>
      <c r="N563" s="90" t="s">
        <v>36</v>
      </c>
      <c r="O563" s="91">
        <v>0</v>
      </c>
      <c r="P563" s="91">
        <f>O563*H563</f>
        <v>0</v>
      </c>
      <c r="Q563" s="91">
        <v>0</v>
      </c>
      <c r="R563" s="91">
        <f>Q563*H563</f>
        <v>0</v>
      </c>
      <c r="S563" s="91">
        <v>0</v>
      </c>
      <c r="T563" s="92">
        <f>S563*H563</f>
        <v>0</v>
      </c>
      <c r="AR563" s="93" t="s">
        <v>82</v>
      </c>
      <c r="AT563" s="93" t="s">
        <v>85</v>
      </c>
      <c r="AU563" s="93" t="s">
        <v>84</v>
      </c>
      <c r="AY563" s="3" t="s">
        <v>83</v>
      </c>
      <c r="BE563" s="94">
        <f>IF(N563="základní",J563,0)</f>
        <v>0</v>
      </c>
      <c r="BF563" s="94">
        <f>IF(N563="snížená",J563,0)</f>
        <v>0</v>
      </c>
      <c r="BG563" s="94">
        <f>IF(N563="zákl. přenesená",J563,0)</f>
        <v>0</v>
      </c>
      <c r="BH563" s="94">
        <f>IF(N563="sníž. přenesená",J563,0)</f>
        <v>0</v>
      </c>
      <c r="BI563" s="94">
        <f>IF(N563="nulová",J563,0)</f>
        <v>0</v>
      </c>
      <c r="BJ563" s="3" t="s">
        <v>84</v>
      </c>
      <c r="BK563" s="94">
        <f>ROUND(I563*H563,2)</f>
        <v>0</v>
      </c>
      <c r="BL563" s="3" t="s">
        <v>82</v>
      </c>
      <c r="BM563" s="93" t="s">
        <v>861</v>
      </c>
    </row>
    <row r="564" spans="2:65" s="14" customFormat="1" x14ac:dyDescent="0.2">
      <c r="B564" s="13"/>
      <c r="D564" s="95" t="s">
        <v>90</v>
      </c>
      <c r="F564" s="96" t="s">
        <v>862</v>
      </c>
      <c r="L564" s="13"/>
      <c r="M564" s="97"/>
      <c r="T564" s="98"/>
      <c r="AT564" s="3" t="s">
        <v>90</v>
      </c>
      <c r="AU564" s="3" t="s">
        <v>84</v>
      </c>
    </row>
    <row r="565" spans="2:65" s="100" customFormat="1" x14ac:dyDescent="0.2">
      <c r="B565" s="99"/>
      <c r="D565" s="95" t="s">
        <v>92</v>
      </c>
      <c r="E565" s="101" t="s">
        <v>863</v>
      </c>
      <c r="F565" s="102" t="s">
        <v>864</v>
      </c>
      <c r="H565" s="103">
        <v>3.2</v>
      </c>
      <c r="L565" s="99"/>
      <c r="M565" s="104"/>
      <c r="T565" s="105"/>
      <c r="AT565" s="101" t="s">
        <v>92</v>
      </c>
      <c r="AU565" s="101" t="s">
        <v>84</v>
      </c>
      <c r="AV565" s="100" t="s">
        <v>5</v>
      </c>
      <c r="AW565" s="100" t="s">
        <v>95</v>
      </c>
      <c r="AX565" s="100" t="s">
        <v>80</v>
      </c>
      <c r="AY565" s="101" t="s">
        <v>83</v>
      </c>
    </row>
    <row r="566" spans="2:65" s="100" customFormat="1" x14ac:dyDescent="0.2">
      <c r="B566" s="99"/>
      <c r="D566" s="95" t="s">
        <v>92</v>
      </c>
      <c r="E566" s="101" t="s">
        <v>3</v>
      </c>
      <c r="F566" s="102" t="s">
        <v>865</v>
      </c>
      <c r="H566" s="103">
        <v>3.2</v>
      </c>
      <c r="L566" s="99"/>
      <c r="M566" s="104"/>
      <c r="T566" s="105"/>
      <c r="AT566" s="101" t="s">
        <v>92</v>
      </c>
      <c r="AU566" s="101" t="s">
        <v>84</v>
      </c>
      <c r="AV566" s="100" t="s">
        <v>5</v>
      </c>
      <c r="AW566" s="100" t="s">
        <v>95</v>
      </c>
      <c r="AX566" s="100" t="s">
        <v>84</v>
      </c>
      <c r="AY566" s="101" t="s">
        <v>83</v>
      </c>
    </row>
    <row r="567" spans="2:65" s="14" customFormat="1" ht="21.75" customHeight="1" x14ac:dyDescent="0.2">
      <c r="B567" s="81"/>
      <c r="C567" s="82" t="s">
        <v>866</v>
      </c>
      <c r="D567" s="82" t="s">
        <v>85</v>
      </c>
      <c r="E567" s="83" t="s">
        <v>867</v>
      </c>
      <c r="F567" s="84" t="s">
        <v>868</v>
      </c>
      <c r="G567" s="85" t="s">
        <v>173</v>
      </c>
      <c r="H567" s="86">
        <v>1.2</v>
      </c>
      <c r="I567" s="87">
        <v>0</v>
      </c>
      <c r="J567" s="87">
        <f>ROUND(I567*H567,2)</f>
        <v>0</v>
      </c>
      <c r="K567" s="88"/>
      <c r="L567" s="13"/>
      <c r="M567" s="89" t="s">
        <v>3</v>
      </c>
      <c r="N567" s="90" t="s">
        <v>36</v>
      </c>
      <c r="O567" s="91">
        <v>0</v>
      </c>
      <c r="P567" s="91">
        <f>O567*H567</f>
        <v>0</v>
      </c>
      <c r="Q567" s="91">
        <v>0</v>
      </c>
      <c r="R567" s="91">
        <f>Q567*H567</f>
        <v>0</v>
      </c>
      <c r="S567" s="91">
        <v>0</v>
      </c>
      <c r="T567" s="92">
        <f>S567*H567</f>
        <v>0</v>
      </c>
      <c r="AR567" s="93" t="s">
        <v>82</v>
      </c>
      <c r="AT567" s="93" t="s">
        <v>85</v>
      </c>
      <c r="AU567" s="93" t="s">
        <v>84</v>
      </c>
      <c r="AY567" s="3" t="s">
        <v>83</v>
      </c>
      <c r="BE567" s="94">
        <f>IF(N567="základní",J567,0)</f>
        <v>0</v>
      </c>
      <c r="BF567" s="94">
        <f>IF(N567="snížená",J567,0)</f>
        <v>0</v>
      </c>
      <c r="BG567" s="94">
        <f>IF(N567="zákl. přenesená",J567,0)</f>
        <v>0</v>
      </c>
      <c r="BH567" s="94">
        <f>IF(N567="sníž. přenesená",J567,0)</f>
        <v>0</v>
      </c>
      <c r="BI567" s="94">
        <f>IF(N567="nulová",J567,0)</f>
        <v>0</v>
      </c>
      <c r="BJ567" s="3" t="s">
        <v>84</v>
      </c>
      <c r="BK567" s="94">
        <f>ROUND(I567*H567,2)</f>
        <v>0</v>
      </c>
      <c r="BL567" s="3" t="s">
        <v>82</v>
      </c>
      <c r="BM567" s="93" t="s">
        <v>869</v>
      </c>
    </row>
    <row r="568" spans="2:65" s="14" customFormat="1" x14ac:dyDescent="0.2">
      <c r="B568" s="13"/>
      <c r="D568" s="95" t="s">
        <v>90</v>
      </c>
      <c r="F568" s="96" t="s">
        <v>870</v>
      </c>
      <c r="L568" s="13"/>
      <c r="M568" s="97"/>
      <c r="T568" s="98"/>
      <c r="AT568" s="3" t="s">
        <v>90</v>
      </c>
      <c r="AU568" s="3" t="s">
        <v>84</v>
      </c>
    </row>
    <row r="569" spans="2:65" s="100" customFormat="1" x14ac:dyDescent="0.2">
      <c r="B569" s="99"/>
      <c r="D569" s="95" t="s">
        <v>92</v>
      </c>
      <c r="E569" s="101" t="s">
        <v>871</v>
      </c>
      <c r="F569" s="102" t="s">
        <v>872</v>
      </c>
      <c r="H569" s="103">
        <v>1.2</v>
      </c>
      <c r="L569" s="99"/>
      <c r="M569" s="104"/>
      <c r="T569" s="105"/>
      <c r="AT569" s="101" t="s">
        <v>92</v>
      </c>
      <c r="AU569" s="101" t="s">
        <v>84</v>
      </c>
      <c r="AV569" s="100" t="s">
        <v>5</v>
      </c>
      <c r="AW569" s="100" t="s">
        <v>95</v>
      </c>
      <c r="AX569" s="100" t="s">
        <v>80</v>
      </c>
      <c r="AY569" s="101" t="s">
        <v>83</v>
      </c>
    </row>
    <row r="570" spans="2:65" s="100" customFormat="1" x14ac:dyDescent="0.2">
      <c r="B570" s="99"/>
      <c r="D570" s="95" t="s">
        <v>92</v>
      </c>
      <c r="E570" s="101" t="s">
        <v>3</v>
      </c>
      <c r="F570" s="102" t="s">
        <v>873</v>
      </c>
      <c r="H570" s="103">
        <v>1.2</v>
      </c>
      <c r="L570" s="99"/>
      <c r="M570" s="104"/>
      <c r="T570" s="105"/>
      <c r="AT570" s="101" t="s">
        <v>92</v>
      </c>
      <c r="AU570" s="101" t="s">
        <v>84</v>
      </c>
      <c r="AV570" s="100" t="s">
        <v>5</v>
      </c>
      <c r="AW570" s="100" t="s">
        <v>95</v>
      </c>
      <c r="AX570" s="100" t="s">
        <v>84</v>
      </c>
      <c r="AY570" s="101" t="s">
        <v>83</v>
      </c>
    </row>
    <row r="571" spans="2:65" s="14" customFormat="1" ht="16.5" customHeight="1" x14ac:dyDescent="0.2">
      <c r="B571" s="81"/>
      <c r="C571" s="82" t="s">
        <v>874</v>
      </c>
      <c r="D571" s="82" t="s">
        <v>85</v>
      </c>
      <c r="E571" s="83" t="s">
        <v>875</v>
      </c>
      <c r="F571" s="84" t="s">
        <v>876</v>
      </c>
      <c r="G571" s="85" t="s">
        <v>138</v>
      </c>
      <c r="H571" s="86">
        <v>3</v>
      </c>
      <c r="I571" s="87">
        <v>0</v>
      </c>
      <c r="J571" s="87">
        <f>ROUND(I571*H571,2)</f>
        <v>0</v>
      </c>
      <c r="K571" s="88"/>
      <c r="L571" s="13"/>
      <c r="M571" s="89" t="s">
        <v>3</v>
      </c>
      <c r="N571" s="90" t="s">
        <v>36</v>
      </c>
      <c r="O571" s="91">
        <v>0</v>
      </c>
      <c r="P571" s="91">
        <f>O571*H571</f>
        <v>0</v>
      </c>
      <c r="Q571" s="91">
        <v>0</v>
      </c>
      <c r="R571" s="91">
        <f>Q571*H571</f>
        <v>0</v>
      </c>
      <c r="S571" s="91">
        <v>0</v>
      </c>
      <c r="T571" s="92">
        <f>S571*H571</f>
        <v>0</v>
      </c>
      <c r="AR571" s="93" t="s">
        <v>82</v>
      </c>
      <c r="AT571" s="93" t="s">
        <v>85</v>
      </c>
      <c r="AU571" s="93" t="s">
        <v>84</v>
      </c>
      <c r="AY571" s="3" t="s">
        <v>83</v>
      </c>
      <c r="BE571" s="94">
        <f>IF(N571="základní",J571,0)</f>
        <v>0</v>
      </c>
      <c r="BF571" s="94">
        <f>IF(N571="snížená",J571,0)</f>
        <v>0</v>
      </c>
      <c r="BG571" s="94">
        <f>IF(N571="zákl. přenesená",J571,0)</f>
        <v>0</v>
      </c>
      <c r="BH571" s="94">
        <f>IF(N571="sníž. přenesená",J571,0)</f>
        <v>0</v>
      </c>
      <c r="BI571" s="94">
        <f>IF(N571="nulová",J571,0)</f>
        <v>0</v>
      </c>
      <c r="BJ571" s="3" t="s">
        <v>84</v>
      </c>
      <c r="BK571" s="94">
        <f>ROUND(I571*H571,2)</f>
        <v>0</v>
      </c>
      <c r="BL571" s="3" t="s">
        <v>82</v>
      </c>
      <c r="BM571" s="93" t="s">
        <v>877</v>
      </c>
    </row>
    <row r="572" spans="2:65" s="14" customFormat="1" x14ac:dyDescent="0.2">
      <c r="B572" s="13"/>
      <c r="D572" s="95" t="s">
        <v>90</v>
      </c>
      <c r="F572" s="96" t="s">
        <v>878</v>
      </c>
      <c r="L572" s="13"/>
      <c r="M572" s="97"/>
      <c r="T572" s="98"/>
      <c r="AT572" s="3" t="s">
        <v>90</v>
      </c>
      <c r="AU572" s="3" t="s">
        <v>84</v>
      </c>
    </row>
    <row r="573" spans="2:65" s="100" customFormat="1" x14ac:dyDescent="0.2">
      <c r="B573" s="99"/>
      <c r="D573" s="95" t="s">
        <v>92</v>
      </c>
      <c r="E573" s="101" t="s">
        <v>879</v>
      </c>
      <c r="F573" s="102" t="s">
        <v>111</v>
      </c>
      <c r="H573" s="103">
        <v>3</v>
      </c>
      <c r="L573" s="99"/>
      <c r="M573" s="104"/>
      <c r="T573" s="105"/>
      <c r="AT573" s="101" t="s">
        <v>92</v>
      </c>
      <c r="AU573" s="101" t="s">
        <v>84</v>
      </c>
      <c r="AV573" s="100" t="s">
        <v>5</v>
      </c>
      <c r="AW573" s="100" t="s">
        <v>95</v>
      </c>
      <c r="AX573" s="100" t="s">
        <v>80</v>
      </c>
      <c r="AY573" s="101" t="s">
        <v>83</v>
      </c>
    </row>
    <row r="574" spans="2:65" s="100" customFormat="1" x14ac:dyDescent="0.2">
      <c r="B574" s="99"/>
      <c r="D574" s="95" t="s">
        <v>92</v>
      </c>
      <c r="E574" s="101" t="s">
        <v>3</v>
      </c>
      <c r="F574" s="102" t="s">
        <v>880</v>
      </c>
      <c r="H574" s="103">
        <v>3</v>
      </c>
      <c r="L574" s="99"/>
      <c r="M574" s="104"/>
      <c r="T574" s="105"/>
      <c r="AT574" s="101" t="s">
        <v>92</v>
      </c>
      <c r="AU574" s="101" t="s">
        <v>84</v>
      </c>
      <c r="AV574" s="100" t="s">
        <v>5</v>
      </c>
      <c r="AW574" s="100" t="s">
        <v>95</v>
      </c>
      <c r="AX574" s="100" t="s">
        <v>84</v>
      </c>
      <c r="AY574" s="101" t="s">
        <v>83</v>
      </c>
    </row>
    <row r="575" spans="2:65" s="72" customFormat="1" ht="25.95" customHeight="1" x14ac:dyDescent="0.25">
      <c r="B575" s="71"/>
      <c r="D575" s="73" t="s">
        <v>79</v>
      </c>
      <c r="E575" s="74" t="s">
        <v>156</v>
      </c>
      <c r="F575" s="74" t="s">
        <v>881</v>
      </c>
      <c r="J575" s="75">
        <f>BK575</f>
        <v>0</v>
      </c>
      <c r="L575" s="71"/>
      <c r="M575" s="76"/>
      <c r="P575" s="77">
        <f>SUM(P576:P708)</f>
        <v>0</v>
      </c>
      <c r="R575" s="77">
        <f>SUM(R576:R708)</f>
        <v>0</v>
      </c>
      <c r="T575" s="78">
        <f>SUM(T576:T708)</f>
        <v>0</v>
      </c>
      <c r="AR575" s="73" t="s">
        <v>82</v>
      </c>
      <c r="AT575" s="79" t="s">
        <v>79</v>
      </c>
      <c r="AU575" s="79" t="s">
        <v>80</v>
      </c>
      <c r="AY575" s="73" t="s">
        <v>83</v>
      </c>
      <c r="BK575" s="80">
        <f>SUM(BK576:BK708)</f>
        <v>0</v>
      </c>
    </row>
    <row r="576" spans="2:65" s="14" customFormat="1" ht="24.15" customHeight="1" x14ac:dyDescent="0.2">
      <c r="B576" s="81"/>
      <c r="C576" s="82" t="s">
        <v>882</v>
      </c>
      <c r="D576" s="82" t="s">
        <v>85</v>
      </c>
      <c r="E576" s="83" t="s">
        <v>883</v>
      </c>
      <c r="F576" s="84" t="s">
        <v>884</v>
      </c>
      <c r="G576" s="85" t="s">
        <v>173</v>
      </c>
      <c r="H576" s="86">
        <v>169.96199999999999</v>
      </c>
      <c r="I576" s="87">
        <v>0</v>
      </c>
      <c r="J576" s="87">
        <f>ROUND(I576*H576,2)</f>
        <v>0</v>
      </c>
      <c r="K576" s="88"/>
      <c r="L576" s="13"/>
      <c r="M576" s="89" t="s">
        <v>3</v>
      </c>
      <c r="N576" s="90" t="s">
        <v>36</v>
      </c>
      <c r="O576" s="91">
        <v>0</v>
      </c>
      <c r="P576" s="91">
        <f>O576*H576</f>
        <v>0</v>
      </c>
      <c r="Q576" s="91">
        <v>0</v>
      </c>
      <c r="R576" s="91">
        <f>Q576*H576</f>
        <v>0</v>
      </c>
      <c r="S576" s="91">
        <v>0</v>
      </c>
      <c r="T576" s="92">
        <f>S576*H576</f>
        <v>0</v>
      </c>
      <c r="AR576" s="93" t="s">
        <v>82</v>
      </c>
      <c r="AT576" s="93" t="s">
        <v>85</v>
      </c>
      <c r="AU576" s="93" t="s">
        <v>84</v>
      </c>
      <c r="AY576" s="3" t="s">
        <v>83</v>
      </c>
      <c r="BE576" s="94">
        <f>IF(N576="základní",J576,0)</f>
        <v>0</v>
      </c>
      <c r="BF576" s="94">
        <f>IF(N576="snížená",J576,0)</f>
        <v>0</v>
      </c>
      <c r="BG576" s="94">
        <f>IF(N576="zákl. přenesená",J576,0)</f>
        <v>0</v>
      </c>
      <c r="BH576" s="94">
        <f>IF(N576="sníž. přenesená",J576,0)</f>
        <v>0</v>
      </c>
      <c r="BI576" s="94">
        <f>IF(N576="nulová",J576,0)</f>
        <v>0</v>
      </c>
      <c r="BJ576" s="3" t="s">
        <v>84</v>
      </c>
      <c r="BK576" s="94">
        <f>ROUND(I576*H576,2)</f>
        <v>0</v>
      </c>
      <c r="BL576" s="3" t="s">
        <v>82</v>
      </c>
      <c r="BM576" s="93" t="s">
        <v>885</v>
      </c>
    </row>
    <row r="577" spans="2:65" s="14" customFormat="1" ht="19.2" x14ac:dyDescent="0.2">
      <c r="B577" s="13"/>
      <c r="D577" s="95" t="s">
        <v>90</v>
      </c>
      <c r="F577" s="96" t="s">
        <v>886</v>
      </c>
      <c r="L577" s="13"/>
      <c r="M577" s="97"/>
      <c r="T577" s="98"/>
      <c r="AT577" s="3" t="s">
        <v>90</v>
      </c>
      <c r="AU577" s="3" t="s">
        <v>84</v>
      </c>
    </row>
    <row r="578" spans="2:65" s="100" customFormat="1" x14ac:dyDescent="0.2">
      <c r="B578" s="99"/>
      <c r="D578" s="95" t="s">
        <v>92</v>
      </c>
      <c r="E578" s="101" t="s">
        <v>887</v>
      </c>
      <c r="F578" s="102" t="s">
        <v>888</v>
      </c>
      <c r="H578" s="103">
        <v>16.149999999999999</v>
      </c>
      <c r="L578" s="99"/>
      <c r="M578" s="104"/>
      <c r="T578" s="105"/>
      <c r="AT578" s="101" t="s">
        <v>92</v>
      </c>
      <c r="AU578" s="101" t="s">
        <v>84</v>
      </c>
      <c r="AV578" s="100" t="s">
        <v>5</v>
      </c>
      <c r="AW578" s="100" t="s">
        <v>95</v>
      </c>
      <c r="AX578" s="100" t="s">
        <v>80</v>
      </c>
      <c r="AY578" s="101" t="s">
        <v>83</v>
      </c>
    </row>
    <row r="579" spans="2:65" s="100" customFormat="1" x14ac:dyDescent="0.2">
      <c r="B579" s="99"/>
      <c r="D579" s="95" t="s">
        <v>92</v>
      </c>
      <c r="E579" s="101" t="s">
        <v>889</v>
      </c>
      <c r="F579" s="102" t="s">
        <v>890</v>
      </c>
      <c r="H579" s="103">
        <v>29.58</v>
      </c>
      <c r="L579" s="99"/>
      <c r="M579" s="104"/>
      <c r="T579" s="105"/>
      <c r="AT579" s="101" t="s">
        <v>92</v>
      </c>
      <c r="AU579" s="101" t="s">
        <v>84</v>
      </c>
      <c r="AV579" s="100" t="s">
        <v>5</v>
      </c>
      <c r="AW579" s="100" t="s">
        <v>95</v>
      </c>
      <c r="AX579" s="100" t="s">
        <v>80</v>
      </c>
      <c r="AY579" s="101" t="s">
        <v>83</v>
      </c>
    </row>
    <row r="580" spans="2:65" s="100" customFormat="1" x14ac:dyDescent="0.2">
      <c r="B580" s="99"/>
      <c r="D580" s="95" t="s">
        <v>92</v>
      </c>
      <c r="E580" s="101" t="s">
        <v>891</v>
      </c>
      <c r="F580" s="102" t="s">
        <v>892</v>
      </c>
      <c r="H580" s="103">
        <v>54.3</v>
      </c>
      <c r="L580" s="99"/>
      <c r="M580" s="104"/>
      <c r="T580" s="105"/>
      <c r="AT580" s="101" t="s">
        <v>92</v>
      </c>
      <c r="AU580" s="101" t="s">
        <v>84</v>
      </c>
      <c r="AV580" s="100" t="s">
        <v>5</v>
      </c>
      <c r="AW580" s="100" t="s">
        <v>95</v>
      </c>
      <c r="AX580" s="100" t="s">
        <v>80</v>
      </c>
      <c r="AY580" s="101" t="s">
        <v>83</v>
      </c>
    </row>
    <row r="581" spans="2:65" s="100" customFormat="1" x14ac:dyDescent="0.2">
      <c r="B581" s="99"/>
      <c r="D581" s="95" t="s">
        <v>92</v>
      </c>
      <c r="E581" s="101" t="s">
        <v>893</v>
      </c>
      <c r="F581" s="102" t="s">
        <v>894</v>
      </c>
      <c r="H581" s="103">
        <v>32.24</v>
      </c>
      <c r="L581" s="99"/>
      <c r="M581" s="104"/>
      <c r="T581" s="105"/>
      <c r="AT581" s="101" t="s">
        <v>92</v>
      </c>
      <c r="AU581" s="101" t="s">
        <v>84</v>
      </c>
      <c r="AV581" s="100" t="s">
        <v>5</v>
      </c>
      <c r="AW581" s="100" t="s">
        <v>95</v>
      </c>
      <c r="AX581" s="100" t="s">
        <v>80</v>
      </c>
      <c r="AY581" s="101" t="s">
        <v>83</v>
      </c>
    </row>
    <row r="582" spans="2:65" s="100" customFormat="1" x14ac:dyDescent="0.2">
      <c r="B582" s="99"/>
      <c r="D582" s="95" t="s">
        <v>92</v>
      </c>
      <c r="E582" s="101" t="s">
        <v>895</v>
      </c>
      <c r="F582" s="102" t="s">
        <v>896</v>
      </c>
      <c r="H582" s="103">
        <v>32.192</v>
      </c>
      <c r="L582" s="99"/>
      <c r="M582" s="104"/>
      <c r="T582" s="105"/>
      <c r="AT582" s="101" t="s">
        <v>92</v>
      </c>
      <c r="AU582" s="101" t="s">
        <v>84</v>
      </c>
      <c r="AV582" s="100" t="s">
        <v>5</v>
      </c>
      <c r="AW582" s="100" t="s">
        <v>95</v>
      </c>
      <c r="AX582" s="100" t="s">
        <v>80</v>
      </c>
      <c r="AY582" s="101" t="s">
        <v>83</v>
      </c>
    </row>
    <row r="583" spans="2:65" s="100" customFormat="1" x14ac:dyDescent="0.2">
      <c r="B583" s="99"/>
      <c r="D583" s="95" t="s">
        <v>92</v>
      </c>
      <c r="E583" s="101" t="s">
        <v>897</v>
      </c>
      <c r="F583" s="102" t="s">
        <v>898</v>
      </c>
      <c r="H583" s="103">
        <v>5.5</v>
      </c>
      <c r="L583" s="99"/>
      <c r="M583" s="104"/>
      <c r="T583" s="105"/>
      <c r="AT583" s="101" t="s">
        <v>92</v>
      </c>
      <c r="AU583" s="101" t="s">
        <v>84</v>
      </c>
      <c r="AV583" s="100" t="s">
        <v>5</v>
      </c>
      <c r="AW583" s="100" t="s">
        <v>95</v>
      </c>
      <c r="AX583" s="100" t="s">
        <v>80</v>
      </c>
      <c r="AY583" s="101" t="s">
        <v>83</v>
      </c>
    </row>
    <row r="584" spans="2:65" s="100" customFormat="1" x14ac:dyDescent="0.2">
      <c r="B584" s="99"/>
      <c r="D584" s="95" t="s">
        <v>92</v>
      </c>
      <c r="E584" s="101" t="s">
        <v>3</v>
      </c>
      <c r="F584" s="102" t="s">
        <v>899</v>
      </c>
      <c r="H584" s="103">
        <v>169.96199999999999</v>
      </c>
      <c r="L584" s="99"/>
      <c r="M584" s="104"/>
      <c r="T584" s="105"/>
      <c r="AT584" s="101" t="s">
        <v>92</v>
      </c>
      <c r="AU584" s="101" t="s">
        <v>84</v>
      </c>
      <c r="AV584" s="100" t="s">
        <v>5</v>
      </c>
      <c r="AW584" s="100" t="s">
        <v>95</v>
      </c>
      <c r="AX584" s="100" t="s">
        <v>84</v>
      </c>
      <c r="AY584" s="101" t="s">
        <v>83</v>
      </c>
    </row>
    <row r="585" spans="2:65" s="14" customFormat="1" ht="24.15" customHeight="1" x14ac:dyDescent="0.2">
      <c r="B585" s="81"/>
      <c r="C585" s="82" t="s">
        <v>900</v>
      </c>
      <c r="D585" s="82" t="s">
        <v>85</v>
      </c>
      <c r="E585" s="83" t="s">
        <v>901</v>
      </c>
      <c r="F585" s="84" t="s">
        <v>902</v>
      </c>
      <c r="G585" s="85" t="s">
        <v>173</v>
      </c>
      <c r="H585" s="86">
        <v>229.6</v>
      </c>
      <c r="I585" s="87">
        <v>0</v>
      </c>
      <c r="J585" s="87">
        <f>ROUND(I585*H585,2)</f>
        <v>0</v>
      </c>
      <c r="K585" s="88"/>
      <c r="L585" s="13"/>
      <c r="M585" s="89" t="s">
        <v>3</v>
      </c>
      <c r="N585" s="90" t="s">
        <v>36</v>
      </c>
      <c r="O585" s="91">
        <v>0</v>
      </c>
      <c r="P585" s="91">
        <f>O585*H585</f>
        <v>0</v>
      </c>
      <c r="Q585" s="91">
        <v>0</v>
      </c>
      <c r="R585" s="91">
        <f>Q585*H585</f>
        <v>0</v>
      </c>
      <c r="S585" s="91">
        <v>0</v>
      </c>
      <c r="T585" s="92">
        <f>S585*H585</f>
        <v>0</v>
      </c>
      <c r="AR585" s="93" t="s">
        <v>82</v>
      </c>
      <c r="AT585" s="93" t="s">
        <v>85</v>
      </c>
      <c r="AU585" s="93" t="s">
        <v>84</v>
      </c>
      <c r="AY585" s="3" t="s">
        <v>83</v>
      </c>
      <c r="BE585" s="94">
        <f>IF(N585="základní",J585,0)</f>
        <v>0</v>
      </c>
      <c r="BF585" s="94">
        <f>IF(N585="snížená",J585,0)</f>
        <v>0</v>
      </c>
      <c r="BG585" s="94">
        <f>IF(N585="zákl. přenesená",J585,0)</f>
        <v>0</v>
      </c>
      <c r="BH585" s="94">
        <f>IF(N585="sníž. přenesená",J585,0)</f>
        <v>0</v>
      </c>
      <c r="BI585" s="94">
        <f>IF(N585="nulová",J585,0)</f>
        <v>0</v>
      </c>
      <c r="BJ585" s="3" t="s">
        <v>84</v>
      </c>
      <c r="BK585" s="94">
        <f>ROUND(I585*H585,2)</f>
        <v>0</v>
      </c>
      <c r="BL585" s="3" t="s">
        <v>82</v>
      </c>
      <c r="BM585" s="93" t="s">
        <v>903</v>
      </c>
    </row>
    <row r="586" spans="2:65" s="14" customFormat="1" x14ac:dyDescent="0.2">
      <c r="B586" s="13"/>
      <c r="D586" s="95" t="s">
        <v>90</v>
      </c>
      <c r="F586" s="96" t="s">
        <v>904</v>
      </c>
      <c r="L586" s="13"/>
      <c r="M586" s="97"/>
      <c r="T586" s="98"/>
      <c r="AT586" s="3" t="s">
        <v>90</v>
      </c>
      <c r="AU586" s="3" t="s">
        <v>84</v>
      </c>
    </row>
    <row r="587" spans="2:65" s="100" customFormat="1" x14ac:dyDescent="0.2">
      <c r="B587" s="99"/>
      <c r="D587" s="95" t="s">
        <v>92</v>
      </c>
      <c r="E587" s="101" t="s">
        <v>905</v>
      </c>
      <c r="F587" s="102" t="s">
        <v>906</v>
      </c>
      <c r="H587" s="103">
        <v>229.6</v>
      </c>
      <c r="L587" s="99"/>
      <c r="M587" s="104"/>
      <c r="T587" s="105"/>
      <c r="AT587" s="101" t="s">
        <v>92</v>
      </c>
      <c r="AU587" s="101" t="s">
        <v>84</v>
      </c>
      <c r="AV587" s="100" t="s">
        <v>5</v>
      </c>
      <c r="AW587" s="100" t="s">
        <v>95</v>
      </c>
      <c r="AX587" s="100" t="s">
        <v>80</v>
      </c>
      <c r="AY587" s="101" t="s">
        <v>83</v>
      </c>
    </row>
    <row r="588" spans="2:65" s="100" customFormat="1" x14ac:dyDescent="0.2">
      <c r="B588" s="99"/>
      <c r="D588" s="95" t="s">
        <v>92</v>
      </c>
      <c r="E588" s="101" t="s">
        <v>3</v>
      </c>
      <c r="F588" s="102" t="s">
        <v>907</v>
      </c>
      <c r="H588" s="103">
        <v>229.6</v>
      </c>
      <c r="L588" s="99"/>
      <c r="M588" s="104"/>
      <c r="T588" s="105"/>
      <c r="AT588" s="101" t="s">
        <v>92</v>
      </c>
      <c r="AU588" s="101" t="s">
        <v>84</v>
      </c>
      <c r="AV588" s="100" t="s">
        <v>5</v>
      </c>
      <c r="AW588" s="100" t="s">
        <v>95</v>
      </c>
      <c r="AX588" s="100" t="s">
        <v>84</v>
      </c>
      <c r="AY588" s="101" t="s">
        <v>83</v>
      </c>
    </row>
    <row r="589" spans="2:65" s="14" customFormat="1" ht="24.15" customHeight="1" x14ac:dyDescent="0.2">
      <c r="B589" s="81"/>
      <c r="C589" s="82" t="s">
        <v>908</v>
      </c>
      <c r="D589" s="82" t="s">
        <v>85</v>
      </c>
      <c r="E589" s="83" t="s">
        <v>909</v>
      </c>
      <c r="F589" s="84" t="s">
        <v>910</v>
      </c>
      <c r="G589" s="85" t="s">
        <v>173</v>
      </c>
      <c r="H589" s="86">
        <v>489.26</v>
      </c>
      <c r="I589" s="87">
        <v>0</v>
      </c>
      <c r="J589" s="87">
        <f>ROUND(I589*H589,2)</f>
        <v>0</v>
      </c>
      <c r="K589" s="88"/>
      <c r="L589" s="13"/>
      <c r="M589" s="89" t="s">
        <v>3</v>
      </c>
      <c r="N589" s="90" t="s">
        <v>36</v>
      </c>
      <c r="O589" s="91">
        <v>0</v>
      </c>
      <c r="P589" s="91">
        <f>O589*H589</f>
        <v>0</v>
      </c>
      <c r="Q589" s="91">
        <v>0</v>
      </c>
      <c r="R589" s="91">
        <f>Q589*H589</f>
        <v>0</v>
      </c>
      <c r="S589" s="91">
        <v>0</v>
      </c>
      <c r="T589" s="92">
        <f>S589*H589</f>
        <v>0</v>
      </c>
      <c r="AR589" s="93" t="s">
        <v>82</v>
      </c>
      <c r="AT589" s="93" t="s">
        <v>85</v>
      </c>
      <c r="AU589" s="93" t="s">
        <v>84</v>
      </c>
      <c r="AY589" s="3" t="s">
        <v>83</v>
      </c>
      <c r="BE589" s="94">
        <f>IF(N589="základní",J589,0)</f>
        <v>0</v>
      </c>
      <c r="BF589" s="94">
        <f>IF(N589="snížená",J589,0)</f>
        <v>0</v>
      </c>
      <c r="BG589" s="94">
        <f>IF(N589="zákl. přenesená",J589,0)</f>
        <v>0</v>
      </c>
      <c r="BH589" s="94">
        <f>IF(N589="sníž. přenesená",J589,0)</f>
        <v>0</v>
      </c>
      <c r="BI589" s="94">
        <f>IF(N589="nulová",J589,0)</f>
        <v>0</v>
      </c>
      <c r="BJ589" s="3" t="s">
        <v>84</v>
      </c>
      <c r="BK589" s="94">
        <f>ROUND(I589*H589,2)</f>
        <v>0</v>
      </c>
      <c r="BL589" s="3" t="s">
        <v>82</v>
      </c>
      <c r="BM589" s="93" t="s">
        <v>911</v>
      </c>
    </row>
    <row r="590" spans="2:65" s="14" customFormat="1" x14ac:dyDescent="0.2">
      <c r="B590" s="13"/>
      <c r="D590" s="95" t="s">
        <v>90</v>
      </c>
      <c r="F590" s="96" t="s">
        <v>912</v>
      </c>
      <c r="L590" s="13"/>
      <c r="M590" s="97"/>
      <c r="T590" s="98"/>
      <c r="AT590" s="3" t="s">
        <v>90</v>
      </c>
      <c r="AU590" s="3" t="s">
        <v>84</v>
      </c>
    </row>
    <row r="591" spans="2:65" s="107" customFormat="1" x14ac:dyDescent="0.2">
      <c r="B591" s="106"/>
      <c r="D591" s="95" t="s">
        <v>92</v>
      </c>
      <c r="E591" s="108" t="s">
        <v>3</v>
      </c>
      <c r="F591" s="109" t="s">
        <v>913</v>
      </c>
      <c r="H591" s="108" t="s">
        <v>3</v>
      </c>
      <c r="L591" s="106"/>
      <c r="M591" s="110"/>
      <c r="T591" s="111"/>
      <c r="AT591" s="108" t="s">
        <v>92</v>
      </c>
      <c r="AU591" s="108" t="s">
        <v>84</v>
      </c>
      <c r="AV591" s="107" t="s">
        <v>84</v>
      </c>
      <c r="AW591" s="107" t="s">
        <v>95</v>
      </c>
      <c r="AX591" s="107" t="s">
        <v>80</v>
      </c>
      <c r="AY591" s="108" t="s">
        <v>83</v>
      </c>
    </row>
    <row r="592" spans="2:65" s="100" customFormat="1" x14ac:dyDescent="0.2">
      <c r="B592" s="99"/>
      <c r="D592" s="95" t="s">
        <v>92</v>
      </c>
      <c r="E592" s="101" t="s">
        <v>914</v>
      </c>
      <c r="F592" s="102" t="s">
        <v>915</v>
      </c>
      <c r="H592" s="103">
        <v>123.95</v>
      </c>
      <c r="L592" s="99"/>
      <c r="M592" s="104"/>
      <c r="T592" s="105"/>
      <c r="AT592" s="101" t="s">
        <v>92</v>
      </c>
      <c r="AU592" s="101" t="s">
        <v>84</v>
      </c>
      <c r="AV592" s="100" t="s">
        <v>5</v>
      </c>
      <c r="AW592" s="100" t="s">
        <v>95</v>
      </c>
      <c r="AX592" s="100" t="s">
        <v>80</v>
      </c>
      <c r="AY592" s="101" t="s">
        <v>83</v>
      </c>
    </row>
    <row r="593" spans="2:65" s="100" customFormat="1" x14ac:dyDescent="0.2">
      <c r="B593" s="99"/>
      <c r="D593" s="95" t="s">
        <v>92</v>
      </c>
      <c r="E593" s="101" t="s">
        <v>916</v>
      </c>
      <c r="F593" s="102" t="s">
        <v>917</v>
      </c>
      <c r="H593" s="103">
        <v>124</v>
      </c>
      <c r="L593" s="99"/>
      <c r="M593" s="104"/>
      <c r="T593" s="105"/>
      <c r="AT593" s="101" t="s">
        <v>92</v>
      </c>
      <c r="AU593" s="101" t="s">
        <v>84</v>
      </c>
      <c r="AV593" s="100" t="s">
        <v>5</v>
      </c>
      <c r="AW593" s="100" t="s">
        <v>95</v>
      </c>
      <c r="AX593" s="100" t="s">
        <v>80</v>
      </c>
      <c r="AY593" s="101" t="s">
        <v>83</v>
      </c>
    </row>
    <row r="594" spans="2:65" s="107" customFormat="1" x14ac:dyDescent="0.2">
      <c r="B594" s="106"/>
      <c r="D594" s="95" t="s">
        <v>92</v>
      </c>
      <c r="E594" s="108" t="s">
        <v>3</v>
      </c>
      <c r="F594" s="109" t="s">
        <v>918</v>
      </c>
      <c r="H594" s="108" t="s">
        <v>3</v>
      </c>
      <c r="L594" s="106"/>
      <c r="M594" s="110"/>
      <c r="T594" s="111"/>
      <c r="AT594" s="108" t="s">
        <v>92</v>
      </c>
      <c r="AU594" s="108" t="s">
        <v>84</v>
      </c>
      <c r="AV594" s="107" t="s">
        <v>84</v>
      </c>
      <c r="AW594" s="107" t="s">
        <v>95</v>
      </c>
      <c r="AX594" s="107" t="s">
        <v>80</v>
      </c>
      <c r="AY594" s="108" t="s">
        <v>83</v>
      </c>
    </row>
    <row r="595" spans="2:65" s="100" customFormat="1" x14ac:dyDescent="0.2">
      <c r="B595" s="99"/>
      <c r="D595" s="95" t="s">
        <v>92</v>
      </c>
      <c r="E595" s="101" t="s">
        <v>919</v>
      </c>
      <c r="F595" s="102" t="s">
        <v>920</v>
      </c>
      <c r="H595" s="103">
        <v>120.655</v>
      </c>
      <c r="L595" s="99"/>
      <c r="M595" s="104"/>
      <c r="T595" s="105"/>
      <c r="AT595" s="101" t="s">
        <v>92</v>
      </c>
      <c r="AU595" s="101" t="s">
        <v>84</v>
      </c>
      <c r="AV595" s="100" t="s">
        <v>5</v>
      </c>
      <c r="AW595" s="100" t="s">
        <v>95</v>
      </c>
      <c r="AX595" s="100" t="s">
        <v>80</v>
      </c>
      <c r="AY595" s="101" t="s">
        <v>83</v>
      </c>
    </row>
    <row r="596" spans="2:65" s="100" customFormat="1" x14ac:dyDescent="0.2">
      <c r="B596" s="99"/>
      <c r="D596" s="95" t="s">
        <v>92</v>
      </c>
      <c r="E596" s="101" t="s">
        <v>921</v>
      </c>
      <c r="F596" s="102" t="s">
        <v>922</v>
      </c>
      <c r="H596" s="103">
        <v>120.655</v>
      </c>
      <c r="L596" s="99"/>
      <c r="M596" s="104"/>
      <c r="T596" s="105"/>
      <c r="AT596" s="101" t="s">
        <v>92</v>
      </c>
      <c r="AU596" s="101" t="s">
        <v>84</v>
      </c>
      <c r="AV596" s="100" t="s">
        <v>5</v>
      </c>
      <c r="AW596" s="100" t="s">
        <v>95</v>
      </c>
      <c r="AX596" s="100" t="s">
        <v>80</v>
      </c>
      <c r="AY596" s="101" t="s">
        <v>83</v>
      </c>
    </row>
    <row r="597" spans="2:65" s="100" customFormat="1" x14ac:dyDescent="0.2">
      <c r="B597" s="99"/>
      <c r="D597" s="95" t="s">
        <v>92</v>
      </c>
      <c r="E597" s="101" t="s">
        <v>3</v>
      </c>
      <c r="F597" s="102" t="s">
        <v>923</v>
      </c>
      <c r="H597" s="103">
        <v>489.26</v>
      </c>
      <c r="L597" s="99"/>
      <c r="M597" s="104"/>
      <c r="T597" s="105"/>
      <c r="AT597" s="101" t="s">
        <v>92</v>
      </c>
      <c r="AU597" s="101" t="s">
        <v>84</v>
      </c>
      <c r="AV597" s="100" t="s">
        <v>5</v>
      </c>
      <c r="AW597" s="100" t="s">
        <v>95</v>
      </c>
      <c r="AX597" s="100" t="s">
        <v>84</v>
      </c>
      <c r="AY597" s="101" t="s">
        <v>83</v>
      </c>
    </row>
    <row r="598" spans="2:65" s="14" customFormat="1" ht="16.5" customHeight="1" x14ac:dyDescent="0.2">
      <c r="B598" s="81"/>
      <c r="C598" s="82" t="s">
        <v>924</v>
      </c>
      <c r="D598" s="82" t="s">
        <v>85</v>
      </c>
      <c r="E598" s="83" t="s">
        <v>925</v>
      </c>
      <c r="F598" s="84" t="s">
        <v>926</v>
      </c>
      <c r="G598" s="85" t="s">
        <v>138</v>
      </c>
      <c r="H598" s="86">
        <v>36</v>
      </c>
      <c r="I598" s="87">
        <v>0</v>
      </c>
      <c r="J598" s="87">
        <f>ROUND(I598*H598,2)</f>
        <v>0</v>
      </c>
      <c r="K598" s="88"/>
      <c r="L598" s="13"/>
      <c r="M598" s="89" t="s">
        <v>3</v>
      </c>
      <c r="N598" s="90" t="s">
        <v>36</v>
      </c>
      <c r="O598" s="91">
        <v>0</v>
      </c>
      <c r="P598" s="91">
        <f>O598*H598</f>
        <v>0</v>
      </c>
      <c r="Q598" s="91">
        <v>0</v>
      </c>
      <c r="R598" s="91">
        <f>Q598*H598</f>
        <v>0</v>
      </c>
      <c r="S598" s="91">
        <v>0</v>
      </c>
      <c r="T598" s="92">
        <f>S598*H598</f>
        <v>0</v>
      </c>
      <c r="AR598" s="93" t="s">
        <v>82</v>
      </c>
      <c r="AT598" s="93" t="s">
        <v>85</v>
      </c>
      <c r="AU598" s="93" t="s">
        <v>84</v>
      </c>
      <c r="AY598" s="3" t="s">
        <v>83</v>
      </c>
      <c r="BE598" s="94">
        <f>IF(N598="základní",J598,0)</f>
        <v>0</v>
      </c>
      <c r="BF598" s="94">
        <f>IF(N598="snížená",J598,0)</f>
        <v>0</v>
      </c>
      <c r="BG598" s="94">
        <f>IF(N598="zákl. přenesená",J598,0)</f>
        <v>0</v>
      </c>
      <c r="BH598" s="94">
        <f>IF(N598="sníž. přenesená",J598,0)</f>
        <v>0</v>
      </c>
      <c r="BI598" s="94">
        <f>IF(N598="nulová",J598,0)</f>
        <v>0</v>
      </c>
      <c r="BJ598" s="3" t="s">
        <v>84</v>
      </c>
      <c r="BK598" s="94">
        <f>ROUND(I598*H598,2)</f>
        <v>0</v>
      </c>
      <c r="BL598" s="3" t="s">
        <v>82</v>
      </c>
      <c r="BM598" s="93" t="s">
        <v>927</v>
      </c>
    </row>
    <row r="599" spans="2:65" s="14" customFormat="1" x14ac:dyDescent="0.2">
      <c r="B599" s="13"/>
      <c r="D599" s="95" t="s">
        <v>90</v>
      </c>
      <c r="F599" s="96" t="s">
        <v>926</v>
      </c>
      <c r="L599" s="13"/>
      <c r="M599" s="97"/>
      <c r="T599" s="98"/>
      <c r="AT599" s="3" t="s">
        <v>90</v>
      </c>
      <c r="AU599" s="3" t="s">
        <v>84</v>
      </c>
    </row>
    <row r="600" spans="2:65" s="100" customFormat="1" x14ac:dyDescent="0.2">
      <c r="B600" s="99"/>
      <c r="D600" s="95" t="s">
        <v>92</v>
      </c>
      <c r="E600" s="101" t="s">
        <v>928</v>
      </c>
      <c r="F600" s="102" t="s">
        <v>929</v>
      </c>
      <c r="H600" s="103">
        <v>16</v>
      </c>
      <c r="L600" s="99"/>
      <c r="M600" s="104"/>
      <c r="T600" s="105"/>
      <c r="AT600" s="101" t="s">
        <v>92</v>
      </c>
      <c r="AU600" s="101" t="s">
        <v>84</v>
      </c>
      <c r="AV600" s="100" t="s">
        <v>5</v>
      </c>
      <c r="AW600" s="100" t="s">
        <v>95</v>
      </c>
      <c r="AX600" s="100" t="s">
        <v>80</v>
      </c>
      <c r="AY600" s="101" t="s">
        <v>83</v>
      </c>
    </row>
    <row r="601" spans="2:65" s="100" customFormat="1" x14ac:dyDescent="0.2">
      <c r="B601" s="99"/>
      <c r="D601" s="95" t="s">
        <v>92</v>
      </c>
      <c r="E601" s="101" t="s">
        <v>930</v>
      </c>
      <c r="F601" s="102" t="s">
        <v>931</v>
      </c>
      <c r="H601" s="103">
        <v>20</v>
      </c>
      <c r="L601" s="99"/>
      <c r="M601" s="104"/>
      <c r="T601" s="105"/>
      <c r="AT601" s="101" t="s">
        <v>92</v>
      </c>
      <c r="AU601" s="101" t="s">
        <v>84</v>
      </c>
      <c r="AV601" s="100" t="s">
        <v>5</v>
      </c>
      <c r="AW601" s="100" t="s">
        <v>95</v>
      </c>
      <c r="AX601" s="100" t="s">
        <v>80</v>
      </c>
      <c r="AY601" s="101" t="s">
        <v>83</v>
      </c>
    </row>
    <row r="602" spans="2:65" s="100" customFormat="1" x14ac:dyDescent="0.2">
      <c r="B602" s="99"/>
      <c r="D602" s="95" t="s">
        <v>92</v>
      </c>
      <c r="E602" s="101" t="s">
        <v>3</v>
      </c>
      <c r="F602" s="102" t="s">
        <v>932</v>
      </c>
      <c r="H602" s="103">
        <v>36</v>
      </c>
      <c r="L602" s="99"/>
      <c r="M602" s="104"/>
      <c r="T602" s="105"/>
      <c r="AT602" s="101" t="s">
        <v>92</v>
      </c>
      <c r="AU602" s="101" t="s">
        <v>84</v>
      </c>
      <c r="AV602" s="100" t="s">
        <v>5</v>
      </c>
      <c r="AW602" s="100" t="s">
        <v>95</v>
      </c>
      <c r="AX602" s="100" t="s">
        <v>84</v>
      </c>
      <c r="AY602" s="101" t="s">
        <v>83</v>
      </c>
    </row>
    <row r="603" spans="2:65" s="14" customFormat="1" ht="16.5" customHeight="1" x14ac:dyDescent="0.2">
      <c r="B603" s="81"/>
      <c r="C603" s="82" t="s">
        <v>933</v>
      </c>
      <c r="D603" s="82" t="s">
        <v>85</v>
      </c>
      <c r="E603" s="83" t="s">
        <v>934</v>
      </c>
      <c r="F603" s="84" t="s">
        <v>935</v>
      </c>
      <c r="G603" s="85" t="s">
        <v>138</v>
      </c>
      <c r="H603" s="86">
        <v>4</v>
      </c>
      <c r="I603" s="87">
        <v>0</v>
      </c>
      <c r="J603" s="87">
        <f>ROUND(I603*H603,2)</f>
        <v>0</v>
      </c>
      <c r="K603" s="88"/>
      <c r="L603" s="13"/>
      <c r="M603" s="89" t="s">
        <v>3</v>
      </c>
      <c r="N603" s="90" t="s">
        <v>36</v>
      </c>
      <c r="O603" s="91">
        <v>0</v>
      </c>
      <c r="P603" s="91">
        <f>O603*H603</f>
        <v>0</v>
      </c>
      <c r="Q603" s="91">
        <v>0</v>
      </c>
      <c r="R603" s="91">
        <f>Q603*H603</f>
        <v>0</v>
      </c>
      <c r="S603" s="91">
        <v>0</v>
      </c>
      <c r="T603" s="92">
        <f>S603*H603</f>
        <v>0</v>
      </c>
      <c r="AR603" s="93" t="s">
        <v>82</v>
      </c>
      <c r="AT603" s="93" t="s">
        <v>85</v>
      </c>
      <c r="AU603" s="93" t="s">
        <v>84</v>
      </c>
      <c r="AY603" s="3" t="s">
        <v>83</v>
      </c>
      <c r="BE603" s="94">
        <f>IF(N603="základní",J603,0)</f>
        <v>0</v>
      </c>
      <c r="BF603" s="94">
        <f>IF(N603="snížená",J603,0)</f>
        <v>0</v>
      </c>
      <c r="BG603" s="94">
        <f>IF(N603="zákl. přenesená",J603,0)</f>
        <v>0</v>
      </c>
      <c r="BH603" s="94">
        <f>IF(N603="sníž. přenesená",J603,0)</f>
        <v>0</v>
      </c>
      <c r="BI603" s="94">
        <f>IF(N603="nulová",J603,0)</f>
        <v>0</v>
      </c>
      <c r="BJ603" s="3" t="s">
        <v>84</v>
      </c>
      <c r="BK603" s="94">
        <f>ROUND(I603*H603,2)</f>
        <v>0</v>
      </c>
      <c r="BL603" s="3" t="s">
        <v>82</v>
      </c>
      <c r="BM603" s="93" t="s">
        <v>936</v>
      </c>
    </row>
    <row r="604" spans="2:65" s="14" customFormat="1" x14ac:dyDescent="0.2">
      <c r="B604" s="13"/>
      <c r="D604" s="95" t="s">
        <v>90</v>
      </c>
      <c r="F604" s="96" t="s">
        <v>937</v>
      </c>
      <c r="L604" s="13"/>
      <c r="M604" s="97"/>
      <c r="T604" s="98"/>
      <c r="AT604" s="3" t="s">
        <v>90</v>
      </c>
      <c r="AU604" s="3" t="s">
        <v>84</v>
      </c>
    </row>
    <row r="605" spans="2:65" s="100" customFormat="1" x14ac:dyDescent="0.2">
      <c r="B605" s="99"/>
      <c r="D605" s="95" t="s">
        <v>92</v>
      </c>
      <c r="E605" s="101" t="s">
        <v>938</v>
      </c>
      <c r="F605" s="102" t="s">
        <v>939</v>
      </c>
      <c r="H605" s="103">
        <v>2</v>
      </c>
      <c r="L605" s="99"/>
      <c r="M605" s="104"/>
      <c r="T605" s="105"/>
      <c r="AT605" s="101" t="s">
        <v>92</v>
      </c>
      <c r="AU605" s="101" t="s">
        <v>84</v>
      </c>
      <c r="AV605" s="100" t="s">
        <v>5</v>
      </c>
      <c r="AW605" s="100" t="s">
        <v>95</v>
      </c>
      <c r="AX605" s="100" t="s">
        <v>80</v>
      </c>
      <c r="AY605" s="101" t="s">
        <v>83</v>
      </c>
    </row>
    <row r="606" spans="2:65" s="100" customFormat="1" x14ac:dyDescent="0.2">
      <c r="B606" s="99"/>
      <c r="D606" s="95" t="s">
        <v>92</v>
      </c>
      <c r="E606" s="101" t="s">
        <v>940</v>
      </c>
      <c r="F606" s="102" t="s">
        <v>941</v>
      </c>
      <c r="H606" s="103">
        <v>2</v>
      </c>
      <c r="L606" s="99"/>
      <c r="M606" s="104"/>
      <c r="T606" s="105"/>
      <c r="AT606" s="101" t="s">
        <v>92</v>
      </c>
      <c r="AU606" s="101" t="s">
        <v>84</v>
      </c>
      <c r="AV606" s="100" t="s">
        <v>5</v>
      </c>
      <c r="AW606" s="100" t="s">
        <v>95</v>
      </c>
      <c r="AX606" s="100" t="s">
        <v>80</v>
      </c>
      <c r="AY606" s="101" t="s">
        <v>83</v>
      </c>
    </row>
    <row r="607" spans="2:65" s="100" customFormat="1" x14ac:dyDescent="0.2">
      <c r="B607" s="99"/>
      <c r="D607" s="95" t="s">
        <v>92</v>
      </c>
      <c r="E607" s="101" t="s">
        <v>3</v>
      </c>
      <c r="F607" s="102" t="s">
        <v>602</v>
      </c>
      <c r="H607" s="103">
        <v>4</v>
      </c>
      <c r="L607" s="99"/>
      <c r="M607" s="104"/>
      <c r="T607" s="105"/>
      <c r="AT607" s="101" t="s">
        <v>92</v>
      </c>
      <c r="AU607" s="101" t="s">
        <v>84</v>
      </c>
      <c r="AV607" s="100" t="s">
        <v>5</v>
      </c>
      <c r="AW607" s="100" t="s">
        <v>95</v>
      </c>
      <c r="AX607" s="100" t="s">
        <v>84</v>
      </c>
      <c r="AY607" s="101" t="s">
        <v>83</v>
      </c>
    </row>
    <row r="608" spans="2:65" s="14" customFormat="1" ht="24.15" customHeight="1" x14ac:dyDescent="0.2">
      <c r="B608" s="81"/>
      <c r="C608" s="82" t="s">
        <v>942</v>
      </c>
      <c r="D608" s="82" t="s">
        <v>85</v>
      </c>
      <c r="E608" s="83" t="s">
        <v>943</v>
      </c>
      <c r="F608" s="84" t="s">
        <v>944</v>
      </c>
      <c r="G608" s="85" t="s">
        <v>138</v>
      </c>
      <c r="H608" s="86">
        <v>2</v>
      </c>
      <c r="I608" s="87">
        <v>0</v>
      </c>
      <c r="J608" s="87">
        <f>ROUND(I608*H608,2)</f>
        <v>0</v>
      </c>
      <c r="K608" s="88"/>
      <c r="L608" s="13"/>
      <c r="M608" s="89" t="s">
        <v>3</v>
      </c>
      <c r="N608" s="90" t="s">
        <v>36</v>
      </c>
      <c r="O608" s="91">
        <v>0</v>
      </c>
      <c r="P608" s="91">
        <f>O608*H608</f>
        <v>0</v>
      </c>
      <c r="Q608" s="91">
        <v>0</v>
      </c>
      <c r="R608" s="91">
        <f>Q608*H608</f>
        <v>0</v>
      </c>
      <c r="S608" s="91">
        <v>0</v>
      </c>
      <c r="T608" s="92">
        <f>S608*H608</f>
        <v>0</v>
      </c>
      <c r="AR608" s="93" t="s">
        <v>82</v>
      </c>
      <c r="AT608" s="93" t="s">
        <v>85</v>
      </c>
      <c r="AU608" s="93" t="s">
        <v>84</v>
      </c>
      <c r="AY608" s="3" t="s">
        <v>83</v>
      </c>
      <c r="BE608" s="94">
        <f>IF(N608="základní",J608,0)</f>
        <v>0</v>
      </c>
      <c r="BF608" s="94">
        <f>IF(N608="snížená",J608,0)</f>
        <v>0</v>
      </c>
      <c r="BG608" s="94">
        <f>IF(N608="zákl. přenesená",J608,0)</f>
        <v>0</v>
      </c>
      <c r="BH608" s="94">
        <f>IF(N608="sníž. přenesená",J608,0)</f>
        <v>0</v>
      </c>
      <c r="BI608" s="94">
        <f>IF(N608="nulová",J608,0)</f>
        <v>0</v>
      </c>
      <c r="BJ608" s="3" t="s">
        <v>84</v>
      </c>
      <c r="BK608" s="94">
        <f>ROUND(I608*H608,2)</f>
        <v>0</v>
      </c>
      <c r="BL608" s="3" t="s">
        <v>82</v>
      </c>
      <c r="BM608" s="93" t="s">
        <v>945</v>
      </c>
    </row>
    <row r="609" spans="2:65" s="14" customFormat="1" ht="19.2" x14ac:dyDescent="0.2">
      <c r="B609" s="13"/>
      <c r="D609" s="95" t="s">
        <v>90</v>
      </c>
      <c r="F609" s="96" t="s">
        <v>946</v>
      </c>
      <c r="L609" s="13"/>
      <c r="M609" s="97"/>
      <c r="T609" s="98"/>
      <c r="AT609" s="3" t="s">
        <v>90</v>
      </c>
      <c r="AU609" s="3" t="s">
        <v>84</v>
      </c>
    </row>
    <row r="610" spans="2:65" s="100" customFormat="1" x14ac:dyDescent="0.2">
      <c r="B610" s="99"/>
      <c r="D610" s="95" t="s">
        <v>92</v>
      </c>
      <c r="E610" s="101" t="s">
        <v>947</v>
      </c>
      <c r="F610" s="102" t="s">
        <v>5</v>
      </c>
      <c r="H610" s="103">
        <v>2</v>
      </c>
      <c r="L610" s="99"/>
      <c r="M610" s="104"/>
      <c r="T610" s="105"/>
      <c r="AT610" s="101" t="s">
        <v>92</v>
      </c>
      <c r="AU610" s="101" t="s">
        <v>84</v>
      </c>
      <c r="AV610" s="100" t="s">
        <v>5</v>
      </c>
      <c r="AW610" s="100" t="s">
        <v>95</v>
      </c>
      <c r="AX610" s="100" t="s">
        <v>80</v>
      </c>
      <c r="AY610" s="101" t="s">
        <v>83</v>
      </c>
    </row>
    <row r="611" spans="2:65" s="100" customFormat="1" x14ac:dyDescent="0.2">
      <c r="B611" s="99"/>
      <c r="D611" s="95" t="s">
        <v>92</v>
      </c>
      <c r="E611" s="101" t="s">
        <v>3</v>
      </c>
      <c r="F611" s="102" t="s">
        <v>948</v>
      </c>
      <c r="H611" s="103">
        <v>2</v>
      </c>
      <c r="L611" s="99"/>
      <c r="M611" s="104"/>
      <c r="T611" s="105"/>
      <c r="AT611" s="101" t="s">
        <v>92</v>
      </c>
      <c r="AU611" s="101" t="s">
        <v>84</v>
      </c>
      <c r="AV611" s="100" t="s">
        <v>5</v>
      </c>
      <c r="AW611" s="100" t="s">
        <v>95</v>
      </c>
      <c r="AX611" s="100" t="s">
        <v>84</v>
      </c>
      <c r="AY611" s="101" t="s">
        <v>83</v>
      </c>
    </row>
    <row r="612" spans="2:65" s="14" customFormat="1" ht="24.15" customHeight="1" x14ac:dyDescent="0.2">
      <c r="B612" s="81"/>
      <c r="C612" s="82" t="s">
        <v>949</v>
      </c>
      <c r="D612" s="82" t="s">
        <v>85</v>
      </c>
      <c r="E612" s="83" t="s">
        <v>950</v>
      </c>
      <c r="F612" s="84" t="s">
        <v>951</v>
      </c>
      <c r="G612" s="85" t="s">
        <v>173</v>
      </c>
      <c r="H612" s="86">
        <v>74.98</v>
      </c>
      <c r="I612" s="87">
        <v>0</v>
      </c>
      <c r="J612" s="87">
        <f>ROUND(I612*H612,2)</f>
        <v>0</v>
      </c>
      <c r="K612" s="88"/>
      <c r="L612" s="13"/>
      <c r="M612" s="89" t="s">
        <v>3</v>
      </c>
      <c r="N612" s="90" t="s">
        <v>36</v>
      </c>
      <c r="O612" s="91">
        <v>0</v>
      </c>
      <c r="P612" s="91">
        <f>O612*H612</f>
        <v>0</v>
      </c>
      <c r="Q612" s="91">
        <v>0</v>
      </c>
      <c r="R612" s="91">
        <f>Q612*H612</f>
        <v>0</v>
      </c>
      <c r="S612" s="91">
        <v>0</v>
      </c>
      <c r="T612" s="92">
        <f>S612*H612</f>
        <v>0</v>
      </c>
      <c r="AR612" s="93" t="s">
        <v>82</v>
      </c>
      <c r="AT612" s="93" t="s">
        <v>85</v>
      </c>
      <c r="AU612" s="93" t="s">
        <v>84</v>
      </c>
      <c r="AY612" s="3" t="s">
        <v>83</v>
      </c>
      <c r="BE612" s="94">
        <f>IF(N612="základní",J612,0)</f>
        <v>0</v>
      </c>
      <c r="BF612" s="94">
        <f>IF(N612="snížená",J612,0)</f>
        <v>0</v>
      </c>
      <c r="BG612" s="94">
        <f>IF(N612="zákl. přenesená",J612,0)</f>
        <v>0</v>
      </c>
      <c r="BH612" s="94">
        <f>IF(N612="sníž. přenesená",J612,0)</f>
        <v>0</v>
      </c>
      <c r="BI612" s="94">
        <f>IF(N612="nulová",J612,0)</f>
        <v>0</v>
      </c>
      <c r="BJ612" s="3" t="s">
        <v>84</v>
      </c>
      <c r="BK612" s="94">
        <f>ROUND(I612*H612,2)</f>
        <v>0</v>
      </c>
      <c r="BL612" s="3" t="s">
        <v>82</v>
      </c>
      <c r="BM612" s="93" t="s">
        <v>952</v>
      </c>
    </row>
    <row r="613" spans="2:65" s="14" customFormat="1" x14ac:dyDescent="0.2">
      <c r="B613" s="13"/>
      <c r="D613" s="95" t="s">
        <v>90</v>
      </c>
      <c r="F613" s="96" t="s">
        <v>953</v>
      </c>
      <c r="L613" s="13"/>
      <c r="M613" s="97"/>
      <c r="T613" s="98"/>
      <c r="AT613" s="3" t="s">
        <v>90</v>
      </c>
      <c r="AU613" s="3" t="s">
        <v>84</v>
      </c>
    </row>
    <row r="614" spans="2:65" s="107" customFormat="1" x14ac:dyDescent="0.2">
      <c r="B614" s="106"/>
      <c r="D614" s="95" t="s">
        <v>92</v>
      </c>
      <c r="E614" s="108" t="s">
        <v>3</v>
      </c>
      <c r="F614" s="109" t="s">
        <v>954</v>
      </c>
      <c r="H614" s="108" t="s">
        <v>3</v>
      </c>
      <c r="L614" s="106"/>
      <c r="M614" s="110"/>
      <c r="T614" s="111"/>
      <c r="AT614" s="108" t="s">
        <v>92</v>
      </c>
      <c r="AU614" s="108" t="s">
        <v>84</v>
      </c>
      <c r="AV614" s="107" t="s">
        <v>84</v>
      </c>
      <c r="AW614" s="107" t="s">
        <v>95</v>
      </c>
      <c r="AX614" s="107" t="s">
        <v>80</v>
      </c>
      <c r="AY614" s="108" t="s">
        <v>83</v>
      </c>
    </row>
    <row r="615" spans="2:65" s="100" customFormat="1" x14ac:dyDescent="0.2">
      <c r="B615" s="99"/>
      <c r="D615" s="95" t="s">
        <v>92</v>
      </c>
      <c r="E615" s="101" t="s">
        <v>955</v>
      </c>
      <c r="F615" s="102" t="s">
        <v>956</v>
      </c>
      <c r="H615" s="103">
        <v>2.2000000000000002</v>
      </c>
      <c r="L615" s="99"/>
      <c r="M615" s="104"/>
      <c r="T615" s="105"/>
      <c r="AT615" s="101" t="s">
        <v>92</v>
      </c>
      <c r="AU615" s="101" t="s">
        <v>84</v>
      </c>
      <c r="AV615" s="100" t="s">
        <v>5</v>
      </c>
      <c r="AW615" s="100" t="s">
        <v>95</v>
      </c>
      <c r="AX615" s="100" t="s">
        <v>80</v>
      </c>
      <c r="AY615" s="101" t="s">
        <v>83</v>
      </c>
    </row>
    <row r="616" spans="2:65" s="100" customFormat="1" x14ac:dyDescent="0.2">
      <c r="B616" s="99"/>
      <c r="D616" s="95" t="s">
        <v>92</v>
      </c>
      <c r="E616" s="101" t="s">
        <v>957</v>
      </c>
      <c r="F616" s="102" t="s">
        <v>958</v>
      </c>
      <c r="H616" s="103">
        <v>2.2000000000000002</v>
      </c>
      <c r="L616" s="99"/>
      <c r="M616" s="104"/>
      <c r="T616" s="105"/>
      <c r="AT616" s="101" t="s">
        <v>92</v>
      </c>
      <c r="AU616" s="101" t="s">
        <v>84</v>
      </c>
      <c r="AV616" s="100" t="s">
        <v>5</v>
      </c>
      <c r="AW616" s="100" t="s">
        <v>95</v>
      </c>
      <c r="AX616" s="100" t="s">
        <v>80</v>
      </c>
      <c r="AY616" s="101" t="s">
        <v>83</v>
      </c>
    </row>
    <row r="617" spans="2:65" s="107" customFormat="1" x14ac:dyDescent="0.2">
      <c r="B617" s="106"/>
      <c r="D617" s="95" t="s">
        <v>92</v>
      </c>
      <c r="E617" s="108" t="s">
        <v>3</v>
      </c>
      <c r="F617" s="109" t="s">
        <v>959</v>
      </c>
      <c r="H617" s="108" t="s">
        <v>3</v>
      </c>
      <c r="L617" s="106"/>
      <c r="M617" s="110"/>
      <c r="T617" s="111"/>
      <c r="AT617" s="108" t="s">
        <v>92</v>
      </c>
      <c r="AU617" s="108" t="s">
        <v>84</v>
      </c>
      <c r="AV617" s="107" t="s">
        <v>84</v>
      </c>
      <c r="AW617" s="107" t="s">
        <v>95</v>
      </c>
      <c r="AX617" s="107" t="s">
        <v>80</v>
      </c>
      <c r="AY617" s="108" t="s">
        <v>83</v>
      </c>
    </row>
    <row r="618" spans="2:65" s="100" customFormat="1" x14ac:dyDescent="0.2">
      <c r="B618" s="99"/>
      <c r="D618" s="95" t="s">
        <v>92</v>
      </c>
      <c r="E618" s="101" t="s">
        <v>960</v>
      </c>
      <c r="F618" s="102" t="s">
        <v>961</v>
      </c>
      <c r="H618" s="103">
        <v>9.5</v>
      </c>
      <c r="L618" s="99"/>
      <c r="M618" s="104"/>
      <c r="T618" s="105"/>
      <c r="AT618" s="101" t="s">
        <v>92</v>
      </c>
      <c r="AU618" s="101" t="s">
        <v>84</v>
      </c>
      <c r="AV618" s="100" t="s">
        <v>5</v>
      </c>
      <c r="AW618" s="100" t="s">
        <v>95</v>
      </c>
      <c r="AX618" s="100" t="s">
        <v>80</v>
      </c>
      <c r="AY618" s="101" t="s">
        <v>83</v>
      </c>
    </row>
    <row r="619" spans="2:65" s="100" customFormat="1" x14ac:dyDescent="0.2">
      <c r="B619" s="99"/>
      <c r="D619" s="95" t="s">
        <v>92</v>
      </c>
      <c r="E619" s="101" t="s">
        <v>962</v>
      </c>
      <c r="F619" s="102" t="s">
        <v>963</v>
      </c>
      <c r="H619" s="103">
        <v>11.25</v>
      </c>
      <c r="L619" s="99"/>
      <c r="M619" s="104"/>
      <c r="T619" s="105"/>
      <c r="AT619" s="101" t="s">
        <v>92</v>
      </c>
      <c r="AU619" s="101" t="s">
        <v>84</v>
      </c>
      <c r="AV619" s="100" t="s">
        <v>5</v>
      </c>
      <c r="AW619" s="100" t="s">
        <v>95</v>
      </c>
      <c r="AX619" s="100" t="s">
        <v>80</v>
      </c>
      <c r="AY619" s="101" t="s">
        <v>83</v>
      </c>
    </row>
    <row r="620" spans="2:65" s="100" customFormat="1" x14ac:dyDescent="0.2">
      <c r="B620" s="99"/>
      <c r="D620" s="95" t="s">
        <v>92</v>
      </c>
      <c r="E620" s="101" t="s">
        <v>964</v>
      </c>
      <c r="F620" s="102" t="s">
        <v>965</v>
      </c>
      <c r="H620" s="103">
        <v>24.95</v>
      </c>
      <c r="L620" s="99"/>
      <c r="M620" s="104"/>
      <c r="T620" s="105"/>
      <c r="AT620" s="101" t="s">
        <v>92</v>
      </c>
      <c r="AU620" s="101" t="s">
        <v>84</v>
      </c>
      <c r="AV620" s="100" t="s">
        <v>5</v>
      </c>
      <c r="AW620" s="100" t="s">
        <v>95</v>
      </c>
      <c r="AX620" s="100" t="s">
        <v>80</v>
      </c>
      <c r="AY620" s="101" t="s">
        <v>83</v>
      </c>
    </row>
    <row r="621" spans="2:65" s="100" customFormat="1" x14ac:dyDescent="0.2">
      <c r="B621" s="99"/>
      <c r="D621" s="95" t="s">
        <v>92</v>
      </c>
      <c r="E621" s="101" t="s">
        <v>966</v>
      </c>
      <c r="F621" s="102" t="s">
        <v>967</v>
      </c>
      <c r="H621" s="103">
        <v>24.88</v>
      </c>
      <c r="L621" s="99"/>
      <c r="M621" s="104"/>
      <c r="T621" s="105"/>
      <c r="AT621" s="101" t="s">
        <v>92</v>
      </c>
      <c r="AU621" s="101" t="s">
        <v>84</v>
      </c>
      <c r="AV621" s="100" t="s">
        <v>5</v>
      </c>
      <c r="AW621" s="100" t="s">
        <v>95</v>
      </c>
      <c r="AX621" s="100" t="s">
        <v>80</v>
      </c>
      <c r="AY621" s="101" t="s">
        <v>83</v>
      </c>
    </row>
    <row r="622" spans="2:65" s="100" customFormat="1" x14ac:dyDescent="0.2">
      <c r="B622" s="99"/>
      <c r="D622" s="95" t="s">
        <v>92</v>
      </c>
      <c r="E622" s="101" t="s">
        <v>3</v>
      </c>
      <c r="F622" s="102" t="s">
        <v>968</v>
      </c>
      <c r="H622" s="103">
        <v>74.98</v>
      </c>
      <c r="L622" s="99"/>
      <c r="M622" s="104"/>
      <c r="T622" s="105"/>
      <c r="AT622" s="101" t="s">
        <v>92</v>
      </c>
      <c r="AU622" s="101" t="s">
        <v>84</v>
      </c>
      <c r="AV622" s="100" t="s">
        <v>5</v>
      </c>
      <c r="AW622" s="100" t="s">
        <v>95</v>
      </c>
      <c r="AX622" s="100" t="s">
        <v>84</v>
      </c>
      <c r="AY622" s="101" t="s">
        <v>83</v>
      </c>
    </row>
    <row r="623" spans="2:65" s="14" customFormat="1" ht="24.15" customHeight="1" x14ac:dyDescent="0.2">
      <c r="B623" s="81"/>
      <c r="C623" s="82" t="s">
        <v>969</v>
      </c>
      <c r="D623" s="82" t="s">
        <v>85</v>
      </c>
      <c r="E623" s="83" t="s">
        <v>970</v>
      </c>
      <c r="F623" s="84" t="s">
        <v>971</v>
      </c>
      <c r="G623" s="85" t="s">
        <v>173</v>
      </c>
      <c r="H623" s="86">
        <v>36</v>
      </c>
      <c r="I623" s="87">
        <v>0</v>
      </c>
      <c r="J623" s="87">
        <f>ROUND(I623*H623,2)</f>
        <v>0</v>
      </c>
      <c r="K623" s="88"/>
      <c r="L623" s="13"/>
      <c r="M623" s="89" t="s">
        <v>3</v>
      </c>
      <c r="N623" s="90" t="s">
        <v>36</v>
      </c>
      <c r="O623" s="91">
        <v>0</v>
      </c>
      <c r="P623" s="91">
        <f>O623*H623</f>
        <v>0</v>
      </c>
      <c r="Q623" s="91">
        <v>0</v>
      </c>
      <c r="R623" s="91">
        <f>Q623*H623</f>
        <v>0</v>
      </c>
      <c r="S623" s="91">
        <v>0</v>
      </c>
      <c r="T623" s="92">
        <f>S623*H623</f>
        <v>0</v>
      </c>
      <c r="AR623" s="93" t="s">
        <v>82</v>
      </c>
      <c r="AT623" s="93" t="s">
        <v>85</v>
      </c>
      <c r="AU623" s="93" t="s">
        <v>84</v>
      </c>
      <c r="AY623" s="3" t="s">
        <v>83</v>
      </c>
      <c r="BE623" s="94">
        <f>IF(N623="základní",J623,0)</f>
        <v>0</v>
      </c>
      <c r="BF623" s="94">
        <f>IF(N623="snížená",J623,0)</f>
        <v>0</v>
      </c>
      <c r="BG623" s="94">
        <f>IF(N623="zákl. přenesená",J623,0)</f>
        <v>0</v>
      </c>
      <c r="BH623" s="94">
        <f>IF(N623="sníž. přenesená",J623,0)</f>
        <v>0</v>
      </c>
      <c r="BI623" s="94">
        <f>IF(N623="nulová",J623,0)</f>
        <v>0</v>
      </c>
      <c r="BJ623" s="3" t="s">
        <v>84</v>
      </c>
      <c r="BK623" s="94">
        <f>ROUND(I623*H623,2)</f>
        <v>0</v>
      </c>
      <c r="BL623" s="3" t="s">
        <v>82</v>
      </c>
      <c r="BM623" s="93" t="s">
        <v>972</v>
      </c>
    </row>
    <row r="624" spans="2:65" s="14" customFormat="1" ht="19.2" x14ac:dyDescent="0.2">
      <c r="B624" s="13"/>
      <c r="D624" s="95" t="s">
        <v>90</v>
      </c>
      <c r="F624" s="96" t="s">
        <v>971</v>
      </c>
      <c r="L624" s="13"/>
      <c r="M624" s="97"/>
      <c r="T624" s="98"/>
      <c r="AT624" s="3" t="s">
        <v>90</v>
      </c>
      <c r="AU624" s="3" t="s">
        <v>84</v>
      </c>
    </row>
    <row r="625" spans="2:65" s="100" customFormat="1" x14ac:dyDescent="0.2">
      <c r="B625" s="99"/>
      <c r="D625" s="95" t="s">
        <v>92</v>
      </c>
      <c r="E625" s="101" t="s">
        <v>973</v>
      </c>
      <c r="F625" s="102" t="s">
        <v>974</v>
      </c>
      <c r="H625" s="103">
        <v>18</v>
      </c>
      <c r="L625" s="99"/>
      <c r="M625" s="104"/>
      <c r="T625" s="105"/>
      <c r="AT625" s="101" t="s">
        <v>92</v>
      </c>
      <c r="AU625" s="101" t="s">
        <v>84</v>
      </c>
      <c r="AV625" s="100" t="s">
        <v>5</v>
      </c>
      <c r="AW625" s="100" t="s">
        <v>95</v>
      </c>
      <c r="AX625" s="100" t="s">
        <v>80</v>
      </c>
      <c r="AY625" s="101" t="s">
        <v>83</v>
      </c>
    </row>
    <row r="626" spans="2:65" s="100" customFormat="1" x14ac:dyDescent="0.2">
      <c r="B626" s="99"/>
      <c r="D626" s="95" t="s">
        <v>92</v>
      </c>
      <c r="E626" s="101" t="s">
        <v>975</v>
      </c>
      <c r="F626" s="102" t="s">
        <v>976</v>
      </c>
      <c r="H626" s="103">
        <v>18</v>
      </c>
      <c r="L626" s="99"/>
      <c r="M626" s="104"/>
      <c r="T626" s="105"/>
      <c r="AT626" s="101" t="s">
        <v>92</v>
      </c>
      <c r="AU626" s="101" t="s">
        <v>84</v>
      </c>
      <c r="AV626" s="100" t="s">
        <v>5</v>
      </c>
      <c r="AW626" s="100" t="s">
        <v>95</v>
      </c>
      <c r="AX626" s="100" t="s">
        <v>80</v>
      </c>
      <c r="AY626" s="101" t="s">
        <v>83</v>
      </c>
    </row>
    <row r="627" spans="2:65" s="100" customFormat="1" x14ac:dyDescent="0.2">
      <c r="B627" s="99"/>
      <c r="D627" s="95" t="s">
        <v>92</v>
      </c>
      <c r="E627" s="101" t="s">
        <v>3</v>
      </c>
      <c r="F627" s="102" t="s">
        <v>932</v>
      </c>
      <c r="H627" s="103">
        <v>36</v>
      </c>
      <c r="L627" s="99"/>
      <c r="M627" s="104"/>
      <c r="T627" s="105"/>
      <c r="AT627" s="101" t="s">
        <v>92</v>
      </c>
      <c r="AU627" s="101" t="s">
        <v>84</v>
      </c>
      <c r="AV627" s="100" t="s">
        <v>5</v>
      </c>
      <c r="AW627" s="100" t="s">
        <v>95</v>
      </c>
      <c r="AX627" s="100" t="s">
        <v>84</v>
      </c>
      <c r="AY627" s="101" t="s">
        <v>83</v>
      </c>
    </row>
    <row r="628" spans="2:65" s="14" customFormat="1" ht="24.15" customHeight="1" x14ac:dyDescent="0.2">
      <c r="B628" s="81"/>
      <c r="C628" s="82" t="s">
        <v>977</v>
      </c>
      <c r="D628" s="82" t="s">
        <v>85</v>
      </c>
      <c r="E628" s="83" t="s">
        <v>978</v>
      </c>
      <c r="F628" s="84" t="s">
        <v>979</v>
      </c>
      <c r="G628" s="85" t="s">
        <v>173</v>
      </c>
      <c r="H628" s="86">
        <v>104.61499999999999</v>
      </c>
      <c r="I628" s="87">
        <v>0</v>
      </c>
      <c r="J628" s="87">
        <f>ROUND(I628*H628,2)</f>
        <v>0</v>
      </c>
      <c r="K628" s="88"/>
      <c r="L628" s="13"/>
      <c r="M628" s="89" t="s">
        <v>3</v>
      </c>
      <c r="N628" s="90" t="s">
        <v>36</v>
      </c>
      <c r="O628" s="91">
        <v>0</v>
      </c>
      <c r="P628" s="91">
        <f>O628*H628</f>
        <v>0</v>
      </c>
      <c r="Q628" s="91">
        <v>0</v>
      </c>
      <c r="R628" s="91">
        <f>Q628*H628</f>
        <v>0</v>
      </c>
      <c r="S628" s="91">
        <v>0</v>
      </c>
      <c r="T628" s="92">
        <f>S628*H628</f>
        <v>0</v>
      </c>
      <c r="AR628" s="93" t="s">
        <v>82</v>
      </c>
      <c r="AT628" s="93" t="s">
        <v>85</v>
      </c>
      <c r="AU628" s="93" t="s">
        <v>84</v>
      </c>
      <c r="AY628" s="3" t="s">
        <v>83</v>
      </c>
      <c r="BE628" s="94">
        <f>IF(N628="základní",J628,0)</f>
        <v>0</v>
      </c>
      <c r="BF628" s="94">
        <f>IF(N628="snížená",J628,0)</f>
        <v>0</v>
      </c>
      <c r="BG628" s="94">
        <f>IF(N628="zákl. přenesená",J628,0)</f>
        <v>0</v>
      </c>
      <c r="BH628" s="94">
        <f>IF(N628="sníž. přenesená",J628,0)</f>
        <v>0</v>
      </c>
      <c r="BI628" s="94">
        <f>IF(N628="nulová",J628,0)</f>
        <v>0</v>
      </c>
      <c r="BJ628" s="3" t="s">
        <v>84</v>
      </c>
      <c r="BK628" s="94">
        <f>ROUND(I628*H628,2)</f>
        <v>0</v>
      </c>
      <c r="BL628" s="3" t="s">
        <v>82</v>
      </c>
      <c r="BM628" s="93" t="s">
        <v>980</v>
      </c>
    </row>
    <row r="629" spans="2:65" s="14" customFormat="1" x14ac:dyDescent="0.2">
      <c r="B629" s="13"/>
      <c r="D629" s="95" t="s">
        <v>90</v>
      </c>
      <c r="F629" s="96" t="s">
        <v>981</v>
      </c>
      <c r="L629" s="13"/>
      <c r="M629" s="97"/>
      <c r="T629" s="98"/>
      <c r="AT629" s="3" t="s">
        <v>90</v>
      </c>
      <c r="AU629" s="3" t="s">
        <v>84</v>
      </c>
    </row>
    <row r="630" spans="2:65" s="100" customFormat="1" x14ac:dyDescent="0.2">
      <c r="B630" s="99"/>
      <c r="D630" s="95" t="s">
        <v>92</v>
      </c>
      <c r="E630" s="101" t="s">
        <v>982</v>
      </c>
      <c r="F630" s="102" t="s">
        <v>983</v>
      </c>
      <c r="H630" s="103">
        <v>18.2</v>
      </c>
      <c r="L630" s="99"/>
      <c r="M630" s="104"/>
      <c r="T630" s="105"/>
      <c r="AT630" s="101" t="s">
        <v>92</v>
      </c>
      <c r="AU630" s="101" t="s">
        <v>84</v>
      </c>
      <c r="AV630" s="100" t="s">
        <v>5</v>
      </c>
      <c r="AW630" s="100" t="s">
        <v>95</v>
      </c>
      <c r="AX630" s="100" t="s">
        <v>80</v>
      </c>
      <c r="AY630" s="101" t="s">
        <v>83</v>
      </c>
    </row>
    <row r="631" spans="2:65" s="100" customFormat="1" x14ac:dyDescent="0.2">
      <c r="B631" s="99"/>
      <c r="D631" s="95" t="s">
        <v>92</v>
      </c>
      <c r="E631" s="101" t="s">
        <v>984</v>
      </c>
      <c r="F631" s="102" t="s">
        <v>985</v>
      </c>
      <c r="H631" s="103">
        <v>20.175000000000001</v>
      </c>
      <c r="L631" s="99"/>
      <c r="M631" s="104"/>
      <c r="T631" s="105"/>
      <c r="AT631" s="101" t="s">
        <v>92</v>
      </c>
      <c r="AU631" s="101" t="s">
        <v>84</v>
      </c>
      <c r="AV631" s="100" t="s">
        <v>5</v>
      </c>
      <c r="AW631" s="100" t="s">
        <v>95</v>
      </c>
      <c r="AX631" s="100" t="s">
        <v>80</v>
      </c>
      <c r="AY631" s="101" t="s">
        <v>83</v>
      </c>
    </row>
    <row r="632" spans="2:65" s="100" customFormat="1" x14ac:dyDescent="0.2">
      <c r="B632" s="99"/>
      <c r="D632" s="95" t="s">
        <v>92</v>
      </c>
      <c r="E632" s="101" t="s">
        <v>986</v>
      </c>
      <c r="F632" s="102" t="s">
        <v>987</v>
      </c>
      <c r="H632" s="103">
        <v>33.56</v>
      </c>
      <c r="L632" s="99"/>
      <c r="M632" s="104"/>
      <c r="T632" s="105"/>
      <c r="AT632" s="101" t="s">
        <v>92</v>
      </c>
      <c r="AU632" s="101" t="s">
        <v>84</v>
      </c>
      <c r="AV632" s="100" t="s">
        <v>5</v>
      </c>
      <c r="AW632" s="100" t="s">
        <v>95</v>
      </c>
      <c r="AX632" s="100" t="s">
        <v>80</v>
      </c>
      <c r="AY632" s="101" t="s">
        <v>83</v>
      </c>
    </row>
    <row r="633" spans="2:65" s="100" customFormat="1" x14ac:dyDescent="0.2">
      <c r="B633" s="99"/>
      <c r="D633" s="95" t="s">
        <v>92</v>
      </c>
      <c r="E633" s="101" t="s">
        <v>988</v>
      </c>
      <c r="F633" s="102" t="s">
        <v>989</v>
      </c>
      <c r="H633" s="103">
        <v>32.68</v>
      </c>
      <c r="L633" s="99"/>
      <c r="M633" s="104"/>
      <c r="T633" s="105"/>
      <c r="AT633" s="101" t="s">
        <v>92</v>
      </c>
      <c r="AU633" s="101" t="s">
        <v>84</v>
      </c>
      <c r="AV633" s="100" t="s">
        <v>5</v>
      </c>
      <c r="AW633" s="100" t="s">
        <v>95</v>
      </c>
      <c r="AX633" s="100" t="s">
        <v>80</v>
      </c>
      <c r="AY633" s="101" t="s">
        <v>83</v>
      </c>
    </row>
    <row r="634" spans="2:65" s="100" customFormat="1" x14ac:dyDescent="0.2">
      <c r="B634" s="99"/>
      <c r="D634" s="95" t="s">
        <v>92</v>
      </c>
      <c r="E634" s="101" t="s">
        <v>3</v>
      </c>
      <c r="F634" s="102" t="s">
        <v>990</v>
      </c>
      <c r="H634" s="103">
        <v>104.61499999999999</v>
      </c>
      <c r="L634" s="99"/>
      <c r="M634" s="104"/>
      <c r="T634" s="105"/>
      <c r="AT634" s="101" t="s">
        <v>92</v>
      </c>
      <c r="AU634" s="101" t="s">
        <v>84</v>
      </c>
      <c r="AV634" s="100" t="s">
        <v>5</v>
      </c>
      <c r="AW634" s="100" t="s">
        <v>95</v>
      </c>
      <c r="AX634" s="100" t="s">
        <v>84</v>
      </c>
      <c r="AY634" s="101" t="s">
        <v>83</v>
      </c>
    </row>
    <row r="635" spans="2:65" s="14" customFormat="1" ht="24.15" customHeight="1" x14ac:dyDescent="0.2">
      <c r="B635" s="81"/>
      <c r="C635" s="82" t="s">
        <v>991</v>
      </c>
      <c r="D635" s="82" t="s">
        <v>85</v>
      </c>
      <c r="E635" s="83" t="s">
        <v>992</v>
      </c>
      <c r="F635" s="84" t="s">
        <v>993</v>
      </c>
      <c r="G635" s="85" t="s">
        <v>173</v>
      </c>
      <c r="H635" s="86">
        <v>489.26</v>
      </c>
      <c r="I635" s="87">
        <v>0</v>
      </c>
      <c r="J635" s="87">
        <f>ROUND(I635*H635,2)</f>
        <v>0</v>
      </c>
      <c r="K635" s="88"/>
      <c r="L635" s="13"/>
      <c r="M635" s="89" t="s">
        <v>3</v>
      </c>
      <c r="N635" s="90" t="s">
        <v>36</v>
      </c>
      <c r="O635" s="91">
        <v>0</v>
      </c>
      <c r="P635" s="91">
        <f>O635*H635</f>
        <v>0</v>
      </c>
      <c r="Q635" s="91">
        <v>0</v>
      </c>
      <c r="R635" s="91">
        <f>Q635*H635</f>
        <v>0</v>
      </c>
      <c r="S635" s="91">
        <v>0</v>
      </c>
      <c r="T635" s="92">
        <f>S635*H635</f>
        <v>0</v>
      </c>
      <c r="AR635" s="93" t="s">
        <v>82</v>
      </c>
      <c r="AT635" s="93" t="s">
        <v>85</v>
      </c>
      <c r="AU635" s="93" t="s">
        <v>84</v>
      </c>
      <c r="AY635" s="3" t="s">
        <v>83</v>
      </c>
      <c r="BE635" s="94">
        <f>IF(N635="základní",J635,0)</f>
        <v>0</v>
      </c>
      <c r="BF635" s="94">
        <f>IF(N635="snížená",J635,0)</f>
        <v>0</v>
      </c>
      <c r="BG635" s="94">
        <f>IF(N635="zákl. přenesená",J635,0)</f>
        <v>0</v>
      </c>
      <c r="BH635" s="94">
        <f>IF(N635="sníž. přenesená",J635,0)</f>
        <v>0</v>
      </c>
      <c r="BI635" s="94">
        <f>IF(N635="nulová",J635,0)</f>
        <v>0</v>
      </c>
      <c r="BJ635" s="3" t="s">
        <v>84</v>
      </c>
      <c r="BK635" s="94">
        <f>ROUND(I635*H635,2)</f>
        <v>0</v>
      </c>
      <c r="BL635" s="3" t="s">
        <v>82</v>
      </c>
      <c r="BM635" s="93" t="s">
        <v>994</v>
      </c>
    </row>
    <row r="636" spans="2:65" s="14" customFormat="1" x14ac:dyDescent="0.2">
      <c r="B636" s="13"/>
      <c r="D636" s="95" t="s">
        <v>90</v>
      </c>
      <c r="F636" s="96" t="s">
        <v>995</v>
      </c>
      <c r="L636" s="13"/>
      <c r="M636" s="97"/>
      <c r="T636" s="98"/>
      <c r="AT636" s="3" t="s">
        <v>90</v>
      </c>
      <c r="AU636" s="3" t="s">
        <v>84</v>
      </c>
    </row>
    <row r="637" spans="2:65" s="100" customFormat="1" x14ac:dyDescent="0.2">
      <c r="B637" s="99"/>
      <c r="D637" s="95" t="s">
        <v>92</v>
      </c>
      <c r="E637" s="101" t="s">
        <v>996</v>
      </c>
      <c r="F637" s="102" t="s">
        <v>997</v>
      </c>
      <c r="H637" s="103">
        <v>244.60500000000002</v>
      </c>
      <c r="L637" s="99"/>
      <c r="M637" s="104"/>
      <c r="T637" s="105"/>
      <c r="AT637" s="101" t="s">
        <v>92</v>
      </c>
      <c r="AU637" s="101" t="s">
        <v>84</v>
      </c>
      <c r="AV637" s="100" t="s">
        <v>5</v>
      </c>
      <c r="AW637" s="100" t="s">
        <v>95</v>
      </c>
      <c r="AX637" s="100" t="s">
        <v>80</v>
      </c>
      <c r="AY637" s="101" t="s">
        <v>83</v>
      </c>
    </row>
    <row r="638" spans="2:65" s="100" customFormat="1" x14ac:dyDescent="0.2">
      <c r="B638" s="99"/>
      <c r="D638" s="95" t="s">
        <v>92</v>
      </c>
      <c r="E638" s="101" t="s">
        <v>998</v>
      </c>
      <c r="F638" s="102" t="s">
        <v>999</v>
      </c>
      <c r="H638" s="103">
        <v>244.655</v>
      </c>
      <c r="L638" s="99"/>
      <c r="M638" s="104"/>
      <c r="T638" s="105"/>
      <c r="AT638" s="101" t="s">
        <v>92</v>
      </c>
      <c r="AU638" s="101" t="s">
        <v>84</v>
      </c>
      <c r="AV638" s="100" t="s">
        <v>5</v>
      </c>
      <c r="AW638" s="100" t="s">
        <v>95</v>
      </c>
      <c r="AX638" s="100" t="s">
        <v>80</v>
      </c>
      <c r="AY638" s="101" t="s">
        <v>83</v>
      </c>
    </row>
    <row r="639" spans="2:65" s="100" customFormat="1" x14ac:dyDescent="0.2">
      <c r="B639" s="99"/>
      <c r="D639" s="95" t="s">
        <v>92</v>
      </c>
      <c r="E639" s="101" t="s">
        <v>3</v>
      </c>
      <c r="F639" s="102" t="s">
        <v>923</v>
      </c>
      <c r="H639" s="103">
        <v>489.26</v>
      </c>
      <c r="L639" s="99"/>
      <c r="M639" s="104"/>
      <c r="T639" s="105"/>
      <c r="AT639" s="101" t="s">
        <v>92</v>
      </c>
      <c r="AU639" s="101" t="s">
        <v>84</v>
      </c>
      <c r="AV639" s="100" t="s">
        <v>5</v>
      </c>
      <c r="AW639" s="100" t="s">
        <v>95</v>
      </c>
      <c r="AX639" s="100" t="s">
        <v>84</v>
      </c>
      <c r="AY639" s="101" t="s">
        <v>83</v>
      </c>
    </row>
    <row r="640" spans="2:65" s="14" customFormat="1" ht="24.15" customHeight="1" x14ac:dyDescent="0.2">
      <c r="B640" s="81"/>
      <c r="C640" s="82" t="s">
        <v>1000</v>
      </c>
      <c r="D640" s="82" t="s">
        <v>85</v>
      </c>
      <c r="E640" s="83" t="s">
        <v>1001</v>
      </c>
      <c r="F640" s="84" t="s">
        <v>993</v>
      </c>
      <c r="G640" s="85" t="s">
        <v>173</v>
      </c>
      <c r="H640" s="86">
        <v>489.26</v>
      </c>
      <c r="I640" s="87">
        <v>0</v>
      </c>
      <c r="J640" s="87">
        <f>ROUND(I640*H640,2)</f>
        <v>0</v>
      </c>
      <c r="K640" s="88"/>
      <c r="L640" s="13"/>
      <c r="M640" s="89" t="s">
        <v>3</v>
      </c>
      <c r="N640" s="90" t="s">
        <v>36</v>
      </c>
      <c r="O640" s="91">
        <v>0</v>
      </c>
      <c r="P640" s="91">
        <f>O640*H640</f>
        <v>0</v>
      </c>
      <c r="Q640" s="91">
        <v>0</v>
      </c>
      <c r="R640" s="91">
        <f>Q640*H640</f>
        <v>0</v>
      </c>
      <c r="S640" s="91">
        <v>0</v>
      </c>
      <c r="T640" s="92">
        <f>S640*H640</f>
        <v>0</v>
      </c>
      <c r="AR640" s="93" t="s">
        <v>82</v>
      </c>
      <c r="AT640" s="93" t="s">
        <v>85</v>
      </c>
      <c r="AU640" s="93" t="s">
        <v>84</v>
      </c>
      <c r="AY640" s="3" t="s">
        <v>83</v>
      </c>
      <c r="BE640" s="94">
        <f>IF(N640="základní",J640,0)</f>
        <v>0</v>
      </c>
      <c r="BF640" s="94">
        <f>IF(N640="snížená",J640,0)</f>
        <v>0</v>
      </c>
      <c r="BG640" s="94">
        <f>IF(N640="zákl. přenesená",J640,0)</f>
        <v>0</v>
      </c>
      <c r="BH640" s="94">
        <f>IF(N640="sníž. přenesená",J640,0)</f>
        <v>0</v>
      </c>
      <c r="BI640" s="94">
        <f>IF(N640="nulová",J640,0)</f>
        <v>0</v>
      </c>
      <c r="BJ640" s="3" t="s">
        <v>84</v>
      </c>
      <c r="BK640" s="94">
        <f>ROUND(I640*H640,2)</f>
        <v>0</v>
      </c>
      <c r="BL640" s="3" t="s">
        <v>82</v>
      </c>
      <c r="BM640" s="93" t="s">
        <v>1002</v>
      </c>
    </row>
    <row r="641" spans="2:65" s="14" customFormat="1" ht="19.2" x14ac:dyDescent="0.2">
      <c r="B641" s="13"/>
      <c r="D641" s="95" t="s">
        <v>90</v>
      </c>
      <c r="F641" s="96" t="s">
        <v>1003</v>
      </c>
      <c r="L641" s="13"/>
      <c r="M641" s="97"/>
      <c r="T641" s="98"/>
      <c r="AT641" s="3" t="s">
        <v>90</v>
      </c>
      <c r="AU641" s="3" t="s">
        <v>84</v>
      </c>
    </row>
    <row r="642" spans="2:65" s="100" customFormat="1" x14ac:dyDescent="0.2">
      <c r="B642" s="99"/>
      <c r="D642" s="95" t="s">
        <v>92</v>
      </c>
      <c r="E642" s="101" t="s">
        <v>1004</v>
      </c>
      <c r="F642" s="102" t="s">
        <v>997</v>
      </c>
      <c r="H642" s="103">
        <v>244.60500000000002</v>
      </c>
      <c r="L642" s="99"/>
      <c r="M642" s="104"/>
      <c r="T642" s="105"/>
      <c r="AT642" s="101" t="s">
        <v>92</v>
      </c>
      <c r="AU642" s="101" t="s">
        <v>84</v>
      </c>
      <c r="AV642" s="100" t="s">
        <v>5</v>
      </c>
      <c r="AW642" s="100" t="s">
        <v>95</v>
      </c>
      <c r="AX642" s="100" t="s">
        <v>80</v>
      </c>
      <c r="AY642" s="101" t="s">
        <v>83</v>
      </c>
    </row>
    <row r="643" spans="2:65" s="100" customFormat="1" x14ac:dyDescent="0.2">
      <c r="B643" s="99"/>
      <c r="D643" s="95" t="s">
        <v>92</v>
      </c>
      <c r="E643" s="101" t="s">
        <v>1005</v>
      </c>
      <c r="F643" s="102" t="s">
        <v>999</v>
      </c>
      <c r="H643" s="103">
        <v>244.655</v>
      </c>
      <c r="L643" s="99"/>
      <c r="M643" s="104"/>
      <c r="T643" s="105"/>
      <c r="AT643" s="101" t="s">
        <v>92</v>
      </c>
      <c r="AU643" s="101" t="s">
        <v>84</v>
      </c>
      <c r="AV643" s="100" t="s">
        <v>5</v>
      </c>
      <c r="AW643" s="100" t="s">
        <v>95</v>
      </c>
      <c r="AX643" s="100" t="s">
        <v>80</v>
      </c>
      <c r="AY643" s="101" t="s">
        <v>83</v>
      </c>
    </row>
    <row r="644" spans="2:65" s="100" customFormat="1" x14ac:dyDescent="0.2">
      <c r="B644" s="99"/>
      <c r="D644" s="95" t="s">
        <v>92</v>
      </c>
      <c r="E644" s="101" t="s">
        <v>3</v>
      </c>
      <c r="F644" s="102" t="s">
        <v>923</v>
      </c>
      <c r="H644" s="103">
        <v>489.26</v>
      </c>
      <c r="L644" s="99"/>
      <c r="M644" s="104"/>
      <c r="T644" s="105"/>
      <c r="AT644" s="101" t="s">
        <v>92</v>
      </c>
      <c r="AU644" s="101" t="s">
        <v>84</v>
      </c>
      <c r="AV644" s="100" t="s">
        <v>5</v>
      </c>
      <c r="AW644" s="100" t="s">
        <v>95</v>
      </c>
      <c r="AX644" s="100" t="s">
        <v>84</v>
      </c>
      <c r="AY644" s="101" t="s">
        <v>83</v>
      </c>
    </row>
    <row r="645" spans="2:65" s="14" customFormat="1" ht="21.75" customHeight="1" x14ac:dyDescent="0.2">
      <c r="B645" s="81"/>
      <c r="C645" s="82" t="s">
        <v>1006</v>
      </c>
      <c r="D645" s="82" t="s">
        <v>85</v>
      </c>
      <c r="E645" s="83" t="s">
        <v>1007</v>
      </c>
      <c r="F645" s="84" t="s">
        <v>1008</v>
      </c>
      <c r="G645" s="85" t="s">
        <v>173</v>
      </c>
      <c r="H645" s="86">
        <v>58.4</v>
      </c>
      <c r="I645" s="87">
        <v>0</v>
      </c>
      <c r="J645" s="87">
        <f>ROUND(I645*H645,2)</f>
        <v>0</v>
      </c>
      <c r="K645" s="88"/>
      <c r="L645" s="13"/>
      <c r="M645" s="89" t="s">
        <v>3</v>
      </c>
      <c r="N645" s="90" t="s">
        <v>36</v>
      </c>
      <c r="O645" s="91">
        <v>0</v>
      </c>
      <c r="P645" s="91">
        <f>O645*H645</f>
        <v>0</v>
      </c>
      <c r="Q645" s="91">
        <v>0</v>
      </c>
      <c r="R645" s="91">
        <f>Q645*H645</f>
        <v>0</v>
      </c>
      <c r="S645" s="91">
        <v>0</v>
      </c>
      <c r="T645" s="92">
        <f>S645*H645</f>
        <v>0</v>
      </c>
      <c r="AR645" s="93" t="s">
        <v>82</v>
      </c>
      <c r="AT645" s="93" t="s">
        <v>85</v>
      </c>
      <c r="AU645" s="93" t="s">
        <v>84</v>
      </c>
      <c r="AY645" s="3" t="s">
        <v>83</v>
      </c>
      <c r="BE645" s="94">
        <f>IF(N645="základní",J645,0)</f>
        <v>0</v>
      </c>
      <c r="BF645" s="94">
        <f>IF(N645="snížená",J645,0)</f>
        <v>0</v>
      </c>
      <c r="BG645" s="94">
        <f>IF(N645="zákl. přenesená",J645,0)</f>
        <v>0</v>
      </c>
      <c r="BH645" s="94">
        <f>IF(N645="sníž. přenesená",J645,0)</f>
        <v>0</v>
      </c>
      <c r="BI645" s="94">
        <f>IF(N645="nulová",J645,0)</f>
        <v>0</v>
      </c>
      <c r="BJ645" s="3" t="s">
        <v>84</v>
      </c>
      <c r="BK645" s="94">
        <f>ROUND(I645*H645,2)</f>
        <v>0</v>
      </c>
      <c r="BL645" s="3" t="s">
        <v>82</v>
      </c>
      <c r="BM645" s="93" t="s">
        <v>1009</v>
      </c>
    </row>
    <row r="646" spans="2:65" s="14" customFormat="1" x14ac:dyDescent="0.2">
      <c r="B646" s="13"/>
      <c r="D646" s="95" t="s">
        <v>90</v>
      </c>
      <c r="F646" s="96" t="s">
        <v>1008</v>
      </c>
      <c r="L646" s="13"/>
      <c r="M646" s="97"/>
      <c r="T646" s="98"/>
      <c r="AT646" s="3" t="s">
        <v>90</v>
      </c>
      <c r="AU646" s="3" t="s">
        <v>84</v>
      </c>
    </row>
    <row r="647" spans="2:65" s="100" customFormat="1" x14ac:dyDescent="0.2">
      <c r="B647" s="99"/>
      <c r="D647" s="95" t="s">
        <v>92</v>
      </c>
      <c r="E647" s="101" t="s">
        <v>1010</v>
      </c>
      <c r="F647" s="102" t="s">
        <v>1011</v>
      </c>
      <c r="H647" s="103">
        <v>29.2</v>
      </c>
      <c r="L647" s="99"/>
      <c r="M647" s="104"/>
      <c r="T647" s="105"/>
      <c r="AT647" s="101" t="s">
        <v>92</v>
      </c>
      <c r="AU647" s="101" t="s">
        <v>84</v>
      </c>
      <c r="AV647" s="100" t="s">
        <v>5</v>
      </c>
      <c r="AW647" s="100" t="s">
        <v>95</v>
      </c>
      <c r="AX647" s="100" t="s">
        <v>80</v>
      </c>
      <c r="AY647" s="101" t="s">
        <v>83</v>
      </c>
    </row>
    <row r="648" spans="2:65" s="100" customFormat="1" x14ac:dyDescent="0.2">
      <c r="B648" s="99"/>
      <c r="D648" s="95" t="s">
        <v>92</v>
      </c>
      <c r="E648" s="101" t="s">
        <v>1012</v>
      </c>
      <c r="F648" s="102" t="s">
        <v>1013</v>
      </c>
      <c r="H648" s="103">
        <v>29.2</v>
      </c>
      <c r="L648" s="99"/>
      <c r="M648" s="104"/>
      <c r="T648" s="105"/>
      <c r="AT648" s="101" t="s">
        <v>92</v>
      </c>
      <c r="AU648" s="101" t="s">
        <v>84</v>
      </c>
      <c r="AV648" s="100" t="s">
        <v>5</v>
      </c>
      <c r="AW648" s="100" t="s">
        <v>95</v>
      </c>
      <c r="AX648" s="100" t="s">
        <v>80</v>
      </c>
      <c r="AY648" s="101" t="s">
        <v>83</v>
      </c>
    </row>
    <row r="649" spans="2:65" s="100" customFormat="1" x14ac:dyDescent="0.2">
      <c r="B649" s="99"/>
      <c r="D649" s="95" t="s">
        <v>92</v>
      </c>
      <c r="E649" s="101" t="s">
        <v>3</v>
      </c>
      <c r="F649" s="102" t="s">
        <v>1014</v>
      </c>
      <c r="H649" s="103">
        <v>58.4</v>
      </c>
      <c r="L649" s="99"/>
      <c r="M649" s="104"/>
      <c r="T649" s="105"/>
      <c r="AT649" s="101" t="s">
        <v>92</v>
      </c>
      <c r="AU649" s="101" t="s">
        <v>84</v>
      </c>
      <c r="AV649" s="100" t="s">
        <v>5</v>
      </c>
      <c r="AW649" s="100" t="s">
        <v>95</v>
      </c>
      <c r="AX649" s="100" t="s">
        <v>84</v>
      </c>
      <c r="AY649" s="101" t="s">
        <v>83</v>
      </c>
    </row>
    <row r="650" spans="2:65" s="14" customFormat="1" ht="24.15" customHeight="1" x14ac:dyDescent="0.2">
      <c r="B650" s="81"/>
      <c r="C650" s="82" t="s">
        <v>1015</v>
      </c>
      <c r="D650" s="82" t="s">
        <v>85</v>
      </c>
      <c r="E650" s="83" t="s">
        <v>1016</v>
      </c>
      <c r="F650" s="84" t="s">
        <v>1017</v>
      </c>
      <c r="G650" s="85" t="s">
        <v>129</v>
      </c>
      <c r="H650" s="86">
        <v>83.263999999999996</v>
      </c>
      <c r="I650" s="87">
        <v>0</v>
      </c>
      <c r="J650" s="87">
        <f>ROUND(I650*H650,2)</f>
        <v>0</v>
      </c>
      <c r="K650" s="88"/>
      <c r="L650" s="13"/>
      <c r="M650" s="89" t="s">
        <v>3</v>
      </c>
      <c r="N650" s="90" t="s">
        <v>36</v>
      </c>
      <c r="O650" s="91">
        <v>0</v>
      </c>
      <c r="P650" s="91">
        <f>O650*H650</f>
        <v>0</v>
      </c>
      <c r="Q650" s="91">
        <v>0</v>
      </c>
      <c r="R650" s="91">
        <f>Q650*H650</f>
        <v>0</v>
      </c>
      <c r="S650" s="91">
        <v>0</v>
      </c>
      <c r="T650" s="92">
        <f>S650*H650</f>
        <v>0</v>
      </c>
      <c r="AR650" s="93" t="s">
        <v>82</v>
      </c>
      <c r="AT650" s="93" t="s">
        <v>85</v>
      </c>
      <c r="AU650" s="93" t="s">
        <v>84</v>
      </c>
      <c r="AY650" s="3" t="s">
        <v>83</v>
      </c>
      <c r="BE650" s="94">
        <f>IF(N650="základní",J650,0)</f>
        <v>0</v>
      </c>
      <c r="BF650" s="94">
        <f>IF(N650="snížená",J650,0)</f>
        <v>0</v>
      </c>
      <c r="BG650" s="94">
        <f>IF(N650="zákl. přenesená",J650,0)</f>
        <v>0</v>
      </c>
      <c r="BH650" s="94">
        <f>IF(N650="sníž. přenesená",J650,0)</f>
        <v>0</v>
      </c>
      <c r="BI650" s="94">
        <f>IF(N650="nulová",J650,0)</f>
        <v>0</v>
      </c>
      <c r="BJ650" s="3" t="s">
        <v>84</v>
      </c>
      <c r="BK650" s="94">
        <f>ROUND(I650*H650,2)</f>
        <v>0</v>
      </c>
      <c r="BL650" s="3" t="s">
        <v>82</v>
      </c>
      <c r="BM650" s="93" t="s">
        <v>1018</v>
      </c>
    </row>
    <row r="651" spans="2:65" s="14" customFormat="1" x14ac:dyDescent="0.2">
      <c r="B651" s="13"/>
      <c r="D651" s="95" t="s">
        <v>90</v>
      </c>
      <c r="F651" s="96" t="s">
        <v>1019</v>
      </c>
      <c r="L651" s="13"/>
      <c r="M651" s="97"/>
      <c r="T651" s="98"/>
      <c r="AT651" s="3" t="s">
        <v>90</v>
      </c>
      <c r="AU651" s="3" t="s">
        <v>84</v>
      </c>
    </row>
    <row r="652" spans="2:65" s="100" customFormat="1" x14ac:dyDescent="0.2">
      <c r="B652" s="99"/>
      <c r="D652" s="95" t="s">
        <v>92</v>
      </c>
      <c r="E652" s="101" t="s">
        <v>1020</v>
      </c>
      <c r="F652" s="102" t="s">
        <v>1021</v>
      </c>
      <c r="H652" s="103">
        <v>68.980099999999993</v>
      </c>
      <c r="L652" s="99"/>
      <c r="M652" s="104"/>
      <c r="T652" s="105"/>
      <c r="AT652" s="101" t="s">
        <v>92</v>
      </c>
      <c r="AU652" s="101" t="s">
        <v>84</v>
      </c>
      <c r="AV652" s="100" t="s">
        <v>5</v>
      </c>
      <c r="AW652" s="100" t="s">
        <v>95</v>
      </c>
      <c r="AX652" s="100" t="s">
        <v>80</v>
      </c>
      <c r="AY652" s="101" t="s">
        <v>83</v>
      </c>
    </row>
    <row r="653" spans="2:65" s="100" customFormat="1" x14ac:dyDescent="0.2">
      <c r="B653" s="99"/>
      <c r="D653" s="95" t="s">
        <v>92</v>
      </c>
      <c r="E653" s="101" t="s">
        <v>1022</v>
      </c>
      <c r="F653" s="102" t="s">
        <v>1023</v>
      </c>
      <c r="H653" s="103">
        <v>14.2835</v>
      </c>
      <c r="L653" s="99"/>
      <c r="M653" s="104"/>
      <c r="T653" s="105"/>
      <c r="AT653" s="101" t="s">
        <v>92</v>
      </c>
      <c r="AU653" s="101" t="s">
        <v>84</v>
      </c>
      <c r="AV653" s="100" t="s">
        <v>5</v>
      </c>
      <c r="AW653" s="100" t="s">
        <v>95</v>
      </c>
      <c r="AX653" s="100" t="s">
        <v>80</v>
      </c>
      <c r="AY653" s="101" t="s">
        <v>83</v>
      </c>
    </row>
    <row r="654" spans="2:65" s="100" customFormat="1" x14ac:dyDescent="0.2">
      <c r="B654" s="99"/>
      <c r="D654" s="95" t="s">
        <v>92</v>
      </c>
      <c r="E654" s="101" t="s">
        <v>3</v>
      </c>
      <c r="F654" s="102" t="s">
        <v>1024</v>
      </c>
      <c r="H654" s="103">
        <v>83.263999999999996</v>
      </c>
      <c r="L654" s="99"/>
      <c r="M654" s="104"/>
      <c r="T654" s="105"/>
      <c r="AT654" s="101" t="s">
        <v>92</v>
      </c>
      <c r="AU654" s="101" t="s">
        <v>84</v>
      </c>
      <c r="AV654" s="100" t="s">
        <v>5</v>
      </c>
      <c r="AW654" s="100" t="s">
        <v>95</v>
      </c>
      <c r="AX654" s="100" t="s">
        <v>84</v>
      </c>
      <c r="AY654" s="101" t="s">
        <v>83</v>
      </c>
    </row>
    <row r="655" spans="2:65" s="14" customFormat="1" ht="24.15" customHeight="1" x14ac:dyDescent="0.2">
      <c r="B655" s="81"/>
      <c r="C655" s="82" t="s">
        <v>1025</v>
      </c>
      <c r="D655" s="82" t="s">
        <v>85</v>
      </c>
      <c r="E655" s="83" t="s">
        <v>1026</v>
      </c>
      <c r="F655" s="84" t="s">
        <v>1027</v>
      </c>
      <c r="G655" s="85" t="s">
        <v>138</v>
      </c>
      <c r="H655" s="86">
        <v>2</v>
      </c>
      <c r="I655" s="87">
        <v>0</v>
      </c>
      <c r="J655" s="87">
        <f>ROUND(I655*H655,2)</f>
        <v>0</v>
      </c>
      <c r="K655" s="88"/>
      <c r="L655" s="13"/>
      <c r="M655" s="89" t="s">
        <v>3</v>
      </c>
      <c r="N655" s="90" t="s">
        <v>36</v>
      </c>
      <c r="O655" s="91">
        <v>0</v>
      </c>
      <c r="P655" s="91">
        <f>O655*H655</f>
        <v>0</v>
      </c>
      <c r="Q655" s="91">
        <v>0</v>
      </c>
      <c r="R655" s="91">
        <f>Q655*H655</f>
        <v>0</v>
      </c>
      <c r="S655" s="91">
        <v>0</v>
      </c>
      <c r="T655" s="92">
        <f>S655*H655</f>
        <v>0</v>
      </c>
      <c r="AR655" s="93" t="s">
        <v>82</v>
      </c>
      <c r="AT655" s="93" t="s">
        <v>85</v>
      </c>
      <c r="AU655" s="93" t="s">
        <v>84</v>
      </c>
      <c r="AY655" s="3" t="s">
        <v>83</v>
      </c>
      <c r="BE655" s="94">
        <f>IF(N655="základní",J655,0)</f>
        <v>0</v>
      </c>
      <c r="BF655" s="94">
        <f>IF(N655="snížená",J655,0)</f>
        <v>0</v>
      </c>
      <c r="BG655" s="94">
        <f>IF(N655="zákl. přenesená",J655,0)</f>
        <v>0</v>
      </c>
      <c r="BH655" s="94">
        <f>IF(N655="sníž. přenesená",J655,0)</f>
        <v>0</v>
      </c>
      <c r="BI655" s="94">
        <f>IF(N655="nulová",J655,0)</f>
        <v>0</v>
      </c>
      <c r="BJ655" s="3" t="s">
        <v>84</v>
      </c>
      <c r="BK655" s="94">
        <f>ROUND(I655*H655,2)</f>
        <v>0</v>
      </c>
      <c r="BL655" s="3" t="s">
        <v>82</v>
      </c>
      <c r="BM655" s="93" t="s">
        <v>1028</v>
      </c>
    </row>
    <row r="656" spans="2:65" s="14" customFormat="1" ht="19.2" x14ac:dyDescent="0.2">
      <c r="B656" s="13"/>
      <c r="D656" s="95" t="s">
        <v>90</v>
      </c>
      <c r="F656" s="96" t="s">
        <v>1029</v>
      </c>
      <c r="L656" s="13"/>
      <c r="M656" s="97"/>
      <c r="T656" s="98"/>
      <c r="AT656" s="3" t="s">
        <v>90</v>
      </c>
      <c r="AU656" s="3" t="s">
        <v>84</v>
      </c>
    </row>
    <row r="657" spans="2:65" s="100" customFormat="1" x14ac:dyDescent="0.2">
      <c r="B657" s="99"/>
      <c r="D657" s="95" t="s">
        <v>92</v>
      </c>
      <c r="E657" s="101" t="s">
        <v>1030</v>
      </c>
      <c r="F657" s="102" t="s">
        <v>1031</v>
      </c>
      <c r="H657" s="103">
        <v>2</v>
      </c>
      <c r="L657" s="99"/>
      <c r="M657" s="104"/>
      <c r="T657" s="105"/>
      <c r="AT657" s="101" t="s">
        <v>92</v>
      </c>
      <c r="AU657" s="101" t="s">
        <v>84</v>
      </c>
      <c r="AV657" s="100" t="s">
        <v>5</v>
      </c>
      <c r="AW657" s="100" t="s">
        <v>95</v>
      </c>
      <c r="AX657" s="100" t="s">
        <v>80</v>
      </c>
      <c r="AY657" s="101" t="s">
        <v>83</v>
      </c>
    </row>
    <row r="658" spans="2:65" s="100" customFormat="1" x14ac:dyDescent="0.2">
      <c r="B658" s="99"/>
      <c r="D658" s="95" t="s">
        <v>92</v>
      </c>
      <c r="E658" s="101" t="s">
        <v>3</v>
      </c>
      <c r="F658" s="102" t="s">
        <v>948</v>
      </c>
      <c r="H658" s="103">
        <v>2</v>
      </c>
      <c r="L658" s="99"/>
      <c r="M658" s="104"/>
      <c r="T658" s="105"/>
      <c r="AT658" s="101" t="s">
        <v>92</v>
      </c>
      <c r="AU658" s="101" t="s">
        <v>84</v>
      </c>
      <c r="AV658" s="100" t="s">
        <v>5</v>
      </c>
      <c r="AW658" s="100" t="s">
        <v>95</v>
      </c>
      <c r="AX658" s="100" t="s">
        <v>84</v>
      </c>
      <c r="AY658" s="101" t="s">
        <v>83</v>
      </c>
    </row>
    <row r="659" spans="2:65" s="14" customFormat="1" ht="24.15" customHeight="1" x14ac:dyDescent="0.2">
      <c r="B659" s="81"/>
      <c r="C659" s="82" t="s">
        <v>1032</v>
      </c>
      <c r="D659" s="82" t="s">
        <v>85</v>
      </c>
      <c r="E659" s="83" t="s">
        <v>1033</v>
      </c>
      <c r="F659" s="84" t="s">
        <v>1034</v>
      </c>
      <c r="G659" s="85" t="s">
        <v>173</v>
      </c>
      <c r="H659" s="86">
        <v>59.1</v>
      </c>
      <c r="I659" s="87">
        <v>0</v>
      </c>
      <c r="J659" s="87">
        <f>ROUND(I659*H659,2)</f>
        <v>0</v>
      </c>
      <c r="K659" s="88"/>
      <c r="L659" s="13"/>
      <c r="M659" s="89" t="s">
        <v>3</v>
      </c>
      <c r="N659" s="90" t="s">
        <v>36</v>
      </c>
      <c r="O659" s="91">
        <v>0</v>
      </c>
      <c r="P659" s="91">
        <f>O659*H659</f>
        <v>0</v>
      </c>
      <c r="Q659" s="91">
        <v>0</v>
      </c>
      <c r="R659" s="91">
        <f>Q659*H659</f>
        <v>0</v>
      </c>
      <c r="S659" s="91">
        <v>0</v>
      </c>
      <c r="T659" s="92">
        <f>S659*H659</f>
        <v>0</v>
      </c>
      <c r="AR659" s="93" t="s">
        <v>82</v>
      </c>
      <c r="AT659" s="93" t="s">
        <v>85</v>
      </c>
      <c r="AU659" s="93" t="s">
        <v>84</v>
      </c>
      <c r="AY659" s="3" t="s">
        <v>83</v>
      </c>
      <c r="BE659" s="94">
        <f>IF(N659="základní",J659,0)</f>
        <v>0</v>
      </c>
      <c r="BF659" s="94">
        <f>IF(N659="snížená",J659,0)</f>
        <v>0</v>
      </c>
      <c r="BG659" s="94">
        <f>IF(N659="zákl. přenesená",J659,0)</f>
        <v>0</v>
      </c>
      <c r="BH659" s="94">
        <f>IF(N659="sníž. přenesená",J659,0)</f>
        <v>0</v>
      </c>
      <c r="BI659" s="94">
        <f>IF(N659="nulová",J659,0)</f>
        <v>0</v>
      </c>
      <c r="BJ659" s="3" t="s">
        <v>84</v>
      </c>
      <c r="BK659" s="94">
        <f>ROUND(I659*H659,2)</f>
        <v>0</v>
      </c>
      <c r="BL659" s="3" t="s">
        <v>82</v>
      </c>
      <c r="BM659" s="93" t="s">
        <v>1035</v>
      </c>
    </row>
    <row r="660" spans="2:65" s="14" customFormat="1" x14ac:dyDescent="0.2">
      <c r="B660" s="13"/>
      <c r="D660" s="95" t="s">
        <v>90</v>
      </c>
      <c r="F660" s="96" t="s">
        <v>1036</v>
      </c>
      <c r="L660" s="13"/>
      <c r="M660" s="97"/>
      <c r="T660" s="98"/>
      <c r="AT660" s="3" t="s">
        <v>90</v>
      </c>
      <c r="AU660" s="3" t="s">
        <v>84</v>
      </c>
    </row>
    <row r="661" spans="2:65" s="100" customFormat="1" x14ac:dyDescent="0.2">
      <c r="B661" s="99"/>
      <c r="D661" s="95" t="s">
        <v>92</v>
      </c>
      <c r="E661" s="101" t="s">
        <v>1037</v>
      </c>
      <c r="F661" s="102" t="s">
        <v>1038</v>
      </c>
      <c r="H661" s="103">
        <v>59.1</v>
      </c>
      <c r="L661" s="99"/>
      <c r="M661" s="104"/>
      <c r="T661" s="105"/>
      <c r="AT661" s="101" t="s">
        <v>92</v>
      </c>
      <c r="AU661" s="101" t="s">
        <v>84</v>
      </c>
      <c r="AV661" s="100" t="s">
        <v>5</v>
      </c>
      <c r="AW661" s="100" t="s">
        <v>95</v>
      </c>
      <c r="AX661" s="100" t="s">
        <v>80</v>
      </c>
      <c r="AY661" s="101" t="s">
        <v>83</v>
      </c>
    </row>
    <row r="662" spans="2:65" s="100" customFormat="1" x14ac:dyDescent="0.2">
      <c r="B662" s="99"/>
      <c r="D662" s="95" t="s">
        <v>92</v>
      </c>
      <c r="E662" s="101" t="s">
        <v>3</v>
      </c>
      <c r="F662" s="102" t="s">
        <v>1039</v>
      </c>
      <c r="H662" s="103">
        <v>59.1</v>
      </c>
      <c r="L662" s="99"/>
      <c r="M662" s="104"/>
      <c r="T662" s="105"/>
      <c r="AT662" s="101" t="s">
        <v>92</v>
      </c>
      <c r="AU662" s="101" t="s">
        <v>84</v>
      </c>
      <c r="AV662" s="100" t="s">
        <v>5</v>
      </c>
      <c r="AW662" s="100" t="s">
        <v>95</v>
      </c>
      <c r="AX662" s="100" t="s">
        <v>84</v>
      </c>
      <c r="AY662" s="101" t="s">
        <v>83</v>
      </c>
    </row>
    <row r="663" spans="2:65" s="14" customFormat="1" ht="21.75" customHeight="1" x14ac:dyDescent="0.2">
      <c r="B663" s="81"/>
      <c r="C663" s="82" t="s">
        <v>1040</v>
      </c>
      <c r="D663" s="82" t="s">
        <v>85</v>
      </c>
      <c r="E663" s="83" t="s">
        <v>1041</v>
      </c>
      <c r="F663" s="84" t="s">
        <v>1042</v>
      </c>
      <c r="G663" s="85" t="s">
        <v>138</v>
      </c>
      <c r="H663" s="86">
        <v>1</v>
      </c>
      <c r="I663" s="87">
        <v>0</v>
      </c>
      <c r="J663" s="87">
        <f>ROUND(I663*H663,2)</f>
        <v>0</v>
      </c>
      <c r="K663" s="88"/>
      <c r="L663" s="13"/>
      <c r="M663" s="89" t="s">
        <v>3</v>
      </c>
      <c r="N663" s="90" t="s">
        <v>36</v>
      </c>
      <c r="O663" s="91">
        <v>0</v>
      </c>
      <c r="P663" s="91">
        <f>O663*H663</f>
        <v>0</v>
      </c>
      <c r="Q663" s="91">
        <v>0</v>
      </c>
      <c r="R663" s="91">
        <f>Q663*H663</f>
        <v>0</v>
      </c>
      <c r="S663" s="91">
        <v>0</v>
      </c>
      <c r="T663" s="92">
        <f>S663*H663</f>
        <v>0</v>
      </c>
      <c r="AR663" s="93" t="s">
        <v>82</v>
      </c>
      <c r="AT663" s="93" t="s">
        <v>85</v>
      </c>
      <c r="AU663" s="93" t="s">
        <v>84</v>
      </c>
      <c r="AY663" s="3" t="s">
        <v>83</v>
      </c>
      <c r="BE663" s="94">
        <f>IF(N663="základní",J663,0)</f>
        <v>0</v>
      </c>
      <c r="BF663" s="94">
        <f>IF(N663="snížená",J663,0)</f>
        <v>0</v>
      </c>
      <c r="BG663" s="94">
        <f>IF(N663="zákl. přenesená",J663,0)</f>
        <v>0</v>
      </c>
      <c r="BH663" s="94">
        <f>IF(N663="sníž. přenesená",J663,0)</f>
        <v>0</v>
      </c>
      <c r="BI663" s="94">
        <f>IF(N663="nulová",J663,0)</f>
        <v>0</v>
      </c>
      <c r="BJ663" s="3" t="s">
        <v>84</v>
      </c>
      <c r="BK663" s="94">
        <f>ROUND(I663*H663,2)</f>
        <v>0</v>
      </c>
      <c r="BL663" s="3" t="s">
        <v>82</v>
      </c>
      <c r="BM663" s="93" t="s">
        <v>1043</v>
      </c>
    </row>
    <row r="664" spans="2:65" s="14" customFormat="1" ht="28.8" x14ac:dyDescent="0.2">
      <c r="B664" s="13"/>
      <c r="D664" s="95" t="s">
        <v>90</v>
      </c>
      <c r="F664" s="96" t="s">
        <v>1044</v>
      </c>
      <c r="L664" s="13"/>
      <c r="M664" s="97"/>
      <c r="T664" s="98"/>
      <c r="AT664" s="3" t="s">
        <v>90</v>
      </c>
      <c r="AU664" s="3" t="s">
        <v>84</v>
      </c>
    </row>
    <row r="665" spans="2:65" s="100" customFormat="1" x14ac:dyDescent="0.2">
      <c r="B665" s="99"/>
      <c r="D665" s="95" t="s">
        <v>92</v>
      </c>
      <c r="E665" s="101" t="s">
        <v>1045</v>
      </c>
      <c r="F665" s="102" t="s">
        <v>84</v>
      </c>
      <c r="H665" s="103">
        <v>1</v>
      </c>
      <c r="L665" s="99"/>
      <c r="M665" s="104"/>
      <c r="T665" s="105"/>
      <c r="AT665" s="101" t="s">
        <v>92</v>
      </c>
      <c r="AU665" s="101" t="s">
        <v>84</v>
      </c>
      <c r="AV665" s="100" t="s">
        <v>5</v>
      </c>
      <c r="AW665" s="100" t="s">
        <v>95</v>
      </c>
      <c r="AX665" s="100" t="s">
        <v>80</v>
      </c>
      <c r="AY665" s="101" t="s">
        <v>83</v>
      </c>
    </row>
    <row r="666" spans="2:65" s="100" customFormat="1" x14ac:dyDescent="0.2">
      <c r="B666" s="99"/>
      <c r="D666" s="95" t="s">
        <v>92</v>
      </c>
      <c r="E666" s="101" t="s">
        <v>3</v>
      </c>
      <c r="F666" s="102" t="s">
        <v>147</v>
      </c>
      <c r="H666" s="103">
        <v>1</v>
      </c>
      <c r="L666" s="99"/>
      <c r="M666" s="104"/>
      <c r="T666" s="105"/>
      <c r="AT666" s="101" t="s">
        <v>92</v>
      </c>
      <c r="AU666" s="101" t="s">
        <v>84</v>
      </c>
      <c r="AV666" s="100" t="s">
        <v>5</v>
      </c>
      <c r="AW666" s="100" t="s">
        <v>95</v>
      </c>
      <c r="AX666" s="100" t="s">
        <v>84</v>
      </c>
      <c r="AY666" s="101" t="s">
        <v>83</v>
      </c>
    </row>
    <row r="667" spans="2:65" s="14" customFormat="1" ht="16.5" customHeight="1" x14ac:dyDescent="0.2">
      <c r="B667" s="81"/>
      <c r="C667" s="82" t="s">
        <v>1046</v>
      </c>
      <c r="D667" s="82" t="s">
        <v>85</v>
      </c>
      <c r="E667" s="83" t="s">
        <v>1047</v>
      </c>
      <c r="F667" s="84" t="s">
        <v>1048</v>
      </c>
      <c r="G667" s="85" t="s">
        <v>138</v>
      </c>
      <c r="H667" s="86">
        <v>14</v>
      </c>
      <c r="I667" s="87">
        <v>0</v>
      </c>
      <c r="J667" s="87">
        <f>ROUND(I667*H667,2)</f>
        <v>0</v>
      </c>
      <c r="K667" s="88"/>
      <c r="L667" s="13"/>
      <c r="M667" s="89" t="s">
        <v>3</v>
      </c>
      <c r="N667" s="90" t="s">
        <v>36</v>
      </c>
      <c r="O667" s="91">
        <v>0</v>
      </c>
      <c r="P667" s="91">
        <f>O667*H667</f>
        <v>0</v>
      </c>
      <c r="Q667" s="91">
        <v>0</v>
      </c>
      <c r="R667" s="91">
        <f>Q667*H667</f>
        <v>0</v>
      </c>
      <c r="S667" s="91">
        <v>0</v>
      </c>
      <c r="T667" s="92">
        <f>S667*H667</f>
        <v>0</v>
      </c>
      <c r="AR667" s="93" t="s">
        <v>82</v>
      </c>
      <c r="AT667" s="93" t="s">
        <v>85</v>
      </c>
      <c r="AU667" s="93" t="s">
        <v>84</v>
      </c>
      <c r="AY667" s="3" t="s">
        <v>83</v>
      </c>
      <c r="BE667" s="94">
        <f>IF(N667="základní",J667,0)</f>
        <v>0</v>
      </c>
      <c r="BF667" s="94">
        <f>IF(N667="snížená",J667,0)</f>
        <v>0</v>
      </c>
      <c r="BG667" s="94">
        <f>IF(N667="zákl. přenesená",J667,0)</f>
        <v>0</v>
      </c>
      <c r="BH667" s="94">
        <f>IF(N667="sníž. přenesená",J667,0)</f>
        <v>0</v>
      </c>
      <c r="BI667" s="94">
        <f>IF(N667="nulová",J667,0)</f>
        <v>0</v>
      </c>
      <c r="BJ667" s="3" t="s">
        <v>84</v>
      </c>
      <c r="BK667" s="94">
        <f>ROUND(I667*H667,2)</f>
        <v>0</v>
      </c>
      <c r="BL667" s="3" t="s">
        <v>82</v>
      </c>
      <c r="BM667" s="93" t="s">
        <v>1049</v>
      </c>
    </row>
    <row r="668" spans="2:65" s="14" customFormat="1" x14ac:dyDescent="0.2">
      <c r="B668" s="13"/>
      <c r="D668" s="95" t="s">
        <v>90</v>
      </c>
      <c r="F668" s="96" t="s">
        <v>1048</v>
      </c>
      <c r="L668" s="13"/>
      <c r="M668" s="97"/>
      <c r="T668" s="98"/>
      <c r="AT668" s="3" t="s">
        <v>90</v>
      </c>
      <c r="AU668" s="3" t="s">
        <v>84</v>
      </c>
    </row>
    <row r="669" spans="2:65" s="100" customFormat="1" x14ac:dyDescent="0.2">
      <c r="B669" s="99"/>
      <c r="D669" s="95" t="s">
        <v>92</v>
      </c>
      <c r="E669" s="101" t="s">
        <v>1050</v>
      </c>
      <c r="F669" s="102" t="s">
        <v>1051</v>
      </c>
      <c r="H669" s="103">
        <v>14</v>
      </c>
      <c r="L669" s="99"/>
      <c r="M669" s="104"/>
      <c r="T669" s="105"/>
      <c r="AT669" s="101" t="s">
        <v>92</v>
      </c>
      <c r="AU669" s="101" t="s">
        <v>84</v>
      </c>
      <c r="AV669" s="100" t="s">
        <v>5</v>
      </c>
      <c r="AW669" s="100" t="s">
        <v>95</v>
      </c>
      <c r="AX669" s="100" t="s">
        <v>80</v>
      </c>
      <c r="AY669" s="101" t="s">
        <v>83</v>
      </c>
    </row>
    <row r="670" spans="2:65" s="100" customFormat="1" x14ac:dyDescent="0.2">
      <c r="B670" s="99"/>
      <c r="D670" s="95" t="s">
        <v>92</v>
      </c>
      <c r="E670" s="101" t="s">
        <v>3</v>
      </c>
      <c r="F670" s="102" t="s">
        <v>1052</v>
      </c>
      <c r="H670" s="103">
        <v>14</v>
      </c>
      <c r="L670" s="99"/>
      <c r="M670" s="104"/>
      <c r="T670" s="105"/>
      <c r="AT670" s="101" t="s">
        <v>92</v>
      </c>
      <c r="AU670" s="101" t="s">
        <v>84</v>
      </c>
      <c r="AV670" s="100" t="s">
        <v>5</v>
      </c>
      <c r="AW670" s="100" t="s">
        <v>95</v>
      </c>
      <c r="AX670" s="100" t="s">
        <v>84</v>
      </c>
      <c r="AY670" s="101" t="s">
        <v>83</v>
      </c>
    </row>
    <row r="671" spans="2:65" s="14" customFormat="1" ht="24.15" customHeight="1" x14ac:dyDescent="0.2">
      <c r="B671" s="81"/>
      <c r="C671" s="82" t="s">
        <v>1053</v>
      </c>
      <c r="D671" s="82" t="s">
        <v>85</v>
      </c>
      <c r="E671" s="83" t="s">
        <v>1054</v>
      </c>
      <c r="F671" s="84" t="s">
        <v>1055</v>
      </c>
      <c r="G671" s="85" t="s">
        <v>138</v>
      </c>
      <c r="H671" s="86">
        <v>26</v>
      </c>
      <c r="I671" s="87">
        <v>0</v>
      </c>
      <c r="J671" s="87">
        <f>ROUND(I671*H671,2)</f>
        <v>0</v>
      </c>
      <c r="K671" s="88"/>
      <c r="L671" s="13"/>
      <c r="M671" s="89" t="s">
        <v>3</v>
      </c>
      <c r="N671" s="90" t="s">
        <v>36</v>
      </c>
      <c r="O671" s="91">
        <v>0</v>
      </c>
      <c r="P671" s="91">
        <f>O671*H671</f>
        <v>0</v>
      </c>
      <c r="Q671" s="91">
        <v>0</v>
      </c>
      <c r="R671" s="91">
        <f>Q671*H671</f>
        <v>0</v>
      </c>
      <c r="S671" s="91">
        <v>0</v>
      </c>
      <c r="T671" s="92">
        <f>S671*H671</f>
        <v>0</v>
      </c>
      <c r="AR671" s="93" t="s">
        <v>82</v>
      </c>
      <c r="AT671" s="93" t="s">
        <v>85</v>
      </c>
      <c r="AU671" s="93" t="s">
        <v>84</v>
      </c>
      <c r="AY671" s="3" t="s">
        <v>83</v>
      </c>
      <c r="BE671" s="94">
        <f>IF(N671="základní",J671,0)</f>
        <v>0</v>
      </c>
      <c r="BF671" s="94">
        <f>IF(N671="snížená",J671,0)</f>
        <v>0</v>
      </c>
      <c r="BG671" s="94">
        <f>IF(N671="zákl. přenesená",J671,0)</f>
        <v>0</v>
      </c>
      <c r="BH671" s="94">
        <f>IF(N671="sníž. přenesená",J671,0)</f>
        <v>0</v>
      </c>
      <c r="BI671" s="94">
        <f>IF(N671="nulová",J671,0)</f>
        <v>0</v>
      </c>
      <c r="BJ671" s="3" t="s">
        <v>84</v>
      </c>
      <c r="BK671" s="94">
        <f>ROUND(I671*H671,2)</f>
        <v>0</v>
      </c>
      <c r="BL671" s="3" t="s">
        <v>82</v>
      </c>
      <c r="BM671" s="93" t="s">
        <v>1056</v>
      </c>
    </row>
    <row r="672" spans="2:65" s="14" customFormat="1" ht="19.2" x14ac:dyDescent="0.2">
      <c r="B672" s="13"/>
      <c r="D672" s="95" t="s">
        <v>90</v>
      </c>
      <c r="F672" s="96" t="s">
        <v>1055</v>
      </c>
      <c r="L672" s="13"/>
      <c r="M672" s="97"/>
      <c r="T672" s="98"/>
      <c r="AT672" s="3" t="s">
        <v>90</v>
      </c>
      <c r="AU672" s="3" t="s">
        <v>84</v>
      </c>
    </row>
    <row r="673" spans="2:65" s="100" customFormat="1" x14ac:dyDescent="0.2">
      <c r="B673" s="99"/>
      <c r="D673" s="95" t="s">
        <v>92</v>
      </c>
      <c r="E673" s="101" t="s">
        <v>1057</v>
      </c>
      <c r="F673" s="102" t="s">
        <v>1058</v>
      </c>
      <c r="H673" s="103">
        <v>26</v>
      </c>
      <c r="L673" s="99"/>
      <c r="M673" s="104"/>
      <c r="T673" s="105"/>
      <c r="AT673" s="101" t="s">
        <v>92</v>
      </c>
      <c r="AU673" s="101" t="s">
        <v>84</v>
      </c>
      <c r="AV673" s="100" t="s">
        <v>5</v>
      </c>
      <c r="AW673" s="100" t="s">
        <v>95</v>
      </c>
      <c r="AX673" s="100" t="s">
        <v>80</v>
      </c>
      <c r="AY673" s="101" t="s">
        <v>83</v>
      </c>
    </row>
    <row r="674" spans="2:65" s="100" customFormat="1" x14ac:dyDescent="0.2">
      <c r="B674" s="99"/>
      <c r="D674" s="95" t="s">
        <v>92</v>
      </c>
      <c r="E674" s="101" t="s">
        <v>3</v>
      </c>
      <c r="F674" s="102" t="s">
        <v>1059</v>
      </c>
      <c r="H674" s="103">
        <v>26</v>
      </c>
      <c r="L674" s="99"/>
      <c r="M674" s="104"/>
      <c r="T674" s="105"/>
      <c r="AT674" s="101" t="s">
        <v>92</v>
      </c>
      <c r="AU674" s="101" t="s">
        <v>84</v>
      </c>
      <c r="AV674" s="100" t="s">
        <v>5</v>
      </c>
      <c r="AW674" s="100" t="s">
        <v>95</v>
      </c>
      <c r="AX674" s="100" t="s">
        <v>84</v>
      </c>
      <c r="AY674" s="101" t="s">
        <v>83</v>
      </c>
    </row>
    <row r="675" spans="2:65" s="14" customFormat="1" ht="16.5" customHeight="1" x14ac:dyDescent="0.2">
      <c r="B675" s="81"/>
      <c r="C675" s="82" t="s">
        <v>1060</v>
      </c>
      <c r="D675" s="82" t="s">
        <v>85</v>
      </c>
      <c r="E675" s="83" t="s">
        <v>1061</v>
      </c>
      <c r="F675" s="84" t="s">
        <v>1062</v>
      </c>
      <c r="G675" s="85" t="s">
        <v>88</v>
      </c>
      <c r="H675" s="86">
        <v>291.60000000000002</v>
      </c>
      <c r="I675" s="87">
        <v>0</v>
      </c>
      <c r="J675" s="87">
        <f>ROUND(I675*H675,2)</f>
        <v>0</v>
      </c>
      <c r="K675" s="88"/>
      <c r="L675" s="13"/>
      <c r="M675" s="89" t="s">
        <v>3</v>
      </c>
      <c r="N675" s="90" t="s">
        <v>36</v>
      </c>
      <c r="O675" s="91">
        <v>0</v>
      </c>
      <c r="P675" s="91">
        <f>O675*H675</f>
        <v>0</v>
      </c>
      <c r="Q675" s="91">
        <v>0</v>
      </c>
      <c r="R675" s="91">
        <f>Q675*H675</f>
        <v>0</v>
      </c>
      <c r="S675" s="91">
        <v>0</v>
      </c>
      <c r="T675" s="92">
        <f>S675*H675</f>
        <v>0</v>
      </c>
      <c r="AR675" s="93" t="s">
        <v>82</v>
      </c>
      <c r="AT675" s="93" t="s">
        <v>85</v>
      </c>
      <c r="AU675" s="93" t="s">
        <v>84</v>
      </c>
      <c r="AY675" s="3" t="s">
        <v>83</v>
      </c>
      <c r="BE675" s="94">
        <f>IF(N675="základní",J675,0)</f>
        <v>0</v>
      </c>
      <c r="BF675" s="94">
        <f>IF(N675="snížená",J675,0)</f>
        <v>0</v>
      </c>
      <c r="BG675" s="94">
        <f>IF(N675="zákl. přenesená",J675,0)</f>
        <v>0</v>
      </c>
      <c r="BH675" s="94">
        <f>IF(N675="sníž. přenesená",J675,0)</f>
        <v>0</v>
      </c>
      <c r="BI675" s="94">
        <f>IF(N675="nulová",J675,0)</f>
        <v>0</v>
      </c>
      <c r="BJ675" s="3" t="s">
        <v>84</v>
      </c>
      <c r="BK675" s="94">
        <f>ROUND(I675*H675,2)</f>
        <v>0</v>
      </c>
      <c r="BL675" s="3" t="s">
        <v>82</v>
      </c>
      <c r="BM675" s="93" t="s">
        <v>1063</v>
      </c>
    </row>
    <row r="676" spans="2:65" s="14" customFormat="1" ht="19.2" x14ac:dyDescent="0.2">
      <c r="B676" s="13"/>
      <c r="D676" s="95" t="s">
        <v>90</v>
      </c>
      <c r="F676" s="96" t="s">
        <v>1064</v>
      </c>
      <c r="L676" s="13"/>
      <c r="M676" s="97"/>
      <c r="T676" s="98"/>
      <c r="AT676" s="3" t="s">
        <v>90</v>
      </c>
      <c r="AU676" s="3" t="s">
        <v>84</v>
      </c>
    </row>
    <row r="677" spans="2:65" s="100" customFormat="1" x14ac:dyDescent="0.2">
      <c r="B677" s="99"/>
      <c r="D677" s="95" t="s">
        <v>92</v>
      </c>
      <c r="E677" s="101" t="s">
        <v>1065</v>
      </c>
      <c r="F677" s="102" t="s">
        <v>1066</v>
      </c>
      <c r="H677" s="103">
        <v>291.60000000000002</v>
      </c>
      <c r="L677" s="99"/>
      <c r="M677" s="104"/>
      <c r="T677" s="105"/>
      <c r="AT677" s="101" t="s">
        <v>92</v>
      </c>
      <c r="AU677" s="101" t="s">
        <v>84</v>
      </c>
      <c r="AV677" s="100" t="s">
        <v>5</v>
      </c>
      <c r="AW677" s="100" t="s">
        <v>95</v>
      </c>
      <c r="AX677" s="100" t="s">
        <v>80</v>
      </c>
      <c r="AY677" s="101" t="s">
        <v>83</v>
      </c>
    </row>
    <row r="678" spans="2:65" s="100" customFormat="1" x14ac:dyDescent="0.2">
      <c r="B678" s="99"/>
      <c r="D678" s="95" t="s">
        <v>92</v>
      </c>
      <c r="E678" s="101" t="s">
        <v>3</v>
      </c>
      <c r="F678" s="102" t="s">
        <v>1067</v>
      </c>
      <c r="H678" s="103">
        <v>291.60000000000002</v>
      </c>
      <c r="L678" s="99"/>
      <c r="M678" s="104"/>
      <c r="T678" s="105"/>
      <c r="AT678" s="101" t="s">
        <v>92</v>
      </c>
      <c r="AU678" s="101" t="s">
        <v>84</v>
      </c>
      <c r="AV678" s="100" t="s">
        <v>5</v>
      </c>
      <c r="AW678" s="100" t="s">
        <v>95</v>
      </c>
      <c r="AX678" s="100" t="s">
        <v>84</v>
      </c>
      <c r="AY678" s="101" t="s">
        <v>83</v>
      </c>
    </row>
    <row r="679" spans="2:65" s="14" customFormat="1" ht="16.5" customHeight="1" x14ac:dyDescent="0.2">
      <c r="B679" s="81"/>
      <c r="C679" s="82" t="s">
        <v>1068</v>
      </c>
      <c r="D679" s="82" t="s">
        <v>85</v>
      </c>
      <c r="E679" s="83" t="s">
        <v>1069</v>
      </c>
      <c r="F679" s="84" t="s">
        <v>1070</v>
      </c>
      <c r="G679" s="85" t="s">
        <v>88</v>
      </c>
      <c r="H679" s="86">
        <v>1317.057</v>
      </c>
      <c r="I679" s="87">
        <v>0</v>
      </c>
      <c r="J679" s="87">
        <f>ROUND(I679*H679,2)</f>
        <v>0</v>
      </c>
      <c r="K679" s="88"/>
      <c r="L679" s="13"/>
      <c r="M679" s="89" t="s">
        <v>3</v>
      </c>
      <c r="N679" s="90" t="s">
        <v>36</v>
      </c>
      <c r="O679" s="91">
        <v>0</v>
      </c>
      <c r="P679" s="91">
        <f>O679*H679</f>
        <v>0</v>
      </c>
      <c r="Q679" s="91">
        <v>0</v>
      </c>
      <c r="R679" s="91">
        <f>Q679*H679</f>
        <v>0</v>
      </c>
      <c r="S679" s="91">
        <v>0</v>
      </c>
      <c r="T679" s="92">
        <f>S679*H679</f>
        <v>0</v>
      </c>
      <c r="AR679" s="93" t="s">
        <v>82</v>
      </c>
      <c r="AT679" s="93" t="s">
        <v>85</v>
      </c>
      <c r="AU679" s="93" t="s">
        <v>84</v>
      </c>
      <c r="AY679" s="3" t="s">
        <v>83</v>
      </c>
      <c r="BE679" s="94">
        <f>IF(N679="základní",J679,0)</f>
        <v>0</v>
      </c>
      <c r="BF679" s="94">
        <f>IF(N679="snížená",J679,0)</f>
        <v>0</v>
      </c>
      <c r="BG679" s="94">
        <f>IF(N679="zákl. přenesená",J679,0)</f>
        <v>0</v>
      </c>
      <c r="BH679" s="94">
        <f>IF(N679="sníž. přenesená",J679,0)</f>
        <v>0</v>
      </c>
      <c r="BI679" s="94">
        <f>IF(N679="nulová",J679,0)</f>
        <v>0</v>
      </c>
      <c r="BJ679" s="3" t="s">
        <v>84</v>
      </c>
      <c r="BK679" s="94">
        <f>ROUND(I679*H679,2)</f>
        <v>0</v>
      </c>
      <c r="BL679" s="3" t="s">
        <v>82</v>
      </c>
      <c r="BM679" s="93" t="s">
        <v>1071</v>
      </c>
    </row>
    <row r="680" spans="2:65" s="14" customFormat="1" ht="19.2" x14ac:dyDescent="0.2">
      <c r="B680" s="13"/>
      <c r="D680" s="95" t="s">
        <v>90</v>
      </c>
      <c r="F680" s="96" t="s">
        <v>1072</v>
      </c>
      <c r="L680" s="13"/>
      <c r="M680" s="97"/>
      <c r="T680" s="98"/>
      <c r="AT680" s="3" t="s">
        <v>90</v>
      </c>
      <c r="AU680" s="3" t="s">
        <v>84</v>
      </c>
    </row>
    <row r="681" spans="2:65" s="107" customFormat="1" x14ac:dyDescent="0.2">
      <c r="B681" s="106"/>
      <c r="D681" s="95" t="s">
        <v>92</v>
      </c>
      <c r="E681" s="108" t="s">
        <v>3</v>
      </c>
      <c r="F681" s="109" t="s">
        <v>1073</v>
      </c>
      <c r="H681" s="108" t="s">
        <v>3</v>
      </c>
      <c r="L681" s="106"/>
      <c r="M681" s="110"/>
      <c r="T681" s="111"/>
      <c r="AT681" s="108" t="s">
        <v>92</v>
      </c>
      <c r="AU681" s="108" t="s">
        <v>84</v>
      </c>
      <c r="AV681" s="107" t="s">
        <v>84</v>
      </c>
      <c r="AW681" s="107" t="s">
        <v>95</v>
      </c>
      <c r="AX681" s="107" t="s">
        <v>80</v>
      </c>
      <c r="AY681" s="108" t="s">
        <v>83</v>
      </c>
    </row>
    <row r="682" spans="2:65" s="100" customFormat="1" ht="20.399999999999999" x14ac:dyDescent="0.2">
      <c r="B682" s="99"/>
      <c r="D682" s="95" t="s">
        <v>92</v>
      </c>
      <c r="E682" s="101" t="s">
        <v>1074</v>
      </c>
      <c r="F682" s="102" t="s">
        <v>1075</v>
      </c>
      <c r="H682" s="103">
        <v>217.85040000000001</v>
      </c>
      <c r="L682" s="99"/>
      <c r="M682" s="104"/>
      <c r="T682" s="105"/>
      <c r="AT682" s="101" t="s">
        <v>92</v>
      </c>
      <c r="AU682" s="101" t="s">
        <v>84</v>
      </c>
      <c r="AV682" s="100" t="s">
        <v>5</v>
      </c>
      <c r="AW682" s="100" t="s">
        <v>95</v>
      </c>
      <c r="AX682" s="100" t="s">
        <v>80</v>
      </c>
      <c r="AY682" s="101" t="s">
        <v>83</v>
      </c>
    </row>
    <row r="683" spans="2:65" s="100" customFormat="1" ht="30.6" x14ac:dyDescent="0.2">
      <c r="B683" s="99"/>
      <c r="D683" s="95" t="s">
        <v>92</v>
      </c>
      <c r="E683" s="101" t="s">
        <v>1076</v>
      </c>
      <c r="F683" s="102" t="s">
        <v>1077</v>
      </c>
      <c r="H683" s="103">
        <v>12.670999999999999</v>
      </c>
      <c r="L683" s="99"/>
      <c r="M683" s="104"/>
      <c r="T683" s="105"/>
      <c r="AT683" s="101" t="s">
        <v>92</v>
      </c>
      <c r="AU683" s="101" t="s">
        <v>84</v>
      </c>
      <c r="AV683" s="100" t="s">
        <v>5</v>
      </c>
      <c r="AW683" s="100" t="s">
        <v>95</v>
      </c>
      <c r="AX683" s="100" t="s">
        <v>80</v>
      </c>
      <c r="AY683" s="101" t="s">
        <v>83</v>
      </c>
    </row>
    <row r="684" spans="2:65" s="100" customFormat="1" x14ac:dyDescent="0.2">
      <c r="B684" s="99"/>
      <c r="D684" s="95" t="s">
        <v>92</v>
      </c>
      <c r="E684" s="101" t="s">
        <v>1078</v>
      </c>
      <c r="F684" s="102" t="s">
        <v>1079</v>
      </c>
      <c r="H684" s="103">
        <v>191.54000000000002</v>
      </c>
      <c r="L684" s="99"/>
      <c r="M684" s="104"/>
      <c r="T684" s="105"/>
      <c r="AT684" s="101" t="s">
        <v>92</v>
      </c>
      <c r="AU684" s="101" t="s">
        <v>84</v>
      </c>
      <c r="AV684" s="100" t="s">
        <v>5</v>
      </c>
      <c r="AW684" s="100" t="s">
        <v>95</v>
      </c>
      <c r="AX684" s="100" t="s">
        <v>80</v>
      </c>
      <c r="AY684" s="101" t="s">
        <v>83</v>
      </c>
    </row>
    <row r="685" spans="2:65" s="107" customFormat="1" x14ac:dyDescent="0.2">
      <c r="B685" s="106"/>
      <c r="D685" s="95" t="s">
        <v>92</v>
      </c>
      <c r="E685" s="108" t="s">
        <v>3</v>
      </c>
      <c r="F685" s="109" t="s">
        <v>1080</v>
      </c>
      <c r="H685" s="108" t="s">
        <v>3</v>
      </c>
      <c r="L685" s="106"/>
      <c r="M685" s="110"/>
      <c r="T685" s="111"/>
      <c r="AT685" s="108" t="s">
        <v>92</v>
      </c>
      <c r="AU685" s="108" t="s">
        <v>84</v>
      </c>
      <c r="AV685" s="107" t="s">
        <v>84</v>
      </c>
      <c r="AW685" s="107" t="s">
        <v>95</v>
      </c>
      <c r="AX685" s="107" t="s">
        <v>80</v>
      </c>
      <c r="AY685" s="108" t="s">
        <v>83</v>
      </c>
    </row>
    <row r="686" spans="2:65" s="100" customFormat="1" ht="20.399999999999999" x14ac:dyDescent="0.2">
      <c r="B686" s="99"/>
      <c r="D686" s="95" t="s">
        <v>92</v>
      </c>
      <c r="E686" s="101" t="s">
        <v>1081</v>
      </c>
      <c r="F686" s="102" t="s">
        <v>1082</v>
      </c>
      <c r="H686" s="103">
        <v>387.66</v>
      </c>
      <c r="L686" s="99"/>
      <c r="M686" s="104"/>
      <c r="T686" s="105"/>
      <c r="AT686" s="101" t="s">
        <v>92</v>
      </c>
      <c r="AU686" s="101" t="s">
        <v>84</v>
      </c>
      <c r="AV686" s="100" t="s">
        <v>5</v>
      </c>
      <c r="AW686" s="100" t="s">
        <v>95</v>
      </c>
      <c r="AX686" s="100" t="s">
        <v>80</v>
      </c>
      <c r="AY686" s="101" t="s">
        <v>83</v>
      </c>
    </row>
    <row r="687" spans="2:65" s="100" customFormat="1" x14ac:dyDescent="0.2">
      <c r="B687" s="99"/>
      <c r="D687" s="95" t="s">
        <v>92</v>
      </c>
      <c r="E687" s="101" t="s">
        <v>1083</v>
      </c>
      <c r="F687" s="102" t="s">
        <v>1084</v>
      </c>
      <c r="H687" s="103">
        <v>145.80000000000001</v>
      </c>
      <c r="L687" s="99"/>
      <c r="M687" s="104"/>
      <c r="T687" s="105"/>
      <c r="AT687" s="101" t="s">
        <v>92</v>
      </c>
      <c r="AU687" s="101" t="s">
        <v>84</v>
      </c>
      <c r="AV687" s="100" t="s">
        <v>5</v>
      </c>
      <c r="AW687" s="100" t="s">
        <v>95</v>
      </c>
      <c r="AX687" s="100" t="s">
        <v>80</v>
      </c>
      <c r="AY687" s="101" t="s">
        <v>83</v>
      </c>
    </row>
    <row r="688" spans="2:65" s="100" customFormat="1" x14ac:dyDescent="0.2">
      <c r="B688" s="99"/>
      <c r="D688" s="95" t="s">
        <v>92</v>
      </c>
      <c r="E688" s="101" t="s">
        <v>1085</v>
      </c>
      <c r="F688" s="102" t="s">
        <v>1086</v>
      </c>
      <c r="H688" s="103">
        <v>300.11784</v>
      </c>
      <c r="L688" s="99"/>
      <c r="M688" s="104"/>
      <c r="T688" s="105"/>
      <c r="AT688" s="101" t="s">
        <v>92</v>
      </c>
      <c r="AU688" s="101" t="s">
        <v>84</v>
      </c>
      <c r="AV688" s="100" t="s">
        <v>5</v>
      </c>
      <c r="AW688" s="100" t="s">
        <v>95</v>
      </c>
      <c r="AX688" s="100" t="s">
        <v>80</v>
      </c>
      <c r="AY688" s="101" t="s">
        <v>83</v>
      </c>
    </row>
    <row r="689" spans="2:65" s="107" customFormat="1" x14ac:dyDescent="0.2">
      <c r="B689" s="106"/>
      <c r="D689" s="95" t="s">
        <v>92</v>
      </c>
      <c r="E689" s="108" t="s">
        <v>3</v>
      </c>
      <c r="F689" s="109" t="s">
        <v>1087</v>
      </c>
      <c r="H689" s="108" t="s">
        <v>3</v>
      </c>
      <c r="L689" s="106"/>
      <c r="M689" s="110"/>
      <c r="T689" s="111"/>
      <c r="AT689" s="108" t="s">
        <v>92</v>
      </c>
      <c r="AU689" s="108" t="s">
        <v>84</v>
      </c>
      <c r="AV689" s="107" t="s">
        <v>84</v>
      </c>
      <c r="AW689" s="107" t="s">
        <v>95</v>
      </c>
      <c r="AX689" s="107" t="s">
        <v>80</v>
      </c>
      <c r="AY689" s="108" t="s">
        <v>83</v>
      </c>
    </row>
    <row r="690" spans="2:65" s="100" customFormat="1" x14ac:dyDescent="0.2">
      <c r="B690" s="99"/>
      <c r="D690" s="95" t="s">
        <v>92</v>
      </c>
      <c r="E690" s="101" t="s">
        <v>1088</v>
      </c>
      <c r="F690" s="102" t="s">
        <v>1089</v>
      </c>
      <c r="H690" s="103">
        <v>37.31</v>
      </c>
      <c r="L690" s="99"/>
      <c r="M690" s="104"/>
      <c r="T690" s="105"/>
      <c r="AT690" s="101" t="s">
        <v>92</v>
      </c>
      <c r="AU690" s="101" t="s">
        <v>84</v>
      </c>
      <c r="AV690" s="100" t="s">
        <v>5</v>
      </c>
      <c r="AW690" s="100" t="s">
        <v>95</v>
      </c>
      <c r="AX690" s="100" t="s">
        <v>80</v>
      </c>
      <c r="AY690" s="101" t="s">
        <v>83</v>
      </c>
    </row>
    <row r="691" spans="2:65" s="100" customFormat="1" x14ac:dyDescent="0.2">
      <c r="B691" s="99"/>
      <c r="D691" s="95" t="s">
        <v>92</v>
      </c>
      <c r="E691" s="101" t="s">
        <v>1090</v>
      </c>
      <c r="F691" s="102" t="s">
        <v>1091</v>
      </c>
      <c r="H691" s="103">
        <v>24.107999999999997</v>
      </c>
      <c r="L691" s="99"/>
      <c r="M691" s="104"/>
      <c r="T691" s="105"/>
      <c r="AT691" s="101" t="s">
        <v>92</v>
      </c>
      <c r="AU691" s="101" t="s">
        <v>84</v>
      </c>
      <c r="AV691" s="100" t="s">
        <v>5</v>
      </c>
      <c r="AW691" s="100" t="s">
        <v>95</v>
      </c>
      <c r="AX691" s="100" t="s">
        <v>80</v>
      </c>
      <c r="AY691" s="101" t="s">
        <v>83</v>
      </c>
    </row>
    <row r="692" spans="2:65" s="100" customFormat="1" x14ac:dyDescent="0.2">
      <c r="B692" s="99"/>
      <c r="D692" s="95" t="s">
        <v>92</v>
      </c>
      <c r="E692" s="101" t="s">
        <v>3</v>
      </c>
      <c r="F692" s="102" t="s">
        <v>117</v>
      </c>
      <c r="H692" s="103">
        <v>1317.057</v>
      </c>
      <c r="L692" s="99"/>
      <c r="M692" s="104"/>
      <c r="T692" s="105"/>
      <c r="AT692" s="101" t="s">
        <v>92</v>
      </c>
      <c r="AU692" s="101" t="s">
        <v>84</v>
      </c>
      <c r="AV692" s="100" t="s">
        <v>5</v>
      </c>
      <c r="AW692" s="100" t="s">
        <v>95</v>
      </c>
      <c r="AX692" s="100" t="s">
        <v>84</v>
      </c>
      <c r="AY692" s="101" t="s">
        <v>83</v>
      </c>
    </row>
    <row r="693" spans="2:65" s="14" customFormat="1" ht="24.15" customHeight="1" x14ac:dyDescent="0.2">
      <c r="B693" s="81"/>
      <c r="C693" s="82" t="s">
        <v>1092</v>
      </c>
      <c r="D693" s="82" t="s">
        <v>85</v>
      </c>
      <c r="E693" s="83" t="s">
        <v>1093</v>
      </c>
      <c r="F693" s="84" t="s">
        <v>1094</v>
      </c>
      <c r="G693" s="85" t="s">
        <v>173</v>
      </c>
      <c r="H693" s="86">
        <v>26.2</v>
      </c>
      <c r="I693" s="87">
        <v>0</v>
      </c>
      <c r="J693" s="87">
        <f>ROUND(I693*H693,2)</f>
        <v>0</v>
      </c>
      <c r="K693" s="88"/>
      <c r="L693" s="13"/>
      <c r="M693" s="89" t="s">
        <v>3</v>
      </c>
      <c r="N693" s="90" t="s">
        <v>36</v>
      </c>
      <c r="O693" s="91">
        <v>0</v>
      </c>
      <c r="P693" s="91">
        <f>O693*H693</f>
        <v>0</v>
      </c>
      <c r="Q693" s="91">
        <v>0</v>
      </c>
      <c r="R693" s="91">
        <f>Q693*H693</f>
        <v>0</v>
      </c>
      <c r="S693" s="91">
        <v>0</v>
      </c>
      <c r="T693" s="92">
        <f>S693*H693</f>
        <v>0</v>
      </c>
      <c r="AR693" s="93" t="s">
        <v>82</v>
      </c>
      <c r="AT693" s="93" t="s">
        <v>85</v>
      </c>
      <c r="AU693" s="93" t="s">
        <v>84</v>
      </c>
      <c r="AY693" s="3" t="s">
        <v>83</v>
      </c>
      <c r="BE693" s="94">
        <f>IF(N693="základní",J693,0)</f>
        <v>0</v>
      </c>
      <c r="BF693" s="94">
        <f>IF(N693="snížená",J693,0)</f>
        <v>0</v>
      </c>
      <c r="BG693" s="94">
        <f>IF(N693="zákl. přenesená",J693,0)</f>
        <v>0</v>
      </c>
      <c r="BH693" s="94">
        <f>IF(N693="sníž. přenesená",J693,0)</f>
        <v>0</v>
      </c>
      <c r="BI693" s="94">
        <f>IF(N693="nulová",J693,0)</f>
        <v>0</v>
      </c>
      <c r="BJ693" s="3" t="s">
        <v>84</v>
      </c>
      <c r="BK693" s="94">
        <f>ROUND(I693*H693,2)</f>
        <v>0</v>
      </c>
      <c r="BL693" s="3" t="s">
        <v>82</v>
      </c>
      <c r="BM693" s="93" t="s">
        <v>1095</v>
      </c>
    </row>
    <row r="694" spans="2:65" s="14" customFormat="1" ht="19.2" x14ac:dyDescent="0.2">
      <c r="B694" s="13"/>
      <c r="D694" s="95" t="s">
        <v>90</v>
      </c>
      <c r="F694" s="96" t="s">
        <v>1096</v>
      </c>
      <c r="L694" s="13"/>
      <c r="M694" s="97"/>
      <c r="T694" s="98"/>
      <c r="AT694" s="3" t="s">
        <v>90</v>
      </c>
      <c r="AU694" s="3" t="s">
        <v>84</v>
      </c>
    </row>
    <row r="695" spans="2:65" s="100" customFormat="1" x14ac:dyDescent="0.2">
      <c r="B695" s="99"/>
      <c r="D695" s="95" t="s">
        <v>92</v>
      </c>
      <c r="E695" s="101" t="s">
        <v>1097</v>
      </c>
      <c r="F695" s="102" t="s">
        <v>1098</v>
      </c>
      <c r="H695" s="103">
        <v>26.2</v>
      </c>
      <c r="L695" s="99"/>
      <c r="M695" s="104"/>
      <c r="T695" s="105"/>
      <c r="AT695" s="101" t="s">
        <v>92</v>
      </c>
      <c r="AU695" s="101" t="s">
        <v>84</v>
      </c>
      <c r="AV695" s="100" t="s">
        <v>5</v>
      </c>
      <c r="AW695" s="100" t="s">
        <v>95</v>
      </c>
      <c r="AX695" s="100" t="s">
        <v>80</v>
      </c>
      <c r="AY695" s="101" t="s">
        <v>83</v>
      </c>
    </row>
    <row r="696" spans="2:65" s="100" customFormat="1" x14ac:dyDescent="0.2">
      <c r="B696" s="99"/>
      <c r="D696" s="95" t="s">
        <v>92</v>
      </c>
      <c r="E696" s="101" t="s">
        <v>3</v>
      </c>
      <c r="F696" s="102" t="s">
        <v>1099</v>
      </c>
      <c r="H696" s="103">
        <v>26.2</v>
      </c>
      <c r="L696" s="99"/>
      <c r="M696" s="104"/>
      <c r="T696" s="105"/>
      <c r="AT696" s="101" t="s">
        <v>92</v>
      </c>
      <c r="AU696" s="101" t="s">
        <v>84</v>
      </c>
      <c r="AV696" s="100" t="s">
        <v>5</v>
      </c>
      <c r="AW696" s="100" t="s">
        <v>95</v>
      </c>
      <c r="AX696" s="100" t="s">
        <v>84</v>
      </c>
      <c r="AY696" s="101" t="s">
        <v>83</v>
      </c>
    </row>
    <row r="697" spans="2:65" s="14" customFormat="1" ht="16.5" customHeight="1" x14ac:dyDescent="0.2">
      <c r="B697" s="81"/>
      <c r="C697" s="82" t="s">
        <v>1100</v>
      </c>
      <c r="D697" s="82" t="s">
        <v>85</v>
      </c>
      <c r="E697" s="83" t="s">
        <v>1101</v>
      </c>
      <c r="F697" s="84" t="s">
        <v>1102</v>
      </c>
      <c r="G697" s="85" t="s">
        <v>138</v>
      </c>
      <c r="H697" s="86">
        <v>10</v>
      </c>
      <c r="I697" s="87">
        <v>0</v>
      </c>
      <c r="J697" s="87">
        <f>ROUND(I697*H697,2)</f>
        <v>0</v>
      </c>
      <c r="K697" s="88"/>
      <c r="L697" s="13"/>
      <c r="M697" s="89" t="s">
        <v>3</v>
      </c>
      <c r="N697" s="90" t="s">
        <v>36</v>
      </c>
      <c r="O697" s="91">
        <v>0</v>
      </c>
      <c r="P697" s="91">
        <f>O697*H697</f>
        <v>0</v>
      </c>
      <c r="Q697" s="91">
        <v>0</v>
      </c>
      <c r="R697" s="91">
        <f>Q697*H697</f>
        <v>0</v>
      </c>
      <c r="S697" s="91">
        <v>0</v>
      </c>
      <c r="T697" s="92">
        <f>S697*H697</f>
        <v>0</v>
      </c>
      <c r="AR697" s="93" t="s">
        <v>82</v>
      </c>
      <c r="AT697" s="93" t="s">
        <v>85</v>
      </c>
      <c r="AU697" s="93" t="s">
        <v>84</v>
      </c>
      <c r="AY697" s="3" t="s">
        <v>83</v>
      </c>
      <c r="BE697" s="94">
        <f>IF(N697="základní",J697,0)</f>
        <v>0</v>
      </c>
      <c r="BF697" s="94">
        <f>IF(N697="snížená",J697,0)</f>
        <v>0</v>
      </c>
      <c r="BG697" s="94">
        <f>IF(N697="zákl. přenesená",J697,0)</f>
        <v>0</v>
      </c>
      <c r="BH697" s="94">
        <f>IF(N697="sníž. přenesená",J697,0)</f>
        <v>0</v>
      </c>
      <c r="BI697" s="94">
        <f>IF(N697="nulová",J697,0)</f>
        <v>0</v>
      </c>
      <c r="BJ697" s="3" t="s">
        <v>84</v>
      </c>
      <c r="BK697" s="94">
        <f>ROUND(I697*H697,2)</f>
        <v>0</v>
      </c>
      <c r="BL697" s="3" t="s">
        <v>82</v>
      </c>
      <c r="BM697" s="93" t="s">
        <v>1103</v>
      </c>
    </row>
    <row r="698" spans="2:65" s="14" customFormat="1" ht="19.2" x14ac:dyDescent="0.2">
      <c r="B698" s="13"/>
      <c r="D698" s="95" t="s">
        <v>90</v>
      </c>
      <c r="F698" s="96" t="s">
        <v>1104</v>
      </c>
      <c r="L698" s="13"/>
      <c r="M698" s="97"/>
      <c r="T698" s="98"/>
      <c r="AT698" s="3" t="s">
        <v>90</v>
      </c>
      <c r="AU698" s="3" t="s">
        <v>84</v>
      </c>
    </row>
    <row r="699" spans="2:65" s="100" customFormat="1" x14ac:dyDescent="0.2">
      <c r="B699" s="99"/>
      <c r="D699" s="95" t="s">
        <v>92</v>
      </c>
      <c r="E699" s="101" t="s">
        <v>1105</v>
      </c>
      <c r="F699" s="102" t="s">
        <v>170</v>
      </c>
      <c r="H699" s="103">
        <v>10</v>
      </c>
      <c r="L699" s="99"/>
      <c r="M699" s="104"/>
      <c r="T699" s="105"/>
      <c r="AT699" s="101" t="s">
        <v>92</v>
      </c>
      <c r="AU699" s="101" t="s">
        <v>84</v>
      </c>
      <c r="AV699" s="100" t="s">
        <v>5</v>
      </c>
      <c r="AW699" s="100" t="s">
        <v>95</v>
      </c>
      <c r="AX699" s="100" t="s">
        <v>80</v>
      </c>
      <c r="AY699" s="101" t="s">
        <v>83</v>
      </c>
    </row>
    <row r="700" spans="2:65" s="100" customFormat="1" x14ac:dyDescent="0.2">
      <c r="B700" s="99"/>
      <c r="D700" s="95" t="s">
        <v>92</v>
      </c>
      <c r="E700" s="101" t="s">
        <v>3</v>
      </c>
      <c r="F700" s="102" t="s">
        <v>1106</v>
      </c>
      <c r="H700" s="103">
        <v>10</v>
      </c>
      <c r="L700" s="99"/>
      <c r="M700" s="104"/>
      <c r="T700" s="105"/>
      <c r="AT700" s="101" t="s">
        <v>92</v>
      </c>
      <c r="AU700" s="101" t="s">
        <v>84</v>
      </c>
      <c r="AV700" s="100" t="s">
        <v>5</v>
      </c>
      <c r="AW700" s="100" t="s">
        <v>95</v>
      </c>
      <c r="AX700" s="100" t="s">
        <v>84</v>
      </c>
      <c r="AY700" s="101" t="s">
        <v>83</v>
      </c>
    </row>
    <row r="701" spans="2:65" s="14" customFormat="1" ht="16.5" customHeight="1" x14ac:dyDescent="0.2">
      <c r="B701" s="81"/>
      <c r="C701" s="82" t="s">
        <v>1107</v>
      </c>
      <c r="D701" s="82" t="s">
        <v>85</v>
      </c>
      <c r="E701" s="83" t="s">
        <v>1108</v>
      </c>
      <c r="F701" s="84" t="s">
        <v>1109</v>
      </c>
      <c r="G701" s="85" t="s">
        <v>138</v>
      </c>
      <c r="H701" s="86">
        <v>6</v>
      </c>
      <c r="I701" s="87">
        <v>0</v>
      </c>
      <c r="J701" s="87">
        <f>ROUND(I701*H701,2)</f>
        <v>0</v>
      </c>
      <c r="K701" s="88"/>
      <c r="L701" s="13"/>
      <c r="M701" s="89" t="s">
        <v>3</v>
      </c>
      <c r="N701" s="90" t="s">
        <v>36</v>
      </c>
      <c r="O701" s="91">
        <v>0</v>
      </c>
      <c r="P701" s="91">
        <f>O701*H701</f>
        <v>0</v>
      </c>
      <c r="Q701" s="91">
        <v>0</v>
      </c>
      <c r="R701" s="91">
        <f>Q701*H701</f>
        <v>0</v>
      </c>
      <c r="S701" s="91">
        <v>0</v>
      </c>
      <c r="T701" s="92">
        <f>S701*H701</f>
        <v>0</v>
      </c>
      <c r="AR701" s="93" t="s">
        <v>82</v>
      </c>
      <c r="AT701" s="93" t="s">
        <v>85</v>
      </c>
      <c r="AU701" s="93" t="s">
        <v>84</v>
      </c>
      <c r="AY701" s="3" t="s">
        <v>83</v>
      </c>
      <c r="BE701" s="94">
        <f>IF(N701="základní",J701,0)</f>
        <v>0</v>
      </c>
      <c r="BF701" s="94">
        <f>IF(N701="snížená",J701,0)</f>
        <v>0</v>
      </c>
      <c r="BG701" s="94">
        <f>IF(N701="zákl. přenesená",J701,0)</f>
        <v>0</v>
      </c>
      <c r="BH701" s="94">
        <f>IF(N701="sníž. přenesená",J701,0)</f>
        <v>0</v>
      </c>
      <c r="BI701" s="94">
        <f>IF(N701="nulová",J701,0)</f>
        <v>0</v>
      </c>
      <c r="BJ701" s="3" t="s">
        <v>84</v>
      </c>
      <c r="BK701" s="94">
        <f>ROUND(I701*H701,2)</f>
        <v>0</v>
      </c>
      <c r="BL701" s="3" t="s">
        <v>82</v>
      </c>
      <c r="BM701" s="93" t="s">
        <v>1110</v>
      </c>
    </row>
    <row r="702" spans="2:65" s="14" customFormat="1" ht="19.2" x14ac:dyDescent="0.2">
      <c r="B702" s="13"/>
      <c r="D702" s="95" t="s">
        <v>90</v>
      </c>
      <c r="F702" s="96" t="s">
        <v>1111</v>
      </c>
      <c r="L702" s="13"/>
      <c r="M702" s="97"/>
      <c r="T702" s="98"/>
      <c r="AT702" s="3" t="s">
        <v>90</v>
      </c>
      <c r="AU702" s="3" t="s">
        <v>84</v>
      </c>
    </row>
    <row r="703" spans="2:65" s="100" customFormat="1" x14ac:dyDescent="0.2">
      <c r="B703" s="99"/>
      <c r="D703" s="95" t="s">
        <v>92</v>
      </c>
      <c r="E703" s="101" t="s">
        <v>1112</v>
      </c>
      <c r="F703" s="102" t="s">
        <v>135</v>
      </c>
      <c r="H703" s="103">
        <v>6</v>
      </c>
      <c r="L703" s="99"/>
      <c r="M703" s="104"/>
      <c r="T703" s="105"/>
      <c r="AT703" s="101" t="s">
        <v>92</v>
      </c>
      <c r="AU703" s="101" t="s">
        <v>84</v>
      </c>
      <c r="AV703" s="100" t="s">
        <v>5</v>
      </c>
      <c r="AW703" s="100" t="s">
        <v>95</v>
      </c>
      <c r="AX703" s="100" t="s">
        <v>80</v>
      </c>
      <c r="AY703" s="101" t="s">
        <v>83</v>
      </c>
    </row>
    <row r="704" spans="2:65" s="100" customFormat="1" x14ac:dyDescent="0.2">
      <c r="B704" s="99"/>
      <c r="D704" s="95" t="s">
        <v>92</v>
      </c>
      <c r="E704" s="101" t="s">
        <v>3</v>
      </c>
      <c r="F704" s="102" t="s">
        <v>1113</v>
      </c>
      <c r="H704" s="103">
        <v>6</v>
      </c>
      <c r="L704" s="99"/>
      <c r="M704" s="104"/>
      <c r="T704" s="105"/>
      <c r="AT704" s="101" t="s">
        <v>92</v>
      </c>
      <c r="AU704" s="101" t="s">
        <v>84</v>
      </c>
      <c r="AV704" s="100" t="s">
        <v>5</v>
      </c>
      <c r="AW704" s="100" t="s">
        <v>95</v>
      </c>
      <c r="AX704" s="100" t="s">
        <v>84</v>
      </c>
      <c r="AY704" s="101" t="s">
        <v>83</v>
      </c>
    </row>
    <row r="705" spans="2:65" s="14" customFormat="1" ht="16.5" customHeight="1" x14ac:dyDescent="0.2">
      <c r="B705" s="81"/>
      <c r="C705" s="82" t="s">
        <v>1114</v>
      </c>
      <c r="D705" s="82" t="s">
        <v>85</v>
      </c>
      <c r="E705" s="83" t="s">
        <v>1115</v>
      </c>
      <c r="F705" s="84" t="s">
        <v>1116</v>
      </c>
      <c r="G705" s="85" t="s">
        <v>129</v>
      </c>
      <c r="H705" s="86">
        <v>1364.172</v>
      </c>
      <c r="I705" s="87">
        <v>0</v>
      </c>
      <c r="J705" s="87">
        <f>ROUND(I705*H705,2)</f>
        <v>0</v>
      </c>
      <c r="K705" s="88"/>
      <c r="L705" s="13"/>
      <c r="M705" s="89" t="s">
        <v>3</v>
      </c>
      <c r="N705" s="90" t="s">
        <v>36</v>
      </c>
      <c r="O705" s="91">
        <v>0</v>
      </c>
      <c r="P705" s="91">
        <f>O705*H705</f>
        <v>0</v>
      </c>
      <c r="Q705" s="91">
        <v>0</v>
      </c>
      <c r="R705" s="91">
        <f>Q705*H705</f>
        <v>0</v>
      </c>
      <c r="S705" s="91">
        <v>0</v>
      </c>
      <c r="T705" s="92">
        <f>S705*H705</f>
        <v>0</v>
      </c>
      <c r="AR705" s="93" t="s">
        <v>82</v>
      </c>
      <c r="AT705" s="93" t="s">
        <v>85</v>
      </c>
      <c r="AU705" s="93" t="s">
        <v>84</v>
      </c>
      <c r="AY705" s="3" t="s">
        <v>83</v>
      </c>
      <c r="BE705" s="94">
        <f>IF(N705="základní",J705,0)</f>
        <v>0</v>
      </c>
      <c r="BF705" s="94">
        <f>IF(N705="snížená",J705,0)</f>
        <v>0</v>
      </c>
      <c r="BG705" s="94">
        <f>IF(N705="zákl. přenesená",J705,0)</f>
        <v>0</v>
      </c>
      <c r="BH705" s="94">
        <f>IF(N705="sníž. přenesená",J705,0)</f>
        <v>0</v>
      </c>
      <c r="BI705" s="94">
        <f>IF(N705="nulová",J705,0)</f>
        <v>0</v>
      </c>
      <c r="BJ705" s="3" t="s">
        <v>84</v>
      </c>
      <c r="BK705" s="94">
        <f>ROUND(I705*H705,2)</f>
        <v>0</v>
      </c>
      <c r="BL705" s="3" t="s">
        <v>82</v>
      </c>
      <c r="BM705" s="93" t="s">
        <v>1117</v>
      </c>
    </row>
    <row r="706" spans="2:65" s="14" customFormat="1" ht="19.2" x14ac:dyDescent="0.2">
      <c r="B706" s="13"/>
      <c r="D706" s="95" t="s">
        <v>90</v>
      </c>
      <c r="F706" s="96" t="s">
        <v>1118</v>
      </c>
      <c r="L706" s="13"/>
      <c r="M706" s="97"/>
      <c r="T706" s="98"/>
      <c r="AT706" s="3" t="s">
        <v>90</v>
      </c>
      <c r="AU706" s="3" t="s">
        <v>84</v>
      </c>
    </row>
    <row r="707" spans="2:65" s="100" customFormat="1" x14ac:dyDescent="0.2">
      <c r="B707" s="99"/>
      <c r="D707" s="95" t="s">
        <v>92</v>
      </c>
      <c r="E707" s="101" t="s">
        <v>1119</v>
      </c>
      <c r="F707" s="102" t="s">
        <v>1120</v>
      </c>
      <c r="H707" s="103">
        <v>1364.172</v>
      </c>
      <c r="L707" s="99"/>
      <c r="M707" s="104"/>
      <c r="T707" s="105"/>
      <c r="AT707" s="101" t="s">
        <v>92</v>
      </c>
      <c r="AU707" s="101" t="s">
        <v>84</v>
      </c>
      <c r="AV707" s="100" t="s">
        <v>5</v>
      </c>
      <c r="AW707" s="100" t="s">
        <v>95</v>
      </c>
      <c r="AX707" s="100" t="s">
        <v>80</v>
      </c>
      <c r="AY707" s="101" t="s">
        <v>83</v>
      </c>
    </row>
    <row r="708" spans="2:65" s="100" customFormat="1" x14ac:dyDescent="0.2">
      <c r="B708" s="99"/>
      <c r="D708" s="95" t="s">
        <v>92</v>
      </c>
      <c r="E708" s="101" t="s">
        <v>3</v>
      </c>
      <c r="F708" s="102" t="s">
        <v>1121</v>
      </c>
      <c r="H708" s="103">
        <v>1364.172</v>
      </c>
      <c r="L708" s="99"/>
      <c r="M708" s="112"/>
      <c r="N708" s="113"/>
      <c r="O708" s="113"/>
      <c r="P708" s="113"/>
      <c r="Q708" s="113"/>
      <c r="R708" s="113"/>
      <c r="S708" s="113"/>
      <c r="T708" s="114"/>
      <c r="AT708" s="101" t="s">
        <v>92</v>
      </c>
      <c r="AU708" s="101" t="s">
        <v>84</v>
      </c>
      <c r="AV708" s="100" t="s">
        <v>5</v>
      </c>
      <c r="AW708" s="100" t="s">
        <v>95</v>
      </c>
      <c r="AX708" s="100" t="s">
        <v>84</v>
      </c>
      <c r="AY708" s="101" t="s">
        <v>83</v>
      </c>
    </row>
    <row r="709" spans="2:65" s="14" customFormat="1" ht="6.9" customHeight="1" x14ac:dyDescent="0.2">
      <c r="B709" s="43"/>
      <c r="C709" s="44"/>
      <c r="D709" s="44"/>
      <c r="E709" s="44"/>
      <c r="F709" s="44"/>
      <c r="G709" s="44"/>
      <c r="H709" s="44"/>
      <c r="I709" s="44"/>
      <c r="J709" s="44"/>
      <c r="K709" s="44"/>
      <c r="L709" s="13"/>
    </row>
  </sheetData>
  <autoFilter ref="C124:K708" xr:uid="{00000000-0009-0000-0000-00002A000000}"/>
  <mergeCells count="9">
    <mergeCell ref="E87:H87"/>
    <mergeCell ref="E115:H115"/>
    <mergeCell ref="E117:H117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SO 202 - Most na D6 přes ...</vt:lpstr>
      <vt:lpstr>'SO 202 - Most na D6 přes ...'!Názvy_tisku</vt:lpstr>
      <vt:lpstr>'SO 202 - Most na D6 přes ...'!Oblast_tisku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Prokopov, Oleksandr</dc:creator>
  <cp:lastModifiedBy>Prokopov, Oleksandr</cp:lastModifiedBy>
  <dcterms:created xsi:type="dcterms:W3CDTF">2026-04-23T10:49:35Z</dcterms:created>
  <dcterms:modified xsi:type="dcterms:W3CDTF">2026-04-23T10:49:52Z</dcterms:modified>
</cp:coreProperties>
</file>
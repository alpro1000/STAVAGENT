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okopovo\Documents\beton_agent\МОСТ ЧЕРТЕЖИ И СЫРЫЕ ДОКУМЕНТЫ\"/>
    </mc:Choice>
  </mc:AlternateContent>
  <xr:revisionPtr revIDLastSave="0" documentId="13_ncr:1_{98E76793-82DA-4E3C-93A3-13A8921712E5}" xr6:coauthVersionLast="47" xr6:coauthVersionMax="47" xr10:uidLastSave="{00000000-0000-0000-0000-000000000000}"/>
  <bookViews>
    <workbookView xWindow="-13830" yWindow="-16320" windowWidth="29040" windowHeight="15720" xr2:uid="{6A5F231D-328D-46DE-804D-A94E561F4845}"/>
  </bookViews>
  <sheets>
    <sheet name="SO 2022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0" i="1" l="1"/>
  <c r="O610" i="1" s="1"/>
  <c r="O606" i="1"/>
  <c r="I606" i="1"/>
  <c r="O600" i="1"/>
  <c r="I600" i="1"/>
  <c r="O594" i="1"/>
  <c r="I594" i="1"/>
  <c r="O588" i="1"/>
  <c r="I588" i="1"/>
  <c r="O584" i="1"/>
  <c r="I584" i="1"/>
  <c r="O580" i="1"/>
  <c r="I580" i="1"/>
  <c r="O576" i="1"/>
  <c r="I576" i="1"/>
  <c r="O568" i="1"/>
  <c r="I568" i="1"/>
  <c r="O564" i="1"/>
  <c r="I564" i="1"/>
  <c r="O553" i="1"/>
  <c r="I553" i="1"/>
  <c r="O546" i="1"/>
  <c r="I546" i="1"/>
  <c r="O542" i="1"/>
  <c r="I542" i="1"/>
  <c r="O538" i="1"/>
  <c r="I538" i="1"/>
  <c r="O532" i="1"/>
  <c r="I532" i="1"/>
  <c r="I531" i="1"/>
  <c r="I527" i="1"/>
  <c r="O527" i="1" s="1"/>
  <c r="O523" i="1"/>
  <c r="I523" i="1"/>
  <c r="O519" i="1"/>
  <c r="I519" i="1"/>
  <c r="I515" i="1"/>
  <c r="O515" i="1" s="1"/>
  <c r="O511" i="1"/>
  <c r="I511" i="1"/>
  <c r="O507" i="1"/>
  <c r="I507" i="1"/>
  <c r="O501" i="1"/>
  <c r="I501" i="1"/>
  <c r="I495" i="1"/>
  <c r="O495" i="1" s="1"/>
  <c r="I494" i="1"/>
  <c r="O488" i="1"/>
  <c r="I488" i="1"/>
  <c r="I480" i="1"/>
  <c r="O480" i="1" s="1"/>
  <c r="I476" i="1"/>
  <c r="O476" i="1" s="1"/>
  <c r="I470" i="1"/>
  <c r="O470" i="1" s="1"/>
  <c r="O464" i="1"/>
  <c r="I464" i="1"/>
  <c r="O460" i="1"/>
  <c r="I460" i="1"/>
  <c r="O456" i="1"/>
  <c r="I456" i="1"/>
  <c r="I446" i="1"/>
  <c r="I445" i="1" s="1"/>
  <c r="I441" i="1"/>
  <c r="O441" i="1" s="1"/>
  <c r="I440" i="1"/>
  <c r="O436" i="1"/>
  <c r="I436" i="1"/>
  <c r="I427" i="1"/>
  <c r="O427" i="1" s="1"/>
  <c r="O423" i="1"/>
  <c r="I423" i="1"/>
  <c r="I419" i="1"/>
  <c r="O419" i="1" s="1"/>
  <c r="O415" i="1"/>
  <c r="I415" i="1"/>
  <c r="I414" i="1"/>
  <c r="O403" i="1"/>
  <c r="I403" i="1"/>
  <c r="I396" i="1"/>
  <c r="O396" i="1" s="1"/>
  <c r="O392" i="1"/>
  <c r="I392" i="1"/>
  <c r="I386" i="1"/>
  <c r="O386" i="1" s="1"/>
  <c r="O378" i="1"/>
  <c r="I378" i="1"/>
  <c r="I374" i="1"/>
  <c r="O374" i="1" s="1"/>
  <c r="O360" i="1"/>
  <c r="I360" i="1"/>
  <c r="I356" i="1"/>
  <c r="O356" i="1" s="1"/>
  <c r="O346" i="1"/>
  <c r="I346" i="1"/>
  <c r="I342" i="1"/>
  <c r="O342" i="1" s="1"/>
  <c r="O338" i="1"/>
  <c r="I338" i="1"/>
  <c r="I334" i="1"/>
  <c r="O334" i="1" s="1"/>
  <c r="O326" i="1"/>
  <c r="I326" i="1"/>
  <c r="I318" i="1"/>
  <c r="O318" i="1" s="1"/>
  <c r="O312" i="1"/>
  <c r="I312" i="1"/>
  <c r="I306" i="1"/>
  <c r="O306" i="1" s="1"/>
  <c r="O302" i="1"/>
  <c r="I302" i="1"/>
  <c r="I298" i="1"/>
  <c r="O298" i="1" s="1"/>
  <c r="I294" i="1"/>
  <c r="O294" i="1" s="1"/>
  <c r="I288" i="1"/>
  <c r="O288" i="1" s="1"/>
  <c r="O284" i="1"/>
  <c r="I284" i="1"/>
  <c r="I277" i="1" s="1"/>
  <c r="I278" i="1"/>
  <c r="O278" i="1" s="1"/>
  <c r="O273" i="1"/>
  <c r="I273" i="1"/>
  <c r="I263" i="1"/>
  <c r="O263" i="1" s="1"/>
  <c r="O259" i="1"/>
  <c r="I259" i="1"/>
  <c r="I249" i="1"/>
  <c r="O249" i="1" s="1"/>
  <c r="O245" i="1"/>
  <c r="I245" i="1"/>
  <c r="I239" i="1"/>
  <c r="I223" i="1" s="1"/>
  <c r="O235" i="1"/>
  <c r="I235" i="1"/>
  <c r="I231" i="1"/>
  <c r="O231" i="1" s="1"/>
  <c r="O224" i="1"/>
  <c r="I224" i="1"/>
  <c r="O217" i="1"/>
  <c r="I217" i="1"/>
  <c r="I213" i="1"/>
  <c r="O213" i="1" s="1"/>
  <c r="I209" i="1"/>
  <c r="O209" i="1" s="1"/>
  <c r="I205" i="1"/>
  <c r="O205" i="1" s="1"/>
  <c r="O201" i="1"/>
  <c r="I201" i="1"/>
  <c r="I197" i="1"/>
  <c r="O197" i="1" s="1"/>
  <c r="O193" i="1"/>
  <c r="I193" i="1"/>
  <c r="I186" i="1"/>
  <c r="O186" i="1" s="1"/>
  <c r="O175" i="1"/>
  <c r="I175" i="1"/>
  <c r="I164" i="1"/>
  <c r="O164" i="1" s="1"/>
  <c r="I160" i="1"/>
  <c r="O160" i="1" s="1"/>
  <c r="I156" i="1"/>
  <c r="O156" i="1" s="1"/>
  <c r="O152" i="1"/>
  <c r="I152" i="1"/>
  <c r="I146" i="1"/>
  <c r="O146" i="1" s="1"/>
  <c r="I142" i="1"/>
  <c r="O142" i="1" s="1"/>
  <c r="I131" i="1"/>
  <c r="O131" i="1" s="1"/>
  <c r="O121" i="1"/>
  <c r="I121" i="1"/>
  <c r="I106" i="1" s="1"/>
  <c r="I113" i="1"/>
  <c r="O113" i="1" s="1"/>
  <c r="I107" i="1"/>
  <c r="O107" i="1" s="1"/>
  <c r="I102" i="1"/>
  <c r="O102" i="1" s="1"/>
  <c r="O98" i="1"/>
  <c r="I98" i="1"/>
  <c r="I92" i="1"/>
  <c r="O92" i="1" s="1"/>
  <c r="I88" i="1"/>
  <c r="O88" i="1" s="1"/>
  <c r="I84" i="1"/>
  <c r="O84" i="1" s="1"/>
  <c r="O76" i="1"/>
  <c r="I76" i="1"/>
  <c r="I72" i="1"/>
  <c r="O72" i="1" s="1"/>
  <c r="I68" i="1"/>
  <c r="O68" i="1" s="1"/>
  <c r="I62" i="1"/>
  <c r="O62" i="1" s="1"/>
  <c r="O58" i="1"/>
  <c r="I58" i="1"/>
  <c r="I54" i="1"/>
  <c r="O54" i="1" s="1"/>
  <c r="I50" i="1"/>
  <c r="O50" i="1" s="1"/>
  <c r="I44" i="1"/>
  <c r="O44" i="1" s="1"/>
  <c r="O40" i="1"/>
  <c r="I40" i="1"/>
  <c r="I34" i="1"/>
  <c r="O34" i="1" s="1"/>
  <c r="I25" i="1"/>
  <c r="O25" i="1" s="1"/>
  <c r="I21" i="1"/>
  <c r="I20" i="1" s="1"/>
  <c r="I3" i="1" s="1"/>
  <c r="I16" i="1"/>
  <c r="O16" i="1" s="1"/>
  <c r="I10" i="1"/>
  <c r="O10" i="1" s="1"/>
  <c r="I9" i="1"/>
  <c r="O21" i="1" l="1"/>
  <c r="O239" i="1"/>
  <c r="O446" i="1"/>
</calcChain>
</file>

<file path=xl/sharedStrings.xml><?xml version="1.0" encoding="utf-8"?>
<sst xmlns="http://schemas.openxmlformats.org/spreadsheetml/2006/main" count="1671" uniqueCount="690">
  <si>
    <t>EstiCon</t>
  </si>
  <si>
    <t>Firma:</t>
  </si>
  <si>
    <t>Soupis prací objektu</t>
  </si>
  <si>
    <t>S</t>
  </si>
  <si>
    <t>Stavba:</t>
  </si>
  <si>
    <t>2550-01</t>
  </si>
  <si>
    <t>D6 Karlovy Vary-Olšová Vrata</t>
  </si>
  <si>
    <t>202</t>
  </si>
  <si>
    <t>O</t>
  </si>
  <si>
    <t>Objekt:</t>
  </si>
  <si>
    <t>SO 202</t>
  </si>
  <si>
    <t>Most na sil. I/6 v km 0,900</t>
  </si>
  <si>
    <t>O1</t>
  </si>
  <si>
    <t>Rozpočet:</t>
  </si>
  <si>
    <t>Typ</t>
  </si>
  <si>
    <t>Poř. číslo</t>
  </si>
  <si>
    <t>Kód položky</t>
  </si>
  <si>
    <t>Varianta</t>
  </si>
  <si>
    <t>Název Položky</t>
  </si>
  <si>
    <t>MJ</t>
  </si>
  <si>
    <t>Množství</t>
  </si>
  <si>
    <t>Cena</t>
  </si>
  <si>
    <t>Cenová soustava</t>
  </si>
  <si>
    <t>Jednotková</t>
  </si>
  <si>
    <t>Celkem</t>
  </si>
  <si>
    <t>SD</t>
  </si>
  <si>
    <t>0</t>
  </si>
  <si>
    <t>Všeobecné konstrukce a práce</t>
  </si>
  <si>
    <t>P</t>
  </si>
  <si>
    <t>014101</t>
  </si>
  <si>
    <t/>
  </si>
  <si>
    <t>POPLATKY ZA SKLÁDKU</t>
  </si>
  <si>
    <t>M3</t>
  </si>
  <si>
    <t>OTSKP 2025</t>
  </si>
  <si>
    <t>PP</t>
  </si>
  <si>
    <t>PŘEBYTEČNÁ nebo NEVHODNÁ zemina</t>
  </si>
  <si>
    <t>VV</t>
  </si>
  <si>
    <t xml:space="preserve"> "z pol.č. 264728 "3,142*0,30*0,30*420,0 = 118,768 [A]</t>
  </si>
  <si>
    <t xml:space="preserve"> "z pol.č. 264741 + 264841 "3,142*0,45*0,45*(982,0+435,0) = 901,573 [B]</t>
  </si>
  <si>
    <t xml:space="preserve"> "Celkové množství "1020.341000 = 1020,341 [C]</t>
  </si>
  <si>
    <t>TS</t>
  </si>
  <si>
    <t>Položka zahrnuje:
- veškeré poplatky provozovateli skládky související s uložením odpadu na skládce.
Položka nezahrnuje:
- x</t>
  </si>
  <si>
    <t>02912</t>
  </si>
  <si>
    <t>OSTATNÍ POŽADAVKY - VYTYČOVACÍ BOD MIKROSÍTĚ</t>
  </si>
  <si>
    <t>KUS</t>
  </si>
  <si>
    <t>- kompletní provedení
Vše dle PD, TP, VL, TKP, ZTKP atd.
z příl.č. 1, 3</t>
  </si>
  <si>
    <t xml:space="preserve"> "počet "7 = 7,000 [A]</t>
  </si>
  <si>
    <t>Položka zahrnuje:
 - vrt D 300-500mm
- ocelovou zárubnici DN 180-300 mm
- ochrannou plastovou trubku DN 220-350 mm, plastový uzávěr
- čepovou nivelační značku z nerez oceli, kotvu se šroubem z nerez oceli
- ochranný tyčový znak s tabulkou
- betonovou skruž DN 1500mm výšky 0,5m, beton C30/37-XF4
- izolační pěnu
- zaměření bodu včetně vyrovnání (velmi přesná nivelace)
- dle projektu základní vytyčovací sítě, kde je hloubka určena geologem na základě dostupných průzkumů či dat
Polžka nezahrnuje:
- x</t>
  </si>
  <si>
    <t>1</t>
  </si>
  <si>
    <t>Zemní práce</t>
  </si>
  <si>
    <t>12373</t>
  </si>
  <si>
    <t>kn</t>
  </si>
  <si>
    <t>ODKOP PRO SPOD STAVBU SILNIC A ŽELEZNIC TŘ. I</t>
  </si>
  <si>
    <t>odkop KONSOLIDAČNÍHO NÁSYPU
- vč. odvozu na mezideponii
Vše de PD.
z příl.č. 1, 3, 4, 5 a 3D modelu
(odměřeno elektronicky v ACADu z příl.č. 3, 4, 5 a 3D modelu)</t>
  </si>
  <si>
    <t xml:space="preserve"> "OP7 - odkop KN "1985,0 = 1985,000 [A]</t>
  </si>
  <si>
    <t>Položka zahrnuje:
- vodorovnou a svislou dopravu, přemístění, přeložení, manipulace s výkopkem
- kompletní provedení vykopávky nezapažené i zapažené
- ošetření výkopiště po celou dobu práce v něm vč. klimatických opatření
- ztížení vykopávek v blízkosti podzemního vedení, konstrukcí a objektů vč. jejich dočasného zajištění
- ztížení pod vodou, v okolí výbušnin, ve stísněných prostorech a pod.
- příplatek za lepivost
- těžení po vrstvách, pásech a po jiných nutných částech (figurách)
- čerpání vody vč. čerpacích jímek, potrubí a pohotovostní čerpací soupravy (viz ustanovení k pol. 1151,2)
- potřebné snížení hladiny podzemní vody
- těžení a rozpojování jednotlivých balvanů
- vytahování a nošení výkopku
- svahování a přesvah. svahů do konečného tvaru, výměna hornin v podloží a v pláni znehodnocené klimatickými vlivy
- ruční vykopávky, odstranění kořenů a napadávek
- pažení, vzepření a rozepření vč. přepažování (vyjma pažení záporového a štětových stěn)
- úpravu, ochranu a očištění dna, základové spáry, stěn a svahů
- zhutnění podloží, případně i svahů vč. svahování
- zřízení stupňů v podloží a lavic na svazích, není-li pro tyto práce zřízena samostatná položka
- udržování výkopiště a jeho ochrana proti vodě
- odvedení nebo obvedení vody v okolí výkopiště a ve výkopišti
- třídění výkopku
- veškeré pomocné konstrukce umožňující provedení vykopávky (příjezdy, sjezdy, nájezdy, lešení, podpěr. konstr., přemostění, zpevněné plochy, zakrytí a pod.)
Položka nezahrnuje:
-  uložení zeminy (na skládku, do násypu) ani poplatky za skládku, vykazují se v položce č.0141**</t>
  </si>
  <si>
    <t>pvh</t>
  </si>
  <si>
    <t>výkop zemin PODMÍNĚNĚ VHODNÝCH k použití dle ČSN 73 6133, TKP a ZTKP do násypů
- vč. odvozu na mezideponii
Vše de PD.
z příl.č. 1, 3, 4, 5 a 3D modelu
(odměřeno elektronicky v ACADu z příl.č. 3, 4, 5 a 3D modelu)</t>
  </si>
  <si>
    <t xml:space="preserve"> "OP1 - odkop pro plošinu "356,3 = 356,300 [A]</t>
  </si>
  <si>
    <t xml:space="preserve"> "P2 a P3 - odkop pro plošinu "2889,0 = 2889,000 [B]</t>
  </si>
  <si>
    <t xml:space="preserve"> "P4 a P5 - odkop pro plošinu "565,0 = 565,000 [C]</t>
  </si>
  <si>
    <t xml:space="preserve"> "P6 - odkop pro plošinu "242,0 = 242,000 [D]</t>
  </si>
  <si>
    <t xml:space="preserve"> "OP7 - odkop po úroveň kuželů "471,0 = 471,000 [E]</t>
  </si>
  <si>
    <t xml:space="preserve"> "Celkové množství "4523.300000 = 4523,300 [F]</t>
  </si>
  <si>
    <t>12573</t>
  </si>
  <si>
    <t>hum</t>
  </si>
  <si>
    <t>VYKOPÁVKY ZE ZEMNÍKŮ A SKLÁDEK TŘ. I</t>
  </si>
  <si>
    <t>HUMÓZNÍ zemina
- vč  dopravy k místu zabudování
Vše dle PD</t>
  </si>
  <si>
    <t xml:space="preserve"> "z pol.č. 18222 tl. 0,15m "348,0*0,15 = 52,200 [A]</t>
  </si>
  <si>
    <t xml:space="preserve"> "z pol.č. 18222.šd tl. 0,15m "435,60*0,15*0,7 = 45,738 [B]</t>
  </si>
  <si>
    <t xml:space="preserve"> "Celkové množství "97.938000 = 97,938 [C]</t>
  </si>
  <si>
    <t>Položka zahrnuje:
- vodorovnou a svislou dopravu, přemístění, přeložení, manipulace s výkopkem
- kompletní provedení vykopávky nezapažené i zapažené
- ošetření výkopiště po celou dobu práce v něm vč. klimatických opatření
- ztížení vykopávek v blízkosti podzemního vedení, konstrukcí a objektů vč. jejich dočasného zajištění
- ztížení pod vodou, v okolí výbušnin, ve stísněných prostorech a pod.
- příplatek za lepivost
- těžení po vrstvách, pásech a po jiných nutných částech (figurách)
- čerpání vody vč. čerpacích jímek, potrubí a pohotovostní čerpací soupravy (viz ustanovení k pol. 1151,2)
- potřebné snížení hladiny podzemní vody
- těžení a rozpojování jednotlivých balvanů
- vytahování a nošení výkopku
- ruční vykopávky, odstranění kořenů a napadávek
- pažení, vzepření a rozepření vč. přepažování (vyjma pažení záporového a štětových stěn)
- úpravu, ochranu a očištění dna, základové spáry, stěn a svahů
- udržování výkopiště a jeho ochrana proti vodě
- odvedení nebo obvedení vody v okolí výkopiště a ve výkopišti
- třídění výkopku
- veškeré pomocné konstrukce umožňující provedení vykopávky (příjezdy, sjezdy, nájezdy, lešení, podpěr. konstr., přemostění, zpevněné plochy, zakrytí a pod.)
Položka nezahrnuje:
- práce spojené s otvírkou zemníku</t>
  </si>
  <si>
    <t>zem</t>
  </si>
  <si>
    <t>zemina PRO ZPĚTNÉ POUŽITÍ z mezideponie
- vč  dopravy k místu zabudování
Vše dle PD</t>
  </si>
  <si>
    <t xml:space="preserve"> "z pol.č. 17110.kn + 171101 + 171103 + 171303 + 17411 + 17511 "1985,0+704,0+43,0+166,600+1275,210+769,0 = 4942,810 [A]</t>
  </si>
  <si>
    <t>13173</t>
  </si>
  <si>
    <t>HLOUBENÍ JAM ZAPAŽ I NEPAŽ TŘ. I</t>
  </si>
  <si>
    <t xml:space="preserve"> "P2 až P6 - výkop "164,0+256,0+315,0+338,0+298,0 = 1371,000 [A]</t>
  </si>
  <si>
    <t xml:space="preserve"> "OP7 - výkop pro opěru z úrovně plošiny "381,0 = 381,000 [B]</t>
  </si>
  <si>
    <t xml:space="preserve"> "Celkové množství "1752.000000 = 1752,000 [C]</t>
  </si>
  <si>
    <t>Položka zahrnuje:
- vodorovnou a svislou dopravu, přemístění, přeložení, manipulace s výkopkem
- kompletní provedení vykopávky nezapažené i zapažené
- ošetření výkopiště po celou dobu práce v něm vč. klimatických opatření
- ztížení vykopávek v blízkosti podzemního vedení, konstrukcí a objektů vč. jejich dočasného zajištění
- ztížení pod vodou, v okolí výbušnin, ve stísněných prostorech a pod.
- příplatek za lepivost
- těžení po vrstvách, pásech a po jiných nutných částech (figurách)
- čerpání vody vč. čerpacích jímek, potrubí a pohotovostní čerpací soupravy (viz ustanovení k pol. 1151,2)
- potřebné snížení hladiny podzemní vody
- těžení a rozpojování jednotlivých balvanů
- vytahování a nošení výkopku
- svahování a přesvah. svahů do konečného tvaru, výměna hornin v podloží a v pláni znehodnocené klimatickými vlivy
- ruční vykopávky, odstranění kořenů a napadávek
- pažení, vzepření a rozepření vč. přepažování (vyjma pažení záporového a štětových stěn)
- úpravu, ochranu a očištění dna, základové spáry, stěn a svahů
- odvedení nebo obvedení vody v okolí výkopiště a ve výkopišti
- třídění výkopku
- veškeré pomocné konstrukce umožňující provedení vykopávky (příjezdy, sjezdy, nájezdy, lešení, podpěr. konstr., přemostění, zpevněné plochy, zakrytí a pod.)
Položka nezahrnuje:
- uložení zeminy (na skládku, do násypu) ani poplatky za skládku, vykazují se v položce č.0141**</t>
  </si>
  <si>
    <t>17110</t>
  </si>
  <si>
    <t>ULOŽENÍ SYPANINY DO NÁSYPŮ SE ZHUTNĚNÍM</t>
  </si>
  <si>
    <t>násyp BEZ PŘEDEPSANÉ MÍRY ZHUTNĚNÍ
- základní požadavky a výsledné parametry dle ČSN 736133 
Vše dle PD, TP, VL, TKP, ZTKP atd.
z příl.č. 1, 2, 3, 4, 5 a 3D modelu
(odměřeno elektronicky v ACADu z příl.č. 2, 3, 4, 5 a 3D modelu)</t>
  </si>
  <si>
    <t xml:space="preserve"> "OP7 - konsolidační násyp "1985,0 = 1985,000 [A]</t>
  </si>
  <si>
    <t>Položka zahrnuje:
- kompletní provedení zemní konstrukce vč. výběru vhodného materiálu
- úprava  ukládaného  materiálu  vlhčením,  tříděním,  promícháním  nebo  vysoušením,  příp. jiné úpravy za účelem zlepšení jeho  mech. vlastností
- hutnění i různé míry hutnění 
- ošetření úložiště po celou dobu práce v něm vč. klimatických opatření
- ztížení v okolí vedení, konstrukcí a objektů a jejich dočasné zajištění
- ztížení provádění vč. hutnění ve ztížených podmínkách a stísněných prostorech
- ztížené ukládání sypaniny pod vodu
- ukládání po vrstvách a po jiných nutných částech (figurách) vč. dosypávek
- spouštění a nošení materiálu
- výměna částí zemní konstrukce znehodnocené klimatickými vlivy
- ruční hutnění a výplň jam a prohlubní v podloží
- úprava, očištění, ochrana a zhutnění podloží
- svahování, hutnění a uzavírání povrchů svahů
- zřízení lavic na svazích
- udržování úložiště a jeho ochrana proti vodě
- odvedení nebo obvedení vody v okolí úložiště a v úložišti
- veškeré  pomocné konstrukce umožňující provedení  zemní konstrukce  (příjezdy,  sjezdy,  nájezdy, lešení, podpěrné konstrukce, přemostění, zpevněné plochy, zakrytí a pod.)
Položka nezahrnuje:
- x</t>
  </si>
  <si>
    <t>171101</t>
  </si>
  <si>
    <t>ULOŽENÍ SYPANINY DO NÁSYPŮ SE ZHUTNĚNÍM DO 95% PS</t>
  </si>
  <si>
    <t>- základní požadavky a výsledné parametry dle ČSN 736133 
Vše dle PD, TP, VL, TKP, ZTKP atd.
z příl.č. 1, 3, 4, 5 a 3D modelu
(odměřeno elektronicky v ACADu z příl.č. 3, 4, 5 a 3D modelu)</t>
  </si>
  <si>
    <t xml:space="preserve"> "P4 a P5, P6 - násyp pro plošinu (zůstane jako silniční těleso) "479,0+225,0 = 704,000 [A]</t>
  </si>
  <si>
    <t>171103</t>
  </si>
  <si>
    <t>ULOŽENÍ SYPANINY DO NÁSYPŮ SE ZHUTNĚNÍM DO 100% PS</t>
  </si>
  <si>
    <t xml:space="preserve"> "OP1 - dosypání terénu pod přechod. oblastí pro plošinu "43,0 = 43,000 [A]</t>
  </si>
  <si>
    <t>17120</t>
  </si>
  <si>
    <t>nvh</t>
  </si>
  <si>
    <t>ULOŽENÍ SYPANINY DO NÁSYPŮ A NA SKLÁDKY BEZ ZHUTNĚNÍ</t>
  </si>
  <si>
    <t>PŘEBYTEČNÁ nebo NEVHODNÁ zemina (uložení na skládku) 
Vše dle PD.</t>
  </si>
  <si>
    <t>Položka zahrnuje:
- kompletní provedení zemní konstrukce do předepsaného tvaru
- ošetření úložiště po celou dobu práce v něm vč. klimatických opatření
- ztížení v okolí vedení, konstrukcí a objektů a jejich dočasné zajištění
- ztížení provádění ve ztížených podmínkách a stísněných prostorech
- ztížené ukládání sypaniny pod vodu
- ukládání po vrstvách a po jiných nutných částech (figurách) vč. dosypávek
- spouštění a nošení materiálu
- úprava, očištění a ochrana podloží a svahů
- svahování, uzavírání povrchů svahů
- udržování úložiště a jeho ochrana proti vodě
- odvedení nebo obvedení vody v okolí úložiště a v úložišti
- veškeré  pomocné konstrukce umožňující provedení  zemní konstrukce  (příjezdy,  sjezdy,  nájezdy, lešení, podpěrné konstrukce, přemostění, zpevněné plochy, zakrytí a pod.)
Položka nezahrnuje:
- x</t>
  </si>
  <si>
    <t>zemína PRO ZPĚTNÉ POUŽITÍ na stavbě (uložení na mezideponii)</t>
  </si>
  <si>
    <t xml:space="preserve"> "z pol.č. 12373.kn + 12373.pvh + 13173.pvh "1985,0+4523,30+1752,0 = 8260,300 [A]</t>
  </si>
  <si>
    <t>171303</t>
  </si>
  <si>
    <t>ULOŽENÍ SYPANINY DO NÁSYPŮ V AKTIV ZÓNĚ SE ZHUT DO 100% PS</t>
  </si>
  <si>
    <t>ze zemin pro AKTIVNÍ ZÓNU
- základní požadavky a výsledné parametry dle ČSN 736133 
Vše dle PD, TP, VL, TKP, ZTKP atd.
z příl.č. 1, 2, 3, 4, 5 a 3D modelu
(odměřeno elektronicky v ACADu z příl.č. 2, 3, 4, 5 a 3D modelu)</t>
  </si>
  <si>
    <t xml:space="preserve"> "u OP1 a OP7 "14,0*(5,6+6,3) = 166,600 [A]</t>
  </si>
  <si>
    <t>17411</t>
  </si>
  <si>
    <t>ZÁSYP JAM A RÝH ZEMINOU SE ZHUTNĚNÍM</t>
  </si>
  <si>
    <t>ZPĚTNÝ ZÁSYP - zemina vhodná z mezideponie
- kompletní provedení zemní konstrukce vč. výběru vhodného materiálu 
Vše dle PD, TP, VL, TKP, ZTKP atd.
z příl.č. 1, 
(odměřeno elektronicky v ACADu z příl.č. )</t>
  </si>
  <si>
    <t xml:space="preserve"> "OP1 - zásyp na rubu opěr pod a nad těsnící fólii "(1,5+5,5)*22,90 = 160,300 [A]</t>
  </si>
  <si>
    <t xml:space="preserve"> "OP7 - zásyp na rubu opěr pod a nad těsnící fólii "(3,5+14,4)*22,90 = 409,910 [B]</t>
  </si>
  <si>
    <t xml:space="preserve"> "Mezisoučet "570.210000 = 570,210 [C]</t>
  </si>
  <si>
    <t xml:space="preserve"> "P2 až P6 - zpětný zásyp "68,0+123,0+169,0+192,0+153,0 = 705,000 [D]</t>
  </si>
  <si>
    <t xml:space="preserve"> "Celkové množství "1275.210000 = 1275,210 [E]</t>
  </si>
  <si>
    <t>Položka zahrnuje:
- kompletní provedení zemní konstrukce vč. výběru vhodného materiálu
- úprava  ukládaného  materiálu  vlhčením,  tříděním,  promícháním  nebo  vysoušením,  příp. jiné úpravy za účelem zlepšení jeho  mech. vlastností
- hutnění i různé míry hutnění 
- ošetření úložiště po celou dobu práce v něm vč. klimatických opatření
- ztížení v okolí vedení, konstrukcí a objektů a jejich dočasné zajištění
- ztížení provádění vč. hutnění ve ztížených podmínkách a stísněných prostorech
- ztížené ukládání sypaniny pod vodu
- ukládání po vrstvách a po jiných nutných částech (figurách) vč. dosypávek
- spouštění a nošení materiálu
- výměna částí zemní konstrukce znehodnocené klimatickými vlivy
- ruční hutnění
- udržování úložiště a jeho ochrana proti vodě
- odvedení nebo obvedení vody v okolí úložiště a v úložišti
- veškeré  pomocné konstrukce umožňující provedení  zemní konstrukce  (příjezdy,  sjezdy,  nájezdy, lešení, podpěrné konstrukce, přemostění, zpevněné plochy, zakrytí a pod.)
Položka nezahrnuje:
- x</t>
  </si>
  <si>
    <t>17511</t>
  </si>
  <si>
    <t>OBSYP POTRUBÍ A OBJEKTŮ SE ZHUTNĚNÍM</t>
  </si>
  <si>
    <t>OBSYP ZE ZEMIN - zemina vhodná z mezideponie
- kompletní provedení zemní konstrukce vč. výběru vhodného materiálu 
Vše dle PD, TP, VL, TKP, ZTKP atd.
z příl.č. 1, 
(odměřeno elektronicky v ACADu z příl.č. )</t>
  </si>
  <si>
    <t xml:space="preserve"> "OP1 a OP7 - obsyp křídel "553,0+216,0 = 769,000 [A]</t>
  </si>
  <si>
    <t>Položka zahrnuje:
- kompletní provedení zemní konstrukce vč. výběru vhodného materiálu
- úprava  ukládaného  materiálu  vlhčením,  tříděním,  promícháním  nebo  vysoušením,  příp. jiné úpravy za účelem zlepšení jeho  mech. vlastností
- hutnění i různé míry hutnění 
- ošetření úložiště po celou dobu práce v něm vč. klimatických opatření
- ztížení v okolí vedení, konstrukcí a objektů a jejich dočasné zajištění
- ztížení provádění vč. hutnění ve ztížených podmínkách a stísněných prostorech
- ztížené ukládání sypaniny pod vodu
- ukládání po vrstvách a po jiných nutných částech (figurách) vč. dosypávek
- spouštění a nošení materiálu
- výměna částí zemní konstrukce znehodnocené klimatickými vlivy
- ruční hutnění a výplň jam a prohlubní v podloží
- úprava, očištění, ochrana a zhutnění podloží
- svahování, hutnění a uzavírání povrchů svahů
- zřízení lavic na svazích
- udržování úložiště a jeho ochrana proti vodě
- odvedení nebo obvedení vody v okolí úložiště a v úložišti
- veškeré  pomocné konstrukce umožňující provedení  zemní konstrukce  (příjezdy,  sjezdy,  nájezdy, lešení, podpěrné konstrukce, přemostění, zpevněné plochy, zakrytí a pod.)
Položka nezahrnuje:
- x 
Způsob měření:
- zemina vytlačená potrubím o DN 180mm se od kubatury obsypů neodečítá</t>
  </si>
  <si>
    <t>17581</t>
  </si>
  <si>
    <t>OBSYP POTRUBÍ A OBJEKTŮ Z NAKUPOVANÝCH MATERIÁLŮ</t>
  </si>
  <si>
    <t>- kompletní provedení zemní konstrukce vč. nákupu a dopravy materiálu dle PD 
Vše dle PD, TP, VL, TKP, ZTKP atd.
z příl.č. 1, 2, 7
(odměřeno elektronicky v ACADu z příl.č. 2, 7)</t>
  </si>
  <si>
    <t xml:space="preserve"> "obsyp potrubí - délka z pol.č. 87434 "27,0*(0,65*0,50-3,142*0,10*0,10) = 7,927 [A]</t>
  </si>
  <si>
    <t>Položka zahrnuje:
- kompletní provedení zemní konstrukce včetně nákupu a dopravy materiálu dle zadávací dokumentace
- úprava  ukládaného  materiálu  vlhčením,  tříděním,  promícháním  nebo  vysoušením,  příp. jiné úpravy za účelem zlepšení jeho  mech. vlastností
- hutnění i různé míry hutnění 
- ošetření úložiště po celou dobu práce v něm vč. klimatických opatření
- ztížení v okolí vedení, konstrukcí a objektů a jejich dočasné zajištění
- ztížení provádění vč. hutnění ve ztížených podmínkách a stísněných prostorech
- ztížené ukládání sypaniny pod vodu
- ukládání po vrstvách a po jiných nutných částech (figurách) vč. dosypávek
- spouštění a nošení materiálu
- výměna částí zemní konstrukce znehodnocené klimatickými vlivy
- ruční hutnění a výplň jam a prohlubní v podloží
- úprava, očištění, ochrana a zhutnění podloží
- svahování, hutnění a uzavírání povrchů svahů
- zřízení lavic na svazích
- udržování úložiště a jeho ochrana proti vodě
- odvedení nebo obvedení vody v okolí úložiště a v úložišti
- veškeré  pomocné konstrukce umožňující provedení  zemní konstrukce  (příjezdy,  sjezdy,  nájezdy, lešení, podpěrné konstrukce, přemostění, zpevněné plochy, zakrytí a pod.)
Položka nezahrnuje:
- x 
Způsob měření:
- zemina vytlačená potrubím o DN 180mm se od kubatury obsypů neodečítá</t>
  </si>
  <si>
    <t>18110</t>
  </si>
  <si>
    <t>ÚPRAVA PLÁNĚ SE ZHUTNĚNÍM V HORNINĚ TŘ. I</t>
  </si>
  <si>
    <t>M2</t>
  </si>
  <si>
    <t>- požadavky a výsledné parametry dle ČSN 736133 
- vč. vyrovnání výškových rozdílů
Vše dle PD, TP, VL, TKP, ZTKP atd.
z příl.č. 1,
(odměřeno elektronicky v ACADu z příl.č. )</t>
  </si>
  <si>
    <t xml:space="preserve"> "na OP1 "27,85*5,0 = 139,250 [A]</t>
  </si>
  <si>
    <t xml:space="preserve"> "na OP7 "26,45*9,15 = 242,018 [B]</t>
  </si>
  <si>
    <t xml:space="preserve"> "Celkové množství "381.268000 = 381,268 [C]</t>
  </si>
  <si>
    <t>Položka zahrnuje:
- úpravu pláně včetně vyrovnání výškových rozdílů. Míru zhutnění určuje projekt.
Položka nezahrnuje:
- x</t>
  </si>
  <si>
    <t>18222</t>
  </si>
  <si>
    <t>ROZPROSTŘENÍ ORNICE VE SVAHU V TL DO 0,15M</t>
  </si>
  <si>
    <t>rozprostření kult. vrstev ve SVAHU 
Vše dle PD, TP, VL, TKP, ZTKP atd.
z příl.č. 1, 2, 3, 4, 5
(odměřeno elektronicky v ACADu z příl.č. 3)
přepočtový koef. pro sklon svahu 1:1,5   n=1,2
přepočtový koef. pro sklon svahu 1:2   n=1,12
přepočtový koef. pro sklon svahu 1:2,5   n=1,08</t>
  </si>
  <si>
    <t xml:space="preserve"> "PM - kužel u OP1 a OP7 "(86,0+204,0)*1,2 = 348,000 [A]</t>
  </si>
  <si>
    <t>Položka zahrnuje:
- nutné přemístění ornice z dočasných skládek vzdálených do 50m
- rozprostření ornice v předepsané tloušťce ve svahu přes 1:5
Položka nezahrnuje:
- x</t>
  </si>
  <si>
    <t>šd</t>
  </si>
  <si>
    <t>humózní vrstava pro zatravnění s podílem 30% ŠD fr. 16/22
Vše dle PD, TP, VL, TKP, ZTKP atd.
z příl.č. 1, 2, 3, 4, 5
(odměřeno elektronicky v ACADu z příl.č. 3)
přepočtový koef. pro sklon svahu 1:1,5   n=1,2</t>
  </si>
  <si>
    <t xml:space="preserve"> "LM - kužel u OP1 a OP7 "(127,0+236,0)*1,2 = 435,600 [A]</t>
  </si>
  <si>
    <t>2</t>
  </si>
  <si>
    <t>Základy</t>
  </si>
  <si>
    <t>21331</t>
  </si>
  <si>
    <t>DRENÁŽNÍ VRSTVY Z BETONU MEZEROVITÉHO (DRENÁŽNÍHO)</t>
  </si>
  <si>
    <t>OBETONOVÁNÍ RUBOVÉ DRENÁŽE
- kompletní provedení
Vše dle PD, TP, VL, TKP, ZTKP atd.
z příl.č. 1, 3, 4, 5, 11, 13
(odměřeno elektronicky v ACADu z příl.č. 11, 13)</t>
  </si>
  <si>
    <t xml:space="preserve"> "obetonování rubové drenáže na OP1 "(22,90-0,60*2)*(0,30*0,30-3,142*0,075*0,075) = 1,569 [A]</t>
  </si>
  <si>
    <t xml:space="preserve"> "obetonování rubové drenáže na OP7 "(20,90+2,0*2)*(0,30*0,30-3,142*0,075*0,075) = 1,801 [B]</t>
  </si>
  <si>
    <t xml:space="preserve"> "Celkové množství "3.370000 = 3,370 [C]</t>
  </si>
  <si>
    <t>Položka zahrnuje:
- dodávku předepsaného materiálu pro drenážní vrstvu, včetně mimostaveništní a vnitrostaveništní dopravy
- provedení drenážní vrstvy předepsaných rozměrů a předepsaného tvaru
Položka nezahrnuje:
- x</t>
  </si>
  <si>
    <t>21341</t>
  </si>
  <si>
    <t>DRENÁŽNÍ VRSTVY Z PLASTBETONU (PLASTMALTY)</t>
  </si>
  <si>
    <t>ODVODNĚNÍ IZOLACE vč. příčných žeber a úpravy u odvodňovačů 
- kompletní provedení
Vše dle PD, TP, VL, TKP, ZTKP atd.
z příl.č. 1, 3, 4, 5, 26
(odměřeno elektronicky v ACADu z příl.č. 26)</t>
  </si>
  <si>
    <t xml:space="preserve"> "žebro podél římsy š. 0,15m - LM a PM "111,20*0,15*0,040*2 = 1,334 [A]</t>
  </si>
  <si>
    <t xml:space="preserve"> "žebro podél MZ š. 0,10m - LM a PM "8,25*0,10*0,040*2 = 0,066 [B]</t>
  </si>
  <si>
    <t xml:space="preserve"> "rozšíření v místě odvod. trubiček "0,40*0,35*0,06*17*2 = 0,286 [C]</t>
  </si>
  <si>
    <t xml:space="preserve"> "rozšíření v místě odvodňovačů "(0,80*0,55-0,50*0,30)*(0,040+0,030)*6*2 = 0,244 [D]</t>
  </si>
  <si>
    <t xml:space="preserve"> "Celkové množství "1.930000 = 1,930 [E]</t>
  </si>
  <si>
    <t>21364</t>
  </si>
  <si>
    <t>DRENÁŽNÍ KOMPOZIT</t>
  </si>
  <si>
    <t>ODVODNĚNÍ RUBU OPĚR a ZDÍ - technická specifikace dle TP 97
drenážní geokompozit (drenážní jádro + oboustranná geotextilie) min. tl. po stlačení 6 mm, tažnost min. 70%
- vč. úpravy povrchu a podkladu, přichycení, nutných přesahů
Vše dle PD, TP, VL, TKP, ZTKP atd.
z příl.č. 1, 3, 4, 5, 11, 13
(odměřeno elektronicky v ACADu z příl.č. 11, 13)
uváděna nutná plocha bez přesahů</t>
  </si>
  <si>
    <t xml:space="preserve"> "na OP1 - na rubu opěry po drenáž a pod římsou v SDP "21,70*3,10+(1,20+0,40)*0,55*2 = 69,030 [A]</t>
  </si>
  <si>
    <t xml:space="preserve"> "na křídlech - rub po drenáž "7,4*2 = 14,800 [B]</t>
  </si>
  <si>
    <t xml:space="preserve"> "Mezisoučet "83.830000 = 83,830 [E]</t>
  </si>
  <si>
    <t xml:space="preserve"> "na OP7 - na rubu opěry po drenáž a pod římsou v SDP "21,70*3,0+(1,20+0,40)*0,55*2 = 66,860 [C]</t>
  </si>
  <si>
    <t xml:space="preserve"> "na křídlech - rub po drenáž "(10,9+2,0*0,40)*2 = 23,400 [D]</t>
  </si>
  <si>
    <t xml:space="preserve"> "Mezisoučet "90.260000 = 90,260 [F]</t>
  </si>
  <si>
    <t xml:space="preserve"> "Celkové množství "174.090000 = 174,090 [G]</t>
  </si>
  <si>
    <t>Položka zahrnuje:
- dodávku předepsaného geokompozitu
- úpravu, očištění a ochranu podkladu
- přichycení k podkladu, případně zatížení
- úpravy spojů a zajištění okrajů
- úpravy pro odvodnění
- nutné přesahy
- mimostaveništní a vnitrostaveništní dopravu
Položka nezahrnuje:
- x</t>
  </si>
  <si>
    <t>224325</t>
  </si>
  <si>
    <t>PILOTY ZE ŽELEZOBETONU C30/37</t>
  </si>
  <si>
    <t>beton C30/37
- vč. přebetonování, ubourání přebetonované části, dopravy, uložení na skládku a 
poplatku za skládku
Vše dle PD, TP, VL, TKP, ZTKP atd.
z příl.č. 1, 3, 4, 5, 6, 10, 11, 12, 13
(odměřeno elektronicky v ACADu z příl.č. 10)</t>
  </si>
  <si>
    <t xml:space="preserve"> "OP1 "3,142*0,45*0,45*7,5*(10+10) = 95,438 [A]</t>
  </si>
  <si>
    <t xml:space="preserve"> "P2 "3,142*0,45*0,45*11,0*(8+8) = 111,981 [B]</t>
  </si>
  <si>
    <t xml:space="preserve"> "P3 "3,142*0,45*0,45*13,0*(8+8) = 132,341 [C]</t>
  </si>
  <si>
    <t xml:space="preserve"> "P4 "3,142*0,45*0,45*(16,0*8+14,0*8) = 152,701 [D]</t>
  </si>
  <si>
    <t xml:space="preserve"> "P5 "3,142*0,45*0,45*12,0*(8+8) = 122,161 [E]</t>
  </si>
  <si>
    <t xml:space="preserve"> "P6 "3,142*0,45*0,45*11,0*(8+8) = 111,981 [F]</t>
  </si>
  <si>
    <t xml:space="preserve"> "OP7 "3,142*0,45*0,45*12,5*(11+11) = 174,970 [G]</t>
  </si>
  <si>
    <t xml:space="preserve"> "Celkové množství "901.573000 = 901,573 [H]</t>
  </si>
  <si>
    <t>Položka zahrnuje:
- dodání  čerstvého  betonu  (betonové  směsi)  požadované  kvality,  jeho  uložení  do požadovaného tvaru při jakékoliv hustotě výztuže, konzistenci čerstvého betonu a způsobu hutnění, ošetření a ochranu betonu
- zhotovení nepropustného, mrazuvzdorného betonu a betonu požadované trvanlivosti a vlastností
- zřízení pracovních a dilatačních spar, včetně potřebných úprav, výplně, vložek, opracování, očištění a ošetření
- bednění  požadovaných  konstr. (i ztracené) s úpravou  dle požadované  kvality povrchu betonu, včetně odbedňovacích a odskružovacích prostředků
- podpěrné  konstr. (skruže) a lešení všech druhů pro bednění, uložení čerstvého betonu, výztuže a doplňkových konstr., vč. požadovaných otvorů, ochranných a bezpečnostních opatření a základů těchto konstrukcí a lešení
- vytvoření kotevních čel, kapes, nálitků, sedel, zřízení  všech  požadovaných  otvorů, výklenků, prostupů, dutin, drážek a pod., vč. ztížení práce a úprav  kolem nich
- úpravy pro osazení výztuže, doplňkových konstrukcí a vybavení
- úpravy povrchu pro položení požadované izolace, povlaků a nátěrů, případně vyspravení
- upevnění kotevních prvků a doplňkových konstrukcí
- nátěry zabraňující soudržnost betonu a bednění
- výplň, těsnění  a tmelení spar a spojů
- opatření  povrchů  betonu  izolací  proti zemní vlhkosti v částech, kde přijdou do styku se zeminou nebo kamenivem
- případné zřízení spojovací vrstvy u základů
- úpravy pro osazení zařízení ochrany konstrukce proti vlivu bludných proudů
- ukončení piloty pod ústím vrtu a vyplnění zbývající části sypaninou nebo kamenivem, zřízení výplně piloty pod hladinou vody
- odbourání a odstranění znehodnocené části výplně a úprava hlavy piloty před výstavbou další konstrukční části
- veškerý materiál, výrobky a polotovary, včetně mimostaveništní a vnitrostaveništní dopravy
Položka nezahrnuje:
- dodání a osazení výztuže
- vrty
Způsob měření:
- objem betonu pro přebetonování a nadbetonování se nezapočítává</t>
  </si>
  <si>
    <t>224365</t>
  </si>
  <si>
    <t>VÝZTUŽ PILOT Z OCELI 10505, B500B</t>
  </si>
  <si>
    <t>T</t>
  </si>
  <si>
    <t>- kompletní provedení vč. případné povrchové antikorozní úpravy výztuže 
Vše dle PD, TP, VL, TKP, ZTKP atd.
z příl.č. 1, 10</t>
  </si>
  <si>
    <t xml:space="preserve"> "hmotnost 70 kg/m3, množství z pol.č. 224365 "901,573*70/1000 = 63,110 [A]</t>
  </si>
  <si>
    <t>Položka zahrnuje:
- veškerý materiál, výrobky a polotovary, včetně mimostaveništní a vnitrostaveništní dopravy
- dodání betonářské výztuže v požadované kvalitě, stříhání, řezání, ohýbání a spojování do všech požadovaných tvarů (vč. armakošů) a uložení s požadovaným zajištěním polohy a krytí výztuže betonem
- veškeré svary nebo jiné spoje výztuže
- pomocné konstrukce a práce pro osazení a upevnění výztuže
- zednické výpomoci pro montáž betonářské výztuže
- úpravy výztuže pro osazení doplňkových konstrukcí
- ochranu výztuže do doby jejího zabetonování
- úpravy výztuže pro zřízení kotevních prvků, závěsných ok a doplňkových konstrukcí
- veškerá opatření pro zajištění soudržnosti výztuže a betonu
- vodivé propojení výztuže, které je součástí ochrany konstrukce proti vlivům bludných proudů, vyvedení do měřících skříní nebo míst pro měření bludných proudů (vlastní měřící skříně se uvádějí položkami SD 74)
- povrchovou antikorozní úpravu výztuže
- separaci výztuže
- osazení měřících zařízení a úpravy pro ně
- osazení měřících skříní nebo míst pro měření bludných proudů
Položka nezahrnuje:
- x</t>
  </si>
  <si>
    <t>22694</t>
  </si>
  <si>
    <t>ZÁPOROVÉ PAŽENÍ Z KOVU DOČASNÉ</t>
  </si>
  <si>
    <t>OCELOVÉ ZÁPORY
- vč. osazení do připravených vrtů
- vč. zabetonování konců a obsypu, opotřebení atd.
- vč. odstranění pažení po ukončení
Vše dle PD, TP, VL, TKP, ZTKP atd.
z příl.č. 1, 3, 4, 5, 9
(odměřeno elektronicky v ACADu z příl.č. 9)</t>
  </si>
  <si>
    <t xml:space="preserve"> "zápory - HEB 240, hmotnost 83,2 kg/m "420,0*83,2/1000 = 34,944 [A]</t>
  </si>
  <si>
    <t xml:space="preserve"> "převázka - 2x I300, hmotnost 42,2 kg/m "2*104,0*42,2/1000 = 8,778 [B]</t>
  </si>
  <si>
    <t xml:space="preserve"> "Celkové množství "43.722000 = 43,722 [C]</t>
  </si>
  <si>
    <t>Položka zahrnuje:
- opotřebení ocelových zápor
- jejich osazení do připravených vrtů včetně zabetonování konců a obsypu, případně jejich zaberanění ,
- odstranění.
Položka nezahrnuje:
- vrty
Způsob měření:
- ocelová převázka se započítává do výsledné hmotnosti</t>
  </si>
  <si>
    <t>22695A</t>
  </si>
  <si>
    <t>VÝDŘEVA ZÁPOROVÉHO PAŽENÍ DOČASNÁ (PLOCHA)</t>
  </si>
  <si>
    <t>výdřeva na výšku stavební jámy
- kompletní provedení vč. odstranění pažení po ukončení
Vše dle PD, TP, VL, TKP, ZTKP atd.
z příl.č. 1, 3, 4, 5, 9
(odměřeno elektronicky v ACADu z příl.č. 9)</t>
  </si>
  <si>
    <t xml:space="preserve"> "plocha "417,5 = 417,500 [A]</t>
  </si>
  <si>
    <t>Položka zahrnuje:
- osazení pažin bez ohledu na druh
- jejich opotřebení 
-  odstranění
Položka nezahrnuje:
- x</t>
  </si>
  <si>
    <t>26174</t>
  </si>
  <si>
    <t>VRTY PRO KOTV, INJEKT, MIKROPIL NA POVR TŘ I A II D DO 200MM</t>
  </si>
  <si>
    <t>M</t>
  </si>
  <si>
    <t>- vč. veškerých přesunů, dopravy a manipulace s vytěženým materiálem až do místa finálního uložení zeminy vytěžené z vrtů
Vše dle PD, TP, VL, TKP, ZTKP atd.
z příl.č. 1, 3, 4, 5, 9
(odměřeno elektronicky v ACADu z příl.č. 9)</t>
  </si>
  <si>
    <t xml:space="preserve"> "pro kotvy z pol.č. 285378 "10,0*18+11,0*3+12,0*6+13,0*6 = 363,000 [A]</t>
  </si>
  <si>
    <t>Položka zahrnuje:
- přemístění, montáž a demontáž vrtných souprav
- svislou dopravu zeminy z vrtu
- vodorovnou dopravu zeminy bez uložení na skládku
- případně nutné pažení dočasné (včetně odpažení) i trvalé
Položka nezahrnuje:
- x</t>
  </si>
  <si>
    <t>264728</t>
  </si>
  <si>
    <t>VRTY PRO PILOTY TŘ I A II D DO 600MM</t>
  </si>
  <si>
    <t>pro zápory
- vč. vrtací plošiny a zemních prací souvisejících s jejím zřízením a odstraněním
- vč. veškerých přesunů, dopravy a manipulace s vytěženým materiálem až do místa finálního uložení zeminy vytěžené z vrtů
Vše dle PD, TP, VL, TKP, ZTKP atd.
z příl.č. 1, 3, 4, 5, 9
(odměřeno elektronicky v ACADu z příl.č. 9)</t>
  </si>
  <si>
    <t xml:space="preserve"> "pro zápory "420,0 = 420,000 [A]</t>
  </si>
  <si>
    <t>Položka zahrnuje:
- zřízení vrtu, svislou a vodorovnou dopravu zeminy bez uložení na skládku, vrtací práce zapaž. i nepaž. vrtu
- čerpání vody z vrtu, vyčištění vrtu
- zabezpečení vrtacích prací
- dopravu, nájem, provoz a přemístění, montáž a demontáž vrtacích zařízení a dalších mechanismů
- lešení a podpěrné konstrukce pro práci a manipulaci s vrtacím zařízení a dalších mechanismů
- vrtací plošiny vč. zemních prací, zpevnění, odvodnění a pod.
- v případě zapažení dočasnými pažnicemi jejich opotřebení
- v případě zapažení suspenzí veškeré hospodaření s ní
Položka nezahrnuje:
-  zapažení trvalými pažnicemi
-  uložení zeminy na skládku a poplatek za skládku
Způsob měření:
- do délky vrtu se nezapočítává  hluché vrtání</t>
  </si>
  <si>
    <t>264741</t>
  </si>
  <si>
    <t>VRTY PRO PILOTY TŘ I A II D DO 1000MM</t>
  </si>
  <si>
    <t>pro piloty DN 900
- vč. vrtací plošiny a zemních prací souvisejících s jejím zřízením a odstraněním
- vč. veškerých přesunů, dopravy a manipulace s vytěženým materiálem až do místa finálního uložení zeminy vytěžené z vrtů
Vše dle PD, TP, VL, TKP, ZTKP atd.
z příl.č. 1, 3, 4, 5, 6, 10, 11, 12, 13
(odměřeno elektronicky v ACADu z příl.č. 10)
odhad délek na základě IGP</t>
  </si>
  <si>
    <t xml:space="preserve"> "OP1 "4,5*(10+10) = 90,000 [A]</t>
  </si>
  <si>
    <t xml:space="preserve"> "P2 "5,0*(8+8) = 80,000 [B]</t>
  </si>
  <si>
    <t xml:space="preserve"> "P3 "9,0*(8+8) = 144,000 [C]</t>
  </si>
  <si>
    <t xml:space="preserve"> "P4 "(12,0*8+12,0*8) = 192,000 [D]</t>
  </si>
  <si>
    <t xml:space="preserve"> "P5 "8,0*(8+8) = 128,000 [E]</t>
  </si>
  <si>
    <t xml:space="preserve"> "P6 "8,0*(8+8) = 128,000 [F]</t>
  </si>
  <si>
    <t xml:space="preserve"> "OP7 "10,0*(11+11) = 220,000 [G]</t>
  </si>
  <si>
    <t xml:space="preserve"> "Celkové množství "982.000000 = 982,000 [H]</t>
  </si>
  <si>
    <t>264841</t>
  </si>
  <si>
    <t>VRTY PRO PILOTY TŘ III A IV D DO 1000MM</t>
  </si>
  <si>
    <t xml:space="preserve"> "OP1 "3,0*(10+10) = 60,000 [A]</t>
  </si>
  <si>
    <t xml:space="preserve"> "P2 "6,0*(8+8) = 96,000 [B]</t>
  </si>
  <si>
    <t xml:space="preserve"> "P3 "4,0*(8+8) = 64,000 [C]</t>
  </si>
  <si>
    <t xml:space="preserve"> "P4 "3,0*(8+8) = 48,000 [D]</t>
  </si>
  <si>
    <t xml:space="preserve"> "P5 "4,0*(8+8) = 64,000 [E]</t>
  </si>
  <si>
    <t xml:space="preserve"> "P6 "3,0*(8+8) = 48,000 [F]</t>
  </si>
  <si>
    <t xml:space="preserve"> "OP7 "2,50*(11+11) = 55,000 [G]</t>
  </si>
  <si>
    <t xml:space="preserve"> "Celkové množství "435.000000 = 435,000 [H]</t>
  </si>
  <si>
    <t>272324</t>
  </si>
  <si>
    <t>ZÁKLADY ZE ŽELEZOBETONU DO C25/30</t>
  </si>
  <si>
    <t>beton C25/30
- vč. nátěru zasypaných ploch proti zemní vlhkosti (1xAlp+2xAln) 
- vč. výplně a těsnění pracovních a dilatačních spar
- vč. bednění, zřízení všech prostupů
Vše dle PD, TP, VL, TKP, ZTKP atd.
z příl.č. 1, 3, 4, 5, 11, 12, 13
(odměřeno elektronicky v ACADu z příl.č. 11, 12, 13)</t>
  </si>
  <si>
    <t xml:space="preserve"> "OP1 "22,90*2,95*0,90 = 60,800 [A]</t>
  </si>
  <si>
    <t xml:space="preserve"> "P2 až P6 "(9,0+9,0)*4,20*1,50*5 = 567,000 [B]</t>
  </si>
  <si>
    <t xml:space="preserve"> "OP7 "23,70*2,95*0,90+2,0*1,40*0,90*2 = 67,964 [C]</t>
  </si>
  <si>
    <t xml:space="preserve"> "Celkové množství "695.764000 = 695,764 [D]</t>
  </si>
  <si>
    <t>Položka zahrnuje:
- dodání  čerstvého  betonu  (betonové  směsi)  požadované  kvality,  jeho  uložení  do požadovaného tvaru při jakékoliv hustotě výztuže, konzistenci čerstvého betonu a způsobu hutnění, ošetření a ochranu betonu,
- zhotovení nepropustného, mrazuvzdorného betonu a betonu požadované trvanlivosti a vlastností, užití potřebných přísad a technologií výroby betonu,
- zřízení pracovních a dilatačních spar, včetně potřebných úprav, výplně, vložek, opracování, očištění a ošetření,
- bednění  požadovaných  konstr. (i ztracené) s úpravou  dle požadované  kvality povrchu betonu, včetně odbedňovacích a odskružovacích prostředků, nátěrů zabraňujících soudržnosti betonu a bednění,
- podpěrné  konstr. (skruže) a lešení všech druhů pro bednění,  vč. ochranných a bezpečnostních opatření a základů těchto konstrukcí a lešení,
- vytvoření kotevních čel, kapes, nálitků a sedel, zřízení  všech  požadovaných  otvorů,  výklenků, prostupů, dutin, drážek a pod., vč. ztížení práce a úprav  kolem nich,
- úpravy pro osazení výztuže, doplňkových konstrukcí a vybavení,
- úpravy povrchu pro položení požadované izolace, povlaků a nátěrů, případně vyspravení,
- ztížení práce u kabelových a injektážních trubek a ostatních zařízení osazovaných do betonu,
- konstrukce betonových kloubů, upevnění kotevních prvků a doplňkových konstrukcí,
- nátěry zabraňující soudržnost betonu a bednění,
- výplň, těsnění  a tmelení spar a spojů,
- opatření  povrchů  betonu  izolací  proti zemní vlhkosti v částech, kde přijdou do styku se zeminou nebo kamenivem,
- případné zřízení spojovací vrstvy u základů,
- úpravy pro osazení zařízení ochrany konstrukce proti vlivu bludných proudů,
Položka nezahrnuje:
- dodání a osazení výztuže</t>
  </si>
  <si>
    <t>272365</t>
  </si>
  <si>
    <t>VÝZTUŽ ZÁKLADŮ Z OCELI 10505, B500B</t>
  </si>
  <si>
    <t>- kompletní provedení vč. případné povrchové antikorozní úpravy výztuže
- vč. požadavků z hlediska bludných proudů, definovaného provaření výztuže za účelem ochrany konstrukcí proti přepětí a blesku
Vše dle PD, TP, VL, TKP, ZTKP atd.
z příl.č. 1, 14, 15</t>
  </si>
  <si>
    <t xml:space="preserve"> "hmotnost 130 kg/m3, množství 272324 "695,764*130/1000 = 90,449 [A]</t>
  </si>
  <si>
    <t>Položka:
- zahrnuje veškerý materiál, výrobky a polotovary, včetně mimostaveništní a vnitrostaveništní dopravy (rovněž přesuny), včetně naložení a složení, případně s uložením
- dodání betonářské výztuže v požadované kvalitě, stříhání, řezání, ohýbání a spojování do všech požadovaných tvarů (vč. armakošů) a uložení s požadovaným zajištěním polohy a krytí výztuže betonem,
- veškeré svary nebo jiné spoje výztuže,
- pomocné konstrukce a práce pro osazení a upevnění výztuže,
- zednické výpomoci pro montáž betonářské výztuže,
- úpravy výztuže pro osazení doplňkových konstrukcí,
- ochranu výztuže do doby jejího zabetonování,
- úpravy výztuže pro zřízení železobetonových kloubů, kotevních prvků, závěsných ok a doplňkových konstrukcí,
- veškerá opatření pro zajištění soudržnosti výztuže a betonu,
- vodivé propojení výztuže, které je součástí ochrany konstrukce proti vlivům bludných proudů, vyvedení do měřících skříní nebo míst pro měření bludných proudů (vlastní měřící skříně se uvádějí položkami SD 74),
- povrchovou antikorozní úpravu výztuže,
- separaci výztuže,
- osazení měřících zařízení a úpravy pro ně,
- osazení měřících skříní nebo míst pro měření bludných proudů
Položka nezahrnuje:
- x</t>
  </si>
  <si>
    <t>285378</t>
  </si>
  <si>
    <t>KOTVENÍ NA POVRCHU Z PŘEDPÍNACÍ VÝZTUŽE DL. DO 10M</t>
  </si>
  <si>
    <t>2-pramencové kotvy
- vč. osazení, zainjektování, napnutí  atd.
Vše dle PD, TP, VL, TKP, ZTKP atd.
z příl.č. 1, 3, 4, 5, 9
(odměřeno elektronicky v ACADu z příl.č. 9)</t>
  </si>
  <si>
    <t xml:space="preserve"> "počet "18 = 18,000 [A]</t>
  </si>
  <si>
    <t>Položka zahrnuje:
- dodávku předepsané kotvy, případně její protikorozní úpravu, její osazení do vrtu, zainjektování a napnutí, případně opěrné desky
Položka nezahrnuje:
- vrty</t>
  </si>
  <si>
    <t>285378-R11</t>
  </si>
  <si>
    <t>KOTVENÍ NA POVRCHU Z PŘEDPÍNACÍ VÝZTUŽE DL. DO 11M</t>
  </si>
  <si>
    <t xml:space="preserve"> "počet "3 = 3,000 [A]</t>
  </si>
  <si>
    <t>285378-R12</t>
  </si>
  <si>
    <t>KOTVENÍ NA POVRCHU Z PŘEDPÍNACÍ VÝZTUŽE DL. DO 12M</t>
  </si>
  <si>
    <t>3-pramencové kotvy
- vč. osazení, zainjektování, napnutí  atd.
Vše dle PD, TP, VL, TKP, ZTKP atd.
z příl.č. 1, 3, 4, 5, 9
(odměřeno elektronicky v ACADu z příl.č. 9)</t>
  </si>
  <si>
    <t xml:space="preserve"> "počet "6 = 6,000 [A]</t>
  </si>
  <si>
    <t>285378-R13</t>
  </si>
  <si>
    <t>KOTVENÍ NA POVRCHU Z PŘEDPÍNACÍ VÝZTUŽE DL. DO 13M</t>
  </si>
  <si>
    <t>28996</t>
  </si>
  <si>
    <t>OPLÁŠTĚNÍ (ZPEVNĚNÍ) SÍŤOVINOU Z PLASTICKÝCH HMOT</t>
  </si>
  <si>
    <t>GEOBUŇKY výšky 150 mm
- dodávku předepsané síťoviny, úpravu, očištění a ochranu podkladu 
- vč. přichycení k podkladu, případně zatížení,
- vč. nutných přesahů
Vše dle PD, TP, VL, TKP, ZTKP atd.
z příl.č. 1, 3, 4, 5
(odměřeno elektronicky v ACADu z příl.č. )
nutná plocha bez přesahů</t>
  </si>
  <si>
    <t>Položka zahrnuje:
- dodávku předepsané síťoviny
- úpravu, očištění a ochranu podkladu
- přichycení k podkladu, případně zatížení
- úpravy spojů a zajištění okrajů
- úpravy pro odvodnění
- nutné přesahy
- mimostaveništní a vnitrostaveništní dopravu
Položka nezahrnuje:
- x 
Způsob měření:
- přesahy se nezapočítávají do výměry</t>
  </si>
  <si>
    <t>28999</t>
  </si>
  <si>
    <t>OPLÁŠTĚNÍ (ZPEVNĚNÍ) Z FÓLIE</t>
  </si>
  <si>
    <t>těsnící fólie - geosyntetická izolace s min. parametry dle TP 97 tab.22
- vč. nutných přesahů, zatažení pod drenáž
Vše dle PD, TP, VL, TKP, ZTKP atd.
z příl.č. 1, 3, 4, 11, 13, 21
(odměřeno elektronicky v ACADu z příl.č. 11, 13, 21)
nutná plocha bez přesahů</t>
  </si>
  <si>
    <t xml:space="preserve"> "OP1 "(22,90-0,60*2)*2,30 = 49,910 [A]</t>
  </si>
  <si>
    <t xml:space="preserve"> "OP7 "(22,90-0,60*2)*5,10 = 110,670 [B]</t>
  </si>
  <si>
    <t xml:space="preserve"> "Celkové množství "160.580000 = 160,580 [C]</t>
  </si>
  <si>
    <t>Položka zahrnuje:
- dodávku předepsané fólie
- úpravu, očištění a ochranu podkladu
- přichycení k podkladu, případně zatížení
- úpravy spojů a zajištění okrajů
- úpravy pro odvodnění
- nutné přesahy
- mimostaveništní a vnitrostaveništní dopravu
Položka nezahrnuje:
- x 
Způsob měření:
- přesahy se nezapočítávají do výměry</t>
  </si>
  <si>
    <t>3</t>
  </si>
  <si>
    <t>Svislé konstrukce</t>
  </si>
  <si>
    <t>31717</t>
  </si>
  <si>
    <t>KOVOVÉ KONSTRUKCE PRO KOTVENÍ ŘÍMSY</t>
  </si>
  <si>
    <t>KG</t>
  </si>
  <si>
    <t>KOTVY ŘÍMS do nosné konstrukce s povrchovou ochranou, odhad hmotnosti 6 kg/ks 
 - vč. přepsané povrch. úpravy, dodatečného vrtu, osazení vlepením do otvoru, lepidla
Vše dle PD, TP, VL, TKP, ZTKP atd.
z příl.č. 1</t>
  </si>
  <si>
    <t xml:space="preserve"> "vnější římsy LM a PM "122+122 = 244,000 [A]</t>
  </si>
  <si>
    <t xml:space="preserve"> "středové římsy LM a PM "114+114 = 228,000 [B]</t>
  </si>
  <si>
    <t xml:space="preserve"> "Mezisoučet "472.000000 = 472,000 [C]</t>
  </si>
  <si>
    <t xml:space="preserve"> "hmotnost "C*6 = 2832,000 [D]</t>
  </si>
  <si>
    <t>Položka zahrnuje:
- dodávku (výrobu) kotevního prvku předepsaného tvaru
- jeho osazení do předepsané polohy včetně nezbytných prací (vrty, zálivky apod.)
Položka nezahrnuje:
- x</t>
  </si>
  <si>
    <t>31717-R01</t>
  </si>
  <si>
    <t>KOVOVÉ KONSTRUKCE PRO KOTVENÍ ŘÍMSY - pro stožár VO - kotva v římse</t>
  </si>
  <si>
    <t>- vč. přepsané povrch. úpravy, dodatečného vrtu, osazení vlepením do otvoru, lepidla
Vše dle PD, TP, VL, TKP, ZTKP atd.
z příl.č. 1, 3, 4, 5, 23
(odměřeno elektronicky v ACADu z příl.č. 23)</t>
  </si>
  <si>
    <t xml:space="preserve"> "LM a PM - 2 ks / stožář "5*2 = 10,000 [A]</t>
  </si>
  <si>
    <t>31717-R02</t>
  </si>
  <si>
    <t>KOVOVÉ KONSTRUKCE PRO KOTVENÍ ŘÍMSY - pro stožár VO - dodatečná kotva do NK</t>
  </si>
  <si>
    <t>317325</t>
  </si>
  <si>
    <t>ŘÍMSY ZE ŽELEZOBETONU DO C30/37 (B37)</t>
  </si>
  <si>
    <t>- vč. předepsané povrchové úpravy
- vč. zřízení pracovních a dilatačních spar, potřebných úprav, výplně, vložek, opracování, očištění a ošetření atd.
- vč. nátěrů proti zemní vlhkosti (1xAlp+2xAln)
- vč. lešení, bednění, zřízení všech prostupů
- vč. případného napojení FeZn drátu ochrany kovových konstrukcí příslušenství mostu proti přepětí a blesku 
Vše dle PD, TP, VL, TKP, ZTKP atd.
z příl.č. 1, 3, 4, 5, 23
(odměřeno elektronicky v ACADu z příl.č. 23)</t>
  </si>
  <si>
    <t xml:space="preserve"> "vnější římsy LM a PM "0,49*121,90*2 = 119,462 [A]</t>
  </si>
  <si>
    <t xml:space="preserve"> "středové římsy LM a PM "(0,36*(114,40-1,10*2)+1,0*1,10*2)*2 = 85,184 [B]</t>
  </si>
  <si>
    <t xml:space="preserve"> "Celkové množství "204.646000 = 204,646 [C]</t>
  </si>
  <si>
    <t>317365</t>
  </si>
  <si>
    <t>VÝZTUŽ ŘÍMS Z OCELI 10505, B500B</t>
  </si>
  <si>
    <t>- kompletní provedení vč. případné povrchové antikorozní úpravy výztuže 
- vč. případných požadavků z hlediska bludných proudů, definovaného provaření výztuže za účelem ochrany konstrukcí proti přepětí a blesku dle TP 124
- vč. vývodu pro uzemnění příslušenství
Vše dle PD, TP, VL, TKP, ZTKP atd.
z příl.č. 1, 23</t>
  </si>
  <si>
    <t xml:space="preserve"> "hmotnost 160 kg/m3, množství 272324 "204,646*160/1000 = 32,743 [A]</t>
  </si>
  <si>
    <t>Položka zahrnuje:
- veškerý materiál, výrobky a polotovary, včetně mimostaveništní a vnitrostaveništní dopravy (rovněž přesuny), včetně naložení a složení, případně s uložením
- dodání betonářské výztuže v požadované kvalitě, stříhání, řezání, ohýbání a spojování do všech požadovaných tvarů (vč. armakošů) a uložení s požadovaným zajištěním polohy a krytí výztuže betonem,
- veškeré svary nebo jiné spoje výztuže,
- pomocné konstrukce a práce pro osazení a upevnění výztuže,
- zednické výpomoci pro montáž betonářské výztuže,
- úpravy výztuže pro osazení doplňkových konstrukcí,
- ochranu výztuže do doby jejího zabetonování,
- úpravy výztuže pro zřízení železobetonových kloubů, kotevních prvků, závěsných ok a doplňkových konstrukcí,
- veškerá opatření pro zajištění soudržnosti výztuže a betonu,
- vodivé propojení výztuže, které je součástí ochrany konstrukce proti vlivům bludných proudů, vyvedení do měřících skříní nebo míst pro měření bludných proudů (vlastní měřící skříně se uvádějí položkami SD 74),
- povrchovou antikorozní úpravu výztuže,
- separaci výztuže,
- osazení měřících zařízení a úpravy pro ně,
- osazení měřících skříní nebo míst pro měření bludných proudů.
Položka nezahrnuje:
- x</t>
  </si>
  <si>
    <t>333325</t>
  </si>
  <si>
    <t>MOSTNÍ OPĚRY A KŘÍDLA ZE ŽELEZOVÉHO BETONU DO C30/37</t>
  </si>
  <si>
    <t>beton C30/37
- vč. zřízení pracovních a dilatačních spar, potřebných úprav, výplně, vložek, opracování, očištění a ošetření atd.
- vč. nátěrů proti zemní vlhkosti (1xAlp+2xAln)
- vč. lešení, bednění, zřízení všech prostupů, odvodnění úložného prahu
- vč. podložiskových bloků i z betonu jiné třídy atd.
- vč. letopočtu a loga zhotovitele vlysem do betonu dle požadavků objednatele 
- vč. osazení měřících zařízení, skříní nebo míst pro měření bludných proudů
Vše dle PD, TP, VL, TKP, ZTKP atd.
z příl.č. 1, 3, 4, 5, 11, 13
(odměřeno elektronicky v ACADu z příl.č. 11, 13)</t>
  </si>
  <si>
    <t xml:space="preserve"> "OP1 - dřík, UP, ZZ a odpočet kapes pro přechod. desky "(4,5*11,45+(1,2*10,25-8,25*0,25*0,34)+1,20*0,55*1,15)*2 = 127,766 [A]</t>
  </si>
  <si>
    <t xml:space="preserve"> "křídla "7,4*0,60*2 = 8,880 [B]</t>
  </si>
  <si>
    <t xml:space="preserve"> "Mezisoučet "136.646000 = 136,646 [C]</t>
  </si>
  <si>
    <t xml:space="preserve"> "OP7 - dřík, UP, ZZ a odpočet kapes pro přechod. desky "(3,60*11,45+(1,2*10,25-8,25*0,25*0,38)+1,20*0,55*1,25)*2 = 107,123 [D]</t>
  </si>
  <si>
    <t xml:space="preserve"> "křídla "10,3*0,60*2 = 12,360 [E]</t>
  </si>
  <si>
    <t xml:space="preserve"> "Mezisoučet "119.483000 = 119,483 [F]</t>
  </si>
  <si>
    <t xml:space="preserve"> "Celkové množství "256.129000 = 256,129 [G]</t>
  </si>
  <si>
    <t>333365</t>
  </si>
  <si>
    <t>JMOSTNÍCH OPĚR A KŘÍDEL Z OCELI 10505, B500B</t>
  </si>
  <si>
    <t>- kompletní provedení vč. případné povrchové antikorozní úpravy výztuže
- vč. případných požadavků z hlediska bludných proudů, definovaného provaření výztuže za účelem ochrany konstrukcí proti přepětí a blesku dle TP 124
- vč. vyvedení do měřících skříní nebo míst pro měření bludných proudů nebo jiskřiště
- vč. vývodu pro uzemnění příslušenství
Vše dle PD, TP, VL, TKP, ZTKP atd.
z příl.č. 1, 15</t>
  </si>
  <si>
    <t xml:space="preserve"> "hmotnost 105 kg/m3, množství 333325 "258,721*105/1000 = 27,166 [A]</t>
  </si>
  <si>
    <t>334326</t>
  </si>
  <si>
    <t>MOSTNÍ PILÍŘE A STATIVA ZE ŽELEZOVÉHO BETONU DO C40/50 (B50)</t>
  </si>
  <si>
    <t>beton C35/45
- vč. zřízení pracovních a dilatačních spar, potřebných úprav, výplně, vložek, opracování, očištění a ošetření atd.
- vč. nátěrů proti zemní vlhkosti (1xAlp+2xAln)
- vč. lešení, bednění, zřízení všech prostupů
- vč. podložiskových bloků i z betonu jiné třídy nebo přípravy pro vrubový kloub atd.
Vše dle PD, TP, VL, TKP, ZTKP atd.
z příl.č. 1,
(odměřeno elektronicky v ACADu z příl.č. )</t>
  </si>
  <si>
    <t xml:space="preserve"> "P2 až P6 - hlava vč. podložiskového bloku - 4 ks / podpěra "((1,80+1,20)/2*1,40+0,70*0,70*0,15)*4*5 = 43,470 [A]</t>
  </si>
  <si>
    <t xml:space="preserve"> "P2 - dřík "1,20*(4,552+4,662-1,40*2)*2 = 15,394 [B]</t>
  </si>
  <si>
    <t xml:space="preserve"> "P3 - dřík "1,20*(5,898+6,008-1,40*2)*2 = 21,854 [C]</t>
  </si>
  <si>
    <t xml:space="preserve"> "P4 - dřík "1,20*(4,544+4,654-1,40*2)*2 = 15,355 [D]</t>
  </si>
  <si>
    <t xml:space="preserve"> "P5 - dřík "1,20*(5,540+5,650-1,40*2)*2 = 20,136 [E]</t>
  </si>
  <si>
    <t xml:space="preserve"> "P6 - dřík "1,20*(5,486+5,596-1,40*2)*2 = 19,877 [F]</t>
  </si>
  <si>
    <t xml:space="preserve"> "Celkové množství "136.086000 = 136,086 [G]</t>
  </si>
  <si>
    <t>334365</t>
  </si>
  <si>
    <t>VÝZTUŽ MOSTNÍCH PILÍŘŮ A STATIV Z OCELI 10505, B500B</t>
  </si>
  <si>
    <t>- kompletní provedení vč. případné povrchové antikorozní úpravy výztuže
- vč. případných požadavků z hlediska bludných proudů, definovaného provaření výztuže za účelem ochrany konstrukcí proti přepětí a blesku dle TP 124
- vč. vyvedení do měřících skříní nebo míst pro měření bludných proudů nebo jiskřiště
- vč. vývodu pro uzemnění příslušenství
Vše dle PD, TP, VL, TKP, ZTKP atd.
z příl.č. 1, 14</t>
  </si>
  <si>
    <t xml:space="preserve"> "hmotnost 140 kg/m3, množství 334326 "136,086*140/1000 = 19,052 [A]</t>
  </si>
  <si>
    <t>4</t>
  </si>
  <si>
    <t>Vodorovné konstrukce</t>
  </si>
  <si>
    <t>420324</t>
  </si>
  <si>
    <t>PŘECHODOVÉ DESKY MOSTNÍCH OPĚR ZE ŽELEZOBETONU C25/30</t>
  </si>
  <si>
    <t>- vč. úpravy povrchu pro položení izolace
- vč. nátěrů proti zem. vlhkosti (1xAlp+2xAln)
- vč. výplně spar, zálivek a těsnění, bednění i ztracené atd. 
Vše dle PD, TP, VL, TKP, ZTKP atd.
z příl.č. 1, 3, 4, 21, 22
(odměřeno elektronicky v ACADu z příl.č. 22)</t>
  </si>
  <si>
    <t xml:space="preserve"> "OP1 "4,0*8,15*0,30*2 = 19,560 [A]</t>
  </si>
  <si>
    <t xml:space="preserve"> "OP7 "7,0*8,15*0,35*2 = 39,935 [B]</t>
  </si>
  <si>
    <t xml:space="preserve"> "Celkové množství "59.495000 = 59,495 [C]</t>
  </si>
  <si>
    <t>420365</t>
  </si>
  <si>
    <t>VÝZTUŽ PŘECHODOVÝCH DESEK MOSTNÍCH OPĚR Z OCELI 10505, B500B</t>
  </si>
  <si>
    <t>- kompletní provedení vč. případné povrchové antikorozní úpravy výztuže 
- vč. případných požadavků z hlediska bludných proudů, definovaného provaření výztuže za účelem ochrany konstrukcí proti přepětí a blesku
Vše dle PD, TP, VL, TKP, ZTKP atd.
z příl.č. 1, 22</t>
  </si>
  <si>
    <t xml:space="preserve"> "hmotnost 145 kg/m3, objem betonu z pol.č. 420324 "59,495*145/1000 = 8,627 [A]</t>
  </si>
  <si>
    <t>422336</t>
  </si>
  <si>
    <t>MOSTNÍ NOSNÉ TRÁM KONSTR Z PŘEDPJ BET DO C40/50</t>
  </si>
  <si>
    <t>beton C35/45
- vč. úpravy povrchu i pro položení izolace
- vč. zřízení pracovních a dilatačních spar, výplně, těsnění  a tmelení spar a spojů
- vč. zřízení všech prostupů
- vč.  všech druhů bednění vč. ztraceného, podpěrné  konstr. (skruže), lešení všech druhů atd.
- vč. osazení měřících zařízení, skříní nebo míst pro měření bludných proudů
Vše dle PD, TP, VL, TKP, ZTKP atd.
z příl.č. 1, 3, 4, 5, 18
(odměřeno elektronicky v ACADu z příl.č. 18)</t>
  </si>
  <si>
    <t xml:space="preserve"> "NK - LM a PM "6,15*(111,50-1,25*2)*2 = 1340,700 [A]</t>
  </si>
  <si>
    <t xml:space="preserve"> "koncové příčníky - LM a PM "9,2*1,25*2*2 = 46,000 [B]</t>
  </si>
  <si>
    <t xml:space="preserve"> "Celkové množství "1386.700000 = 1386,700 [C]</t>
  </si>
  <si>
    <t>422365</t>
  </si>
  <si>
    <t>VÝZTUŽ MOSTNÍ TRÁMOVÉ KONSTRUKCE Z OCELI 10505, B500B</t>
  </si>
  <si>
    <t>- kompletní provedení vč. případné povrchové antikorozní úpravy výztuže 
- vč. případných požadavků z hlediska bludných proudů, definovaného provaření výztuže za účelem ochrany konstrukcí proti přepětí a blesku dle TP 124
- vč. vyvedení do měřících skříní nebo míst pro měření bludných proudů nebo jiskřiště
- vč. vývodu pro uzemnění příslušenství
Vše dle PD, TP, VL, TKP, ZTKP atd.
z příl.č. 1, 20</t>
  </si>
  <si>
    <t xml:space="preserve"> "hmotnost 150 kg/m3, množství z pol.č. 422336 "1386,70*150/1000 = 208,005 [A]</t>
  </si>
  <si>
    <t>422373</t>
  </si>
  <si>
    <t>VÝZTUŽ MOST NOSNÉ TRÁM KONSTR PŘEDP Z LAN PRO VNITŘ PŘEDPJ</t>
  </si>
  <si>
    <t>- vč. předpsané výztuže, nutného prodloužení pro zakotvení, kotev, spojek, kabelových kanálků atd. 
- vč. případných požadavků z hlediska bludných proudů, definovaného provaření výztuže za účelem ochrany konstrukcí proti přepětí a blesku
- vč. vyvedení do měřících skříní nebo míst pro měření bludných proudů
Vše dle PD, TP, VL, TKP, ZTKP atd.
z příl.č. 1, 19</t>
  </si>
  <si>
    <t xml:space="preserve"> "množství LM a PM "19,21+19,21 = 38,420 [A]</t>
  </si>
  <si>
    <t>Položka zahrnuje:
- dodání předpínací výztuže, kotev, spojek a dalšího potřebného materiálu v požadované kvalitě pro zavedení předpětí, včetně nutného prodloužení pro zakotvení,
- uložení v požadovaném tvaru a prostoru, případně protažení výztuže kabelovými kanálky včetně zřízení kabelových podpor v dostatečném množství, upevnění výztuže s požadovaným zajištěním polohy a krytí betonem,
- osazení kotev, spojek a dalšího potřebného materiálu,
- předepnutí výztuže vč. veškerého nutného předpínacího zařízení, i po etapách dle požadovaného postupu a její ukotvení, vyhotovení všech požadovaných dokladů a protokolů a provedení všech požadovaných kontrol,
- zřízení kabelových kanálků, případně kabelových trub, vč. odvzdušňovacích a injektážních trubiček, čištění, utěsnění a injektáž kanálků nebo trub včetně dodání injektážní hmoty dle projektu a obetonování kotev,
- ochrana výztuže do doby jejího zabetonování, nebo zainjektování,
- vodivé propojení výztuže, která je součástí ochrany konstrukce proti vlivům bludných proudů, vyvedení do měřících skříní nebo míst., osazení měřících skříní nebo míst pro měření bludných proudů
- povrchovou antikorozní úpravu výztuže,
- separaci výztuže
Položka nezahrnuje:
- x</t>
  </si>
  <si>
    <t>42838</t>
  </si>
  <si>
    <t>KLOUB ZE ŽELEZOBETONU VČET VÝZTUŽE</t>
  </si>
  <si>
    <t>vrubový kloub STANDARDNÍ
- vč. předepsané výplně atd.
 Vše dle PD, TP, VL, TKP, ZTKP atd.
z příl.č. 1, 3, 4, 11, 13, 21, 22
(odměřeno elektronicky v ACADu z příl.č. 11, 13)</t>
  </si>
  <si>
    <t xml:space="preserve"> "přechodová deska OP1 a OP7 "(8,25+8,25)*2 = 33,000 [A]</t>
  </si>
  <si>
    <t>Položka zahrnuje:
- pouze zhotovení kloubu (zřízení a odstranění vložky pro pérové a vrubové klouby a pod.)
Položka nezahrnuje:
- beton a výztuž,  musí být zahrnuto v příslušných konstrukčních částech
- beton a výztuž samostatného kloubu (např. kyvné sloupečky) se zařazují jako vodorovná konstrukce.</t>
  </si>
  <si>
    <t>428731</t>
  </si>
  <si>
    <t>KALOTOVÉ LOŽISKO PRO ZATÍŽ. DO 5MN, VŠESMĚRNÉ</t>
  </si>
  <si>
    <t>vyměnitelné, rektifikovatelné v elektroizolačním provedení
- vč. uložení do malty z polymerbetonu a dodávky této malty jako ochrany proti průchodu bludných proudů
Vše dle PD, TP, VL, TKP, ZTKP atd.
z příl.č. 1, 3, 4, 5, 6, 25</t>
  </si>
  <si>
    <t xml:space="preserve"> "OP1 "1+1 = 2,000 [A]</t>
  </si>
  <si>
    <t xml:space="preserve"> "OP7 "1+1 = 2,000 [D]</t>
  </si>
  <si>
    <t xml:space="preserve"> "Celkové množství "4.000000 = 4,000 [B]</t>
  </si>
  <si>
    <t>Položka zahrnuje:
- výrobní dokumentaci
- dodání kompletních ložisek požadované kvality
- přípravu, očištění a úpravy úložných ploch
- osazení ložisek podle předepsaného technologického předpisu bez ohledu na způsob uložení a kotvení
- nastavení ložisek, protokolárního měření a vyhodnocení kyvné a kluzné spáry
- uložení do malty jakéhokoliv druhu včetně dodávky této malty
- uložení na plastické vložky nebo maltu včetně dodávky této vložky nebo malty
- uložení na vrstvu plastbetonové malty nebo podobné vrstvy jako ochranu proti průchodu bludných proudů
- vyplnění kotevních otvorů
- lešení a podpěrné konstrukce
- tmelení, těsnění a výplně spar
- dočasné zpevnění nebo naopak dočasné uvolnění ložisek
- opatření ložisek znakem výrobce a typovým číslem
- úpravy, očištění a ošetření okolí ložisek
- přiměřeným způsobem je nutné zahrnout ustanovení pro TMCH 94 pro kovové konstrukce.
Položka nezahrnuje:
- x</t>
  </si>
  <si>
    <t>428732</t>
  </si>
  <si>
    <t>KALOTOVÉ LOŽISKO PRO ZATÍŽ. DO 5MN, JEDNOSMĚRNÉ</t>
  </si>
  <si>
    <t xml:space="preserve"> "OP7 "1+1 = 2,000 [B]</t>
  </si>
  <si>
    <t xml:space="preserve"> "Celkové množství "4.000000 = 4,000 [C]</t>
  </si>
  <si>
    <t>428741</t>
  </si>
  <si>
    <t>KALOTOVÉ LOŽISKO PRO ZATÍŽ. DO 10MN, VŠESMĚRNÉ</t>
  </si>
  <si>
    <t xml:space="preserve"> "P2 "1+1 = 2,000 [A]</t>
  </si>
  <si>
    <t xml:space="preserve"> "P3 "1+1 = 2,000 [B]</t>
  </si>
  <si>
    <t xml:space="preserve"> "P5 "1+1 = 2,000 [C]</t>
  </si>
  <si>
    <t xml:space="preserve"> "P6 "1+1 = 2,000 [D]</t>
  </si>
  <si>
    <t xml:space="preserve"> "Celkové množství "8.000000 = 8,000 [E]</t>
  </si>
  <si>
    <t>428742</t>
  </si>
  <si>
    <t>pod</t>
  </si>
  <si>
    <t>KALOTOVÉ LOŽISKO PRO ZATÍŽ. DO 10MN, JEDNOSMĚRNÉ</t>
  </si>
  <si>
    <t>PODÉLNĚ POSUVNÉ - vyměnitelné, rektifikovatelné v elektroizolačním provedení
- vč. uložení do malty z polymerbetonu a dodávky této malty jako ochrany proti průchodu bludných proudů
Vše dle PD, TP, VL, TKP, ZTKP atd.
z příl.č. 1, 3, 4, 5, 6, 25</t>
  </si>
  <si>
    <t>při</t>
  </si>
  <si>
    <t>PŘÍČNĚ POSUVNÉ - vyměnitelné, rektifikovatelné v elektroizolačním provedení
- vč. uložení do malty z polymerbetonu a dodávky této malty jako ochrany proti průchodu bludných proudů
Vše dle PD, TP, VL, TKP, ZTKP atd.
z příl.č. 1, 3, 4, 5, 6, 25</t>
  </si>
  <si>
    <t xml:space="preserve"> "P4 "1+1 = 2,000 [A]</t>
  </si>
  <si>
    <t>428743</t>
  </si>
  <si>
    <t>KALOTOVÉ LOŽISKO PRO ZATÍŽ. DO 10MN, PEVNÉ</t>
  </si>
  <si>
    <t>434125</t>
  </si>
  <si>
    <t>SCHODIŠŤOVÉ STUPNĚ, Z DÍLCŮ ŽELEZOBETON DO C30/37</t>
  </si>
  <si>
    <t>beton C30/37
- vč. předepsané výztuže
- vč. protiskluzové úpravy
Vše dle PD, TP, VL, TKP, ZTKP atd.
z příl.č. 1, 3, 4, 11, 12, 13
(odměřeno elektronicky v ACADu z příl.č. 3, 4, 11, 12, 13)
rozměr stupně   750 x 450 x 180 mm</t>
  </si>
  <si>
    <t xml:space="preserve"> "u OP1 a OP7 "0,75*0,45*0,18*(16*2+13+18*2+26) = 6,500 [A]</t>
  </si>
  <si>
    <t>Položka zahrnuje:
- dodání  dílce  požadovaného  tvaru  a  vlastností,  jeho  skladování,  doprava  a  osazení  do  definitivní polohy, včetně komplexní technologie výroby a montáže dílců, ošetření a ochrana dílců,
- u dílců železobetonových a předpjatých veškerá výztuž, případně i tuhé kovové prvky a závěsná oka,
- úpravy a zařízení pro uložení a transport dílce,
- veškeré požadované úpravy dílců, včetně doplňkových konstrukcí a vybavení,
- sestavení dílce na stavbě včetně montážních zařízení, plošin a prahů a pod.,
- výplň, těsnění a tmelení spár a spojů,
- očištění a ošetření úložných ploch,
- zednické výpomoce pro montáž dílců,
- označení dílce výrobním štítkem nebo jiným způsobem,
- úpravy dílce pro dodržení požadované přesnosti jeho osazení, včetně případných měření,
- veškerá zařízení pro zajištění stability v každém okamžiku,
- další práce dané případně specifikací k příslušnému prefabrik. dílci (úprava pohledových ploch, příp. rubových ploch, osazení měřících zařízení, zkoušení a měření dílců a pod.).
Položka nezahrnuje:
- x</t>
  </si>
  <si>
    <t>451312</t>
  </si>
  <si>
    <t>PODKLADNÍ A VÝPLŇOVÉ VRSTVY Z PROSTÉHO BETONU C12/15</t>
  </si>
  <si>
    <t>beton C12/15
Vše dle PD, TP, VL, TKP, ZTKP atd.
z příl.č. 1, 3, 4, 5, 11, 12, 13, 22
(odměřeno elektronicky v ACADu z příl.č. 11, 12, 13, 22)</t>
  </si>
  <si>
    <t xml:space="preserve"> "pod základ OP7 "(24,10*3,45+(5,35-3,45)*1,90*2)*0,20 = 18,073 [A]</t>
  </si>
  <si>
    <t xml:space="preserve"> "Mezisoučet "18.073000 = 18,073 [B]</t>
  </si>
  <si>
    <t xml:space="preserve"> "pod přechod desky na OP1 a OP7 "8,25*(4,0+7,0)*0,10*2 = 18,150 [C]</t>
  </si>
  <si>
    <t xml:space="preserve"> "pod rubovou drenáž na OP1 a OP7 "(22,90+20,90)*0,90*0,30 = 11,826 [D]</t>
  </si>
  <si>
    <t xml:space="preserve"> "Mezisoučet "29.976000 = 29,976 [E]</t>
  </si>
  <si>
    <t xml:space="preserve"> "pod základ P2 až P6 tl. 200 mm "21,70*4,60*0,20*5 = 99,820 [F]</t>
  </si>
  <si>
    <t xml:space="preserve"> "Celkové množství "147.869000 = 147,869 [G]</t>
  </si>
  <si>
    <t>Položka zahrnuje:
- dodání  čerstvého  betonu  (betonové  směsi)  požadované  kvality,  jeho  uložení  do požadovaného tvaru při jakékoliv hustotě výztuže, konzistenci čerstvého betonu a způsobu hutnění, ošetření a ochranu betonu,
- zhotovení nepropustného, mrazuvzdorného betonu a betonu požadované trvanlivosti a vlastností, užití potřebných přísad a technologií výroby betonu,
- zřízení pracovních a dilatačních spar, včetně potřebných úprav, výplně, vložek, opracování, očištění a ošetření,
- bednění  požadovaných  konstr. (i ztracené) s úpravou  dle požadované  kvality povrchu betonu, včetně odbedňovacích a odskružovacích prostředků, nátěrů zabraňujících soudržnosti betonu a bednění,
- podpěrné  konstr. (skruže) a lešení všech druhů pro bednění,  vč. ochranných a bezpečnostních opatření a základů těchto konstrukcí a lešení,
- vytvoření kotevních čel, kapes, nálitků a sedel, zřízení  všech  požadovaných  otvorů,  výklenků, prostupů, dutin, drážek a pod., vč. ztížení práce a úprav  kolem nich,
- úpravy pro osazení výztuže, doplňkových konstrukcí a vybavení,
- úpravy povrchu pro položení požadované izolace, povlaků a nátěrů, případně vyspravení,
- ztížení práce u kabelových a injektážních trubek a ostatních zařízení osazovaných do betonu,
- konstrukce betonových kloubů, upevnění kotevních prvků a doplňkových konstrukcí,
- nátěry zabraňující soudržnost betonu a bednění,
- výplň, těsnění  a tmelení spar a spojů,
- opatření  povrchů  betonu  izolací  proti zemní vlhkosti v částech, kde přijdou do styku se zeminou nebo kamenivem,
- případné zřízení spojovací vrstvy u základů,
- úpravy pro osazení zařízení ochrany konstrukce proti vlivu bludných proudů,
Položka nezahrnuje:
- x</t>
  </si>
  <si>
    <t>451314</t>
  </si>
  <si>
    <t>PODKLADNÍ A VÝPLŇOVÉ VRSTVY Z PROSTÉHO BETONU C25/30</t>
  </si>
  <si>
    <t>beton C25/30
Vše dle PD, TP, VL, TKP, ZTKP atd.
z příl.č. 1, 3, 4, 5, 23
(odměřeno elektronicky v ACADu z příl.č. 23)</t>
  </si>
  <si>
    <t xml:space="preserve"> "pod převislou část vnějších říms na LM a PM podél křídel "(3,55+4,55)*0,85*0,80*2 = 11,016 [A]</t>
  </si>
  <si>
    <t>45131A</t>
  </si>
  <si>
    <t>PODKLADNÍ A VÝPLŇOVÉ VRSTVY Z PROSTÉHO BETONU C20/25</t>
  </si>
  <si>
    <t>beton C20/25n
Vše dle PD, TP, VL, TKP, ZTKP atd.
z příl.č. 1, 3, 4, 11, 12, 13
(odměřeno elektronicky v ACADu z příl.č. 3, 4, 11, 12, 13)
podkladní beton tl. 150 mm pod dlažbu z lom. kamene
podkladní beton prům. tl. 230 mm pod služební schodiště</t>
  </si>
  <si>
    <t xml:space="preserve"> "pod dlažbu OP1 - za křídly a v SDP "(6,0*2+9,5)*0,15 = 3,225 [A]</t>
  </si>
  <si>
    <t xml:space="preserve"> "podél křídel a pod mostem "(4,50*0,25*2+1,10*1,0*2+4,70*24,90)*0,15 = 18,222 [B]</t>
  </si>
  <si>
    <t xml:space="preserve"> "Mezisoučet "21.447000 = 21,447 [C]</t>
  </si>
  <si>
    <t xml:space="preserve"> "pod dlažbu OP7 - za křídly "(6,0*2+9,5)*0,15 = 3,225 [D]</t>
  </si>
  <si>
    <t xml:space="preserve"> "podél křídel a pod mostem "(5,0*0,25*2+1,60*1,10*2+8,90*24,90)*0,15 = 34,145 [E]</t>
  </si>
  <si>
    <t xml:space="preserve"> "Mezisoučet "37.370000 = 37,370 [F]</t>
  </si>
  <si>
    <t xml:space="preserve"> "pod revizní schodiště u OP1 "(4,60*2+4,0)*0,95*0,23 = 2,884 [G]</t>
  </si>
  <si>
    <t xml:space="preserve"> "u OP7 "(5,20*2+8,0)*0,95*0,23 = 4,020 [H]</t>
  </si>
  <si>
    <t xml:space="preserve"> "Mezisoučet "6.904000 = 6,904 [I]</t>
  </si>
  <si>
    <t xml:space="preserve"> "pod dlažbu u P2 až P6 - zpevnění kolem pilířů "(2,90*7,40-1,2*2)*0,15*2*5 = 28,590 [J]</t>
  </si>
  <si>
    <t xml:space="preserve"> "Celkové množství "94.311000 = 94,311 [K]</t>
  </si>
  <si>
    <t>451383</t>
  </si>
  <si>
    <t>PODKL VRSTVY ZE ŽELEZOBET DO C16/20 VČET VÝZTUŽE</t>
  </si>
  <si>
    <t>beton C16/20 - ŠABLONA PRO VRTÁNÍ PILOT sloužící jako podkladní beton 
- vč. dodání a osazení  předepsané výztuže
Vše dle PD, TP, VL, TKP, ZTKP atd.
z příl.č. 1, 3, 4, 5, 11
(odměřeno elektronicky v ACADu z příl.č. 11)</t>
  </si>
  <si>
    <t xml:space="preserve"> "OP1 "23,30*3,45*0,20 = 16,077 [A]</t>
  </si>
  <si>
    <t>Položka zahrnuje:
- dodání  čerstvého  betonu  (betonové  směsi)  požadované  kvality,  jeho  uložení  do požadovaného tvaru při jakékoliv hustotě výztuže, konzistenci čerstvého betonu a způsobu hutnění, ošetření a ochranu betonu
- zhotovení nepropustného, mrazuvzdorného betonu a betonu požadované trvanlivosti a vlastností
- užití potřebných přísad a technologií výroby betonu
- zřízení pracovních a dilatačních spar, včetně potřebných úprav, výplně, vložek, opracování, očištění a ošetření
- bednění  požadovaných  konstr. (i ztracené) s úpravou  dle požadované  kvality povrchu betonu
- vytvoření kotevních čel, kapes, nálitků, a sedel
- zřízení  všech  požadovaných  otvorů, kapes, výklenků, prostupů, dutin, drážek a pod., vč. ztížení práce a úprav  kolem nich
- úpravy pro osazení výztuže, doplňkových konstrukcí a vybavení
- úpravy povrchu pro položení požadované izolace, povlaků a nátěrů, případně vyspravení
- nátěry zabraňující soudržnost betonu a bednění
- výplň, těsnění  a tmelení spar a spojů
- opatření  povrchů  betonu  izolací  proti zemní vlhkosti v částech, kde přijdou do styku se zeminou nebo kamenivem
- dodání betonářské výztuže v požadované kvalitě, stříhání, řezání, ohýbání a spojování do všech požadovaných tvarů (vč. armakošů) a uložení s požadovaným zajištěním polohy a krytí výztuže betonem
- veškeré svary nebo jiné spoje výztuže
- pomocné konstrukce a práce pro osazení a upevnění výztuže
- úpravy výztuže pro osazení doplňkových konstrukcí
- veškerá opatření pro zajištění soudržnosti výztuže a betonu
- povrchovou antikorozní úpravu výztuže
- separaci výztuže
- úpravy pro osazení zařízení ochrany konstrukce proti vlivu bludných proudů
Položka nezahrnuje:
- x</t>
  </si>
  <si>
    <t>45157</t>
  </si>
  <si>
    <t>PODKLADNÍ A VÝPLŇOVÉ VRSTVY Z KAMENIVA TĚŽENÉHO</t>
  </si>
  <si>
    <t>ŠTĚRKOPÍSEK
- vč. nákupu materiálu předepsaných vlastností, dopravy atd. 
Vše dle PD, TP, VL, TKP, ZTKP atd.
z příl.č. 1, 3, 4, 11, 13, 21
(odměřeno elektronicky v ACADu z příl.č. 11, 13, 21)
ŠP tl. 2x150 mm pro těsnící fólii
lože pod odpadní potrubí tl. 100 mm</t>
  </si>
  <si>
    <t xml:space="preserve"> "OP1 - pro těsnící fólii "(22,90-0,60*2)*1,90*(0,15+0,15) = 12,369 [A]</t>
  </si>
  <si>
    <t xml:space="preserve"> "OP7 - pro těsnící fólii "(22,90-0,60*2)*4,70*(0,15+0,15) = 30,597 [B]</t>
  </si>
  <si>
    <t xml:space="preserve"> "Mezisoučet "42.966000 = 42,966 [C]</t>
  </si>
  <si>
    <t xml:space="preserve"> "lože pod potrubí - délka z pol.č. 87434 "27,0*0,65*0,10 = 1,755 [D]</t>
  </si>
  <si>
    <t xml:space="preserve"> "Celkové množství "44.721000 = 44,721 [E]</t>
  </si>
  <si>
    <t>Položka zahrnuje:
- dodávku předepsaného kameniva
- mimostaveništní a vnitrostaveništní dopravu a jeho uložení
- není-li v zadávací dokumentaci uvedeno jinak, jedná se o nakupovaný materiál
Položka nezahrnuje:
- x</t>
  </si>
  <si>
    <t>45852</t>
  </si>
  <si>
    <t>VÝPLŇ ZA OPĚRAMI A ZDMI Z KAMENIVA DRCENÉHO</t>
  </si>
  <si>
    <t>OCHRANNÝ ZÁSYP a PODKLADNÍ KLÍN na rubu opěr ze štěrkodrtě
- vč. nákupu materiálu předepsaných vlastností, dopravy atd. 
Vše dle PD, TP, VL, TKP, ZTKP atd.
z příl.č. 1, 3, 4, 11, 13, 21
(odměřeno elektronicky v ACADu z příl.č. 3, 4, 21)</t>
  </si>
  <si>
    <t xml:space="preserve"> "OP1 - na rubu opěr a dopočet podél křídel "3,9*22,90+(2,2+2,2)*(1,50-0,60) = 93,270 [A]</t>
  </si>
  <si>
    <t xml:space="preserve"> "OP7 - na rubu opěr a dopočet podél křídel "5,8*22,90+(3,6+3,6)*(1,50-0,60) = 139,300 [B]</t>
  </si>
  <si>
    <t xml:space="preserve"> "Celkové množství "232.570000 = 232,570 [C]</t>
  </si>
  <si>
    <t>461314</t>
  </si>
  <si>
    <t>PATKY Z PROSTÉHO BETONU C25/30</t>
  </si>
  <si>
    <t>beton C25/30 
- vč. zemních prací, odvoz přebytku zeminy na skládku vč. uložení a poplatku za skládku
Vše dle PD, TP, VL, TKP, ZTKP atd.
z příl.č. 1, 3, 4, 5, 11, 12, 13
(odměřeno elektronicky v ACADu z příl.č. 3)</t>
  </si>
  <si>
    <t xml:space="preserve"> "stabilizační práh pod mostem u OP1 a OP7 "25,10*0,50*0,80*2 = 20,080 [A]</t>
  </si>
  <si>
    <t>Položka zahrnuje:
- nutné zemní práce (hloubení rýh a pod.)
- dodání  čerstvého  betonu  (betonové  směsi)  požadované  kvality,  jeho  uložení  do požadovaného tvaru při jakékoliv konzistenci čerstvého betonu a způsobu hutnění, ošetření a ochranu betonu,
- zhotovení nepropustného, mrazuvzdorného betonu a betonu požadované trvanlivosti a vlastností,
- užití potřebných přísad a technologií výroby betonu,
- zřízení pracovních a dilatačních spar, včetně potřebných úprav, výplně, vložek, opracování, očištění a ošetření,
- bednění  požadovaných  konstr. (i ztracené) s úpravou  dle požadované  kvality povrchu betonu, včetně odbedňovacích a odskružovacích prostředků,
- zřízení  všech  požadovaných  otvorů, kapes, výklenků, prostupů, dutin, drážek a pod., vč. ztížení práce a úprav  kolem nich,
- úpravy pro osazení doplňkových konstrukcí a vybavení,
- úpravy povrchu pro položení požadované izolace, povlaků a nátěrů, případně vyspravení,
- konstrukce betonových kloubů, upevnění kotevních prvků a doplňkových konstrukcí,
- nátěry zabraňující soudržnost betonu a bednění,
- výplň, těsnění  a tmelení spar a spojů,
- opatření  povrchů  betonu  izolací  proti zemní vlhkosti v částech, kde přijdou do styku se zeminou nebo kamenivem
Položka nezahrnuje:
- x</t>
  </si>
  <si>
    <t>46131A</t>
  </si>
  <si>
    <t>PATKY Z PROSTÉHO BETONU C20/25</t>
  </si>
  <si>
    <t>beton C20/25n
- vč. zemních prací, odvoz přebytku zeminy na skládku vč. uložení a poplatku za skládku
Vše dle PD, TP, VL, TKP, ZTKP atd.
z příl.č. 1, 3, 4, 5, 11, 12, 13
(odměřeno elektronicky v ACADu z příl.č. 3)
pod dlažbu z lomového kamene
pod služební schodiště vč. přídlažby</t>
  </si>
  <si>
    <t xml:space="preserve"> "pod schodiště podél křídel a pod mostem u OP1 "0,95*0,60*0,60*(2*2+1) = 1,710 [A]</t>
  </si>
  <si>
    <t xml:space="preserve"> "u OP7 "0,95*0,60*0,60*(2*2+1) = 1,710 [B]</t>
  </si>
  <si>
    <t xml:space="preserve"> "ve svahu zpevnění pod mostemu OP7 "1/2*0,60*0,60*29,10 = 5,238 [C]</t>
  </si>
  <si>
    <t xml:space="preserve"> "Celkové množství "8.658000 = 8,658 [D]</t>
  </si>
  <si>
    <t>465512</t>
  </si>
  <si>
    <t>DLAŽBY Z LOMOVÉHO KAMENE NA MC</t>
  </si>
  <si>
    <t>DLAŽBA z LOM KAMENE do bet. lože
- vč. spárování cementovou maltou (XF dle vlivu prostředí), dlažba dle technické specifikace viz PD
Vše dle PD, TP, VL, TKP, ZTKP atd.
z příl.č. 1, 3, 4, 11, 12, 13
(odměřeno elektronicky v ACADu z příl.č. 3, 4, 11, 12, 13)
dlažba z lom. kamene tl. 200 mm</t>
  </si>
  <si>
    <t xml:space="preserve"> "OP1 - za křídly a v SDP "(6,0*2+9,5)*0,20 = 4,300 [A]</t>
  </si>
  <si>
    <t xml:space="preserve"> "podél křídel a pod mostem "(4,50*0,25*2+1,10*1,0*2+4,70*24,90)*0,20 = 24,296 [B]</t>
  </si>
  <si>
    <t xml:space="preserve"> "Mezisoučet "28.596000 = 28,596 [C]</t>
  </si>
  <si>
    <t xml:space="preserve"> "OP7 - za křídly "(6,0*2+9,5)*0,20 = 4,300 [D]</t>
  </si>
  <si>
    <t xml:space="preserve"> "podél křídel a pod mostem "(5,0*0,25*2+1,60*1,10*2+8,90*24,90)*0,20 = 45,526 [E]</t>
  </si>
  <si>
    <t xml:space="preserve"> "Mezisoučet "49.826000 = 49,826 [F]</t>
  </si>
  <si>
    <t xml:space="preserve"> "P2 až P6 - zpevnění kolem pilířů "(2,90*7,40-1,2*2)*0,20*2*5 = 38,120 [G]</t>
  </si>
  <si>
    <t xml:space="preserve"> "Celkové množství "116.542000 = 116,542 [H]</t>
  </si>
  <si>
    <t>Položka zahrnuje:
- nutné zemní práce (svahování, úpravu pláně a pod.)
- zřízení spojovací vrstvy
- zřízení lože dlažby z cementové malty předepsané kvality a předepsané tloušťky
- dodávku a položení dlažby z lomového kamene do předepsaného tvaru
- spárování, těsnění, tmelení a vyplnění spar MC případně s vyklínováním
- úprava povrchu pro odvedení srážkové vody
Položka nezahrnuje:
- podklad pod dlažbu, vykazuje se samostatně položkami SD 45</t>
  </si>
  <si>
    <t>5</t>
  </si>
  <si>
    <t>Komunikace</t>
  </si>
  <si>
    <t>572214</t>
  </si>
  <si>
    <t>SPOJOVACÍ POSTŘIK Z MODIFIK EMULZE DO 0,5KG/M2</t>
  </si>
  <si>
    <t>PS-CP 0,35 kg/m2 po vyštěpení
- vč. úprav napojení, ukončení atd. 
Vše dle PD, TP, VL, TKP, ZTKP atd.
z příl.č. 1, 3, 4, 5
(odměřeno elektronicky v ACADu z příl.č. 3, 4, 5)</t>
  </si>
  <si>
    <t xml:space="preserve"> "z pol.č. 575F53 "1937,10 = 1937,100 [A]</t>
  </si>
  <si>
    <t>Položka zahrnuje:
- dodání všech předepsaných materiálů pro postřiky v předepsaném množství
- provedení dle předepsaného technologického předpisu
- zřízení vrstvy bez rozlišení šířky, pokládání vrstvy po etapách
- úpravu napojení, ukončení
Položka nezahrnuje:
- x</t>
  </si>
  <si>
    <t>57476</t>
  </si>
  <si>
    <t>VOZOVKOVÉ VÝZTUŽNÉ VRSTVY Z GEOMŘÍŽOVINY S TKANINOU</t>
  </si>
  <si>
    <t>tkaná impregnovaná geomříž ze skelných vláken po jedné straně opatřená samolepící adhezní vrstvou
- vč. nutných přesahů
Vše dle PD, TP, VL, TKP, ZTKP atd.
z příl.č. 1,
(odměřeno elektronicky v ACADu z příl.č. )
nutná plocha bez přesahů</t>
  </si>
  <si>
    <t xml:space="preserve"> "na NK - LM a PM "(111,50+0,15*2)*8,25*2 = 1844,700 [A]</t>
  </si>
  <si>
    <t>Položka zahrnuje:
- dodání geomříže v požadované kvalitě a v množství včetně přesahů (přesahy započteny v jednotkové ceně)
- očištění podkladu
- pokládka geomříže dle předepsaného technologického předpisu
Položka nezahrnuje:
- x</t>
  </si>
  <si>
    <t>574J54</t>
  </si>
  <si>
    <t>ASFALTOVÝ KOBEREC MASTIXOVÝ MODIFIK SMA 11S TL. 40MM</t>
  </si>
  <si>
    <t>SMA 11 S
- vč. úprav napojení, ukončení podél obrubníků, říms, dilatačních zařízení, odvodňovačů atd.
Vše dle PD, TP, VL, TKP, ZTKP atd.
z příl.č. 1, 3, 4, 5
(odměřeno elektronicky v ACADu z příl.č. 3, 4, 5)</t>
  </si>
  <si>
    <t xml:space="preserve"> "na NK LM a PM "(111,50+0,15)*(8,25+8,25) = 1842,225 [A]</t>
  </si>
  <si>
    <t>Položka zahrnuje:
- dodání směsi v požadované kvalitě
- očištění podkladu
- uložení směsi dle předepsaného technologického předpisu, zhutnění vrstvy v předepsané tloušťce
- zřízení vrstvy bez rozlišení šířky, pokládání vrstvy po etapách, včetně pracovních spar a spojů
- úpravu napojení, ukončení podél obrubníků, dilatačních zařízení, odvodňovacích proužků, odvodňovačů, vpustí, šachet a pod.
Položka nezahrnuje:
- postřiky, nátěry
- těsnění podél obrubníků, dilatačních zařízení, odvodňovacích proužků, odvodňovačů, vpustí, šachet a pod.</t>
  </si>
  <si>
    <t>575F53</t>
  </si>
  <si>
    <t>LITÝ ASFALT MA IV (OCHRANA MOSTNÍ IZOLACE) 11 TL. 40MM MODIFIK</t>
  </si>
  <si>
    <t>MA 11 IV
- vč. úprav napojení, ukončení podél obrubníků, říms, dilatačních zařízení, odvodňovačů atd.
- vč. předem připravených klínů na přechodové desce
Vše dle PD, TP, VL, TKP, ZTKP atd.
z příl.č. 1, 3, 4, 5
(odměřeno elektronicky v ACADu z příl.č. 3, 4, 5)</t>
  </si>
  <si>
    <t xml:space="preserve"> "na NK vč.. přetažení na přechod. desky - LM a PM "(111,50+0,15*2+1,80*2+1,0*2)*8,25*2 = 1937,100 [A]</t>
  </si>
  <si>
    <t xml:space="preserve"> "Mezisoučet "1937.100000 = 1937,100 [B]</t>
  </si>
  <si>
    <t xml:space="preserve"> "odpočet plastbetonu - žebro podél římsy š. 0,15m - LM a PM "111,20*0,15*2*(-1) = -33,360 [C]</t>
  </si>
  <si>
    <t xml:space="preserve"> "žebro podél MZ š. 0,10m - LM a PM "8,25*0,10*2*(-1) = -1,650 [D]</t>
  </si>
  <si>
    <t xml:space="preserve"> "Mezisoučet "-35.010000 = -35,010 [E]</t>
  </si>
  <si>
    <t xml:space="preserve"> "Celkové množství "1902.090000 = 1902,090 [F]</t>
  </si>
  <si>
    <t>576411</t>
  </si>
  <si>
    <t>POSYP KAMENIVEM OBALOVANÝM 2KG/M2</t>
  </si>
  <si>
    <t>předobaleném kamenivo frakce 2/4 - množství 1,5 kg/m2 na SMA
Vše dle PD, TP, VL, TKP, ZTKP atd.
z příl.č. 1, 3, 4, 5
(odměřeno elektronicky v ACADu z příl.č. 3, 4, 5)</t>
  </si>
  <si>
    <t xml:space="preserve"> "z pol.č. 574J54 "1842,225 = 1842,225 [A]</t>
  </si>
  <si>
    <t>Položka zahrnuje:
- dodání obalovaného kameniva předepsané kvality a zrnitosti
- posyp předepsaným množstvím
Položka nezahrnuje:
- x</t>
  </si>
  <si>
    <t>6</t>
  </si>
  <si>
    <t>Úpravy povrchů, podlahy, výplně otvorů</t>
  </si>
  <si>
    <t>62592</t>
  </si>
  <si>
    <t>ÚPRAVA POVRCHU BETONOVÝCH PLOCH A KONSTRUKCÍ - STRIÁŽ</t>
  </si>
  <si>
    <t>- kompletní provedení
Vše dle PD, TP, VL, TKP, ZTKP atd.
z příl.č. 1, 3, 4, 5, 23
(odměřeno elektronicky v ACADu z příl.č. 23)</t>
  </si>
  <si>
    <t xml:space="preserve"> "vnější římsy LM a PM "121,90*1,45*2 = 353,510 [A]</t>
  </si>
  <si>
    <t>Položka zahrnuje:
- provedení předepsané úpravy
Položka nezahrnuje:
- x</t>
  </si>
  <si>
    <t>7</t>
  </si>
  <si>
    <t>Přidružená stavební výroba</t>
  </si>
  <si>
    <t>711112</t>
  </si>
  <si>
    <t>IZOLACE BĚŽNÝCH KONSTRUKCÍ PROTI ZEMNÍ VLHKOSTI ASFALTOVÝMI PÁSY</t>
  </si>
  <si>
    <t>- vč. ošetření a očištění podkladu, přípravy a odstranění ochranného nátěru, odvodnění izolace, provedení zkoušek atd.
Vše dle PD, TP, VL, TKP, ZTKP atd.
z příl.č. 1, 3, 4, 11, 13, 21, 22
(odměřeno elektronicky v ACADu z příl.č. 22)</t>
  </si>
  <si>
    <t xml:space="preserve"> "na křídlech - horní povrch a rub po drenáž "(4,55*0,60+7,4)*2 = 20,260 [B]</t>
  </si>
  <si>
    <t xml:space="preserve"> "Mezisoučet "89.290000 = 89,290 [E]</t>
  </si>
  <si>
    <t xml:space="preserve"> "na křídlech - horní povrch a rub po drenáž "(5,55*0,60+10,9+2,0*0,40)*2 = 30,060 [D]</t>
  </si>
  <si>
    <t xml:space="preserve"> "Mezisoučet "96.920000 = 96,920 [F]</t>
  </si>
  <si>
    <t xml:space="preserve"> "Celkové množství "186.210000 = 186,210 [G]</t>
  </si>
  <si>
    <t>Položka zahrnuje:
- dodání předepsaného izolačního materiálu
- očištění a ošetření podkladu, zadávací dokumentace může zahrnout i případné vyspravení
- zřízení izolace jako kompletního povlaku, případně komplet. soustavy nebo systému podle příslušného  technolog. předpisu
- zřízení izolace i jednotlivých vrstev po etapách, včetně pracovních spár a spojů
- úprava u okrajů, rohů, hran, dilatačních i pracovních spojů, kotev, obrubníků, dilatačních zařízení, odvodnění, otvorů, neizolovaných míst a pod.
- zajištění odvodnění povrchu izolace, včetně odvodnění nejnižších míst, pokud dokumentace pro zadání stavby nestanoví jinak
- ochrana izolace do doby zřízení definitivní ochranné vrstvy nebo konstrukce
- úprava, očištění a ošetření prostoru kolem izolace
- provedení požadovaných zkoušek
Položka nezahrnuje:
- ochranné vrstvy, např. geotextilii</t>
  </si>
  <si>
    <t>711422</t>
  </si>
  <si>
    <t>IZOLACE MOSTOVEK POD VOZOVKOU ASFALTOVÝMI PÁSY</t>
  </si>
  <si>
    <t>MODIFIKOVANÝ IZOLAČNÍ PÁS S VÝZTUŽÍ s průtažností min. 30%
- vč. ošetření a očištění podkladu, přípravy a odstranění ochranného nátěru, odvodnění izolace, provedení zkoušek atd.
Vše dle PD, TP, VL, TKP, ZTKP atd.
z příl.č. 1, 3, 4, 11, 13, 21, 22
(odměřeno elektronicky v ACADu z příl.č. 22)
nad přechodovou deskou a NK - pás šířky 0,50 m</t>
  </si>
  <si>
    <t xml:space="preserve"> "na přechod. deskou na OP1 a OP7 - LM a PM "0,50*(8,25+8,25)*2 = 16,500 [A]</t>
  </si>
  <si>
    <t>Položka zahrnuje:
- izolace rámových konstrukcí (mosty, propusty, kolektory)
- dodání předepsaného izolačního materiálu
- očištění a ošetření podkladu, zadávací dokumentace může zahrnout i případné vyspravení
- zřízení izolace jako kompletního povlaku, případně komplet. soustavy nebo systému podle příslušného  technolog. předpisu
- zřízení izolace i jednotlivých vrstev po etapách, včetně pracovních spár a spojů
- úprava u okrajů, rohů, hran, dilatačních i pracovních spojů, kotev, obrubníků, dilatačních zařízení, odvodnění, otvorů, neizolovaných míst a pod.
- zajištění odvodnění povrchu izolace, včetně odvodnění nejnižších míst, pokud dokumentace pro zadání stavby nestanoví jinak
- ochrana izolace do doby zřízení definitivní ochranné vrstvy nebo konstrukce
- úprava, očištění a ošetření prostoru kolem izolace
- provedení požadovaných zkoušek
Položka nezahrnuje:
- ochranné vrstvy, např. litý asfalt, asfaltový beton</t>
  </si>
  <si>
    <t>711442</t>
  </si>
  <si>
    <t>IZOLACE MOSTOVEK CELOPLOŠNÁ ASFALTOVÝMI PÁSY S PEČETÍCÍ VRSTVOU</t>
  </si>
  <si>
    <t>NAIP tl. 5 mm na pečetící vrstvě vč. přesahu na přechodovou desku 
- vč. ošetření a očištění podkladu, přípravy a odstranění ochranného nátěru, odvodnění izolace, provedení zkoušek atd.
Vše dle PD, TP, VL, TKP, ZTKP atd.
z příl.č. 1, 3, 4, 11, 13, 18
(odměřeno elektronicky v ACADu z příl.č. 3, 4, 18)</t>
  </si>
  <si>
    <t xml:space="preserve"> "na NK vč.. přetažení na přechod. desky LM a PM "(111,50+0,15*2+1,80*2)*10,25*2 = 2365,700 [A]</t>
  </si>
  <si>
    <t>711502</t>
  </si>
  <si>
    <t>OCHRANA IZOLACE NA POVRCHU ASFALTOVÝMI PÁSY</t>
  </si>
  <si>
    <t>OCHRANA IZOLACE POD ŘÍMSAMI - asf. pás s hliníkovou vložkou vč. přesahu 150 mm 
Vše dle PD, TP, VL, TKP, ZTKP atd.
z příl.č. 1, 3, 4, 11, 13, 23
(odměřeno elektronicky v ACADu z příl.č. 23)</t>
  </si>
  <si>
    <t xml:space="preserve"> "pod vnější římsou "121,90*(1,45+0,15)*2 = 390,080 [A]</t>
  </si>
  <si>
    <t xml:space="preserve"> "pod římsou v SDP "114,40*(0,55+0,15)*2 = 160,160 [B]</t>
  </si>
  <si>
    <t xml:space="preserve"> "Celkové množství "550.240000 = 550,240 [C]</t>
  </si>
  <si>
    <t>Položka zahrnuje:
- dodání předepsaného ochranného materiálu
- zřízení ochrany izolace
Položka nezahrnuje:
- x</t>
  </si>
  <si>
    <t>741I03</t>
  </si>
  <si>
    <t>ODDĚLOVACÍ JISKŘIŠTĚ UZAVŘENÉ V PLASTOVÉM POUZDRU</t>
  </si>
  <si>
    <t>VZDUCHOVÁ JISKŘIŠTĚ
- kompletní provedení
Vše dle PD, TP, VL, TKP, ZTKP atd.
z příl.č. 1, 3, 4, 5, 11, 12, 13
(odměřeno elektronicky v ACADu z příl.č. 11, 12, 13)</t>
  </si>
  <si>
    <t xml:space="preserve"> "OP1 a OP7 "2*2 = 4,000 [A]</t>
  </si>
  <si>
    <t xml:space="preserve"> "P2 až P6 "2*5 = 10,000 [B]</t>
  </si>
  <si>
    <t xml:space="preserve"> "Celkové množství "14.000000 = 14,000 [C]</t>
  </si>
  <si>
    <t>1. Položka obsahuje:
 – upevnění vč. veškerého příslušenství
2. Položka neobsahuje:
 X
3. Způsob měření:
Udává se počet kusů kompletní konstrukce nebo práce.</t>
  </si>
  <si>
    <t>7679-R01</t>
  </si>
  <si>
    <t>Plotový nástavec na svodidla</t>
  </si>
  <si>
    <t>plotový nástavec na svodidla do výšky 1,60 m
- vč. dodání a osazení předepsaných sloupků, pletiva, kotevních desek a spojovacího materiálu  včetně PKO
- zřízení a výplň kotevních otvorů
- předepsané podlití kotevních desek
- vč. rámů, roštů, lišt, kování, podpěrných, závěsných, upevňovacích prvků, spojovacího a těsnícího materiálu, 
- vč. kompletní povrchové úpravy
Vše dle PD, TP, VL, TKP, ZTKP atd.
z příl.č. 1, 3, 4, 5
(odměřeno elektronicky v ACADu z příl.č. 3, 5)</t>
  </si>
  <si>
    <t xml:space="preserve"> "na římse v SDP LM a PM "114,40*2 = 228,800 [A]</t>
  </si>
  <si>
    <t>78382</t>
  </si>
  <si>
    <t>NÁTĚRY BETON KONSTR TYP S2 (OS-B)</t>
  </si>
  <si>
    <t>ochranný nátěr svislých ploch čel NK nebo kraje konzol a jejich podhledu až za okapničku
- vč. úpravy podkladu, provedení nátěru dle technologických předpisů
Vše dle PD, TP, VL, TKP, ZTKP atd.
z příl.č. 1, 3, 4, 5, 11, 13, 18, 23
(odměřeno elektronicky v ACADu z příl.č. 18, 23)</t>
  </si>
  <si>
    <t xml:space="preserve"> "mezi NK a římsou za okaplničku po koncové přičníky "109,0*(0,25+0,28)*2*2 = 231,080 [A]</t>
  </si>
  <si>
    <t xml:space="preserve"> "koncové příčníky - mezi římsou a NK, čela, podhled nad opěrou "(1,25*0,40*2+9,2+10,95*0,28)*2*2 = 53,064 [B]</t>
  </si>
  <si>
    <t xml:space="preserve"> "mezi vnějšími křídly a římsou "(4,55+5,55)*(0,32+0,25)*2 = 11,514 [C]</t>
  </si>
  <si>
    <t xml:space="preserve"> "mezi ZZ a římsou "(1,20+0,45)*(0,37+0,25)*2*2 = 4,092 [D]</t>
  </si>
  <si>
    <t xml:space="preserve"> "Celkové množství "299.750000 = 299,750 [E]</t>
  </si>
  <si>
    <t>Položka zahrnuje:
- kompletní povlaky (i různobarevné)
- úprava podkladu (odmaštění, odstranění starých nátěrů a nečistot) a jeho vyspravení
- provedení nátěru předepsaným postupem a splnění všech požadavků daných technologickým předpisem
Položka nezahrnuje:
- x</t>
  </si>
  <si>
    <t>78383</t>
  </si>
  <si>
    <t>NÁTĚRY BETON KONSTR TYP S4 (OS-C)</t>
  </si>
  <si>
    <t>ochranný nátěr proti CHRL
- vč. úpravy podkladu, provedení nátěru dle technologických předpisů 
Vše dle PD, TP, VL, TKP, ZTKP atd.
z příl.č. 1, 3, 4, 5, 23
(odměřeno elektronicky v ACADu z příl.č. 23)</t>
  </si>
  <si>
    <t xml:space="preserve"> "vnější římsy LM a PM "121,90*(0,15+0,15)*2 = 73,140 [A]</t>
  </si>
  <si>
    <t xml:space="preserve"> "středové římsy LM a PM "114,40*(0,15+0,15)*2 = 68,640 [B]</t>
  </si>
  <si>
    <t xml:space="preserve"> "Celkové množství "141.780000 = 141,780 [C]</t>
  </si>
  <si>
    <t>8</t>
  </si>
  <si>
    <t>Potrubí</t>
  </si>
  <si>
    <t>87434</t>
  </si>
  <si>
    <t>POTRUBÍ Z TRUB PLASTOVÝCH ODPADNÍCH DN DO 200MM</t>
  </si>
  <si>
    <t>VYÚSTĚNÍ rubové drenáže
- vč. předepsané příruby
Vše dle PD, TP, VL, TKP, ZTKP atd.
z příl.č. 1, 3, 4, 5, 11, 13
(odměřeno elektronicky v ACADu z příl.č. 11, 13)</t>
  </si>
  <si>
    <t xml:space="preserve"> "na OP1 "7,0+5,5 = 12,500 [A]</t>
  </si>
  <si>
    <t xml:space="preserve"> "na OP7 "7,0+7,5 = 14,500 [B]</t>
  </si>
  <si>
    <t xml:space="preserve"> "Celkové množství "27.000000 = 27,000 [C]</t>
  </si>
  <si>
    <t>Položka zahrnuje:
- výrobní dokumentaci (včetně technologického předpisu)
- dodání veškerého trubního a pomocného materiálu (trouby, trubky, tvarovky, spojovací a těsnící materiál a pod.), podpěrných, závěsných a upevňovacích prvků, včetně potřebných úprav
- úprava a příprava podkladu a podpěr, očištění a ošetření podkladu a podpěr
- zřízení plně funkčního potrubí, kompletní soustavy, podle příslušného technologického předpisu (bez ohledu na sklon)
- zřízení potrubí i jednotlivých částí po etapách, včetně pracovních spar a spojů, pracovního zaslepení konců a pod.
- úprava prostupů, průchodů  šachtami a komorami, okolí podpěr a vyústění, zaústění, napojení, vyvedení a upevnění odpad. výustí
- ochrana potrubí nátěrem (vč. úpravy povrchu), případně izolací, nejsou-li tyto práce předmětem jiné položky
- úprava, očištění a ošetření prostoru kolem potrubí
- položky platí pro práce prováděné v prostoru zapaženém i nezapaženém a i v kolektorech, chráničkách
- položky zahrnují i práce spojené s nutnými obtoky, převáděním a čerpáním vody
Položka nezahrnuje:
- tlakové zkoušky ani proplach a dezinfekci</t>
  </si>
  <si>
    <t>875332</t>
  </si>
  <si>
    <t>POTRUBÍ DREN Z TRUB PLAST DN DO 150MM DĚROVANÝCH</t>
  </si>
  <si>
    <t>DRENÁŽNÍ POTRUBÍ DN 150 na rubu opěr
- vč. odboček do vyústění (T- kusů) 
Vše dle PD, TP, VL, TKP, ZTKP atd.
z příl.č. 1, 3, 4, 5, 11, 13
(odměřeno elektronicky v ACADu z příl.č. 11, 13)</t>
  </si>
  <si>
    <t xml:space="preserve"> "na OP1 "22,90 = 22,900 [A]</t>
  </si>
  <si>
    <t xml:space="preserve"> "na OP7 "22,90+1,90*2 = 26,700 [B]</t>
  </si>
  <si>
    <t xml:space="preserve"> "Celkové množství "49.600000 = 49,600 [C]</t>
  </si>
  <si>
    <t>Položka zahrnuje:
- výrobní dokumentaci (včetně technologického předpisu)
- dodání veškerého trubního a pomocného materiálu (trouby, trubky, tvarovky, spojovací a těsnící materiál a pod.), podpěrných, závěsných a upevňovacích prvků, včetně potřebných úprav
- úprava a příprava podkladu a podpěr, očištění a ošetření podkladu a podpěr
- zřízení plně funkčního potrubí, kompletní soustavy, podle příslušného technologického předpisu (bez ohledu na sklon)
- zřízení potrubí i jednotlivých částí po etapách, včetně pracovních spar a spojů, pracovního zaslepení konců a pod.
- úprava prostupů, průchodů  šachtami a komorami, okolí podpěr a vyústění, zaústění, napojení, vyvedení a upevnění odpad. výustí
- ochrana potrubí nátěrem (vč. úpravy povrchu), případně izolací, nejsou-li tyto práce předmětem jiné položky
- úprava, očištění a ošetření prostoru kolem potrubí
- položky platí pro práce prováděné v prostoru zapaženém i nezapaženém a i v kolektorech, chráničkách
- položky zahrnují i práce spojené s nutnými obtoky, převáděním a čerpáním vody
Položka nezahrnuje:
- x</t>
  </si>
  <si>
    <t>87615</t>
  </si>
  <si>
    <t>CHRÁNIČKY Z TRUB PLAST DN DO 50MM</t>
  </si>
  <si>
    <t>chráničky 50/41
Vše dle PD, TP, VL, TKP, ZTKP atd.
z příl.č. 1, 3, 4, 5, 23
(odměřeno elektronicky v ACADu z příl.č. 3, 5, 23)</t>
  </si>
  <si>
    <t xml:space="preserve"> "pro vedení VO - vněší římsa LM a PM "(121,90+2,5*2+1,0*2)*(1+1) = 257,800 [A]</t>
  </si>
  <si>
    <t>Položka zahrnuje:
- výrobní dokumentaci (včetně technologického předpisu)
- dodání veškerého trubního a pomocného materiálu (trouby, trubky, tvarovky, spojovací a těsnící materiál a pod.), podpěrných, závěsných a upevňovacích prvků, včetně potřebných úprav
- úprava a příprava podkladu a podpěr, očištění a ošetření podkladu a podpěr
- zřízení plně funkčního potrubí, kompletní soustavy, podle příslušného technologického předpisu (bez ohledu na sklon)
- zřízení potrubí i jednotlivých částí po etapách, včetně pracovních spar a spojů, pracovního zaslepení konců a pod.
- úprava prostupů, průchodů  šachtami a komorami, okolí podpěr a vyústění, zaústění, napojení, vyvedení a upevnění odpad. výustí
- ochrana potrubí nátěrem (vč. úpravy povrchu), případně izolací, nejsou-li tyto práce předmětem jiné položky
- úprava, očištění a ošetření prostoru kolem potrubí
- včetně případně předepsaného utěsnění konců chrániček
- položky platí pro práce prováděné v prostoru zapaženém i nezapaženém a i v kolektorech, chráničkách
Položka nezahrnuje:
- x</t>
  </si>
  <si>
    <t>87626</t>
  </si>
  <si>
    <t>CHRÁNIČKY Z TRUB PLAST DN DO 80MM</t>
  </si>
  <si>
    <t>rezervní chráničky 75/61
- vč. protahovacího drátu na celou délku a oboustranného zavíčkováni 
Vše dle PD, TP, VL, TKP, ZTKP atd.
z příl.č. 1, 3, 4, 5, 23
(odměřeno elektronicky v ACADu z příl.č. 3, 5, 23)</t>
  </si>
  <si>
    <t>87627</t>
  </si>
  <si>
    <t>a</t>
  </si>
  <si>
    <t>CHRÁNIČKY Z TRUB PLASTOVÝCH DN DO 100MM</t>
  </si>
  <si>
    <t>chráničky 110/94
Vše dle PD, TP, VL, TKP, ZTKP atd.
z příl.č. 1, 3, 4, 5, 23
(odměřeno elektronicky v ACADu z příl.č. 3, 5, 23)</t>
  </si>
  <si>
    <t xml:space="preserve"> "středová římsa "(114,40+3,0*2+1,0*2)*(2+2) = 489,600 [A]</t>
  </si>
  <si>
    <t>b</t>
  </si>
  <si>
    <t>rezervní chráničky 110/94
- vč. protahovacího drátu na celou délku a oboustranného zavíčkováni 
Vše dle PD, TP, VL, TKP, ZTKP atd.
z příl.č. 1, 3, 4, 5, 23
(odměřeno elektronicky v ACADu z příl.č. 3, 5, 23)</t>
  </si>
  <si>
    <t xml:space="preserve"> "středová římsa "(114,40+3,0*2+1,0*2)*(1+1) = 244,800 [A]</t>
  </si>
  <si>
    <t>87914</t>
  </si>
  <si>
    <t>POTRUBÍ ODPADNÍ MOSTNÍCH OBJEKTŮ Z PLAST TRUB  DN DO 200 MM</t>
  </si>
  <si>
    <t>potrubí z plastového materiálu odolného proti UV záření
 - vč. kotevního, spojovacího materiálu a  upevnění (závěsů) z nerez oceli s maskovaím nátěrem
- vč. kompenzátorů atd.
- vč. požadovaných zkoušek
Vše dle PD, TP, VL, TKP, ZTKP atd.
z příl.č. 1, 3, 4, 5, 26
(odměřeno elektronicky v ACADu z příl.č. 26)</t>
  </si>
  <si>
    <t xml:space="preserve"> "LM a PM podélný a svislý svod "(107,0+2,0)*2 = 218,000 [A]</t>
  </si>
  <si>
    <t>Položka zahrnuje:
- výrobní dokumentaci (včetně technologického předpisu)
- dodání veškerého instalačního a pomocného materiálu (trouby, trubky, armatury, tvarové kusy, spojovací a těsnící materiál a pod.), podpěrných, závěsných, upevňovacích prvků, včetně potřebných úprav
- zednické výpomoci, jako je vysekávání kapes a rýh, jejich vyplnění a začištění
- úprava podkladu a osazení podpěr, osazení a očištění podkladu a podpěr
- zřízení plně funkční instalace, kompletní soustavy, podle příslušného technologického předpisu
- zřízení instalace i jednotlivých částí po etapách, včetně pracovních spar a spojů
- úprava a příprava prostupů, okolí podpěr, zaústění a napojení a upevnění odpadních výustek
- ochrana potrubí nátěrem, včetně úpravy povrchu, případně izolací
- úprava, očištění a ošetření prostoru kolem instalace
- provedení požadovaných zkoušek vodotěsnosti
Položka nezahrnuje:
- x</t>
  </si>
  <si>
    <t>89536</t>
  </si>
  <si>
    <t>DRENÁŽNÍ VÝUSŤ Z PROST BETONU</t>
  </si>
  <si>
    <t>VÝUSTNÍ OBJEKT rubové drenáže
- kompletní provedení a dodání všech materiálů 
Vše dle PD, TP, VL, TKP, ZTKP atd.
z příl.č. 1, 3, 4, 5, 11, 13
(odměřeno elektronicky v ACADu z příl.č. 11, 13)</t>
  </si>
  <si>
    <t xml:space="preserve"> "na OP1 a OP7 "2+2 = 4,000 [A]</t>
  </si>
  <si>
    <t>Položka zahrnuje:
- dodání čerstvého betonu (betonové směsi) požadované kvality, jeho uložení do požadovaného tvaru, ošetření a ochranu betonu,
- bednění požadovaných konstr. (i ztracené) s úpravou dle požadované kvality povrchu betonu, včetně odbedňovacích a odskružovacích prostředků,
- zřízení všech požadovaných otvorů, kapes, výklenků, prostupů, dutin, drážek a pod., vč. ztížení práce a úprav kolem nich,
- úpravy povrchu pro položení požadované izolace, povlaků a nátěrů, případně vyspravení,
- nátěry zabraňující soudržnost betonu a bednění,
- opatření povrchů betonu izolací proti zemní vlhkosti v částech, kde přijdou do styku se zeminou nebo kamenivem
Položka nezahrnuje:
- x</t>
  </si>
  <si>
    <t>9</t>
  </si>
  <si>
    <t>Ostatní konstrukce a práce</t>
  </si>
  <si>
    <t>9112B1</t>
  </si>
  <si>
    <t>ZÁBRADLÍ MOSTNÍ SE SVISLOU VÝPLNÍ - DODÁVKA A MONTÁŽ</t>
  </si>
  <si>
    <t>výšky 1,10 m v elektroizolační úpravě
- vč. patní desky a kotevních šroubů, vrtů, zálivky, předepsané PKO, spojovacího materiálu atd.
Vše dle PD, TP, VL, TKP, ZTKP atd.
z příl.č. 1, 3, 4, 5
(odměřeno elektronicky v ACADu z příl.č. 3, 5)</t>
  </si>
  <si>
    <t xml:space="preserve"> "na vnější římse LM a PM "121,90*2 = 243,800 [A]</t>
  </si>
  <si>
    <t xml:space="preserve"> "na středové římse na ZZ "2,5*2 = 5,000 [B]</t>
  </si>
  <si>
    <t xml:space="preserve"> "Celkové množství "248.800000 = 248,800 [C]</t>
  </si>
  <si>
    <t>Položka zahrnuje:
- kompletní dodávku všech dílů zábradlí včetně předepsané povrchové úpravy
- montáž a osazení zábradlí včetně kotvení dle zadávací dokumentace, t.j. kotevní desky, případné nivelační hmoty pod kotevní desky, kotvy a spojovací materiál, vrty a zálivku
Položka nezahrnuje:
- x</t>
  </si>
  <si>
    <t>9115D1</t>
  </si>
  <si>
    <t>SVODIDLO OCEL MOSTNÍ JEDNOSTR, ÚROVEŇ ZADRŽ H3 - DODÁVKA A MONTÁŽ</t>
  </si>
  <si>
    <t>MS vč. přechodu na jiný typ svodidel
- vč. patní desky a kotevních šroubů, vrtů, zálivky, předepsané PKO, spojovacího materiálu atd.
Vše dle PD, TP, VL, TKP, ZTKP atd.
z příl.č. 1, 3, 4, 5
(odměřeno elektronicky v ACADu z příl.č. 3, 5)</t>
  </si>
  <si>
    <t>Položka zahrnuje: 
- kompletní dodávku všech dílů certifikovaného ocelového svodidla s předepsanou povrchovou úpravou včetně spojovacích a dilatačních prvků 
- montáž a osazení svodidla, včetně kotvení dle zadávací dokumentace, t.j. kotevní desky, případné nivelační hmoty pod kotevní desky, kotvy a spojovací materiál, vrty a zálivku
- přechod na jiný typ svodidla nebo přes mostní závěr 
- ochranu proti bludným proudům a vývody pro jejich měření 
Položka nezahrnuje:
- odrazky nebo retroreflexní fólie
Způsob měření:
- vykazuje se délka svodidla v předepsané výšce, délka náběhů se nezapočítává</t>
  </si>
  <si>
    <t>9117D1</t>
  </si>
  <si>
    <t>SVOD OCEL ZÁBRADEL ÚROVEŇ ZADRŽ H3 - DODÁVKA A MONTÁŽ</t>
  </si>
  <si>
    <t>ZS se výplní se sítí vč. koncových dílů a přechodu na jiný typ svodidel
- vč. patní desky a kotevních šroubů, vrtů, zálivky, předepsané PKO, spojovacího materiálu atd. 
Vše dle PD, TP, VL, TKP, ZTKP atd.
z příl.č. 1, 3, 4, 5
(odměřeno elektronicky v ACADu z příl.č. 3, 5)</t>
  </si>
  <si>
    <t>Položka zahrnuje:
- kompletní dodávku všech dílů certifikovaného ocelového svodidla s předepsanou povrchovou úpravou včetně spojovacích a dilatačních prvků
- montáž a osazení svodidla, včetně kotvení dle zadávací dokumentace, t.j. kotevní desky, případné nivelační hmoty pod kotevní desky, kotvy a spojovací materiál, vrty a zálivku
- přechod na jiný typ svodidla nebo přes mostní závěr  
- ochranu proti bludným proudům a vývody pro jejich měření
Položka nezahrnuje:
- odrazky nebo retroreflexní fólie
Způsob měření:
- vykazuje se délka svodidla v předepsané výšce, délka náběhů se nezapočítává</t>
  </si>
  <si>
    <t>91345</t>
  </si>
  <si>
    <t>NIVELAČNÍ ZNAČKY KOVOVÉ</t>
  </si>
  <si>
    <t>NIVELAČNÍ A MĚŘIČSKÉ ZNAČKY na konstukcích
 - vč. přepsané povrch. úpravy, dodatečného vrtu, osazení vlepením do otvoru, lepidla
Vše dle PD, TP, VL, TKP, ZTKP atd.
z příl.č. 1, 11, 12, 13, 23</t>
  </si>
  <si>
    <t xml:space="preserve"> "ČEPOVÁ značka na spodní stavbě - OP1 a OP7, P2 až P6 "4*2+4*5 = 28,000 [A]</t>
  </si>
  <si>
    <t xml:space="preserve"> "HŘEBOVÁ značka na římsách "13*4 = 52,000 [B]</t>
  </si>
  <si>
    <t xml:space="preserve"> "MĚŘIČSKÁ značka na spodní stavbě - OP1 a OP7, P2 až P6 "2*2+4*5 = 24,000 [C]</t>
  </si>
  <si>
    <t xml:space="preserve"> "Celkové množství "104.000000 = 104,000 [D]</t>
  </si>
  <si>
    <t>Položka zahrnuje:
- dodání a osazení nivelační značky včetně nutných zemních prací
- vnitrostaveništní a mimostaveništní dopravu
Položka nezahrnuje:
- x</t>
  </si>
  <si>
    <t>917223</t>
  </si>
  <si>
    <t>SILNIČNÍ A CHODNÍKOVÉ OBRUBY Z BETONOVÝCH OBRUBNÍKŮ ŠÍŘ 100MM</t>
  </si>
  <si>
    <t>obrubník 100/250 z betonu třídy min. C30/37
- vč. beton. lože i s boční beton. opěrkou z betonu C20/25n 
- spárování cem. maltou pro stupeň vlivu prostředí XF4
Vše dle PD, TP, VL, TKP, ZTKP atd.
z příl.č. 1, 3, 4, 11, 12, 13
(odměřeno elektronicky v ACADu z příl.č. 3, 4, 11, 12, 13)</t>
  </si>
  <si>
    <t xml:space="preserve"> "OP1 - za křídly a v SDP "5,70*2+3,50 = 14,900 [A]</t>
  </si>
  <si>
    <t xml:space="preserve"> "podél křídel, pod mostem "(6,7+6,0+4,7*2)*2 = 44,200 [B]</t>
  </si>
  <si>
    <t xml:space="preserve"> "Mezisoučet "59.100000 = 59,100 [C]</t>
  </si>
  <si>
    <t xml:space="preserve"> "OP7 - za křídly a v SDP "5,70*2+3,50 = 14,900 [D]</t>
  </si>
  <si>
    <t xml:space="preserve"> "podél křídel, pod mostem "(7,10+7,10+8,9*2)*2 = 64,000 [E]</t>
  </si>
  <si>
    <t xml:space="preserve"> "Mezisoučet "78.900000 = 78,900 [F]</t>
  </si>
  <si>
    <t xml:space="preserve"> "P2 až P6 "(3,10+7,60)*2*2*5 = 214,000 [G]</t>
  </si>
  <si>
    <t xml:space="preserve"> "Celkové množství "352.000000 = 352,000 [H]</t>
  </si>
  <si>
    <t>Položka zahrnuje:
- dodání a pokládku betonových obrubníků o rozměrech předepsaných zadávací dokumentací
- betonové lože i boční betonovou opěrku
Položka nezahrnuje:
- x</t>
  </si>
  <si>
    <t>917224</t>
  </si>
  <si>
    <t>SILNIČNÍ A CHODNÍKOVÉ OBRUBY Z BETONOVÝCH OBRUBNÍKŮ ŠÍŘ 150MM</t>
  </si>
  <si>
    <t>obrubník 150/250 v provedení do prostředí XF4 z betonu třídy C35/45
- vč. beton. lože i s boční beton. opěrkou z betonu C20/25n 
- spárování cem. maltou pro stupeň vlivu prostředí XF4
Vše dle PD, TP, VL, TKP, ZTKP atd.
z příl.č. 1, 3, 4, 11, 12, 13
(odměřeno elektronicky v ACADu z příl.č. 3, 4, 11, 12, 13)</t>
  </si>
  <si>
    <t xml:space="preserve"> "podél komunikace a zpevnění na konci říms u OP1 a OP7 "(2,50+3,0*2+2,50)*2 = 22,000 [A]</t>
  </si>
  <si>
    <t>931326</t>
  </si>
  <si>
    <t>TĚSNĚNÍ DILATAČ SPAR ASF ZÁLIVKOU MODIFIK PRŮŘ DO 800MM2</t>
  </si>
  <si>
    <t>těsnící zálivka
-  vč. úpravy spar a přípravy povrchu 
Vše dle PD, TP, VL, TKP, ZTKP atd.
z příl.č. 1, 3, 4, 5, 23
(odměřeno elektronicky v ACADu z příl.č. 3, 5, 23)</t>
  </si>
  <si>
    <t xml:space="preserve"> "podél říms v obrusné vrstvě "(121,90+114,40)*2 = 472,600 [A]</t>
  </si>
  <si>
    <t xml:space="preserve"> "podél římsy v SDP v MA "111,62*2 = 223,240 [D]</t>
  </si>
  <si>
    <t xml:space="preserve"> "podél zpevnění na konci říms "(2,5+3,0)*2*2 = 22,000 [B]</t>
  </si>
  <si>
    <t xml:space="preserve"> "podél odvodňovačů - počet z pol.č. 936533 "(0,50+0,50+0,50)*12 = 18,000 [C]</t>
  </si>
  <si>
    <t xml:space="preserve"> "Celkové množství "735.840000 = 735,840 [E]</t>
  </si>
  <si>
    <t>Položka zahrnuje:
- dodávku a osazení předepsaného materiálu
- očištění ploch spáry před úpravou
- očištění okolí spáry po úpravě
Položka nezahrnuje:
- těsnící profil</t>
  </si>
  <si>
    <t>93135</t>
  </si>
  <si>
    <t>TĚSNĚNÍ DILATAČ SPAR PRYŽ PÁSKOU NEBO KRUH PROFILEM</t>
  </si>
  <si>
    <t>PŘEDTĚSNĚNÍ
- kompletné provedení
Vše dle PD, TP, VL, TKP, ZTKP atd.
z příl.č. 1, 3, 4, 5, 23
(odměřeno elektronicky v ACADu z příl.č. 3, 5, 23)</t>
  </si>
  <si>
    <t xml:space="preserve"> "podél říms v obrusné vrstvě na NK "111,62*2*2 = 446,480 [A]</t>
  </si>
  <si>
    <t>Položka zahrnuje:
- dodávku a osazení předepsaného materiálu
- očištění ploch spáry před úpravou
- očištění okolí spáry po úpravě
Položka nezahrnuje:
- x</t>
  </si>
  <si>
    <t>93152</t>
  </si>
  <si>
    <t>MOSTNÍ ZÁVĚRY POVRCHOVÉ POSUN DO 100MM</t>
  </si>
  <si>
    <t>mostní závěr typ 4 dle TP86 se sníženou hlučností
- vč. přesahu na vnějších svislých plochách říms až po dolní hranu
- vč. předepsaného nastavení MZ
- vč. těsnění podél MZ
Vše dle PD, TP, VL, TKP, ZTKP atd.
z příl.č. 1, 3, 4, 5
(odměřeno elektronicky v ACADu z příl.č. 3)
vykázána pouze půdorysná délka</t>
  </si>
  <si>
    <t xml:space="preserve"> "na Op1 a OP7 "(10,85+10,85)*2 = 43,400 [A]</t>
  </si>
  <si>
    <t>Položka zahrnuje:
- výrobní dokumentace (vč. technologického předpisu)
- dodání kompletního dil. zařízení vč. všech přepravních a montážních úprav a zařízení
- řezání a sváření na staveništi a eventuelní nutnou opravu nátěrů po těchto úkonech
- bednění a dodatečné zabetonování dilatačního zařízení
- pro kovové součásti je nutné užít ustanovení pro TMCH.94
- dodání spojovacího, kotevního a těsnícího materiálu
- úprava a příprava prostoru, včetně kotevních prvků, jejich ošetření a očištění
- zřízení kompletního mostního závěru podle příslušného technolog. předpisu, včetně předepsaného nastavení
- zřízení mostního závěru po etapách, včetně pracovních spar a spojů
- úprava most. závěru ve styku s ostatními konstrukcemi a zařízeními (u obrubníků a podél vozovek, na chodnících, na římsách, napojení izolací a pod.)
- ochrana mostního závěru proti bludným proudům a vývody pro jejich měření
- ochrana mostního závěru do doby provedení definitivního stavu, veškeré provizorní úpravy a opatření
- konečné úpravy most. závěru jako povrchové  povlaky, zálivky, které nejsou součástí jiných konstrukcí, vyčištění, osaz. krytek šroubů, tmelení, těsnění, výplň spar a pod.
- úprava, očištění a ošetření prostoru kolem mostního závěru
- opatření mostního závěru znakem výrobce a typovým číslem
- provedení odborné prohlídky, je-li požadována
Položka nezahrnuje:
- vlastní beton a výztuž, zařazuje se do příslušné betonové konstrukce.
Způsob měření:
- měří se půdorysná délka v ose závěru.</t>
  </si>
  <si>
    <t>93261</t>
  </si>
  <si>
    <t>POCHOZÍ ROŠT Z KOMPOZITU - PŘEKRYTÍ ZRCADLA MOSTU</t>
  </si>
  <si>
    <t>plná deska
- vč. dodání a uložení atd.
Vše dle PD, TP, VL, TKP, ZTKP atd.
z příl.č. 1, 3, 4, 5, 11, 13, 23
(odměřeno elektronicky v ACADu z příl.č. 23)</t>
  </si>
  <si>
    <t xml:space="preserve"> "nad zrcadlem u OP1 a OP7 "2,50*2,0*2 = 10,000 [A]</t>
  </si>
  <si>
    <t>Položka zahrnuje:
- dodání a uložení předepsané konstrukce z předepsaného materiálu
- vnitrostaveništní a mimostaveništní doprava
- veškeré potřebné pomocné práce
- veškerý pomocný a upevňovací materiál
Položka nezahrnuje:
- x</t>
  </si>
  <si>
    <t>933331</t>
  </si>
  <si>
    <t>ZKOUŠKA INTEGRITY ULTRAZVUKEM V TRUBKÁCH PILOT SYSTÉMOVÝCH</t>
  </si>
  <si>
    <t>zkouška CHA
- vč. vyhodnocení dle požadavků objednatele 
Vše dle PD, TP, VL, TKP, ZTKP atd.
z příl.č. 1, 10
(odměřeno elektronicky v ACADu z příl.č. 10)</t>
  </si>
  <si>
    <t xml:space="preserve"> "OP1 až P6 "(1+1)*6 = 12,000 [A]</t>
  </si>
  <si>
    <t xml:space="preserve"> "OP7 "2+2 = 4,000 [B]</t>
  </si>
  <si>
    <t xml:space="preserve"> "Celkové množství "16.000000 = 16,000 [C]</t>
  </si>
  <si>
    <t>Položka zahrnuje:
- kompletní dodávku se všemi pomocnými a doplňujícími pracemi a součástmi; 
- veškeré potřebné mechanismy; 
- podklady a dokumentaci zkoušky; 
- případné stavební práce spojené s přípravou a provedením zkoušky; 
- veškerá zkušební a měřící zařízení vč. opotřebení a nájmu; 
- výpomoce při vlastní zkoušce; 
- provedení vlastní zkoušky a její vyhodnocení, včetně všech měření a dalších potřebných činností; 
-  dodávka a montáž měřících trubek
Položka nezahrnuje:
- x</t>
  </si>
  <si>
    <t>933333</t>
  </si>
  <si>
    <t>ZKOUŠKA INTEGRITY ULTRAZVUKEM ODRAZ METOD PIT PILOT SYSTÉMOVÝCH</t>
  </si>
  <si>
    <t>- vč. vyhodnocení dle požadavků objednatele 
Vše dle PD, TP, VL, TKP, ZTKP atd.
z příl.č. 1, 10
(odměřeno elektronicky v ACADu z příl.č. 10)</t>
  </si>
  <si>
    <t xml:space="preserve"> "OP1 až OP7 "(10*2+8*5*2+11*2) = 122,000 [A]</t>
  </si>
  <si>
    <t xml:space="preserve"> "odpočet z pol.č. 933331 "16*(-1) = -16,000 [B]</t>
  </si>
  <si>
    <t xml:space="preserve"> "Celkové množství "106.000000 = 106,000 [C]</t>
  </si>
  <si>
    <t>Položka zahrnuje:
- podklady a dokumentaci zkoušky; 
- případné stavební práce spojené s přípravou a provedením zkoušky; 
- veškerá zkušební a měřící zařízení vč. opotřebení a nájmu; 
- výpomoce při vlastní zkoušce; 
- provedení vlastní zkoušky a její vyhodnocení
Položka nezahrnuje:
- x</t>
  </si>
  <si>
    <t>935212</t>
  </si>
  <si>
    <t>sk</t>
  </si>
  <si>
    <t>PŘÍKOPOVÉ ŽLABY Z BETON TVÁRNIC ŠÍŘ DO 600MM DO BETONU TL 100MM</t>
  </si>
  <si>
    <t>SKLUZ - prefabrikované lichoběžníkové kaskádové skluzy osazené na terén z betonu tř. min. C30/37 do betonového lože C20/25n 
- vč. těsnění spar cementovou maltou pro stupeň vlivu prostředí XF4
- vč.zemních prací, ukončení, spárování, úpravy vtoků a výtoků, základových stupňů (skluzy) 
Vše dle PD, TP, VL, TKP, ZTKP atd.
z příl.č. 1, 3, 4, 5
(odměřeno elektronicky v ACADu z příl.č. 3, 5)</t>
  </si>
  <si>
    <t xml:space="preserve"> "pro svod u OP1 "5,0*2 = 10,000 [A]</t>
  </si>
  <si>
    <t xml:space="preserve"> "od vyústění rubové drenáže u OP1 a OP7 (koef. sklonu 1:1.5 = 1,2) "(4,5+3,5)*1,2+(7,0+6,0)*1,2 = 25,200 [B]</t>
  </si>
  <si>
    <t xml:space="preserve"> "Celkové množství "35.200000 = 35,200 [C]</t>
  </si>
  <si>
    <t>Položka zahrnuje:
- dodávku a uložení příkopových tvárnic předepsaného rozměru a kvality
- dodání a rozprostření lože z předepsaného materiálu v předepsané kvalitěa v předepsané tloušťce
- veškerou manipulaci s materiálem, vnitrostaveništní i mimostaveništní dopravu
- ukončení, patky, spárování
Položka nezahrnuje:
- x
Způsob měření:
- měří se v metrech běžných délky osy žlabu</t>
  </si>
  <si>
    <t>936533</t>
  </si>
  <si>
    <t>MOSTNÍ ODVODŇOVACÍ SOUPRAVA 500/500</t>
  </si>
  <si>
    <t>- vč. uzamykatelné, rektifikovatelné mříže vč. předepsané PKO
- vč. prodloužení odpadní trouby DN 150 pod spodní líc NK se zaústěním do vodorovného svodu nebo přesahu pod okraj NK  min. 0,150 m
Vše dle PD, TP, VL, TKP, ZTKP atd.
z příl.č. 1, 3, 4, 5, 26
(odměřeno elektronicky v ACADu z příl.č. 26)</t>
  </si>
  <si>
    <t xml:space="preserve"> "počet "6*2 = 12,000 [A]</t>
  </si>
  <si>
    <t>Položka zahrnuje:
- výrobní dokumentaci (včetně technologického předpisu)
- dodání kompletní odvodňovací soupravy, včetně všech montážních a přepravních úprav a zařízení
- dodání spojovacího, kotevního a těsnícího materiálu
- úprava a příprava úložného prostoru, včetně kotevních prvků, jejich očištění a ošetření
- zřízení kompletní odvodňovací soupravy, dle příslušného technologického předpisu, včetně všech výškových a směrových úprav
- zřízení odvodňovací soupravy po etapách, včetně pracovních spar a spojů
- prodloužení  odpadní trouby pod spodní líc nosné konstr. nebo zaústěním odvodňovače do dalšího odvodňovacího zařízení
- úprava odvod. soupravy na styku s ostatními konstrukcemi a zařízeními (u obrubníku, podél vozovek, napojení izolací a pod.)
- ochrana odvodňovací soupravy do doby provedení definitivního stavu, veškeré provizorní úpravy a opatření
- konečné  úpravy odvodňovací soupravy jako povrchové povlaky, zálivky, které  nejsou součástí jiných konstr., vyčištění, tmelení, těsnění, výplň spar a pod.
- úprava, očištění a ošetření prostoru kolem odvodňovací soupravy
- opatření odvodňovače znakem výrobce a typovým číslem
- provedení odborné prohlídky, je-li požadována
Položka nezahrnuje:
- x</t>
  </si>
  <si>
    <t>936541</t>
  </si>
  <si>
    <t>MOSTNÍ ODVODŇOVACÍ TRUBKA (POVRCHŮ IZOLACE) Z NEREZ OCELI</t>
  </si>
  <si>
    <t>odvodňovací trubička z KOROZIVZDORNÉ OCELI min. DN 50 s navařenou přírubou
- vč. perforovaného překrytí vtoku krycím plechem nebo pletivem z korozivzdorné oceli 
- vč. prodloužení pod spodní líc NK se zaústěním do vodorovného svodu nebo přesahu pod okraj NK min. 0,10 m
Vše dle PD, TP, VL, TKP, ZTKP atd.
z příl.č. 1, 3, 4, 5, 26
(odměřeno elektronicky v ACADu z příl.č. 26)</t>
  </si>
  <si>
    <t xml:space="preserve"> "počet "17*2 = 34,000 [A]</t>
  </si>
  <si>
    <t>Položka zahrnuje:
- výrobní dokumentaci (včetně technologického předpisu)
- dodání kompletní odvodňovací soupravy z předepsaného materiálu, včetně všech montážních a přepravních úprav a zařízení
- dodání spojovacího, kotevního a těsnícího materiálu
- úprava a příprava úložného prostoru, včetně kotevních prvků, jejich očištění a ošetření
- zřízení kompletní odvodňovací soupravy, dle příslušného technologického předpisu, včetně všech výškových a směrových úprav
- zřízení odvodňovací soupravy po etapách, včetně pracovních spar a spojů
- prodloužení  odpadní trouby pod spodní líc nosné konstr. nebo zaústěním odvodňovače do dalšího odvodňovacího zařízení
- úprava odvod. soupravy na styku s ostatními konstrukcemi a zařízeními (u obrubníku, podél vozovek, napojení izolací a pod.)
- ochrana odvodňovací soupravy do doby provedení definitivního stavu, veškeré provizorní úpravy a opatření
- konečné  úpravy odvodňovací soupravy jako povrchové povlaky, zálivky, které  nejsou součástí jiných konstr., vyčištění, tmelení, těsnění, výplň spar a pod.
- úprava, očištění a ošetření prostoru kolem odvodňovací soupravy
- opatření odvodňovače znakem výrobce a typovým číslem
- provedení odborné prohlídky, je-li požadována
Položka nezahrnuje:
-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</si>
</sst>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#\ ##0.00"/>
    <numFmt numFmtId="165" formatCode="#\ ###\ ###\ ###\ ##0.000"/>
  </numFmts>
  <fonts count="9" x14ac:knownFonts="1">
    <font>
      <sz val="11"/>
      <name val="Calibri"/>
      <family val="2"/>
      <scheme val="minor"/>
    </font>
    <font>
      <sz val="11"/>
      <color rgb="FFD9D9D9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6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sz val="10"/>
      <color rgb="FFFFFFFF"/>
      <name val="Arial"/>
      <family val="2"/>
      <charset val="238"/>
    </font>
    <font>
      <b/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0"/>
      <name val="Segoe U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41A5BD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0">
      <alignment horizontal="left" vertical="center" wrapText="1"/>
    </xf>
    <xf numFmtId="0" fontId="3" fillId="0" borderId="0">
      <alignment horizontal="left" vertical="center" wrapText="1"/>
    </xf>
    <xf numFmtId="0" fontId="4" fillId="0" borderId="0">
      <alignment horizontal="left" vertical="center" wrapText="1"/>
    </xf>
    <xf numFmtId="0" fontId="5" fillId="0" borderId="0">
      <alignment horizontal="center" vertical="center" wrapText="1"/>
    </xf>
  </cellStyleXfs>
  <cellXfs count="4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2" fillId="2" borderId="2" xfId="1" applyFill="1" applyBorder="1">
      <alignment horizontal="left" vertical="center" wrapText="1"/>
    </xf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3" fillId="2" borderId="0" xfId="2" applyFill="1">
      <alignment horizontal="left" vertical="center" wrapText="1"/>
    </xf>
    <xf numFmtId="0" fontId="0" fillId="2" borderId="5" xfId="0" applyFill="1" applyBorder="1"/>
    <xf numFmtId="0" fontId="4" fillId="2" borderId="4" xfId="3" applyFill="1" applyBorder="1">
      <alignment horizontal="left" vertical="center" wrapText="1"/>
    </xf>
    <xf numFmtId="0" fontId="4" fillId="2" borderId="0" xfId="3" applyFill="1" applyAlignment="1">
      <alignment horizontal="right" vertical="center" wrapText="1"/>
    </xf>
    <xf numFmtId="0" fontId="0" fillId="2" borderId="0" xfId="0" applyFill="1" applyAlignment="1">
      <alignment horizontal="right"/>
    </xf>
    <xf numFmtId="0" fontId="4" fillId="2" borderId="0" xfId="3" applyFill="1">
      <alignment horizontal="left" vertical="center" wrapText="1"/>
    </xf>
    <xf numFmtId="0" fontId="0" fillId="2" borderId="6" xfId="0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5" fillId="3" borderId="7" xfId="4" applyFill="1" applyBorder="1">
      <alignment horizontal="center" vertical="center" wrapText="1"/>
    </xf>
    <xf numFmtId="0" fontId="5" fillId="3" borderId="8" xfId="4" applyFill="1" applyBorder="1">
      <alignment horizontal="center" vertical="center" wrapText="1"/>
    </xf>
    <xf numFmtId="0" fontId="5" fillId="3" borderId="9" xfId="4" applyFill="1" applyBorder="1">
      <alignment horizontal="center" vertical="center" wrapText="1"/>
    </xf>
    <xf numFmtId="0" fontId="5" fillId="3" borderId="10" xfId="4" applyFill="1" applyBorder="1">
      <alignment horizontal="center" vertical="center" wrapText="1"/>
    </xf>
    <xf numFmtId="0" fontId="5" fillId="3" borderId="9" xfId="4" applyFill="1" applyBorder="1">
      <alignment horizontal="center" vertical="center" wrapText="1"/>
    </xf>
    <xf numFmtId="0" fontId="5" fillId="3" borderId="11" xfId="4" applyFill="1" applyBorder="1">
      <alignment horizontal="center" vertical="center" wrapText="1"/>
    </xf>
    <xf numFmtId="0" fontId="5" fillId="3" borderId="8" xfId="4" applyFill="1" applyBorder="1">
      <alignment horizontal="center" vertical="center" wrapText="1"/>
    </xf>
    <xf numFmtId="0" fontId="5" fillId="3" borderId="12" xfId="4" applyFill="1" applyBorder="1">
      <alignment horizontal="center" vertical="center" wrapText="1"/>
    </xf>
    <xf numFmtId="0" fontId="5" fillId="3" borderId="10" xfId="4" applyFill="1" applyBorder="1">
      <alignment horizontal="center" vertical="center" wrapText="1"/>
    </xf>
    <xf numFmtId="0" fontId="6" fillId="2" borderId="6" xfId="0" applyFont="1" applyFill="1" applyBorder="1"/>
    <xf numFmtId="0" fontId="6" fillId="2" borderId="13" xfId="0" applyFont="1" applyFill="1" applyBorder="1"/>
    <xf numFmtId="0" fontId="6" fillId="2" borderId="6" xfId="0" applyFont="1" applyFill="1" applyBorder="1" applyAlignment="1">
      <alignment horizontal="right"/>
    </xf>
    <xf numFmtId="0" fontId="6" fillId="2" borderId="14" xfId="0" applyFont="1" applyFill="1" applyBorder="1"/>
    <xf numFmtId="164" fontId="6" fillId="2" borderId="6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/>
    <xf numFmtId="0" fontId="0" fillId="0" borderId="4" xfId="0" applyBorder="1"/>
    <xf numFmtId="0" fontId="0" fillId="0" borderId="5" xfId="0" applyBorder="1"/>
    <xf numFmtId="0" fontId="7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6" xfId="0" quotePrefix="1" applyBorder="1" applyAlignment="1">
      <alignment wrapText="1"/>
    </xf>
    <xf numFmtId="0" fontId="8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5">
    <cellStyle name="NadpisRekapitulaceSoupisPraciStyle" xfId="2" xr:uid="{1F5C0E6E-496D-4B4C-875D-E49E21581747}"/>
    <cellStyle name="NadpisySloupcuStyle" xfId="4" xr:uid="{E5B9608F-F493-49E9-83AE-83200762089F}"/>
    <cellStyle name="Normální" xfId="0" builtinId="0"/>
    <cellStyle name="NormalStyle" xfId="1" xr:uid="{4ABB71B0-D611-4EC6-A864-DC22416AC3B5}"/>
    <cellStyle name="StavbaRozpocetHeaderStyle" xfId="3" xr:uid="{04803C08-7065-4A69-B3D7-A428858D7F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41300" cy="241300"/>
    <xdr:pic>
      <xdr:nvPicPr>
        <xdr:cNvPr id="2" name="Picture 1">
          <a:extLst>
            <a:ext uri="{FF2B5EF4-FFF2-40B4-BE49-F238E27FC236}">
              <a16:creationId xmlns:a16="http://schemas.microsoft.com/office/drawing/2014/main" id="{73B647D3-1254-48DD-AB2A-B7661BD67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1300" cy="241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FADC-218F-470E-9F35-C638A335B614}">
  <sheetPr>
    <pageSetUpPr fitToPage="1"/>
  </sheetPr>
  <dimension ref="A1:P613"/>
  <sheetViews>
    <sheetView tabSelected="1" topLeftCell="B609" zoomScaleNormal="100" workbookViewId="0">
      <selection activeCell="K609" sqref="K1:N1048576"/>
    </sheetView>
  </sheetViews>
  <sheetFormatPr defaultRowHeight="14.4" x14ac:dyDescent="0.3"/>
  <cols>
    <col min="2" max="2" width="15.44140625" customWidth="1"/>
    <col min="3" max="3" width="9.21875" customWidth="1"/>
    <col min="4" max="4" width="12.33203125" customWidth="1"/>
    <col min="5" max="5" width="61.77734375" customWidth="1"/>
    <col min="6" max="6" width="12.33203125" customWidth="1"/>
    <col min="7" max="9" width="15.44140625" customWidth="1"/>
    <col min="10" max="10" width="14.5546875" bestFit="1" customWidth="1"/>
    <col min="15" max="16" width="8.77734375" customWidth="1"/>
  </cols>
  <sheetData>
    <row r="1" spans="1:16" x14ac:dyDescent="0.3">
      <c r="A1" s="1" t="s">
        <v>0</v>
      </c>
      <c r="B1" s="2"/>
      <c r="C1" s="3"/>
      <c r="D1" s="3"/>
      <c r="E1" s="4" t="s">
        <v>1</v>
      </c>
      <c r="F1" s="3"/>
      <c r="G1" s="3"/>
      <c r="H1" s="3"/>
      <c r="I1" s="3"/>
      <c r="J1" s="5"/>
      <c r="P1">
        <v>3</v>
      </c>
    </row>
    <row r="2" spans="1:16" ht="21" x14ac:dyDescent="0.3">
      <c r="A2" s="1"/>
      <c r="B2" s="6"/>
      <c r="C2" s="7"/>
      <c r="D2" s="7"/>
      <c r="E2" s="8" t="s">
        <v>2</v>
      </c>
      <c r="F2" s="7"/>
      <c r="G2" s="7"/>
      <c r="H2" s="7"/>
      <c r="I2" s="7"/>
      <c r="J2" s="9"/>
    </row>
    <row r="3" spans="1:16" x14ac:dyDescent="0.3">
      <c r="A3" s="7" t="s">
        <v>3</v>
      </c>
      <c r="B3" s="10" t="s">
        <v>4</v>
      </c>
      <c r="C3" s="11" t="s">
        <v>5</v>
      </c>
      <c r="D3" s="12"/>
      <c r="E3" s="13" t="s">
        <v>6</v>
      </c>
      <c r="F3" s="7"/>
      <c r="G3" s="7"/>
      <c r="H3" s="14" t="s">
        <v>7</v>
      </c>
      <c r="I3" s="15">
        <f>SUMIFS(I9:I613,A9:A613,"SD")</f>
        <v>0</v>
      </c>
      <c r="J3" s="9"/>
      <c r="O3">
        <v>0</v>
      </c>
      <c r="P3">
        <v>2</v>
      </c>
    </row>
    <row r="4" spans="1:16" x14ac:dyDescent="0.3">
      <c r="A4" s="7" t="s">
        <v>8</v>
      </c>
      <c r="B4" s="10" t="s">
        <v>9</v>
      </c>
      <c r="C4" s="11" t="s">
        <v>10</v>
      </c>
      <c r="D4" s="12"/>
      <c r="E4" s="13" t="s">
        <v>11</v>
      </c>
      <c r="F4" s="7"/>
      <c r="G4" s="7"/>
      <c r="H4" s="7"/>
      <c r="I4" s="7"/>
      <c r="J4" s="9"/>
      <c r="O4">
        <v>0.12</v>
      </c>
      <c r="P4">
        <v>2</v>
      </c>
    </row>
    <row r="5" spans="1:16" x14ac:dyDescent="0.3">
      <c r="A5" s="7" t="s">
        <v>12</v>
      </c>
      <c r="B5" s="10" t="s">
        <v>13</v>
      </c>
      <c r="C5" s="11" t="s">
        <v>7</v>
      </c>
      <c r="D5" s="12"/>
      <c r="E5" s="13" t="s">
        <v>11</v>
      </c>
      <c r="F5" s="7"/>
      <c r="G5" s="7"/>
      <c r="H5" s="7"/>
      <c r="I5" s="7"/>
      <c r="J5" s="9"/>
      <c r="O5">
        <v>0.21</v>
      </c>
    </row>
    <row r="6" spans="1:16" x14ac:dyDescent="0.3">
      <c r="A6" s="16" t="s">
        <v>14</v>
      </c>
      <c r="B6" s="17" t="s">
        <v>15</v>
      </c>
      <c r="C6" s="18" t="s">
        <v>16</v>
      </c>
      <c r="D6" s="18" t="s">
        <v>17</v>
      </c>
      <c r="E6" s="18" t="s">
        <v>18</v>
      </c>
      <c r="F6" s="18" t="s">
        <v>19</v>
      </c>
      <c r="G6" s="18" t="s">
        <v>20</v>
      </c>
      <c r="H6" s="18" t="s">
        <v>21</v>
      </c>
      <c r="I6" s="18"/>
      <c r="J6" s="19" t="s">
        <v>22</v>
      </c>
    </row>
    <row r="7" spans="1:16" x14ac:dyDescent="0.3">
      <c r="A7" s="16"/>
      <c r="B7" s="17"/>
      <c r="C7" s="18"/>
      <c r="D7" s="18"/>
      <c r="E7" s="18"/>
      <c r="F7" s="18"/>
      <c r="G7" s="18"/>
      <c r="H7" s="20" t="s">
        <v>23</v>
      </c>
      <c r="I7" s="20" t="s">
        <v>24</v>
      </c>
      <c r="J7" s="19"/>
    </row>
    <row r="8" spans="1:16" x14ac:dyDescent="0.3">
      <c r="A8" s="21">
        <v>0</v>
      </c>
      <c r="B8" s="22">
        <v>1</v>
      </c>
      <c r="C8" s="23">
        <v>2</v>
      </c>
      <c r="D8" s="20">
        <v>3</v>
      </c>
      <c r="E8" s="23">
        <v>4</v>
      </c>
      <c r="F8" s="20">
        <v>5</v>
      </c>
      <c r="G8" s="20">
        <v>6</v>
      </c>
      <c r="H8" s="20">
        <v>7</v>
      </c>
      <c r="I8" s="23">
        <v>8</v>
      </c>
      <c r="J8" s="24">
        <v>9</v>
      </c>
    </row>
    <row r="9" spans="1:16" x14ac:dyDescent="0.3">
      <c r="A9" s="25" t="s">
        <v>25</v>
      </c>
      <c r="B9" s="26"/>
      <c r="C9" s="27" t="s">
        <v>26</v>
      </c>
      <c r="D9" s="28"/>
      <c r="E9" s="25" t="s">
        <v>27</v>
      </c>
      <c r="F9" s="28"/>
      <c r="G9" s="28"/>
      <c r="H9" s="28"/>
      <c r="I9" s="29">
        <f>SUMIFS(I10:I19,A10:A19,"P")</f>
        <v>0</v>
      </c>
      <c r="J9" s="30"/>
    </row>
    <row r="10" spans="1:16" x14ac:dyDescent="0.3">
      <c r="A10" s="31" t="s">
        <v>28</v>
      </c>
      <c r="B10" s="31">
        <v>1</v>
      </c>
      <c r="C10" s="32" t="s">
        <v>29</v>
      </c>
      <c r="D10" s="31" t="s">
        <v>30</v>
      </c>
      <c r="E10" s="33" t="s">
        <v>31</v>
      </c>
      <c r="F10" s="34" t="s">
        <v>32</v>
      </c>
      <c r="G10" s="35">
        <v>1020.341</v>
      </c>
      <c r="H10" s="36">
        <v>0</v>
      </c>
      <c r="I10" s="36">
        <f>ROUND(G10*H10,P4)</f>
        <v>0</v>
      </c>
      <c r="J10" s="34" t="s">
        <v>33</v>
      </c>
      <c r="O10" s="37">
        <f>I10*0.21</f>
        <v>0</v>
      </c>
      <c r="P10">
        <v>3</v>
      </c>
    </row>
    <row r="11" spans="1:16" x14ac:dyDescent="0.3">
      <c r="A11" s="31" t="s">
        <v>34</v>
      </c>
      <c r="B11" s="38"/>
      <c r="E11" s="33" t="s">
        <v>35</v>
      </c>
      <c r="J11" s="39"/>
    </row>
    <row r="12" spans="1:16" x14ac:dyDescent="0.3">
      <c r="A12" s="31" t="s">
        <v>36</v>
      </c>
      <c r="B12" s="38"/>
      <c r="E12" s="40" t="s">
        <v>37</v>
      </c>
      <c r="J12" s="39"/>
    </row>
    <row r="13" spans="1:16" x14ac:dyDescent="0.3">
      <c r="A13" s="31" t="s">
        <v>36</v>
      </c>
      <c r="B13" s="38"/>
      <c r="E13" s="40" t="s">
        <v>38</v>
      </c>
      <c r="J13" s="39"/>
    </row>
    <row r="14" spans="1:16" x14ac:dyDescent="0.3">
      <c r="A14" s="31" t="s">
        <v>36</v>
      </c>
      <c r="B14" s="38"/>
      <c r="E14" s="40" t="s">
        <v>39</v>
      </c>
      <c r="J14" s="39"/>
    </row>
    <row r="15" spans="1:16" ht="72" x14ac:dyDescent="0.3">
      <c r="A15" s="31" t="s">
        <v>40</v>
      </c>
      <c r="B15" s="38"/>
      <c r="E15" s="33" t="s">
        <v>41</v>
      </c>
      <c r="J15" s="39"/>
    </row>
    <row r="16" spans="1:16" x14ac:dyDescent="0.3">
      <c r="A16" s="31" t="s">
        <v>28</v>
      </c>
      <c r="B16" s="31">
        <v>2</v>
      </c>
      <c r="C16" s="32" t="s">
        <v>42</v>
      </c>
      <c r="D16" s="31" t="s">
        <v>30</v>
      </c>
      <c r="E16" s="33" t="s">
        <v>43</v>
      </c>
      <c r="F16" s="34" t="s">
        <v>44</v>
      </c>
      <c r="G16" s="35">
        <v>7</v>
      </c>
      <c r="H16" s="36">
        <v>0</v>
      </c>
      <c r="I16" s="36">
        <f>ROUND(G16*H16,P4)</f>
        <v>0</v>
      </c>
      <c r="J16" s="34" t="s">
        <v>33</v>
      </c>
      <c r="O16" s="37">
        <f>I16*0.21</f>
        <v>0</v>
      </c>
      <c r="P16">
        <v>3</v>
      </c>
    </row>
    <row r="17" spans="1:16" ht="57.6" x14ac:dyDescent="0.3">
      <c r="A17" s="31" t="s">
        <v>34</v>
      </c>
      <c r="B17" s="38"/>
      <c r="E17" s="33" t="s">
        <v>45</v>
      </c>
      <c r="J17" s="39"/>
    </row>
    <row r="18" spans="1:16" x14ac:dyDescent="0.3">
      <c r="A18" s="31" t="s">
        <v>36</v>
      </c>
      <c r="B18" s="38"/>
      <c r="E18" s="40" t="s">
        <v>46</v>
      </c>
      <c r="J18" s="39"/>
    </row>
    <row r="19" spans="1:16" ht="187.2" x14ac:dyDescent="0.3">
      <c r="A19" s="31" t="s">
        <v>40</v>
      </c>
      <c r="B19" s="38"/>
      <c r="E19" s="33" t="s">
        <v>47</v>
      </c>
      <c r="J19" s="39"/>
    </row>
    <row r="20" spans="1:16" x14ac:dyDescent="0.3">
      <c r="A20" s="25" t="s">
        <v>25</v>
      </c>
      <c r="B20" s="26"/>
      <c r="C20" s="27" t="s">
        <v>48</v>
      </c>
      <c r="D20" s="28"/>
      <c r="E20" s="25" t="s">
        <v>49</v>
      </c>
      <c r="F20" s="28"/>
      <c r="G20" s="28"/>
      <c r="H20" s="28"/>
      <c r="I20" s="29">
        <f>SUMIFS(I21:I105,A21:A105,"P")</f>
        <v>0</v>
      </c>
      <c r="J20" s="30"/>
    </row>
    <row r="21" spans="1:16" x14ac:dyDescent="0.3">
      <c r="A21" s="31" t="s">
        <v>28</v>
      </c>
      <c r="B21" s="31">
        <v>3</v>
      </c>
      <c r="C21" s="32" t="s">
        <v>50</v>
      </c>
      <c r="D21" s="31" t="s">
        <v>51</v>
      </c>
      <c r="E21" s="33" t="s">
        <v>52</v>
      </c>
      <c r="F21" s="34" t="s">
        <v>32</v>
      </c>
      <c r="G21" s="35">
        <v>1985</v>
      </c>
      <c r="H21" s="36">
        <v>0</v>
      </c>
      <c r="I21" s="36">
        <f>ROUND(G21*H21,P4)</f>
        <v>0</v>
      </c>
      <c r="J21" s="34" t="s">
        <v>33</v>
      </c>
      <c r="O21" s="37">
        <f>I21*0.21</f>
        <v>0</v>
      </c>
      <c r="P21">
        <v>3</v>
      </c>
    </row>
    <row r="22" spans="1:16" ht="86.4" x14ac:dyDescent="0.3">
      <c r="A22" s="31" t="s">
        <v>34</v>
      </c>
      <c r="B22" s="38"/>
      <c r="E22" s="33" t="s">
        <v>53</v>
      </c>
      <c r="J22" s="39"/>
    </row>
    <row r="23" spans="1:16" x14ac:dyDescent="0.3">
      <c r="A23" s="31" t="s">
        <v>36</v>
      </c>
      <c r="B23" s="38"/>
      <c r="E23" s="40" t="s">
        <v>54</v>
      </c>
      <c r="J23" s="39"/>
    </row>
    <row r="24" spans="1:16" ht="409.6" x14ac:dyDescent="0.3">
      <c r="A24" s="31" t="s">
        <v>40</v>
      </c>
      <c r="B24" s="38"/>
      <c r="E24" s="33" t="s">
        <v>55</v>
      </c>
      <c r="J24" s="39"/>
    </row>
    <row r="25" spans="1:16" x14ac:dyDescent="0.3">
      <c r="A25" s="31" t="s">
        <v>28</v>
      </c>
      <c r="B25" s="31">
        <v>4</v>
      </c>
      <c r="C25" s="32" t="s">
        <v>50</v>
      </c>
      <c r="D25" s="31" t="s">
        <v>56</v>
      </c>
      <c r="E25" s="33" t="s">
        <v>52</v>
      </c>
      <c r="F25" s="34" t="s">
        <v>32</v>
      </c>
      <c r="G25" s="35">
        <v>4523.3</v>
      </c>
      <c r="H25" s="36">
        <v>0</v>
      </c>
      <c r="I25" s="36">
        <f>ROUND(G25*H25,P4)</f>
        <v>0</v>
      </c>
      <c r="J25" s="34" t="s">
        <v>33</v>
      </c>
      <c r="O25" s="37">
        <f>I25*0.21</f>
        <v>0</v>
      </c>
      <c r="P25">
        <v>3</v>
      </c>
    </row>
    <row r="26" spans="1:16" ht="100.8" x14ac:dyDescent="0.3">
      <c r="A26" s="31" t="s">
        <v>34</v>
      </c>
      <c r="B26" s="38"/>
      <c r="E26" s="33" t="s">
        <v>57</v>
      </c>
      <c r="J26" s="39"/>
    </row>
    <row r="27" spans="1:16" x14ac:dyDescent="0.3">
      <c r="A27" s="31" t="s">
        <v>36</v>
      </c>
      <c r="B27" s="38"/>
      <c r="E27" s="40" t="s">
        <v>58</v>
      </c>
      <c r="J27" s="39"/>
    </row>
    <row r="28" spans="1:16" x14ac:dyDescent="0.3">
      <c r="A28" s="31" t="s">
        <v>36</v>
      </c>
      <c r="B28" s="38"/>
      <c r="E28" s="40" t="s">
        <v>59</v>
      </c>
      <c r="J28" s="39"/>
    </row>
    <row r="29" spans="1:16" x14ac:dyDescent="0.3">
      <c r="A29" s="31" t="s">
        <v>36</v>
      </c>
      <c r="B29" s="38"/>
      <c r="E29" s="40" t="s">
        <v>60</v>
      </c>
      <c r="J29" s="39"/>
    </row>
    <row r="30" spans="1:16" x14ac:dyDescent="0.3">
      <c r="A30" s="31" t="s">
        <v>36</v>
      </c>
      <c r="B30" s="38"/>
      <c r="E30" s="40" t="s">
        <v>61</v>
      </c>
      <c r="J30" s="39"/>
    </row>
    <row r="31" spans="1:16" x14ac:dyDescent="0.3">
      <c r="A31" s="31" t="s">
        <v>36</v>
      </c>
      <c r="B31" s="38"/>
      <c r="E31" s="40" t="s">
        <v>62</v>
      </c>
      <c r="J31" s="39"/>
    </row>
    <row r="32" spans="1:16" x14ac:dyDescent="0.3">
      <c r="A32" s="31" t="s">
        <v>36</v>
      </c>
      <c r="B32" s="38"/>
      <c r="E32" s="40" t="s">
        <v>63</v>
      </c>
      <c r="J32" s="39"/>
    </row>
    <row r="33" spans="1:16" ht="409.6" x14ac:dyDescent="0.3">
      <c r="A33" s="31" t="s">
        <v>40</v>
      </c>
      <c r="B33" s="38"/>
      <c r="E33" s="33" t="s">
        <v>55</v>
      </c>
      <c r="J33" s="39"/>
    </row>
    <row r="34" spans="1:16" x14ac:dyDescent="0.3">
      <c r="A34" s="31" t="s">
        <v>28</v>
      </c>
      <c r="B34" s="31">
        <v>5</v>
      </c>
      <c r="C34" s="32" t="s">
        <v>64</v>
      </c>
      <c r="D34" s="31" t="s">
        <v>65</v>
      </c>
      <c r="E34" s="33" t="s">
        <v>66</v>
      </c>
      <c r="F34" s="34" t="s">
        <v>32</v>
      </c>
      <c r="G34" s="35">
        <v>97.938000000000002</v>
      </c>
      <c r="H34" s="36">
        <v>0</v>
      </c>
      <c r="I34" s="36">
        <f>ROUND(G34*H34,P4)</f>
        <v>0</v>
      </c>
      <c r="J34" s="34" t="s">
        <v>33</v>
      </c>
      <c r="O34" s="37">
        <f>I34*0.21</f>
        <v>0</v>
      </c>
      <c r="P34">
        <v>3</v>
      </c>
    </row>
    <row r="35" spans="1:16" ht="43.2" x14ac:dyDescent="0.3">
      <c r="A35" s="31" t="s">
        <v>34</v>
      </c>
      <c r="B35" s="38"/>
      <c r="E35" s="33" t="s">
        <v>67</v>
      </c>
      <c r="J35" s="39"/>
    </row>
    <row r="36" spans="1:16" x14ac:dyDescent="0.3">
      <c r="A36" s="31" t="s">
        <v>36</v>
      </c>
      <c r="B36" s="38"/>
      <c r="E36" s="40" t="s">
        <v>68</v>
      </c>
      <c r="J36" s="39"/>
    </row>
    <row r="37" spans="1:16" x14ac:dyDescent="0.3">
      <c r="A37" s="31" t="s">
        <v>36</v>
      </c>
      <c r="B37" s="38"/>
      <c r="E37" s="40" t="s">
        <v>69</v>
      </c>
      <c r="J37" s="39"/>
    </row>
    <row r="38" spans="1:16" x14ac:dyDescent="0.3">
      <c r="A38" s="31" t="s">
        <v>36</v>
      </c>
      <c r="B38" s="38"/>
      <c r="E38" s="40" t="s">
        <v>70</v>
      </c>
      <c r="J38" s="39"/>
    </row>
    <row r="39" spans="1:16" ht="388.8" x14ac:dyDescent="0.3">
      <c r="A39" s="31" t="s">
        <v>40</v>
      </c>
      <c r="B39" s="38"/>
      <c r="E39" s="33" t="s">
        <v>71</v>
      </c>
      <c r="J39" s="39"/>
    </row>
    <row r="40" spans="1:16" x14ac:dyDescent="0.3">
      <c r="A40" s="31" t="s">
        <v>28</v>
      </c>
      <c r="B40" s="31">
        <v>6</v>
      </c>
      <c r="C40" s="32" t="s">
        <v>64</v>
      </c>
      <c r="D40" s="31" t="s">
        <v>72</v>
      </c>
      <c r="E40" s="33" t="s">
        <v>66</v>
      </c>
      <c r="F40" s="34" t="s">
        <v>32</v>
      </c>
      <c r="G40" s="35">
        <v>4942.8100000000004</v>
      </c>
      <c r="H40" s="36">
        <v>0</v>
      </c>
      <c r="I40" s="36">
        <f>ROUND(G40*H40,P4)</f>
        <v>0</v>
      </c>
      <c r="J40" s="34" t="s">
        <v>33</v>
      </c>
      <c r="O40" s="37">
        <f>I40*0.21</f>
        <v>0</v>
      </c>
      <c r="P40">
        <v>3</v>
      </c>
    </row>
    <row r="41" spans="1:16" ht="43.2" x14ac:dyDescent="0.3">
      <c r="A41" s="31" t="s">
        <v>34</v>
      </c>
      <c r="B41" s="38"/>
      <c r="E41" s="33" t="s">
        <v>73</v>
      </c>
      <c r="J41" s="39"/>
    </row>
    <row r="42" spans="1:16" ht="28.8" x14ac:dyDescent="0.3">
      <c r="A42" s="31" t="s">
        <v>36</v>
      </c>
      <c r="B42" s="38"/>
      <c r="E42" s="40" t="s">
        <v>74</v>
      </c>
      <c r="J42" s="39"/>
    </row>
    <row r="43" spans="1:16" ht="388.8" x14ac:dyDescent="0.3">
      <c r="A43" s="31" t="s">
        <v>40</v>
      </c>
      <c r="B43" s="38"/>
      <c r="E43" s="33" t="s">
        <v>71</v>
      </c>
      <c r="J43" s="39"/>
    </row>
    <row r="44" spans="1:16" x14ac:dyDescent="0.3">
      <c r="A44" s="31" t="s">
        <v>28</v>
      </c>
      <c r="B44" s="31">
        <v>7</v>
      </c>
      <c r="C44" s="32" t="s">
        <v>75</v>
      </c>
      <c r="D44" s="31" t="s">
        <v>56</v>
      </c>
      <c r="E44" s="33" t="s">
        <v>76</v>
      </c>
      <c r="F44" s="34" t="s">
        <v>32</v>
      </c>
      <c r="G44" s="35">
        <v>1752</v>
      </c>
      <c r="H44" s="36">
        <v>0</v>
      </c>
      <c r="I44" s="36">
        <f>ROUND(G44*H44,P4)</f>
        <v>0</v>
      </c>
      <c r="J44" s="34" t="s">
        <v>33</v>
      </c>
      <c r="O44" s="37">
        <f>I44*0.21</f>
        <v>0</v>
      </c>
      <c r="P44">
        <v>3</v>
      </c>
    </row>
    <row r="45" spans="1:16" ht="100.8" x14ac:dyDescent="0.3">
      <c r="A45" s="31" t="s">
        <v>34</v>
      </c>
      <c r="B45" s="38"/>
      <c r="E45" s="33" t="s">
        <v>57</v>
      </c>
      <c r="J45" s="39"/>
    </row>
    <row r="46" spans="1:16" x14ac:dyDescent="0.3">
      <c r="A46" s="31" t="s">
        <v>36</v>
      </c>
      <c r="B46" s="38"/>
      <c r="E46" s="40" t="s">
        <v>77</v>
      </c>
      <c r="J46" s="39"/>
    </row>
    <row r="47" spans="1:16" x14ac:dyDescent="0.3">
      <c r="A47" s="31" t="s">
        <v>36</v>
      </c>
      <c r="B47" s="38"/>
      <c r="E47" s="40" t="s">
        <v>78</v>
      </c>
      <c r="J47" s="39"/>
    </row>
    <row r="48" spans="1:16" x14ac:dyDescent="0.3">
      <c r="A48" s="31" t="s">
        <v>36</v>
      </c>
      <c r="B48" s="38"/>
      <c r="E48" s="40" t="s">
        <v>79</v>
      </c>
      <c r="J48" s="39"/>
    </row>
    <row r="49" spans="1:16" ht="409.6" x14ac:dyDescent="0.3">
      <c r="A49" s="31" t="s">
        <v>40</v>
      </c>
      <c r="B49" s="38"/>
      <c r="E49" s="33" t="s">
        <v>80</v>
      </c>
      <c r="J49" s="39"/>
    </row>
    <row r="50" spans="1:16" x14ac:dyDescent="0.3">
      <c r="A50" s="31" t="s">
        <v>28</v>
      </c>
      <c r="B50" s="31">
        <v>8</v>
      </c>
      <c r="C50" s="32" t="s">
        <v>81</v>
      </c>
      <c r="D50" s="31" t="s">
        <v>51</v>
      </c>
      <c r="E50" s="33" t="s">
        <v>82</v>
      </c>
      <c r="F50" s="34" t="s">
        <v>32</v>
      </c>
      <c r="G50" s="35">
        <v>1985</v>
      </c>
      <c r="H50" s="36">
        <v>0</v>
      </c>
      <c r="I50" s="36">
        <f>ROUND(G50*H50,P4)</f>
        <v>0</v>
      </c>
      <c r="J50" s="34" t="s">
        <v>33</v>
      </c>
      <c r="O50" s="37">
        <f>I50*0.21</f>
        <v>0</v>
      </c>
      <c r="P50">
        <v>3</v>
      </c>
    </row>
    <row r="51" spans="1:16" ht="86.4" x14ac:dyDescent="0.3">
      <c r="A51" s="31" t="s">
        <v>34</v>
      </c>
      <c r="B51" s="38"/>
      <c r="E51" s="33" t="s">
        <v>83</v>
      </c>
      <c r="J51" s="39"/>
    </row>
    <row r="52" spans="1:16" x14ac:dyDescent="0.3">
      <c r="A52" s="31" t="s">
        <v>36</v>
      </c>
      <c r="B52" s="38"/>
      <c r="E52" s="40" t="s">
        <v>84</v>
      </c>
      <c r="J52" s="39"/>
    </row>
    <row r="53" spans="1:16" ht="360" x14ac:dyDescent="0.3">
      <c r="A53" s="31" t="s">
        <v>40</v>
      </c>
      <c r="B53" s="38"/>
      <c r="E53" s="33" t="s">
        <v>85</v>
      </c>
      <c r="J53" s="39"/>
    </row>
    <row r="54" spans="1:16" x14ac:dyDescent="0.3">
      <c r="A54" s="31" t="s">
        <v>28</v>
      </c>
      <c r="B54" s="31">
        <v>9</v>
      </c>
      <c r="C54" s="32" t="s">
        <v>86</v>
      </c>
      <c r="D54" s="31" t="s">
        <v>30</v>
      </c>
      <c r="E54" s="33" t="s">
        <v>87</v>
      </c>
      <c r="F54" s="34" t="s">
        <v>32</v>
      </c>
      <c r="G54" s="35">
        <v>704</v>
      </c>
      <c r="H54" s="36">
        <v>0</v>
      </c>
      <c r="I54" s="36">
        <f>ROUND(G54*H54,P4)</f>
        <v>0</v>
      </c>
      <c r="J54" s="34" t="s">
        <v>33</v>
      </c>
      <c r="O54" s="37">
        <f>I54*0.21</f>
        <v>0</v>
      </c>
      <c r="P54">
        <v>3</v>
      </c>
    </row>
    <row r="55" spans="1:16" ht="72" x14ac:dyDescent="0.3">
      <c r="A55" s="31" t="s">
        <v>34</v>
      </c>
      <c r="B55" s="38"/>
      <c r="E55" s="33" t="s">
        <v>88</v>
      </c>
      <c r="J55" s="39"/>
    </row>
    <row r="56" spans="1:16" ht="28.8" x14ac:dyDescent="0.3">
      <c r="A56" s="31" t="s">
        <v>36</v>
      </c>
      <c r="B56" s="38"/>
      <c r="E56" s="40" t="s">
        <v>89</v>
      </c>
      <c r="J56" s="39"/>
    </row>
    <row r="57" spans="1:16" ht="360" x14ac:dyDescent="0.3">
      <c r="A57" s="31" t="s">
        <v>40</v>
      </c>
      <c r="B57" s="38"/>
      <c r="E57" s="33" t="s">
        <v>85</v>
      </c>
      <c r="J57" s="39"/>
    </row>
    <row r="58" spans="1:16" x14ac:dyDescent="0.3">
      <c r="A58" s="31" t="s">
        <v>28</v>
      </c>
      <c r="B58" s="31">
        <v>10</v>
      </c>
      <c r="C58" s="32" t="s">
        <v>90</v>
      </c>
      <c r="D58" s="31" t="s">
        <v>30</v>
      </c>
      <c r="E58" s="33" t="s">
        <v>91</v>
      </c>
      <c r="F58" s="34" t="s">
        <v>32</v>
      </c>
      <c r="G58" s="35">
        <v>43</v>
      </c>
      <c r="H58" s="36">
        <v>0</v>
      </c>
      <c r="I58" s="36">
        <f>ROUND(G58*H58,P4)</f>
        <v>0</v>
      </c>
      <c r="J58" s="34" t="s">
        <v>33</v>
      </c>
      <c r="O58" s="37">
        <f>I58*0.21</f>
        <v>0</v>
      </c>
      <c r="P58">
        <v>3</v>
      </c>
    </row>
    <row r="59" spans="1:16" ht="72" x14ac:dyDescent="0.3">
      <c r="A59" s="31" t="s">
        <v>34</v>
      </c>
      <c r="B59" s="38"/>
      <c r="E59" s="33" t="s">
        <v>88</v>
      </c>
      <c r="J59" s="39"/>
    </row>
    <row r="60" spans="1:16" ht="28.8" x14ac:dyDescent="0.3">
      <c r="A60" s="31" t="s">
        <v>36</v>
      </c>
      <c r="B60" s="38"/>
      <c r="E60" s="40" t="s">
        <v>92</v>
      </c>
      <c r="J60" s="39"/>
    </row>
    <row r="61" spans="1:16" ht="360" x14ac:dyDescent="0.3">
      <c r="A61" s="31" t="s">
        <v>40</v>
      </c>
      <c r="B61" s="38"/>
      <c r="E61" s="33" t="s">
        <v>85</v>
      </c>
      <c r="J61" s="39"/>
    </row>
    <row r="62" spans="1:16" x14ac:dyDescent="0.3">
      <c r="A62" s="31" t="s">
        <v>28</v>
      </c>
      <c r="B62" s="31">
        <v>11</v>
      </c>
      <c r="C62" s="32" t="s">
        <v>93</v>
      </c>
      <c r="D62" s="31" t="s">
        <v>94</v>
      </c>
      <c r="E62" s="33" t="s">
        <v>95</v>
      </c>
      <c r="F62" s="34" t="s">
        <v>32</v>
      </c>
      <c r="G62" s="35">
        <v>1020.341</v>
      </c>
      <c r="H62" s="36">
        <v>0</v>
      </c>
      <c r="I62" s="36">
        <f>ROUND(G62*H62,P4)</f>
        <v>0</v>
      </c>
      <c r="J62" s="34" t="s">
        <v>33</v>
      </c>
      <c r="O62" s="37">
        <f>I62*0.21</f>
        <v>0</v>
      </c>
      <c r="P62">
        <v>3</v>
      </c>
    </row>
    <row r="63" spans="1:16" ht="28.8" x14ac:dyDescent="0.3">
      <c r="A63" s="31" t="s">
        <v>34</v>
      </c>
      <c r="B63" s="38"/>
      <c r="E63" s="33" t="s">
        <v>96</v>
      </c>
      <c r="J63" s="39"/>
    </row>
    <row r="64" spans="1:16" x14ac:dyDescent="0.3">
      <c r="A64" s="31" t="s">
        <v>36</v>
      </c>
      <c r="B64" s="38"/>
      <c r="E64" s="40" t="s">
        <v>37</v>
      </c>
      <c r="J64" s="39"/>
    </row>
    <row r="65" spans="1:16" x14ac:dyDescent="0.3">
      <c r="A65" s="31" t="s">
        <v>36</v>
      </c>
      <c r="B65" s="38"/>
      <c r="E65" s="40" t="s">
        <v>38</v>
      </c>
      <c r="J65" s="39"/>
    </row>
    <row r="66" spans="1:16" x14ac:dyDescent="0.3">
      <c r="A66" s="31" t="s">
        <v>36</v>
      </c>
      <c r="B66" s="38"/>
      <c r="E66" s="40" t="s">
        <v>39</v>
      </c>
      <c r="J66" s="39"/>
    </row>
    <row r="67" spans="1:16" ht="259.2" x14ac:dyDescent="0.3">
      <c r="A67" s="31" t="s">
        <v>40</v>
      </c>
      <c r="B67" s="38"/>
      <c r="E67" s="33" t="s">
        <v>97</v>
      </c>
      <c r="J67" s="39"/>
    </row>
    <row r="68" spans="1:16" x14ac:dyDescent="0.3">
      <c r="A68" s="31" t="s">
        <v>28</v>
      </c>
      <c r="B68" s="31">
        <v>12</v>
      </c>
      <c r="C68" s="32" t="s">
        <v>93</v>
      </c>
      <c r="D68" s="31" t="s">
        <v>72</v>
      </c>
      <c r="E68" s="33" t="s">
        <v>95</v>
      </c>
      <c r="F68" s="34" t="s">
        <v>32</v>
      </c>
      <c r="G68" s="35">
        <v>8260.2999999999993</v>
      </c>
      <c r="H68" s="36">
        <v>0</v>
      </c>
      <c r="I68" s="36">
        <f>ROUND(G68*H68,P4)</f>
        <v>0</v>
      </c>
      <c r="J68" s="34" t="s">
        <v>33</v>
      </c>
      <c r="O68" s="37">
        <f>I68*0.21</f>
        <v>0</v>
      </c>
      <c r="P68">
        <v>3</v>
      </c>
    </row>
    <row r="69" spans="1:16" x14ac:dyDescent="0.3">
      <c r="A69" s="31" t="s">
        <v>34</v>
      </c>
      <c r="B69" s="38"/>
      <c r="E69" s="33" t="s">
        <v>98</v>
      </c>
      <c r="J69" s="39"/>
    </row>
    <row r="70" spans="1:16" ht="28.8" x14ac:dyDescent="0.3">
      <c r="A70" s="31" t="s">
        <v>36</v>
      </c>
      <c r="B70" s="38"/>
      <c r="E70" s="40" t="s">
        <v>99</v>
      </c>
      <c r="J70" s="39"/>
    </row>
    <row r="71" spans="1:16" ht="259.2" x14ac:dyDescent="0.3">
      <c r="A71" s="31" t="s">
        <v>40</v>
      </c>
      <c r="B71" s="38"/>
      <c r="E71" s="33" t="s">
        <v>97</v>
      </c>
      <c r="J71" s="39"/>
    </row>
    <row r="72" spans="1:16" x14ac:dyDescent="0.3">
      <c r="A72" s="31" t="s">
        <v>28</v>
      </c>
      <c r="B72" s="31">
        <v>13</v>
      </c>
      <c r="C72" s="32" t="s">
        <v>100</v>
      </c>
      <c r="D72" s="31" t="s">
        <v>30</v>
      </c>
      <c r="E72" s="33" t="s">
        <v>101</v>
      </c>
      <c r="F72" s="34" t="s">
        <v>32</v>
      </c>
      <c r="G72" s="35">
        <v>166.6</v>
      </c>
      <c r="H72" s="36">
        <v>0</v>
      </c>
      <c r="I72" s="36">
        <f>ROUND(G72*H72,P4)</f>
        <v>0</v>
      </c>
      <c r="J72" s="34" t="s">
        <v>33</v>
      </c>
      <c r="O72" s="37">
        <f>I72*0.21</f>
        <v>0</v>
      </c>
      <c r="P72">
        <v>3</v>
      </c>
    </row>
    <row r="73" spans="1:16" ht="86.4" x14ac:dyDescent="0.3">
      <c r="A73" s="31" t="s">
        <v>34</v>
      </c>
      <c r="B73" s="38"/>
      <c r="E73" s="33" t="s">
        <v>102</v>
      </c>
      <c r="J73" s="39"/>
    </row>
    <row r="74" spans="1:16" x14ac:dyDescent="0.3">
      <c r="A74" s="31" t="s">
        <v>36</v>
      </c>
      <c r="B74" s="38"/>
      <c r="E74" s="40" t="s">
        <v>103</v>
      </c>
      <c r="J74" s="39"/>
    </row>
    <row r="75" spans="1:16" ht="259.2" x14ac:dyDescent="0.3">
      <c r="A75" s="31" t="s">
        <v>40</v>
      </c>
      <c r="B75" s="38"/>
      <c r="E75" s="33" t="s">
        <v>97</v>
      </c>
      <c r="J75" s="39"/>
    </row>
    <row r="76" spans="1:16" x14ac:dyDescent="0.3">
      <c r="A76" s="31" t="s">
        <v>28</v>
      </c>
      <c r="B76" s="31">
        <v>14</v>
      </c>
      <c r="C76" s="32" t="s">
        <v>104</v>
      </c>
      <c r="D76" s="31" t="s">
        <v>30</v>
      </c>
      <c r="E76" s="33" t="s">
        <v>105</v>
      </c>
      <c r="F76" s="34" t="s">
        <v>32</v>
      </c>
      <c r="G76" s="35">
        <v>1275.21</v>
      </c>
      <c r="H76" s="36">
        <v>0</v>
      </c>
      <c r="I76" s="36">
        <f>ROUND(G76*H76,P4)</f>
        <v>0</v>
      </c>
      <c r="J76" s="34" t="s">
        <v>33</v>
      </c>
      <c r="O76" s="37">
        <f>I76*0.21</f>
        <v>0</v>
      </c>
      <c r="P76">
        <v>3</v>
      </c>
    </row>
    <row r="77" spans="1:16" ht="86.4" x14ac:dyDescent="0.3">
      <c r="A77" s="31" t="s">
        <v>34</v>
      </c>
      <c r="B77" s="38"/>
      <c r="E77" s="33" t="s">
        <v>106</v>
      </c>
      <c r="J77" s="39"/>
    </row>
    <row r="78" spans="1:16" ht="28.8" x14ac:dyDescent="0.3">
      <c r="A78" s="31" t="s">
        <v>36</v>
      </c>
      <c r="B78" s="38"/>
      <c r="E78" s="40" t="s">
        <v>107</v>
      </c>
      <c r="J78" s="39"/>
    </row>
    <row r="79" spans="1:16" ht="28.8" x14ac:dyDescent="0.3">
      <c r="A79" s="31" t="s">
        <v>36</v>
      </c>
      <c r="B79" s="38"/>
      <c r="E79" s="40" t="s">
        <v>108</v>
      </c>
      <c r="J79" s="39"/>
    </row>
    <row r="80" spans="1:16" x14ac:dyDescent="0.3">
      <c r="A80" s="31" t="s">
        <v>36</v>
      </c>
      <c r="B80" s="38"/>
      <c r="E80" s="40" t="s">
        <v>109</v>
      </c>
      <c r="J80" s="39"/>
    </row>
    <row r="81" spans="1:16" x14ac:dyDescent="0.3">
      <c r="A81" s="31" t="s">
        <v>36</v>
      </c>
      <c r="B81" s="38"/>
      <c r="E81" s="40" t="s">
        <v>110</v>
      </c>
      <c r="J81" s="39"/>
    </row>
    <row r="82" spans="1:16" x14ac:dyDescent="0.3">
      <c r="A82" s="31" t="s">
        <v>36</v>
      </c>
      <c r="B82" s="38"/>
      <c r="E82" s="40" t="s">
        <v>111</v>
      </c>
      <c r="J82" s="39"/>
    </row>
    <row r="83" spans="1:16" ht="316.8" x14ac:dyDescent="0.3">
      <c r="A83" s="31" t="s">
        <v>40</v>
      </c>
      <c r="B83" s="38"/>
      <c r="E83" s="33" t="s">
        <v>112</v>
      </c>
      <c r="J83" s="39"/>
    </row>
    <row r="84" spans="1:16" x14ac:dyDescent="0.3">
      <c r="A84" s="31" t="s">
        <v>28</v>
      </c>
      <c r="B84" s="31">
        <v>15</v>
      </c>
      <c r="C84" s="32" t="s">
        <v>113</v>
      </c>
      <c r="D84" s="31" t="s">
        <v>30</v>
      </c>
      <c r="E84" s="33" t="s">
        <v>114</v>
      </c>
      <c r="F84" s="34" t="s">
        <v>32</v>
      </c>
      <c r="G84" s="35">
        <v>769</v>
      </c>
      <c r="H84" s="36">
        <v>0</v>
      </c>
      <c r="I84" s="36">
        <f>ROUND(G84*H84,P4)</f>
        <v>0</v>
      </c>
      <c r="J84" s="34" t="s">
        <v>33</v>
      </c>
      <c r="O84" s="37">
        <f>I84*0.21</f>
        <v>0</v>
      </c>
      <c r="P84">
        <v>3</v>
      </c>
    </row>
    <row r="85" spans="1:16" ht="86.4" x14ac:dyDescent="0.3">
      <c r="A85" s="31" t="s">
        <v>34</v>
      </c>
      <c r="B85" s="38"/>
      <c r="E85" s="33" t="s">
        <v>115</v>
      </c>
      <c r="J85" s="39"/>
    </row>
    <row r="86" spans="1:16" x14ac:dyDescent="0.3">
      <c r="A86" s="31" t="s">
        <v>36</v>
      </c>
      <c r="B86" s="38"/>
      <c r="E86" s="40" t="s">
        <v>116</v>
      </c>
      <c r="J86" s="39"/>
    </row>
    <row r="87" spans="1:16" ht="403.2" x14ac:dyDescent="0.3">
      <c r="A87" s="31" t="s">
        <v>40</v>
      </c>
      <c r="B87" s="38"/>
      <c r="E87" s="33" t="s">
        <v>117</v>
      </c>
      <c r="J87" s="39"/>
    </row>
    <row r="88" spans="1:16" x14ac:dyDescent="0.3">
      <c r="A88" s="31" t="s">
        <v>28</v>
      </c>
      <c r="B88" s="31">
        <v>16</v>
      </c>
      <c r="C88" s="32" t="s">
        <v>118</v>
      </c>
      <c r="D88" s="31" t="s">
        <v>30</v>
      </c>
      <c r="E88" s="33" t="s">
        <v>119</v>
      </c>
      <c r="F88" s="34" t="s">
        <v>32</v>
      </c>
      <c r="G88" s="35">
        <v>7.9269999999999996</v>
      </c>
      <c r="H88" s="36">
        <v>0</v>
      </c>
      <c r="I88" s="36">
        <f>ROUND(G88*H88,P4)</f>
        <v>0</v>
      </c>
      <c r="J88" s="34" t="s">
        <v>33</v>
      </c>
      <c r="O88" s="37">
        <f>I88*0.21</f>
        <v>0</v>
      </c>
      <c r="P88">
        <v>3</v>
      </c>
    </row>
    <row r="89" spans="1:16" ht="86.4" x14ac:dyDescent="0.3">
      <c r="A89" s="31" t="s">
        <v>34</v>
      </c>
      <c r="B89" s="38"/>
      <c r="E89" s="33" t="s">
        <v>120</v>
      </c>
      <c r="J89" s="39"/>
    </row>
    <row r="90" spans="1:16" ht="28.8" x14ac:dyDescent="0.3">
      <c r="A90" s="31" t="s">
        <v>36</v>
      </c>
      <c r="B90" s="38"/>
      <c r="E90" s="40" t="s">
        <v>121</v>
      </c>
      <c r="J90" s="39"/>
    </row>
    <row r="91" spans="1:16" ht="409.6" x14ac:dyDescent="0.3">
      <c r="A91" s="31" t="s">
        <v>40</v>
      </c>
      <c r="B91" s="38"/>
      <c r="E91" s="33" t="s">
        <v>122</v>
      </c>
      <c r="J91" s="39"/>
    </row>
    <row r="92" spans="1:16" x14ac:dyDescent="0.3">
      <c r="A92" s="31" t="s">
        <v>28</v>
      </c>
      <c r="B92" s="31">
        <v>17</v>
      </c>
      <c r="C92" s="32" t="s">
        <v>123</v>
      </c>
      <c r="D92" s="31" t="s">
        <v>30</v>
      </c>
      <c r="E92" s="33" t="s">
        <v>124</v>
      </c>
      <c r="F92" s="34" t="s">
        <v>125</v>
      </c>
      <c r="G92" s="35">
        <v>381.26799999999997</v>
      </c>
      <c r="H92" s="36">
        <v>0</v>
      </c>
      <c r="I92" s="36">
        <f>ROUND(G92*H92,P4)</f>
        <v>0</v>
      </c>
      <c r="J92" s="34" t="s">
        <v>33</v>
      </c>
      <c r="O92" s="37">
        <f>I92*0.21</f>
        <v>0</v>
      </c>
      <c r="P92">
        <v>3</v>
      </c>
    </row>
    <row r="93" spans="1:16" ht="86.4" x14ac:dyDescent="0.3">
      <c r="A93" s="31" t="s">
        <v>34</v>
      </c>
      <c r="B93" s="38"/>
      <c r="E93" s="33" t="s">
        <v>126</v>
      </c>
      <c r="J93" s="39"/>
    </row>
    <row r="94" spans="1:16" x14ac:dyDescent="0.3">
      <c r="A94" s="31" t="s">
        <v>36</v>
      </c>
      <c r="B94" s="38"/>
      <c r="E94" s="40" t="s">
        <v>127</v>
      </c>
      <c r="J94" s="39"/>
    </row>
    <row r="95" spans="1:16" x14ac:dyDescent="0.3">
      <c r="A95" s="31" t="s">
        <v>36</v>
      </c>
      <c r="B95" s="38"/>
      <c r="E95" s="40" t="s">
        <v>128</v>
      </c>
      <c r="J95" s="39"/>
    </row>
    <row r="96" spans="1:16" x14ac:dyDescent="0.3">
      <c r="A96" s="31" t="s">
        <v>36</v>
      </c>
      <c r="B96" s="38"/>
      <c r="E96" s="40" t="s">
        <v>129</v>
      </c>
      <c r="J96" s="39"/>
    </row>
    <row r="97" spans="1:16" ht="72" x14ac:dyDescent="0.3">
      <c r="A97" s="31" t="s">
        <v>40</v>
      </c>
      <c r="B97" s="38"/>
      <c r="E97" s="33" t="s">
        <v>130</v>
      </c>
      <c r="J97" s="39"/>
    </row>
    <row r="98" spans="1:16" x14ac:dyDescent="0.3">
      <c r="A98" s="31" t="s">
        <v>28</v>
      </c>
      <c r="B98" s="31">
        <v>18</v>
      </c>
      <c r="C98" s="32" t="s">
        <v>131</v>
      </c>
      <c r="D98" s="31" t="s">
        <v>30</v>
      </c>
      <c r="E98" s="33" t="s">
        <v>132</v>
      </c>
      <c r="F98" s="34" t="s">
        <v>125</v>
      </c>
      <c r="G98" s="35">
        <v>348</v>
      </c>
      <c r="H98" s="36">
        <v>0</v>
      </c>
      <c r="I98" s="36">
        <f>ROUND(G98*H98,P4)</f>
        <v>0</v>
      </c>
      <c r="J98" s="34" t="s">
        <v>33</v>
      </c>
      <c r="O98" s="37">
        <f>I98*0.21</f>
        <v>0</v>
      </c>
      <c r="P98">
        <v>3</v>
      </c>
    </row>
    <row r="99" spans="1:16" ht="115.2" x14ac:dyDescent="0.3">
      <c r="A99" s="31" t="s">
        <v>34</v>
      </c>
      <c r="B99" s="38"/>
      <c r="E99" s="33" t="s">
        <v>133</v>
      </c>
      <c r="J99" s="39"/>
    </row>
    <row r="100" spans="1:16" x14ac:dyDescent="0.3">
      <c r="A100" s="31" t="s">
        <v>36</v>
      </c>
      <c r="B100" s="38"/>
      <c r="E100" s="40" t="s">
        <v>134</v>
      </c>
      <c r="J100" s="39"/>
    </row>
    <row r="101" spans="1:16" ht="72" x14ac:dyDescent="0.3">
      <c r="A101" s="31" t="s">
        <v>40</v>
      </c>
      <c r="B101" s="38"/>
      <c r="E101" s="33" t="s">
        <v>135</v>
      </c>
      <c r="J101" s="39"/>
    </row>
    <row r="102" spans="1:16" x14ac:dyDescent="0.3">
      <c r="A102" s="31" t="s">
        <v>28</v>
      </c>
      <c r="B102" s="31">
        <v>19</v>
      </c>
      <c r="C102" s="32" t="s">
        <v>131</v>
      </c>
      <c r="D102" s="31" t="s">
        <v>136</v>
      </c>
      <c r="E102" s="33" t="s">
        <v>132</v>
      </c>
      <c r="F102" s="34" t="s">
        <v>125</v>
      </c>
      <c r="G102" s="35">
        <v>435.6</v>
      </c>
      <c r="H102" s="36">
        <v>0</v>
      </c>
      <c r="I102" s="36">
        <f>ROUND(G102*H102,P4)</f>
        <v>0</v>
      </c>
      <c r="J102" s="34" t="s">
        <v>33</v>
      </c>
      <c r="O102" s="37">
        <f>I102*0.21</f>
        <v>0</v>
      </c>
      <c r="P102">
        <v>3</v>
      </c>
    </row>
    <row r="103" spans="1:16" ht="86.4" x14ac:dyDescent="0.3">
      <c r="A103" s="31" t="s">
        <v>34</v>
      </c>
      <c r="B103" s="38"/>
      <c r="E103" s="33" t="s">
        <v>137</v>
      </c>
      <c r="J103" s="39"/>
    </row>
    <row r="104" spans="1:16" x14ac:dyDescent="0.3">
      <c r="A104" s="31" t="s">
        <v>36</v>
      </c>
      <c r="B104" s="38"/>
      <c r="E104" s="40" t="s">
        <v>138</v>
      </c>
      <c r="J104" s="39"/>
    </row>
    <row r="105" spans="1:16" ht="72" x14ac:dyDescent="0.3">
      <c r="A105" s="31" t="s">
        <v>40</v>
      </c>
      <c r="B105" s="38"/>
      <c r="E105" s="33" t="s">
        <v>135</v>
      </c>
      <c r="J105" s="39"/>
    </row>
    <row r="106" spans="1:16" x14ac:dyDescent="0.3">
      <c r="A106" s="25" t="s">
        <v>25</v>
      </c>
      <c r="B106" s="26"/>
      <c r="C106" s="27" t="s">
        <v>139</v>
      </c>
      <c r="D106" s="28"/>
      <c r="E106" s="25" t="s">
        <v>140</v>
      </c>
      <c r="F106" s="28"/>
      <c r="G106" s="28"/>
      <c r="H106" s="28"/>
      <c r="I106" s="29">
        <f>SUMIFS(I107:I222,A107:A222,"P")</f>
        <v>0</v>
      </c>
      <c r="J106" s="30"/>
    </row>
    <row r="107" spans="1:16" x14ac:dyDescent="0.3">
      <c r="A107" s="31" t="s">
        <v>28</v>
      </c>
      <c r="B107" s="31">
        <v>20</v>
      </c>
      <c r="C107" s="32" t="s">
        <v>141</v>
      </c>
      <c r="D107" s="31" t="s">
        <v>30</v>
      </c>
      <c r="E107" s="33" t="s">
        <v>142</v>
      </c>
      <c r="F107" s="34" t="s">
        <v>32</v>
      </c>
      <c r="G107" s="35">
        <v>3.37</v>
      </c>
      <c r="H107" s="36">
        <v>0</v>
      </c>
      <c r="I107" s="36">
        <f>ROUND(G107*H107,P4)</f>
        <v>0</v>
      </c>
      <c r="J107" s="34" t="s">
        <v>33</v>
      </c>
      <c r="O107" s="37">
        <f>I107*0.21</f>
        <v>0</v>
      </c>
      <c r="P107">
        <v>3</v>
      </c>
    </row>
    <row r="108" spans="1:16" ht="86.4" x14ac:dyDescent="0.3">
      <c r="A108" s="31" t="s">
        <v>34</v>
      </c>
      <c r="B108" s="38"/>
      <c r="E108" s="33" t="s">
        <v>143</v>
      </c>
      <c r="J108" s="39"/>
    </row>
    <row r="109" spans="1:16" ht="28.8" x14ac:dyDescent="0.3">
      <c r="A109" s="31" t="s">
        <v>36</v>
      </c>
      <c r="B109" s="38"/>
      <c r="E109" s="40" t="s">
        <v>144</v>
      </c>
      <c r="J109" s="39"/>
    </row>
    <row r="110" spans="1:16" ht="28.8" x14ac:dyDescent="0.3">
      <c r="A110" s="31" t="s">
        <v>36</v>
      </c>
      <c r="B110" s="38"/>
      <c r="E110" s="40" t="s">
        <v>145</v>
      </c>
      <c r="J110" s="39"/>
    </row>
    <row r="111" spans="1:16" x14ac:dyDescent="0.3">
      <c r="A111" s="31" t="s">
        <v>36</v>
      </c>
      <c r="B111" s="38"/>
      <c r="E111" s="40" t="s">
        <v>146</v>
      </c>
      <c r="J111" s="39"/>
    </row>
    <row r="112" spans="1:16" ht="86.4" x14ac:dyDescent="0.3">
      <c r="A112" s="31" t="s">
        <v>40</v>
      </c>
      <c r="B112" s="38"/>
      <c r="E112" s="33" t="s">
        <v>147</v>
      </c>
      <c r="J112" s="39"/>
    </row>
    <row r="113" spans="1:16" x14ac:dyDescent="0.3">
      <c r="A113" s="31" t="s">
        <v>28</v>
      </c>
      <c r="B113" s="31">
        <v>21</v>
      </c>
      <c r="C113" s="32" t="s">
        <v>148</v>
      </c>
      <c r="D113" s="31" t="s">
        <v>30</v>
      </c>
      <c r="E113" s="33" t="s">
        <v>149</v>
      </c>
      <c r="F113" s="34" t="s">
        <v>32</v>
      </c>
      <c r="G113" s="35">
        <v>1.93</v>
      </c>
      <c r="H113" s="36">
        <v>0</v>
      </c>
      <c r="I113" s="36">
        <f>ROUND(G113*H113,P4)</f>
        <v>0</v>
      </c>
      <c r="J113" s="34" t="s">
        <v>33</v>
      </c>
      <c r="O113" s="37">
        <f>I113*0.21</f>
        <v>0</v>
      </c>
      <c r="P113">
        <v>3</v>
      </c>
    </row>
    <row r="114" spans="1:16" ht="86.4" x14ac:dyDescent="0.3">
      <c r="A114" s="31" t="s">
        <v>34</v>
      </c>
      <c r="B114" s="38"/>
      <c r="E114" s="33" t="s">
        <v>150</v>
      </c>
      <c r="J114" s="39"/>
    </row>
    <row r="115" spans="1:16" x14ac:dyDescent="0.3">
      <c r="A115" s="31" t="s">
        <v>36</v>
      </c>
      <c r="B115" s="38"/>
      <c r="E115" s="40" t="s">
        <v>151</v>
      </c>
      <c r="J115" s="39"/>
    </row>
    <row r="116" spans="1:16" x14ac:dyDescent="0.3">
      <c r="A116" s="31" t="s">
        <v>36</v>
      </c>
      <c r="B116" s="38"/>
      <c r="E116" s="40" t="s">
        <v>152</v>
      </c>
      <c r="J116" s="39"/>
    </row>
    <row r="117" spans="1:16" x14ac:dyDescent="0.3">
      <c r="A117" s="31" t="s">
        <v>36</v>
      </c>
      <c r="B117" s="38"/>
      <c r="E117" s="40" t="s">
        <v>153</v>
      </c>
      <c r="J117" s="39"/>
    </row>
    <row r="118" spans="1:16" ht="28.8" x14ac:dyDescent="0.3">
      <c r="A118" s="31" t="s">
        <v>36</v>
      </c>
      <c r="B118" s="38"/>
      <c r="E118" s="40" t="s">
        <v>154</v>
      </c>
      <c r="J118" s="39"/>
    </row>
    <row r="119" spans="1:16" x14ac:dyDescent="0.3">
      <c r="A119" s="31" t="s">
        <v>36</v>
      </c>
      <c r="B119" s="38"/>
      <c r="E119" s="40" t="s">
        <v>155</v>
      </c>
      <c r="J119" s="39"/>
    </row>
    <row r="120" spans="1:16" ht="86.4" x14ac:dyDescent="0.3">
      <c r="A120" s="31" t="s">
        <v>40</v>
      </c>
      <c r="B120" s="38"/>
      <c r="E120" s="33" t="s">
        <v>147</v>
      </c>
      <c r="J120" s="39"/>
    </row>
    <row r="121" spans="1:16" x14ac:dyDescent="0.3">
      <c r="A121" s="31" t="s">
        <v>28</v>
      </c>
      <c r="B121" s="31">
        <v>22</v>
      </c>
      <c r="C121" s="32" t="s">
        <v>156</v>
      </c>
      <c r="D121" s="31" t="s">
        <v>30</v>
      </c>
      <c r="E121" s="33" t="s">
        <v>157</v>
      </c>
      <c r="F121" s="34" t="s">
        <v>125</v>
      </c>
      <c r="G121" s="35">
        <v>174.09</v>
      </c>
      <c r="H121" s="36">
        <v>0</v>
      </c>
      <c r="I121" s="36">
        <f>ROUND(G121*H121,P4)</f>
        <v>0</v>
      </c>
      <c r="J121" s="34" t="s">
        <v>33</v>
      </c>
      <c r="O121" s="37">
        <f>I121*0.21</f>
        <v>0</v>
      </c>
      <c r="P121">
        <v>3</v>
      </c>
    </row>
    <row r="122" spans="1:16" ht="144" x14ac:dyDescent="0.3">
      <c r="A122" s="31" t="s">
        <v>34</v>
      </c>
      <c r="B122" s="38"/>
      <c r="E122" s="33" t="s">
        <v>158</v>
      </c>
      <c r="J122" s="39"/>
    </row>
    <row r="123" spans="1:16" ht="28.8" x14ac:dyDescent="0.3">
      <c r="A123" s="31" t="s">
        <v>36</v>
      </c>
      <c r="B123" s="38"/>
      <c r="E123" s="40" t="s">
        <v>159</v>
      </c>
      <c r="J123" s="39"/>
    </row>
    <row r="124" spans="1:16" x14ac:dyDescent="0.3">
      <c r="A124" s="31" t="s">
        <v>36</v>
      </c>
      <c r="B124" s="38"/>
      <c r="E124" s="40" t="s">
        <v>160</v>
      </c>
      <c r="J124" s="39"/>
    </row>
    <row r="125" spans="1:16" x14ac:dyDescent="0.3">
      <c r="A125" s="31" t="s">
        <v>36</v>
      </c>
      <c r="B125" s="38"/>
      <c r="E125" s="40" t="s">
        <v>161</v>
      </c>
      <c r="J125" s="39"/>
    </row>
    <row r="126" spans="1:16" ht="28.8" x14ac:dyDescent="0.3">
      <c r="A126" s="31" t="s">
        <v>36</v>
      </c>
      <c r="B126" s="38"/>
      <c r="E126" s="40" t="s">
        <v>162</v>
      </c>
      <c r="J126" s="39"/>
    </row>
    <row r="127" spans="1:16" x14ac:dyDescent="0.3">
      <c r="A127" s="31" t="s">
        <v>36</v>
      </c>
      <c r="B127" s="38"/>
      <c r="E127" s="40" t="s">
        <v>163</v>
      </c>
      <c r="J127" s="39"/>
    </row>
    <row r="128" spans="1:16" x14ac:dyDescent="0.3">
      <c r="A128" s="31" t="s">
        <v>36</v>
      </c>
      <c r="B128" s="38"/>
      <c r="E128" s="40" t="s">
        <v>164</v>
      </c>
      <c r="J128" s="39"/>
    </row>
    <row r="129" spans="1:16" x14ac:dyDescent="0.3">
      <c r="A129" s="31" t="s">
        <v>36</v>
      </c>
      <c r="B129" s="38"/>
      <c r="E129" s="40" t="s">
        <v>165</v>
      </c>
      <c r="J129" s="39"/>
    </row>
    <row r="130" spans="1:16" ht="144" x14ac:dyDescent="0.3">
      <c r="A130" s="31" t="s">
        <v>40</v>
      </c>
      <c r="B130" s="38"/>
      <c r="E130" s="33" t="s">
        <v>166</v>
      </c>
      <c r="J130" s="39"/>
    </row>
    <row r="131" spans="1:16" x14ac:dyDescent="0.3">
      <c r="A131" s="31" t="s">
        <v>28</v>
      </c>
      <c r="B131" s="31">
        <v>23</v>
      </c>
      <c r="C131" s="32" t="s">
        <v>167</v>
      </c>
      <c r="D131" s="31" t="s">
        <v>30</v>
      </c>
      <c r="E131" s="33" t="s">
        <v>168</v>
      </c>
      <c r="F131" s="34" t="s">
        <v>32</v>
      </c>
      <c r="G131" s="35">
        <v>901.57299999999998</v>
      </c>
      <c r="H131" s="36">
        <v>0</v>
      </c>
      <c r="I131" s="36">
        <f>ROUND(G131*H131,P4)</f>
        <v>0</v>
      </c>
      <c r="J131" s="34" t="s">
        <v>33</v>
      </c>
      <c r="O131" s="37">
        <f>I131*0.21</f>
        <v>0</v>
      </c>
      <c r="P131">
        <v>3</v>
      </c>
    </row>
    <row r="132" spans="1:16" ht="115.2" x14ac:dyDescent="0.3">
      <c r="A132" s="31" t="s">
        <v>34</v>
      </c>
      <c r="B132" s="38"/>
      <c r="E132" s="33" t="s">
        <v>169</v>
      </c>
      <c r="J132" s="39"/>
    </row>
    <row r="133" spans="1:16" x14ac:dyDescent="0.3">
      <c r="A133" s="31" t="s">
        <v>36</v>
      </c>
      <c r="B133" s="38"/>
      <c r="E133" s="40" t="s">
        <v>170</v>
      </c>
      <c r="J133" s="39"/>
    </row>
    <row r="134" spans="1:16" x14ac:dyDescent="0.3">
      <c r="A134" s="31" t="s">
        <v>36</v>
      </c>
      <c r="B134" s="38"/>
      <c r="E134" s="40" t="s">
        <v>171</v>
      </c>
      <c r="J134" s="39"/>
    </row>
    <row r="135" spans="1:16" x14ac:dyDescent="0.3">
      <c r="A135" s="31" t="s">
        <v>36</v>
      </c>
      <c r="B135" s="38"/>
      <c r="E135" s="40" t="s">
        <v>172</v>
      </c>
      <c r="J135" s="39"/>
    </row>
    <row r="136" spans="1:16" x14ac:dyDescent="0.3">
      <c r="A136" s="31" t="s">
        <v>36</v>
      </c>
      <c r="B136" s="38"/>
      <c r="E136" s="40" t="s">
        <v>173</v>
      </c>
      <c r="J136" s="39"/>
    </row>
    <row r="137" spans="1:16" x14ac:dyDescent="0.3">
      <c r="A137" s="31" t="s">
        <v>36</v>
      </c>
      <c r="B137" s="38"/>
      <c r="E137" s="40" t="s">
        <v>174</v>
      </c>
      <c r="J137" s="39"/>
    </row>
    <row r="138" spans="1:16" x14ac:dyDescent="0.3">
      <c r="A138" s="31" t="s">
        <v>36</v>
      </c>
      <c r="B138" s="38"/>
      <c r="E138" s="40" t="s">
        <v>175</v>
      </c>
      <c r="J138" s="39"/>
    </row>
    <row r="139" spans="1:16" x14ac:dyDescent="0.3">
      <c r="A139" s="31" t="s">
        <v>36</v>
      </c>
      <c r="B139" s="38"/>
      <c r="E139" s="40" t="s">
        <v>176</v>
      </c>
      <c r="J139" s="39"/>
    </row>
    <row r="140" spans="1:16" x14ac:dyDescent="0.3">
      <c r="A140" s="31" t="s">
        <v>36</v>
      </c>
      <c r="B140" s="38"/>
      <c r="E140" s="40" t="s">
        <v>177</v>
      </c>
      <c r="J140" s="39"/>
    </row>
    <row r="141" spans="1:16" ht="409.6" x14ac:dyDescent="0.3">
      <c r="A141" s="31" t="s">
        <v>40</v>
      </c>
      <c r="B141" s="38"/>
      <c r="E141" s="33" t="s">
        <v>178</v>
      </c>
      <c r="J141" s="39"/>
    </row>
    <row r="142" spans="1:16" x14ac:dyDescent="0.3">
      <c r="A142" s="31" t="s">
        <v>28</v>
      </c>
      <c r="B142" s="31">
        <v>24</v>
      </c>
      <c r="C142" s="32" t="s">
        <v>179</v>
      </c>
      <c r="D142" s="31" t="s">
        <v>30</v>
      </c>
      <c r="E142" s="33" t="s">
        <v>180</v>
      </c>
      <c r="F142" s="34" t="s">
        <v>181</v>
      </c>
      <c r="G142" s="35">
        <v>63.11</v>
      </c>
      <c r="H142" s="36">
        <v>0</v>
      </c>
      <c r="I142" s="36">
        <f>ROUND(G142*H142,P4)</f>
        <v>0</v>
      </c>
      <c r="J142" s="34" t="s">
        <v>33</v>
      </c>
      <c r="O142" s="37">
        <f>I142*0.21</f>
        <v>0</v>
      </c>
      <c r="P142">
        <v>3</v>
      </c>
    </row>
    <row r="143" spans="1:16" ht="57.6" x14ac:dyDescent="0.3">
      <c r="A143" s="31" t="s">
        <v>34</v>
      </c>
      <c r="B143" s="38"/>
      <c r="E143" s="33" t="s">
        <v>182</v>
      </c>
      <c r="J143" s="39"/>
    </row>
    <row r="144" spans="1:16" ht="28.8" x14ac:dyDescent="0.3">
      <c r="A144" s="31" t="s">
        <v>36</v>
      </c>
      <c r="B144" s="38"/>
      <c r="E144" s="40" t="s">
        <v>183</v>
      </c>
      <c r="J144" s="39"/>
    </row>
    <row r="145" spans="1:16" ht="331.2" x14ac:dyDescent="0.3">
      <c r="A145" s="31" t="s">
        <v>40</v>
      </c>
      <c r="B145" s="38"/>
      <c r="E145" s="33" t="s">
        <v>184</v>
      </c>
      <c r="J145" s="39"/>
    </row>
    <row r="146" spans="1:16" x14ac:dyDescent="0.3">
      <c r="A146" s="31" t="s">
        <v>28</v>
      </c>
      <c r="B146" s="31">
        <v>25</v>
      </c>
      <c r="C146" s="32" t="s">
        <v>185</v>
      </c>
      <c r="D146" s="31" t="s">
        <v>30</v>
      </c>
      <c r="E146" s="33" t="s">
        <v>186</v>
      </c>
      <c r="F146" s="34" t="s">
        <v>181</v>
      </c>
      <c r="G146" s="35">
        <v>43.722000000000001</v>
      </c>
      <c r="H146" s="36">
        <v>0</v>
      </c>
      <c r="I146" s="36">
        <f>ROUND(G146*H146,P4)</f>
        <v>0</v>
      </c>
      <c r="J146" s="34" t="s">
        <v>33</v>
      </c>
      <c r="O146" s="37">
        <f>I146*0.21</f>
        <v>0</v>
      </c>
      <c r="P146">
        <v>3</v>
      </c>
    </row>
    <row r="147" spans="1:16" ht="115.2" x14ac:dyDescent="0.3">
      <c r="A147" s="31" t="s">
        <v>34</v>
      </c>
      <c r="B147" s="38"/>
      <c r="E147" s="33" t="s">
        <v>187</v>
      </c>
      <c r="J147" s="39"/>
    </row>
    <row r="148" spans="1:16" x14ac:dyDescent="0.3">
      <c r="A148" s="31" t="s">
        <v>36</v>
      </c>
      <c r="B148" s="38"/>
      <c r="E148" s="40" t="s">
        <v>188</v>
      </c>
      <c r="J148" s="39"/>
    </row>
    <row r="149" spans="1:16" x14ac:dyDescent="0.3">
      <c r="A149" s="31" t="s">
        <v>36</v>
      </c>
      <c r="B149" s="38"/>
      <c r="E149" s="40" t="s">
        <v>189</v>
      </c>
      <c r="J149" s="39"/>
    </row>
    <row r="150" spans="1:16" x14ac:dyDescent="0.3">
      <c r="A150" s="31" t="s">
        <v>36</v>
      </c>
      <c r="B150" s="38"/>
      <c r="E150" s="40" t="s">
        <v>190</v>
      </c>
      <c r="J150" s="39"/>
    </row>
    <row r="151" spans="1:16" ht="129.6" x14ac:dyDescent="0.3">
      <c r="A151" s="31" t="s">
        <v>40</v>
      </c>
      <c r="B151" s="38"/>
      <c r="E151" s="33" t="s">
        <v>191</v>
      </c>
      <c r="J151" s="39"/>
    </row>
    <row r="152" spans="1:16" x14ac:dyDescent="0.3">
      <c r="A152" s="31" t="s">
        <v>28</v>
      </c>
      <c r="B152" s="31">
        <v>26</v>
      </c>
      <c r="C152" s="32" t="s">
        <v>192</v>
      </c>
      <c r="D152" s="31" t="s">
        <v>30</v>
      </c>
      <c r="E152" s="33" t="s">
        <v>193</v>
      </c>
      <c r="F152" s="34" t="s">
        <v>125</v>
      </c>
      <c r="G152" s="35">
        <v>417.5</v>
      </c>
      <c r="H152" s="36">
        <v>0</v>
      </c>
      <c r="I152" s="36">
        <f>ROUND(G152*H152,P4)</f>
        <v>0</v>
      </c>
      <c r="J152" s="34" t="s">
        <v>33</v>
      </c>
      <c r="O152" s="37">
        <f>I152*0.21</f>
        <v>0</v>
      </c>
      <c r="P152">
        <v>3</v>
      </c>
    </row>
    <row r="153" spans="1:16" ht="86.4" x14ac:dyDescent="0.3">
      <c r="A153" s="31" t="s">
        <v>34</v>
      </c>
      <c r="B153" s="38"/>
      <c r="E153" s="33" t="s">
        <v>194</v>
      </c>
      <c r="J153" s="39"/>
    </row>
    <row r="154" spans="1:16" x14ac:dyDescent="0.3">
      <c r="A154" s="31" t="s">
        <v>36</v>
      </c>
      <c r="B154" s="38"/>
      <c r="E154" s="40" t="s">
        <v>195</v>
      </c>
      <c r="J154" s="39"/>
    </row>
    <row r="155" spans="1:16" ht="86.4" x14ac:dyDescent="0.3">
      <c r="A155" s="31" t="s">
        <v>40</v>
      </c>
      <c r="B155" s="38"/>
      <c r="E155" s="33" t="s">
        <v>196</v>
      </c>
      <c r="J155" s="39"/>
    </row>
    <row r="156" spans="1:16" x14ac:dyDescent="0.3">
      <c r="A156" s="31" t="s">
        <v>28</v>
      </c>
      <c r="B156" s="31">
        <v>27</v>
      </c>
      <c r="C156" s="32" t="s">
        <v>197</v>
      </c>
      <c r="D156" s="31" t="s">
        <v>30</v>
      </c>
      <c r="E156" s="33" t="s">
        <v>198</v>
      </c>
      <c r="F156" s="34" t="s">
        <v>199</v>
      </c>
      <c r="G156" s="35">
        <v>363</v>
      </c>
      <c r="H156" s="36">
        <v>0</v>
      </c>
      <c r="I156" s="36">
        <f>ROUND(G156*H156,P4)</f>
        <v>0</v>
      </c>
      <c r="J156" s="34" t="s">
        <v>33</v>
      </c>
      <c r="O156" s="37">
        <f>I156*0.21</f>
        <v>0</v>
      </c>
      <c r="P156">
        <v>3</v>
      </c>
    </row>
    <row r="157" spans="1:16" ht="86.4" x14ac:dyDescent="0.3">
      <c r="A157" s="31" t="s">
        <v>34</v>
      </c>
      <c r="B157" s="38"/>
      <c r="E157" s="33" t="s">
        <v>200</v>
      </c>
      <c r="J157" s="39"/>
    </row>
    <row r="158" spans="1:16" ht="28.8" x14ac:dyDescent="0.3">
      <c r="A158" s="31" t="s">
        <v>36</v>
      </c>
      <c r="B158" s="38"/>
      <c r="E158" s="40" t="s">
        <v>201</v>
      </c>
      <c r="J158" s="39"/>
    </row>
    <row r="159" spans="1:16" ht="100.8" x14ac:dyDescent="0.3">
      <c r="A159" s="31" t="s">
        <v>40</v>
      </c>
      <c r="B159" s="38"/>
      <c r="E159" s="33" t="s">
        <v>202</v>
      </c>
      <c r="J159" s="39"/>
    </row>
    <row r="160" spans="1:16" x14ac:dyDescent="0.3">
      <c r="A160" s="31" t="s">
        <v>28</v>
      </c>
      <c r="B160" s="31">
        <v>28</v>
      </c>
      <c r="C160" s="32" t="s">
        <v>203</v>
      </c>
      <c r="D160" s="31" t="s">
        <v>30</v>
      </c>
      <c r="E160" s="33" t="s">
        <v>204</v>
      </c>
      <c r="F160" s="34" t="s">
        <v>199</v>
      </c>
      <c r="G160" s="35">
        <v>420</v>
      </c>
      <c r="H160" s="36">
        <v>0</v>
      </c>
      <c r="I160" s="36">
        <f>ROUND(G160*H160,P4)</f>
        <v>0</v>
      </c>
      <c r="J160" s="34" t="s">
        <v>33</v>
      </c>
      <c r="O160" s="37">
        <f>I160*0.21</f>
        <v>0</v>
      </c>
      <c r="P160">
        <v>3</v>
      </c>
    </row>
    <row r="161" spans="1:16" ht="129.6" x14ac:dyDescent="0.3">
      <c r="A161" s="31" t="s">
        <v>34</v>
      </c>
      <c r="B161" s="38"/>
      <c r="E161" s="33" t="s">
        <v>205</v>
      </c>
      <c r="J161" s="39"/>
    </row>
    <row r="162" spans="1:16" x14ac:dyDescent="0.3">
      <c r="A162" s="31" t="s">
        <v>36</v>
      </c>
      <c r="B162" s="38"/>
      <c r="E162" s="40" t="s">
        <v>206</v>
      </c>
      <c r="J162" s="39"/>
    </row>
    <row r="163" spans="1:16" ht="244.8" x14ac:dyDescent="0.3">
      <c r="A163" s="31" t="s">
        <v>40</v>
      </c>
      <c r="B163" s="38"/>
      <c r="E163" s="33" t="s">
        <v>207</v>
      </c>
      <c r="J163" s="39"/>
    </row>
    <row r="164" spans="1:16" x14ac:dyDescent="0.3">
      <c r="A164" s="31" t="s">
        <v>28</v>
      </c>
      <c r="B164" s="31">
        <v>29</v>
      </c>
      <c r="C164" s="32" t="s">
        <v>208</v>
      </c>
      <c r="D164" s="31" t="s">
        <v>30</v>
      </c>
      <c r="E164" s="33" t="s">
        <v>209</v>
      </c>
      <c r="F164" s="34" t="s">
        <v>199</v>
      </c>
      <c r="G164" s="35">
        <v>982</v>
      </c>
      <c r="H164" s="36">
        <v>0</v>
      </c>
      <c r="I164" s="36">
        <f>ROUND(G164*H164,P4)</f>
        <v>0</v>
      </c>
      <c r="J164" s="34" t="s">
        <v>33</v>
      </c>
      <c r="O164" s="37">
        <f>I164*0.21</f>
        <v>0</v>
      </c>
      <c r="P164">
        <v>3</v>
      </c>
    </row>
    <row r="165" spans="1:16" ht="144" x14ac:dyDescent="0.3">
      <c r="A165" s="31" t="s">
        <v>34</v>
      </c>
      <c r="B165" s="38"/>
      <c r="E165" s="33" t="s">
        <v>210</v>
      </c>
      <c r="J165" s="39"/>
    </row>
    <row r="166" spans="1:16" x14ac:dyDescent="0.3">
      <c r="A166" s="31" t="s">
        <v>36</v>
      </c>
      <c r="B166" s="38"/>
      <c r="E166" s="40" t="s">
        <v>211</v>
      </c>
      <c r="J166" s="39"/>
    </row>
    <row r="167" spans="1:16" x14ac:dyDescent="0.3">
      <c r="A167" s="31" t="s">
        <v>36</v>
      </c>
      <c r="B167" s="38"/>
      <c r="E167" s="40" t="s">
        <v>212</v>
      </c>
      <c r="J167" s="39"/>
    </row>
    <row r="168" spans="1:16" x14ac:dyDescent="0.3">
      <c r="A168" s="31" t="s">
        <v>36</v>
      </c>
      <c r="B168" s="38"/>
      <c r="E168" s="40" t="s">
        <v>213</v>
      </c>
      <c r="J168" s="39"/>
    </row>
    <row r="169" spans="1:16" x14ac:dyDescent="0.3">
      <c r="A169" s="31" t="s">
        <v>36</v>
      </c>
      <c r="B169" s="38"/>
      <c r="E169" s="40" t="s">
        <v>214</v>
      </c>
      <c r="J169" s="39"/>
    </row>
    <row r="170" spans="1:16" x14ac:dyDescent="0.3">
      <c r="A170" s="31" t="s">
        <v>36</v>
      </c>
      <c r="B170" s="38"/>
      <c r="E170" s="40" t="s">
        <v>215</v>
      </c>
      <c r="J170" s="39"/>
    </row>
    <row r="171" spans="1:16" x14ac:dyDescent="0.3">
      <c r="A171" s="31" t="s">
        <v>36</v>
      </c>
      <c r="B171" s="38"/>
      <c r="E171" s="40" t="s">
        <v>216</v>
      </c>
      <c r="J171" s="39"/>
    </row>
    <row r="172" spans="1:16" x14ac:dyDescent="0.3">
      <c r="A172" s="31" t="s">
        <v>36</v>
      </c>
      <c r="B172" s="38"/>
      <c r="E172" s="40" t="s">
        <v>217</v>
      </c>
      <c r="J172" s="39"/>
    </row>
    <row r="173" spans="1:16" x14ac:dyDescent="0.3">
      <c r="A173" s="31" t="s">
        <v>36</v>
      </c>
      <c r="B173" s="38"/>
      <c r="E173" s="40" t="s">
        <v>218</v>
      </c>
      <c r="J173" s="39"/>
    </row>
    <row r="174" spans="1:16" ht="244.8" x14ac:dyDescent="0.3">
      <c r="A174" s="31" t="s">
        <v>40</v>
      </c>
      <c r="B174" s="38"/>
      <c r="E174" s="33" t="s">
        <v>207</v>
      </c>
      <c r="J174" s="39"/>
    </row>
    <row r="175" spans="1:16" x14ac:dyDescent="0.3">
      <c r="A175" s="31" t="s">
        <v>28</v>
      </c>
      <c r="B175" s="31">
        <v>30</v>
      </c>
      <c r="C175" s="32" t="s">
        <v>219</v>
      </c>
      <c r="D175" s="31" t="s">
        <v>30</v>
      </c>
      <c r="E175" s="33" t="s">
        <v>220</v>
      </c>
      <c r="F175" s="34" t="s">
        <v>199</v>
      </c>
      <c r="G175" s="35">
        <v>435</v>
      </c>
      <c r="H175" s="36">
        <v>0</v>
      </c>
      <c r="I175" s="36">
        <f>ROUND(G175*H175,P4)</f>
        <v>0</v>
      </c>
      <c r="J175" s="34" t="s">
        <v>33</v>
      </c>
      <c r="O175" s="37">
        <f>I175*0.21</f>
        <v>0</v>
      </c>
      <c r="P175">
        <v>3</v>
      </c>
    </row>
    <row r="176" spans="1:16" ht="144" x14ac:dyDescent="0.3">
      <c r="A176" s="31" t="s">
        <v>34</v>
      </c>
      <c r="B176" s="38"/>
      <c r="E176" s="33" t="s">
        <v>210</v>
      </c>
      <c r="J176" s="39"/>
    </row>
    <row r="177" spans="1:16" x14ac:dyDescent="0.3">
      <c r="A177" s="31" t="s">
        <v>36</v>
      </c>
      <c r="B177" s="38"/>
      <c r="E177" s="40" t="s">
        <v>221</v>
      </c>
      <c r="J177" s="39"/>
    </row>
    <row r="178" spans="1:16" x14ac:dyDescent="0.3">
      <c r="A178" s="31" t="s">
        <v>36</v>
      </c>
      <c r="B178" s="38"/>
      <c r="E178" s="40" t="s">
        <v>222</v>
      </c>
      <c r="J178" s="39"/>
    </row>
    <row r="179" spans="1:16" x14ac:dyDescent="0.3">
      <c r="A179" s="31" t="s">
        <v>36</v>
      </c>
      <c r="B179" s="38"/>
      <c r="E179" s="40" t="s">
        <v>223</v>
      </c>
      <c r="J179" s="39"/>
    </row>
    <row r="180" spans="1:16" x14ac:dyDescent="0.3">
      <c r="A180" s="31" t="s">
        <v>36</v>
      </c>
      <c r="B180" s="38"/>
      <c r="E180" s="40" t="s">
        <v>224</v>
      </c>
      <c r="J180" s="39"/>
    </row>
    <row r="181" spans="1:16" x14ac:dyDescent="0.3">
      <c r="A181" s="31" t="s">
        <v>36</v>
      </c>
      <c r="B181" s="38"/>
      <c r="E181" s="40" t="s">
        <v>225</v>
      </c>
      <c r="J181" s="39"/>
    </row>
    <row r="182" spans="1:16" x14ac:dyDescent="0.3">
      <c r="A182" s="31" t="s">
        <v>36</v>
      </c>
      <c r="B182" s="38"/>
      <c r="E182" s="40" t="s">
        <v>226</v>
      </c>
      <c r="J182" s="39"/>
    </row>
    <row r="183" spans="1:16" x14ac:dyDescent="0.3">
      <c r="A183" s="31" t="s">
        <v>36</v>
      </c>
      <c r="B183" s="38"/>
      <c r="E183" s="40" t="s">
        <v>227</v>
      </c>
      <c r="J183" s="39"/>
    </row>
    <row r="184" spans="1:16" x14ac:dyDescent="0.3">
      <c r="A184" s="31" t="s">
        <v>36</v>
      </c>
      <c r="B184" s="38"/>
      <c r="E184" s="40" t="s">
        <v>228</v>
      </c>
      <c r="J184" s="39"/>
    </row>
    <row r="185" spans="1:16" ht="244.8" x14ac:dyDescent="0.3">
      <c r="A185" s="31" t="s">
        <v>40</v>
      </c>
      <c r="B185" s="38"/>
      <c r="E185" s="33" t="s">
        <v>207</v>
      </c>
      <c r="J185" s="39"/>
    </row>
    <row r="186" spans="1:16" x14ac:dyDescent="0.3">
      <c r="A186" s="31" t="s">
        <v>28</v>
      </c>
      <c r="B186" s="31">
        <v>31</v>
      </c>
      <c r="C186" s="32" t="s">
        <v>229</v>
      </c>
      <c r="D186" s="31" t="s">
        <v>30</v>
      </c>
      <c r="E186" s="33" t="s">
        <v>230</v>
      </c>
      <c r="F186" s="34" t="s">
        <v>32</v>
      </c>
      <c r="G186" s="35">
        <v>695.76400000000001</v>
      </c>
      <c r="H186" s="36">
        <v>0</v>
      </c>
      <c r="I186" s="36">
        <f>ROUND(G186*H186,P4)</f>
        <v>0</v>
      </c>
      <c r="J186" s="34" t="s">
        <v>33</v>
      </c>
      <c r="O186" s="37">
        <f>I186*0.21</f>
        <v>0</v>
      </c>
      <c r="P186">
        <v>3</v>
      </c>
    </row>
    <row r="187" spans="1:16" ht="115.2" x14ac:dyDescent="0.3">
      <c r="A187" s="31" t="s">
        <v>34</v>
      </c>
      <c r="B187" s="38"/>
      <c r="E187" s="33" t="s">
        <v>231</v>
      </c>
      <c r="J187" s="39"/>
    </row>
    <row r="188" spans="1:16" x14ac:dyDescent="0.3">
      <c r="A188" s="31" t="s">
        <v>36</v>
      </c>
      <c r="B188" s="38"/>
      <c r="E188" s="40" t="s">
        <v>232</v>
      </c>
      <c r="J188" s="39"/>
    </row>
    <row r="189" spans="1:16" x14ac:dyDescent="0.3">
      <c r="A189" s="31" t="s">
        <v>36</v>
      </c>
      <c r="B189" s="38"/>
      <c r="E189" s="40" t="s">
        <v>233</v>
      </c>
      <c r="J189" s="39"/>
    </row>
    <row r="190" spans="1:16" x14ac:dyDescent="0.3">
      <c r="A190" s="31" t="s">
        <v>36</v>
      </c>
      <c r="B190" s="38"/>
      <c r="E190" s="40" t="s">
        <v>234</v>
      </c>
      <c r="J190" s="39"/>
    </row>
    <row r="191" spans="1:16" x14ac:dyDescent="0.3">
      <c r="A191" s="31" t="s">
        <v>36</v>
      </c>
      <c r="B191" s="38"/>
      <c r="E191" s="40" t="s">
        <v>235</v>
      </c>
      <c r="J191" s="39"/>
    </row>
    <row r="192" spans="1:16" ht="409.6" x14ac:dyDescent="0.3">
      <c r="A192" s="31" t="s">
        <v>40</v>
      </c>
      <c r="B192" s="38"/>
      <c r="E192" s="33" t="s">
        <v>236</v>
      </c>
      <c r="J192" s="39"/>
    </row>
    <row r="193" spans="1:16" x14ac:dyDescent="0.3">
      <c r="A193" s="31" t="s">
        <v>28</v>
      </c>
      <c r="B193" s="31">
        <v>32</v>
      </c>
      <c r="C193" s="32" t="s">
        <v>237</v>
      </c>
      <c r="D193" s="31" t="s">
        <v>30</v>
      </c>
      <c r="E193" s="33" t="s">
        <v>238</v>
      </c>
      <c r="F193" s="34" t="s">
        <v>181</v>
      </c>
      <c r="G193" s="35">
        <v>90.448999999999998</v>
      </c>
      <c r="H193" s="36">
        <v>0</v>
      </c>
      <c r="I193" s="36">
        <f>ROUND(G193*H193,P4)</f>
        <v>0</v>
      </c>
      <c r="J193" s="34" t="s">
        <v>33</v>
      </c>
      <c r="O193" s="37">
        <f>I193*0.21</f>
        <v>0</v>
      </c>
      <c r="P193">
        <v>3</v>
      </c>
    </row>
    <row r="194" spans="1:16" ht="86.4" x14ac:dyDescent="0.3">
      <c r="A194" s="31" t="s">
        <v>34</v>
      </c>
      <c r="B194" s="38"/>
      <c r="E194" s="33" t="s">
        <v>239</v>
      </c>
      <c r="J194" s="39"/>
    </row>
    <row r="195" spans="1:16" x14ac:dyDescent="0.3">
      <c r="A195" s="31" t="s">
        <v>36</v>
      </c>
      <c r="B195" s="38"/>
      <c r="E195" s="40" t="s">
        <v>240</v>
      </c>
      <c r="J195" s="39"/>
    </row>
    <row r="196" spans="1:16" ht="345.6" x14ac:dyDescent="0.3">
      <c r="A196" s="31" t="s">
        <v>40</v>
      </c>
      <c r="B196" s="38"/>
      <c r="E196" s="33" t="s">
        <v>241</v>
      </c>
      <c r="J196" s="39"/>
    </row>
    <row r="197" spans="1:16" x14ac:dyDescent="0.3">
      <c r="A197" s="31" t="s">
        <v>28</v>
      </c>
      <c r="B197" s="31">
        <v>33</v>
      </c>
      <c r="C197" s="32" t="s">
        <v>242</v>
      </c>
      <c r="D197" s="31" t="s">
        <v>30</v>
      </c>
      <c r="E197" s="33" t="s">
        <v>243</v>
      </c>
      <c r="F197" s="34" t="s">
        <v>44</v>
      </c>
      <c r="G197" s="35">
        <v>18</v>
      </c>
      <c r="H197" s="36">
        <v>0</v>
      </c>
      <c r="I197" s="36">
        <f>ROUND(G197*H197,P4)</f>
        <v>0</v>
      </c>
      <c r="J197" s="34" t="s">
        <v>33</v>
      </c>
      <c r="O197" s="37">
        <f>I197*0.21</f>
        <v>0</v>
      </c>
      <c r="P197">
        <v>3</v>
      </c>
    </row>
    <row r="198" spans="1:16" ht="86.4" x14ac:dyDescent="0.3">
      <c r="A198" s="31" t="s">
        <v>34</v>
      </c>
      <c r="B198" s="38"/>
      <c r="E198" s="33" t="s">
        <v>244</v>
      </c>
      <c r="J198" s="39"/>
    </row>
    <row r="199" spans="1:16" x14ac:dyDescent="0.3">
      <c r="A199" s="31" t="s">
        <v>36</v>
      </c>
      <c r="B199" s="38"/>
      <c r="E199" s="40" t="s">
        <v>245</v>
      </c>
      <c r="J199" s="39"/>
    </row>
    <row r="200" spans="1:16" ht="72" x14ac:dyDescent="0.3">
      <c r="A200" s="31" t="s">
        <v>40</v>
      </c>
      <c r="B200" s="38"/>
      <c r="E200" s="33" t="s">
        <v>246</v>
      </c>
      <c r="J200" s="39"/>
    </row>
    <row r="201" spans="1:16" x14ac:dyDescent="0.3">
      <c r="A201" s="31" t="s">
        <v>28</v>
      </c>
      <c r="B201" s="31">
        <v>34</v>
      </c>
      <c r="C201" s="32" t="s">
        <v>247</v>
      </c>
      <c r="D201" s="31" t="s">
        <v>30</v>
      </c>
      <c r="E201" s="33" t="s">
        <v>248</v>
      </c>
      <c r="F201" s="34" t="s">
        <v>44</v>
      </c>
      <c r="G201" s="35">
        <v>3</v>
      </c>
      <c r="H201" s="36">
        <v>0</v>
      </c>
      <c r="I201" s="36">
        <f>ROUND(G201*H201,P4)</f>
        <v>0</v>
      </c>
      <c r="J201" s="34" t="s">
        <v>33</v>
      </c>
      <c r="O201" s="37">
        <f>I201*0.21</f>
        <v>0</v>
      </c>
      <c r="P201">
        <v>3</v>
      </c>
    </row>
    <row r="202" spans="1:16" ht="86.4" x14ac:dyDescent="0.3">
      <c r="A202" s="31" t="s">
        <v>34</v>
      </c>
      <c r="B202" s="38"/>
      <c r="E202" s="33" t="s">
        <v>244</v>
      </c>
      <c r="J202" s="39"/>
    </row>
    <row r="203" spans="1:16" x14ac:dyDescent="0.3">
      <c r="A203" s="31" t="s">
        <v>36</v>
      </c>
      <c r="B203" s="38"/>
      <c r="E203" s="40" t="s">
        <v>249</v>
      </c>
      <c r="J203" s="39"/>
    </row>
    <row r="204" spans="1:16" ht="72" x14ac:dyDescent="0.3">
      <c r="A204" s="31" t="s">
        <v>40</v>
      </c>
      <c r="B204" s="38"/>
      <c r="E204" s="33" t="s">
        <v>246</v>
      </c>
      <c r="J204" s="39"/>
    </row>
    <row r="205" spans="1:16" x14ac:dyDescent="0.3">
      <c r="A205" s="31" t="s">
        <v>28</v>
      </c>
      <c r="B205" s="31">
        <v>35</v>
      </c>
      <c r="C205" s="32" t="s">
        <v>250</v>
      </c>
      <c r="D205" s="31" t="s">
        <v>30</v>
      </c>
      <c r="E205" s="33" t="s">
        <v>251</v>
      </c>
      <c r="F205" s="34" t="s">
        <v>44</v>
      </c>
      <c r="G205" s="35">
        <v>6</v>
      </c>
      <c r="H205" s="36">
        <v>0</v>
      </c>
      <c r="I205" s="36">
        <f>ROUND(G205*H205,P4)</f>
        <v>0</v>
      </c>
      <c r="J205" s="34" t="s">
        <v>33</v>
      </c>
      <c r="O205" s="37">
        <f>I205*0.21</f>
        <v>0</v>
      </c>
      <c r="P205">
        <v>3</v>
      </c>
    </row>
    <row r="206" spans="1:16" ht="86.4" x14ac:dyDescent="0.3">
      <c r="A206" s="31" t="s">
        <v>34</v>
      </c>
      <c r="B206" s="38"/>
      <c r="E206" s="33" t="s">
        <v>252</v>
      </c>
      <c r="J206" s="39"/>
    </row>
    <row r="207" spans="1:16" x14ac:dyDescent="0.3">
      <c r="A207" s="31" t="s">
        <v>36</v>
      </c>
      <c r="B207" s="38"/>
      <c r="E207" s="40" t="s">
        <v>253</v>
      </c>
      <c r="J207" s="39"/>
    </row>
    <row r="208" spans="1:16" ht="72" x14ac:dyDescent="0.3">
      <c r="A208" s="31" t="s">
        <v>40</v>
      </c>
      <c r="B208" s="38"/>
      <c r="E208" s="33" t="s">
        <v>246</v>
      </c>
      <c r="J208" s="39"/>
    </row>
    <row r="209" spans="1:16" x14ac:dyDescent="0.3">
      <c r="A209" s="31" t="s">
        <v>28</v>
      </c>
      <c r="B209" s="31">
        <v>36</v>
      </c>
      <c r="C209" s="32" t="s">
        <v>254</v>
      </c>
      <c r="D209" s="31" t="s">
        <v>30</v>
      </c>
      <c r="E209" s="33" t="s">
        <v>255</v>
      </c>
      <c r="F209" s="34" t="s">
        <v>44</v>
      </c>
      <c r="G209" s="35">
        <v>6</v>
      </c>
      <c r="H209" s="36">
        <v>0</v>
      </c>
      <c r="I209" s="36">
        <f>ROUND(G209*H209,P4)</f>
        <v>0</v>
      </c>
      <c r="J209" s="34" t="s">
        <v>33</v>
      </c>
      <c r="O209" s="37">
        <f>I209*0.21</f>
        <v>0</v>
      </c>
      <c r="P209">
        <v>3</v>
      </c>
    </row>
    <row r="210" spans="1:16" ht="86.4" x14ac:dyDescent="0.3">
      <c r="A210" s="31" t="s">
        <v>34</v>
      </c>
      <c r="B210" s="38"/>
      <c r="E210" s="33" t="s">
        <v>252</v>
      </c>
      <c r="J210" s="39"/>
    </row>
    <row r="211" spans="1:16" x14ac:dyDescent="0.3">
      <c r="A211" s="31" t="s">
        <v>36</v>
      </c>
      <c r="B211" s="38"/>
      <c r="E211" s="40" t="s">
        <v>253</v>
      </c>
      <c r="J211" s="39"/>
    </row>
    <row r="212" spans="1:16" ht="72" x14ac:dyDescent="0.3">
      <c r="A212" s="31" t="s">
        <v>40</v>
      </c>
      <c r="B212" s="38"/>
      <c r="E212" s="33" t="s">
        <v>246</v>
      </c>
      <c r="J212" s="39"/>
    </row>
    <row r="213" spans="1:16" x14ac:dyDescent="0.3">
      <c r="A213" s="31" t="s">
        <v>28</v>
      </c>
      <c r="B213" s="31">
        <v>37</v>
      </c>
      <c r="C213" s="32" t="s">
        <v>256</v>
      </c>
      <c r="D213" s="31" t="s">
        <v>30</v>
      </c>
      <c r="E213" s="33" t="s">
        <v>257</v>
      </c>
      <c r="F213" s="34" t="s">
        <v>125</v>
      </c>
      <c r="G213" s="35">
        <v>435.6</v>
      </c>
      <c r="H213" s="36">
        <v>0</v>
      </c>
      <c r="I213" s="36">
        <f>ROUND(G213*H213,P4)</f>
        <v>0</v>
      </c>
      <c r="J213" s="34" t="s">
        <v>33</v>
      </c>
      <c r="O213" s="37">
        <f>I213*0.21</f>
        <v>0</v>
      </c>
      <c r="P213">
        <v>3</v>
      </c>
    </row>
    <row r="214" spans="1:16" ht="129.6" x14ac:dyDescent="0.3">
      <c r="A214" s="31" t="s">
        <v>34</v>
      </c>
      <c r="B214" s="38"/>
      <c r="E214" s="33" t="s">
        <v>258</v>
      </c>
      <c r="J214" s="39"/>
    </row>
    <row r="215" spans="1:16" x14ac:dyDescent="0.3">
      <c r="A215" s="31" t="s">
        <v>36</v>
      </c>
      <c r="B215" s="38"/>
      <c r="E215" s="40" t="s">
        <v>138</v>
      </c>
      <c r="J215" s="39"/>
    </row>
    <row r="216" spans="1:16" ht="172.8" x14ac:dyDescent="0.3">
      <c r="A216" s="31" t="s">
        <v>40</v>
      </c>
      <c r="B216" s="38"/>
      <c r="E216" s="33" t="s">
        <v>259</v>
      </c>
      <c r="J216" s="39"/>
    </row>
    <row r="217" spans="1:16" x14ac:dyDescent="0.3">
      <c r="A217" s="31" t="s">
        <v>28</v>
      </c>
      <c r="B217" s="31">
        <v>38</v>
      </c>
      <c r="C217" s="32" t="s">
        <v>260</v>
      </c>
      <c r="D217" s="31" t="s">
        <v>30</v>
      </c>
      <c r="E217" s="33" t="s">
        <v>261</v>
      </c>
      <c r="F217" s="34" t="s">
        <v>125</v>
      </c>
      <c r="G217" s="35">
        <v>160.58000000000001</v>
      </c>
      <c r="H217" s="36">
        <v>0</v>
      </c>
      <c r="I217" s="36">
        <f>ROUND(G217*H217,P4)</f>
        <v>0</v>
      </c>
      <c r="J217" s="34" t="s">
        <v>33</v>
      </c>
      <c r="O217" s="37">
        <f>I217*0.21</f>
        <v>0</v>
      </c>
      <c r="P217">
        <v>3</v>
      </c>
    </row>
    <row r="218" spans="1:16" ht="100.8" x14ac:dyDescent="0.3">
      <c r="A218" s="31" t="s">
        <v>34</v>
      </c>
      <c r="B218" s="38"/>
      <c r="E218" s="33" t="s">
        <v>262</v>
      </c>
      <c r="J218" s="39"/>
    </row>
    <row r="219" spans="1:16" x14ac:dyDescent="0.3">
      <c r="A219" s="31" t="s">
        <v>36</v>
      </c>
      <c r="B219" s="38"/>
      <c r="E219" s="40" t="s">
        <v>263</v>
      </c>
      <c r="J219" s="39"/>
    </row>
    <row r="220" spans="1:16" x14ac:dyDescent="0.3">
      <c r="A220" s="31" t="s">
        <v>36</v>
      </c>
      <c r="B220" s="38"/>
      <c r="E220" s="40" t="s">
        <v>264</v>
      </c>
      <c r="J220" s="39"/>
    </row>
    <row r="221" spans="1:16" x14ac:dyDescent="0.3">
      <c r="A221" s="31" t="s">
        <v>36</v>
      </c>
      <c r="B221" s="38"/>
      <c r="E221" s="40" t="s">
        <v>265</v>
      </c>
      <c r="J221" s="39"/>
    </row>
    <row r="222" spans="1:16" ht="172.8" x14ac:dyDescent="0.3">
      <c r="A222" s="31" t="s">
        <v>40</v>
      </c>
      <c r="B222" s="38"/>
      <c r="E222" s="33" t="s">
        <v>266</v>
      </c>
      <c r="J222" s="39"/>
    </row>
    <row r="223" spans="1:16" x14ac:dyDescent="0.3">
      <c r="A223" s="25" t="s">
        <v>25</v>
      </c>
      <c r="B223" s="26"/>
      <c r="C223" s="27" t="s">
        <v>267</v>
      </c>
      <c r="D223" s="28"/>
      <c r="E223" s="25" t="s">
        <v>268</v>
      </c>
      <c r="F223" s="28"/>
      <c r="G223" s="28"/>
      <c r="H223" s="28"/>
      <c r="I223" s="29">
        <f>SUMIFS(I224:I276,A224:A276,"P")</f>
        <v>0</v>
      </c>
      <c r="J223" s="30"/>
    </row>
    <row r="224" spans="1:16" x14ac:dyDescent="0.3">
      <c r="A224" s="31" t="s">
        <v>28</v>
      </c>
      <c r="B224" s="31">
        <v>39</v>
      </c>
      <c r="C224" s="32" t="s">
        <v>269</v>
      </c>
      <c r="D224" s="31" t="s">
        <v>30</v>
      </c>
      <c r="E224" s="33" t="s">
        <v>270</v>
      </c>
      <c r="F224" s="34" t="s">
        <v>271</v>
      </c>
      <c r="G224" s="35">
        <v>2832</v>
      </c>
      <c r="H224" s="36">
        <v>0</v>
      </c>
      <c r="I224" s="36">
        <f>ROUND(G224*H224,P4)</f>
        <v>0</v>
      </c>
      <c r="J224" s="34" t="s">
        <v>33</v>
      </c>
      <c r="O224" s="37">
        <f>I224*0.21</f>
        <v>0</v>
      </c>
      <c r="P224">
        <v>3</v>
      </c>
    </row>
    <row r="225" spans="1:16" ht="100.8" x14ac:dyDescent="0.3">
      <c r="A225" s="31" t="s">
        <v>34</v>
      </c>
      <c r="B225" s="38"/>
      <c r="E225" s="33" t="s">
        <v>272</v>
      </c>
      <c r="J225" s="39"/>
    </row>
    <row r="226" spans="1:16" x14ac:dyDescent="0.3">
      <c r="A226" s="31" t="s">
        <v>36</v>
      </c>
      <c r="B226" s="38"/>
      <c r="E226" s="40" t="s">
        <v>273</v>
      </c>
      <c r="J226" s="39"/>
    </row>
    <row r="227" spans="1:16" x14ac:dyDescent="0.3">
      <c r="A227" s="31" t="s">
        <v>36</v>
      </c>
      <c r="B227" s="38"/>
      <c r="E227" s="40" t="s">
        <v>274</v>
      </c>
      <c r="J227" s="39"/>
    </row>
    <row r="228" spans="1:16" x14ac:dyDescent="0.3">
      <c r="A228" s="31" t="s">
        <v>36</v>
      </c>
      <c r="B228" s="38"/>
      <c r="E228" s="40" t="s">
        <v>275</v>
      </c>
      <c r="J228" s="39"/>
    </row>
    <row r="229" spans="1:16" x14ac:dyDescent="0.3">
      <c r="A229" s="31" t="s">
        <v>36</v>
      </c>
      <c r="B229" s="38"/>
      <c r="E229" s="40" t="s">
        <v>276</v>
      </c>
      <c r="J229" s="39"/>
    </row>
    <row r="230" spans="1:16" ht="86.4" x14ac:dyDescent="0.3">
      <c r="A230" s="31" t="s">
        <v>40</v>
      </c>
      <c r="B230" s="38"/>
      <c r="E230" s="33" t="s">
        <v>277</v>
      </c>
      <c r="J230" s="39"/>
    </row>
    <row r="231" spans="1:16" ht="28.8" x14ac:dyDescent="0.3">
      <c r="A231" s="31" t="s">
        <v>28</v>
      </c>
      <c r="B231" s="31">
        <v>40</v>
      </c>
      <c r="C231" s="32" t="s">
        <v>278</v>
      </c>
      <c r="D231" s="31" t="s">
        <v>30</v>
      </c>
      <c r="E231" s="33" t="s">
        <v>279</v>
      </c>
      <c r="F231" s="34" t="s">
        <v>44</v>
      </c>
      <c r="G231" s="35">
        <v>10</v>
      </c>
      <c r="H231" s="36">
        <v>0</v>
      </c>
      <c r="I231" s="36">
        <f>ROUND(G231*H231,P4)</f>
        <v>0</v>
      </c>
      <c r="J231" s="34" t="s">
        <v>33</v>
      </c>
      <c r="O231" s="37">
        <f>I231*0.21</f>
        <v>0</v>
      </c>
      <c r="P231">
        <v>3</v>
      </c>
    </row>
    <row r="232" spans="1:16" ht="86.4" x14ac:dyDescent="0.3">
      <c r="A232" s="31" t="s">
        <v>34</v>
      </c>
      <c r="B232" s="38"/>
      <c r="E232" s="33" t="s">
        <v>280</v>
      </c>
      <c r="J232" s="39"/>
    </row>
    <row r="233" spans="1:16" x14ac:dyDescent="0.3">
      <c r="A233" s="31" t="s">
        <v>36</v>
      </c>
      <c r="B233" s="38"/>
      <c r="E233" s="40" t="s">
        <v>281</v>
      </c>
      <c r="J233" s="39"/>
    </row>
    <row r="234" spans="1:16" ht="86.4" x14ac:dyDescent="0.3">
      <c r="A234" s="31" t="s">
        <v>40</v>
      </c>
      <c r="B234" s="38"/>
      <c r="E234" s="33" t="s">
        <v>277</v>
      </c>
      <c r="J234" s="39"/>
    </row>
    <row r="235" spans="1:16" ht="28.8" x14ac:dyDescent="0.3">
      <c r="A235" s="31" t="s">
        <v>28</v>
      </c>
      <c r="B235" s="31">
        <v>41</v>
      </c>
      <c r="C235" s="32" t="s">
        <v>282</v>
      </c>
      <c r="D235" s="31" t="s">
        <v>30</v>
      </c>
      <c r="E235" s="33" t="s">
        <v>283</v>
      </c>
      <c r="F235" s="34" t="s">
        <v>44</v>
      </c>
      <c r="G235" s="35">
        <v>10</v>
      </c>
      <c r="H235" s="36">
        <v>0</v>
      </c>
      <c r="I235" s="36">
        <f>ROUND(G235*H235,P4)</f>
        <v>0</v>
      </c>
      <c r="J235" s="34" t="s">
        <v>33</v>
      </c>
      <c r="O235" s="37">
        <f>I235*0.21</f>
        <v>0</v>
      </c>
      <c r="P235">
        <v>3</v>
      </c>
    </row>
    <row r="236" spans="1:16" ht="86.4" x14ac:dyDescent="0.3">
      <c r="A236" s="31" t="s">
        <v>34</v>
      </c>
      <c r="B236" s="38"/>
      <c r="E236" s="33" t="s">
        <v>280</v>
      </c>
      <c r="J236" s="39"/>
    </row>
    <row r="237" spans="1:16" x14ac:dyDescent="0.3">
      <c r="A237" s="31" t="s">
        <v>36</v>
      </c>
      <c r="B237" s="38"/>
      <c r="E237" s="40" t="s">
        <v>281</v>
      </c>
      <c r="J237" s="39"/>
    </row>
    <row r="238" spans="1:16" x14ac:dyDescent="0.3">
      <c r="A238" s="31" t="s">
        <v>40</v>
      </c>
      <c r="B238" s="38"/>
      <c r="E238" s="41" t="s">
        <v>30</v>
      </c>
      <c r="J238" s="39"/>
    </row>
    <row r="239" spans="1:16" x14ac:dyDescent="0.3">
      <c r="A239" s="31" t="s">
        <v>28</v>
      </c>
      <c r="B239" s="31">
        <v>42</v>
      </c>
      <c r="C239" s="32" t="s">
        <v>284</v>
      </c>
      <c r="D239" s="31" t="s">
        <v>30</v>
      </c>
      <c r="E239" s="33" t="s">
        <v>285</v>
      </c>
      <c r="F239" s="34" t="s">
        <v>32</v>
      </c>
      <c r="G239" s="35">
        <v>204.64599999999999</v>
      </c>
      <c r="H239" s="36">
        <v>0</v>
      </c>
      <c r="I239" s="36">
        <f>ROUND(G239*H239,P4)</f>
        <v>0</v>
      </c>
      <c r="J239" s="34" t="s">
        <v>33</v>
      </c>
      <c r="O239" s="37">
        <f>I239*0.21</f>
        <v>0</v>
      </c>
      <c r="P239">
        <v>3</v>
      </c>
    </row>
    <row r="240" spans="1:16" ht="158.4" x14ac:dyDescent="0.3">
      <c r="A240" s="31" t="s">
        <v>34</v>
      </c>
      <c r="B240" s="38"/>
      <c r="E240" s="33" t="s">
        <v>286</v>
      </c>
      <c r="J240" s="39"/>
    </row>
    <row r="241" spans="1:16" x14ac:dyDescent="0.3">
      <c r="A241" s="31" t="s">
        <v>36</v>
      </c>
      <c r="B241" s="38"/>
      <c r="E241" s="40" t="s">
        <v>287</v>
      </c>
      <c r="J241" s="39"/>
    </row>
    <row r="242" spans="1:16" ht="28.8" x14ac:dyDescent="0.3">
      <c r="A242" s="31" t="s">
        <v>36</v>
      </c>
      <c r="B242" s="38"/>
      <c r="E242" s="40" t="s">
        <v>288</v>
      </c>
      <c r="J242" s="39"/>
    </row>
    <row r="243" spans="1:16" x14ac:dyDescent="0.3">
      <c r="A243" s="31" t="s">
        <v>36</v>
      </c>
      <c r="B243" s="38"/>
      <c r="E243" s="40" t="s">
        <v>289</v>
      </c>
      <c r="J243" s="39"/>
    </row>
    <row r="244" spans="1:16" ht="409.6" x14ac:dyDescent="0.3">
      <c r="A244" s="31" t="s">
        <v>40</v>
      </c>
      <c r="B244" s="38"/>
      <c r="E244" s="33" t="s">
        <v>236</v>
      </c>
      <c r="J244" s="39"/>
    </row>
    <row r="245" spans="1:16" x14ac:dyDescent="0.3">
      <c r="A245" s="31" t="s">
        <v>28</v>
      </c>
      <c r="B245" s="31">
        <v>43</v>
      </c>
      <c r="C245" s="32" t="s">
        <v>290</v>
      </c>
      <c r="D245" s="31" t="s">
        <v>30</v>
      </c>
      <c r="E245" s="33" t="s">
        <v>291</v>
      </c>
      <c r="F245" s="34" t="s">
        <v>181</v>
      </c>
      <c r="G245" s="35">
        <v>32.743000000000002</v>
      </c>
      <c r="H245" s="36">
        <v>0</v>
      </c>
      <c r="I245" s="36">
        <f>ROUND(G245*H245,P4)</f>
        <v>0</v>
      </c>
      <c r="J245" s="34" t="s">
        <v>33</v>
      </c>
      <c r="O245" s="37">
        <f>I245*0.21</f>
        <v>0</v>
      </c>
      <c r="P245">
        <v>3</v>
      </c>
    </row>
    <row r="246" spans="1:16" ht="115.2" x14ac:dyDescent="0.3">
      <c r="A246" s="31" t="s">
        <v>34</v>
      </c>
      <c r="B246" s="38"/>
      <c r="E246" s="33" t="s">
        <v>292</v>
      </c>
      <c r="J246" s="39"/>
    </row>
    <row r="247" spans="1:16" x14ac:dyDescent="0.3">
      <c r="A247" s="31" t="s">
        <v>36</v>
      </c>
      <c r="B247" s="38"/>
      <c r="E247" s="40" t="s">
        <v>293</v>
      </c>
      <c r="J247" s="39"/>
    </row>
    <row r="248" spans="1:16" ht="345.6" x14ac:dyDescent="0.3">
      <c r="A248" s="31" t="s">
        <v>40</v>
      </c>
      <c r="B248" s="38"/>
      <c r="E248" s="33" t="s">
        <v>294</v>
      </c>
      <c r="J248" s="39"/>
    </row>
    <row r="249" spans="1:16" x14ac:dyDescent="0.3">
      <c r="A249" s="31" t="s">
        <v>28</v>
      </c>
      <c r="B249" s="31">
        <v>44</v>
      </c>
      <c r="C249" s="32" t="s">
        <v>295</v>
      </c>
      <c r="D249" s="31" t="s">
        <v>30</v>
      </c>
      <c r="E249" s="33" t="s">
        <v>296</v>
      </c>
      <c r="F249" s="34" t="s">
        <v>32</v>
      </c>
      <c r="G249" s="35">
        <v>256.12900000000002</v>
      </c>
      <c r="H249" s="36">
        <v>0</v>
      </c>
      <c r="I249" s="36">
        <f>ROUND(G249*H249,P4)</f>
        <v>0</v>
      </c>
      <c r="J249" s="34" t="s">
        <v>33</v>
      </c>
      <c r="O249" s="37">
        <f>I249*0.21</f>
        <v>0</v>
      </c>
      <c r="P249">
        <v>3</v>
      </c>
    </row>
    <row r="250" spans="1:16" ht="201.6" x14ac:dyDescent="0.3">
      <c r="A250" s="31" t="s">
        <v>34</v>
      </c>
      <c r="B250" s="38"/>
      <c r="E250" s="33" t="s">
        <v>297</v>
      </c>
      <c r="J250" s="39"/>
    </row>
    <row r="251" spans="1:16" ht="43.2" x14ac:dyDescent="0.3">
      <c r="A251" s="31" t="s">
        <v>36</v>
      </c>
      <c r="B251" s="38"/>
      <c r="E251" s="40" t="s">
        <v>298</v>
      </c>
      <c r="J251" s="39"/>
    </row>
    <row r="252" spans="1:16" x14ac:dyDescent="0.3">
      <c r="A252" s="31" t="s">
        <v>36</v>
      </c>
      <c r="B252" s="38"/>
      <c r="E252" s="40" t="s">
        <v>299</v>
      </c>
      <c r="J252" s="39"/>
    </row>
    <row r="253" spans="1:16" x14ac:dyDescent="0.3">
      <c r="A253" s="31" t="s">
        <v>36</v>
      </c>
      <c r="B253" s="38"/>
      <c r="E253" s="40" t="s">
        <v>300</v>
      </c>
      <c r="J253" s="39"/>
    </row>
    <row r="254" spans="1:16" ht="43.2" x14ac:dyDescent="0.3">
      <c r="A254" s="31" t="s">
        <v>36</v>
      </c>
      <c r="B254" s="38"/>
      <c r="E254" s="40" t="s">
        <v>301</v>
      </c>
      <c r="J254" s="39"/>
    </row>
    <row r="255" spans="1:16" x14ac:dyDescent="0.3">
      <c r="A255" s="31" t="s">
        <v>36</v>
      </c>
      <c r="B255" s="38"/>
      <c r="E255" s="40" t="s">
        <v>302</v>
      </c>
      <c r="J255" s="39"/>
    </row>
    <row r="256" spans="1:16" x14ac:dyDescent="0.3">
      <c r="A256" s="31" t="s">
        <v>36</v>
      </c>
      <c r="B256" s="38"/>
      <c r="E256" s="40" t="s">
        <v>303</v>
      </c>
      <c r="J256" s="39"/>
    </row>
    <row r="257" spans="1:16" x14ac:dyDescent="0.3">
      <c r="A257" s="31" t="s">
        <v>36</v>
      </c>
      <c r="B257" s="38"/>
      <c r="E257" s="40" t="s">
        <v>304</v>
      </c>
      <c r="J257" s="39"/>
    </row>
    <row r="258" spans="1:16" ht="409.6" x14ac:dyDescent="0.3">
      <c r="A258" s="31" t="s">
        <v>40</v>
      </c>
      <c r="B258" s="38"/>
      <c r="E258" s="33" t="s">
        <v>236</v>
      </c>
      <c r="J258" s="39"/>
    </row>
    <row r="259" spans="1:16" x14ac:dyDescent="0.3">
      <c r="A259" s="31" t="s">
        <v>28</v>
      </c>
      <c r="B259" s="31">
        <v>45</v>
      </c>
      <c r="C259" s="32" t="s">
        <v>305</v>
      </c>
      <c r="D259" s="31" t="s">
        <v>30</v>
      </c>
      <c r="E259" s="33" t="s">
        <v>306</v>
      </c>
      <c r="F259" s="34" t="s">
        <v>181</v>
      </c>
      <c r="G259" s="35">
        <v>27.166</v>
      </c>
      <c r="H259" s="36">
        <v>0</v>
      </c>
      <c r="I259" s="36">
        <f>ROUND(G259*H259,P4)</f>
        <v>0</v>
      </c>
      <c r="J259" s="34" t="s">
        <v>33</v>
      </c>
      <c r="O259" s="37">
        <f>I259*0.21</f>
        <v>0</v>
      </c>
      <c r="P259">
        <v>3</v>
      </c>
    </row>
    <row r="260" spans="1:16" ht="144" x14ac:dyDescent="0.3">
      <c r="A260" s="31" t="s">
        <v>34</v>
      </c>
      <c r="B260" s="38"/>
      <c r="E260" s="33" t="s">
        <v>307</v>
      </c>
      <c r="J260" s="39"/>
    </row>
    <row r="261" spans="1:16" x14ac:dyDescent="0.3">
      <c r="A261" s="31" t="s">
        <v>36</v>
      </c>
      <c r="B261" s="38"/>
      <c r="E261" s="40" t="s">
        <v>308</v>
      </c>
      <c r="J261" s="39"/>
    </row>
    <row r="262" spans="1:16" ht="345.6" x14ac:dyDescent="0.3">
      <c r="A262" s="31" t="s">
        <v>40</v>
      </c>
      <c r="B262" s="38"/>
      <c r="E262" s="33" t="s">
        <v>294</v>
      </c>
      <c r="J262" s="39"/>
    </row>
    <row r="263" spans="1:16" x14ac:dyDescent="0.3">
      <c r="A263" s="31" t="s">
        <v>28</v>
      </c>
      <c r="B263" s="31">
        <v>46</v>
      </c>
      <c r="C263" s="32" t="s">
        <v>309</v>
      </c>
      <c r="D263" s="31" t="s">
        <v>30</v>
      </c>
      <c r="E263" s="33" t="s">
        <v>310</v>
      </c>
      <c r="F263" s="34" t="s">
        <v>32</v>
      </c>
      <c r="G263" s="35">
        <v>136.08600000000001</v>
      </c>
      <c r="H263" s="36">
        <v>0</v>
      </c>
      <c r="I263" s="36">
        <f>ROUND(G263*H263,P4)</f>
        <v>0</v>
      </c>
      <c r="J263" s="34" t="s">
        <v>33</v>
      </c>
      <c r="O263" s="37">
        <f>I263*0.21</f>
        <v>0</v>
      </c>
      <c r="P263">
        <v>3</v>
      </c>
    </row>
    <row r="264" spans="1:16" ht="158.4" x14ac:dyDescent="0.3">
      <c r="A264" s="31" t="s">
        <v>34</v>
      </c>
      <c r="B264" s="38"/>
      <c r="E264" s="33" t="s">
        <v>311</v>
      </c>
      <c r="J264" s="39"/>
    </row>
    <row r="265" spans="1:16" ht="28.8" x14ac:dyDescent="0.3">
      <c r="A265" s="31" t="s">
        <v>36</v>
      </c>
      <c r="B265" s="38"/>
      <c r="E265" s="40" t="s">
        <v>312</v>
      </c>
      <c r="J265" s="39"/>
    </row>
    <row r="266" spans="1:16" x14ac:dyDescent="0.3">
      <c r="A266" s="31" t="s">
        <v>36</v>
      </c>
      <c r="B266" s="38"/>
      <c r="E266" s="40" t="s">
        <v>313</v>
      </c>
      <c r="J266" s="39"/>
    </row>
    <row r="267" spans="1:16" x14ac:dyDescent="0.3">
      <c r="A267" s="31" t="s">
        <v>36</v>
      </c>
      <c r="B267" s="38"/>
      <c r="E267" s="40" t="s">
        <v>314</v>
      </c>
      <c r="J267" s="39"/>
    </row>
    <row r="268" spans="1:16" x14ac:dyDescent="0.3">
      <c r="A268" s="31" t="s">
        <v>36</v>
      </c>
      <c r="B268" s="38"/>
      <c r="E268" s="40" t="s">
        <v>315</v>
      </c>
      <c r="J268" s="39"/>
    </row>
    <row r="269" spans="1:16" x14ac:dyDescent="0.3">
      <c r="A269" s="31" t="s">
        <v>36</v>
      </c>
      <c r="B269" s="38"/>
      <c r="E269" s="40" t="s">
        <v>316</v>
      </c>
      <c r="J269" s="39"/>
    </row>
    <row r="270" spans="1:16" x14ac:dyDescent="0.3">
      <c r="A270" s="31" t="s">
        <v>36</v>
      </c>
      <c r="B270" s="38"/>
      <c r="E270" s="40" t="s">
        <v>317</v>
      </c>
      <c r="J270" s="39"/>
    </row>
    <row r="271" spans="1:16" x14ac:dyDescent="0.3">
      <c r="A271" s="31" t="s">
        <v>36</v>
      </c>
      <c r="B271" s="38"/>
      <c r="E271" s="40" t="s">
        <v>318</v>
      </c>
      <c r="J271" s="39"/>
    </row>
    <row r="272" spans="1:16" ht="409.6" x14ac:dyDescent="0.3">
      <c r="A272" s="31" t="s">
        <v>40</v>
      </c>
      <c r="B272" s="38"/>
      <c r="E272" s="33" t="s">
        <v>236</v>
      </c>
      <c r="J272" s="39"/>
    </row>
    <row r="273" spans="1:16" x14ac:dyDescent="0.3">
      <c r="A273" s="31" t="s">
        <v>28</v>
      </c>
      <c r="B273" s="31">
        <v>47</v>
      </c>
      <c r="C273" s="32" t="s">
        <v>319</v>
      </c>
      <c r="D273" s="31" t="s">
        <v>30</v>
      </c>
      <c r="E273" s="33" t="s">
        <v>320</v>
      </c>
      <c r="F273" s="34" t="s">
        <v>181</v>
      </c>
      <c r="G273" s="35">
        <v>19.052</v>
      </c>
      <c r="H273" s="36">
        <v>0</v>
      </c>
      <c r="I273" s="36">
        <f>ROUND(G273*H273,P4)</f>
        <v>0</v>
      </c>
      <c r="J273" s="34" t="s">
        <v>33</v>
      </c>
      <c r="O273" s="37">
        <f>I273*0.21</f>
        <v>0</v>
      </c>
      <c r="P273">
        <v>3</v>
      </c>
    </row>
    <row r="274" spans="1:16" ht="144" x14ac:dyDescent="0.3">
      <c r="A274" s="31" t="s">
        <v>34</v>
      </c>
      <c r="B274" s="38"/>
      <c r="E274" s="33" t="s">
        <v>321</v>
      </c>
      <c r="J274" s="39"/>
    </row>
    <row r="275" spans="1:16" x14ac:dyDescent="0.3">
      <c r="A275" s="31" t="s">
        <v>36</v>
      </c>
      <c r="B275" s="38"/>
      <c r="E275" s="40" t="s">
        <v>322</v>
      </c>
      <c r="J275" s="39"/>
    </row>
    <row r="276" spans="1:16" ht="345.6" x14ac:dyDescent="0.3">
      <c r="A276" s="31" t="s">
        <v>40</v>
      </c>
      <c r="B276" s="38"/>
      <c r="E276" s="33" t="s">
        <v>294</v>
      </c>
      <c r="J276" s="39"/>
    </row>
    <row r="277" spans="1:16" x14ac:dyDescent="0.3">
      <c r="A277" s="25" t="s">
        <v>25</v>
      </c>
      <c r="B277" s="26"/>
      <c r="C277" s="27" t="s">
        <v>323</v>
      </c>
      <c r="D277" s="28"/>
      <c r="E277" s="25" t="s">
        <v>324</v>
      </c>
      <c r="F277" s="28"/>
      <c r="G277" s="28"/>
      <c r="H277" s="28"/>
      <c r="I277" s="29">
        <f>SUMIFS(I278:I413,A278:A413,"P")</f>
        <v>0</v>
      </c>
      <c r="J277" s="30"/>
    </row>
    <row r="278" spans="1:16" x14ac:dyDescent="0.3">
      <c r="A278" s="31" t="s">
        <v>28</v>
      </c>
      <c r="B278" s="31">
        <v>48</v>
      </c>
      <c r="C278" s="32" t="s">
        <v>325</v>
      </c>
      <c r="D278" s="31" t="s">
        <v>30</v>
      </c>
      <c r="E278" s="33" t="s">
        <v>326</v>
      </c>
      <c r="F278" s="34" t="s">
        <v>32</v>
      </c>
      <c r="G278" s="35">
        <v>59.494999999999997</v>
      </c>
      <c r="H278" s="36">
        <v>0</v>
      </c>
      <c r="I278" s="36">
        <f>ROUND(G278*H278,P4)</f>
        <v>0</v>
      </c>
      <c r="J278" s="34" t="s">
        <v>33</v>
      </c>
      <c r="O278" s="37">
        <f>I278*0.21</f>
        <v>0</v>
      </c>
      <c r="P278">
        <v>3</v>
      </c>
    </row>
    <row r="279" spans="1:16" ht="100.8" x14ac:dyDescent="0.3">
      <c r="A279" s="31" t="s">
        <v>34</v>
      </c>
      <c r="B279" s="38"/>
      <c r="E279" s="33" t="s">
        <v>327</v>
      </c>
      <c r="J279" s="39"/>
    </row>
    <row r="280" spans="1:16" x14ac:dyDescent="0.3">
      <c r="A280" s="31" t="s">
        <v>36</v>
      </c>
      <c r="B280" s="38"/>
      <c r="E280" s="40" t="s">
        <v>328</v>
      </c>
      <c r="J280" s="39"/>
    </row>
    <row r="281" spans="1:16" x14ac:dyDescent="0.3">
      <c r="A281" s="31" t="s">
        <v>36</v>
      </c>
      <c r="B281" s="38"/>
      <c r="E281" s="40" t="s">
        <v>329</v>
      </c>
      <c r="J281" s="39"/>
    </row>
    <row r="282" spans="1:16" x14ac:dyDescent="0.3">
      <c r="A282" s="31" t="s">
        <v>36</v>
      </c>
      <c r="B282" s="38"/>
      <c r="E282" s="40" t="s">
        <v>330</v>
      </c>
      <c r="J282" s="39"/>
    </row>
    <row r="283" spans="1:16" ht="409.6" x14ac:dyDescent="0.3">
      <c r="A283" s="31" t="s">
        <v>40</v>
      </c>
      <c r="B283" s="38"/>
      <c r="E283" s="33" t="s">
        <v>236</v>
      </c>
      <c r="J283" s="39"/>
    </row>
    <row r="284" spans="1:16" x14ac:dyDescent="0.3">
      <c r="A284" s="31" t="s">
        <v>28</v>
      </c>
      <c r="B284" s="31">
        <v>49</v>
      </c>
      <c r="C284" s="32" t="s">
        <v>331</v>
      </c>
      <c r="D284" s="31" t="s">
        <v>30</v>
      </c>
      <c r="E284" s="33" t="s">
        <v>332</v>
      </c>
      <c r="F284" s="34" t="s">
        <v>181</v>
      </c>
      <c r="G284" s="35">
        <v>8.6270000000000007</v>
      </c>
      <c r="H284" s="36">
        <v>0</v>
      </c>
      <c r="I284" s="36">
        <f>ROUND(G284*H284,P4)</f>
        <v>0</v>
      </c>
      <c r="J284" s="34" t="s">
        <v>33</v>
      </c>
      <c r="O284" s="37">
        <f>I284*0.21</f>
        <v>0</v>
      </c>
      <c r="P284">
        <v>3</v>
      </c>
    </row>
    <row r="285" spans="1:16" ht="86.4" x14ac:dyDescent="0.3">
      <c r="A285" s="31" t="s">
        <v>34</v>
      </c>
      <c r="B285" s="38"/>
      <c r="E285" s="33" t="s">
        <v>333</v>
      </c>
      <c r="J285" s="39"/>
    </row>
    <row r="286" spans="1:16" ht="28.8" x14ac:dyDescent="0.3">
      <c r="A286" s="31" t="s">
        <v>36</v>
      </c>
      <c r="B286" s="38"/>
      <c r="E286" s="40" t="s">
        <v>334</v>
      </c>
      <c r="J286" s="39"/>
    </row>
    <row r="287" spans="1:16" ht="345.6" x14ac:dyDescent="0.3">
      <c r="A287" s="31" t="s">
        <v>40</v>
      </c>
      <c r="B287" s="38"/>
      <c r="E287" s="33" t="s">
        <v>294</v>
      </c>
      <c r="J287" s="39"/>
    </row>
    <row r="288" spans="1:16" x14ac:dyDescent="0.3">
      <c r="A288" s="31" t="s">
        <v>28</v>
      </c>
      <c r="B288" s="31">
        <v>50</v>
      </c>
      <c r="C288" s="32" t="s">
        <v>335</v>
      </c>
      <c r="D288" s="31" t="s">
        <v>30</v>
      </c>
      <c r="E288" s="33" t="s">
        <v>336</v>
      </c>
      <c r="F288" s="34" t="s">
        <v>32</v>
      </c>
      <c r="G288" s="35">
        <v>1386.7</v>
      </c>
      <c r="H288" s="36">
        <v>0</v>
      </c>
      <c r="I288" s="36">
        <f>ROUND(G288*H288,P4)</f>
        <v>0</v>
      </c>
      <c r="J288" s="34" t="s">
        <v>33</v>
      </c>
      <c r="O288" s="37">
        <f>I288*0.21</f>
        <v>0</v>
      </c>
      <c r="P288">
        <v>3</v>
      </c>
    </row>
    <row r="289" spans="1:16" ht="187.2" x14ac:dyDescent="0.3">
      <c r="A289" s="31" t="s">
        <v>34</v>
      </c>
      <c r="B289" s="38"/>
      <c r="E289" s="33" t="s">
        <v>337</v>
      </c>
      <c r="J289" s="39"/>
    </row>
    <row r="290" spans="1:16" x14ac:dyDescent="0.3">
      <c r="A290" s="31" t="s">
        <v>36</v>
      </c>
      <c r="B290" s="38"/>
      <c r="E290" s="40" t="s">
        <v>338</v>
      </c>
      <c r="J290" s="39"/>
    </row>
    <row r="291" spans="1:16" x14ac:dyDescent="0.3">
      <c r="A291" s="31" t="s">
        <v>36</v>
      </c>
      <c r="B291" s="38"/>
      <c r="E291" s="40" t="s">
        <v>339</v>
      </c>
      <c r="J291" s="39"/>
    </row>
    <row r="292" spans="1:16" x14ac:dyDescent="0.3">
      <c r="A292" s="31" t="s">
        <v>36</v>
      </c>
      <c r="B292" s="38"/>
      <c r="E292" s="40" t="s">
        <v>340</v>
      </c>
      <c r="J292" s="39"/>
    </row>
    <row r="293" spans="1:16" ht="409.6" x14ac:dyDescent="0.3">
      <c r="A293" s="31" t="s">
        <v>40</v>
      </c>
      <c r="B293" s="38"/>
      <c r="E293" s="33" t="s">
        <v>236</v>
      </c>
      <c r="J293" s="39"/>
    </row>
    <row r="294" spans="1:16" x14ac:dyDescent="0.3">
      <c r="A294" s="31" t="s">
        <v>28</v>
      </c>
      <c r="B294" s="31">
        <v>51</v>
      </c>
      <c r="C294" s="32" t="s">
        <v>341</v>
      </c>
      <c r="D294" s="31" t="s">
        <v>30</v>
      </c>
      <c r="E294" s="33" t="s">
        <v>342</v>
      </c>
      <c r="F294" s="34" t="s">
        <v>181</v>
      </c>
      <c r="G294" s="35">
        <v>208.005</v>
      </c>
      <c r="H294" s="36">
        <v>0</v>
      </c>
      <c r="I294" s="36">
        <f>ROUND(G294*H294,P4)</f>
        <v>0</v>
      </c>
      <c r="J294" s="34" t="s">
        <v>33</v>
      </c>
      <c r="O294" s="37">
        <f>I294*0.21</f>
        <v>0</v>
      </c>
      <c r="P294">
        <v>3</v>
      </c>
    </row>
    <row r="295" spans="1:16" ht="144" x14ac:dyDescent="0.3">
      <c r="A295" s="31" t="s">
        <v>34</v>
      </c>
      <c r="B295" s="38"/>
      <c r="E295" s="33" t="s">
        <v>343</v>
      </c>
      <c r="J295" s="39"/>
    </row>
    <row r="296" spans="1:16" ht="28.8" x14ac:dyDescent="0.3">
      <c r="A296" s="31" t="s">
        <v>36</v>
      </c>
      <c r="B296" s="38"/>
      <c r="E296" s="40" t="s">
        <v>344</v>
      </c>
      <c r="J296" s="39"/>
    </row>
    <row r="297" spans="1:16" ht="345.6" x14ac:dyDescent="0.3">
      <c r="A297" s="31" t="s">
        <v>40</v>
      </c>
      <c r="B297" s="38"/>
      <c r="E297" s="33" t="s">
        <v>294</v>
      </c>
      <c r="J297" s="39"/>
    </row>
    <row r="298" spans="1:16" x14ac:dyDescent="0.3">
      <c r="A298" s="31" t="s">
        <v>28</v>
      </c>
      <c r="B298" s="31">
        <v>52</v>
      </c>
      <c r="C298" s="32" t="s">
        <v>345</v>
      </c>
      <c r="D298" s="31" t="s">
        <v>30</v>
      </c>
      <c r="E298" s="33" t="s">
        <v>346</v>
      </c>
      <c r="F298" s="34" t="s">
        <v>181</v>
      </c>
      <c r="G298" s="35">
        <v>38.42</v>
      </c>
      <c r="H298" s="36">
        <v>0</v>
      </c>
      <c r="I298" s="36">
        <f>ROUND(G298*H298,P4)</f>
        <v>0</v>
      </c>
      <c r="J298" s="34" t="s">
        <v>33</v>
      </c>
      <c r="O298" s="37">
        <f>I298*0.21</f>
        <v>0</v>
      </c>
      <c r="P298">
        <v>3</v>
      </c>
    </row>
    <row r="299" spans="1:16" ht="115.2" x14ac:dyDescent="0.3">
      <c r="A299" s="31" t="s">
        <v>34</v>
      </c>
      <c r="B299" s="38"/>
      <c r="E299" s="33" t="s">
        <v>347</v>
      </c>
      <c r="J299" s="39"/>
    </row>
    <row r="300" spans="1:16" x14ac:dyDescent="0.3">
      <c r="A300" s="31" t="s">
        <v>36</v>
      </c>
      <c r="B300" s="38"/>
      <c r="E300" s="40" t="s">
        <v>348</v>
      </c>
      <c r="J300" s="39"/>
    </row>
    <row r="301" spans="1:16" ht="360" x14ac:dyDescent="0.3">
      <c r="A301" s="31" t="s">
        <v>40</v>
      </c>
      <c r="B301" s="38"/>
      <c r="E301" s="42" t="s">
        <v>349</v>
      </c>
      <c r="J301" s="39"/>
    </row>
    <row r="302" spans="1:16" x14ac:dyDescent="0.3">
      <c r="A302" s="31" t="s">
        <v>28</v>
      </c>
      <c r="B302" s="31">
        <v>53</v>
      </c>
      <c r="C302" s="32" t="s">
        <v>350</v>
      </c>
      <c r="D302" s="31" t="s">
        <v>30</v>
      </c>
      <c r="E302" s="33" t="s">
        <v>351</v>
      </c>
      <c r="F302" s="34" t="s">
        <v>199</v>
      </c>
      <c r="G302" s="35">
        <v>33</v>
      </c>
      <c r="H302" s="36">
        <v>0</v>
      </c>
      <c r="I302" s="36">
        <f>ROUND(G302*H302,P4)</f>
        <v>0</v>
      </c>
      <c r="J302" s="34" t="s">
        <v>33</v>
      </c>
      <c r="O302" s="37">
        <f>I302*0.21</f>
        <v>0</v>
      </c>
      <c r="P302">
        <v>3</v>
      </c>
    </row>
    <row r="303" spans="1:16" ht="86.4" x14ac:dyDescent="0.3">
      <c r="A303" s="31" t="s">
        <v>34</v>
      </c>
      <c r="B303" s="38"/>
      <c r="E303" s="33" t="s">
        <v>352</v>
      </c>
      <c r="J303" s="39"/>
    </row>
    <row r="304" spans="1:16" x14ac:dyDescent="0.3">
      <c r="A304" s="31" t="s">
        <v>36</v>
      </c>
      <c r="B304" s="38"/>
      <c r="E304" s="40" t="s">
        <v>353</v>
      </c>
      <c r="J304" s="39"/>
    </row>
    <row r="305" spans="1:16" ht="100.8" x14ac:dyDescent="0.3">
      <c r="A305" s="31" t="s">
        <v>40</v>
      </c>
      <c r="B305" s="38"/>
      <c r="E305" s="33" t="s">
        <v>354</v>
      </c>
      <c r="J305" s="39"/>
    </row>
    <row r="306" spans="1:16" x14ac:dyDescent="0.3">
      <c r="A306" s="31" t="s">
        <v>28</v>
      </c>
      <c r="B306" s="31">
        <v>54</v>
      </c>
      <c r="C306" s="32" t="s">
        <v>355</v>
      </c>
      <c r="D306" s="31" t="s">
        <v>30</v>
      </c>
      <c r="E306" s="33" t="s">
        <v>356</v>
      </c>
      <c r="F306" s="34" t="s">
        <v>44</v>
      </c>
      <c r="G306" s="35">
        <v>4</v>
      </c>
      <c r="H306" s="36">
        <v>0</v>
      </c>
      <c r="I306" s="36">
        <f>ROUND(G306*H306,P4)</f>
        <v>0</v>
      </c>
      <c r="J306" s="34" t="s">
        <v>33</v>
      </c>
      <c r="O306" s="37">
        <f>I306*0.21</f>
        <v>0</v>
      </c>
      <c r="P306">
        <v>3</v>
      </c>
    </row>
    <row r="307" spans="1:16" ht="86.4" x14ac:dyDescent="0.3">
      <c r="A307" s="31" t="s">
        <v>34</v>
      </c>
      <c r="B307" s="38"/>
      <c r="E307" s="33" t="s">
        <v>357</v>
      </c>
      <c r="J307" s="39"/>
    </row>
    <row r="308" spans="1:16" x14ac:dyDescent="0.3">
      <c r="A308" s="31" t="s">
        <v>36</v>
      </c>
      <c r="B308" s="38"/>
      <c r="E308" s="40" t="s">
        <v>358</v>
      </c>
      <c r="J308" s="39"/>
    </row>
    <row r="309" spans="1:16" x14ac:dyDescent="0.3">
      <c r="A309" s="31" t="s">
        <v>36</v>
      </c>
      <c r="B309" s="38"/>
      <c r="E309" s="40" t="s">
        <v>359</v>
      </c>
      <c r="J309" s="39"/>
    </row>
    <row r="310" spans="1:16" x14ac:dyDescent="0.3">
      <c r="A310" s="31" t="s">
        <v>36</v>
      </c>
      <c r="B310" s="38"/>
      <c r="E310" s="40" t="s">
        <v>360</v>
      </c>
      <c r="J310" s="39"/>
    </row>
    <row r="311" spans="1:16" ht="331.2" x14ac:dyDescent="0.3">
      <c r="A311" s="31" t="s">
        <v>40</v>
      </c>
      <c r="B311" s="38"/>
      <c r="E311" s="33" t="s">
        <v>361</v>
      </c>
      <c r="J311" s="39"/>
    </row>
    <row r="312" spans="1:16" x14ac:dyDescent="0.3">
      <c r="A312" s="31" t="s">
        <v>28</v>
      </c>
      <c r="B312" s="31">
        <v>55</v>
      </c>
      <c r="C312" s="32" t="s">
        <v>362</v>
      </c>
      <c r="D312" s="31" t="s">
        <v>30</v>
      </c>
      <c r="E312" s="33" t="s">
        <v>363</v>
      </c>
      <c r="F312" s="34" t="s">
        <v>44</v>
      </c>
      <c r="G312" s="35">
        <v>4</v>
      </c>
      <c r="H312" s="36">
        <v>0</v>
      </c>
      <c r="I312" s="36">
        <f>ROUND(G312*H312,P4)</f>
        <v>0</v>
      </c>
      <c r="J312" s="34" t="s">
        <v>33</v>
      </c>
      <c r="O312" s="37">
        <f>I312*0.21</f>
        <v>0</v>
      </c>
      <c r="P312">
        <v>3</v>
      </c>
    </row>
    <row r="313" spans="1:16" ht="86.4" x14ac:dyDescent="0.3">
      <c r="A313" s="31" t="s">
        <v>34</v>
      </c>
      <c r="B313" s="38"/>
      <c r="E313" s="33" t="s">
        <v>357</v>
      </c>
      <c r="J313" s="39"/>
    </row>
    <row r="314" spans="1:16" x14ac:dyDescent="0.3">
      <c r="A314" s="31" t="s">
        <v>36</v>
      </c>
      <c r="B314" s="38"/>
      <c r="E314" s="40" t="s">
        <v>358</v>
      </c>
      <c r="J314" s="39"/>
    </row>
    <row r="315" spans="1:16" x14ac:dyDescent="0.3">
      <c r="A315" s="31" t="s">
        <v>36</v>
      </c>
      <c r="B315" s="38"/>
      <c r="E315" s="40" t="s">
        <v>364</v>
      </c>
      <c r="J315" s="39"/>
    </row>
    <row r="316" spans="1:16" x14ac:dyDescent="0.3">
      <c r="A316" s="31" t="s">
        <v>36</v>
      </c>
      <c r="B316" s="38"/>
      <c r="E316" s="40" t="s">
        <v>365</v>
      </c>
      <c r="J316" s="39"/>
    </row>
    <row r="317" spans="1:16" ht="331.2" x14ac:dyDescent="0.3">
      <c r="A317" s="31" t="s">
        <v>40</v>
      </c>
      <c r="B317" s="38"/>
      <c r="E317" s="33" t="s">
        <v>361</v>
      </c>
      <c r="J317" s="39"/>
    </row>
    <row r="318" spans="1:16" x14ac:dyDescent="0.3">
      <c r="A318" s="31" t="s">
        <v>28</v>
      </c>
      <c r="B318" s="31">
        <v>56</v>
      </c>
      <c r="C318" s="32" t="s">
        <v>366</v>
      </c>
      <c r="D318" s="31" t="s">
        <v>30</v>
      </c>
      <c r="E318" s="33" t="s">
        <v>367</v>
      </c>
      <c r="F318" s="34" t="s">
        <v>44</v>
      </c>
      <c r="G318" s="35">
        <v>8</v>
      </c>
      <c r="H318" s="36">
        <v>0</v>
      </c>
      <c r="I318" s="36">
        <f>ROUND(G318*H318,P4)</f>
        <v>0</v>
      </c>
      <c r="J318" s="34" t="s">
        <v>33</v>
      </c>
      <c r="O318" s="37">
        <f>I318*0.21</f>
        <v>0</v>
      </c>
      <c r="P318">
        <v>3</v>
      </c>
    </row>
    <row r="319" spans="1:16" ht="86.4" x14ac:dyDescent="0.3">
      <c r="A319" s="31" t="s">
        <v>34</v>
      </c>
      <c r="B319" s="38"/>
      <c r="E319" s="33" t="s">
        <v>357</v>
      </c>
      <c r="J319" s="39"/>
    </row>
    <row r="320" spans="1:16" x14ac:dyDescent="0.3">
      <c r="A320" s="31" t="s">
        <v>36</v>
      </c>
      <c r="B320" s="38"/>
      <c r="E320" s="40" t="s">
        <v>368</v>
      </c>
      <c r="J320" s="39"/>
    </row>
    <row r="321" spans="1:16" x14ac:dyDescent="0.3">
      <c r="A321" s="31" t="s">
        <v>36</v>
      </c>
      <c r="B321" s="38"/>
      <c r="E321" s="40" t="s">
        <v>369</v>
      </c>
      <c r="J321" s="39"/>
    </row>
    <row r="322" spans="1:16" x14ac:dyDescent="0.3">
      <c r="A322" s="31" t="s">
        <v>36</v>
      </c>
      <c r="B322" s="38"/>
      <c r="E322" s="40" t="s">
        <v>370</v>
      </c>
      <c r="J322" s="39"/>
    </row>
    <row r="323" spans="1:16" x14ac:dyDescent="0.3">
      <c r="A323" s="31" t="s">
        <v>36</v>
      </c>
      <c r="B323" s="38"/>
      <c r="E323" s="40" t="s">
        <v>371</v>
      </c>
      <c r="J323" s="39"/>
    </row>
    <row r="324" spans="1:16" x14ac:dyDescent="0.3">
      <c r="A324" s="31" t="s">
        <v>36</v>
      </c>
      <c r="B324" s="38"/>
      <c r="E324" s="40" t="s">
        <v>372</v>
      </c>
      <c r="J324" s="39"/>
    </row>
    <row r="325" spans="1:16" ht="331.2" x14ac:dyDescent="0.3">
      <c r="A325" s="31" t="s">
        <v>40</v>
      </c>
      <c r="B325" s="38"/>
      <c r="E325" s="33" t="s">
        <v>361</v>
      </c>
      <c r="J325" s="39"/>
    </row>
    <row r="326" spans="1:16" x14ac:dyDescent="0.3">
      <c r="A326" s="31" t="s">
        <v>28</v>
      </c>
      <c r="B326" s="31">
        <v>57</v>
      </c>
      <c r="C326" s="32" t="s">
        <v>373</v>
      </c>
      <c r="D326" s="31" t="s">
        <v>374</v>
      </c>
      <c r="E326" s="33" t="s">
        <v>375</v>
      </c>
      <c r="F326" s="34" t="s">
        <v>44</v>
      </c>
      <c r="G326" s="35">
        <v>8</v>
      </c>
      <c r="H326" s="36">
        <v>0</v>
      </c>
      <c r="I326" s="36">
        <f>ROUND(G326*H326,P4)</f>
        <v>0</v>
      </c>
      <c r="J326" s="34" t="s">
        <v>33</v>
      </c>
      <c r="O326" s="37">
        <f>I326*0.21</f>
        <v>0</v>
      </c>
      <c r="P326">
        <v>3</v>
      </c>
    </row>
    <row r="327" spans="1:16" ht="100.8" x14ac:dyDescent="0.3">
      <c r="A327" s="31" t="s">
        <v>34</v>
      </c>
      <c r="B327" s="38"/>
      <c r="E327" s="33" t="s">
        <v>376</v>
      </c>
      <c r="J327" s="39"/>
    </row>
    <row r="328" spans="1:16" x14ac:dyDescent="0.3">
      <c r="A328" s="31" t="s">
        <v>36</v>
      </c>
      <c r="B328" s="38"/>
      <c r="E328" s="40" t="s">
        <v>368</v>
      </c>
      <c r="J328" s="39"/>
    </row>
    <row r="329" spans="1:16" x14ac:dyDescent="0.3">
      <c r="A329" s="31" t="s">
        <v>36</v>
      </c>
      <c r="B329" s="38"/>
      <c r="E329" s="40" t="s">
        <v>369</v>
      </c>
      <c r="J329" s="39"/>
    </row>
    <row r="330" spans="1:16" x14ac:dyDescent="0.3">
      <c r="A330" s="31" t="s">
        <v>36</v>
      </c>
      <c r="B330" s="38"/>
      <c r="E330" s="40" t="s">
        <v>370</v>
      </c>
      <c r="J330" s="39"/>
    </row>
    <row r="331" spans="1:16" x14ac:dyDescent="0.3">
      <c r="A331" s="31" t="s">
        <v>36</v>
      </c>
      <c r="B331" s="38"/>
      <c r="E331" s="40" t="s">
        <v>371</v>
      </c>
      <c r="J331" s="39"/>
    </row>
    <row r="332" spans="1:16" x14ac:dyDescent="0.3">
      <c r="A332" s="31" t="s">
        <v>36</v>
      </c>
      <c r="B332" s="38"/>
      <c r="E332" s="40" t="s">
        <v>372</v>
      </c>
      <c r="J332" s="39"/>
    </row>
    <row r="333" spans="1:16" ht="331.2" x14ac:dyDescent="0.3">
      <c r="A333" s="31" t="s">
        <v>40</v>
      </c>
      <c r="B333" s="38"/>
      <c r="E333" s="33" t="s">
        <v>361</v>
      </c>
      <c r="J333" s="39"/>
    </row>
    <row r="334" spans="1:16" x14ac:dyDescent="0.3">
      <c r="A334" s="31" t="s">
        <v>28</v>
      </c>
      <c r="B334" s="31">
        <v>58</v>
      </c>
      <c r="C334" s="32" t="s">
        <v>373</v>
      </c>
      <c r="D334" s="31" t="s">
        <v>377</v>
      </c>
      <c r="E334" s="33" t="s">
        <v>375</v>
      </c>
      <c r="F334" s="34" t="s">
        <v>44</v>
      </c>
      <c r="G334" s="35">
        <v>2</v>
      </c>
      <c r="H334" s="36">
        <v>0</v>
      </c>
      <c r="I334" s="36">
        <f>ROUND(G334*H334,P4)</f>
        <v>0</v>
      </c>
      <c r="J334" s="34" t="s">
        <v>33</v>
      </c>
      <c r="O334" s="37">
        <f>I334*0.21</f>
        <v>0</v>
      </c>
      <c r="P334">
        <v>3</v>
      </c>
    </row>
    <row r="335" spans="1:16" ht="100.8" x14ac:dyDescent="0.3">
      <c r="A335" s="31" t="s">
        <v>34</v>
      </c>
      <c r="B335" s="38"/>
      <c r="E335" s="33" t="s">
        <v>378</v>
      </c>
      <c r="J335" s="39"/>
    </row>
    <row r="336" spans="1:16" x14ac:dyDescent="0.3">
      <c r="A336" s="31" t="s">
        <v>36</v>
      </c>
      <c r="B336" s="38"/>
      <c r="E336" s="40" t="s">
        <v>379</v>
      </c>
      <c r="J336" s="39"/>
    </row>
    <row r="337" spans="1:16" ht="331.2" x14ac:dyDescent="0.3">
      <c r="A337" s="31" t="s">
        <v>40</v>
      </c>
      <c r="B337" s="38"/>
      <c r="E337" s="33" t="s">
        <v>361</v>
      </c>
      <c r="J337" s="39"/>
    </row>
    <row r="338" spans="1:16" x14ac:dyDescent="0.3">
      <c r="A338" s="31" t="s">
        <v>28</v>
      </c>
      <c r="B338" s="31">
        <v>59</v>
      </c>
      <c r="C338" s="32" t="s">
        <v>380</v>
      </c>
      <c r="D338" s="31" t="s">
        <v>30</v>
      </c>
      <c r="E338" s="33" t="s">
        <v>381</v>
      </c>
      <c r="F338" s="34" t="s">
        <v>44</v>
      </c>
      <c r="G338" s="35">
        <v>2</v>
      </c>
      <c r="H338" s="36">
        <v>0</v>
      </c>
      <c r="I338" s="36">
        <f>ROUND(G338*H338,P4)</f>
        <v>0</v>
      </c>
      <c r="J338" s="34" t="s">
        <v>33</v>
      </c>
      <c r="O338" s="37">
        <f>I338*0.21</f>
        <v>0</v>
      </c>
      <c r="P338">
        <v>3</v>
      </c>
    </row>
    <row r="339" spans="1:16" ht="86.4" x14ac:dyDescent="0.3">
      <c r="A339" s="31" t="s">
        <v>34</v>
      </c>
      <c r="B339" s="38"/>
      <c r="E339" s="33" t="s">
        <v>357</v>
      </c>
      <c r="J339" s="39"/>
    </row>
    <row r="340" spans="1:16" x14ac:dyDescent="0.3">
      <c r="A340" s="31" t="s">
        <v>36</v>
      </c>
      <c r="B340" s="38"/>
      <c r="E340" s="40" t="s">
        <v>379</v>
      </c>
      <c r="J340" s="39"/>
    </row>
    <row r="341" spans="1:16" ht="331.2" x14ac:dyDescent="0.3">
      <c r="A341" s="31" t="s">
        <v>40</v>
      </c>
      <c r="B341" s="38"/>
      <c r="E341" s="33" t="s">
        <v>361</v>
      </c>
      <c r="J341" s="39"/>
    </row>
    <row r="342" spans="1:16" x14ac:dyDescent="0.3">
      <c r="A342" s="31" t="s">
        <v>28</v>
      </c>
      <c r="B342" s="31">
        <v>60</v>
      </c>
      <c r="C342" s="32" t="s">
        <v>382</v>
      </c>
      <c r="D342" s="31" t="s">
        <v>30</v>
      </c>
      <c r="E342" s="33" t="s">
        <v>383</v>
      </c>
      <c r="F342" s="34" t="s">
        <v>32</v>
      </c>
      <c r="G342" s="35">
        <v>6.5</v>
      </c>
      <c r="H342" s="36">
        <v>0</v>
      </c>
      <c r="I342" s="36">
        <f>ROUND(G342*H342,P4)</f>
        <v>0</v>
      </c>
      <c r="J342" s="34" t="s">
        <v>33</v>
      </c>
      <c r="O342" s="37">
        <f>I342*0.21</f>
        <v>0</v>
      </c>
      <c r="P342">
        <v>3</v>
      </c>
    </row>
    <row r="343" spans="1:16" ht="115.2" x14ac:dyDescent="0.3">
      <c r="A343" s="31" t="s">
        <v>34</v>
      </c>
      <c r="B343" s="38"/>
      <c r="E343" s="33" t="s">
        <v>384</v>
      </c>
      <c r="J343" s="39"/>
    </row>
    <row r="344" spans="1:16" x14ac:dyDescent="0.3">
      <c r="A344" s="31" t="s">
        <v>36</v>
      </c>
      <c r="B344" s="38"/>
      <c r="E344" s="40" t="s">
        <v>385</v>
      </c>
      <c r="J344" s="39"/>
    </row>
    <row r="345" spans="1:16" ht="331.2" x14ac:dyDescent="0.3">
      <c r="A345" s="31" t="s">
        <v>40</v>
      </c>
      <c r="B345" s="38"/>
      <c r="E345" s="33" t="s">
        <v>386</v>
      </c>
      <c r="J345" s="39"/>
    </row>
    <row r="346" spans="1:16" x14ac:dyDescent="0.3">
      <c r="A346" s="31" t="s">
        <v>28</v>
      </c>
      <c r="B346" s="31">
        <v>61</v>
      </c>
      <c r="C346" s="32" t="s">
        <v>387</v>
      </c>
      <c r="D346" s="31" t="s">
        <v>30</v>
      </c>
      <c r="E346" s="33" t="s">
        <v>388</v>
      </c>
      <c r="F346" s="34" t="s">
        <v>32</v>
      </c>
      <c r="G346" s="35">
        <v>147.869</v>
      </c>
      <c r="H346" s="36">
        <v>0</v>
      </c>
      <c r="I346" s="36">
        <f>ROUND(G346*H346,P4)</f>
        <v>0</v>
      </c>
      <c r="J346" s="34" t="s">
        <v>33</v>
      </c>
      <c r="O346" s="37">
        <f>I346*0.21</f>
        <v>0</v>
      </c>
      <c r="P346">
        <v>3</v>
      </c>
    </row>
    <row r="347" spans="1:16" ht="72" x14ac:dyDescent="0.3">
      <c r="A347" s="31" t="s">
        <v>34</v>
      </c>
      <c r="B347" s="38"/>
      <c r="E347" s="33" t="s">
        <v>389</v>
      </c>
      <c r="J347" s="39"/>
    </row>
    <row r="348" spans="1:16" x14ac:dyDescent="0.3">
      <c r="A348" s="31" t="s">
        <v>36</v>
      </c>
      <c r="B348" s="38"/>
      <c r="E348" s="40" t="s">
        <v>390</v>
      </c>
      <c r="J348" s="39"/>
    </row>
    <row r="349" spans="1:16" x14ac:dyDescent="0.3">
      <c r="A349" s="31" t="s">
        <v>36</v>
      </c>
      <c r="B349" s="38"/>
      <c r="E349" s="40" t="s">
        <v>391</v>
      </c>
      <c r="J349" s="39"/>
    </row>
    <row r="350" spans="1:16" x14ac:dyDescent="0.3">
      <c r="A350" s="31" t="s">
        <v>36</v>
      </c>
      <c r="B350" s="38"/>
      <c r="E350" s="40" t="s">
        <v>392</v>
      </c>
      <c r="J350" s="39"/>
    </row>
    <row r="351" spans="1:16" ht="28.8" x14ac:dyDescent="0.3">
      <c r="A351" s="31" t="s">
        <v>36</v>
      </c>
      <c r="B351" s="38"/>
      <c r="E351" s="40" t="s">
        <v>393</v>
      </c>
      <c r="J351" s="39"/>
    </row>
    <row r="352" spans="1:16" x14ac:dyDescent="0.3">
      <c r="A352" s="31" t="s">
        <v>36</v>
      </c>
      <c r="B352" s="38"/>
      <c r="E352" s="40" t="s">
        <v>394</v>
      </c>
      <c r="J352" s="39"/>
    </row>
    <row r="353" spans="1:16" x14ac:dyDescent="0.3">
      <c r="A353" s="31" t="s">
        <v>36</v>
      </c>
      <c r="B353" s="38"/>
      <c r="E353" s="40" t="s">
        <v>395</v>
      </c>
      <c r="J353" s="39"/>
    </row>
    <row r="354" spans="1:16" x14ac:dyDescent="0.3">
      <c r="A354" s="31" t="s">
        <v>36</v>
      </c>
      <c r="B354" s="38"/>
      <c r="E354" s="40" t="s">
        <v>396</v>
      </c>
      <c r="J354" s="39"/>
    </row>
    <row r="355" spans="1:16" ht="409.6" x14ac:dyDescent="0.3">
      <c r="A355" s="31" t="s">
        <v>40</v>
      </c>
      <c r="B355" s="38"/>
      <c r="E355" s="33" t="s">
        <v>397</v>
      </c>
      <c r="J355" s="39"/>
    </row>
    <row r="356" spans="1:16" x14ac:dyDescent="0.3">
      <c r="A356" s="31" t="s">
        <v>28</v>
      </c>
      <c r="B356" s="31">
        <v>62</v>
      </c>
      <c r="C356" s="32" t="s">
        <v>398</v>
      </c>
      <c r="D356" s="31" t="s">
        <v>30</v>
      </c>
      <c r="E356" s="33" t="s">
        <v>399</v>
      </c>
      <c r="F356" s="34" t="s">
        <v>32</v>
      </c>
      <c r="G356" s="35">
        <v>11.016</v>
      </c>
      <c r="H356" s="36">
        <v>0</v>
      </c>
      <c r="I356" s="36">
        <f>ROUND(G356*H356,P4)</f>
        <v>0</v>
      </c>
      <c r="J356" s="34" t="s">
        <v>33</v>
      </c>
      <c r="O356" s="37">
        <f>I356*0.21</f>
        <v>0</v>
      </c>
      <c r="P356">
        <v>3</v>
      </c>
    </row>
    <row r="357" spans="1:16" ht="72" x14ac:dyDescent="0.3">
      <c r="A357" s="31" t="s">
        <v>34</v>
      </c>
      <c r="B357" s="38"/>
      <c r="E357" s="33" t="s">
        <v>400</v>
      </c>
      <c r="J357" s="39"/>
    </row>
    <row r="358" spans="1:16" ht="28.8" x14ac:dyDescent="0.3">
      <c r="A358" s="31" t="s">
        <v>36</v>
      </c>
      <c r="B358" s="38"/>
      <c r="E358" s="40" t="s">
        <v>401</v>
      </c>
      <c r="J358" s="39"/>
    </row>
    <row r="359" spans="1:16" ht="409.6" x14ac:dyDescent="0.3">
      <c r="A359" s="31" t="s">
        <v>40</v>
      </c>
      <c r="B359" s="38"/>
      <c r="E359" s="33" t="s">
        <v>397</v>
      </c>
      <c r="J359" s="39"/>
    </row>
    <row r="360" spans="1:16" x14ac:dyDescent="0.3">
      <c r="A360" s="31" t="s">
        <v>28</v>
      </c>
      <c r="B360" s="31">
        <v>63</v>
      </c>
      <c r="C360" s="32" t="s">
        <v>402</v>
      </c>
      <c r="D360" s="31" t="s">
        <v>30</v>
      </c>
      <c r="E360" s="33" t="s">
        <v>403</v>
      </c>
      <c r="F360" s="34" t="s">
        <v>32</v>
      </c>
      <c r="G360" s="35">
        <v>94.311000000000007</v>
      </c>
      <c r="H360" s="36">
        <v>0</v>
      </c>
      <c r="I360" s="36">
        <f>ROUND(G360*H360,P4)</f>
        <v>0</v>
      </c>
      <c r="J360" s="34" t="s">
        <v>33</v>
      </c>
      <c r="O360" s="37">
        <f>I360*0.21</f>
        <v>0</v>
      </c>
      <c r="P360">
        <v>3</v>
      </c>
    </row>
    <row r="361" spans="1:16" ht="115.2" x14ac:dyDescent="0.3">
      <c r="A361" s="31" t="s">
        <v>34</v>
      </c>
      <c r="B361" s="38"/>
      <c r="E361" s="33" t="s">
        <v>404</v>
      </c>
      <c r="J361" s="39"/>
    </row>
    <row r="362" spans="1:16" x14ac:dyDescent="0.3">
      <c r="A362" s="31" t="s">
        <v>36</v>
      </c>
      <c r="B362" s="38"/>
      <c r="E362" s="40" t="s">
        <v>405</v>
      </c>
      <c r="J362" s="39"/>
    </row>
    <row r="363" spans="1:16" ht="28.8" x14ac:dyDescent="0.3">
      <c r="A363" s="31" t="s">
        <v>36</v>
      </c>
      <c r="B363" s="38"/>
      <c r="E363" s="40" t="s">
        <v>406</v>
      </c>
      <c r="J363" s="39"/>
    </row>
    <row r="364" spans="1:16" x14ac:dyDescent="0.3">
      <c r="A364" s="31" t="s">
        <v>36</v>
      </c>
      <c r="B364" s="38"/>
      <c r="E364" s="40" t="s">
        <v>407</v>
      </c>
      <c r="J364" s="39"/>
    </row>
    <row r="365" spans="1:16" x14ac:dyDescent="0.3">
      <c r="A365" s="31" t="s">
        <v>36</v>
      </c>
      <c r="B365" s="38"/>
      <c r="E365" s="40" t="s">
        <v>408</v>
      </c>
      <c r="J365" s="39"/>
    </row>
    <row r="366" spans="1:16" ht="28.8" x14ac:dyDescent="0.3">
      <c r="A366" s="31" t="s">
        <v>36</v>
      </c>
      <c r="B366" s="38"/>
      <c r="E366" s="40" t="s">
        <v>409</v>
      </c>
      <c r="J366" s="39"/>
    </row>
    <row r="367" spans="1:16" x14ac:dyDescent="0.3">
      <c r="A367" s="31" t="s">
        <v>36</v>
      </c>
      <c r="B367" s="38"/>
      <c r="E367" s="40" t="s">
        <v>410</v>
      </c>
      <c r="J367" s="39"/>
    </row>
    <row r="368" spans="1:16" x14ac:dyDescent="0.3">
      <c r="A368" s="31" t="s">
        <v>36</v>
      </c>
      <c r="B368" s="38"/>
      <c r="E368" s="40" t="s">
        <v>411</v>
      </c>
      <c r="J368" s="39"/>
    </row>
    <row r="369" spans="1:16" x14ac:dyDescent="0.3">
      <c r="A369" s="31" t="s">
        <v>36</v>
      </c>
      <c r="B369" s="38"/>
      <c r="E369" s="40" t="s">
        <v>412</v>
      </c>
      <c r="J369" s="39"/>
    </row>
    <row r="370" spans="1:16" x14ac:dyDescent="0.3">
      <c r="A370" s="31" t="s">
        <v>36</v>
      </c>
      <c r="B370" s="38"/>
      <c r="E370" s="40" t="s">
        <v>413</v>
      </c>
      <c r="J370" s="39"/>
    </row>
    <row r="371" spans="1:16" ht="28.8" x14ac:dyDescent="0.3">
      <c r="A371" s="31" t="s">
        <v>36</v>
      </c>
      <c r="B371" s="38"/>
      <c r="E371" s="40" t="s">
        <v>414</v>
      </c>
      <c r="J371" s="39"/>
    </row>
    <row r="372" spans="1:16" x14ac:dyDescent="0.3">
      <c r="A372" s="31" t="s">
        <v>36</v>
      </c>
      <c r="B372" s="38"/>
      <c r="E372" s="40" t="s">
        <v>415</v>
      </c>
      <c r="J372" s="39"/>
    </row>
    <row r="373" spans="1:16" ht="409.6" x14ac:dyDescent="0.3">
      <c r="A373" s="31" t="s">
        <v>40</v>
      </c>
      <c r="B373" s="38"/>
      <c r="E373" s="33" t="s">
        <v>397</v>
      </c>
      <c r="J373" s="39"/>
    </row>
    <row r="374" spans="1:16" x14ac:dyDescent="0.3">
      <c r="A374" s="31" t="s">
        <v>28</v>
      </c>
      <c r="B374" s="31">
        <v>64</v>
      </c>
      <c r="C374" s="32" t="s">
        <v>416</v>
      </c>
      <c r="D374" s="31" t="s">
        <v>30</v>
      </c>
      <c r="E374" s="33" t="s">
        <v>417</v>
      </c>
      <c r="F374" s="34" t="s">
        <v>32</v>
      </c>
      <c r="G374" s="35">
        <v>16.077000000000002</v>
      </c>
      <c r="H374" s="36">
        <v>0</v>
      </c>
      <c r="I374" s="36">
        <f>ROUND(G374*H374,P4)</f>
        <v>0</v>
      </c>
      <c r="J374" s="34" t="s">
        <v>33</v>
      </c>
      <c r="O374" s="37">
        <f>I374*0.21</f>
        <v>0</v>
      </c>
      <c r="P374">
        <v>3</v>
      </c>
    </row>
    <row r="375" spans="1:16" ht="100.8" x14ac:dyDescent="0.3">
      <c r="A375" s="31" t="s">
        <v>34</v>
      </c>
      <c r="B375" s="38"/>
      <c r="E375" s="33" t="s">
        <v>418</v>
      </c>
      <c r="J375" s="39"/>
    </row>
    <row r="376" spans="1:16" x14ac:dyDescent="0.3">
      <c r="A376" s="31" t="s">
        <v>36</v>
      </c>
      <c r="B376" s="38"/>
      <c r="E376" s="40" t="s">
        <v>419</v>
      </c>
      <c r="J376" s="39"/>
    </row>
    <row r="377" spans="1:16" ht="409.6" x14ac:dyDescent="0.3">
      <c r="A377" s="31" t="s">
        <v>40</v>
      </c>
      <c r="B377" s="38"/>
      <c r="E377" s="33" t="s">
        <v>420</v>
      </c>
      <c r="J377" s="39"/>
    </row>
    <row r="378" spans="1:16" x14ac:dyDescent="0.3">
      <c r="A378" s="31" t="s">
        <v>28</v>
      </c>
      <c r="B378" s="31">
        <v>65</v>
      </c>
      <c r="C378" s="32" t="s">
        <v>421</v>
      </c>
      <c r="D378" s="31" t="s">
        <v>30</v>
      </c>
      <c r="E378" s="33" t="s">
        <v>422</v>
      </c>
      <c r="F378" s="34" t="s">
        <v>32</v>
      </c>
      <c r="G378" s="35">
        <v>44.720999999999997</v>
      </c>
      <c r="H378" s="36">
        <v>0</v>
      </c>
      <c r="I378" s="36">
        <f>ROUND(G378*H378,P4)</f>
        <v>0</v>
      </c>
      <c r="J378" s="34" t="s">
        <v>33</v>
      </c>
      <c r="O378" s="37">
        <f>I378*0.21</f>
        <v>0</v>
      </c>
      <c r="P378">
        <v>3</v>
      </c>
    </row>
    <row r="379" spans="1:16" ht="129.6" x14ac:dyDescent="0.3">
      <c r="A379" s="31" t="s">
        <v>34</v>
      </c>
      <c r="B379" s="38"/>
      <c r="E379" s="33" t="s">
        <v>423</v>
      </c>
      <c r="J379" s="39"/>
    </row>
    <row r="380" spans="1:16" x14ac:dyDescent="0.3">
      <c r="A380" s="31" t="s">
        <v>36</v>
      </c>
      <c r="B380" s="38"/>
      <c r="E380" s="40" t="s">
        <v>424</v>
      </c>
      <c r="J380" s="39"/>
    </row>
    <row r="381" spans="1:16" x14ac:dyDescent="0.3">
      <c r="A381" s="31" t="s">
        <v>36</v>
      </c>
      <c r="B381" s="38"/>
      <c r="E381" s="40" t="s">
        <v>425</v>
      </c>
      <c r="J381" s="39"/>
    </row>
    <row r="382" spans="1:16" x14ac:dyDescent="0.3">
      <c r="A382" s="31" t="s">
        <v>36</v>
      </c>
      <c r="B382" s="38"/>
      <c r="E382" s="40" t="s">
        <v>426</v>
      </c>
      <c r="J382" s="39"/>
    </row>
    <row r="383" spans="1:16" x14ac:dyDescent="0.3">
      <c r="A383" s="31" t="s">
        <v>36</v>
      </c>
      <c r="B383" s="38"/>
      <c r="E383" s="40" t="s">
        <v>427</v>
      </c>
      <c r="J383" s="39"/>
    </row>
    <row r="384" spans="1:16" x14ac:dyDescent="0.3">
      <c r="A384" s="31" t="s">
        <v>36</v>
      </c>
      <c r="B384" s="38"/>
      <c r="E384" s="40" t="s">
        <v>428</v>
      </c>
      <c r="J384" s="39"/>
    </row>
    <row r="385" spans="1:16" ht="100.8" x14ac:dyDescent="0.3">
      <c r="A385" s="31" t="s">
        <v>40</v>
      </c>
      <c r="B385" s="38"/>
      <c r="E385" s="33" t="s">
        <v>429</v>
      </c>
      <c r="J385" s="39"/>
    </row>
    <row r="386" spans="1:16" x14ac:dyDescent="0.3">
      <c r="A386" s="31" t="s">
        <v>28</v>
      </c>
      <c r="B386" s="31">
        <v>66</v>
      </c>
      <c r="C386" s="32" t="s">
        <v>430</v>
      </c>
      <c r="D386" s="31" t="s">
        <v>30</v>
      </c>
      <c r="E386" s="33" t="s">
        <v>431</v>
      </c>
      <c r="F386" s="34" t="s">
        <v>32</v>
      </c>
      <c r="G386" s="35">
        <v>232.57</v>
      </c>
      <c r="H386" s="36">
        <v>0</v>
      </c>
      <c r="I386" s="36">
        <f>ROUND(G386*H386,P4)</f>
        <v>0</v>
      </c>
      <c r="J386" s="34" t="s">
        <v>33</v>
      </c>
      <c r="O386" s="37">
        <f>I386*0.21</f>
        <v>0</v>
      </c>
      <c r="P386">
        <v>3</v>
      </c>
    </row>
    <row r="387" spans="1:16" ht="86.4" x14ac:dyDescent="0.3">
      <c r="A387" s="31" t="s">
        <v>34</v>
      </c>
      <c r="B387" s="38"/>
      <c r="E387" s="33" t="s">
        <v>432</v>
      </c>
      <c r="J387" s="39"/>
    </row>
    <row r="388" spans="1:16" ht="28.8" x14ac:dyDescent="0.3">
      <c r="A388" s="31" t="s">
        <v>36</v>
      </c>
      <c r="B388" s="38"/>
      <c r="E388" s="40" t="s">
        <v>433</v>
      </c>
      <c r="J388" s="39"/>
    </row>
    <row r="389" spans="1:16" ht="28.8" x14ac:dyDescent="0.3">
      <c r="A389" s="31" t="s">
        <v>36</v>
      </c>
      <c r="B389" s="38"/>
      <c r="E389" s="40" t="s">
        <v>434</v>
      </c>
      <c r="J389" s="39"/>
    </row>
    <row r="390" spans="1:16" x14ac:dyDescent="0.3">
      <c r="A390" s="31" t="s">
        <v>36</v>
      </c>
      <c r="B390" s="38"/>
      <c r="E390" s="40" t="s">
        <v>435</v>
      </c>
      <c r="J390" s="39"/>
    </row>
    <row r="391" spans="1:16" ht="100.8" x14ac:dyDescent="0.3">
      <c r="A391" s="31" t="s">
        <v>40</v>
      </c>
      <c r="B391" s="38"/>
      <c r="E391" s="33" t="s">
        <v>429</v>
      </c>
      <c r="J391" s="39"/>
    </row>
    <row r="392" spans="1:16" x14ac:dyDescent="0.3">
      <c r="A392" s="31" t="s">
        <v>28</v>
      </c>
      <c r="B392" s="31">
        <v>67</v>
      </c>
      <c r="C392" s="32" t="s">
        <v>436</v>
      </c>
      <c r="D392" s="31" t="s">
        <v>30</v>
      </c>
      <c r="E392" s="33" t="s">
        <v>437</v>
      </c>
      <c r="F392" s="34" t="s">
        <v>32</v>
      </c>
      <c r="G392" s="35">
        <v>20.079999999999998</v>
      </c>
      <c r="H392" s="36">
        <v>0</v>
      </c>
      <c r="I392" s="36">
        <f>ROUND(G392*H392,P4)</f>
        <v>0</v>
      </c>
      <c r="J392" s="34" t="s">
        <v>33</v>
      </c>
      <c r="O392" s="37">
        <f>I392*0.21</f>
        <v>0</v>
      </c>
      <c r="P392">
        <v>3</v>
      </c>
    </row>
    <row r="393" spans="1:16" ht="100.8" x14ac:dyDescent="0.3">
      <c r="A393" s="31" t="s">
        <v>34</v>
      </c>
      <c r="B393" s="38"/>
      <c r="E393" s="33" t="s">
        <v>438</v>
      </c>
      <c r="J393" s="39"/>
    </row>
    <row r="394" spans="1:16" ht="28.8" x14ac:dyDescent="0.3">
      <c r="A394" s="31" t="s">
        <v>36</v>
      </c>
      <c r="B394" s="38"/>
      <c r="E394" s="40" t="s">
        <v>439</v>
      </c>
      <c r="J394" s="39"/>
    </row>
    <row r="395" spans="1:16" ht="374.4" x14ac:dyDescent="0.3">
      <c r="A395" s="31" t="s">
        <v>40</v>
      </c>
      <c r="B395" s="38"/>
      <c r="E395" s="33" t="s">
        <v>440</v>
      </c>
      <c r="J395" s="39"/>
    </row>
    <row r="396" spans="1:16" x14ac:dyDescent="0.3">
      <c r="A396" s="31" t="s">
        <v>28</v>
      </c>
      <c r="B396" s="31">
        <v>68</v>
      </c>
      <c r="C396" s="32" t="s">
        <v>441</v>
      </c>
      <c r="D396" s="31" t="s">
        <v>30</v>
      </c>
      <c r="E396" s="33" t="s">
        <v>442</v>
      </c>
      <c r="F396" s="34" t="s">
        <v>32</v>
      </c>
      <c r="G396" s="35">
        <v>8.6579999999999995</v>
      </c>
      <c r="H396" s="36">
        <v>0</v>
      </c>
      <c r="I396" s="36">
        <f>ROUND(G396*H396,P4)</f>
        <v>0</v>
      </c>
      <c r="J396" s="34" t="s">
        <v>33</v>
      </c>
      <c r="O396" s="37">
        <f>I396*0.21</f>
        <v>0</v>
      </c>
      <c r="P396">
        <v>3</v>
      </c>
    </row>
    <row r="397" spans="1:16" ht="144" x14ac:dyDescent="0.3">
      <c r="A397" s="31" t="s">
        <v>34</v>
      </c>
      <c r="B397" s="38"/>
      <c r="E397" s="33" t="s">
        <v>443</v>
      </c>
      <c r="J397" s="39"/>
    </row>
    <row r="398" spans="1:16" ht="28.8" x14ac:dyDescent="0.3">
      <c r="A398" s="31" t="s">
        <v>36</v>
      </c>
      <c r="B398" s="38"/>
      <c r="E398" s="40" t="s">
        <v>444</v>
      </c>
      <c r="J398" s="39"/>
    </row>
    <row r="399" spans="1:16" x14ac:dyDescent="0.3">
      <c r="A399" s="31" t="s">
        <v>36</v>
      </c>
      <c r="B399" s="38"/>
      <c r="E399" s="40" t="s">
        <v>445</v>
      </c>
      <c r="J399" s="39"/>
    </row>
    <row r="400" spans="1:16" x14ac:dyDescent="0.3">
      <c r="A400" s="31" t="s">
        <v>36</v>
      </c>
      <c r="B400" s="38"/>
      <c r="E400" s="40" t="s">
        <v>446</v>
      </c>
      <c r="J400" s="39"/>
    </row>
    <row r="401" spans="1:16" x14ac:dyDescent="0.3">
      <c r="A401" s="31" t="s">
        <v>36</v>
      </c>
      <c r="B401" s="38"/>
      <c r="E401" s="40" t="s">
        <v>447</v>
      </c>
      <c r="J401" s="39"/>
    </row>
    <row r="402" spans="1:16" ht="374.4" x14ac:dyDescent="0.3">
      <c r="A402" s="31" t="s">
        <v>40</v>
      </c>
      <c r="B402" s="38"/>
      <c r="E402" s="33" t="s">
        <v>440</v>
      </c>
      <c r="J402" s="39"/>
    </row>
    <row r="403" spans="1:16" x14ac:dyDescent="0.3">
      <c r="A403" s="31" t="s">
        <v>28</v>
      </c>
      <c r="B403" s="31">
        <v>69</v>
      </c>
      <c r="C403" s="32" t="s">
        <v>448</v>
      </c>
      <c r="D403" s="31" t="s">
        <v>30</v>
      </c>
      <c r="E403" s="33" t="s">
        <v>449</v>
      </c>
      <c r="F403" s="34" t="s">
        <v>32</v>
      </c>
      <c r="G403" s="35">
        <v>116.542</v>
      </c>
      <c r="H403" s="36">
        <v>0</v>
      </c>
      <c r="I403" s="36">
        <f>ROUND(G403*H403,P4)</f>
        <v>0</v>
      </c>
      <c r="J403" s="34" t="s">
        <v>33</v>
      </c>
      <c r="O403" s="37">
        <f>I403*0.21</f>
        <v>0</v>
      </c>
      <c r="P403">
        <v>3</v>
      </c>
    </row>
    <row r="404" spans="1:16" ht="129.6" x14ac:dyDescent="0.3">
      <c r="A404" s="31" t="s">
        <v>34</v>
      </c>
      <c r="B404" s="38"/>
      <c r="E404" s="33" t="s">
        <v>450</v>
      </c>
      <c r="J404" s="39"/>
    </row>
    <row r="405" spans="1:16" x14ac:dyDescent="0.3">
      <c r="A405" s="31" t="s">
        <v>36</v>
      </c>
      <c r="B405" s="38"/>
      <c r="E405" s="40" t="s">
        <v>451</v>
      </c>
      <c r="J405" s="39"/>
    </row>
    <row r="406" spans="1:16" ht="28.8" x14ac:dyDescent="0.3">
      <c r="A406" s="31" t="s">
        <v>36</v>
      </c>
      <c r="B406" s="38"/>
      <c r="E406" s="40" t="s">
        <v>452</v>
      </c>
      <c r="J406" s="39"/>
    </row>
    <row r="407" spans="1:16" x14ac:dyDescent="0.3">
      <c r="A407" s="31" t="s">
        <v>36</v>
      </c>
      <c r="B407" s="38"/>
      <c r="E407" s="40" t="s">
        <v>453</v>
      </c>
      <c r="J407" s="39"/>
    </row>
    <row r="408" spans="1:16" x14ac:dyDescent="0.3">
      <c r="A408" s="31" t="s">
        <v>36</v>
      </c>
      <c r="B408" s="38"/>
      <c r="E408" s="40" t="s">
        <v>454</v>
      </c>
      <c r="J408" s="39"/>
    </row>
    <row r="409" spans="1:16" ht="28.8" x14ac:dyDescent="0.3">
      <c r="A409" s="31" t="s">
        <v>36</v>
      </c>
      <c r="B409" s="38"/>
      <c r="E409" s="40" t="s">
        <v>455</v>
      </c>
      <c r="J409" s="39"/>
    </row>
    <row r="410" spans="1:16" x14ac:dyDescent="0.3">
      <c r="A410" s="31" t="s">
        <v>36</v>
      </c>
      <c r="B410" s="38"/>
      <c r="E410" s="40" t="s">
        <v>456</v>
      </c>
      <c r="J410" s="39"/>
    </row>
    <row r="411" spans="1:16" ht="28.8" x14ac:dyDescent="0.3">
      <c r="A411" s="31" t="s">
        <v>36</v>
      </c>
      <c r="B411" s="38"/>
      <c r="E411" s="40" t="s">
        <v>457</v>
      </c>
      <c r="J411" s="39"/>
    </row>
    <row r="412" spans="1:16" x14ac:dyDescent="0.3">
      <c r="A412" s="31" t="s">
        <v>36</v>
      </c>
      <c r="B412" s="38"/>
      <c r="E412" s="40" t="s">
        <v>458</v>
      </c>
      <c r="J412" s="39"/>
    </row>
    <row r="413" spans="1:16" ht="144" x14ac:dyDescent="0.3">
      <c r="A413" s="31" t="s">
        <v>40</v>
      </c>
      <c r="B413" s="38"/>
      <c r="E413" s="33" t="s">
        <v>459</v>
      </c>
      <c r="J413" s="39"/>
    </row>
    <row r="414" spans="1:16" x14ac:dyDescent="0.3">
      <c r="A414" s="25" t="s">
        <v>25</v>
      </c>
      <c r="B414" s="26"/>
      <c r="C414" s="27" t="s">
        <v>460</v>
      </c>
      <c r="D414" s="28"/>
      <c r="E414" s="25" t="s">
        <v>461</v>
      </c>
      <c r="F414" s="28"/>
      <c r="G414" s="28"/>
      <c r="H414" s="28"/>
      <c r="I414" s="29">
        <f>SUMIFS(I415:I439,A415:A439,"P")</f>
        <v>0</v>
      </c>
      <c r="J414" s="30"/>
    </row>
    <row r="415" spans="1:16" x14ac:dyDescent="0.3">
      <c r="A415" s="31" t="s">
        <v>28</v>
      </c>
      <c r="B415" s="31">
        <v>70</v>
      </c>
      <c r="C415" s="32" t="s">
        <v>462</v>
      </c>
      <c r="D415" s="31" t="s">
        <v>30</v>
      </c>
      <c r="E415" s="33" t="s">
        <v>463</v>
      </c>
      <c r="F415" s="34" t="s">
        <v>125</v>
      </c>
      <c r="G415" s="35">
        <v>1937.1</v>
      </c>
      <c r="H415" s="36">
        <v>0</v>
      </c>
      <c r="I415" s="36">
        <f>ROUND(G415*H415,P4)</f>
        <v>0</v>
      </c>
      <c r="J415" s="34" t="s">
        <v>33</v>
      </c>
      <c r="O415" s="37">
        <f>I415*0.21</f>
        <v>0</v>
      </c>
      <c r="P415">
        <v>3</v>
      </c>
    </row>
    <row r="416" spans="1:16" ht="86.4" x14ac:dyDescent="0.3">
      <c r="A416" s="31" t="s">
        <v>34</v>
      </c>
      <c r="B416" s="38"/>
      <c r="E416" s="33" t="s">
        <v>464</v>
      </c>
      <c r="J416" s="39"/>
    </row>
    <row r="417" spans="1:16" x14ac:dyDescent="0.3">
      <c r="A417" s="31" t="s">
        <v>36</v>
      </c>
      <c r="B417" s="38"/>
      <c r="E417" s="40" t="s">
        <v>465</v>
      </c>
      <c r="J417" s="39"/>
    </row>
    <row r="418" spans="1:16" ht="115.2" x14ac:dyDescent="0.3">
      <c r="A418" s="31" t="s">
        <v>40</v>
      </c>
      <c r="B418" s="38"/>
      <c r="E418" s="33" t="s">
        <v>466</v>
      </c>
      <c r="J418" s="39"/>
    </row>
    <row r="419" spans="1:16" x14ac:dyDescent="0.3">
      <c r="A419" s="31" t="s">
        <v>28</v>
      </c>
      <c r="B419" s="31">
        <v>71</v>
      </c>
      <c r="C419" s="32" t="s">
        <v>467</v>
      </c>
      <c r="D419" s="31" t="s">
        <v>30</v>
      </c>
      <c r="E419" s="33" t="s">
        <v>468</v>
      </c>
      <c r="F419" s="34" t="s">
        <v>125</v>
      </c>
      <c r="G419" s="35">
        <v>1844.7</v>
      </c>
      <c r="H419" s="36">
        <v>0</v>
      </c>
      <c r="I419" s="36">
        <f>ROUND(G419*H419,P4)</f>
        <v>0</v>
      </c>
      <c r="J419" s="34" t="s">
        <v>33</v>
      </c>
      <c r="O419" s="37">
        <f>I419*0.21</f>
        <v>0</v>
      </c>
      <c r="P419">
        <v>3</v>
      </c>
    </row>
    <row r="420" spans="1:16" ht="115.2" x14ac:dyDescent="0.3">
      <c r="A420" s="31" t="s">
        <v>34</v>
      </c>
      <c r="B420" s="38"/>
      <c r="E420" s="33" t="s">
        <v>469</v>
      </c>
      <c r="J420" s="39"/>
    </row>
    <row r="421" spans="1:16" x14ac:dyDescent="0.3">
      <c r="A421" s="31" t="s">
        <v>36</v>
      </c>
      <c r="B421" s="38"/>
      <c r="E421" s="40" t="s">
        <v>470</v>
      </c>
      <c r="J421" s="39"/>
    </row>
    <row r="422" spans="1:16" ht="100.8" x14ac:dyDescent="0.3">
      <c r="A422" s="31" t="s">
        <v>40</v>
      </c>
      <c r="B422" s="38"/>
      <c r="E422" s="33" t="s">
        <v>471</v>
      </c>
      <c r="J422" s="39"/>
    </row>
    <row r="423" spans="1:16" x14ac:dyDescent="0.3">
      <c r="A423" s="31" t="s">
        <v>28</v>
      </c>
      <c r="B423" s="31">
        <v>72</v>
      </c>
      <c r="C423" s="32" t="s">
        <v>472</v>
      </c>
      <c r="D423" s="31" t="s">
        <v>30</v>
      </c>
      <c r="E423" s="33" t="s">
        <v>473</v>
      </c>
      <c r="F423" s="34" t="s">
        <v>125</v>
      </c>
      <c r="G423" s="35">
        <v>1842.2249999999999</v>
      </c>
      <c r="H423" s="36">
        <v>0</v>
      </c>
      <c r="I423" s="36">
        <f>ROUND(G423*H423,P4)</f>
        <v>0</v>
      </c>
      <c r="J423" s="34" t="s">
        <v>33</v>
      </c>
      <c r="O423" s="37">
        <f>I423*0.21</f>
        <v>0</v>
      </c>
      <c r="P423">
        <v>3</v>
      </c>
    </row>
    <row r="424" spans="1:16" ht="100.8" x14ac:dyDescent="0.3">
      <c r="A424" s="31" t="s">
        <v>34</v>
      </c>
      <c r="B424" s="38"/>
      <c r="E424" s="33" t="s">
        <v>474</v>
      </c>
      <c r="J424" s="39"/>
    </row>
    <row r="425" spans="1:16" x14ac:dyDescent="0.3">
      <c r="A425" s="31" t="s">
        <v>36</v>
      </c>
      <c r="B425" s="38"/>
      <c r="E425" s="40" t="s">
        <v>475</v>
      </c>
      <c r="J425" s="39"/>
    </row>
    <row r="426" spans="1:16" ht="187.2" x14ac:dyDescent="0.3">
      <c r="A426" s="31" t="s">
        <v>40</v>
      </c>
      <c r="B426" s="38"/>
      <c r="E426" s="33" t="s">
        <v>476</v>
      </c>
      <c r="J426" s="39"/>
    </row>
    <row r="427" spans="1:16" x14ac:dyDescent="0.3">
      <c r="A427" s="31" t="s">
        <v>28</v>
      </c>
      <c r="B427" s="31">
        <v>73</v>
      </c>
      <c r="C427" s="32" t="s">
        <v>477</v>
      </c>
      <c r="D427" s="31" t="s">
        <v>30</v>
      </c>
      <c r="E427" s="33" t="s">
        <v>478</v>
      </c>
      <c r="F427" s="34" t="s">
        <v>125</v>
      </c>
      <c r="G427" s="35">
        <v>1902.09</v>
      </c>
      <c r="H427" s="36">
        <v>0</v>
      </c>
      <c r="I427" s="36">
        <f>ROUND(G427*H427,P4)</f>
        <v>0</v>
      </c>
      <c r="J427" s="34" t="s">
        <v>33</v>
      </c>
      <c r="O427" s="37">
        <f>I427*0.21</f>
        <v>0</v>
      </c>
      <c r="P427">
        <v>3</v>
      </c>
    </row>
    <row r="428" spans="1:16" ht="115.2" x14ac:dyDescent="0.3">
      <c r="A428" s="31" t="s">
        <v>34</v>
      </c>
      <c r="B428" s="38"/>
      <c r="E428" s="33" t="s">
        <v>479</v>
      </c>
      <c r="J428" s="39"/>
    </row>
    <row r="429" spans="1:16" ht="28.8" x14ac:dyDescent="0.3">
      <c r="A429" s="31" t="s">
        <v>36</v>
      </c>
      <c r="B429" s="38"/>
      <c r="E429" s="40" t="s">
        <v>480</v>
      </c>
      <c r="J429" s="39"/>
    </row>
    <row r="430" spans="1:16" x14ac:dyDescent="0.3">
      <c r="A430" s="31" t="s">
        <v>36</v>
      </c>
      <c r="B430" s="38"/>
      <c r="E430" s="40" t="s">
        <v>481</v>
      </c>
      <c r="J430" s="39"/>
    </row>
    <row r="431" spans="1:16" ht="28.8" x14ac:dyDescent="0.3">
      <c r="A431" s="31" t="s">
        <v>36</v>
      </c>
      <c r="B431" s="38"/>
      <c r="E431" s="40" t="s">
        <v>482</v>
      </c>
      <c r="J431" s="39"/>
    </row>
    <row r="432" spans="1:16" x14ac:dyDescent="0.3">
      <c r="A432" s="31" t="s">
        <v>36</v>
      </c>
      <c r="B432" s="38"/>
      <c r="E432" s="40" t="s">
        <v>483</v>
      </c>
      <c r="J432" s="39"/>
    </row>
    <row r="433" spans="1:16" x14ac:dyDescent="0.3">
      <c r="A433" s="31" t="s">
        <v>36</v>
      </c>
      <c r="B433" s="38"/>
      <c r="E433" s="40" t="s">
        <v>484</v>
      </c>
      <c r="J433" s="39"/>
    </row>
    <row r="434" spans="1:16" x14ac:dyDescent="0.3">
      <c r="A434" s="31" t="s">
        <v>36</v>
      </c>
      <c r="B434" s="38"/>
      <c r="E434" s="40" t="s">
        <v>485</v>
      </c>
      <c r="J434" s="39"/>
    </row>
    <row r="435" spans="1:16" ht="187.2" x14ac:dyDescent="0.3">
      <c r="A435" s="31" t="s">
        <v>40</v>
      </c>
      <c r="B435" s="38"/>
      <c r="E435" s="33" t="s">
        <v>476</v>
      </c>
      <c r="J435" s="39"/>
    </row>
    <row r="436" spans="1:16" x14ac:dyDescent="0.3">
      <c r="A436" s="31" t="s">
        <v>28</v>
      </c>
      <c r="B436" s="31">
        <v>74</v>
      </c>
      <c r="C436" s="32" t="s">
        <v>486</v>
      </c>
      <c r="D436" s="31" t="s">
        <v>30</v>
      </c>
      <c r="E436" s="33" t="s">
        <v>487</v>
      </c>
      <c r="F436" s="34" t="s">
        <v>125</v>
      </c>
      <c r="G436" s="35">
        <v>1842.2249999999999</v>
      </c>
      <c r="H436" s="36">
        <v>0</v>
      </c>
      <c r="I436" s="36">
        <f>ROUND(G436*H436,P4)</f>
        <v>0</v>
      </c>
      <c r="J436" s="34" t="s">
        <v>33</v>
      </c>
      <c r="O436" s="37">
        <f>I436*0.21</f>
        <v>0</v>
      </c>
      <c r="P436">
        <v>3</v>
      </c>
    </row>
    <row r="437" spans="1:16" ht="72" x14ac:dyDescent="0.3">
      <c r="A437" s="31" t="s">
        <v>34</v>
      </c>
      <c r="B437" s="38"/>
      <c r="E437" s="33" t="s">
        <v>488</v>
      </c>
      <c r="J437" s="39"/>
    </row>
    <row r="438" spans="1:16" x14ac:dyDescent="0.3">
      <c r="A438" s="31" t="s">
        <v>36</v>
      </c>
      <c r="B438" s="38"/>
      <c r="E438" s="40" t="s">
        <v>489</v>
      </c>
      <c r="J438" s="39"/>
    </row>
    <row r="439" spans="1:16" ht="72" x14ac:dyDescent="0.3">
      <c r="A439" s="31" t="s">
        <v>40</v>
      </c>
      <c r="B439" s="38"/>
      <c r="E439" s="33" t="s">
        <v>490</v>
      </c>
      <c r="J439" s="39"/>
    </row>
    <row r="440" spans="1:16" x14ac:dyDescent="0.3">
      <c r="A440" s="25" t="s">
        <v>25</v>
      </c>
      <c r="B440" s="26"/>
      <c r="C440" s="27" t="s">
        <v>491</v>
      </c>
      <c r="D440" s="28"/>
      <c r="E440" s="25" t="s">
        <v>492</v>
      </c>
      <c r="F440" s="28"/>
      <c r="G440" s="28"/>
      <c r="H440" s="28"/>
      <c r="I440" s="29">
        <f>SUMIFS(I441:I444,A441:A444,"P")</f>
        <v>0</v>
      </c>
      <c r="J440" s="30"/>
    </row>
    <row r="441" spans="1:16" x14ac:dyDescent="0.3">
      <c r="A441" s="31" t="s">
        <v>28</v>
      </c>
      <c r="B441" s="31">
        <v>75</v>
      </c>
      <c r="C441" s="32" t="s">
        <v>493</v>
      </c>
      <c r="D441" s="31" t="s">
        <v>30</v>
      </c>
      <c r="E441" s="33" t="s">
        <v>494</v>
      </c>
      <c r="F441" s="34" t="s">
        <v>125</v>
      </c>
      <c r="G441" s="35">
        <v>353.51</v>
      </c>
      <c r="H441" s="36">
        <v>0</v>
      </c>
      <c r="I441" s="36">
        <f>ROUND(G441*H441,P4)</f>
        <v>0</v>
      </c>
      <c r="J441" s="34" t="s">
        <v>33</v>
      </c>
      <c r="O441" s="37">
        <f>I441*0.21</f>
        <v>0</v>
      </c>
      <c r="P441">
        <v>3</v>
      </c>
    </row>
    <row r="442" spans="1:16" ht="72" x14ac:dyDescent="0.3">
      <c r="A442" s="31" t="s">
        <v>34</v>
      </c>
      <c r="B442" s="38"/>
      <c r="E442" s="33" t="s">
        <v>495</v>
      </c>
      <c r="J442" s="39"/>
    </row>
    <row r="443" spans="1:16" x14ac:dyDescent="0.3">
      <c r="A443" s="31" t="s">
        <v>36</v>
      </c>
      <c r="B443" s="38"/>
      <c r="E443" s="40" t="s">
        <v>496</v>
      </c>
      <c r="J443" s="39"/>
    </row>
    <row r="444" spans="1:16" ht="57.6" x14ac:dyDescent="0.3">
      <c r="A444" s="31" t="s">
        <v>40</v>
      </c>
      <c r="B444" s="38"/>
      <c r="E444" s="33" t="s">
        <v>497</v>
      </c>
      <c r="J444" s="39"/>
    </row>
    <row r="445" spans="1:16" x14ac:dyDescent="0.3">
      <c r="A445" s="25" t="s">
        <v>25</v>
      </c>
      <c r="B445" s="26"/>
      <c r="C445" s="27" t="s">
        <v>498</v>
      </c>
      <c r="D445" s="28"/>
      <c r="E445" s="25" t="s">
        <v>499</v>
      </c>
      <c r="F445" s="28"/>
      <c r="G445" s="28"/>
      <c r="H445" s="28"/>
      <c r="I445" s="29">
        <f>SUMIFS(I446:I493,A446:A493,"P")</f>
        <v>0</v>
      </c>
      <c r="J445" s="30"/>
    </row>
    <row r="446" spans="1:16" ht="28.8" x14ac:dyDescent="0.3">
      <c r="A446" s="31" t="s">
        <v>28</v>
      </c>
      <c r="B446" s="31">
        <v>76</v>
      </c>
      <c r="C446" s="32" t="s">
        <v>500</v>
      </c>
      <c r="D446" s="31" t="s">
        <v>30</v>
      </c>
      <c r="E446" s="33" t="s">
        <v>501</v>
      </c>
      <c r="F446" s="34" t="s">
        <v>125</v>
      </c>
      <c r="G446" s="35">
        <v>186.21</v>
      </c>
      <c r="H446" s="36">
        <v>0</v>
      </c>
      <c r="I446" s="36">
        <f>ROUND(G446*H446,P4)</f>
        <v>0</v>
      </c>
      <c r="J446" s="34" t="s">
        <v>33</v>
      </c>
      <c r="O446" s="37">
        <f>I446*0.21</f>
        <v>0</v>
      </c>
      <c r="P446">
        <v>3</v>
      </c>
    </row>
    <row r="447" spans="1:16" ht="86.4" x14ac:dyDescent="0.3">
      <c r="A447" s="31" t="s">
        <v>34</v>
      </c>
      <c r="B447" s="38"/>
      <c r="E447" s="33" t="s">
        <v>502</v>
      </c>
      <c r="J447" s="39"/>
    </row>
    <row r="448" spans="1:16" ht="28.8" x14ac:dyDescent="0.3">
      <c r="A448" s="31" t="s">
        <v>36</v>
      </c>
      <c r="B448" s="38"/>
      <c r="E448" s="40" t="s">
        <v>159</v>
      </c>
      <c r="J448" s="39"/>
    </row>
    <row r="449" spans="1:16" ht="28.8" x14ac:dyDescent="0.3">
      <c r="A449" s="31" t="s">
        <v>36</v>
      </c>
      <c r="B449" s="38"/>
      <c r="E449" s="40" t="s">
        <v>503</v>
      </c>
      <c r="J449" s="39"/>
    </row>
    <row r="450" spans="1:16" x14ac:dyDescent="0.3">
      <c r="A450" s="31" t="s">
        <v>36</v>
      </c>
      <c r="B450" s="38"/>
      <c r="E450" s="40" t="s">
        <v>504</v>
      </c>
      <c r="J450" s="39"/>
    </row>
    <row r="451" spans="1:16" ht="28.8" x14ac:dyDescent="0.3">
      <c r="A451" s="31" t="s">
        <v>36</v>
      </c>
      <c r="B451" s="38"/>
      <c r="E451" s="40" t="s">
        <v>162</v>
      </c>
      <c r="J451" s="39"/>
    </row>
    <row r="452" spans="1:16" ht="28.8" x14ac:dyDescent="0.3">
      <c r="A452" s="31" t="s">
        <v>36</v>
      </c>
      <c r="B452" s="38"/>
      <c r="E452" s="40" t="s">
        <v>505</v>
      </c>
      <c r="J452" s="39"/>
    </row>
    <row r="453" spans="1:16" x14ac:dyDescent="0.3">
      <c r="A453" s="31" t="s">
        <v>36</v>
      </c>
      <c r="B453" s="38"/>
      <c r="E453" s="40" t="s">
        <v>506</v>
      </c>
      <c r="J453" s="39"/>
    </row>
    <row r="454" spans="1:16" x14ac:dyDescent="0.3">
      <c r="A454" s="31" t="s">
        <v>36</v>
      </c>
      <c r="B454" s="38"/>
      <c r="E454" s="40" t="s">
        <v>507</v>
      </c>
      <c r="J454" s="39"/>
    </row>
    <row r="455" spans="1:16" ht="273.60000000000002" x14ac:dyDescent="0.3">
      <c r="A455" s="31" t="s">
        <v>40</v>
      </c>
      <c r="B455" s="38"/>
      <c r="E455" s="33" t="s">
        <v>508</v>
      </c>
      <c r="J455" s="39"/>
    </row>
    <row r="456" spans="1:16" x14ac:dyDescent="0.3">
      <c r="A456" s="31" t="s">
        <v>28</v>
      </c>
      <c r="B456" s="31">
        <v>77</v>
      </c>
      <c r="C456" s="32" t="s">
        <v>509</v>
      </c>
      <c r="D456" s="31" t="s">
        <v>30</v>
      </c>
      <c r="E456" s="33" t="s">
        <v>510</v>
      </c>
      <c r="F456" s="34" t="s">
        <v>125</v>
      </c>
      <c r="G456" s="35">
        <v>16.5</v>
      </c>
      <c r="H456" s="36">
        <v>0</v>
      </c>
      <c r="I456" s="36">
        <f>ROUND(G456*H456,P4)</f>
        <v>0</v>
      </c>
      <c r="J456" s="34" t="s">
        <v>33</v>
      </c>
      <c r="O456" s="37">
        <f>I456*0.21</f>
        <v>0</v>
      </c>
      <c r="P456">
        <v>3</v>
      </c>
    </row>
    <row r="457" spans="1:16" ht="129.6" x14ac:dyDescent="0.3">
      <c r="A457" s="31" t="s">
        <v>34</v>
      </c>
      <c r="B457" s="38"/>
      <c r="E457" s="33" t="s">
        <v>511</v>
      </c>
      <c r="J457" s="39"/>
    </row>
    <row r="458" spans="1:16" ht="28.8" x14ac:dyDescent="0.3">
      <c r="A458" s="31" t="s">
        <v>36</v>
      </c>
      <c r="B458" s="38"/>
      <c r="E458" s="40" t="s">
        <v>512</v>
      </c>
      <c r="J458" s="39"/>
    </row>
    <row r="459" spans="1:16" ht="288" x14ac:dyDescent="0.3">
      <c r="A459" s="31" t="s">
        <v>40</v>
      </c>
      <c r="B459" s="38"/>
      <c r="E459" s="33" t="s">
        <v>513</v>
      </c>
      <c r="J459" s="39"/>
    </row>
    <row r="460" spans="1:16" ht="28.8" x14ac:dyDescent="0.3">
      <c r="A460" s="31" t="s">
        <v>28</v>
      </c>
      <c r="B460" s="31">
        <v>78</v>
      </c>
      <c r="C460" s="32" t="s">
        <v>514</v>
      </c>
      <c r="D460" s="31" t="s">
        <v>30</v>
      </c>
      <c r="E460" s="33" t="s">
        <v>515</v>
      </c>
      <c r="F460" s="34" t="s">
        <v>125</v>
      </c>
      <c r="G460" s="35">
        <v>2365.6999999999998</v>
      </c>
      <c r="H460" s="36">
        <v>0</v>
      </c>
      <c r="I460" s="36">
        <f>ROUND(G460*H460,P4)</f>
        <v>0</v>
      </c>
      <c r="J460" s="34" t="s">
        <v>33</v>
      </c>
      <c r="O460" s="37">
        <f>I460*0.21</f>
        <v>0</v>
      </c>
      <c r="P460">
        <v>3</v>
      </c>
    </row>
    <row r="461" spans="1:16" ht="100.8" x14ac:dyDescent="0.3">
      <c r="A461" s="31" t="s">
        <v>34</v>
      </c>
      <c r="B461" s="38"/>
      <c r="E461" s="33" t="s">
        <v>516</v>
      </c>
      <c r="J461" s="39"/>
    </row>
    <row r="462" spans="1:16" ht="28.8" x14ac:dyDescent="0.3">
      <c r="A462" s="31" t="s">
        <v>36</v>
      </c>
      <c r="B462" s="38"/>
      <c r="E462" s="40" t="s">
        <v>517</v>
      </c>
      <c r="J462" s="39"/>
    </row>
    <row r="463" spans="1:16" ht="288" x14ac:dyDescent="0.3">
      <c r="A463" s="31" t="s">
        <v>40</v>
      </c>
      <c r="B463" s="38"/>
      <c r="E463" s="33" t="s">
        <v>513</v>
      </c>
      <c r="J463" s="39"/>
    </row>
    <row r="464" spans="1:16" x14ac:dyDescent="0.3">
      <c r="A464" s="31" t="s">
        <v>28</v>
      </c>
      <c r="B464" s="31">
        <v>79</v>
      </c>
      <c r="C464" s="32" t="s">
        <v>518</v>
      </c>
      <c r="D464" s="31" t="s">
        <v>30</v>
      </c>
      <c r="E464" s="33" t="s">
        <v>519</v>
      </c>
      <c r="F464" s="34" t="s">
        <v>125</v>
      </c>
      <c r="G464" s="35">
        <v>550.24</v>
      </c>
      <c r="H464" s="36">
        <v>0</v>
      </c>
      <c r="I464" s="36">
        <f>ROUND(G464*H464,P4)</f>
        <v>0</v>
      </c>
      <c r="J464" s="34" t="s">
        <v>33</v>
      </c>
      <c r="O464" s="37">
        <f>I464*0.21</f>
        <v>0</v>
      </c>
      <c r="P464">
        <v>3</v>
      </c>
    </row>
    <row r="465" spans="1:16" ht="86.4" x14ac:dyDescent="0.3">
      <c r="A465" s="31" t="s">
        <v>34</v>
      </c>
      <c r="B465" s="38"/>
      <c r="E465" s="33" t="s">
        <v>520</v>
      </c>
      <c r="J465" s="39"/>
    </row>
    <row r="466" spans="1:16" x14ac:dyDescent="0.3">
      <c r="A466" s="31" t="s">
        <v>36</v>
      </c>
      <c r="B466" s="38"/>
      <c r="E466" s="40" t="s">
        <v>521</v>
      </c>
      <c r="J466" s="39"/>
    </row>
    <row r="467" spans="1:16" x14ac:dyDescent="0.3">
      <c r="A467" s="31" t="s">
        <v>36</v>
      </c>
      <c r="B467" s="38"/>
      <c r="E467" s="40" t="s">
        <v>522</v>
      </c>
      <c r="J467" s="39"/>
    </row>
    <row r="468" spans="1:16" x14ac:dyDescent="0.3">
      <c r="A468" s="31" t="s">
        <v>36</v>
      </c>
      <c r="B468" s="38"/>
      <c r="E468" s="40" t="s">
        <v>523</v>
      </c>
      <c r="J468" s="39"/>
    </row>
    <row r="469" spans="1:16" ht="72" x14ac:dyDescent="0.3">
      <c r="A469" s="31" t="s">
        <v>40</v>
      </c>
      <c r="B469" s="38"/>
      <c r="E469" s="33" t="s">
        <v>524</v>
      </c>
      <c r="J469" s="39"/>
    </row>
    <row r="470" spans="1:16" ht="15" x14ac:dyDescent="0.35">
      <c r="A470" s="31" t="s">
        <v>28</v>
      </c>
      <c r="B470" s="31">
        <v>80</v>
      </c>
      <c r="C470" s="32" t="s">
        <v>525</v>
      </c>
      <c r="D470" s="31" t="s">
        <v>30</v>
      </c>
      <c r="E470" s="33" t="s">
        <v>526</v>
      </c>
      <c r="F470" s="34" t="s">
        <v>44</v>
      </c>
      <c r="G470" s="35">
        <v>14</v>
      </c>
      <c r="H470" s="36">
        <v>0</v>
      </c>
      <c r="I470" s="36">
        <f>ROUND(G470*H470,P4)</f>
        <v>0</v>
      </c>
      <c r="J470" s="34" t="s">
        <v>33</v>
      </c>
      <c r="K470" s="43"/>
      <c r="O470" s="37">
        <f>I470*0.21</f>
        <v>0</v>
      </c>
      <c r="P470">
        <v>3</v>
      </c>
    </row>
    <row r="471" spans="1:16" ht="87" x14ac:dyDescent="0.35">
      <c r="A471" s="31" t="s">
        <v>34</v>
      </c>
      <c r="B471" s="38"/>
      <c r="E471" s="33" t="s">
        <v>527</v>
      </c>
      <c r="J471" s="39"/>
      <c r="K471" s="43"/>
    </row>
    <row r="472" spans="1:16" ht="15" x14ac:dyDescent="0.35">
      <c r="A472" s="31" t="s">
        <v>36</v>
      </c>
      <c r="B472" s="38"/>
      <c r="E472" s="40" t="s">
        <v>528</v>
      </c>
      <c r="J472" s="39"/>
      <c r="K472" s="43"/>
    </row>
    <row r="473" spans="1:16" ht="15" x14ac:dyDescent="0.35">
      <c r="A473" s="31" t="s">
        <v>36</v>
      </c>
      <c r="B473" s="38"/>
      <c r="E473" s="40" t="s">
        <v>529</v>
      </c>
      <c r="J473" s="39"/>
      <c r="K473" s="43"/>
    </row>
    <row r="474" spans="1:16" ht="15" x14ac:dyDescent="0.35">
      <c r="A474" s="31" t="s">
        <v>36</v>
      </c>
      <c r="B474" s="38"/>
      <c r="E474" s="40" t="s">
        <v>530</v>
      </c>
      <c r="J474" s="39"/>
      <c r="K474" s="43"/>
    </row>
    <row r="475" spans="1:16" ht="101.4" x14ac:dyDescent="0.35">
      <c r="A475" s="31" t="s">
        <v>40</v>
      </c>
      <c r="B475" s="38"/>
      <c r="E475" s="33" t="s">
        <v>531</v>
      </c>
      <c r="J475" s="39"/>
      <c r="K475" s="43"/>
    </row>
    <row r="476" spans="1:16" ht="15" x14ac:dyDescent="0.35">
      <c r="A476" s="31" t="s">
        <v>28</v>
      </c>
      <c r="B476" s="31">
        <v>81</v>
      </c>
      <c r="C476" s="32" t="s">
        <v>532</v>
      </c>
      <c r="D476" s="31" t="s">
        <v>30</v>
      </c>
      <c r="E476" s="33" t="s">
        <v>533</v>
      </c>
      <c r="F476" s="34" t="s">
        <v>199</v>
      </c>
      <c r="G476" s="35">
        <v>228.8</v>
      </c>
      <c r="H476" s="36">
        <v>0</v>
      </c>
      <c r="I476" s="36">
        <f>ROUND(G476*H476,P4)</f>
        <v>0</v>
      </c>
      <c r="J476" s="34" t="s">
        <v>33</v>
      </c>
      <c r="K476" s="43"/>
      <c r="O476" s="37">
        <f>I476*0.21</f>
        <v>0</v>
      </c>
      <c r="P476">
        <v>3</v>
      </c>
    </row>
    <row r="477" spans="1:16" ht="172.8" x14ac:dyDescent="0.3">
      <c r="A477" s="31" t="s">
        <v>34</v>
      </c>
      <c r="B477" s="38"/>
      <c r="E477" s="33" t="s">
        <v>534</v>
      </c>
      <c r="J477" s="39"/>
    </row>
    <row r="478" spans="1:16" x14ac:dyDescent="0.3">
      <c r="A478" s="31" t="s">
        <v>36</v>
      </c>
      <c r="B478" s="38"/>
      <c r="E478" s="40" t="s">
        <v>535</v>
      </c>
      <c r="J478" s="39"/>
    </row>
    <row r="479" spans="1:16" x14ac:dyDescent="0.3">
      <c r="A479" s="31" t="s">
        <v>40</v>
      </c>
      <c r="B479" s="38"/>
      <c r="E479" s="41" t="s">
        <v>30</v>
      </c>
      <c r="J479" s="39"/>
    </row>
    <row r="480" spans="1:16" x14ac:dyDescent="0.3">
      <c r="A480" s="31" t="s">
        <v>28</v>
      </c>
      <c r="B480" s="31">
        <v>82</v>
      </c>
      <c r="C480" s="32" t="s">
        <v>536</v>
      </c>
      <c r="D480" s="31" t="s">
        <v>30</v>
      </c>
      <c r="E480" s="33" t="s">
        <v>537</v>
      </c>
      <c r="F480" s="34" t="s">
        <v>125</v>
      </c>
      <c r="G480" s="35">
        <v>299.75</v>
      </c>
      <c r="H480" s="36">
        <v>0</v>
      </c>
      <c r="I480" s="36">
        <f>ROUND(G480*H480,P4)</f>
        <v>0</v>
      </c>
      <c r="J480" s="34" t="s">
        <v>33</v>
      </c>
      <c r="O480" s="37">
        <f>I480*0.21</f>
        <v>0</v>
      </c>
      <c r="P480">
        <v>3</v>
      </c>
    </row>
    <row r="481" spans="1:16" ht="100.8" x14ac:dyDescent="0.3">
      <c r="A481" s="31" t="s">
        <v>34</v>
      </c>
      <c r="B481" s="38"/>
      <c r="E481" s="33" t="s">
        <v>538</v>
      </c>
      <c r="J481" s="39"/>
    </row>
    <row r="482" spans="1:16" ht="28.8" x14ac:dyDescent="0.3">
      <c r="A482" s="31" t="s">
        <v>36</v>
      </c>
      <c r="B482" s="38"/>
      <c r="E482" s="40" t="s">
        <v>539</v>
      </c>
      <c r="J482" s="39"/>
    </row>
    <row r="483" spans="1:16" ht="28.8" x14ac:dyDescent="0.3">
      <c r="A483" s="31" t="s">
        <v>36</v>
      </c>
      <c r="B483" s="38"/>
      <c r="E483" s="40" t="s">
        <v>540</v>
      </c>
      <c r="J483" s="39"/>
    </row>
    <row r="484" spans="1:16" x14ac:dyDescent="0.3">
      <c r="A484" s="31" t="s">
        <v>36</v>
      </c>
      <c r="B484" s="38"/>
      <c r="E484" s="40" t="s">
        <v>541</v>
      </c>
      <c r="J484" s="39"/>
    </row>
    <row r="485" spans="1:16" x14ac:dyDescent="0.3">
      <c r="A485" s="31" t="s">
        <v>36</v>
      </c>
      <c r="B485" s="38"/>
      <c r="E485" s="40" t="s">
        <v>542</v>
      </c>
      <c r="J485" s="39"/>
    </row>
    <row r="486" spans="1:16" x14ac:dyDescent="0.3">
      <c r="A486" s="31" t="s">
        <v>36</v>
      </c>
      <c r="B486" s="38"/>
      <c r="E486" s="40" t="s">
        <v>543</v>
      </c>
      <c r="J486" s="39"/>
    </row>
    <row r="487" spans="1:16" ht="115.2" x14ac:dyDescent="0.3">
      <c r="A487" s="31" t="s">
        <v>40</v>
      </c>
      <c r="B487" s="38"/>
      <c r="E487" s="33" t="s">
        <v>544</v>
      </c>
      <c r="J487" s="39"/>
    </row>
    <row r="488" spans="1:16" x14ac:dyDescent="0.3">
      <c r="A488" s="31" t="s">
        <v>28</v>
      </c>
      <c r="B488" s="31">
        <v>83</v>
      </c>
      <c r="C488" s="32" t="s">
        <v>545</v>
      </c>
      <c r="D488" s="31" t="s">
        <v>30</v>
      </c>
      <c r="E488" s="33" t="s">
        <v>546</v>
      </c>
      <c r="F488" s="34" t="s">
        <v>125</v>
      </c>
      <c r="G488" s="35">
        <v>141.78</v>
      </c>
      <c r="H488" s="36">
        <v>0</v>
      </c>
      <c r="I488" s="36">
        <f>ROUND(G488*H488,P4)</f>
        <v>0</v>
      </c>
      <c r="J488" s="34" t="s">
        <v>33</v>
      </c>
      <c r="O488" s="37">
        <f>I488*0.21</f>
        <v>0</v>
      </c>
      <c r="P488">
        <v>3</v>
      </c>
    </row>
    <row r="489" spans="1:16" ht="86.4" x14ac:dyDescent="0.3">
      <c r="A489" s="31" t="s">
        <v>34</v>
      </c>
      <c r="B489" s="38"/>
      <c r="E489" s="33" t="s">
        <v>547</v>
      </c>
      <c r="J489" s="39"/>
    </row>
    <row r="490" spans="1:16" x14ac:dyDescent="0.3">
      <c r="A490" s="31" t="s">
        <v>36</v>
      </c>
      <c r="B490" s="38"/>
      <c r="E490" s="40" t="s">
        <v>548</v>
      </c>
      <c r="J490" s="39"/>
    </row>
    <row r="491" spans="1:16" x14ac:dyDescent="0.3">
      <c r="A491" s="31" t="s">
        <v>36</v>
      </c>
      <c r="B491" s="38"/>
      <c r="E491" s="40" t="s">
        <v>549</v>
      </c>
      <c r="J491" s="39"/>
    </row>
    <row r="492" spans="1:16" x14ac:dyDescent="0.3">
      <c r="A492" s="31" t="s">
        <v>36</v>
      </c>
      <c r="B492" s="38"/>
      <c r="E492" s="40" t="s">
        <v>550</v>
      </c>
      <c r="J492" s="39"/>
    </row>
    <row r="493" spans="1:16" ht="115.2" x14ac:dyDescent="0.3">
      <c r="A493" s="31" t="s">
        <v>40</v>
      </c>
      <c r="B493" s="38"/>
      <c r="E493" s="33" t="s">
        <v>544</v>
      </c>
      <c r="J493" s="39"/>
    </row>
    <row r="494" spans="1:16" x14ac:dyDescent="0.3">
      <c r="A494" s="25" t="s">
        <v>25</v>
      </c>
      <c r="B494" s="26"/>
      <c r="C494" s="27" t="s">
        <v>551</v>
      </c>
      <c r="D494" s="28"/>
      <c r="E494" s="25" t="s">
        <v>552</v>
      </c>
      <c r="F494" s="28"/>
      <c r="G494" s="28"/>
      <c r="H494" s="28"/>
      <c r="I494" s="29">
        <f>SUMIFS(I495:I530,A495:A530,"P")</f>
        <v>0</v>
      </c>
      <c r="J494" s="30"/>
    </row>
    <row r="495" spans="1:16" x14ac:dyDescent="0.3">
      <c r="A495" s="31" t="s">
        <v>28</v>
      </c>
      <c r="B495" s="31">
        <v>84</v>
      </c>
      <c r="C495" s="32" t="s">
        <v>553</v>
      </c>
      <c r="D495" s="31" t="s">
        <v>30</v>
      </c>
      <c r="E495" s="33" t="s">
        <v>554</v>
      </c>
      <c r="F495" s="34" t="s">
        <v>199</v>
      </c>
      <c r="G495" s="35">
        <v>27</v>
      </c>
      <c r="H495" s="36">
        <v>0</v>
      </c>
      <c r="I495" s="36">
        <f>ROUND(G495*H495,P4)</f>
        <v>0</v>
      </c>
      <c r="J495" s="34" t="s">
        <v>33</v>
      </c>
      <c r="O495" s="37">
        <f>I495*0.21</f>
        <v>0</v>
      </c>
      <c r="P495">
        <v>3</v>
      </c>
    </row>
    <row r="496" spans="1:16" ht="86.4" x14ac:dyDescent="0.3">
      <c r="A496" s="31" t="s">
        <v>34</v>
      </c>
      <c r="B496" s="38"/>
      <c r="E496" s="33" t="s">
        <v>555</v>
      </c>
      <c r="J496" s="39"/>
    </row>
    <row r="497" spans="1:16" x14ac:dyDescent="0.3">
      <c r="A497" s="31" t="s">
        <v>36</v>
      </c>
      <c r="B497" s="38"/>
      <c r="E497" s="40" t="s">
        <v>556</v>
      </c>
      <c r="J497" s="39"/>
    </row>
    <row r="498" spans="1:16" x14ac:dyDescent="0.3">
      <c r="A498" s="31" t="s">
        <v>36</v>
      </c>
      <c r="B498" s="38"/>
      <c r="E498" s="40" t="s">
        <v>557</v>
      </c>
      <c r="J498" s="39"/>
    </row>
    <row r="499" spans="1:16" x14ac:dyDescent="0.3">
      <c r="A499" s="31" t="s">
        <v>36</v>
      </c>
      <c r="B499" s="38"/>
      <c r="E499" s="40" t="s">
        <v>558</v>
      </c>
      <c r="J499" s="39"/>
    </row>
    <row r="500" spans="1:16" ht="316.8" x14ac:dyDescent="0.3">
      <c r="A500" s="31" t="s">
        <v>40</v>
      </c>
      <c r="B500" s="38"/>
      <c r="E500" s="33" t="s">
        <v>559</v>
      </c>
      <c r="J500" s="39"/>
    </row>
    <row r="501" spans="1:16" x14ac:dyDescent="0.3">
      <c r="A501" s="31" t="s">
        <v>28</v>
      </c>
      <c r="B501" s="31">
        <v>85</v>
      </c>
      <c r="C501" s="32" t="s">
        <v>560</v>
      </c>
      <c r="D501" s="31" t="s">
        <v>30</v>
      </c>
      <c r="E501" s="33" t="s">
        <v>561</v>
      </c>
      <c r="F501" s="34" t="s">
        <v>199</v>
      </c>
      <c r="G501" s="35">
        <v>49.6</v>
      </c>
      <c r="H501" s="36">
        <v>0</v>
      </c>
      <c r="I501" s="36">
        <f>ROUND(G501*H501,P4)</f>
        <v>0</v>
      </c>
      <c r="J501" s="34" t="s">
        <v>33</v>
      </c>
      <c r="O501" s="37">
        <f>I501*0.21</f>
        <v>0</v>
      </c>
      <c r="P501">
        <v>3</v>
      </c>
    </row>
    <row r="502" spans="1:16" ht="86.4" x14ac:dyDescent="0.3">
      <c r="A502" s="31" t="s">
        <v>34</v>
      </c>
      <c r="B502" s="38"/>
      <c r="E502" s="33" t="s">
        <v>562</v>
      </c>
      <c r="J502" s="39"/>
    </row>
    <row r="503" spans="1:16" x14ac:dyDescent="0.3">
      <c r="A503" s="31" t="s">
        <v>36</v>
      </c>
      <c r="B503" s="38"/>
      <c r="E503" s="40" t="s">
        <v>563</v>
      </c>
      <c r="J503" s="39"/>
    </row>
    <row r="504" spans="1:16" x14ac:dyDescent="0.3">
      <c r="A504" s="31" t="s">
        <v>36</v>
      </c>
      <c r="B504" s="38"/>
      <c r="E504" s="40" t="s">
        <v>564</v>
      </c>
      <c r="J504" s="39"/>
    </row>
    <row r="505" spans="1:16" x14ac:dyDescent="0.3">
      <c r="A505" s="31" t="s">
        <v>36</v>
      </c>
      <c r="B505" s="38"/>
      <c r="E505" s="40" t="s">
        <v>565</v>
      </c>
      <c r="J505" s="39"/>
    </row>
    <row r="506" spans="1:16" ht="316.8" x14ac:dyDescent="0.3">
      <c r="A506" s="31" t="s">
        <v>40</v>
      </c>
      <c r="B506" s="38"/>
      <c r="E506" s="33" t="s">
        <v>566</v>
      </c>
      <c r="J506" s="39"/>
    </row>
    <row r="507" spans="1:16" x14ac:dyDescent="0.3">
      <c r="A507" s="31" t="s">
        <v>28</v>
      </c>
      <c r="B507" s="31">
        <v>86</v>
      </c>
      <c r="C507" s="32" t="s">
        <v>567</v>
      </c>
      <c r="D507" s="31" t="s">
        <v>30</v>
      </c>
      <c r="E507" s="33" t="s">
        <v>568</v>
      </c>
      <c r="F507" s="34" t="s">
        <v>199</v>
      </c>
      <c r="G507" s="35">
        <v>257.8</v>
      </c>
      <c r="H507" s="36">
        <v>0</v>
      </c>
      <c r="I507" s="36">
        <f>ROUND(G507*H507,P4)</f>
        <v>0</v>
      </c>
      <c r="J507" s="34" t="s">
        <v>33</v>
      </c>
      <c r="O507" s="37">
        <f>I507*0.21</f>
        <v>0</v>
      </c>
      <c r="P507">
        <v>3</v>
      </c>
    </row>
    <row r="508" spans="1:16" ht="72" x14ac:dyDescent="0.3">
      <c r="A508" s="31" t="s">
        <v>34</v>
      </c>
      <c r="B508" s="38"/>
      <c r="E508" s="33" t="s">
        <v>569</v>
      </c>
      <c r="J508" s="39"/>
    </row>
    <row r="509" spans="1:16" ht="28.8" x14ac:dyDescent="0.3">
      <c r="A509" s="31" t="s">
        <v>36</v>
      </c>
      <c r="B509" s="38"/>
      <c r="E509" s="40" t="s">
        <v>570</v>
      </c>
      <c r="J509" s="39"/>
    </row>
    <row r="510" spans="1:16" ht="302.39999999999998" x14ac:dyDescent="0.3">
      <c r="A510" s="31" t="s">
        <v>40</v>
      </c>
      <c r="B510" s="38"/>
      <c r="E510" s="33" t="s">
        <v>571</v>
      </c>
      <c r="J510" s="39"/>
    </row>
    <row r="511" spans="1:16" x14ac:dyDescent="0.3">
      <c r="A511" s="31" t="s">
        <v>28</v>
      </c>
      <c r="B511" s="31">
        <v>87</v>
      </c>
      <c r="C511" s="32" t="s">
        <v>572</v>
      </c>
      <c r="D511" s="31" t="s">
        <v>30</v>
      </c>
      <c r="E511" s="33" t="s">
        <v>573</v>
      </c>
      <c r="F511" s="34" t="s">
        <v>199</v>
      </c>
      <c r="G511" s="35">
        <v>257.8</v>
      </c>
      <c r="H511" s="36">
        <v>0</v>
      </c>
      <c r="I511" s="36">
        <f>ROUND(G511*H511,P4)</f>
        <v>0</v>
      </c>
      <c r="J511" s="34" t="s">
        <v>33</v>
      </c>
      <c r="O511" s="37">
        <f>I511*0.21</f>
        <v>0</v>
      </c>
      <c r="P511">
        <v>3</v>
      </c>
    </row>
    <row r="512" spans="1:16" ht="86.4" x14ac:dyDescent="0.3">
      <c r="A512" s="31" t="s">
        <v>34</v>
      </c>
      <c r="B512" s="38"/>
      <c r="E512" s="33" t="s">
        <v>574</v>
      </c>
      <c r="J512" s="39"/>
    </row>
    <row r="513" spans="1:16" ht="28.8" x14ac:dyDescent="0.3">
      <c r="A513" s="31" t="s">
        <v>36</v>
      </c>
      <c r="B513" s="38"/>
      <c r="E513" s="40" t="s">
        <v>570</v>
      </c>
      <c r="J513" s="39"/>
    </row>
    <row r="514" spans="1:16" ht="302.39999999999998" x14ac:dyDescent="0.3">
      <c r="A514" s="31" t="s">
        <v>40</v>
      </c>
      <c r="B514" s="38"/>
      <c r="E514" s="33" t="s">
        <v>571</v>
      </c>
      <c r="J514" s="39"/>
    </row>
    <row r="515" spans="1:16" x14ac:dyDescent="0.3">
      <c r="A515" s="31" t="s">
        <v>28</v>
      </c>
      <c r="B515" s="31">
        <v>88</v>
      </c>
      <c r="C515" s="32" t="s">
        <v>575</v>
      </c>
      <c r="D515" s="31" t="s">
        <v>576</v>
      </c>
      <c r="E515" s="33" t="s">
        <v>577</v>
      </c>
      <c r="F515" s="34" t="s">
        <v>199</v>
      </c>
      <c r="G515" s="35">
        <v>489.6</v>
      </c>
      <c r="H515" s="36">
        <v>0</v>
      </c>
      <c r="I515" s="36">
        <f>ROUND(G515*H515,P4)</f>
        <v>0</v>
      </c>
      <c r="J515" s="34" t="s">
        <v>33</v>
      </c>
      <c r="O515" s="37">
        <f>I515*0.21</f>
        <v>0</v>
      </c>
      <c r="P515">
        <v>3</v>
      </c>
    </row>
    <row r="516" spans="1:16" ht="72" x14ac:dyDescent="0.3">
      <c r="A516" s="31" t="s">
        <v>34</v>
      </c>
      <c r="B516" s="38"/>
      <c r="E516" s="33" t="s">
        <v>578</v>
      </c>
      <c r="J516" s="39"/>
    </row>
    <row r="517" spans="1:16" x14ac:dyDescent="0.3">
      <c r="A517" s="31" t="s">
        <v>36</v>
      </c>
      <c r="B517" s="38"/>
      <c r="E517" s="40" t="s">
        <v>579</v>
      </c>
      <c r="J517" s="39"/>
    </row>
    <row r="518" spans="1:16" ht="302.39999999999998" x14ac:dyDescent="0.3">
      <c r="A518" s="31" t="s">
        <v>40</v>
      </c>
      <c r="B518" s="38"/>
      <c r="E518" s="33" t="s">
        <v>571</v>
      </c>
      <c r="J518" s="39"/>
    </row>
    <row r="519" spans="1:16" x14ac:dyDescent="0.3">
      <c r="A519" s="31" t="s">
        <v>28</v>
      </c>
      <c r="B519" s="31">
        <v>89</v>
      </c>
      <c r="C519" s="32" t="s">
        <v>575</v>
      </c>
      <c r="D519" s="31" t="s">
        <v>580</v>
      </c>
      <c r="E519" s="33" t="s">
        <v>577</v>
      </c>
      <c r="F519" s="34" t="s">
        <v>199</v>
      </c>
      <c r="G519" s="35">
        <v>244.8</v>
      </c>
      <c r="H519" s="36">
        <v>0</v>
      </c>
      <c r="I519" s="36">
        <f>ROUND(G519*H519,P4)</f>
        <v>0</v>
      </c>
      <c r="J519" s="34" t="s">
        <v>33</v>
      </c>
      <c r="O519" s="37">
        <f>I519*0.21</f>
        <v>0</v>
      </c>
      <c r="P519">
        <v>3</v>
      </c>
    </row>
    <row r="520" spans="1:16" ht="86.4" x14ac:dyDescent="0.3">
      <c r="A520" s="31" t="s">
        <v>34</v>
      </c>
      <c r="B520" s="38"/>
      <c r="E520" s="33" t="s">
        <v>581</v>
      </c>
      <c r="J520" s="39"/>
    </row>
    <row r="521" spans="1:16" x14ac:dyDescent="0.3">
      <c r="A521" s="31" t="s">
        <v>36</v>
      </c>
      <c r="B521" s="38"/>
      <c r="E521" s="40" t="s">
        <v>582</v>
      </c>
      <c r="J521" s="39"/>
    </row>
    <row r="522" spans="1:16" ht="302.39999999999998" x14ac:dyDescent="0.3">
      <c r="A522" s="31" t="s">
        <v>40</v>
      </c>
      <c r="B522" s="38"/>
      <c r="E522" s="33" t="s">
        <v>571</v>
      </c>
      <c r="J522" s="39"/>
    </row>
    <row r="523" spans="1:16" x14ac:dyDescent="0.3">
      <c r="A523" s="31" t="s">
        <v>28</v>
      </c>
      <c r="B523" s="31">
        <v>90</v>
      </c>
      <c r="C523" s="32" t="s">
        <v>583</v>
      </c>
      <c r="D523" s="31" t="s">
        <v>30</v>
      </c>
      <c r="E523" s="33" t="s">
        <v>584</v>
      </c>
      <c r="F523" s="34" t="s">
        <v>199</v>
      </c>
      <c r="G523" s="35">
        <v>218</v>
      </c>
      <c r="H523" s="36">
        <v>0</v>
      </c>
      <c r="I523" s="36">
        <f>ROUND(G523*H523,P4)</f>
        <v>0</v>
      </c>
      <c r="J523" s="34" t="s">
        <v>33</v>
      </c>
      <c r="O523" s="37">
        <f>I523*0.21</f>
        <v>0</v>
      </c>
      <c r="P523">
        <v>3</v>
      </c>
    </row>
    <row r="524" spans="1:16" ht="129.6" x14ac:dyDescent="0.3">
      <c r="A524" s="31" t="s">
        <v>34</v>
      </c>
      <c r="B524" s="38"/>
      <c r="E524" s="33" t="s">
        <v>585</v>
      </c>
      <c r="J524" s="39"/>
    </row>
    <row r="525" spans="1:16" x14ac:dyDescent="0.3">
      <c r="A525" s="31" t="s">
        <v>36</v>
      </c>
      <c r="B525" s="38"/>
      <c r="E525" s="40" t="s">
        <v>586</v>
      </c>
      <c r="J525" s="39"/>
    </row>
    <row r="526" spans="1:16" ht="288" x14ac:dyDescent="0.3">
      <c r="A526" s="31" t="s">
        <v>40</v>
      </c>
      <c r="B526" s="38"/>
      <c r="E526" s="33" t="s">
        <v>587</v>
      </c>
      <c r="J526" s="39"/>
    </row>
    <row r="527" spans="1:16" x14ac:dyDescent="0.3">
      <c r="A527" s="31" t="s">
        <v>28</v>
      </c>
      <c r="B527" s="31">
        <v>91</v>
      </c>
      <c r="C527" s="32" t="s">
        <v>588</v>
      </c>
      <c r="D527" s="31" t="s">
        <v>30</v>
      </c>
      <c r="E527" s="33" t="s">
        <v>589</v>
      </c>
      <c r="F527" s="34" t="s">
        <v>44</v>
      </c>
      <c r="G527" s="35">
        <v>4</v>
      </c>
      <c r="H527" s="36">
        <v>0</v>
      </c>
      <c r="I527" s="36">
        <f>ROUND(G527*H527,P4)</f>
        <v>0</v>
      </c>
      <c r="J527" s="34" t="s">
        <v>33</v>
      </c>
      <c r="O527" s="37">
        <f>I527*0.21</f>
        <v>0</v>
      </c>
      <c r="P527">
        <v>3</v>
      </c>
    </row>
    <row r="528" spans="1:16" ht="86.4" x14ac:dyDescent="0.3">
      <c r="A528" s="31" t="s">
        <v>34</v>
      </c>
      <c r="B528" s="38"/>
      <c r="E528" s="33" t="s">
        <v>590</v>
      </c>
      <c r="J528" s="39"/>
    </row>
    <row r="529" spans="1:16" x14ac:dyDescent="0.3">
      <c r="A529" s="31" t="s">
        <v>36</v>
      </c>
      <c r="B529" s="38"/>
      <c r="E529" s="40" t="s">
        <v>591</v>
      </c>
      <c r="J529" s="39"/>
    </row>
    <row r="530" spans="1:16" ht="216" x14ac:dyDescent="0.3">
      <c r="A530" s="31" t="s">
        <v>40</v>
      </c>
      <c r="B530" s="38"/>
      <c r="E530" s="33" t="s">
        <v>592</v>
      </c>
      <c r="J530" s="39"/>
    </row>
    <row r="531" spans="1:16" x14ac:dyDescent="0.3">
      <c r="A531" s="25" t="s">
        <v>25</v>
      </c>
      <c r="B531" s="26"/>
      <c r="C531" s="27" t="s">
        <v>593</v>
      </c>
      <c r="D531" s="28"/>
      <c r="E531" s="25" t="s">
        <v>594</v>
      </c>
      <c r="F531" s="28"/>
      <c r="G531" s="28"/>
      <c r="H531" s="28"/>
      <c r="I531" s="29">
        <f>SUMIFS(I532:I613,A532:A613,"P")</f>
        <v>0</v>
      </c>
      <c r="J531" s="30"/>
    </row>
    <row r="532" spans="1:16" x14ac:dyDescent="0.3">
      <c r="A532" s="31" t="s">
        <v>28</v>
      </c>
      <c r="B532" s="31">
        <v>92</v>
      </c>
      <c r="C532" s="32" t="s">
        <v>595</v>
      </c>
      <c r="D532" s="31" t="s">
        <v>30</v>
      </c>
      <c r="E532" s="33" t="s">
        <v>596</v>
      </c>
      <c r="F532" s="34" t="s">
        <v>199</v>
      </c>
      <c r="G532" s="35">
        <v>248.8</v>
      </c>
      <c r="H532" s="36">
        <v>0</v>
      </c>
      <c r="I532" s="36">
        <f>ROUND(G532*H532,P4)</f>
        <v>0</v>
      </c>
      <c r="J532" s="34" t="s">
        <v>33</v>
      </c>
      <c r="O532" s="37">
        <f>I532*0.21</f>
        <v>0</v>
      </c>
      <c r="P532">
        <v>3</v>
      </c>
    </row>
    <row r="533" spans="1:16" ht="100.8" x14ac:dyDescent="0.3">
      <c r="A533" s="31" t="s">
        <v>34</v>
      </c>
      <c r="B533" s="38"/>
      <c r="E533" s="33" t="s">
        <v>597</v>
      </c>
      <c r="J533" s="39"/>
    </row>
    <row r="534" spans="1:16" x14ac:dyDescent="0.3">
      <c r="A534" s="31" t="s">
        <v>36</v>
      </c>
      <c r="B534" s="38"/>
      <c r="E534" s="40" t="s">
        <v>598</v>
      </c>
      <c r="J534" s="39"/>
    </row>
    <row r="535" spans="1:16" x14ac:dyDescent="0.3">
      <c r="A535" s="31" t="s">
        <v>36</v>
      </c>
      <c r="B535" s="38"/>
      <c r="E535" s="40" t="s">
        <v>599</v>
      </c>
      <c r="J535" s="39"/>
    </row>
    <row r="536" spans="1:16" x14ac:dyDescent="0.3">
      <c r="A536" s="31" t="s">
        <v>36</v>
      </c>
      <c r="B536" s="38"/>
      <c r="E536" s="40" t="s">
        <v>600</v>
      </c>
      <c r="J536" s="39"/>
    </row>
    <row r="537" spans="1:16" ht="115.2" x14ac:dyDescent="0.3">
      <c r="A537" s="31" t="s">
        <v>40</v>
      </c>
      <c r="B537" s="38"/>
      <c r="E537" s="33" t="s">
        <v>601</v>
      </c>
      <c r="J537" s="39"/>
    </row>
    <row r="538" spans="1:16" ht="28.8" x14ac:dyDescent="0.3">
      <c r="A538" s="31" t="s">
        <v>28</v>
      </c>
      <c r="B538" s="31">
        <v>93</v>
      </c>
      <c r="C538" s="32" t="s">
        <v>602</v>
      </c>
      <c r="D538" s="31" t="s">
        <v>30</v>
      </c>
      <c r="E538" s="33" t="s">
        <v>603</v>
      </c>
      <c r="F538" s="34" t="s">
        <v>199</v>
      </c>
      <c r="G538" s="35">
        <v>243.8</v>
      </c>
      <c r="H538" s="36">
        <v>0</v>
      </c>
      <c r="I538" s="36">
        <f>ROUND(G538*H538,P4)</f>
        <v>0</v>
      </c>
      <c r="J538" s="34" t="s">
        <v>33</v>
      </c>
      <c r="O538" s="37">
        <f>I538*0.21</f>
        <v>0</v>
      </c>
      <c r="P538">
        <v>3</v>
      </c>
    </row>
    <row r="539" spans="1:16" ht="100.8" x14ac:dyDescent="0.3">
      <c r="A539" s="31" t="s">
        <v>34</v>
      </c>
      <c r="B539" s="38"/>
      <c r="E539" s="33" t="s">
        <v>604</v>
      </c>
      <c r="J539" s="39"/>
    </row>
    <row r="540" spans="1:16" x14ac:dyDescent="0.3">
      <c r="A540" s="31" t="s">
        <v>36</v>
      </c>
      <c r="B540" s="38"/>
      <c r="E540" s="40" t="s">
        <v>598</v>
      </c>
      <c r="J540" s="39"/>
    </row>
    <row r="541" spans="1:16" ht="187.2" x14ac:dyDescent="0.3">
      <c r="A541" s="31" t="s">
        <v>40</v>
      </c>
      <c r="B541" s="38"/>
      <c r="E541" s="33" t="s">
        <v>605</v>
      </c>
      <c r="J541" s="39"/>
    </row>
    <row r="542" spans="1:16" x14ac:dyDescent="0.3">
      <c r="A542" s="31" t="s">
        <v>28</v>
      </c>
      <c r="B542" s="31">
        <v>94</v>
      </c>
      <c r="C542" s="32" t="s">
        <v>606</v>
      </c>
      <c r="D542" s="31" t="s">
        <v>30</v>
      </c>
      <c r="E542" s="33" t="s">
        <v>607</v>
      </c>
      <c r="F542" s="34" t="s">
        <v>199</v>
      </c>
      <c r="G542" s="35">
        <v>228.8</v>
      </c>
      <c r="H542" s="36">
        <v>0</v>
      </c>
      <c r="I542" s="36">
        <f>ROUND(G542*H542,P4)</f>
        <v>0</v>
      </c>
      <c r="J542" s="34" t="s">
        <v>33</v>
      </c>
      <c r="O542" s="37">
        <f>I542*0.21</f>
        <v>0</v>
      </c>
      <c r="P542">
        <v>3</v>
      </c>
    </row>
    <row r="543" spans="1:16" ht="100.8" x14ac:dyDescent="0.3">
      <c r="A543" s="31" t="s">
        <v>34</v>
      </c>
      <c r="B543" s="38"/>
      <c r="E543" s="33" t="s">
        <v>608</v>
      </c>
      <c r="J543" s="39"/>
    </row>
    <row r="544" spans="1:16" x14ac:dyDescent="0.3">
      <c r="A544" s="31" t="s">
        <v>36</v>
      </c>
      <c r="B544" s="38"/>
      <c r="E544" s="40" t="s">
        <v>535</v>
      </c>
      <c r="J544" s="39"/>
    </row>
    <row r="545" spans="1:16" ht="187.2" x14ac:dyDescent="0.3">
      <c r="A545" s="31" t="s">
        <v>40</v>
      </c>
      <c r="B545" s="38"/>
      <c r="E545" s="33" t="s">
        <v>609</v>
      </c>
      <c r="J545" s="39"/>
    </row>
    <row r="546" spans="1:16" x14ac:dyDescent="0.3">
      <c r="A546" s="31" t="s">
        <v>28</v>
      </c>
      <c r="B546" s="31">
        <v>95</v>
      </c>
      <c r="C546" s="32" t="s">
        <v>610</v>
      </c>
      <c r="D546" s="31" t="s">
        <v>30</v>
      </c>
      <c r="E546" s="33" t="s">
        <v>611</v>
      </c>
      <c r="F546" s="34" t="s">
        <v>44</v>
      </c>
      <c r="G546" s="35">
        <v>104</v>
      </c>
      <c r="H546" s="36">
        <v>0</v>
      </c>
      <c r="I546" s="36">
        <f>ROUND(G546*H546,P4)</f>
        <v>0</v>
      </c>
      <c r="J546" s="34" t="s">
        <v>33</v>
      </c>
      <c r="O546" s="37">
        <f>I546*0.21</f>
        <v>0</v>
      </c>
      <c r="P546">
        <v>3</v>
      </c>
    </row>
    <row r="547" spans="1:16" ht="86.4" x14ac:dyDescent="0.3">
      <c r="A547" s="31" t="s">
        <v>34</v>
      </c>
      <c r="B547" s="38"/>
      <c r="E547" s="33" t="s">
        <v>612</v>
      </c>
      <c r="J547" s="39"/>
    </row>
    <row r="548" spans="1:16" ht="28.8" x14ac:dyDescent="0.3">
      <c r="A548" s="31" t="s">
        <v>36</v>
      </c>
      <c r="B548" s="38"/>
      <c r="E548" s="40" t="s">
        <v>613</v>
      </c>
      <c r="J548" s="39"/>
    </row>
    <row r="549" spans="1:16" x14ac:dyDescent="0.3">
      <c r="A549" s="31" t="s">
        <v>36</v>
      </c>
      <c r="B549" s="38"/>
      <c r="E549" s="40" t="s">
        <v>614</v>
      </c>
      <c r="J549" s="39"/>
    </row>
    <row r="550" spans="1:16" ht="28.8" x14ac:dyDescent="0.3">
      <c r="A550" s="31" t="s">
        <v>36</v>
      </c>
      <c r="B550" s="38"/>
      <c r="E550" s="40" t="s">
        <v>615</v>
      </c>
      <c r="J550" s="39"/>
    </row>
    <row r="551" spans="1:16" x14ac:dyDescent="0.3">
      <c r="A551" s="31" t="s">
        <v>36</v>
      </c>
      <c r="B551" s="38"/>
      <c r="E551" s="40" t="s">
        <v>616</v>
      </c>
      <c r="J551" s="39"/>
    </row>
    <row r="552" spans="1:16" ht="72" x14ac:dyDescent="0.3">
      <c r="A552" s="31" t="s">
        <v>40</v>
      </c>
      <c r="B552" s="38"/>
      <c r="E552" s="33" t="s">
        <v>617</v>
      </c>
      <c r="J552" s="39"/>
    </row>
    <row r="553" spans="1:16" ht="28.8" x14ac:dyDescent="0.3">
      <c r="A553" s="31" t="s">
        <v>28</v>
      </c>
      <c r="B553" s="31">
        <v>96</v>
      </c>
      <c r="C553" s="32" t="s">
        <v>618</v>
      </c>
      <c r="D553" s="31" t="s">
        <v>30</v>
      </c>
      <c r="E553" s="33" t="s">
        <v>619</v>
      </c>
      <c r="F553" s="34" t="s">
        <v>199</v>
      </c>
      <c r="G553" s="35">
        <v>352</v>
      </c>
      <c r="H553" s="36">
        <v>0</v>
      </c>
      <c r="I553" s="36">
        <f>ROUND(G553*H553,P4)</f>
        <v>0</v>
      </c>
      <c r="J553" s="34" t="s">
        <v>33</v>
      </c>
      <c r="O553" s="37">
        <f>I553*0.21</f>
        <v>0</v>
      </c>
      <c r="P553">
        <v>3</v>
      </c>
    </row>
    <row r="554" spans="1:16" ht="100.8" x14ac:dyDescent="0.3">
      <c r="A554" s="31" t="s">
        <v>34</v>
      </c>
      <c r="B554" s="38"/>
      <c r="E554" s="33" t="s">
        <v>620</v>
      </c>
      <c r="J554" s="39"/>
    </row>
    <row r="555" spans="1:16" x14ac:dyDescent="0.3">
      <c r="A555" s="31" t="s">
        <v>36</v>
      </c>
      <c r="B555" s="38"/>
      <c r="E555" s="40" t="s">
        <v>621</v>
      </c>
      <c r="J555" s="39"/>
    </row>
    <row r="556" spans="1:16" x14ac:dyDescent="0.3">
      <c r="A556" s="31" t="s">
        <v>36</v>
      </c>
      <c r="B556" s="38"/>
      <c r="E556" s="40" t="s">
        <v>622</v>
      </c>
      <c r="J556" s="39"/>
    </row>
    <row r="557" spans="1:16" x14ac:dyDescent="0.3">
      <c r="A557" s="31" t="s">
        <v>36</v>
      </c>
      <c r="B557" s="38"/>
      <c r="E557" s="40" t="s">
        <v>623</v>
      </c>
      <c r="J557" s="39"/>
    </row>
    <row r="558" spans="1:16" x14ac:dyDescent="0.3">
      <c r="A558" s="31" t="s">
        <v>36</v>
      </c>
      <c r="B558" s="38"/>
      <c r="E558" s="40" t="s">
        <v>624</v>
      </c>
      <c r="J558" s="39"/>
    </row>
    <row r="559" spans="1:16" x14ac:dyDescent="0.3">
      <c r="A559" s="31" t="s">
        <v>36</v>
      </c>
      <c r="B559" s="38"/>
      <c r="E559" s="40" t="s">
        <v>625</v>
      </c>
      <c r="J559" s="39"/>
    </row>
    <row r="560" spans="1:16" x14ac:dyDescent="0.3">
      <c r="A560" s="31" t="s">
        <v>36</v>
      </c>
      <c r="B560" s="38"/>
      <c r="E560" s="40" t="s">
        <v>626</v>
      </c>
      <c r="J560" s="39"/>
    </row>
    <row r="561" spans="1:16" x14ac:dyDescent="0.3">
      <c r="A561" s="31" t="s">
        <v>36</v>
      </c>
      <c r="B561" s="38"/>
      <c r="E561" s="40" t="s">
        <v>627</v>
      </c>
      <c r="J561" s="39"/>
    </row>
    <row r="562" spans="1:16" x14ac:dyDescent="0.3">
      <c r="A562" s="31" t="s">
        <v>36</v>
      </c>
      <c r="B562" s="38"/>
      <c r="E562" s="40" t="s">
        <v>628</v>
      </c>
      <c r="J562" s="39"/>
    </row>
    <row r="563" spans="1:16" ht="86.4" x14ac:dyDescent="0.3">
      <c r="A563" s="31" t="s">
        <v>40</v>
      </c>
      <c r="B563" s="38"/>
      <c r="E563" s="33" t="s">
        <v>629</v>
      </c>
      <c r="J563" s="39"/>
    </row>
    <row r="564" spans="1:16" ht="28.8" x14ac:dyDescent="0.3">
      <c r="A564" s="31" t="s">
        <v>28</v>
      </c>
      <c r="B564" s="31">
        <v>97</v>
      </c>
      <c r="C564" s="32" t="s">
        <v>630</v>
      </c>
      <c r="D564" s="31" t="s">
        <v>30</v>
      </c>
      <c r="E564" s="33" t="s">
        <v>631</v>
      </c>
      <c r="F564" s="34" t="s">
        <v>199</v>
      </c>
      <c r="G564" s="35">
        <v>22</v>
      </c>
      <c r="H564" s="36">
        <v>0</v>
      </c>
      <c r="I564" s="36">
        <f>ROUND(G564*H564,P4)</f>
        <v>0</v>
      </c>
      <c r="J564" s="34" t="s">
        <v>33</v>
      </c>
      <c r="O564" s="37">
        <f>I564*0.21</f>
        <v>0</v>
      </c>
      <c r="P564">
        <v>3</v>
      </c>
    </row>
    <row r="565" spans="1:16" ht="100.8" x14ac:dyDescent="0.3">
      <c r="A565" s="31" t="s">
        <v>34</v>
      </c>
      <c r="B565" s="38"/>
      <c r="E565" s="33" t="s">
        <v>632</v>
      </c>
      <c r="J565" s="39"/>
    </row>
    <row r="566" spans="1:16" ht="28.8" x14ac:dyDescent="0.3">
      <c r="A566" s="31" t="s">
        <v>36</v>
      </c>
      <c r="B566" s="38"/>
      <c r="E566" s="40" t="s">
        <v>633</v>
      </c>
      <c r="J566" s="39"/>
    </row>
    <row r="567" spans="1:16" ht="86.4" x14ac:dyDescent="0.3">
      <c r="A567" s="31" t="s">
        <v>40</v>
      </c>
      <c r="B567" s="38"/>
      <c r="E567" s="33" t="s">
        <v>629</v>
      </c>
      <c r="J567" s="39"/>
    </row>
    <row r="568" spans="1:16" x14ac:dyDescent="0.3">
      <c r="A568" s="31" t="s">
        <v>28</v>
      </c>
      <c r="B568" s="31">
        <v>98</v>
      </c>
      <c r="C568" s="32" t="s">
        <v>634</v>
      </c>
      <c r="D568" s="31" t="s">
        <v>30</v>
      </c>
      <c r="E568" s="33" t="s">
        <v>635</v>
      </c>
      <c r="F568" s="34" t="s">
        <v>199</v>
      </c>
      <c r="G568" s="35">
        <v>735.84</v>
      </c>
      <c r="H568" s="36">
        <v>0</v>
      </c>
      <c r="I568" s="36">
        <f>ROUND(G568*H568,P4)</f>
        <v>0</v>
      </c>
      <c r="J568" s="34" t="s">
        <v>33</v>
      </c>
      <c r="O568" s="37">
        <f>I568*0.21</f>
        <v>0</v>
      </c>
      <c r="P568">
        <v>3</v>
      </c>
    </row>
    <row r="569" spans="1:16" ht="86.4" x14ac:dyDescent="0.3">
      <c r="A569" s="31" t="s">
        <v>34</v>
      </c>
      <c r="B569" s="38"/>
      <c r="E569" s="33" t="s">
        <v>636</v>
      </c>
      <c r="J569" s="39"/>
    </row>
    <row r="570" spans="1:16" x14ac:dyDescent="0.3">
      <c r="A570" s="31" t="s">
        <v>36</v>
      </c>
      <c r="B570" s="38"/>
      <c r="E570" s="40" t="s">
        <v>637</v>
      </c>
      <c r="J570" s="39"/>
    </row>
    <row r="571" spans="1:16" x14ac:dyDescent="0.3">
      <c r="A571" s="31" t="s">
        <v>36</v>
      </c>
      <c r="B571" s="38"/>
      <c r="E571" s="40" t="s">
        <v>638</v>
      </c>
      <c r="J571" s="39"/>
    </row>
    <row r="572" spans="1:16" x14ac:dyDescent="0.3">
      <c r="A572" s="31" t="s">
        <v>36</v>
      </c>
      <c r="B572" s="38"/>
      <c r="E572" s="40" t="s">
        <v>639</v>
      </c>
      <c r="J572" s="39"/>
    </row>
    <row r="573" spans="1:16" ht="28.8" x14ac:dyDescent="0.3">
      <c r="A573" s="31" t="s">
        <v>36</v>
      </c>
      <c r="B573" s="38"/>
      <c r="E573" s="40" t="s">
        <v>640</v>
      </c>
      <c r="J573" s="39"/>
    </row>
    <row r="574" spans="1:16" x14ac:dyDescent="0.3">
      <c r="A574" s="31" t="s">
        <v>36</v>
      </c>
      <c r="B574" s="38"/>
      <c r="E574" s="40" t="s">
        <v>641</v>
      </c>
      <c r="J574" s="39"/>
    </row>
    <row r="575" spans="1:16" ht="86.4" x14ac:dyDescent="0.3">
      <c r="A575" s="31" t="s">
        <v>40</v>
      </c>
      <c r="B575" s="38"/>
      <c r="E575" s="33" t="s">
        <v>642</v>
      </c>
      <c r="J575" s="39"/>
    </row>
    <row r="576" spans="1:16" x14ac:dyDescent="0.3">
      <c r="A576" s="31" t="s">
        <v>28</v>
      </c>
      <c r="B576" s="31">
        <v>99</v>
      </c>
      <c r="C576" s="32" t="s">
        <v>643</v>
      </c>
      <c r="D576" s="31" t="s">
        <v>30</v>
      </c>
      <c r="E576" s="33" t="s">
        <v>644</v>
      </c>
      <c r="F576" s="34" t="s">
        <v>199</v>
      </c>
      <c r="G576" s="35">
        <v>446.48</v>
      </c>
      <c r="H576" s="36">
        <v>0</v>
      </c>
      <c r="I576" s="36">
        <f>ROUND(G576*H576,P4)</f>
        <v>0</v>
      </c>
      <c r="J576" s="34" t="s">
        <v>33</v>
      </c>
      <c r="O576" s="37">
        <f>I576*0.21</f>
        <v>0</v>
      </c>
      <c r="P576">
        <v>3</v>
      </c>
    </row>
    <row r="577" spans="1:16" ht="86.4" x14ac:dyDescent="0.3">
      <c r="A577" s="31" t="s">
        <v>34</v>
      </c>
      <c r="B577" s="38"/>
      <c r="E577" s="33" t="s">
        <v>645</v>
      </c>
      <c r="J577" s="39"/>
    </row>
    <row r="578" spans="1:16" x14ac:dyDescent="0.3">
      <c r="A578" s="31" t="s">
        <v>36</v>
      </c>
      <c r="B578" s="38"/>
      <c r="E578" s="40" t="s">
        <v>646</v>
      </c>
      <c r="J578" s="39"/>
    </row>
    <row r="579" spans="1:16" ht="86.4" x14ac:dyDescent="0.3">
      <c r="A579" s="31" t="s">
        <v>40</v>
      </c>
      <c r="B579" s="38"/>
      <c r="E579" s="33" t="s">
        <v>647</v>
      </c>
      <c r="J579" s="39"/>
    </row>
    <row r="580" spans="1:16" x14ac:dyDescent="0.3">
      <c r="A580" s="31" t="s">
        <v>28</v>
      </c>
      <c r="B580" s="31">
        <v>100</v>
      </c>
      <c r="C580" s="32" t="s">
        <v>648</v>
      </c>
      <c r="D580" s="31" t="s">
        <v>30</v>
      </c>
      <c r="E580" s="33" t="s">
        <v>649</v>
      </c>
      <c r="F580" s="34" t="s">
        <v>199</v>
      </c>
      <c r="G580" s="35">
        <v>43.4</v>
      </c>
      <c r="H580" s="36">
        <v>0</v>
      </c>
      <c r="I580" s="36">
        <f>ROUND(G580*H580,P4)</f>
        <v>0</v>
      </c>
      <c r="J580" s="34" t="s">
        <v>33</v>
      </c>
      <c r="O580" s="37">
        <f>I580*0.21</f>
        <v>0</v>
      </c>
      <c r="P580">
        <v>3</v>
      </c>
    </row>
    <row r="581" spans="1:16" ht="129.6" x14ac:dyDescent="0.3">
      <c r="A581" s="31" t="s">
        <v>34</v>
      </c>
      <c r="B581" s="38"/>
      <c r="E581" s="33" t="s">
        <v>650</v>
      </c>
      <c r="J581" s="39"/>
    </row>
    <row r="582" spans="1:16" x14ac:dyDescent="0.3">
      <c r="A582" s="31" t="s">
        <v>36</v>
      </c>
      <c r="B582" s="38"/>
      <c r="E582" s="40" t="s">
        <v>651</v>
      </c>
      <c r="J582" s="39"/>
    </row>
    <row r="583" spans="1:16" ht="409.6" x14ac:dyDescent="0.3">
      <c r="A583" s="31" t="s">
        <v>40</v>
      </c>
      <c r="B583" s="38"/>
      <c r="E583" s="33" t="s">
        <v>652</v>
      </c>
      <c r="J583" s="39"/>
    </row>
    <row r="584" spans="1:16" x14ac:dyDescent="0.3">
      <c r="A584" s="31" t="s">
        <v>28</v>
      </c>
      <c r="B584" s="31">
        <v>101</v>
      </c>
      <c r="C584" s="32" t="s">
        <v>653</v>
      </c>
      <c r="D584" s="31" t="s">
        <v>30</v>
      </c>
      <c r="E584" s="33" t="s">
        <v>654</v>
      </c>
      <c r="F584" s="34" t="s">
        <v>125</v>
      </c>
      <c r="G584" s="35">
        <v>10</v>
      </c>
      <c r="H584" s="36">
        <v>0</v>
      </c>
      <c r="I584" s="36">
        <f>ROUND(G584*H584,P4)</f>
        <v>0</v>
      </c>
      <c r="J584" s="34" t="s">
        <v>33</v>
      </c>
      <c r="O584" s="37">
        <f>I584*0.21</f>
        <v>0</v>
      </c>
      <c r="P584">
        <v>3</v>
      </c>
    </row>
    <row r="585" spans="1:16" ht="86.4" x14ac:dyDescent="0.3">
      <c r="A585" s="31" t="s">
        <v>34</v>
      </c>
      <c r="B585" s="38"/>
      <c r="E585" s="33" t="s">
        <v>655</v>
      </c>
      <c r="J585" s="39"/>
    </row>
    <row r="586" spans="1:16" x14ac:dyDescent="0.3">
      <c r="A586" s="31" t="s">
        <v>36</v>
      </c>
      <c r="B586" s="38"/>
      <c r="E586" s="40" t="s">
        <v>656</v>
      </c>
      <c r="J586" s="39"/>
    </row>
    <row r="587" spans="1:16" ht="100.8" x14ac:dyDescent="0.3">
      <c r="A587" s="31" t="s">
        <v>40</v>
      </c>
      <c r="B587" s="38"/>
      <c r="E587" s="33" t="s">
        <v>657</v>
      </c>
      <c r="J587" s="39"/>
    </row>
    <row r="588" spans="1:16" x14ac:dyDescent="0.3">
      <c r="A588" s="31" t="s">
        <v>28</v>
      </c>
      <c r="B588" s="31">
        <v>102</v>
      </c>
      <c r="C588" s="32" t="s">
        <v>658</v>
      </c>
      <c r="D588" s="31" t="s">
        <v>30</v>
      </c>
      <c r="E588" s="33" t="s">
        <v>659</v>
      </c>
      <c r="F588" s="34" t="s">
        <v>44</v>
      </c>
      <c r="G588" s="35">
        <v>16</v>
      </c>
      <c r="H588" s="36">
        <v>0</v>
      </c>
      <c r="I588" s="36">
        <f>ROUND(G588*H588,P4)</f>
        <v>0</v>
      </c>
      <c r="J588" s="34" t="s">
        <v>33</v>
      </c>
      <c r="O588" s="37">
        <f>I588*0.21</f>
        <v>0</v>
      </c>
      <c r="P588">
        <v>3</v>
      </c>
    </row>
    <row r="589" spans="1:16" ht="86.4" x14ac:dyDescent="0.3">
      <c r="A589" s="31" t="s">
        <v>34</v>
      </c>
      <c r="B589" s="38"/>
      <c r="E589" s="33" t="s">
        <v>660</v>
      </c>
      <c r="J589" s="39"/>
    </row>
    <row r="590" spans="1:16" x14ac:dyDescent="0.3">
      <c r="A590" s="31" t="s">
        <v>36</v>
      </c>
      <c r="B590" s="38"/>
      <c r="E590" s="40" t="s">
        <v>661</v>
      </c>
      <c r="J590" s="39"/>
    </row>
    <row r="591" spans="1:16" x14ac:dyDescent="0.3">
      <c r="A591" s="31" t="s">
        <v>36</v>
      </c>
      <c r="B591" s="38"/>
      <c r="E591" s="40" t="s">
        <v>662</v>
      </c>
      <c r="J591" s="39"/>
    </row>
    <row r="592" spans="1:16" x14ac:dyDescent="0.3">
      <c r="A592" s="31" t="s">
        <v>36</v>
      </c>
      <c r="B592" s="38"/>
      <c r="E592" s="40" t="s">
        <v>663</v>
      </c>
      <c r="J592" s="39"/>
    </row>
    <row r="593" spans="1:16" ht="187.2" x14ac:dyDescent="0.3">
      <c r="A593" s="31" t="s">
        <v>40</v>
      </c>
      <c r="B593" s="38"/>
      <c r="E593" s="33" t="s">
        <v>664</v>
      </c>
      <c r="J593" s="39"/>
    </row>
    <row r="594" spans="1:16" ht="28.8" x14ac:dyDescent="0.3">
      <c r="A594" s="31" t="s">
        <v>28</v>
      </c>
      <c r="B594" s="31">
        <v>103</v>
      </c>
      <c r="C594" s="32" t="s">
        <v>665</v>
      </c>
      <c r="D594" s="31" t="s">
        <v>30</v>
      </c>
      <c r="E594" s="33" t="s">
        <v>666</v>
      </c>
      <c r="F594" s="34" t="s">
        <v>44</v>
      </c>
      <c r="G594" s="35">
        <v>106</v>
      </c>
      <c r="H594" s="36">
        <v>0</v>
      </c>
      <c r="I594" s="36">
        <f>ROUND(G594*H594,P4)</f>
        <v>0</v>
      </c>
      <c r="J594" s="34" t="s">
        <v>33</v>
      </c>
      <c r="O594" s="37">
        <f>I594*0.21</f>
        <v>0</v>
      </c>
      <c r="P594">
        <v>3</v>
      </c>
    </row>
    <row r="595" spans="1:16" ht="72" x14ac:dyDescent="0.3">
      <c r="A595" s="31" t="s">
        <v>34</v>
      </c>
      <c r="B595" s="38"/>
      <c r="E595" s="33" t="s">
        <v>667</v>
      </c>
      <c r="J595" s="39"/>
    </row>
    <row r="596" spans="1:16" x14ac:dyDescent="0.3">
      <c r="A596" s="31" t="s">
        <v>36</v>
      </c>
      <c r="B596" s="38"/>
      <c r="E596" s="40" t="s">
        <v>668</v>
      </c>
      <c r="J596" s="39"/>
    </row>
    <row r="597" spans="1:16" x14ac:dyDescent="0.3">
      <c r="A597" s="31" t="s">
        <v>36</v>
      </c>
      <c r="B597" s="38"/>
      <c r="E597" s="40" t="s">
        <v>669</v>
      </c>
      <c r="J597" s="39"/>
    </row>
    <row r="598" spans="1:16" x14ac:dyDescent="0.3">
      <c r="A598" s="31" t="s">
        <v>36</v>
      </c>
      <c r="B598" s="38"/>
      <c r="E598" s="40" t="s">
        <v>670</v>
      </c>
      <c r="J598" s="39"/>
    </row>
    <row r="599" spans="1:16" ht="115.2" x14ac:dyDescent="0.3">
      <c r="A599" s="31" t="s">
        <v>40</v>
      </c>
      <c r="B599" s="38"/>
      <c r="E599" s="33" t="s">
        <v>671</v>
      </c>
      <c r="J599" s="39"/>
    </row>
    <row r="600" spans="1:16" ht="28.8" x14ac:dyDescent="0.3">
      <c r="A600" s="31" t="s">
        <v>28</v>
      </c>
      <c r="B600" s="31">
        <v>104</v>
      </c>
      <c r="C600" s="32" t="s">
        <v>672</v>
      </c>
      <c r="D600" s="31" t="s">
        <v>673</v>
      </c>
      <c r="E600" s="33" t="s">
        <v>674</v>
      </c>
      <c r="F600" s="34" t="s">
        <v>199</v>
      </c>
      <c r="G600" s="35">
        <v>35.200000000000003</v>
      </c>
      <c r="H600" s="36">
        <v>0</v>
      </c>
      <c r="I600" s="36">
        <f>ROUND(G600*H600,P4)</f>
        <v>0</v>
      </c>
      <c r="J600" s="34" t="s">
        <v>33</v>
      </c>
      <c r="O600" s="37">
        <f>I600*0.21</f>
        <v>0</v>
      </c>
      <c r="P600">
        <v>3</v>
      </c>
    </row>
    <row r="601" spans="1:16" ht="129.6" x14ac:dyDescent="0.3">
      <c r="A601" s="31" t="s">
        <v>34</v>
      </c>
      <c r="B601" s="38"/>
      <c r="E601" s="33" t="s">
        <v>675</v>
      </c>
      <c r="J601" s="39"/>
    </row>
    <row r="602" spans="1:16" x14ac:dyDescent="0.3">
      <c r="A602" s="31" t="s">
        <v>36</v>
      </c>
      <c r="B602" s="38"/>
      <c r="E602" s="40" t="s">
        <v>676</v>
      </c>
      <c r="J602" s="39"/>
    </row>
    <row r="603" spans="1:16" ht="28.8" x14ac:dyDescent="0.3">
      <c r="A603" s="31" t="s">
        <v>36</v>
      </c>
      <c r="B603" s="38"/>
      <c r="E603" s="40" t="s">
        <v>677</v>
      </c>
      <c r="J603" s="39"/>
    </row>
    <row r="604" spans="1:16" x14ac:dyDescent="0.3">
      <c r="A604" s="31" t="s">
        <v>36</v>
      </c>
      <c r="B604" s="38"/>
      <c r="E604" s="40" t="s">
        <v>678</v>
      </c>
      <c r="J604" s="39"/>
    </row>
    <row r="605" spans="1:16" ht="158.4" x14ac:dyDescent="0.3">
      <c r="A605" s="31" t="s">
        <v>40</v>
      </c>
      <c r="B605" s="38"/>
      <c r="E605" s="33" t="s">
        <v>679</v>
      </c>
      <c r="J605" s="39"/>
    </row>
    <row r="606" spans="1:16" x14ac:dyDescent="0.3">
      <c r="A606" s="31" t="s">
        <v>28</v>
      </c>
      <c r="B606" s="31">
        <v>105</v>
      </c>
      <c r="C606" s="32" t="s">
        <v>680</v>
      </c>
      <c r="D606" s="31" t="s">
        <v>30</v>
      </c>
      <c r="E606" s="33" t="s">
        <v>681</v>
      </c>
      <c r="F606" s="34" t="s">
        <v>44</v>
      </c>
      <c r="G606" s="35">
        <v>12</v>
      </c>
      <c r="H606" s="36">
        <v>0</v>
      </c>
      <c r="I606" s="36">
        <f>ROUND(G606*H606,P4)</f>
        <v>0</v>
      </c>
      <c r="J606" s="34" t="s">
        <v>33</v>
      </c>
      <c r="O606" s="37">
        <f>I606*0.21</f>
        <v>0</v>
      </c>
      <c r="P606">
        <v>3</v>
      </c>
    </row>
    <row r="607" spans="1:16" ht="100.8" x14ac:dyDescent="0.3">
      <c r="A607" s="31" t="s">
        <v>34</v>
      </c>
      <c r="B607" s="38"/>
      <c r="E607" s="33" t="s">
        <v>682</v>
      </c>
      <c r="J607" s="39"/>
    </row>
    <row r="608" spans="1:16" x14ac:dyDescent="0.3">
      <c r="A608" s="31" t="s">
        <v>36</v>
      </c>
      <c r="B608" s="38"/>
      <c r="E608" s="40" t="s">
        <v>683</v>
      </c>
      <c r="J608" s="39"/>
    </row>
    <row r="609" spans="1:16" ht="360" x14ac:dyDescent="0.3">
      <c r="A609" s="31" t="s">
        <v>40</v>
      </c>
      <c r="B609" s="38"/>
      <c r="E609" s="33" t="s">
        <v>684</v>
      </c>
      <c r="J609" s="39"/>
    </row>
    <row r="610" spans="1:16" x14ac:dyDescent="0.3">
      <c r="A610" s="31" t="s">
        <v>28</v>
      </c>
      <c r="B610" s="31">
        <v>106</v>
      </c>
      <c r="C610" s="32" t="s">
        <v>685</v>
      </c>
      <c r="D610" s="31" t="s">
        <v>30</v>
      </c>
      <c r="E610" s="33" t="s">
        <v>686</v>
      </c>
      <c r="F610" s="34" t="s">
        <v>44</v>
      </c>
      <c r="G610" s="35">
        <v>34</v>
      </c>
      <c r="H610" s="36">
        <v>0</v>
      </c>
      <c r="I610" s="36">
        <f>ROUND(G610*H610,P4)</f>
        <v>0</v>
      </c>
      <c r="J610" s="34" t="s">
        <v>33</v>
      </c>
      <c r="O610" s="37">
        <f>I610*0.21</f>
        <v>0</v>
      </c>
      <c r="P610">
        <v>3</v>
      </c>
    </row>
    <row r="611" spans="1:16" ht="144" x14ac:dyDescent="0.3">
      <c r="A611" s="31" t="s">
        <v>34</v>
      </c>
      <c r="B611" s="38"/>
      <c r="E611" s="33" t="s">
        <v>687</v>
      </c>
      <c r="J611" s="39"/>
    </row>
    <row r="612" spans="1:16" x14ac:dyDescent="0.3">
      <c r="A612" s="31" t="s">
        <v>36</v>
      </c>
      <c r="B612" s="38"/>
      <c r="E612" s="40" t="s">
        <v>688</v>
      </c>
      <c r="J612" s="39"/>
    </row>
    <row r="613" spans="1:16" ht="360" x14ac:dyDescent="0.3">
      <c r="A613" s="31" t="s">
        <v>40</v>
      </c>
      <c r="B613" s="44"/>
      <c r="C613" s="45"/>
      <c r="D613" s="45"/>
      <c r="E613" s="33" t="s">
        <v>689</v>
      </c>
      <c r="F613" s="45"/>
      <c r="G613" s="45"/>
      <c r="H613" s="45"/>
      <c r="I613" s="45"/>
      <c r="J613" s="46"/>
    </row>
  </sheetData>
  <mergeCells count="12">
    <mergeCell ref="E6:E7"/>
    <mergeCell ref="F6:F7"/>
    <mergeCell ref="G6:G7"/>
    <mergeCell ref="H6:I6"/>
    <mergeCell ref="J6:J7"/>
    <mergeCell ref="C3:D3"/>
    <mergeCell ref="C4:D4"/>
    <mergeCell ref="C5:D5"/>
    <mergeCell ref="A6:A7"/>
    <mergeCell ref="B6:B7"/>
    <mergeCell ref="C6:C7"/>
    <mergeCell ref="D6:D7"/>
  </mergeCells>
  <pageMargins left="0.7" right="0.7" top="0.78740157499999996" bottom="0.78740157499999996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SO 202202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Prokopov, Oleksandr</dc:creator>
  <cp:lastModifiedBy>Prokopov, Oleksandr</cp:lastModifiedBy>
  <dcterms:created xsi:type="dcterms:W3CDTF">2026-01-14T12:16:01Z</dcterms:created>
  <dcterms:modified xsi:type="dcterms:W3CDTF">2026-01-14T12:16:45Z</dcterms:modified>
</cp:coreProperties>
</file>
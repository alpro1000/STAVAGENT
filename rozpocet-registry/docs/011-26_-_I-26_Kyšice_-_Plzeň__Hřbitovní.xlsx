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okopovo\Documents\beton_agent\МОСТ ЧЕРТЕЖИ И СЫРЫЕ ДОКУМЕНТЫ\"/>
    </mc:Choice>
  </mc:AlternateContent>
  <xr:revisionPtr revIDLastSave="0" documentId="8_{873BABF7-C925-46A0-8AB4-41FC2AABE287}" xr6:coauthVersionLast="47" xr6:coauthVersionMax="47" xr10:uidLastSave="{00000000-0000-0000-0000-000000000000}"/>
  <bookViews>
    <workbookView xWindow="14970" yWindow="-16440" windowWidth="29040" windowHeight="15720" firstSheet="5" activeTab="6" xr2:uid="{00000000-000D-0000-FFFF-FFFF00000000}"/>
  </bookViews>
  <sheets>
    <sheet name="Rekapitulace stavby" sheetId="1" r:id="rId1"/>
    <sheet name="001 - Vedlejsi a ostatni ..." sheetId="2" r:id="rId2"/>
    <sheet name="101 - Oprava vozovky (km ..." sheetId="3" r:id="rId3"/>
    <sheet name="102 - Oprava vozovky (km ..." sheetId="4" r:id="rId4"/>
    <sheet name="181 - Přechodné dopravní ..." sheetId="5" r:id="rId5"/>
    <sheet name="191 - Dopravní značení" sheetId="6" r:id="rId6"/>
    <sheet name="201-003 - Most ev.č. 206-003" sheetId="7" r:id="rId7"/>
    <sheet name="201-004 - Mosty ev. č. 26..." sheetId="8" r:id="rId8"/>
    <sheet name="441 - Přeložka a ochrana ..." sheetId="9" r:id="rId9"/>
  </sheets>
  <definedNames>
    <definedName name="_xlnm._FilterDatabase" localSheetId="1" hidden="1">'001 - Vedlejsi a ostatni ...'!$C$117:$K$155</definedName>
    <definedName name="_xlnm._FilterDatabase" localSheetId="2" hidden="1">'101 - Oprava vozovky (km ...'!$C$124:$K$514</definedName>
    <definedName name="_xlnm._FilterDatabase" localSheetId="3" hidden="1">'102 - Oprava vozovky (km ...'!$C$123:$K$624</definedName>
    <definedName name="_xlnm._FilterDatabase" localSheetId="4" hidden="1">'181 - Přechodné dopravní ...'!$C$118:$K$204</definedName>
    <definedName name="_xlnm._FilterDatabase" localSheetId="5" hidden="1">'191 - Dopravní značení'!$C$118:$K$185</definedName>
    <definedName name="_xlnm._FilterDatabase" localSheetId="6" hidden="1">'201-003 - Most ev.č. 206-003'!$C$16:$K$208</definedName>
    <definedName name="_xlnm._FilterDatabase" localSheetId="7" hidden="1">'201-004 - Mosty ev. č. 26...'!$C$16:$K$359</definedName>
    <definedName name="_xlnm._FilterDatabase" localSheetId="8" hidden="1">'441 - Přeložka a ochrana ...'!$C$116:$K$121</definedName>
    <definedName name="_xlnm.Print_Titles" localSheetId="1">'001 - Vedlejsi a ostatni ...'!$117:$117</definedName>
    <definedName name="_xlnm.Print_Titles" localSheetId="2">'101 - Oprava vozovky (km ...'!$124:$124</definedName>
    <definedName name="_xlnm.Print_Titles" localSheetId="3">'102 - Oprava vozovky (km ...'!$123:$123</definedName>
    <definedName name="_xlnm.Print_Titles" localSheetId="4">'181 - Přechodné dopravní ...'!$118:$118</definedName>
    <definedName name="_xlnm.Print_Titles" localSheetId="5">'191 - Dopravní značení'!$118:$118</definedName>
    <definedName name="_xlnm.Print_Titles" localSheetId="6">'201-003 - Most ev.č. 206-003'!$16:$16</definedName>
    <definedName name="_xlnm.Print_Titles" localSheetId="7">'201-004 - Mosty ev. č. 26...'!$16:$16</definedName>
    <definedName name="_xlnm.Print_Titles" localSheetId="8">'441 - Přeložka a ochrana ...'!$116:$116</definedName>
    <definedName name="_xlnm.Print_Titles" localSheetId="0">'Rekapitulace stavby'!$92:$92</definedName>
    <definedName name="_xlnm.Print_Area" localSheetId="1">'001 - Vedlejsi a ostatni ...'!$C$82:$J$99,'001 - Vedlejsi a ostatni ...'!$C$105:$K$155</definedName>
    <definedName name="_xlnm.Print_Area" localSheetId="2">'101 - Oprava vozovky (km ...'!$C$82:$J$106,'101 - Oprava vozovky (km ...'!$C$112:$K$514</definedName>
    <definedName name="_xlnm.Print_Area" localSheetId="3">'102 - Oprava vozovky (km ...'!$C$82:$J$105,'102 - Oprava vozovky (km ...'!$C$111:$K$624</definedName>
    <definedName name="_xlnm.Print_Area" localSheetId="4">'181 - Přechodné dopravní ...'!$C$82:$J$100,'181 - Přechodné dopravní ...'!$C$106:$K$204</definedName>
    <definedName name="_xlnm.Print_Area" localSheetId="5">'191 - Dopravní značení'!$C$82:$J$100,'191 - Dopravní značení'!$C$106:$K$185</definedName>
    <definedName name="_xlnm.Print_Area" localSheetId="6">'201-003 - Most ev.č. 206-003'!#REF!,'201-003 - Most ev.č. 206-003'!$C$4:$K$208</definedName>
    <definedName name="_xlnm.Print_Area" localSheetId="7">'201-004 - Mosty ev. č. 26...'!#REF!,'201-004 - Mosty ev. č. 26...'!$C$4:$K$359</definedName>
    <definedName name="_xlnm.Print_Area" localSheetId="8">'441 - Přeložka a ochrana ...'!$C$82:$J$98,'441 - Přeložka a ochrana ...'!$C$104:$K$121</definedName>
    <definedName name="_xlnm.Print_Area" localSheetId="0">'Rekapitulace stavby'!$D$4:$AO$76,'Rekapitulace stavby'!$C$82:$AQ$103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9" l="1"/>
  <c r="J36" i="9"/>
  <c r="AY102" i="1"/>
  <c r="J35" i="9"/>
  <c r="AX102" i="1"/>
  <c r="BI119" i="9"/>
  <c r="BH119" i="9"/>
  <c r="F36" i="9" s="1"/>
  <c r="BC102" i="1" s="1"/>
  <c r="BG119" i="9"/>
  <c r="BF119" i="9"/>
  <c r="F34" i="9" s="1"/>
  <c r="T119" i="9"/>
  <c r="T118" i="9"/>
  <c r="T117" i="9" s="1"/>
  <c r="R119" i="9"/>
  <c r="R118" i="9"/>
  <c r="R117" i="9"/>
  <c r="P119" i="9"/>
  <c r="P118" i="9"/>
  <c r="P117" i="9" s="1"/>
  <c r="AU102" i="1" s="1"/>
  <c r="J113" i="9"/>
  <c r="F113" i="9"/>
  <c r="F111" i="9"/>
  <c r="E109" i="9"/>
  <c r="J91" i="9"/>
  <c r="F91" i="9"/>
  <c r="F89" i="9"/>
  <c r="E87" i="9"/>
  <c r="J24" i="9"/>
  <c r="E24" i="9"/>
  <c r="J114" i="9"/>
  <c r="J23" i="9"/>
  <c r="J18" i="9"/>
  <c r="E18" i="9"/>
  <c r="F114" i="9" s="1"/>
  <c r="J17" i="9"/>
  <c r="J12" i="9"/>
  <c r="J111" i="9"/>
  <c r="E7" i="9"/>
  <c r="E85" i="9"/>
  <c r="AY101" i="1"/>
  <c r="AX101" i="1"/>
  <c r="BI348" i="8"/>
  <c r="BH348" i="8"/>
  <c r="BG348" i="8"/>
  <c r="BF348" i="8"/>
  <c r="T348" i="8"/>
  <c r="R348" i="8"/>
  <c r="P348" i="8"/>
  <c r="BI336" i="8"/>
  <c r="BH336" i="8"/>
  <c r="BG336" i="8"/>
  <c r="BF336" i="8"/>
  <c r="T336" i="8"/>
  <c r="R336" i="8"/>
  <c r="P336" i="8"/>
  <c r="BI318" i="8"/>
  <c r="BH318" i="8"/>
  <c r="BG318" i="8"/>
  <c r="BF318" i="8"/>
  <c r="T318" i="8"/>
  <c r="R318" i="8"/>
  <c r="P318" i="8"/>
  <c r="BI312" i="8"/>
  <c r="BH312" i="8"/>
  <c r="BG312" i="8"/>
  <c r="BF312" i="8"/>
  <c r="T312" i="8"/>
  <c r="R312" i="8"/>
  <c r="P312" i="8"/>
  <c r="BI306" i="8"/>
  <c r="BH306" i="8"/>
  <c r="BG306" i="8"/>
  <c r="BF306" i="8"/>
  <c r="T306" i="8"/>
  <c r="R306" i="8"/>
  <c r="P306" i="8"/>
  <c r="BI300" i="8"/>
  <c r="BH300" i="8"/>
  <c r="BG300" i="8"/>
  <c r="BF300" i="8"/>
  <c r="T300" i="8"/>
  <c r="R300" i="8"/>
  <c r="P300" i="8"/>
  <c r="BI294" i="8"/>
  <c r="BH294" i="8"/>
  <c r="BG294" i="8"/>
  <c r="BF294" i="8"/>
  <c r="T294" i="8"/>
  <c r="R294" i="8"/>
  <c r="P294" i="8"/>
  <c r="BI288" i="8"/>
  <c r="BH288" i="8"/>
  <c r="BG288" i="8"/>
  <c r="BF288" i="8"/>
  <c r="T288" i="8"/>
  <c r="R288" i="8"/>
  <c r="P288" i="8"/>
  <c r="BI274" i="8"/>
  <c r="BH274" i="8"/>
  <c r="BG274" i="8"/>
  <c r="BF274" i="8"/>
  <c r="T274" i="8"/>
  <c r="R274" i="8"/>
  <c r="P274" i="8"/>
  <c r="BI266" i="8"/>
  <c r="BH266" i="8"/>
  <c r="BG266" i="8"/>
  <c r="BF266" i="8"/>
  <c r="T266" i="8"/>
  <c r="R266" i="8"/>
  <c r="P266" i="8"/>
  <c r="BI258" i="8"/>
  <c r="BH258" i="8"/>
  <c r="BG258" i="8"/>
  <c r="BF258" i="8"/>
  <c r="T258" i="8"/>
  <c r="R258" i="8"/>
  <c r="P258" i="8"/>
  <c r="BI248" i="8"/>
  <c r="BH248" i="8"/>
  <c r="BG248" i="8"/>
  <c r="BF248" i="8"/>
  <c r="T248" i="8"/>
  <c r="R248" i="8"/>
  <c r="P248" i="8"/>
  <c r="BI240" i="8"/>
  <c r="BH240" i="8"/>
  <c r="BG240" i="8"/>
  <c r="BF240" i="8"/>
  <c r="T240" i="8"/>
  <c r="R240" i="8"/>
  <c r="P240" i="8"/>
  <c r="BI234" i="8"/>
  <c r="BH234" i="8"/>
  <c r="BG234" i="8"/>
  <c r="BF234" i="8"/>
  <c r="T234" i="8"/>
  <c r="R234" i="8"/>
  <c r="P234" i="8"/>
  <c r="BI224" i="8"/>
  <c r="BH224" i="8"/>
  <c r="BG224" i="8"/>
  <c r="BF224" i="8"/>
  <c r="T224" i="8"/>
  <c r="R224" i="8"/>
  <c r="P224" i="8"/>
  <c r="BI219" i="8"/>
  <c r="BH219" i="8"/>
  <c r="BG219" i="8"/>
  <c r="BF219" i="8"/>
  <c r="T219" i="8"/>
  <c r="R219" i="8"/>
  <c r="P219" i="8"/>
  <c r="BI212" i="8"/>
  <c r="BH212" i="8"/>
  <c r="BG212" i="8"/>
  <c r="BF212" i="8"/>
  <c r="T212" i="8"/>
  <c r="R212" i="8"/>
  <c r="P212" i="8"/>
  <c r="BI200" i="8"/>
  <c r="BH200" i="8"/>
  <c r="BG200" i="8"/>
  <c r="BF200" i="8"/>
  <c r="T200" i="8"/>
  <c r="R200" i="8"/>
  <c r="P200" i="8"/>
  <c r="BI195" i="8"/>
  <c r="BH195" i="8"/>
  <c r="BG195" i="8"/>
  <c r="BF195" i="8"/>
  <c r="T195" i="8"/>
  <c r="R195" i="8"/>
  <c r="P195" i="8"/>
  <c r="BI180" i="8"/>
  <c r="BH180" i="8"/>
  <c r="BG180" i="8"/>
  <c r="BF180" i="8"/>
  <c r="T180" i="8"/>
  <c r="R180" i="8"/>
  <c r="P180" i="8"/>
  <c r="BI174" i="8"/>
  <c r="BH174" i="8"/>
  <c r="BG174" i="8"/>
  <c r="BF174" i="8"/>
  <c r="T174" i="8"/>
  <c r="R174" i="8"/>
  <c r="P174" i="8"/>
  <c r="BI168" i="8"/>
  <c r="BH168" i="8"/>
  <c r="BG168" i="8"/>
  <c r="BF168" i="8"/>
  <c r="T168" i="8"/>
  <c r="R168" i="8"/>
  <c r="P168" i="8"/>
  <c r="BI160" i="8"/>
  <c r="BH160" i="8"/>
  <c r="BG160" i="8"/>
  <c r="BF160" i="8"/>
  <c r="T160" i="8"/>
  <c r="R160" i="8"/>
  <c r="P160" i="8"/>
  <c r="BI155" i="8"/>
  <c r="BH155" i="8"/>
  <c r="BG155" i="8"/>
  <c r="BF155" i="8"/>
  <c r="T155" i="8"/>
  <c r="R155" i="8"/>
  <c r="P155" i="8"/>
  <c r="BI150" i="8"/>
  <c r="BH150" i="8"/>
  <c r="BG150" i="8"/>
  <c r="BF150" i="8"/>
  <c r="T150" i="8"/>
  <c r="R150" i="8"/>
  <c r="P150" i="8"/>
  <c r="BI144" i="8"/>
  <c r="BH144" i="8"/>
  <c r="BG144" i="8"/>
  <c r="BF144" i="8"/>
  <c r="T144" i="8"/>
  <c r="R144" i="8"/>
  <c r="P144" i="8"/>
  <c r="BI132" i="8"/>
  <c r="BH132" i="8"/>
  <c r="BG132" i="8"/>
  <c r="BF132" i="8"/>
  <c r="T132" i="8"/>
  <c r="R132" i="8"/>
  <c r="P132" i="8"/>
  <c r="BI127" i="8"/>
  <c r="BH127" i="8"/>
  <c r="BG127" i="8"/>
  <c r="BF127" i="8"/>
  <c r="T127" i="8"/>
  <c r="R127" i="8"/>
  <c r="P127" i="8"/>
  <c r="BI119" i="8"/>
  <c r="BH119" i="8"/>
  <c r="BG119" i="8"/>
  <c r="BF119" i="8"/>
  <c r="T119" i="8"/>
  <c r="R119" i="8"/>
  <c r="P119" i="8"/>
  <c r="BI113" i="8"/>
  <c r="BH113" i="8"/>
  <c r="BG113" i="8"/>
  <c r="BF113" i="8"/>
  <c r="T113" i="8"/>
  <c r="R113" i="8"/>
  <c r="P113" i="8"/>
  <c r="BI107" i="8"/>
  <c r="BH107" i="8"/>
  <c r="BG107" i="8"/>
  <c r="BF107" i="8"/>
  <c r="T107" i="8"/>
  <c r="R107" i="8"/>
  <c r="P107" i="8"/>
  <c r="BI94" i="8"/>
  <c r="BH94" i="8"/>
  <c r="BG94" i="8"/>
  <c r="BF94" i="8"/>
  <c r="T94" i="8"/>
  <c r="R94" i="8"/>
  <c r="P94" i="8"/>
  <c r="BI88" i="8"/>
  <c r="BH88" i="8"/>
  <c r="BG88" i="8"/>
  <c r="BF88" i="8"/>
  <c r="T88" i="8"/>
  <c r="R88" i="8"/>
  <c r="P88" i="8"/>
  <c r="BI80" i="8"/>
  <c r="BH80" i="8"/>
  <c r="BG80" i="8"/>
  <c r="BF80" i="8"/>
  <c r="T80" i="8"/>
  <c r="R80" i="8"/>
  <c r="P80" i="8"/>
  <c r="BI74" i="8"/>
  <c r="BH74" i="8"/>
  <c r="BG74" i="8"/>
  <c r="BF74" i="8"/>
  <c r="T74" i="8"/>
  <c r="R74" i="8"/>
  <c r="P74" i="8"/>
  <c r="BI68" i="8"/>
  <c r="BH68" i="8"/>
  <c r="BG68" i="8"/>
  <c r="BF68" i="8"/>
  <c r="T68" i="8"/>
  <c r="R68" i="8"/>
  <c r="P68" i="8"/>
  <c r="BI62" i="8"/>
  <c r="BH62" i="8"/>
  <c r="BG62" i="8"/>
  <c r="BF62" i="8"/>
  <c r="T62" i="8"/>
  <c r="R62" i="8"/>
  <c r="P62" i="8"/>
  <c r="BI55" i="8"/>
  <c r="BH55" i="8"/>
  <c r="BG55" i="8"/>
  <c r="BF55" i="8"/>
  <c r="T55" i="8"/>
  <c r="R55" i="8"/>
  <c r="P55" i="8"/>
  <c r="BI51" i="8"/>
  <c r="BH51" i="8"/>
  <c r="BG51" i="8"/>
  <c r="BF51" i="8"/>
  <c r="T51" i="8"/>
  <c r="R51" i="8"/>
  <c r="P51" i="8"/>
  <c r="BI46" i="8"/>
  <c r="BH46" i="8"/>
  <c r="BG46" i="8"/>
  <c r="BF46" i="8"/>
  <c r="T46" i="8"/>
  <c r="R46" i="8"/>
  <c r="P46" i="8"/>
  <c r="BI41" i="8"/>
  <c r="BH41" i="8"/>
  <c r="BG41" i="8"/>
  <c r="BF41" i="8"/>
  <c r="T41" i="8"/>
  <c r="R41" i="8"/>
  <c r="P41" i="8"/>
  <c r="BI38" i="8"/>
  <c r="BH38" i="8"/>
  <c r="BG38" i="8"/>
  <c r="BF38" i="8"/>
  <c r="T38" i="8"/>
  <c r="R38" i="8"/>
  <c r="P38" i="8"/>
  <c r="BI34" i="8"/>
  <c r="BH34" i="8"/>
  <c r="BG34" i="8"/>
  <c r="BF34" i="8"/>
  <c r="T34" i="8"/>
  <c r="R34" i="8"/>
  <c r="P34" i="8"/>
  <c r="BI24" i="8"/>
  <c r="BH24" i="8"/>
  <c r="BG24" i="8"/>
  <c r="BF24" i="8"/>
  <c r="T24" i="8"/>
  <c r="R24" i="8"/>
  <c r="P24" i="8"/>
  <c r="BI19" i="8"/>
  <c r="BH19" i="8"/>
  <c r="BG19" i="8"/>
  <c r="BF19" i="8"/>
  <c r="T19" i="8"/>
  <c r="R19" i="8"/>
  <c r="P19" i="8"/>
  <c r="J13" i="8"/>
  <c r="F13" i="8"/>
  <c r="F11" i="8"/>
  <c r="E9" i="8"/>
  <c r="F14" i="8"/>
  <c r="E7" i="8"/>
  <c r="AY100" i="1"/>
  <c r="AX100" i="1"/>
  <c r="BI205" i="7"/>
  <c r="BH205" i="7"/>
  <c r="BG205" i="7"/>
  <c r="BF205" i="7"/>
  <c r="T205" i="7"/>
  <c r="R205" i="7"/>
  <c r="P205" i="7"/>
  <c r="BI201" i="7"/>
  <c r="BH201" i="7"/>
  <c r="BG201" i="7"/>
  <c r="BF201" i="7"/>
  <c r="T201" i="7"/>
  <c r="R201" i="7"/>
  <c r="P201" i="7"/>
  <c r="BI195" i="7"/>
  <c r="BH195" i="7"/>
  <c r="BG195" i="7"/>
  <c r="BF195" i="7"/>
  <c r="T195" i="7"/>
  <c r="R195" i="7"/>
  <c r="P195" i="7"/>
  <c r="BI191" i="7"/>
  <c r="BH191" i="7"/>
  <c r="BG191" i="7"/>
  <c r="BF191" i="7"/>
  <c r="T191" i="7"/>
  <c r="R191" i="7"/>
  <c r="P191" i="7"/>
  <c r="BI187" i="7"/>
  <c r="BH187" i="7"/>
  <c r="BG187" i="7"/>
  <c r="BF187" i="7"/>
  <c r="T187" i="7"/>
  <c r="R187" i="7"/>
  <c r="P187" i="7"/>
  <c r="BI184" i="7"/>
  <c r="BH184" i="7"/>
  <c r="BG184" i="7"/>
  <c r="BF184" i="7"/>
  <c r="T184" i="7"/>
  <c r="R184" i="7"/>
  <c r="P184" i="7"/>
  <c r="BI177" i="7"/>
  <c r="BH177" i="7"/>
  <c r="BG177" i="7"/>
  <c r="BF177" i="7"/>
  <c r="T177" i="7"/>
  <c r="T176" i="7" s="1"/>
  <c r="R177" i="7"/>
  <c r="R176" i="7" s="1"/>
  <c r="P177" i="7"/>
  <c r="P176" i="7" s="1"/>
  <c r="BI172" i="7"/>
  <c r="BH172" i="7"/>
  <c r="BG172" i="7"/>
  <c r="BF172" i="7"/>
  <c r="T172" i="7"/>
  <c r="R172" i="7"/>
  <c r="P172" i="7"/>
  <c r="BI168" i="7"/>
  <c r="BH168" i="7"/>
  <c r="BG168" i="7"/>
  <c r="BF168" i="7"/>
  <c r="T168" i="7"/>
  <c r="R168" i="7"/>
  <c r="P168" i="7"/>
  <c r="BI164" i="7"/>
  <c r="BH164" i="7"/>
  <c r="BG164" i="7"/>
  <c r="BF164" i="7"/>
  <c r="T164" i="7"/>
  <c r="R164" i="7"/>
  <c r="P164" i="7"/>
  <c r="BI160" i="7"/>
  <c r="BH160" i="7"/>
  <c r="BG160" i="7"/>
  <c r="BF160" i="7"/>
  <c r="T160" i="7"/>
  <c r="R160" i="7"/>
  <c r="P160" i="7"/>
  <c r="BI153" i="7"/>
  <c r="BH153" i="7"/>
  <c r="BG153" i="7"/>
  <c r="BF153" i="7"/>
  <c r="T153" i="7"/>
  <c r="R153" i="7"/>
  <c r="P153" i="7"/>
  <c r="BI146" i="7"/>
  <c r="BH146" i="7"/>
  <c r="BG146" i="7"/>
  <c r="BF146" i="7"/>
  <c r="T146" i="7"/>
  <c r="R146" i="7"/>
  <c r="P146" i="7"/>
  <c r="BI141" i="7"/>
  <c r="BH141" i="7"/>
  <c r="BG141" i="7"/>
  <c r="BF141" i="7"/>
  <c r="T141" i="7"/>
  <c r="R141" i="7"/>
  <c r="P141" i="7"/>
  <c r="BI135" i="7"/>
  <c r="BH135" i="7"/>
  <c r="BG135" i="7"/>
  <c r="BF135" i="7"/>
  <c r="T135" i="7"/>
  <c r="R135" i="7"/>
  <c r="P135" i="7"/>
  <c r="BI131" i="7"/>
  <c r="BH131" i="7"/>
  <c r="BG131" i="7"/>
  <c r="BF131" i="7"/>
  <c r="T131" i="7"/>
  <c r="R131" i="7"/>
  <c r="P131" i="7"/>
  <c r="BI127" i="7"/>
  <c r="BH127" i="7"/>
  <c r="BG127" i="7"/>
  <c r="BF127" i="7"/>
  <c r="T127" i="7"/>
  <c r="R127" i="7"/>
  <c r="P127" i="7"/>
  <c r="BI119" i="7"/>
  <c r="BH119" i="7"/>
  <c r="BG119" i="7"/>
  <c r="BF119" i="7"/>
  <c r="T119" i="7"/>
  <c r="R119" i="7"/>
  <c r="P119" i="7"/>
  <c r="BI113" i="7"/>
  <c r="BH113" i="7"/>
  <c r="BG113" i="7"/>
  <c r="BF113" i="7"/>
  <c r="T113" i="7"/>
  <c r="R113" i="7"/>
  <c r="P113" i="7"/>
  <c r="BI109" i="7"/>
  <c r="BH109" i="7"/>
  <c r="BG109" i="7"/>
  <c r="BF109" i="7"/>
  <c r="T109" i="7"/>
  <c r="R109" i="7"/>
  <c r="P109" i="7"/>
  <c r="BI102" i="7"/>
  <c r="BH102" i="7"/>
  <c r="BG102" i="7"/>
  <c r="BF102" i="7"/>
  <c r="T102" i="7"/>
  <c r="R102" i="7"/>
  <c r="P102" i="7"/>
  <c r="BI98" i="7"/>
  <c r="BH98" i="7"/>
  <c r="BG98" i="7"/>
  <c r="BF98" i="7"/>
  <c r="T98" i="7"/>
  <c r="R98" i="7"/>
  <c r="P98" i="7"/>
  <c r="BI94" i="7"/>
  <c r="BH94" i="7"/>
  <c r="BG94" i="7"/>
  <c r="BF94" i="7"/>
  <c r="T94" i="7"/>
  <c r="R94" i="7"/>
  <c r="P94" i="7"/>
  <c r="BI84" i="7"/>
  <c r="BH84" i="7"/>
  <c r="BG84" i="7"/>
  <c r="BF84" i="7"/>
  <c r="T84" i="7"/>
  <c r="R84" i="7"/>
  <c r="P84" i="7"/>
  <c r="BI80" i="7"/>
  <c r="BH80" i="7"/>
  <c r="BG80" i="7"/>
  <c r="BF80" i="7"/>
  <c r="T80" i="7"/>
  <c r="R80" i="7"/>
  <c r="P80" i="7"/>
  <c r="BI74" i="7"/>
  <c r="BH74" i="7"/>
  <c r="BG74" i="7"/>
  <c r="BF74" i="7"/>
  <c r="T74" i="7"/>
  <c r="R74" i="7"/>
  <c r="P74" i="7"/>
  <c r="BI70" i="7"/>
  <c r="BH70" i="7"/>
  <c r="BG70" i="7"/>
  <c r="BF70" i="7"/>
  <c r="T70" i="7"/>
  <c r="R70" i="7"/>
  <c r="P70" i="7"/>
  <c r="BI63" i="7"/>
  <c r="BH63" i="7"/>
  <c r="BG63" i="7"/>
  <c r="BF63" i="7"/>
  <c r="T63" i="7"/>
  <c r="R63" i="7"/>
  <c r="P63" i="7"/>
  <c r="BI59" i="7"/>
  <c r="BH59" i="7"/>
  <c r="BG59" i="7"/>
  <c r="BF59" i="7"/>
  <c r="T59" i="7"/>
  <c r="R59" i="7"/>
  <c r="P59" i="7"/>
  <c r="BI55" i="7"/>
  <c r="BH55" i="7"/>
  <c r="BG55" i="7"/>
  <c r="BF55" i="7"/>
  <c r="T55" i="7"/>
  <c r="R55" i="7"/>
  <c r="P55" i="7"/>
  <c r="BI50" i="7"/>
  <c r="BH50" i="7"/>
  <c r="BG50" i="7"/>
  <c r="BF50" i="7"/>
  <c r="T50" i="7"/>
  <c r="R50" i="7"/>
  <c r="P50" i="7"/>
  <c r="BI47" i="7"/>
  <c r="BH47" i="7"/>
  <c r="BG47" i="7"/>
  <c r="BF47" i="7"/>
  <c r="T47" i="7"/>
  <c r="R47" i="7"/>
  <c r="P47" i="7"/>
  <c r="BI44" i="7"/>
  <c r="BH44" i="7"/>
  <c r="BG44" i="7"/>
  <c r="BF44" i="7"/>
  <c r="T44" i="7"/>
  <c r="R44" i="7"/>
  <c r="P44" i="7"/>
  <c r="BI41" i="7"/>
  <c r="BH41" i="7"/>
  <c r="BG41" i="7"/>
  <c r="BF41" i="7"/>
  <c r="T41" i="7"/>
  <c r="R41" i="7"/>
  <c r="P41" i="7"/>
  <c r="BI38" i="7"/>
  <c r="BH38" i="7"/>
  <c r="BG38" i="7"/>
  <c r="BF38" i="7"/>
  <c r="T38" i="7"/>
  <c r="R38" i="7"/>
  <c r="P38" i="7"/>
  <c r="BI35" i="7"/>
  <c r="BH35" i="7"/>
  <c r="BG35" i="7"/>
  <c r="BF35" i="7"/>
  <c r="T35" i="7"/>
  <c r="R35" i="7"/>
  <c r="P35" i="7"/>
  <c r="BI29" i="7"/>
  <c r="BH29" i="7"/>
  <c r="BG29" i="7"/>
  <c r="BF29" i="7"/>
  <c r="T29" i="7"/>
  <c r="R29" i="7"/>
  <c r="P29" i="7"/>
  <c r="BI19" i="7"/>
  <c r="BH19" i="7"/>
  <c r="BG19" i="7"/>
  <c r="BF19" i="7"/>
  <c r="T19" i="7"/>
  <c r="R19" i="7"/>
  <c r="P19" i="7"/>
  <c r="J13" i="7"/>
  <c r="F13" i="7"/>
  <c r="F11" i="7"/>
  <c r="E9" i="7"/>
  <c r="J14" i="7"/>
  <c r="E7" i="7"/>
  <c r="J37" i="6"/>
  <c r="J36" i="6"/>
  <c r="AY99" i="1" s="1"/>
  <c r="J35" i="6"/>
  <c r="AX99" i="1"/>
  <c r="BI180" i="6"/>
  <c r="BH180" i="6"/>
  <c r="BG180" i="6"/>
  <c r="BF180" i="6"/>
  <c r="T180" i="6"/>
  <c r="R180" i="6"/>
  <c r="P180" i="6"/>
  <c r="BI170" i="6"/>
  <c r="BH170" i="6"/>
  <c r="BG170" i="6"/>
  <c r="BF170" i="6"/>
  <c r="T170" i="6"/>
  <c r="R170" i="6"/>
  <c r="P170" i="6"/>
  <c r="BI154" i="6"/>
  <c r="BH154" i="6"/>
  <c r="BG154" i="6"/>
  <c r="BF154" i="6"/>
  <c r="T154" i="6"/>
  <c r="R154" i="6"/>
  <c r="P154" i="6"/>
  <c r="BI150" i="6"/>
  <c r="BH150" i="6"/>
  <c r="BG150" i="6"/>
  <c r="BF150" i="6"/>
  <c r="T150" i="6"/>
  <c r="R150" i="6"/>
  <c r="P150" i="6"/>
  <c r="BI142" i="6"/>
  <c r="BH142" i="6"/>
  <c r="BG142" i="6"/>
  <c r="BF142" i="6"/>
  <c r="T142" i="6"/>
  <c r="R142" i="6"/>
  <c r="P142" i="6"/>
  <c r="BI138" i="6"/>
  <c r="BH138" i="6"/>
  <c r="BG138" i="6"/>
  <c r="BF138" i="6"/>
  <c r="T138" i="6"/>
  <c r="R138" i="6"/>
  <c r="P138" i="6"/>
  <c r="BI134" i="6"/>
  <c r="BH134" i="6"/>
  <c r="BG134" i="6"/>
  <c r="BF134" i="6"/>
  <c r="T134" i="6"/>
  <c r="R134" i="6"/>
  <c r="P134" i="6"/>
  <c r="BI130" i="6"/>
  <c r="BH130" i="6"/>
  <c r="BG130" i="6"/>
  <c r="BF130" i="6"/>
  <c r="T130" i="6"/>
  <c r="R130" i="6"/>
  <c r="P130" i="6"/>
  <c r="BI125" i="6"/>
  <c r="BH125" i="6"/>
  <c r="BG125" i="6"/>
  <c r="BF125" i="6"/>
  <c r="T125" i="6"/>
  <c r="T124" i="6" s="1"/>
  <c r="R125" i="6"/>
  <c r="R124" i="6"/>
  <c r="P125" i="6"/>
  <c r="P124" i="6" s="1"/>
  <c r="BI121" i="6"/>
  <c r="BH121" i="6"/>
  <c r="BG121" i="6"/>
  <c r="BF121" i="6"/>
  <c r="T121" i="6"/>
  <c r="T120" i="6"/>
  <c r="R121" i="6"/>
  <c r="R120" i="6" s="1"/>
  <c r="P121" i="6"/>
  <c r="P120" i="6"/>
  <c r="J115" i="6"/>
  <c r="F115" i="6"/>
  <c r="F113" i="6"/>
  <c r="E111" i="6"/>
  <c r="J91" i="6"/>
  <c r="F91" i="6"/>
  <c r="F89" i="6"/>
  <c r="E87" i="6"/>
  <c r="J24" i="6"/>
  <c r="E24" i="6"/>
  <c r="J116" i="6"/>
  <c r="J23" i="6"/>
  <c r="J18" i="6"/>
  <c r="E18" i="6"/>
  <c r="F92" i="6"/>
  <c r="J17" i="6"/>
  <c r="J12" i="6"/>
  <c r="J113" i="6" s="1"/>
  <c r="E7" i="6"/>
  <c r="E85" i="6"/>
  <c r="J37" i="5"/>
  <c r="J36" i="5"/>
  <c r="AY98" i="1"/>
  <c r="J35" i="5"/>
  <c r="AX98" i="1" s="1"/>
  <c r="BI201" i="5"/>
  <c r="BH201" i="5"/>
  <c r="BG201" i="5"/>
  <c r="BF201" i="5"/>
  <c r="T201" i="5"/>
  <c r="R201" i="5"/>
  <c r="P201" i="5"/>
  <c r="BI197" i="5"/>
  <c r="BH197" i="5"/>
  <c r="BG197" i="5"/>
  <c r="BF197" i="5"/>
  <c r="T197" i="5"/>
  <c r="R197" i="5"/>
  <c r="P197" i="5"/>
  <c r="BI193" i="5"/>
  <c r="BH193" i="5"/>
  <c r="BG193" i="5"/>
  <c r="BF193" i="5"/>
  <c r="T193" i="5"/>
  <c r="R193" i="5"/>
  <c r="P193" i="5"/>
  <c r="BI189" i="5"/>
  <c r="BH189" i="5"/>
  <c r="BG189" i="5"/>
  <c r="BF189" i="5"/>
  <c r="T189" i="5"/>
  <c r="R189" i="5"/>
  <c r="P189" i="5"/>
  <c r="BI183" i="5"/>
  <c r="BH183" i="5"/>
  <c r="BG183" i="5"/>
  <c r="BF183" i="5"/>
  <c r="T183" i="5"/>
  <c r="R183" i="5"/>
  <c r="P183" i="5"/>
  <c r="BI179" i="5"/>
  <c r="BH179" i="5"/>
  <c r="BG179" i="5"/>
  <c r="BF179" i="5"/>
  <c r="T179" i="5"/>
  <c r="R179" i="5"/>
  <c r="P179" i="5"/>
  <c r="BI175" i="5"/>
  <c r="BH175" i="5"/>
  <c r="BG175" i="5"/>
  <c r="BF175" i="5"/>
  <c r="T175" i="5"/>
  <c r="R175" i="5"/>
  <c r="P175" i="5"/>
  <c r="BI170" i="5"/>
  <c r="BH170" i="5"/>
  <c r="BG170" i="5"/>
  <c r="BF170" i="5"/>
  <c r="T170" i="5"/>
  <c r="T169" i="5"/>
  <c r="R170" i="5"/>
  <c r="R169" i="5" s="1"/>
  <c r="P170" i="5"/>
  <c r="P169" i="5"/>
  <c r="BI164" i="5"/>
  <c r="BH164" i="5"/>
  <c r="BG164" i="5"/>
  <c r="BF164" i="5"/>
  <c r="T164" i="5"/>
  <c r="R164" i="5"/>
  <c r="P164" i="5"/>
  <c r="BI157" i="5"/>
  <c r="BH157" i="5"/>
  <c r="BG157" i="5"/>
  <c r="BF157" i="5"/>
  <c r="T157" i="5"/>
  <c r="R157" i="5"/>
  <c r="P157" i="5"/>
  <c r="BI150" i="5"/>
  <c r="BH150" i="5"/>
  <c r="BG150" i="5"/>
  <c r="BF150" i="5"/>
  <c r="T150" i="5"/>
  <c r="R150" i="5"/>
  <c r="P150" i="5"/>
  <c r="BI146" i="5"/>
  <c r="BH146" i="5"/>
  <c r="BG146" i="5"/>
  <c r="BF146" i="5"/>
  <c r="T146" i="5"/>
  <c r="R146" i="5"/>
  <c r="P146" i="5"/>
  <c r="BI142" i="5"/>
  <c r="BH142" i="5"/>
  <c r="BG142" i="5"/>
  <c r="BF142" i="5"/>
  <c r="T142" i="5"/>
  <c r="R142" i="5"/>
  <c r="P142" i="5"/>
  <c r="BI136" i="5"/>
  <c r="BH136" i="5"/>
  <c r="BG136" i="5"/>
  <c r="BF136" i="5"/>
  <c r="T136" i="5"/>
  <c r="R136" i="5"/>
  <c r="P136" i="5"/>
  <c r="BI133" i="5"/>
  <c r="BH133" i="5"/>
  <c r="BG133" i="5"/>
  <c r="BF133" i="5"/>
  <c r="T133" i="5"/>
  <c r="R133" i="5"/>
  <c r="P133" i="5"/>
  <c r="BI130" i="5"/>
  <c r="BH130" i="5"/>
  <c r="BG130" i="5"/>
  <c r="BF130" i="5"/>
  <c r="T130" i="5"/>
  <c r="R130" i="5"/>
  <c r="P130" i="5"/>
  <c r="BI127" i="5"/>
  <c r="BH127" i="5"/>
  <c r="BG127" i="5"/>
  <c r="BF127" i="5"/>
  <c r="T127" i="5"/>
  <c r="R127" i="5"/>
  <c r="P127" i="5"/>
  <c r="BI124" i="5"/>
  <c r="BH124" i="5"/>
  <c r="BG124" i="5"/>
  <c r="BF124" i="5"/>
  <c r="T124" i="5"/>
  <c r="R124" i="5"/>
  <c r="P124" i="5"/>
  <c r="BI121" i="5"/>
  <c r="BH121" i="5"/>
  <c r="BG121" i="5"/>
  <c r="BF121" i="5"/>
  <c r="T121" i="5"/>
  <c r="R121" i="5"/>
  <c r="P121" i="5"/>
  <c r="J115" i="5"/>
  <c r="F115" i="5"/>
  <c r="F113" i="5"/>
  <c r="E111" i="5"/>
  <c r="J91" i="5"/>
  <c r="F91" i="5"/>
  <c r="F89" i="5"/>
  <c r="E87" i="5"/>
  <c r="J24" i="5"/>
  <c r="E24" i="5"/>
  <c r="J92" i="5"/>
  <c r="J23" i="5"/>
  <c r="J18" i="5"/>
  <c r="E18" i="5"/>
  <c r="F116" i="5"/>
  <c r="J17" i="5"/>
  <c r="J12" i="5"/>
  <c r="J113" i="5"/>
  <c r="E7" i="5"/>
  <c r="E109" i="5"/>
  <c r="J37" i="4"/>
  <c r="J36" i="4"/>
  <c r="AY97" i="1"/>
  <c r="J35" i="4"/>
  <c r="AX97" i="1" s="1"/>
  <c r="BI621" i="4"/>
  <c r="BH621" i="4"/>
  <c r="BG621" i="4"/>
  <c r="BF621" i="4"/>
  <c r="T621" i="4"/>
  <c r="R621" i="4"/>
  <c r="P621" i="4"/>
  <c r="BI617" i="4"/>
  <c r="BH617" i="4"/>
  <c r="BG617" i="4"/>
  <c r="BF617" i="4"/>
  <c r="T617" i="4"/>
  <c r="R617" i="4"/>
  <c r="P617" i="4"/>
  <c r="BI613" i="4"/>
  <c r="BH613" i="4"/>
  <c r="BG613" i="4"/>
  <c r="BF613" i="4"/>
  <c r="T613" i="4"/>
  <c r="R613" i="4"/>
  <c r="P613" i="4"/>
  <c r="BI609" i="4"/>
  <c r="BH609" i="4"/>
  <c r="BG609" i="4"/>
  <c r="BF609" i="4"/>
  <c r="T609" i="4"/>
  <c r="R609" i="4"/>
  <c r="P609" i="4"/>
  <c r="BI605" i="4"/>
  <c r="BH605" i="4"/>
  <c r="BG605" i="4"/>
  <c r="BF605" i="4"/>
  <c r="T605" i="4"/>
  <c r="R605" i="4"/>
  <c r="P605" i="4"/>
  <c r="BI601" i="4"/>
  <c r="BH601" i="4"/>
  <c r="BG601" i="4"/>
  <c r="BF601" i="4"/>
  <c r="T601" i="4"/>
  <c r="R601" i="4"/>
  <c r="P601" i="4"/>
  <c r="BI597" i="4"/>
  <c r="BH597" i="4"/>
  <c r="BG597" i="4"/>
  <c r="BF597" i="4"/>
  <c r="T597" i="4"/>
  <c r="R597" i="4"/>
  <c r="P597" i="4"/>
  <c r="BI593" i="4"/>
  <c r="BH593" i="4"/>
  <c r="BG593" i="4"/>
  <c r="BF593" i="4"/>
  <c r="T593" i="4"/>
  <c r="R593" i="4"/>
  <c r="P593" i="4"/>
  <c r="BI589" i="4"/>
  <c r="BH589" i="4"/>
  <c r="BG589" i="4"/>
  <c r="BF589" i="4"/>
  <c r="T589" i="4"/>
  <c r="R589" i="4"/>
  <c r="P589" i="4"/>
  <c r="BI580" i="4"/>
  <c r="BH580" i="4"/>
  <c r="BG580" i="4"/>
  <c r="BF580" i="4"/>
  <c r="T580" i="4"/>
  <c r="R580" i="4"/>
  <c r="P580" i="4"/>
  <c r="BI576" i="4"/>
  <c r="BH576" i="4"/>
  <c r="BG576" i="4"/>
  <c r="BF576" i="4"/>
  <c r="T576" i="4"/>
  <c r="R576" i="4"/>
  <c r="P576" i="4"/>
  <c r="BI570" i="4"/>
  <c r="BH570" i="4"/>
  <c r="BG570" i="4"/>
  <c r="BF570" i="4"/>
  <c r="T570" i="4"/>
  <c r="R570" i="4"/>
  <c r="P570" i="4"/>
  <c r="BI564" i="4"/>
  <c r="BH564" i="4"/>
  <c r="BG564" i="4"/>
  <c r="BF564" i="4"/>
  <c r="T564" i="4"/>
  <c r="R564" i="4"/>
  <c r="P564" i="4"/>
  <c r="BI560" i="4"/>
  <c r="BH560" i="4"/>
  <c r="BG560" i="4"/>
  <c r="BF560" i="4"/>
  <c r="T560" i="4"/>
  <c r="R560" i="4"/>
  <c r="P560" i="4"/>
  <c r="BI554" i="4"/>
  <c r="BH554" i="4"/>
  <c r="BG554" i="4"/>
  <c r="BF554" i="4"/>
  <c r="T554" i="4"/>
  <c r="R554" i="4"/>
  <c r="P554" i="4"/>
  <c r="BI548" i="4"/>
  <c r="BH548" i="4"/>
  <c r="BG548" i="4"/>
  <c r="BF548" i="4"/>
  <c r="T548" i="4"/>
  <c r="R548" i="4"/>
  <c r="P548" i="4"/>
  <c r="BI544" i="4"/>
  <c r="BH544" i="4"/>
  <c r="BG544" i="4"/>
  <c r="BF544" i="4"/>
  <c r="T544" i="4"/>
  <c r="R544" i="4"/>
  <c r="P544" i="4"/>
  <c r="BI540" i="4"/>
  <c r="BH540" i="4"/>
  <c r="BG540" i="4"/>
  <c r="BF540" i="4"/>
  <c r="T540" i="4"/>
  <c r="R540" i="4"/>
  <c r="P540" i="4"/>
  <c r="BI536" i="4"/>
  <c r="BH536" i="4"/>
  <c r="BG536" i="4"/>
  <c r="BF536" i="4"/>
  <c r="T536" i="4"/>
  <c r="R536" i="4"/>
  <c r="P536" i="4"/>
  <c r="BI531" i="4"/>
  <c r="BH531" i="4"/>
  <c r="BG531" i="4"/>
  <c r="BF531" i="4"/>
  <c r="T531" i="4"/>
  <c r="R531" i="4"/>
  <c r="P531" i="4"/>
  <c r="BI525" i="4"/>
  <c r="BH525" i="4"/>
  <c r="BG525" i="4"/>
  <c r="BF525" i="4"/>
  <c r="T525" i="4"/>
  <c r="R525" i="4"/>
  <c r="P525" i="4"/>
  <c r="BI519" i="4"/>
  <c r="BH519" i="4"/>
  <c r="BG519" i="4"/>
  <c r="BF519" i="4"/>
  <c r="T519" i="4"/>
  <c r="R519" i="4"/>
  <c r="P519" i="4"/>
  <c r="BI512" i="4"/>
  <c r="BH512" i="4"/>
  <c r="BG512" i="4"/>
  <c r="BF512" i="4"/>
  <c r="T512" i="4"/>
  <c r="R512" i="4"/>
  <c r="P512" i="4"/>
  <c r="BI508" i="4"/>
  <c r="BH508" i="4"/>
  <c r="BG508" i="4"/>
  <c r="BF508" i="4"/>
  <c r="T508" i="4"/>
  <c r="R508" i="4"/>
  <c r="P508" i="4"/>
  <c r="BI503" i="4"/>
  <c r="BH503" i="4"/>
  <c r="BG503" i="4"/>
  <c r="BF503" i="4"/>
  <c r="T503" i="4"/>
  <c r="R503" i="4"/>
  <c r="P503" i="4"/>
  <c r="BI499" i="4"/>
  <c r="BH499" i="4"/>
  <c r="BG499" i="4"/>
  <c r="BF499" i="4"/>
  <c r="T499" i="4"/>
  <c r="R499" i="4"/>
  <c r="P499" i="4"/>
  <c r="BI495" i="4"/>
  <c r="BH495" i="4"/>
  <c r="BG495" i="4"/>
  <c r="BF495" i="4"/>
  <c r="T495" i="4"/>
  <c r="R495" i="4"/>
  <c r="P495" i="4"/>
  <c r="BI491" i="4"/>
  <c r="BH491" i="4"/>
  <c r="BG491" i="4"/>
  <c r="BF491" i="4"/>
  <c r="T491" i="4"/>
  <c r="R491" i="4"/>
  <c r="P491" i="4"/>
  <c r="BI487" i="4"/>
  <c r="BH487" i="4"/>
  <c r="BG487" i="4"/>
  <c r="BF487" i="4"/>
  <c r="T487" i="4"/>
  <c r="R487" i="4"/>
  <c r="P487" i="4"/>
  <c r="BI483" i="4"/>
  <c r="BH483" i="4"/>
  <c r="BG483" i="4"/>
  <c r="BF483" i="4"/>
  <c r="T483" i="4"/>
  <c r="R483" i="4"/>
  <c r="P483" i="4"/>
  <c r="BI476" i="4"/>
  <c r="BH476" i="4"/>
  <c r="BG476" i="4"/>
  <c r="BF476" i="4"/>
  <c r="T476" i="4"/>
  <c r="R476" i="4"/>
  <c r="P476" i="4"/>
  <c r="BI471" i="4"/>
  <c r="BH471" i="4"/>
  <c r="BG471" i="4"/>
  <c r="BF471" i="4"/>
  <c r="T471" i="4"/>
  <c r="R471" i="4"/>
  <c r="P471" i="4"/>
  <c r="BI467" i="4"/>
  <c r="BH467" i="4"/>
  <c r="BG467" i="4"/>
  <c r="BF467" i="4"/>
  <c r="T467" i="4"/>
  <c r="R467" i="4"/>
  <c r="P467" i="4"/>
  <c r="BI463" i="4"/>
  <c r="BH463" i="4"/>
  <c r="BG463" i="4"/>
  <c r="BF463" i="4"/>
  <c r="T463" i="4"/>
  <c r="R463" i="4"/>
  <c r="P463" i="4"/>
  <c r="BI458" i="4"/>
  <c r="BH458" i="4"/>
  <c r="BG458" i="4"/>
  <c r="BF458" i="4"/>
  <c r="T458" i="4"/>
  <c r="R458" i="4"/>
  <c r="P458" i="4"/>
  <c r="BI454" i="4"/>
  <c r="BH454" i="4"/>
  <c r="BG454" i="4"/>
  <c r="BF454" i="4"/>
  <c r="T454" i="4"/>
  <c r="R454" i="4"/>
  <c r="P454" i="4"/>
  <c r="BI450" i="4"/>
  <c r="BH450" i="4"/>
  <c r="BG450" i="4"/>
  <c r="BF450" i="4"/>
  <c r="T450" i="4"/>
  <c r="R450" i="4"/>
  <c r="P450" i="4"/>
  <c r="BI446" i="4"/>
  <c r="BH446" i="4"/>
  <c r="BG446" i="4"/>
  <c r="BF446" i="4"/>
  <c r="T446" i="4"/>
  <c r="R446" i="4"/>
  <c r="P446" i="4"/>
  <c r="BI442" i="4"/>
  <c r="BH442" i="4"/>
  <c r="BG442" i="4"/>
  <c r="BF442" i="4"/>
  <c r="T442" i="4"/>
  <c r="R442" i="4"/>
  <c r="P442" i="4"/>
  <c r="BI438" i="4"/>
  <c r="BH438" i="4"/>
  <c r="BG438" i="4"/>
  <c r="BF438" i="4"/>
  <c r="T438" i="4"/>
  <c r="R438" i="4"/>
  <c r="P438" i="4"/>
  <c r="BI432" i="4"/>
  <c r="BH432" i="4"/>
  <c r="BG432" i="4"/>
  <c r="BF432" i="4"/>
  <c r="T432" i="4"/>
  <c r="R432" i="4"/>
  <c r="P432" i="4"/>
  <c r="BI425" i="4"/>
  <c r="BH425" i="4"/>
  <c r="BG425" i="4"/>
  <c r="BF425" i="4"/>
  <c r="T425" i="4"/>
  <c r="R425" i="4"/>
  <c r="P425" i="4"/>
  <c r="BI421" i="4"/>
  <c r="BH421" i="4"/>
  <c r="BG421" i="4"/>
  <c r="BF421" i="4"/>
  <c r="T421" i="4"/>
  <c r="R421" i="4"/>
  <c r="P421" i="4"/>
  <c r="BI417" i="4"/>
  <c r="BH417" i="4"/>
  <c r="BG417" i="4"/>
  <c r="BF417" i="4"/>
  <c r="T417" i="4"/>
  <c r="R417" i="4"/>
  <c r="P417" i="4"/>
  <c r="BI411" i="4"/>
  <c r="BH411" i="4"/>
  <c r="BG411" i="4"/>
  <c r="BF411" i="4"/>
  <c r="T411" i="4"/>
  <c r="R411" i="4"/>
  <c r="P411" i="4"/>
  <c r="BI407" i="4"/>
  <c r="BH407" i="4"/>
  <c r="BG407" i="4"/>
  <c r="BF407" i="4"/>
  <c r="T407" i="4"/>
  <c r="R407" i="4"/>
  <c r="P407" i="4"/>
  <c r="BI403" i="4"/>
  <c r="BH403" i="4"/>
  <c r="BG403" i="4"/>
  <c r="BF403" i="4"/>
  <c r="T403" i="4"/>
  <c r="R403" i="4"/>
  <c r="P403" i="4"/>
  <c r="BI399" i="4"/>
  <c r="BH399" i="4"/>
  <c r="BG399" i="4"/>
  <c r="BF399" i="4"/>
  <c r="T399" i="4"/>
  <c r="R399" i="4"/>
  <c r="P399" i="4"/>
  <c r="BI390" i="4"/>
  <c r="BH390" i="4"/>
  <c r="BG390" i="4"/>
  <c r="BF390" i="4"/>
  <c r="T390" i="4"/>
  <c r="R390" i="4"/>
  <c r="P390" i="4"/>
  <c r="BI386" i="4"/>
  <c r="BH386" i="4"/>
  <c r="BG386" i="4"/>
  <c r="BF386" i="4"/>
  <c r="T386" i="4"/>
  <c r="R386" i="4"/>
  <c r="P386" i="4"/>
  <c r="BI382" i="4"/>
  <c r="BH382" i="4"/>
  <c r="BG382" i="4"/>
  <c r="BF382" i="4"/>
  <c r="T382" i="4"/>
  <c r="R382" i="4"/>
  <c r="P382" i="4"/>
  <c r="BI375" i="4"/>
  <c r="BH375" i="4"/>
  <c r="BG375" i="4"/>
  <c r="BF375" i="4"/>
  <c r="T375" i="4"/>
  <c r="R375" i="4"/>
  <c r="P375" i="4"/>
  <c r="BI369" i="4"/>
  <c r="BH369" i="4"/>
  <c r="BG369" i="4"/>
  <c r="BF369" i="4"/>
  <c r="T369" i="4"/>
  <c r="R369" i="4"/>
  <c r="P369" i="4"/>
  <c r="BI363" i="4"/>
  <c r="BH363" i="4"/>
  <c r="BG363" i="4"/>
  <c r="BF363" i="4"/>
  <c r="T363" i="4"/>
  <c r="R363" i="4"/>
  <c r="P363" i="4"/>
  <c r="BI359" i="4"/>
  <c r="BH359" i="4"/>
  <c r="BG359" i="4"/>
  <c r="BF359" i="4"/>
  <c r="T359" i="4"/>
  <c r="R359" i="4"/>
  <c r="P359" i="4"/>
  <c r="BI355" i="4"/>
  <c r="BH355" i="4"/>
  <c r="BG355" i="4"/>
  <c r="BF355" i="4"/>
  <c r="T355" i="4"/>
  <c r="R355" i="4"/>
  <c r="P355" i="4"/>
  <c r="BI350" i="4"/>
  <c r="BH350" i="4"/>
  <c r="BG350" i="4"/>
  <c r="BF350" i="4"/>
  <c r="T350" i="4"/>
  <c r="R350" i="4"/>
  <c r="P350" i="4"/>
  <c r="BI346" i="4"/>
  <c r="BH346" i="4"/>
  <c r="BG346" i="4"/>
  <c r="BF346" i="4"/>
  <c r="T346" i="4"/>
  <c r="R346" i="4"/>
  <c r="P346" i="4"/>
  <c r="BI335" i="4"/>
  <c r="BH335" i="4"/>
  <c r="BG335" i="4"/>
  <c r="BF335" i="4"/>
  <c r="T335" i="4"/>
  <c r="R335" i="4"/>
  <c r="P335" i="4"/>
  <c r="BI328" i="4"/>
  <c r="BH328" i="4"/>
  <c r="BG328" i="4"/>
  <c r="BF328" i="4"/>
  <c r="T328" i="4"/>
  <c r="R328" i="4"/>
  <c r="P328" i="4"/>
  <c r="BI321" i="4"/>
  <c r="BH321" i="4"/>
  <c r="BG321" i="4"/>
  <c r="BF321" i="4"/>
  <c r="T321" i="4"/>
  <c r="R321" i="4"/>
  <c r="P321" i="4"/>
  <c r="BI317" i="4"/>
  <c r="BH317" i="4"/>
  <c r="BG317" i="4"/>
  <c r="BF317" i="4"/>
  <c r="T317" i="4"/>
  <c r="R317" i="4"/>
  <c r="P317" i="4"/>
  <c r="BI311" i="4"/>
  <c r="BH311" i="4"/>
  <c r="BG311" i="4"/>
  <c r="BF311" i="4"/>
  <c r="T311" i="4"/>
  <c r="R311" i="4"/>
  <c r="P311" i="4"/>
  <c r="BI307" i="4"/>
  <c r="BH307" i="4"/>
  <c r="BG307" i="4"/>
  <c r="BF307" i="4"/>
  <c r="T307" i="4"/>
  <c r="R307" i="4"/>
  <c r="P307" i="4"/>
  <c r="BI302" i="4"/>
  <c r="BH302" i="4"/>
  <c r="BG302" i="4"/>
  <c r="BF302" i="4"/>
  <c r="T302" i="4"/>
  <c r="R302" i="4"/>
  <c r="P302" i="4"/>
  <c r="BI298" i="4"/>
  <c r="BH298" i="4"/>
  <c r="BG298" i="4"/>
  <c r="BF298" i="4"/>
  <c r="T298" i="4"/>
  <c r="R298" i="4"/>
  <c r="P298" i="4"/>
  <c r="BI293" i="4"/>
  <c r="BH293" i="4"/>
  <c r="BG293" i="4"/>
  <c r="BF293" i="4"/>
  <c r="T293" i="4"/>
  <c r="R293" i="4"/>
  <c r="P293" i="4"/>
  <c r="BI289" i="4"/>
  <c r="BH289" i="4"/>
  <c r="BG289" i="4"/>
  <c r="BF289" i="4"/>
  <c r="T289" i="4"/>
  <c r="R289" i="4"/>
  <c r="P289" i="4"/>
  <c r="BI282" i="4"/>
  <c r="BH282" i="4"/>
  <c r="BG282" i="4"/>
  <c r="BF282" i="4"/>
  <c r="T282" i="4"/>
  <c r="R282" i="4"/>
  <c r="P282" i="4"/>
  <c r="BI275" i="4"/>
  <c r="BH275" i="4"/>
  <c r="BG275" i="4"/>
  <c r="BF275" i="4"/>
  <c r="T275" i="4"/>
  <c r="R275" i="4"/>
  <c r="P275" i="4"/>
  <c r="BI271" i="4"/>
  <c r="BH271" i="4"/>
  <c r="BG271" i="4"/>
  <c r="BF271" i="4"/>
  <c r="T271" i="4"/>
  <c r="R271" i="4"/>
  <c r="P271" i="4"/>
  <c r="BI261" i="4"/>
  <c r="BH261" i="4"/>
  <c r="BG261" i="4"/>
  <c r="BF261" i="4"/>
  <c r="T261" i="4"/>
  <c r="R261" i="4"/>
  <c r="P261" i="4"/>
  <c r="BI253" i="4"/>
  <c r="BH253" i="4"/>
  <c r="BG253" i="4"/>
  <c r="BF253" i="4"/>
  <c r="T253" i="4"/>
  <c r="R253" i="4"/>
  <c r="P253" i="4"/>
  <c r="BI249" i="4"/>
  <c r="BH249" i="4"/>
  <c r="BG249" i="4"/>
  <c r="BF249" i="4"/>
  <c r="T249" i="4"/>
  <c r="R249" i="4"/>
  <c r="P249" i="4"/>
  <c r="BI239" i="4"/>
  <c r="BH239" i="4"/>
  <c r="BG239" i="4"/>
  <c r="BF239" i="4"/>
  <c r="T239" i="4"/>
  <c r="R239" i="4"/>
  <c r="P239" i="4"/>
  <c r="BI235" i="4"/>
  <c r="BH235" i="4"/>
  <c r="BG235" i="4"/>
  <c r="BF235" i="4"/>
  <c r="T235" i="4"/>
  <c r="R235" i="4"/>
  <c r="P235" i="4"/>
  <c r="BI231" i="4"/>
  <c r="BH231" i="4"/>
  <c r="BG231" i="4"/>
  <c r="BF231" i="4"/>
  <c r="T231" i="4"/>
  <c r="R231" i="4"/>
  <c r="P231" i="4"/>
  <c r="BI225" i="4"/>
  <c r="BH225" i="4"/>
  <c r="BG225" i="4"/>
  <c r="BF225" i="4"/>
  <c r="T225" i="4"/>
  <c r="R225" i="4"/>
  <c r="P225" i="4"/>
  <c r="BI221" i="4"/>
  <c r="BH221" i="4"/>
  <c r="BG221" i="4"/>
  <c r="BF221" i="4"/>
  <c r="T221" i="4"/>
  <c r="R221" i="4"/>
  <c r="P221" i="4"/>
  <c r="BI217" i="4"/>
  <c r="BH217" i="4"/>
  <c r="BG217" i="4"/>
  <c r="BF217" i="4"/>
  <c r="T217" i="4"/>
  <c r="R217" i="4"/>
  <c r="P217" i="4"/>
  <c r="BI210" i="4"/>
  <c r="BH210" i="4"/>
  <c r="BG210" i="4"/>
  <c r="BF210" i="4"/>
  <c r="T210" i="4"/>
  <c r="R210" i="4"/>
  <c r="P210" i="4"/>
  <c r="BI204" i="4"/>
  <c r="BH204" i="4"/>
  <c r="BG204" i="4"/>
  <c r="BF204" i="4"/>
  <c r="T204" i="4"/>
  <c r="R204" i="4"/>
  <c r="P204" i="4"/>
  <c r="BI200" i="4"/>
  <c r="BH200" i="4"/>
  <c r="BG200" i="4"/>
  <c r="BF200" i="4"/>
  <c r="T200" i="4"/>
  <c r="R200" i="4"/>
  <c r="P200" i="4"/>
  <c r="BI193" i="4"/>
  <c r="BH193" i="4"/>
  <c r="BG193" i="4"/>
  <c r="BF193" i="4"/>
  <c r="T193" i="4"/>
  <c r="R193" i="4"/>
  <c r="P193" i="4"/>
  <c r="BI187" i="4"/>
  <c r="BH187" i="4"/>
  <c r="BG187" i="4"/>
  <c r="BF187" i="4"/>
  <c r="T187" i="4"/>
  <c r="R187" i="4"/>
  <c r="P187" i="4"/>
  <c r="BI182" i="4"/>
  <c r="BH182" i="4"/>
  <c r="BG182" i="4"/>
  <c r="BF182" i="4"/>
  <c r="T182" i="4"/>
  <c r="R182" i="4"/>
  <c r="P182" i="4"/>
  <c r="BI178" i="4"/>
  <c r="BH178" i="4"/>
  <c r="BG178" i="4"/>
  <c r="BF178" i="4"/>
  <c r="T178" i="4"/>
  <c r="R178" i="4"/>
  <c r="P178" i="4"/>
  <c r="BI174" i="4"/>
  <c r="BH174" i="4"/>
  <c r="BG174" i="4"/>
  <c r="BF174" i="4"/>
  <c r="T174" i="4"/>
  <c r="R174" i="4"/>
  <c r="P174" i="4"/>
  <c r="BI170" i="4"/>
  <c r="BH170" i="4"/>
  <c r="BG170" i="4"/>
  <c r="BF170" i="4"/>
  <c r="T170" i="4"/>
  <c r="R170" i="4"/>
  <c r="P170" i="4"/>
  <c r="BI166" i="4"/>
  <c r="BH166" i="4"/>
  <c r="BG166" i="4"/>
  <c r="BF166" i="4"/>
  <c r="T166" i="4"/>
  <c r="R166" i="4"/>
  <c r="P166" i="4"/>
  <c r="BI162" i="4"/>
  <c r="BH162" i="4"/>
  <c r="BG162" i="4"/>
  <c r="BF162" i="4"/>
  <c r="T162" i="4"/>
  <c r="R162" i="4"/>
  <c r="P162" i="4"/>
  <c r="BI158" i="4"/>
  <c r="BH158" i="4"/>
  <c r="BG158" i="4"/>
  <c r="BF158" i="4"/>
  <c r="T158" i="4"/>
  <c r="R158" i="4"/>
  <c r="P158" i="4"/>
  <c r="BI151" i="4"/>
  <c r="BH151" i="4"/>
  <c r="BG151" i="4"/>
  <c r="BF151" i="4"/>
  <c r="T151" i="4"/>
  <c r="R151" i="4"/>
  <c r="P151" i="4"/>
  <c r="BI146" i="4"/>
  <c r="BH146" i="4"/>
  <c r="BG146" i="4"/>
  <c r="BF146" i="4"/>
  <c r="T146" i="4"/>
  <c r="R146" i="4"/>
  <c r="P146" i="4"/>
  <c r="BI126" i="4"/>
  <c r="BH126" i="4"/>
  <c r="BG126" i="4"/>
  <c r="BF126" i="4"/>
  <c r="T126" i="4"/>
  <c r="R126" i="4"/>
  <c r="P126" i="4"/>
  <c r="J120" i="4"/>
  <c r="F120" i="4"/>
  <c r="F118" i="4"/>
  <c r="E116" i="4"/>
  <c r="J91" i="4"/>
  <c r="F91" i="4"/>
  <c r="F89" i="4"/>
  <c r="E87" i="4"/>
  <c r="J24" i="4"/>
  <c r="E24" i="4"/>
  <c r="J121" i="4" s="1"/>
  <c r="J23" i="4"/>
  <c r="J18" i="4"/>
  <c r="E18" i="4"/>
  <c r="F92" i="4" s="1"/>
  <c r="J17" i="4"/>
  <c r="J12" i="4"/>
  <c r="J89" i="4"/>
  <c r="E7" i="4"/>
  <c r="E114" i="4"/>
  <c r="J37" i="3"/>
  <c r="J36" i="3"/>
  <c r="AY96" i="1" s="1"/>
  <c r="J35" i="3"/>
  <c r="AX96" i="1"/>
  <c r="BI509" i="3"/>
  <c r="BH509" i="3"/>
  <c r="BG509" i="3"/>
  <c r="BF509" i="3"/>
  <c r="T509" i="3"/>
  <c r="R509" i="3"/>
  <c r="P509" i="3"/>
  <c r="BI505" i="3"/>
  <c r="BH505" i="3"/>
  <c r="BG505" i="3"/>
  <c r="BF505" i="3"/>
  <c r="T505" i="3"/>
  <c r="R505" i="3"/>
  <c r="P505" i="3"/>
  <c r="BI501" i="3"/>
  <c r="BH501" i="3"/>
  <c r="BG501" i="3"/>
  <c r="BF501" i="3"/>
  <c r="T501" i="3"/>
  <c r="R501" i="3"/>
  <c r="P501" i="3"/>
  <c r="BI494" i="3"/>
  <c r="BH494" i="3"/>
  <c r="BG494" i="3"/>
  <c r="BF494" i="3"/>
  <c r="T494" i="3"/>
  <c r="R494" i="3"/>
  <c r="P494" i="3"/>
  <c r="BI490" i="3"/>
  <c r="BH490" i="3"/>
  <c r="BG490" i="3"/>
  <c r="BF490" i="3"/>
  <c r="T490" i="3"/>
  <c r="R490" i="3"/>
  <c r="P490" i="3"/>
  <c r="BI486" i="3"/>
  <c r="BH486" i="3"/>
  <c r="BG486" i="3"/>
  <c r="BF486" i="3"/>
  <c r="T486" i="3"/>
  <c r="R486" i="3"/>
  <c r="P486" i="3"/>
  <c r="BI480" i="3"/>
  <c r="BH480" i="3"/>
  <c r="BG480" i="3"/>
  <c r="BF480" i="3"/>
  <c r="T480" i="3"/>
  <c r="R480" i="3"/>
  <c r="P480" i="3"/>
  <c r="BI476" i="3"/>
  <c r="BH476" i="3"/>
  <c r="BG476" i="3"/>
  <c r="BF476" i="3"/>
  <c r="T476" i="3"/>
  <c r="R476" i="3"/>
  <c r="P476" i="3"/>
  <c r="BI468" i="3"/>
  <c r="BH468" i="3"/>
  <c r="BG468" i="3"/>
  <c r="BF468" i="3"/>
  <c r="T468" i="3"/>
  <c r="R468" i="3"/>
  <c r="P468" i="3"/>
  <c r="BI462" i="3"/>
  <c r="BH462" i="3"/>
  <c r="BG462" i="3"/>
  <c r="BF462" i="3"/>
  <c r="T462" i="3"/>
  <c r="R462" i="3"/>
  <c r="P462" i="3"/>
  <c r="BI458" i="3"/>
  <c r="BH458" i="3"/>
  <c r="BG458" i="3"/>
  <c r="BF458" i="3"/>
  <c r="T458" i="3"/>
  <c r="R458" i="3"/>
  <c r="P458" i="3"/>
  <c r="BI450" i="3"/>
  <c r="BH450" i="3"/>
  <c r="BG450" i="3"/>
  <c r="BF450" i="3"/>
  <c r="T450" i="3"/>
  <c r="R450" i="3"/>
  <c r="P450" i="3"/>
  <c r="BI444" i="3"/>
  <c r="BH444" i="3"/>
  <c r="BG444" i="3"/>
  <c r="BF444" i="3"/>
  <c r="T444" i="3"/>
  <c r="R444" i="3"/>
  <c r="P444" i="3"/>
  <c r="BI438" i="3"/>
  <c r="BH438" i="3"/>
  <c r="BG438" i="3"/>
  <c r="BF438" i="3"/>
  <c r="T438" i="3"/>
  <c r="R438" i="3"/>
  <c r="P438" i="3"/>
  <c r="BI431" i="3"/>
  <c r="BH431" i="3"/>
  <c r="BG431" i="3"/>
  <c r="BF431" i="3"/>
  <c r="T431" i="3"/>
  <c r="R431" i="3"/>
  <c r="P431" i="3"/>
  <c r="BI424" i="3"/>
  <c r="BH424" i="3"/>
  <c r="BG424" i="3"/>
  <c r="BF424" i="3"/>
  <c r="T424" i="3"/>
  <c r="R424" i="3"/>
  <c r="P424" i="3"/>
  <c r="BI417" i="3"/>
  <c r="BH417" i="3"/>
  <c r="BG417" i="3"/>
  <c r="BF417" i="3"/>
  <c r="T417" i="3"/>
  <c r="R417" i="3"/>
  <c r="P417" i="3"/>
  <c r="BI410" i="3"/>
  <c r="BH410" i="3"/>
  <c r="BG410" i="3"/>
  <c r="BF410" i="3"/>
  <c r="T410" i="3"/>
  <c r="R410" i="3"/>
  <c r="P410" i="3"/>
  <c r="BI405" i="3"/>
  <c r="BH405" i="3"/>
  <c r="BG405" i="3"/>
  <c r="BF405" i="3"/>
  <c r="T405" i="3"/>
  <c r="R405" i="3"/>
  <c r="P405" i="3"/>
  <c r="BI401" i="3"/>
  <c r="BH401" i="3"/>
  <c r="BG401" i="3"/>
  <c r="BF401" i="3"/>
  <c r="T401" i="3"/>
  <c r="R401" i="3"/>
  <c r="P401" i="3"/>
  <c r="BI394" i="3"/>
  <c r="BH394" i="3"/>
  <c r="BG394" i="3"/>
  <c r="BF394" i="3"/>
  <c r="T394" i="3"/>
  <c r="R394" i="3"/>
  <c r="P394" i="3"/>
  <c r="BI390" i="3"/>
  <c r="BH390" i="3"/>
  <c r="BG390" i="3"/>
  <c r="BF390" i="3"/>
  <c r="T390" i="3"/>
  <c r="R390" i="3"/>
  <c r="P390" i="3"/>
  <c r="BI386" i="3"/>
  <c r="BH386" i="3"/>
  <c r="BG386" i="3"/>
  <c r="BF386" i="3"/>
  <c r="T386" i="3"/>
  <c r="R386" i="3"/>
  <c r="P386" i="3"/>
  <c r="BI381" i="3"/>
  <c r="BH381" i="3"/>
  <c r="BG381" i="3"/>
  <c r="BF381" i="3"/>
  <c r="T381" i="3"/>
  <c r="R381" i="3"/>
  <c r="P381" i="3"/>
  <c r="BI377" i="3"/>
  <c r="BH377" i="3"/>
  <c r="BG377" i="3"/>
  <c r="BF377" i="3"/>
  <c r="T377" i="3"/>
  <c r="R377" i="3"/>
  <c r="P377" i="3"/>
  <c r="BI373" i="3"/>
  <c r="BH373" i="3"/>
  <c r="BG373" i="3"/>
  <c r="BF373" i="3"/>
  <c r="T373" i="3"/>
  <c r="R373" i="3"/>
  <c r="P373" i="3"/>
  <c r="BI369" i="3"/>
  <c r="BH369" i="3"/>
  <c r="BG369" i="3"/>
  <c r="BF369" i="3"/>
  <c r="T369" i="3"/>
  <c r="R369" i="3"/>
  <c r="P369" i="3"/>
  <c r="BI365" i="3"/>
  <c r="BH365" i="3"/>
  <c r="BG365" i="3"/>
  <c r="BF365" i="3"/>
  <c r="T365" i="3"/>
  <c r="R365" i="3"/>
  <c r="P365" i="3"/>
  <c r="BI359" i="3"/>
  <c r="BH359" i="3"/>
  <c r="BG359" i="3"/>
  <c r="BF359" i="3"/>
  <c r="T359" i="3"/>
  <c r="R359" i="3"/>
  <c r="P359" i="3"/>
  <c r="BI353" i="3"/>
  <c r="BH353" i="3"/>
  <c r="BG353" i="3"/>
  <c r="BF353" i="3"/>
  <c r="T353" i="3"/>
  <c r="R353" i="3"/>
  <c r="P353" i="3"/>
  <c r="BI349" i="3"/>
  <c r="BH349" i="3"/>
  <c r="BG349" i="3"/>
  <c r="BF349" i="3"/>
  <c r="T349" i="3"/>
  <c r="R349" i="3"/>
  <c r="P349" i="3"/>
  <c r="BI345" i="3"/>
  <c r="BH345" i="3"/>
  <c r="BG345" i="3"/>
  <c r="BF345" i="3"/>
  <c r="T345" i="3"/>
  <c r="R345" i="3"/>
  <c r="P345" i="3"/>
  <c r="BI341" i="3"/>
  <c r="BH341" i="3"/>
  <c r="BG341" i="3"/>
  <c r="BF341" i="3"/>
  <c r="T341" i="3"/>
  <c r="R341" i="3"/>
  <c r="P341" i="3"/>
  <c r="BI331" i="3"/>
  <c r="BH331" i="3"/>
  <c r="BG331" i="3"/>
  <c r="BF331" i="3"/>
  <c r="T331" i="3"/>
  <c r="R331" i="3"/>
  <c r="P331" i="3"/>
  <c r="BI327" i="3"/>
  <c r="BH327" i="3"/>
  <c r="BG327" i="3"/>
  <c r="BF327" i="3"/>
  <c r="T327" i="3"/>
  <c r="R327" i="3"/>
  <c r="P327" i="3"/>
  <c r="BI323" i="3"/>
  <c r="BH323" i="3"/>
  <c r="BG323" i="3"/>
  <c r="BF323" i="3"/>
  <c r="T323" i="3"/>
  <c r="R323" i="3"/>
  <c r="P323" i="3"/>
  <c r="BI318" i="3"/>
  <c r="BH318" i="3"/>
  <c r="BG318" i="3"/>
  <c r="BF318" i="3"/>
  <c r="T318" i="3"/>
  <c r="R318" i="3"/>
  <c r="P318" i="3"/>
  <c r="BI314" i="3"/>
  <c r="BH314" i="3"/>
  <c r="BG314" i="3"/>
  <c r="BF314" i="3"/>
  <c r="T314" i="3"/>
  <c r="R314" i="3"/>
  <c r="P314" i="3"/>
  <c r="BI310" i="3"/>
  <c r="BH310" i="3"/>
  <c r="BG310" i="3"/>
  <c r="BF310" i="3"/>
  <c r="T310" i="3"/>
  <c r="R310" i="3"/>
  <c r="P310" i="3"/>
  <c r="BI306" i="3"/>
  <c r="BH306" i="3"/>
  <c r="BG306" i="3"/>
  <c r="BF306" i="3"/>
  <c r="T306" i="3"/>
  <c r="R306" i="3"/>
  <c r="P306" i="3"/>
  <c r="BI299" i="3"/>
  <c r="BH299" i="3"/>
  <c r="BG299" i="3"/>
  <c r="BF299" i="3"/>
  <c r="T299" i="3"/>
  <c r="R299" i="3"/>
  <c r="P299" i="3"/>
  <c r="BI295" i="3"/>
  <c r="BH295" i="3"/>
  <c r="BG295" i="3"/>
  <c r="BF295" i="3"/>
  <c r="T295" i="3"/>
  <c r="R295" i="3"/>
  <c r="P295" i="3"/>
  <c r="BI290" i="3"/>
  <c r="BH290" i="3"/>
  <c r="BG290" i="3"/>
  <c r="BF290" i="3"/>
  <c r="T290" i="3"/>
  <c r="R290" i="3"/>
  <c r="P290" i="3"/>
  <c r="BI284" i="3"/>
  <c r="BH284" i="3"/>
  <c r="BG284" i="3"/>
  <c r="BF284" i="3"/>
  <c r="T284" i="3"/>
  <c r="R284" i="3"/>
  <c r="P284" i="3"/>
  <c r="BI277" i="3"/>
  <c r="BH277" i="3"/>
  <c r="BG277" i="3"/>
  <c r="BF277" i="3"/>
  <c r="T277" i="3"/>
  <c r="R277" i="3"/>
  <c r="P277" i="3"/>
  <c r="BI273" i="3"/>
  <c r="BH273" i="3"/>
  <c r="BG273" i="3"/>
  <c r="BF273" i="3"/>
  <c r="T273" i="3"/>
  <c r="R273" i="3"/>
  <c r="P273" i="3"/>
  <c r="BI268" i="3"/>
  <c r="BH268" i="3"/>
  <c r="BG268" i="3"/>
  <c r="BF268" i="3"/>
  <c r="T268" i="3"/>
  <c r="R268" i="3"/>
  <c r="P268" i="3"/>
  <c r="BI264" i="3"/>
  <c r="BH264" i="3"/>
  <c r="BG264" i="3"/>
  <c r="BF264" i="3"/>
  <c r="T264" i="3"/>
  <c r="R264" i="3"/>
  <c r="P264" i="3"/>
  <c r="BI260" i="3"/>
  <c r="BH260" i="3"/>
  <c r="BG260" i="3"/>
  <c r="BF260" i="3"/>
  <c r="T260" i="3"/>
  <c r="R260" i="3"/>
  <c r="P260" i="3"/>
  <c r="BI256" i="3"/>
  <c r="BH256" i="3"/>
  <c r="BG256" i="3"/>
  <c r="BF256" i="3"/>
  <c r="T256" i="3"/>
  <c r="R256" i="3"/>
  <c r="P256" i="3"/>
  <c r="BI249" i="3"/>
  <c r="BH249" i="3"/>
  <c r="BG249" i="3"/>
  <c r="BF249" i="3"/>
  <c r="T249" i="3"/>
  <c r="R249" i="3"/>
  <c r="P249" i="3"/>
  <c r="BI245" i="3"/>
  <c r="BH245" i="3"/>
  <c r="BG245" i="3"/>
  <c r="BF245" i="3"/>
  <c r="T245" i="3"/>
  <c r="R245" i="3"/>
  <c r="P245" i="3"/>
  <c r="BI241" i="3"/>
  <c r="BH241" i="3"/>
  <c r="BG241" i="3"/>
  <c r="BF241" i="3"/>
  <c r="T241" i="3"/>
  <c r="R241" i="3"/>
  <c r="P241" i="3"/>
  <c r="BI234" i="3"/>
  <c r="BH234" i="3"/>
  <c r="BG234" i="3"/>
  <c r="BF234" i="3"/>
  <c r="T234" i="3"/>
  <c r="R234" i="3"/>
  <c r="P234" i="3"/>
  <c r="BI230" i="3"/>
  <c r="BH230" i="3"/>
  <c r="BG230" i="3"/>
  <c r="BF230" i="3"/>
  <c r="T230" i="3"/>
  <c r="R230" i="3"/>
  <c r="P230" i="3"/>
  <c r="BI226" i="3"/>
  <c r="BH226" i="3"/>
  <c r="BG226" i="3"/>
  <c r="BF226" i="3"/>
  <c r="T226" i="3"/>
  <c r="R226" i="3"/>
  <c r="P226" i="3"/>
  <c r="BI218" i="3"/>
  <c r="BH218" i="3"/>
  <c r="BG218" i="3"/>
  <c r="BF218" i="3"/>
  <c r="T218" i="3"/>
  <c r="R218" i="3"/>
  <c r="P218" i="3"/>
  <c r="BI214" i="3"/>
  <c r="BH214" i="3"/>
  <c r="BG214" i="3"/>
  <c r="BF214" i="3"/>
  <c r="T214" i="3"/>
  <c r="R214" i="3"/>
  <c r="P214" i="3"/>
  <c r="BI210" i="3"/>
  <c r="BH210" i="3"/>
  <c r="BG210" i="3"/>
  <c r="BF210" i="3"/>
  <c r="T210" i="3"/>
  <c r="R210" i="3"/>
  <c r="P210" i="3"/>
  <c r="BI203" i="3"/>
  <c r="BH203" i="3"/>
  <c r="BG203" i="3"/>
  <c r="BF203" i="3"/>
  <c r="T203" i="3"/>
  <c r="R203" i="3"/>
  <c r="P203" i="3"/>
  <c r="BI199" i="3"/>
  <c r="BH199" i="3"/>
  <c r="BG199" i="3"/>
  <c r="BF199" i="3"/>
  <c r="T199" i="3"/>
  <c r="R199" i="3"/>
  <c r="P199" i="3"/>
  <c r="BI195" i="3"/>
  <c r="BH195" i="3"/>
  <c r="BG195" i="3"/>
  <c r="BF195" i="3"/>
  <c r="T195" i="3"/>
  <c r="R195" i="3"/>
  <c r="P195" i="3"/>
  <c r="BI191" i="3"/>
  <c r="BH191" i="3"/>
  <c r="BG191" i="3"/>
  <c r="BF191" i="3"/>
  <c r="T191" i="3"/>
  <c r="R191" i="3"/>
  <c r="P191" i="3"/>
  <c r="BI185" i="3"/>
  <c r="BH185" i="3"/>
  <c r="BG185" i="3"/>
  <c r="BF185" i="3"/>
  <c r="T185" i="3"/>
  <c r="R185" i="3"/>
  <c r="P185" i="3"/>
  <c r="BI178" i="3"/>
  <c r="BH178" i="3"/>
  <c r="BG178" i="3"/>
  <c r="BF178" i="3"/>
  <c r="T178" i="3"/>
  <c r="R178" i="3"/>
  <c r="P178" i="3"/>
  <c r="BI174" i="3"/>
  <c r="BH174" i="3"/>
  <c r="BG174" i="3"/>
  <c r="BF174" i="3"/>
  <c r="T174" i="3"/>
  <c r="R174" i="3"/>
  <c r="P174" i="3"/>
  <c r="BI170" i="3"/>
  <c r="BH170" i="3"/>
  <c r="BG170" i="3"/>
  <c r="BF170" i="3"/>
  <c r="T170" i="3"/>
  <c r="R170" i="3"/>
  <c r="P170" i="3"/>
  <c r="BI166" i="3"/>
  <c r="BH166" i="3"/>
  <c r="BG166" i="3"/>
  <c r="BF166" i="3"/>
  <c r="T166" i="3"/>
  <c r="R166" i="3"/>
  <c r="P166" i="3"/>
  <c r="BI162" i="3"/>
  <c r="BH162" i="3"/>
  <c r="BG162" i="3"/>
  <c r="BF162" i="3"/>
  <c r="T162" i="3"/>
  <c r="R162" i="3"/>
  <c r="P162" i="3"/>
  <c r="BI158" i="3"/>
  <c r="BH158" i="3"/>
  <c r="BG158" i="3"/>
  <c r="BF158" i="3"/>
  <c r="T158" i="3"/>
  <c r="R158" i="3"/>
  <c r="P158" i="3"/>
  <c r="BI152" i="3"/>
  <c r="BH152" i="3"/>
  <c r="BG152" i="3"/>
  <c r="BF152" i="3"/>
  <c r="T152" i="3"/>
  <c r="R152" i="3"/>
  <c r="P152" i="3"/>
  <c r="BI147" i="3"/>
  <c r="BH147" i="3"/>
  <c r="BG147" i="3"/>
  <c r="BF147" i="3"/>
  <c r="T147" i="3"/>
  <c r="R147" i="3"/>
  <c r="P147" i="3"/>
  <c r="BI127" i="3"/>
  <c r="BH127" i="3"/>
  <c r="BG127" i="3"/>
  <c r="BF127" i="3"/>
  <c r="T127" i="3"/>
  <c r="R127" i="3"/>
  <c r="P127" i="3"/>
  <c r="J121" i="3"/>
  <c r="F121" i="3"/>
  <c r="F119" i="3"/>
  <c r="E117" i="3"/>
  <c r="J91" i="3"/>
  <c r="F91" i="3"/>
  <c r="F89" i="3"/>
  <c r="E87" i="3"/>
  <c r="J24" i="3"/>
  <c r="E24" i="3"/>
  <c r="J122" i="3" s="1"/>
  <c r="J23" i="3"/>
  <c r="J18" i="3"/>
  <c r="E18" i="3"/>
  <c r="F122" i="3"/>
  <c r="J17" i="3"/>
  <c r="J12" i="3"/>
  <c r="J119" i="3"/>
  <c r="E7" i="3"/>
  <c r="E85" i="3"/>
  <c r="J37" i="2"/>
  <c r="J36" i="2"/>
  <c r="AY95" i="1"/>
  <c r="J35" i="2"/>
  <c r="AX95" i="1"/>
  <c r="BI152" i="2"/>
  <c r="BH152" i="2"/>
  <c r="BG152" i="2"/>
  <c r="BF152" i="2"/>
  <c r="T152" i="2"/>
  <c r="T151" i="2"/>
  <c r="R152" i="2"/>
  <c r="R151" i="2"/>
  <c r="P152" i="2"/>
  <c r="P151" i="2" s="1"/>
  <c r="BI147" i="2"/>
  <c r="BH147" i="2"/>
  <c r="BG147" i="2"/>
  <c r="BF147" i="2"/>
  <c r="T147" i="2"/>
  <c r="R147" i="2"/>
  <c r="P147" i="2"/>
  <c r="BI143" i="2"/>
  <c r="BH143" i="2"/>
  <c r="BG143" i="2"/>
  <c r="BF143" i="2"/>
  <c r="T143" i="2"/>
  <c r="R143" i="2"/>
  <c r="P143" i="2"/>
  <c r="BI139" i="2"/>
  <c r="BH139" i="2"/>
  <c r="BG139" i="2"/>
  <c r="BF139" i="2"/>
  <c r="T139" i="2"/>
  <c r="R139" i="2"/>
  <c r="P139" i="2"/>
  <c r="BI135" i="2"/>
  <c r="BH135" i="2"/>
  <c r="BG135" i="2"/>
  <c r="BF135" i="2"/>
  <c r="T135" i="2"/>
  <c r="R135" i="2"/>
  <c r="P135" i="2"/>
  <c r="BI131" i="2"/>
  <c r="BH131" i="2"/>
  <c r="BG131" i="2"/>
  <c r="BF131" i="2"/>
  <c r="T131" i="2"/>
  <c r="R131" i="2"/>
  <c r="P131" i="2"/>
  <c r="BI128" i="2"/>
  <c r="BH128" i="2"/>
  <c r="F36" i="2" s="1"/>
  <c r="BG128" i="2"/>
  <c r="F35" i="2" s="1"/>
  <c r="BF128" i="2"/>
  <c r="F34" i="2" s="1"/>
  <c r="T128" i="2"/>
  <c r="R128" i="2"/>
  <c r="P128" i="2"/>
  <c r="BI124" i="2"/>
  <c r="BH124" i="2"/>
  <c r="BG124" i="2"/>
  <c r="BF124" i="2"/>
  <c r="T124" i="2"/>
  <c r="R124" i="2"/>
  <c r="P124" i="2"/>
  <c r="BI120" i="2"/>
  <c r="F37" i="2" s="1"/>
  <c r="BH120" i="2"/>
  <c r="BG120" i="2"/>
  <c r="BF120" i="2"/>
  <c r="T120" i="2"/>
  <c r="R120" i="2"/>
  <c r="P120" i="2"/>
  <c r="J114" i="2"/>
  <c r="F114" i="2"/>
  <c r="F112" i="2"/>
  <c r="E110" i="2"/>
  <c r="J91" i="2"/>
  <c r="F91" i="2"/>
  <c r="F89" i="2"/>
  <c r="E87" i="2"/>
  <c r="J24" i="2"/>
  <c r="E24" i="2"/>
  <c r="J115" i="2" s="1"/>
  <c r="J23" i="2"/>
  <c r="J18" i="2"/>
  <c r="E18" i="2"/>
  <c r="F115" i="2"/>
  <c r="J17" i="2"/>
  <c r="J12" i="2"/>
  <c r="J112" i="2"/>
  <c r="E7" i="2"/>
  <c r="E108" i="2"/>
  <c r="L90" i="1"/>
  <c r="AM90" i="1"/>
  <c r="AM89" i="1"/>
  <c r="L89" i="1"/>
  <c r="AM87" i="1"/>
  <c r="L87" i="1"/>
  <c r="L85" i="1"/>
  <c r="L84" i="1"/>
  <c r="BK444" i="3"/>
  <c r="BK390" i="3"/>
  <c r="J318" i="3"/>
  <c r="J256" i="3"/>
  <c r="BK480" i="3"/>
  <c r="J290" i="3"/>
  <c r="J509" i="3"/>
  <c r="BK458" i="3"/>
  <c r="J323" i="3"/>
  <c r="J174" i="3"/>
  <c r="J369" i="3"/>
  <c r="J214" i="3"/>
  <c r="J468" i="3"/>
  <c r="BK331" i="3"/>
  <c r="BK210" i="3"/>
  <c r="BK438" i="3"/>
  <c r="BK273" i="3"/>
  <c r="BK152" i="3"/>
  <c r="J548" i="4"/>
  <c r="J442" i="4"/>
  <c r="J317" i="4"/>
  <c r="J187" i="4"/>
  <c r="J609" i="4"/>
  <c r="BK467" i="4"/>
  <c r="J182" i="4"/>
  <c r="J375" i="4"/>
  <c r="BK146" i="4"/>
  <c r="BK544" i="4"/>
  <c r="BK463" i="4"/>
  <c r="J282" i="4"/>
  <c r="BK540" i="4"/>
  <c r="BK386" i="4"/>
  <c r="J239" i="4"/>
  <c r="BK597" i="4"/>
  <c r="BK503" i="4"/>
  <c r="J386" i="4"/>
  <c r="J275" i="4"/>
  <c r="J601" i="4"/>
  <c r="BK275" i="4"/>
  <c r="J446" i="4"/>
  <c r="BK307" i="4"/>
  <c r="BK126" i="4"/>
  <c r="J142" i="5"/>
  <c r="J175" i="5"/>
  <c r="J197" i="5"/>
  <c r="BK127" i="5"/>
  <c r="BK157" i="5"/>
  <c r="BK154" i="6"/>
  <c r="BK142" i="6"/>
  <c r="BK55" i="7"/>
  <c r="J94" i="7"/>
  <c r="J168" i="7"/>
  <c r="BK168" i="7"/>
  <c r="BK205" i="7"/>
  <c r="J184" i="7"/>
  <c r="J74" i="7"/>
  <c r="J141" i="7"/>
  <c r="BK59" i="7"/>
  <c r="BK234" i="8"/>
  <c r="J312" i="8"/>
  <c r="J266" i="8"/>
  <c r="BK266" i="8"/>
  <c r="BK88" i="8"/>
  <c r="BK200" i="8"/>
  <c r="BK80" i="8"/>
  <c r="J336" i="8"/>
  <c r="J300" i="8"/>
  <c r="BK107" i="8"/>
  <c r="J150" i="8"/>
  <c r="J486" i="3"/>
  <c r="BK147" i="3"/>
  <c r="J359" i="3"/>
  <c r="J284" i="3"/>
  <c r="J195" i="3"/>
  <c r="BK359" i="3"/>
  <c r="BK203" i="3"/>
  <c r="J476" i="3"/>
  <c r="BK299" i="3"/>
  <c r="J178" i="3"/>
  <c r="BK386" i="3"/>
  <c r="BK245" i="3"/>
  <c r="J147" i="3"/>
  <c r="BK394" i="3"/>
  <c r="BK249" i="3"/>
  <c r="BK501" i="3"/>
  <c r="J390" i="3"/>
  <c r="BK327" i="3"/>
  <c r="J191" i="3"/>
  <c r="J570" i="4"/>
  <c r="BK519" i="4"/>
  <c r="J411" i="4"/>
  <c r="BK298" i="4"/>
  <c r="J151" i="4"/>
  <c r="J576" i="4"/>
  <c r="J421" i="4"/>
  <c r="J407" i="4"/>
  <c r="J225" i="4"/>
  <c r="J554" i="4"/>
  <c r="BK417" i="4"/>
  <c r="BK239" i="4"/>
  <c r="BK495" i="4"/>
  <c r="J298" i="4"/>
  <c r="BK178" i="4"/>
  <c r="J540" i="4"/>
  <c r="BK458" i="4"/>
  <c r="J307" i="4"/>
  <c r="BK621" i="4"/>
  <c r="J359" i="4"/>
  <c r="BK411" i="4"/>
  <c r="BK271" i="4"/>
  <c r="J162" i="4"/>
  <c r="BK146" i="5"/>
  <c r="BK142" i="5"/>
  <c r="J157" i="5"/>
  <c r="BK183" i="5"/>
  <c r="J121" i="6"/>
  <c r="J150" i="6"/>
  <c r="BK102" i="7"/>
  <c r="J164" i="7"/>
  <c r="BK41" i="7"/>
  <c r="BK172" i="7"/>
  <c r="BK44" i="7"/>
  <c r="BK184" i="7"/>
  <c r="BK127" i="7"/>
  <c r="BK70" i="7"/>
  <c r="BK201" i="7"/>
  <c r="J80" i="7"/>
  <c r="BK160" i="7"/>
  <c r="J50" i="7"/>
  <c r="J288" i="8"/>
  <c r="J155" i="8"/>
  <c r="BK348" i="8"/>
  <c r="J144" i="8"/>
  <c r="J318" i="8"/>
  <c r="J240" i="8"/>
  <c r="BK174" i="8"/>
  <c r="J294" i="8"/>
  <c r="J200" i="8"/>
  <c r="J46" i="8"/>
  <c r="J195" i="8"/>
  <c r="BK318" i="8"/>
  <c r="BK180" i="8"/>
  <c r="BK119" i="9"/>
  <c r="J152" i="2"/>
  <c r="J147" i="2"/>
  <c r="BK143" i="2"/>
  <c r="BK139" i="2"/>
  <c r="BK135" i="2"/>
  <c r="BK131" i="2"/>
  <c r="J124" i="2"/>
  <c r="J120" i="2"/>
  <c r="J353" i="3"/>
  <c r="BK405" i="3"/>
  <c r="BK341" i="3"/>
  <c r="J245" i="3"/>
  <c r="J127" i="3"/>
  <c r="J381" i="3"/>
  <c r="J249" i="3"/>
  <c r="BK486" i="3"/>
  <c r="BK241" i="3"/>
  <c r="BK170" i="3"/>
  <c r="J299" i="3"/>
  <c r="BK174" i="3"/>
  <c r="BK377" i="3"/>
  <c r="J218" i="3"/>
  <c r="BK494" i="3"/>
  <c r="BK345" i="3"/>
  <c r="J234" i="3"/>
  <c r="J597" i="4"/>
  <c r="J499" i="4"/>
  <c r="BK403" i="4"/>
  <c r="BK282" i="4"/>
  <c r="J158" i="4"/>
  <c r="BK491" i="4"/>
  <c r="J403" i="4"/>
  <c r="BK311" i="4"/>
  <c r="J174" i="4"/>
  <c r="J531" i="4"/>
  <c r="BK454" i="4"/>
  <c r="J249" i="4"/>
  <c r="BK442" i="4"/>
  <c r="J293" i="4"/>
  <c r="J613" i="4"/>
  <c r="BK483" i="4"/>
  <c r="J350" i="4"/>
  <c r="J146" i="4"/>
  <c r="BK536" i="4"/>
  <c r="J471" i="4"/>
  <c r="BK317" i="4"/>
  <c r="BK170" i="4"/>
  <c r="BK170" i="5"/>
  <c r="J183" i="5"/>
  <c r="BK124" i="5"/>
  <c r="BK189" i="5"/>
  <c r="BK180" i="6"/>
  <c r="BK125" i="6"/>
  <c r="BK121" i="6"/>
  <c r="J195" i="7"/>
  <c r="J38" i="7"/>
  <c r="BK29" i="7"/>
  <c r="BK131" i="7"/>
  <c r="BK119" i="7"/>
  <c r="BK109" i="7"/>
  <c r="BK35" i="7"/>
  <c r="BK274" i="8"/>
  <c r="J24" i="8"/>
  <c r="BK212" i="8"/>
  <c r="BK127" i="8"/>
  <c r="J160" i="8"/>
  <c r="BK224" i="8"/>
  <c r="BK150" i="8"/>
  <c r="BK46" i="8"/>
  <c r="BK349" i="3"/>
  <c r="BK373" i="3"/>
  <c r="BK306" i="3"/>
  <c r="J210" i="3"/>
  <c r="J424" i="3"/>
  <c r="BK284" i="3"/>
  <c r="BK166" i="3"/>
  <c r="J490" i="3"/>
  <c r="J345" i="3"/>
  <c r="J199" i="3"/>
  <c r="J444" i="3"/>
  <c r="J264" i="3"/>
  <c r="J203" i="3"/>
  <c r="J405" i="3"/>
  <c r="J306" i="3"/>
  <c r="BK162" i="3"/>
  <c r="J480" i="3"/>
  <c r="J341" i="3"/>
  <c r="BK214" i="3"/>
  <c r="BK576" i="4"/>
  <c r="J467" i="4"/>
  <c r="BK375" i="4"/>
  <c r="J261" i="4"/>
  <c r="J621" i="4"/>
  <c r="BK512" i="4"/>
  <c r="BK438" i="4"/>
  <c r="J417" i="4"/>
  <c r="J271" i="4"/>
  <c r="J126" i="4"/>
  <c r="J512" i="4"/>
  <c r="BK446" i="4"/>
  <c r="J217" i="4"/>
  <c r="BK407" i="4"/>
  <c r="J210" i="4"/>
  <c r="BK580" i="4"/>
  <c r="J476" i="4"/>
  <c r="J346" i="4"/>
  <c r="BK187" i="4"/>
  <c r="BK525" i="4"/>
  <c r="BK231" i="4"/>
  <c r="BK350" i="4"/>
  <c r="BK217" i="4"/>
  <c r="BK193" i="5"/>
  <c r="J136" i="5"/>
  <c r="BK136" i="5"/>
  <c r="J127" i="5"/>
  <c r="J121" i="5"/>
  <c r="J125" i="6"/>
  <c r="J154" i="6"/>
  <c r="BK187" i="7"/>
  <c r="BK84" i="7"/>
  <c r="BK63" i="7"/>
  <c r="BK19" i="7"/>
  <c r="BK135" i="7"/>
  <c r="J191" i="7"/>
  <c r="J135" i="7"/>
  <c r="J41" i="7"/>
  <c r="J201" i="7"/>
  <c r="J172" i="7"/>
  <c r="BK98" i="7"/>
  <c r="BK41" i="8"/>
  <c r="J51" i="8"/>
  <c r="BK132" i="8"/>
  <c r="BK144" i="8"/>
  <c r="J41" i="8"/>
  <c r="J224" i="8"/>
  <c r="BK55" i="8"/>
  <c r="BK312" i="8"/>
  <c r="J258" i="8"/>
  <c r="J80" i="8"/>
  <c r="J113" i="8"/>
  <c r="J119" i="9"/>
  <c r="BK152" i="2"/>
  <c r="BK147" i="2"/>
  <c r="J143" i="2"/>
  <c r="J139" i="2"/>
  <c r="J135" i="2"/>
  <c r="J131" i="2"/>
  <c r="BK128" i="2"/>
  <c r="J128" i="2"/>
  <c r="BK124" i="2"/>
  <c r="BK120" i="2"/>
  <c r="AS94" i="1"/>
  <c r="BK401" i="3"/>
  <c r="J438" i="3"/>
  <c r="J327" i="3"/>
  <c r="BK230" i="3"/>
  <c r="BK450" i="3"/>
  <c r="J331" i="3"/>
  <c r="BK127" i="3"/>
  <c r="J386" i="3"/>
  <c r="BK234" i="3"/>
  <c r="J462" i="3"/>
  <c r="BK295" i="3"/>
  <c r="J170" i="3"/>
  <c r="BK323" i="3"/>
  <c r="BK509" i="3"/>
  <c r="BK431" i="3"/>
  <c r="BK290" i="3"/>
  <c r="J162" i="3"/>
  <c r="BK554" i="4"/>
  <c r="J454" i="4"/>
  <c r="BK355" i="4"/>
  <c r="BK210" i="4"/>
  <c r="J483" i="4"/>
  <c r="BK261" i="4"/>
  <c r="BK293" i="4"/>
  <c r="BK151" i="4"/>
  <c r="J487" i="4"/>
  <c r="BK321" i="4"/>
  <c r="J508" i="4"/>
  <c r="J289" i="4"/>
  <c r="BK609" i="4"/>
  <c r="J525" i="4"/>
  <c r="J438" i="4"/>
  <c r="J328" i="4"/>
  <c r="J170" i="4"/>
  <c r="J589" i="4"/>
  <c r="BK193" i="4"/>
  <c r="J321" i="4"/>
  <c r="BK174" i="4"/>
  <c r="J150" i="5"/>
  <c r="J170" i="5"/>
  <c r="J201" i="5"/>
  <c r="BK150" i="5"/>
  <c r="BK170" i="6"/>
  <c r="J134" i="6"/>
  <c r="J142" i="6"/>
  <c r="BK191" i="7"/>
  <c r="BK146" i="7"/>
  <c r="J44" i="7"/>
  <c r="BK195" i="7"/>
  <c r="J102" i="7"/>
  <c r="J113" i="7"/>
  <c r="BK164" i="7"/>
  <c r="BK94" i="7"/>
  <c r="J29" i="7"/>
  <c r="BK258" i="8"/>
  <c r="BK336" i="8"/>
  <c r="J132" i="8"/>
  <c r="J306" i="8"/>
  <c r="J119" i="8"/>
  <c r="BK219" i="8"/>
  <c r="J212" i="8"/>
  <c r="BK168" i="8"/>
  <c r="J174" i="8"/>
  <c r="BK38" i="8"/>
  <c r="J180" i="8"/>
  <c r="J34" i="8"/>
  <c r="BK468" i="3"/>
  <c r="J410" i="3"/>
  <c r="BK353" i="3"/>
  <c r="J268" i="3"/>
  <c r="BK178" i="3"/>
  <c r="BK410" i="3"/>
  <c r="J260" i="3"/>
  <c r="BK505" i="3"/>
  <c r="J450" i="3"/>
  <c r="BK264" i="3"/>
  <c r="J158" i="3"/>
  <c r="BK310" i="3"/>
  <c r="BK218" i="3"/>
  <c r="J166" i="3"/>
  <c r="BK365" i="3"/>
  <c r="BK185" i="3"/>
  <c r="BK476" i="3"/>
  <c r="BK277" i="3"/>
  <c r="J617" i="4"/>
  <c r="BK560" i="4"/>
  <c r="J491" i="4"/>
  <c r="BK399" i="4"/>
  <c r="J231" i="4"/>
  <c r="BK617" i="4"/>
  <c r="J458" i="4"/>
  <c r="BK346" i="4"/>
  <c r="BK390" i="4"/>
  <c r="J235" i="4"/>
  <c r="BK570" i="4"/>
  <c r="J503" i="4"/>
  <c r="BK363" i="4"/>
  <c r="BK221" i="4"/>
  <c r="BK487" i="4"/>
  <c r="BK302" i="4"/>
  <c r="BK166" i="4"/>
  <c r="J544" i="4"/>
  <c r="J425" i="4"/>
  <c r="J221" i="4"/>
  <c r="BK605" i="4"/>
  <c r="BK548" i="4"/>
  <c r="BK225" i="4"/>
  <c r="J390" i="4"/>
  <c r="BK235" i="4"/>
  <c r="J189" i="5"/>
  <c r="BK201" i="5"/>
  <c r="J133" i="5"/>
  <c r="J146" i="5"/>
  <c r="J179" i="5"/>
  <c r="BK150" i="6"/>
  <c r="BK138" i="6"/>
  <c r="BK134" i="6"/>
  <c r="BK153" i="7"/>
  <c r="J59" i="7"/>
  <c r="BK177" i="7"/>
  <c r="BK74" i="7"/>
  <c r="J119" i="7"/>
  <c r="J19" i="7"/>
  <c r="J160" i="7"/>
  <c r="J70" i="7"/>
  <c r="BK50" i="7"/>
  <c r="J63" i="7"/>
  <c r="J98" i="7"/>
  <c r="BK19" i="8"/>
  <c r="J88" i="8"/>
  <c r="J168" i="8"/>
  <c r="BK300" i="8"/>
  <c r="BK248" i="8"/>
  <c r="BK62" i="8"/>
  <c r="J234" i="8"/>
  <c r="BK155" i="8"/>
  <c r="J348" i="8"/>
  <c r="BK195" i="8"/>
  <c r="J62" i="8"/>
  <c r="J219" i="8"/>
  <c r="BK417" i="3"/>
  <c r="BK318" i="3"/>
  <c r="J365" i="3"/>
  <c r="J277" i="3"/>
  <c r="BK158" i="3"/>
  <c r="J401" i="3"/>
  <c r="BK268" i="3"/>
  <c r="J501" i="3"/>
  <c r="J394" i="3"/>
  <c r="J295" i="3"/>
  <c r="BK191" i="3"/>
  <c r="J417" i="3"/>
  <c r="J230" i="3"/>
  <c r="J152" i="3"/>
  <c r="BK381" i="3"/>
  <c r="J241" i="3"/>
  <c r="BK490" i="3"/>
  <c r="J349" i="3"/>
  <c r="BK260" i="3"/>
  <c r="BK613" i="4"/>
  <c r="BK531" i="4"/>
  <c r="J463" i="4"/>
  <c r="J363" i="4"/>
  <c r="J200" i="4"/>
  <c r="BK601" i="4"/>
  <c r="J450" i="4"/>
  <c r="BK253" i="4"/>
  <c r="J399" i="4"/>
  <c r="BK249" i="4"/>
  <c r="BK593" i="4"/>
  <c r="BK499" i="4"/>
  <c r="J355" i="4"/>
  <c r="BK162" i="4"/>
  <c r="J382" i="4"/>
  <c r="J193" i="4"/>
  <c r="J560" i="4"/>
  <c r="BK508" i="4"/>
  <c r="BK382" i="4"/>
  <c r="BK289" i="4"/>
  <c r="BK158" i="4"/>
  <c r="J564" i="4"/>
  <c r="J178" i="4"/>
  <c r="BK564" i="4"/>
  <c r="J519" i="4"/>
  <c r="J369" i="4"/>
  <c r="J302" i="4"/>
  <c r="BK197" i="5"/>
  <c r="J124" i="5"/>
  <c r="J164" i="5"/>
  <c r="BK164" i="5"/>
  <c r="BK121" i="5"/>
  <c r="J130" i="5"/>
  <c r="BK130" i="6"/>
  <c r="J170" i="6"/>
  <c r="J205" i="7"/>
  <c r="J146" i="7"/>
  <c r="BK141" i="7"/>
  <c r="BK80" i="7"/>
  <c r="J187" i="7"/>
  <c r="BK38" i="7"/>
  <c r="J177" i="7"/>
  <c r="J84" i="7"/>
  <c r="J47" i="7"/>
  <c r="J74" i="8"/>
  <c r="J55" i="8"/>
  <c r="BK113" i="8"/>
  <c r="J107" i="8"/>
  <c r="BK34" i="8"/>
  <c r="BK294" i="8"/>
  <c r="BK119" i="8"/>
  <c r="BK74" i="8"/>
  <c r="BK160" i="8"/>
  <c r="F37" i="9"/>
  <c r="BD102" i="1"/>
  <c r="J458" i="3"/>
  <c r="BK314" i="3"/>
  <c r="BK369" i="3"/>
  <c r="J314" i="3"/>
  <c r="BK226" i="3"/>
  <c r="BK462" i="3"/>
  <c r="J310" i="3"/>
  <c r="J185" i="3"/>
  <c r="J494" i="3"/>
  <c r="J377" i="3"/>
  <c r="J226" i="3"/>
  <c r="J431" i="3"/>
  <c r="BK256" i="3"/>
  <c r="BK199" i="3"/>
  <c r="BK424" i="3"/>
  <c r="J273" i="3"/>
  <c r="J505" i="3"/>
  <c r="J373" i="3"/>
  <c r="BK195" i="3"/>
  <c r="J580" i="4"/>
  <c r="J495" i="4"/>
  <c r="BK425" i="4"/>
  <c r="J311" i="4"/>
  <c r="J166" i="4"/>
  <c r="BK589" i="4"/>
  <c r="BK432" i="4"/>
  <c r="BK421" i="4"/>
  <c r="BK359" i="4"/>
  <c r="BK200" i="4"/>
  <c r="J536" i="4"/>
  <c r="BK476" i="4"/>
  <c r="BK328" i="4"/>
  <c r="J204" i="4"/>
  <c r="J432" i="4"/>
  <c r="J253" i="4"/>
  <c r="J605" i="4"/>
  <c r="BK471" i="4"/>
  <c r="BK369" i="4"/>
  <c r="BK204" i="4"/>
  <c r="J593" i="4"/>
  <c r="BK335" i="4"/>
  <c r="BK450" i="4"/>
  <c r="J335" i="4"/>
  <c r="BK182" i="4"/>
  <c r="BK179" i="5"/>
  <c r="J193" i="5"/>
  <c r="BK130" i="5"/>
  <c r="BK133" i="5"/>
  <c r="BK175" i="5"/>
  <c r="J138" i="6"/>
  <c r="J180" i="6"/>
  <c r="J130" i="6"/>
  <c r="BK113" i="7"/>
  <c r="J131" i="7"/>
  <c r="J109" i="7"/>
  <c r="J127" i="7"/>
  <c r="J55" i="7"/>
  <c r="BK47" i="7"/>
  <c r="J153" i="7"/>
  <c r="J35" i="7"/>
  <c r="BK68" i="8"/>
  <c r="BK288" i="8"/>
  <c r="BK24" i="8"/>
  <c r="J94" i="8"/>
  <c r="BK51" i="8"/>
  <c r="BK240" i="8"/>
  <c r="BK94" i="8"/>
  <c r="J38" i="8"/>
  <c r="J248" i="8"/>
  <c r="BK306" i="8"/>
  <c r="J274" i="8"/>
  <c r="J127" i="8"/>
  <c r="J68" i="8"/>
  <c r="J19" i="8"/>
  <c r="F35" i="9"/>
  <c r="BB102" i="1"/>
  <c r="P194" i="8" l="1"/>
  <c r="T194" i="8"/>
  <c r="R194" i="8"/>
  <c r="J34" i="2"/>
  <c r="J34" i="9"/>
  <c r="AW102" i="1" s="1"/>
  <c r="BK119" i="2"/>
  <c r="J119" i="2" s="1"/>
  <c r="J97" i="2" s="1"/>
  <c r="R126" i="3"/>
  <c r="T272" i="3"/>
  <c r="T125" i="3" s="1"/>
  <c r="R294" i="3"/>
  <c r="R409" i="3"/>
  <c r="T150" i="4"/>
  <c r="R306" i="4"/>
  <c r="R327" i="4"/>
  <c r="BK462" i="4"/>
  <c r="J462" i="4" s="1"/>
  <c r="J102" i="4" s="1"/>
  <c r="T475" i="4"/>
  <c r="R120" i="5"/>
  <c r="P129" i="6"/>
  <c r="P119" i="6"/>
  <c r="AU99" i="1" s="1"/>
  <c r="R53" i="7"/>
  <c r="BK54" i="7"/>
  <c r="J54" i="7" s="1"/>
  <c r="R93" i="7"/>
  <c r="T183" i="7"/>
  <c r="P18" i="8"/>
  <c r="P149" i="8"/>
  <c r="BK218" i="8"/>
  <c r="J218" i="8" s="1"/>
  <c r="BK286" i="8"/>
  <c r="J286" i="8" s="1"/>
  <c r="R286" i="8"/>
  <c r="P126" i="3"/>
  <c r="P272" i="3"/>
  <c r="T283" i="3"/>
  <c r="P322" i="3"/>
  <c r="BK385" i="3"/>
  <c r="J385" i="3"/>
  <c r="J103" i="3"/>
  <c r="T385" i="3"/>
  <c r="P150" i="4"/>
  <c r="P306" i="4"/>
  <c r="P327" i="4"/>
  <c r="BK535" i="4"/>
  <c r="J535" i="4" s="1"/>
  <c r="J104" i="4" s="1"/>
  <c r="P120" i="5"/>
  <c r="T129" i="6"/>
  <c r="T119" i="6" s="1"/>
  <c r="T53" i="7"/>
  <c r="T54" i="7"/>
  <c r="BK125" i="7"/>
  <c r="J125" i="7" s="1"/>
  <c r="R126" i="7"/>
  <c r="BK145" i="7"/>
  <c r="J145" i="7" s="1"/>
  <c r="T60" i="8"/>
  <c r="T149" i="8"/>
  <c r="T218" i="8"/>
  <c r="T286" i="8"/>
  <c r="R119" i="2"/>
  <c r="R118" i="2"/>
  <c r="BK151" i="3"/>
  <c r="R272" i="3"/>
  <c r="P294" i="3"/>
  <c r="P409" i="3"/>
  <c r="P125" i="4"/>
  <c r="P354" i="4"/>
  <c r="P462" i="4"/>
  <c r="P475" i="4"/>
  <c r="T120" i="5"/>
  <c r="P53" i="7"/>
  <c r="P69" i="7"/>
  <c r="T93" i="7"/>
  <c r="T126" i="7"/>
  <c r="T145" i="7"/>
  <c r="BK18" i="8"/>
  <c r="J18" i="8" s="1"/>
  <c r="T18" i="8"/>
  <c r="T61" i="8"/>
  <c r="R106" i="8"/>
  <c r="P193" i="8"/>
  <c r="T287" i="8"/>
  <c r="P119" i="2"/>
  <c r="P118" i="2" s="1"/>
  <c r="AU95" i="1" s="1"/>
  <c r="BK126" i="3"/>
  <c r="J126" i="3" s="1"/>
  <c r="J97" i="3" s="1"/>
  <c r="T126" i="3"/>
  <c r="BK272" i="3"/>
  <c r="J272" i="3"/>
  <c r="J99" i="3" s="1"/>
  <c r="BK322" i="3"/>
  <c r="J322" i="3"/>
  <c r="J102" i="3" s="1"/>
  <c r="BK409" i="3"/>
  <c r="J409" i="3" s="1"/>
  <c r="J105" i="3" s="1"/>
  <c r="T125" i="4"/>
  <c r="T354" i="4"/>
  <c r="R462" i="4"/>
  <c r="R475" i="4"/>
  <c r="T174" i="5"/>
  <c r="R129" i="6"/>
  <c r="R119" i="6" s="1"/>
  <c r="P18" i="7"/>
  <c r="R69" i="7"/>
  <c r="R125" i="7"/>
  <c r="P126" i="7"/>
  <c r="R145" i="7"/>
  <c r="BK60" i="8"/>
  <c r="J60" i="8" s="1"/>
  <c r="P61" i="8"/>
  <c r="BK149" i="8"/>
  <c r="J149" i="8" s="1"/>
  <c r="R193" i="8"/>
  <c r="R218" i="8"/>
  <c r="P286" i="8"/>
  <c r="T119" i="2"/>
  <c r="T118" i="2"/>
  <c r="P151" i="3"/>
  <c r="BK283" i="3"/>
  <c r="J283" i="3" s="1"/>
  <c r="J100" i="3" s="1"/>
  <c r="T294" i="3"/>
  <c r="T409" i="3"/>
  <c r="BK150" i="4"/>
  <c r="BK306" i="4"/>
  <c r="J306" i="4"/>
  <c r="J99" i="4" s="1"/>
  <c r="BK327" i="4"/>
  <c r="J327" i="4"/>
  <c r="J100" i="4" s="1"/>
  <c r="P535" i="4"/>
  <c r="R174" i="5"/>
  <c r="T18" i="7"/>
  <c r="T69" i="7"/>
  <c r="T125" i="7"/>
  <c r="P183" i="7"/>
  <c r="R60" i="8"/>
  <c r="BK106" i="8"/>
  <c r="J106" i="8" s="1"/>
  <c r="P106" i="8"/>
  <c r="BK193" i="8"/>
  <c r="J193" i="8" s="1"/>
  <c r="P218" i="8"/>
  <c r="R150" i="4"/>
  <c r="T306" i="4"/>
  <c r="T327" i="4"/>
  <c r="R535" i="4"/>
  <c r="BK120" i="5"/>
  <c r="J120" i="5" s="1"/>
  <c r="J97" i="5" s="1"/>
  <c r="BK129" i="6"/>
  <c r="J129" i="6" s="1"/>
  <c r="J99" i="6" s="1"/>
  <c r="BK53" i="7"/>
  <c r="J53" i="7"/>
  <c r="P54" i="7"/>
  <c r="P125" i="7"/>
  <c r="BK183" i="7"/>
  <c r="J183" i="7" s="1"/>
  <c r="P60" i="8"/>
  <c r="R149" i="8"/>
  <c r="P287" i="8"/>
  <c r="R151" i="3"/>
  <c r="BK294" i="3"/>
  <c r="J294" i="3" s="1"/>
  <c r="J101" i="3" s="1"/>
  <c r="R322" i="3"/>
  <c r="P385" i="3"/>
  <c r="BK400" i="3"/>
  <c r="J400" i="3" s="1"/>
  <c r="J104" i="3" s="1"/>
  <c r="R400" i="3"/>
  <c r="BK125" i="4"/>
  <c r="J125" i="4" s="1"/>
  <c r="J97" i="4" s="1"/>
  <c r="R354" i="4"/>
  <c r="T462" i="4"/>
  <c r="BK475" i="4"/>
  <c r="J475" i="4"/>
  <c r="J103" i="4"/>
  <c r="BK174" i="5"/>
  <c r="J174" i="5" s="1"/>
  <c r="J99" i="5" s="1"/>
  <c r="R18" i="7"/>
  <c r="R54" i="7"/>
  <c r="BK93" i="7"/>
  <c r="J93" i="7" s="1"/>
  <c r="BK126" i="7"/>
  <c r="J126" i="7" s="1"/>
  <c r="P145" i="7"/>
  <c r="BK61" i="8"/>
  <c r="J61" i="8" s="1"/>
  <c r="BK287" i="8"/>
  <c r="J287" i="8" s="1"/>
  <c r="T151" i="3"/>
  <c r="P283" i="3"/>
  <c r="R283" i="3"/>
  <c r="T322" i="3"/>
  <c r="R385" i="3"/>
  <c r="P400" i="3"/>
  <c r="T400" i="3"/>
  <c r="R125" i="4"/>
  <c r="BK354" i="4"/>
  <c r="J354" i="4"/>
  <c r="J101" i="4" s="1"/>
  <c r="T535" i="4"/>
  <c r="P174" i="5"/>
  <c r="BK18" i="7"/>
  <c r="J18" i="7" s="1"/>
  <c r="BK69" i="7"/>
  <c r="J69" i="7" s="1"/>
  <c r="P93" i="7"/>
  <c r="R183" i="7"/>
  <c r="R18" i="8"/>
  <c r="R61" i="8"/>
  <c r="T106" i="8"/>
  <c r="T193" i="8"/>
  <c r="R287" i="8"/>
  <c r="BK176" i="7"/>
  <c r="J176" i="7" s="1"/>
  <c r="BK194" i="8"/>
  <c r="J194" i="8" s="1"/>
  <c r="BK118" i="9"/>
  <c r="J118" i="9"/>
  <c r="J97" i="9"/>
  <c r="BK169" i="5"/>
  <c r="J169" i="5" s="1"/>
  <c r="J98" i="5" s="1"/>
  <c r="BK151" i="2"/>
  <c r="J151" i="2" s="1"/>
  <c r="J98" i="2" s="1"/>
  <c r="BK120" i="6"/>
  <c r="J120" i="6"/>
  <c r="J97" i="6"/>
  <c r="BK124" i="6"/>
  <c r="J124" i="6"/>
  <c r="J98" i="6"/>
  <c r="J89" i="9"/>
  <c r="F92" i="9"/>
  <c r="E107" i="9"/>
  <c r="BE119" i="9"/>
  <c r="J92" i="9"/>
  <c r="BA102" i="1"/>
  <c r="BE41" i="8"/>
  <c r="BE55" i="8"/>
  <c r="BE200" i="8"/>
  <c r="BE274" i="8"/>
  <c r="J11" i="8"/>
  <c r="BE24" i="8"/>
  <c r="BE150" i="8"/>
  <c r="BE155" i="8"/>
  <c r="BE224" i="8"/>
  <c r="BE240" i="8"/>
  <c r="BE38" i="8"/>
  <c r="BE68" i="8"/>
  <c r="BE132" i="8"/>
  <c r="BE180" i="8"/>
  <c r="BE266" i="8"/>
  <c r="BE288" i="8"/>
  <c r="J14" i="8"/>
  <c r="BE127" i="8"/>
  <c r="BE234" i="8"/>
  <c r="BE258" i="8"/>
  <c r="BE312" i="8"/>
  <c r="BE318" i="8"/>
  <c r="BE74" i="8"/>
  <c r="BE195" i="8"/>
  <c r="BE34" i="8"/>
  <c r="BE46" i="8"/>
  <c r="BE62" i="8"/>
  <c r="BE107" i="8"/>
  <c r="BE248" i="8"/>
  <c r="BE19" i="8"/>
  <c r="BE94" i="8"/>
  <c r="BE160" i="8"/>
  <c r="BE168" i="8"/>
  <c r="BE294" i="8"/>
  <c r="BE300" i="8"/>
  <c r="BE348" i="8"/>
  <c r="BE51" i="8"/>
  <c r="BE80" i="8"/>
  <c r="BE88" i="8"/>
  <c r="BE113" i="8"/>
  <c r="BE119" i="8"/>
  <c r="BE144" i="8"/>
  <c r="BE174" i="8"/>
  <c r="BE212" i="8"/>
  <c r="BE219" i="8"/>
  <c r="BE306" i="8"/>
  <c r="BE336" i="8"/>
  <c r="F14" i="7"/>
  <c r="BE41" i="7"/>
  <c r="BE44" i="7"/>
  <c r="BE50" i="7"/>
  <c r="BE74" i="7"/>
  <c r="BE113" i="7"/>
  <c r="BE135" i="7"/>
  <c r="BE146" i="7"/>
  <c r="BE168" i="7"/>
  <c r="BE184" i="7"/>
  <c r="BE191" i="7"/>
  <c r="BE205" i="7"/>
  <c r="J11" i="7"/>
  <c r="BE70" i="7"/>
  <c r="BE84" i="7"/>
  <c r="BE94" i="7"/>
  <c r="BE98" i="7"/>
  <c r="BE164" i="7"/>
  <c r="BE187" i="7"/>
  <c r="BE19" i="7"/>
  <c r="BE29" i="7"/>
  <c r="BE35" i="7"/>
  <c r="BE38" i="7"/>
  <c r="BE109" i="7"/>
  <c r="BE127" i="7"/>
  <c r="BE153" i="7"/>
  <c r="BE55" i="7"/>
  <c r="BE59" i="7"/>
  <c r="BE160" i="7"/>
  <c r="BE177" i="7"/>
  <c r="BE195" i="7"/>
  <c r="BE201" i="7"/>
  <c r="BE131" i="7"/>
  <c r="BE47" i="7"/>
  <c r="BE80" i="7"/>
  <c r="BE102" i="7"/>
  <c r="BE141" i="7"/>
  <c r="BE63" i="7"/>
  <c r="BE119" i="7"/>
  <c r="BE172" i="7"/>
  <c r="E109" i="6"/>
  <c r="BE130" i="6"/>
  <c r="BE142" i="6"/>
  <c r="BE150" i="6"/>
  <c r="BE170" i="6"/>
  <c r="BE180" i="6"/>
  <c r="BE134" i="6"/>
  <c r="BE125" i="6"/>
  <c r="J92" i="6"/>
  <c r="F116" i="6"/>
  <c r="BE154" i="6"/>
  <c r="J89" i="6"/>
  <c r="BE121" i="6"/>
  <c r="BE138" i="6"/>
  <c r="BE124" i="5"/>
  <c r="BE133" i="5"/>
  <c r="BE142" i="5"/>
  <c r="BE164" i="5"/>
  <c r="BE193" i="5"/>
  <c r="BE197" i="5"/>
  <c r="J150" i="4"/>
  <c r="J98" i="4"/>
  <c r="BE121" i="5"/>
  <c r="F92" i="5"/>
  <c r="BE136" i="5"/>
  <c r="E85" i="5"/>
  <c r="BE150" i="5"/>
  <c r="J116" i="5"/>
  <c r="BE170" i="5"/>
  <c r="J89" i="5"/>
  <c r="BE127" i="5"/>
  <c r="BE146" i="5"/>
  <c r="BE175" i="5"/>
  <c r="BE179" i="5"/>
  <c r="BE183" i="5"/>
  <c r="BE189" i="5"/>
  <c r="BE130" i="5"/>
  <c r="BE157" i="5"/>
  <c r="BE201" i="5"/>
  <c r="BE200" i="4"/>
  <c r="BE204" i="4"/>
  <c r="BE225" i="4"/>
  <c r="BE253" i="4"/>
  <c r="BE403" i="4"/>
  <c r="BE407" i="4"/>
  <c r="BE425" i="4"/>
  <c r="BE463" i="4"/>
  <c r="BE499" i="4"/>
  <c r="BE503" i="4"/>
  <c r="BE146" i="4"/>
  <c r="BE158" i="4"/>
  <c r="BE210" i="4"/>
  <c r="BE239" i="4"/>
  <c r="BE249" i="4"/>
  <c r="BE311" i="4"/>
  <c r="BE512" i="4"/>
  <c r="BE560" i="4"/>
  <c r="BE597" i="4"/>
  <c r="BE609" i="4"/>
  <c r="BE613" i="4"/>
  <c r="BE617" i="4"/>
  <c r="BE621" i="4"/>
  <c r="J92" i="4"/>
  <c r="F121" i="4"/>
  <c r="BE178" i="4"/>
  <c r="BE235" i="4"/>
  <c r="BE317" i="4"/>
  <c r="BE375" i="4"/>
  <c r="BE390" i="4"/>
  <c r="BE411" i="4"/>
  <c r="BE467" i="4"/>
  <c r="BE531" i="4"/>
  <c r="BE536" i="4"/>
  <c r="BE554" i="4"/>
  <c r="BE576" i="4"/>
  <c r="BE589" i="4"/>
  <c r="J151" i="3"/>
  <c r="J98" i="3"/>
  <c r="J118" i="4"/>
  <c r="BE126" i="4"/>
  <c r="BE151" i="4"/>
  <c r="BE221" i="4"/>
  <c r="BE231" i="4"/>
  <c r="BE271" i="4"/>
  <c r="BE346" i="4"/>
  <c r="BE355" i="4"/>
  <c r="BE363" i="4"/>
  <c r="BE491" i="4"/>
  <c r="BE525" i="4"/>
  <c r="E85" i="4"/>
  <c r="BE261" i="4"/>
  <c r="BE289" i="4"/>
  <c r="BE298" i="4"/>
  <c r="BE350" i="4"/>
  <c r="BE359" i="4"/>
  <c r="BE399" i="4"/>
  <c r="BE421" i="4"/>
  <c r="BE432" i="4"/>
  <c r="BE438" i="4"/>
  <c r="BE442" i="4"/>
  <c r="BE458" i="4"/>
  <c r="BE471" i="4"/>
  <c r="BE495" i="4"/>
  <c r="BE548" i="4"/>
  <c r="BE564" i="4"/>
  <c r="BE580" i="4"/>
  <c r="BE601" i="4"/>
  <c r="BE605" i="4"/>
  <c r="BE182" i="4"/>
  <c r="BE217" i="4"/>
  <c r="BE382" i="4"/>
  <c r="BE386" i="4"/>
  <c r="BE162" i="4"/>
  <c r="BE166" i="4"/>
  <c r="BE170" i="4"/>
  <c r="BE174" i="4"/>
  <c r="BE187" i="4"/>
  <c r="BE193" i="4"/>
  <c r="BE275" i="4"/>
  <c r="BE282" i="4"/>
  <c r="BE302" i="4"/>
  <c r="BE307" i="4"/>
  <c r="BE335" i="4"/>
  <c r="BE369" i="4"/>
  <c r="BE417" i="4"/>
  <c r="BE454" i="4"/>
  <c r="BE487" i="4"/>
  <c r="BE508" i="4"/>
  <c r="BE519" i="4"/>
  <c r="BE540" i="4"/>
  <c r="BE570" i="4"/>
  <c r="BE293" i="4"/>
  <c r="BE321" i="4"/>
  <c r="BE328" i="4"/>
  <c r="BE446" i="4"/>
  <c r="BE450" i="4"/>
  <c r="BE476" i="4"/>
  <c r="BE483" i="4"/>
  <c r="BE544" i="4"/>
  <c r="BE593" i="4"/>
  <c r="F92" i="3"/>
  <c r="BE178" i="3"/>
  <c r="BE185" i="3"/>
  <c r="BE249" i="3"/>
  <c r="BE377" i="3"/>
  <c r="BE424" i="3"/>
  <c r="BE462" i="3"/>
  <c r="BE468" i="3"/>
  <c r="BE490" i="3"/>
  <c r="BE505" i="3"/>
  <c r="J92" i="3"/>
  <c r="BE203" i="3"/>
  <c r="BE256" i="3"/>
  <c r="BE260" i="3"/>
  <c r="BE268" i="3"/>
  <c r="BE318" i="3"/>
  <c r="BE353" i="3"/>
  <c r="BE359" i="3"/>
  <c r="BE390" i="3"/>
  <c r="BE417" i="3"/>
  <c r="BE450" i="3"/>
  <c r="E115" i="3"/>
  <c r="BE191" i="3"/>
  <c r="BE195" i="3"/>
  <c r="BE210" i="3"/>
  <c r="BE234" i="3"/>
  <c r="BE241" i="3"/>
  <c r="BE277" i="3"/>
  <c r="BE314" i="3"/>
  <c r="BE323" i="3"/>
  <c r="BE327" i="3"/>
  <c r="BE331" i="3"/>
  <c r="BE405" i="3"/>
  <c r="J89" i="3"/>
  <c r="BE127" i="3"/>
  <c r="BE162" i="3"/>
  <c r="BE218" i="3"/>
  <c r="BE230" i="3"/>
  <c r="BE284" i="3"/>
  <c r="BE290" i="3"/>
  <c r="BE306" i="3"/>
  <c r="BE310" i="3"/>
  <c r="BE341" i="3"/>
  <c r="BE431" i="3"/>
  <c r="BE438" i="3"/>
  <c r="BE444" i="3"/>
  <c r="BE486" i="3"/>
  <c r="BE494" i="3"/>
  <c r="BE501" i="3"/>
  <c r="BE509" i="3"/>
  <c r="BK118" i="2"/>
  <c r="J118" i="2" s="1"/>
  <c r="J30" i="2" s="1"/>
  <c r="BE152" i="3"/>
  <c r="BE158" i="3"/>
  <c r="BE214" i="3"/>
  <c r="BE226" i="3"/>
  <c r="BE264" i="3"/>
  <c r="BE273" i="3"/>
  <c r="BE295" i="3"/>
  <c r="BE299" i="3"/>
  <c r="BE345" i="3"/>
  <c r="BE349" i="3"/>
  <c r="BE394" i="3"/>
  <c r="BE458" i="3"/>
  <c r="BE147" i="3"/>
  <c r="BE199" i="3"/>
  <c r="BE381" i="3"/>
  <c r="BE386" i="3"/>
  <c r="BE401" i="3"/>
  <c r="BE476" i="3"/>
  <c r="BE166" i="3"/>
  <c r="BE170" i="3"/>
  <c r="BE174" i="3"/>
  <c r="BE245" i="3"/>
  <c r="BE365" i="3"/>
  <c r="BE369" i="3"/>
  <c r="BE373" i="3"/>
  <c r="BE410" i="3"/>
  <c r="BE480" i="3"/>
  <c r="BC95" i="1"/>
  <c r="BB95" i="1"/>
  <c r="BA95" i="1"/>
  <c r="AW95" i="1"/>
  <c r="E85" i="2"/>
  <c r="J89" i="2"/>
  <c r="F92" i="2"/>
  <c r="J92" i="2"/>
  <c r="BE120" i="2"/>
  <c r="BE124" i="2"/>
  <c r="BE128" i="2"/>
  <c r="BE131" i="2"/>
  <c r="BE135" i="2"/>
  <c r="BE139" i="2"/>
  <c r="BE143" i="2"/>
  <c r="BE147" i="2"/>
  <c r="BE152" i="2"/>
  <c r="BD95" i="1"/>
  <c r="F37" i="4"/>
  <c r="BD97" i="1" s="1"/>
  <c r="F36" i="5"/>
  <c r="BC98" i="1"/>
  <c r="F37" i="6"/>
  <c r="BD99" i="1" s="1"/>
  <c r="BA101" i="1"/>
  <c r="F35" i="3"/>
  <c r="BB96" i="1" s="1"/>
  <c r="J34" i="5"/>
  <c r="AW98" i="1"/>
  <c r="F34" i="6"/>
  <c r="BA99" i="1" s="1"/>
  <c r="BB100" i="1"/>
  <c r="BD101" i="1"/>
  <c r="F34" i="3"/>
  <c r="BA96" i="1"/>
  <c r="F35" i="4"/>
  <c r="BB97" i="1" s="1"/>
  <c r="AW101" i="1"/>
  <c r="J34" i="3"/>
  <c r="AW96" i="1" s="1"/>
  <c r="F34" i="5"/>
  <c r="BA98" i="1"/>
  <c r="F36" i="6"/>
  <c r="BC99" i="1" s="1"/>
  <c r="BC100" i="1"/>
  <c r="F36" i="3"/>
  <c r="BC96" i="1" s="1"/>
  <c r="F35" i="5"/>
  <c r="BB98" i="1"/>
  <c r="J34" i="6"/>
  <c r="AW99" i="1" s="1"/>
  <c r="AW100" i="1"/>
  <c r="F34" i="4"/>
  <c r="BA97" i="1" s="1"/>
  <c r="F37" i="5"/>
  <c r="BD98" i="1"/>
  <c r="BA100" i="1"/>
  <c r="J33" i="9"/>
  <c r="AV102" i="1" s="1"/>
  <c r="AT102" i="1" s="1"/>
  <c r="J34" i="4"/>
  <c r="AW97" i="1"/>
  <c r="F35" i="6"/>
  <c r="BB99" i="1" s="1"/>
  <c r="BD100" i="1"/>
  <c r="BC101" i="1"/>
  <c r="F37" i="3"/>
  <c r="BD96" i="1"/>
  <c r="F36" i="4"/>
  <c r="BC97" i="1" s="1"/>
  <c r="BB101" i="1"/>
  <c r="BK17" i="8" l="1"/>
  <c r="J17" i="8" s="1"/>
  <c r="BK119" i="6"/>
  <c r="J119" i="6" s="1"/>
  <c r="J96" i="6" s="1"/>
  <c r="R125" i="3"/>
  <c r="T17" i="8"/>
  <c r="P17" i="7"/>
  <c r="AU100" i="1" s="1"/>
  <c r="R119" i="5"/>
  <c r="T119" i="5"/>
  <c r="P124" i="4"/>
  <c r="AU97" i="1"/>
  <c r="BK17" i="7"/>
  <c r="J17" i="7" s="1"/>
  <c r="BK124" i="4"/>
  <c r="J124" i="4" s="1"/>
  <c r="J30" i="4" s="1"/>
  <c r="AG97" i="1" s="1"/>
  <c r="AN97" i="1" s="1"/>
  <c r="T17" i="7"/>
  <c r="R17" i="8"/>
  <c r="P119" i="5"/>
  <c r="AU98" i="1"/>
  <c r="BK125" i="3"/>
  <c r="J125" i="3"/>
  <c r="J96" i="3" s="1"/>
  <c r="R17" i="7"/>
  <c r="R124" i="4"/>
  <c r="P125" i="3"/>
  <c r="AU96" i="1"/>
  <c r="T124" i="4"/>
  <c r="BK119" i="5"/>
  <c r="J119" i="5"/>
  <c r="P17" i="8"/>
  <c r="AU101" i="1" s="1"/>
  <c r="BK117" i="9"/>
  <c r="J117" i="9"/>
  <c r="J96" i="9"/>
  <c r="AG95" i="1"/>
  <c r="J96" i="2"/>
  <c r="J30" i="5"/>
  <c r="AG98" i="1" s="1"/>
  <c r="AN98" i="1" s="1"/>
  <c r="F33" i="2"/>
  <c r="AZ95" i="1"/>
  <c r="F33" i="6"/>
  <c r="AZ99" i="1"/>
  <c r="AZ101" i="1"/>
  <c r="J33" i="3"/>
  <c r="AV96" i="1" s="1"/>
  <c r="AT96" i="1" s="1"/>
  <c r="F33" i="9"/>
  <c r="AZ102" i="1"/>
  <c r="BA94" i="1"/>
  <c r="W30" i="1" s="1"/>
  <c r="F33" i="4"/>
  <c r="AZ97" i="1" s="1"/>
  <c r="BC94" i="1"/>
  <c r="W32" i="1" s="1"/>
  <c r="J33" i="4"/>
  <c r="AV97" i="1"/>
  <c r="AT97" i="1" s="1"/>
  <c r="BB94" i="1"/>
  <c r="W31" i="1" s="1"/>
  <c r="F33" i="3"/>
  <c r="AZ96" i="1"/>
  <c r="BD94" i="1"/>
  <c r="W33" i="1" s="1"/>
  <c r="J33" i="2"/>
  <c r="AV95" i="1" s="1"/>
  <c r="AT95" i="1" s="1"/>
  <c r="AN95" i="1" s="1"/>
  <c r="J33" i="6"/>
  <c r="AV99" i="1"/>
  <c r="AT99" i="1" s="1"/>
  <c r="AV101" i="1"/>
  <c r="AT101" i="1" s="1"/>
  <c r="J33" i="5"/>
  <c r="AV98" i="1"/>
  <c r="AT98" i="1"/>
  <c r="AZ100" i="1"/>
  <c r="F33" i="5"/>
  <c r="AZ98" i="1" s="1"/>
  <c r="AV100" i="1"/>
  <c r="AT100" i="1" s="1"/>
  <c r="AG101" i="1" l="1"/>
  <c r="AN101" i="1" s="1"/>
  <c r="J30" i="6"/>
  <c r="AG99" i="1" s="1"/>
  <c r="AN99" i="1" s="1"/>
  <c r="J96" i="5"/>
  <c r="J96" i="4"/>
  <c r="J39" i="5"/>
  <c r="J39" i="4"/>
  <c r="J39" i="2"/>
  <c r="AU94" i="1"/>
  <c r="J30" i="9"/>
  <c r="AG102" i="1"/>
  <c r="J30" i="3"/>
  <c r="AG96" i="1"/>
  <c r="AW94" i="1"/>
  <c r="AK30" i="1" s="1"/>
  <c r="AG100" i="1"/>
  <c r="AY94" i="1"/>
  <c r="AZ94" i="1"/>
  <c r="W29" i="1" s="1"/>
  <c r="AX94" i="1"/>
  <c r="J39" i="6" l="1"/>
  <c r="J39" i="3"/>
  <c r="J39" i="9"/>
  <c r="AN102" i="1"/>
  <c r="AN96" i="1"/>
  <c r="AG94" i="1"/>
  <c r="AK26" i="1" s="1"/>
  <c r="AN100" i="1"/>
  <c r="AV94" i="1"/>
  <c r="AK29" i="1" s="1"/>
  <c r="AK35" i="1" l="1"/>
  <c r="AT94" i="1"/>
  <c r="AN94" i="1" s="1"/>
</calcChain>
</file>

<file path=xl/sharedStrings.xml><?xml version="1.0" encoding="utf-8"?>
<sst xmlns="http://schemas.openxmlformats.org/spreadsheetml/2006/main" count="14219" uniqueCount="2559">
  <si>
    <t>Export Komplet</t>
  </si>
  <si>
    <t/>
  </si>
  <si>
    <t>2.0</t>
  </si>
  <si>
    <t>False</t>
  </si>
  <si>
    <t>{c5aee045-5a0a-4692-81b8-0acee831865f}</t>
  </si>
  <si>
    <t>&gt;&gt;  skryté sloupce  &lt;&lt;</t>
  </si>
  <si>
    <t>0,01</t>
  </si>
  <si>
    <t>21</t>
  </si>
  <si>
    <t>15</t>
  </si>
  <si>
    <t>REKAPITULACE STAVBY</t>
  </si>
  <si>
    <t>v ---  níže se nacházejí doplnkové a pomocné údaje k sestavám  --- v</t>
  </si>
  <si>
    <t>0,001</t>
  </si>
  <si>
    <t>Kód:</t>
  </si>
  <si>
    <t>011-26</t>
  </si>
  <si>
    <t>Stavba:</t>
  </si>
  <si>
    <t>I/26 Kyšice - Plzeň, Hřbitovní</t>
  </si>
  <si>
    <t>0,1</t>
  </si>
  <si>
    <t>KSO:</t>
  </si>
  <si>
    <t>CC-CZ:</t>
  </si>
  <si>
    <t>1</t>
  </si>
  <si>
    <t>Místo:</t>
  </si>
  <si>
    <t xml:space="preserve"> </t>
  </si>
  <si>
    <t>Datum:</t>
  </si>
  <si>
    <t>20. 1. 2026</t>
  </si>
  <si>
    <t>10</t>
  </si>
  <si>
    <t>100</t>
  </si>
  <si>
    <t>Zadavatel:</t>
  </si>
  <si>
    <t>IČ:</t>
  </si>
  <si>
    <t>65993390</t>
  </si>
  <si>
    <t>Ředitelství silnic a dálnic s.p.</t>
  </si>
  <si>
    <t>DIČ:</t>
  </si>
  <si>
    <t>CZ65993390</t>
  </si>
  <si>
    <t>Zhotovitel:</t>
  </si>
  <si>
    <t>Projektant:</t>
  </si>
  <si>
    <t>29159342</t>
  </si>
  <si>
    <t>Woring s.r.o.</t>
  </si>
  <si>
    <t>CZ29159342</t>
  </si>
  <si>
    <t>Zpracovatel:</t>
  </si>
  <si>
    <t>Pavel Vachtl</t>
  </si>
  <si>
    <t>True</t>
  </si>
  <si>
    <t>Poznámka: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</si>
  <si>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</si>
  <si>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</si>
  <si>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</si>
  <si>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</si>
  <si>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</si>
  <si>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</si>
  <si>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</si>
  <si>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</si>
  <si>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</si>
  <si>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</si>
  <si>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</si>
  <si>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</si>
  <si>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</si>
  <si>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Projektant</t>
  </si>
  <si>
    <t>Zpracovatel</t>
  </si>
  <si>
    <t>Datum a podpis:</t>
  </si>
  <si>
    <t>Razítko</t>
  </si>
  <si>
    <t>Objednavatel</t>
  </si>
  <si>
    <t>Zhotovitel</t>
  </si>
  <si>
    <t>REKAPITULACE OBJEKTŮ STAVBY A SOUPISŮ PRACÍ</t>
  </si>
  <si>
    <t>Informatívní údaje z listů zakázek</t>
  </si>
  <si>
    <t>Kód</t>
  </si>
  <si>
    <t>Popis</t>
  </si>
  <si>
    <t>Cena bez DPH [CZK]</t>
  </si>
  <si>
    <t>Cena s DPH [CZK]</t>
  </si>
  <si>
    <t>Typ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</si>
  <si>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</si>
  <si>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</si>
  <si>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</si>
  <si>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</si>
  <si>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</si>
  <si>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</si>
  <si>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</si>
  <si>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</si>
  <si>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</si>
  <si>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</si>
  <si>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</si>
  <si>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</si>
  <si>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z rozpočtů</t>
  </si>
  <si>
    <t>D</t>
  </si>
  <si>
    <t>0</t>
  </si>
  <si>
    <t>###NOIMPORT###</t>
  </si>
  <si>
    <t>IMPORT</t>
  </si>
  <si>
    <t>{00000000-0000-0000-0000-000000000000}</t>
  </si>
  <si>
    <t>/</t>
  </si>
  <si>
    <t>001</t>
  </si>
  <si>
    <t>Vedlejsi a ostatni naklady</t>
  </si>
  <si>
    <t>STA</t>
  </si>
  <si>
    <t>{f576d6a3-f2c1-4b6e-abea-65d22b6c471f}</t>
  </si>
  <si>
    <t>-1</t>
  </si>
  <si>
    <t>101</t>
  </si>
  <si>
    <t>Oprava vozovky (km 2,74-4,84)</t>
  </si>
  <si>
    <t>{9084f3c3-92e0-4a23-83ee-f324d78c3d21}</t>
  </si>
  <si>
    <t>102</t>
  </si>
  <si>
    <t>Oprava vozovky (km 4,84-5,94)</t>
  </si>
  <si>
    <t>{3820f1c8-1ee3-4534-9d18-efb7bbe42a5e}</t>
  </si>
  <si>
    <t>181</t>
  </si>
  <si>
    <t>Přechodné dopravní značení</t>
  </si>
  <si>
    <t>{2726717c-df5d-4807-80e7-684f156e0da1}</t>
  </si>
  <si>
    <t>191</t>
  </si>
  <si>
    <t>Dopravní značení</t>
  </si>
  <si>
    <t>{1396f380-28f3-4aa4-918d-c18ca3b9bba9}</t>
  </si>
  <si>
    <t>201-003</t>
  </si>
  <si>
    <t>Most ev.č. 206-003</t>
  </si>
  <si>
    <t>{078d9bf8-c743-411e-bbd2-7be7a6ce9519}</t>
  </si>
  <si>
    <t>201-004</t>
  </si>
  <si>
    <t>Mosty ev. č. 26-004..1 a 26-004..2</t>
  </si>
  <si>
    <t>{d6941441-b79e-4e2a-9419-3377a66a0a85}</t>
  </si>
  <si>
    <t>441</t>
  </si>
  <si>
    <t>Přeložka a ochrana vedení VO</t>
  </si>
  <si>
    <t>{714a2bd5-f1ca-44ad-8658-2384fadf25ce}</t>
  </si>
  <si>
    <t>KRYCÍ LIST SOUPISU PRACÍ</t>
  </si>
  <si>
    <t>Objekt:</t>
  </si>
  <si>
    <t>001 - Vedlejsi a ostatni naklady</t>
  </si>
  <si>
    <t>REKAPITULACE ČLENĚNÍ SOUPISU PRACÍ</t>
  </si>
  <si>
    <t>Kód dílu - Popis</t>
  </si>
  <si>
    <t>Cena celkem [CZK]</t>
  </si>
  <si>
    <t>Náklady ze soupisu prací</t>
  </si>
  <si>
    <t>0 - Všeobecné konstrukce a práce</t>
  </si>
  <si>
    <t>1 - Zemní práce</t>
  </si>
  <si>
    <t>SOUPIS PRACÍ</t>
  </si>
  <si>
    <t>PČ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</si>
  <si>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</si>
  <si>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</si>
  <si>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</si>
  <si>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</si>
  <si>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</si>
  <si>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</si>
  <si>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</si>
  <si>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</si>
  <si>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</si>
  <si>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</si>
  <si>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</si>
  <si>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Všeobecné konstrukce a práce</t>
  </si>
  <si>
    <t>4</t>
  </si>
  <si>
    <t>ROZPOCET</t>
  </si>
  <si>
    <t>K</t>
  </si>
  <si>
    <t>02910</t>
  </si>
  <si>
    <t>OSTATNÍ POŽADAVKY - ZEMĚMĚŘICKÁ MĚŘENÍ VE VÝSTAVBĚ</t>
  </si>
  <si>
    <t>KPL</t>
  </si>
  <si>
    <t>OTSKP 2025</t>
  </si>
  <si>
    <t>-1052847150</t>
  </si>
  <si>
    <t>PP</t>
  </si>
  <si>
    <t>geometrický plán pro oddělení komunikace (záliv zastávky, řadící pruhy křižovatky, chodník, sjezd)
2x6 paré</t>
  </si>
  <si>
    <t>PSC</t>
  </si>
  <si>
    <t>Poznámka k souboru cen:_x000D_
Položka zahrnuje: - náklady na veškeré zeměměřické práce, což jsou především všechny vytyčovací práce, včetně vytyčení stávajících podzemních vedení a vytyčení prostorové polohy a obvodu stavby, veškeré měřičské práce jako jsou kontrolní a ověřovací měření, měření pro výpočet kubatur, měření geometrických parametrů stavby, měření posunů a přetvoření, tvorba a údržba základních měřických a vytyčovacích sítí a mikrosítí. - veškeré náklady spojené s objednatelem požadovanými pracemi Položka nezahrnuje: - x Způsob stanovení: - pro stanovení orientační investorské ceny určete jednotkovou cenu jako 1% předpokládané ceny stavby</t>
  </si>
  <si>
    <t>VV</t>
  </si>
  <si>
    <t>A1</t>
  </si>
  <si>
    <t>2</t>
  </si>
  <si>
    <t>029113</t>
  </si>
  <si>
    <t>OSTATNÍ POŽADAVKY - ZEMĚMĚŘICKÉ ZAMĚŘENÍ - CELKY</t>
  </si>
  <si>
    <t>KUS</t>
  </si>
  <si>
    <t>-470136554</t>
  </si>
  <si>
    <t>skutečné provedení, vyhotovení základní mapy komunikace (ZMK) dle datového předpisu B2/C1 a B9 dostupného na www.rsd.cz;</t>
  </si>
  <si>
    <t>Poznámka k souboru cen:_x000D_
Položka zahrnuje: - veškeré náklady spojené s objednatelem požadovanými pracemi - položka se využije pro celky 3D charakteru (objekty s vysokou mírou nepravidelnosti vzájemně navazujících částí, technologické a průmyslové celky) Položka nezahrnuje: - x</t>
  </si>
  <si>
    <t>A2</t>
  </si>
  <si>
    <t>3</t>
  </si>
  <si>
    <t>02940</t>
  </si>
  <si>
    <t>OSTATNÍ POŽADAVKY - VYPRACOVÁNÍ DOKUMENTACE</t>
  </si>
  <si>
    <t>-1969824643</t>
  </si>
  <si>
    <t>skutečné provedení;
vyhotovení digitální technické mapy ŘSD dle datového předpisu B9 (viz www.rsd.cz);
v aktuálně platné verzi výměnného formátu</t>
  </si>
  <si>
    <t>Poznámka k souboru cen:_x000D_
Položka zahrnuje: - veškeré náklady spojené s objednatelem požadovanými pracemi Položka nezahrnuje: - x</t>
  </si>
  <si>
    <t>02944</t>
  </si>
  <si>
    <t>OSTAT POŽADAVKY - DOKUMENTACE SKUTEČ PROVEDENÍ V DIGIT FORMĚ</t>
  </si>
  <si>
    <t>1141362309</t>
  </si>
  <si>
    <t>vyhotovení dokumentace skutečného provedení stavby (DSPS) dle datového předpisu C2 dostupného na www.rsd.cz</t>
  </si>
  <si>
    <t>Poznámka k souboru cen:_x000D_
Položka zahrnuje: - kompletní zeměměřičské práce a činnosti spojené se zaměřením a vyhotovením všech dokončených dílčích částí stavby, včetně po celkovém dokončení stavby zakrytých částí. Vyhotovení geodetické dokumentace skutečného provedení, svojí podrobností, obsahem, přesností, náležitostmi, formou prezentace musí být v souladu s požadavky, vycházející s aktuálně platné legislativy. Položka nezahrnuje: - x</t>
  </si>
  <si>
    <t>A4</t>
  </si>
  <si>
    <t>5</t>
  </si>
  <si>
    <t>02991</t>
  </si>
  <si>
    <t>OSTATNÍ POŽADAVKY - INFORMAČNÍ TABULE</t>
  </si>
  <si>
    <t>-165648570</t>
  </si>
  <si>
    <t>Omluvné a informační tabule dle grafického manuálu RSD</t>
  </si>
  <si>
    <t>Poznámka k souboru cen:_x000D_
Položka zahrnuje: - dodání a osazení informačních tabulí v předepsaném provedení a množství s obsahem předepsaným zadavatelem - veškeré nosné a upevňovací konstrukce - základové konstrukce včetně nutných zemních prací - demontáž a odvoz po skončení platnosti - případně nutné opravy poškozených čátí během platnosti Položka nezahrnuje: - x</t>
  </si>
  <si>
    <t>A5</t>
  </si>
  <si>
    <t>6</t>
  </si>
  <si>
    <t>03100</t>
  </si>
  <si>
    <t>ZAŘÍZENÍ STAVENIŠTĚ - ZŘÍZENÍ, PROVOZ, DEMONTÁŽ</t>
  </si>
  <si>
    <t>-123096887</t>
  </si>
  <si>
    <t>Poznámka k souboru cen:_x000D_
Položka zahrnuje: objednatelem povolené náklady na pořízení (event. pronájem), provozování, udržování a likvidaci zhotovitelova zařízení Položka nezahrnuje: - x</t>
  </si>
  <si>
    <t>A6</t>
  </si>
  <si>
    <t>7</t>
  </si>
  <si>
    <t>03350R</t>
  </si>
  <si>
    <t>POMOCNÉ PRÁCE ZAJIŠŤUJÍCÍ BOZP NA STAVENIŠTI</t>
  </si>
  <si>
    <t>-762415333</t>
  </si>
  <si>
    <t>Čištění komunikací průběžně po dobu stavby</t>
  </si>
  <si>
    <t>Poznámka k souboru cen:_x000D_
Položka zahrnuje: - objednatelem povolené náklady na služby pro zhotovitele Položka nezahrnuje: - x</t>
  </si>
  <si>
    <t>A7</t>
  </si>
  <si>
    <t>8</t>
  </si>
  <si>
    <t>03730</t>
  </si>
  <si>
    <t>POMOC PRÁCE ZAJIŠŤ NEBO ZŘÍZ OCHRANU INŽENÝRSKÝCH SÍTÍ</t>
  </si>
  <si>
    <t>1618805559</t>
  </si>
  <si>
    <t>obnova vyjádření provozovatelů sítí; vytýčení podzemního vedení; ochrana vedení související s prováděním prací</t>
  </si>
  <si>
    <t>Poznámka k souboru cen:_x000D_
Položka zahrnuje: - objednatelem povolené náklady na požadovaná zařízení zhotovitele Položka nezahrnuje: - x</t>
  </si>
  <si>
    <t>A8</t>
  </si>
  <si>
    <t>Zemní práce</t>
  </si>
  <si>
    <t>9</t>
  </si>
  <si>
    <t>12911R</t>
  </si>
  <si>
    <t>ČIŠTĚNÍ VOZOVEK OD NÁNOSU</t>
  </si>
  <si>
    <t>718242948</t>
  </si>
  <si>
    <t>průběžně dle postupu vystavby</t>
  </si>
  <si>
    <t>Poznámka k souboru cen:_x000D_
Položka zahrnuje: - vodorovnou a svislou dopravu, přemístění, přeložení, manipulace s materiálem a uložení na skládku. Položka nezahrnuje: - poplatek za skládku, který se vykazuje v položce 0141** (s výjimkou malého množství materiálu, kde je možné poplatek zahrnout do jednotkové ceny položky – tento fakt musí být uveden v doplňujícím textu k položce)</t>
  </si>
  <si>
    <t>A9</t>
  </si>
  <si>
    <t>M1</t>
  </si>
  <si>
    <t>2,25</t>
  </si>
  <si>
    <t>101 - Oprava vozovky (km 2,74-4,84)</t>
  </si>
  <si>
    <t>2 - Základy</t>
  </si>
  <si>
    <t>3 - Svislé konstrukce</t>
  </si>
  <si>
    <t>4 - Vodorovné konstrukce</t>
  </si>
  <si>
    <t>5 - Komunikace</t>
  </si>
  <si>
    <t>7 - Přidružená stavební výroba</t>
  </si>
  <si>
    <t>8 - Potrubí</t>
  </si>
  <si>
    <t>9 - Ostatní konstrukce a práce</t>
  </si>
  <si>
    <t>014101</t>
  </si>
  <si>
    <t>POPLATKY ZA SKLÁDKU</t>
  </si>
  <si>
    <t>M3</t>
  </si>
  <si>
    <t>-1893579783</t>
  </si>
  <si>
    <t>Poznámka k souboru cen:_x000D_
Položka zahrnuje: - veškeré poplatky provozovateli skládky související s uložením odpadu na skládce. Položka nezahrnuje: - x</t>
  </si>
  <si>
    <t>A3</t>
  </si>
  <si>
    <t>"DRN (p11130) "11315*0,15</t>
  </si>
  <si>
    <t>B1</t>
  </si>
  <si>
    <t>"R-mat (p11313) "35,6</t>
  </si>
  <si>
    <t>C1</t>
  </si>
  <si>
    <t>"Beton (p11315) "23,6</t>
  </si>
  <si>
    <t>D1</t>
  </si>
  <si>
    <t>"žlabovky (p11328) "1076*0.15</t>
  </si>
  <si>
    <t>E1</t>
  </si>
  <si>
    <t>"obruby (p11352) "147*0,15*0,25</t>
  </si>
  <si>
    <t>F1</t>
  </si>
  <si>
    <t>"frézování (p11372) "2310,230</t>
  </si>
  <si>
    <t>G1</t>
  </si>
  <si>
    <t>"krajnice (p12924) "2038*0,2</t>
  </si>
  <si>
    <t>H1</t>
  </si>
  <si>
    <t>"příkopy (p12933) "1345*0.5*0,1</t>
  </si>
  <si>
    <t>I1</t>
  </si>
  <si>
    <t>"šachty čišť (p12970) ks*obj. odhad "9*0,07</t>
  </si>
  <si>
    <t>J1</t>
  </si>
  <si>
    <t>"stáv drenáž čišť (p12993)m*obj. odhad "502*0.01</t>
  </si>
  <si>
    <t>K1</t>
  </si>
  <si>
    <t>"rýhy (p13273) "705,6</t>
  </si>
  <si>
    <t>L1</t>
  </si>
  <si>
    <t>"šachty bour (p96688)ks*obj. odhad "4*1</t>
  </si>
  <si>
    <t>"skluz (p96711) "2,25</t>
  </si>
  <si>
    <t>N1</t>
  </si>
  <si>
    <t>"drenáž bour (p969234)M1*plocha potrubí "446*0,03</t>
  </si>
  <si>
    <t>O1</t>
  </si>
  <si>
    <t>"lože pod obruby (dl. x plocha z řezu) "147*0,04</t>
  </si>
  <si>
    <t>P1</t>
  </si>
  <si>
    <t>"čištění zametením (p93808) "17582*0,01</t>
  </si>
  <si>
    <t>Q1</t>
  </si>
  <si>
    <t>"Mezisoučet "5621.023000</t>
  </si>
  <si>
    <t>014211</t>
  </si>
  <si>
    <t>POPLATKY ZA ZEMNÍK - ORNICE</t>
  </si>
  <si>
    <t>292743959</t>
  </si>
  <si>
    <t>Poznámka k souboru cen:_x000D_
Položka zahrnuje: - veškeré poplatky majiteli zemníku související s nákupem zeminy (nikoliv s otvírkou zemníku) Položka nezahrnuje: - x</t>
  </si>
  <si>
    <t>A10</t>
  </si>
  <si>
    <t>"p 18222+p 18232 "(6345+4978)*0,15</t>
  </si>
  <si>
    <t>11120</t>
  </si>
  <si>
    <t>ODSTRANĚNÍ KŘOVIN</t>
  </si>
  <si>
    <t>M2</t>
  </si>
  <si>
    <t>1944352979</t>
  </si>
  <si>
    <t>Poznámka k souboru cen:_x000D_
Položka zahrnuje: - odstranění křovin a stromů do průměru 100 mm - dopravu dřevin bez ohledu na vzdálenost - spálení na hromadách nebo štěpkování Položka nezahrnuje: - x</t>
  </si>
  <si>
    <t>A11</t>
  </si>
  <si>
    <t>"dl středového svodidla x š "1435+182+66*1</t>
  </si>
  <si>
    <t>B3</t>
  </si>
  <si>
    <t>"u skluzu (15*4) "15*4</t>
  </si>
  <si>
    <t>C3</t>
  </si>
  <si>
    <t>"Mezisoučet "1743.000000</t>
  </si>
  <si>
    <t>11130</t>
  </si>
  <si>
    <t>SEJMUTÍ DRNU</t>
  </si>
  <si>
    <t>918344741</t>
  </si>
  <si>
    <t>Poznámka k souboru cen:_x000D_
Položka zahrnuje: - vodorovnou dopravu a uložení na skládku Položka nezahrnuje: - x</t>
  </si>
  <si>
    <t>A12</t>
  </si>
  <si>
    <t>"plocha ze situace "11315</t>
  </si>
  <si>
    <t>11201</t>
  </si>
  <si>
    <t>KÁCENÍ STROMŮ D KMENE DO 0,5M S ODSTRANĚNÍM PAŘEZŮ</t>
  </si>
  <si>
    <t>491093331</t>
  </si>
  <si>
    <t>Poznámka k souboru cen:_x000D_
Položka zahrnuje: - poražení stromu a osekání větví - spálení větví na hromadách nebo štěpkování - dopravu a uložení kmenů, případné další práce s nimi dle pokynů zadávací dokumentace - vytrhání nebo vykopání pařezů - veškeré zemní práce spojené s odstraněním pařezů - dopravu a uložení pařezů, případně další práce s nimi dle pokynů zadávací dokumentace - zásyp jam po pařezech Položka nezahrnuje: - x Způsob měření: - kácení stromů se měří v [ks] poražených stromů (průměr stromů se měří ve výšce 1,3m nad terénem)</t>
  </si>
  <si>
    <t>A13</t>
  </si>
  <si>
    <t>11221</t>
  </si>
  <si>
    <t>ODSTRANĚNÍ PAŘEZŮ D DO 0,5M</t>
  </si>
  <si>
    <t>-1909487699</t>
  </si>
  <si>
    <t>Poznámka k souboru cen:_x000D_
Položka zahrnuje zejména: - vytrhání nebo vykopání pařezů - veškeré zemní práce spojené s odstraněním pařezů - dopravu a uložení pařezů, případně další práce s nimi dle pokynů zadávací dokumentace - zásyp jam po pařezech. Položka nezahrnuje: - x Způsob měření: - počet pařezů se měří v [ks] vytrhaných nebo vykopaných pařezů, průměr pařezu je uvažován dle stromu ve výšce 1,3m nad terénem, u stávajícího pařezu se stanoví jako změřený průměr vynásobený koeficientem 1/1,38.</t>
  </si>
  <si>
    <t>A14</t>
  </si>
  <si>
    <t>11313</t>
  </si>
  <si>
    <t>ODSTRANĚNÍ KRYTU ZPEVNĚNÝCH PLOCH S ASFALTOVÝM POJIVEM</t>
  </si>
  <si>
    <t>-2480460</t>
  </si>
  <si>
    <t>R-mat</t>
  </si>
  <si>
    <t>Poznámka k souboru cen:_x000D_
Položka zahrnuje: - veškerou manipulaci s vybouranou sutí a s vybouranými hmotami vč. uložení na skládku. Položka nezahrnuje: - poplatek za skládku, který se vykazuje v položce 0141** (s výjimkou malého množství bouraného materiálu, kde je možné poplatek zahrnout do jednotkové ceny bourání – tento fakt musí být uveden v doplňujícím textu k položce).</t>
  </si>
  <si>
    <t>A15</t>
  </si>
  <si>
    <t>"Záliv pro údržbu "178*0,2</t>
  </si>
  <si>
    <t>11315</t>
  </si>
  <si>
    <t>ODSTRANĚNÍ KRYTU ZPEVNĚNÝCH PLOCH Z BETONU</t>
  </si>
  <si>
    <t>191291562</t>
  </si>
  <si>
    <t>Poznámka k souboru cen:_x000D_
Položka zahrnuje: - veškerou manipulaci s vybouranou sutí a s vybouranými hmotami vč. uložení na skládku. Položka nezahrnuje: - poplatek za skládku, který se vykazuje v položce 0141** (s výjimkou malého množství bouraného materiálu, kde je možné poplatek zahrnout do jednotkové ceny bourání – tento fakt musí být uveden v doplňujícím textu k položce). jednotkové ceny bourání – tento fakt musí být uveden v doplňujícím textu k položce).</t>
  </si>
  <si>
    <t>A16</t>
  </si>
  <si>
    <t>"odvodnění podél PHSplocha*tl. "118*0,20</t>
  </si>
  <si>
    <t>11328</t>
  </si>
  <si>
    <t>ODSTRANĚNÍ PŘÍKOPŮ, ŽLABŮ A RIGOLŮ Z PŘÍKOPOVÝCH TVÁRNIC</t>
  </si>
  <si>
    <t>-1791382848</t>
  </si>
  <si>
    <t>Poznámka k souboru cen:_x000D_
Položka zahrnuje: - odstranění tvárnic včetně podkladu - veškerou manipulaci s vybouranou sutí a s vybouranými hmotami, vč. uložení na skládku. Položka nezahrnuje: - poplatek za skládku, který se vykazuje v položce 0141** (s výjimkou malého množství bouraného materiálu, kde je možné poplatek zahrnout do jednotkové ceny bourání – tento fakt musí být uveden v doplňujícím textu k položce). jednotkové ceny bourání – tento fakt musí být uveden v doplňujícím textu k položce).</t>
  </si>
  <si>
    <t>A17</t>
  </si>
  <si>
    <t>"příkop (dl ze situace*š) "1315*0,8</t>
  </si>
  <si>
    <t>B9</t>
  </si>
  <si>
    <t>"skluz u mostu "15*0,8</t>
  </si>
  <si>
    <t>C9</t>
  </si>
  <si>
    <t>"napojení u PHS "15*0,8</t>
  </si>
  <si>
    <t>D9</t>
  </si>
  <si>
    <t>"Mezisoučet "1076.000000</t>
  </si>
  <si>
    <t>11352</t>
  </si>
  <si>
    <t>ODSTRANĚNÍ CHODNÍKOVÝCH A SILNIČNÍCH OBRUBNÍKŮ BETONOVÝCH</t>
  </si>
  <si>
    <t>M</t>
  </si>
  <si>
    <t>-60077411</t>
  </si>
  <si>
    <t>A18</t>
  </si>
  <si>
    <t>"odvodnění podél PHS "94</t>
  </si>
  <si>
    <t>B10</t>
  </si>
  <si>
    <t>"SDP v km 4,5 "53</t>
  </si>
  <si>
    <t>C10</t>
  </si>
  <si>
    <t>"Mezisoučet "147.000000</t>
  </si>
  <si>
    <t>11</t>
  </si>
  <si>
    <t>11372</t>
  </si>
  <si>
    <t>FRÉZOVÁNÍ ZPEVNĚNÝCH PLOCH ASFALTOVÝCH</t>
  </si>
  <si>
    <t>1850653226</t>
  </si>
  <si>
    <t>Odkoupení zhotovitelem na místě dle kupní smlouvy</t>
  </si>
  <si>
    <t>A19</t>
  </si>
  <si>
    <t>"plocha ze situace*tl "17771*0,13</t>
  </si>
  <si>
    <t>12</t>
  </si>
  <si>
    <t>12573</t>
  </si>
  <si>
    <t>VYKOPÁVKY ZE ZEMNÍKŮ A SKLÁDEK TŘ. I</t>
  </si>
  <si>
    <t>483176381</t>
  </si>
  <si>
    <t>Poznámka k souboru cen:_x000D_
Položka zahrnuje: - vodorovnou a svislou dopravu, přemístění, přeložení, manipulace s výkopkem - kompletní provedení vykopávky nezapažené i zapažené - ošetření výkopiště po celou dobu práce v něm vč. klimatických opatření - ztížení vykopávek v blízkosti podzemního vedení, konstrukcí a objektů vč. jejich dočasného zajištění - ztížení pod vodou, v okolí výbušnin, ve stísněných prostorech a pod. - příplatek za lepivost - těžení po vrstvách, pásech a po jiných nutných částech (figurách) - čerpání vody vč. čerpacích jímek, potrubí a pohotovostní čerpací soupravy (viz ustanovení k pol. 1151,2) - potřebné snížení hladiny podzemní vody - těžení a rozpojování jednotlivých balvanů - vytahování a nošení výkopku - ruční vykopávky, odstranění kořenů a napadávek - pažení, vzepření a rozepření vč. přepažování (vyjma pažení záporového a štětových stěn) - úpravu, ochranu a očištění dna, základové spáry, stěn a svahů - udržování výkopiště a jeho ochrana proti vodě - odvedení nebo obvedení vody v okolí výkopiště a ve výkopišti - třídění výkopku - veškeré pomocné konstrukce umožňující provedení vykopávky (příjezdy, sjezdy, nájezdy, lešení, podpěr. konstr., přemostění, zpevněné plochy, zakrytí a pod.) Položka nezahrnuje: - práce spojené s otvírkou zemníku</t>
  </si>
  <si>
    <t>A20</t>
  </si>
  <si>
    <t>"p18247 "11323*0.15</t>
  </si>
  <si>
    <t>13</t>
  </si>
  <si>
    <t>12924</t>
  </si>
  <si>
    <t>ČIŠTĚNÍ KRAJNIC OD NÁNOSU TL. DO 200MM</t>
  </si>
  <si>
    <t>-1512682232</t>
  </si>
  <si>
    <t>A21</t>
  </si>
  <si>
    <t>"plocha ze situace "2038</t>
  </si>
  <si>
    <t>14</t>
  </si>
  <si>
    <t>12933</t>
  </si>
  <si>
    <t>ČIŠTĚNÍ PŘÍKOPŮ OD NÁNOSU PŘES 0,50M3/M</t>
  </si>
  <si>
    <t>-260587788</t>
  </si>
  <si>
    <t>A22</t>
  </si>
  <si>
    <t>"příkop "1315</t>
  </si>
  <si>
    <t>B14</t>
  </si>
  <si>
    <t>"u PHS "15</t>
  </si>
  <si>
    <t>C14</t>
  </si>
  <si>
    <t>"skluz "15</t>
  </si>
  <si>
    <t>D14</t>
  </si>
  <si>
    <t>"Mezisoučet "1345.000000</t>
  </si>
  <si>
    <t>12970</t>
  </si>
  <si>
    <t>ČIŠTĚNÍ KANALIZAČNÍCH ŠACHET</t>
  </si>
  <si>
    <t>634695507</t>
  </si>
  <si>
    <t>A23</t>
  </si>
  <si>
    <t>"šachty v SDP "9</t>
  </si>
  <si>
    <t>16</t>
  </si>
  <si>
    <t>12993</t>
  </si>
  <si>
    <t>ČIŠTĚNÍ POTRUBÍ DN DO 200MM</t>
  </si>
  <si>
    <t>-489015008</t>
  </si>
  <si>
    <t>A24</t>
  </si>
  <si>
    <t>"Drenáž v SDP "502</t>
  </si>
  <si>
    <t>17</t>
  </si>
  <si>
    <t>13273</t>
  </si>
  <si>
    <t>HLOUBENÍ RÝH ŠÍŘ DO 2M PAŽ I NEPAŽ TŘ. I</t>
  </si>
  <si>
    <t>216563540</t>
  </si>
  <si>
    <t>Poznámka k souboru cen:_x000D_
Položka zahrnuje: - vodorovnou a svislou dopravu, přemístění, přeložení, manipulace s výkopkem - kompletní provedení vykopávky nezapažené i zapažené - ošetření výkopiště po celou dobu práce v něm vč. klimatických opatření - ztížení vykopávek v blízkosti podzemního vedení, konstrukcí a objektů vč. jejich dočasného zajištění - ztížení pod vodou, v okolí výbušnin, ve stísněných prostorech a pod. - příplatek za lepivost - těžení po vrstvách, pásech a po jiných nutných částech (figurách) - čerpání vody vč. čerpacích jímek, potrubí a pohotovostní čerpací soupravy (viz ustanovení k pol. 1151,2) - potřebné snížení hladiny podzemní vody - těžení a rozpojování jednotlivých balvanů - vytahování a nošení výkopku - svahování a přesvah. svahů do konečného tvaru, výměna hornin v podloží a v pláni znehodnocené klimatickými vlivy - ruční vykopávky, odstranění kořenů a napadávek - pažení, vzepření a rozepření vč. přepažování (vyjma pažení záporového a štětových stěn) - úpravu, ochranu a očištění dna, základové spáry, stěn a svahů - odvedení nebo obvedení vody v okolí výkopiště a ve výkopišti - třídění výkopku - veškeré pomocné konstrukce umožňující provedení vykopávky (příjezdy, sjezdy, nájezdy, lešení, podpěr. konstr., přemostění, zpevněné plochy, zakrytí a pod.) Položka nezahrnuje: - uložení zeminy (na skládku, do násypu) ani poplatky za skládku, vykazují se v položce č.0141**</t>
  </si>
  <si>
    <t>A25</t>
  </si>
  <si>
    <t>"nová drenáž "2*223*1,5*0,5</t>
  </si>
  <si>
    <t>B17</t>
  </si>
  <si>
    <t>"drenážní šachty (počet*objem výkopu) "12*8,3</t>
  </si>
  <si>
    <t>C17</t>
  </si>
  <si>
    <t>"rýha pro žlabovku (dl*tl*š) "1345*0,2*1</t>
  </si>
  <si>
    <t>D17</t>
  </si>
  <si>
    <t>"rýha pro oplocení "25*0,5*0,2</t>
  </si>
  <si>
    <t>E17</t>
  </si>
  <si>
    <t>"Mezisoučet "705.600000</t>
  </si>
  <si>
    <t>18</t>
  </si>
  <si>
    <t>14173</t>
  </si>
  <si>
    <t>PROTLAČOVÁNÍ POTRUBÍ Z PLAST HMOT DN DO 200MM</t>
  </si>
  <si>
    <t>-1854543940</t>
  </si>
  <si>
    <t>Poznámka k souboru cen:_x000D_
Položka zahrnuje: - dodávku protlačovaného potrubí - veškeré pomocné práce (startovací zařízení, startovací a cílová jáma, opěrné a vodící bloky a pod.) Položka nezahrnuje: - x</t>
  </si>
  <si>
    <t>A26</t>
  </si>
  <si>
    <t>"drenáž pod komunikací "13</t>
  </si>
  <si>
    <t>19</t>
  </si>
  <si>
    <t>17120</t>
  </si>
  <si>
    <t>ULOŽENÍ SYPANINY DO NÁSYPŮ A NA SKLÁDKY BEZ ZHUTNĚNÍ</t>
  </si>
  <si>
    <t>-1399362078</t>
  </si>
  <si>
    <t>Poznámka k souboru cen:_x000D_
Položka zahrnuje: - kompletní provedení zemní konstrukce do předepsaného tvaru - ošetření úložiště po celou dobu práce v něm vč. klimatických opatření - ztížení v okolí vedení, konstrukcí a objektů a jejich dočasné zajištění - ztížení provádění ve ztížených podmínkách a stísněných prostorech - ztížené ukládání sypaniny pod vodu - ukládání po vrstvách a po jiných nutných částech (figurách) vč. dosypávek - spouštění a nošení materiálu - úprava, očištění a ochrana podloží a svahů - svahování, uzavírání povrchů svahů - udržování úložiště a jeho ochrana proti vodě - odvedení nebo obvedení vody v okolí úložiště a v úložišti - veškeré pomocné konstrukce umožňující provedení zemní konstrukce (příjezdy, sjezdy, nájezdy, lešení, podpěrné konstrukce, přemostění, zpevněné plochy, zakrytí a pod.) Položka nezahrnuje: - x</t>
  </si>
  <si>
    <t>A27</t>
  </si>
  <si>
    <t>"p13273 "705,60</t>
  </si>
  <si>
    <t>20</t>
  </si>
  <si>
    <t>17481</t>
  </si>
  <si>
    <t>ZÁSYP JAM A RÝH Z NAKUPOVANÝCH MATERIÁLŮ</t>
  </si>
  <si>
    <t>-1899384599</t>
  </si>
  <si>
    <t>Poznámka k souboru cen:_x000D_
Položka zahrnuje: - kompletní provedení zemní konstrukce včetně nákupu a dopravy materiálu dle zadávací dokumentace - úprava ukládaného materiálu vlhčením, tříděním, promícháním nebo vysoušením, příp. jiné úpravy za účelem zlepšení jeho mech. vlastností - hutnění i různé míry hutnění - ošetření úložiště po celou dobu práce v něm vč. klimatických opatření - ztížení v okolí vedení, konstrukcí a objektů a jejich dočasné zajištění - ztížení provádění vč. hutnění ve ztížených podmínkách a stísněných prostorech - ztížené ukládání sypaniny pod vodu - ukládání po vrstvách a po jiných nutných částech (figurách) vč. dosypávek - spouštění a nošení materiálu - výměna částí zemní konstrukce znehodnocené klimatickými vlivy - udržování úložiště a jeho ochrana proti vodě - odvedení nebo obvedení vody v okolí úložiště a v úložišti - veškeré pomocné konstrukce umožňující provedení zemní konstrukce (příjezdy, sjezdy, nájezdy, lešení, podpěrné konstrukce, přemostění, zpevněné plochy, zakrytí a pod.) Položka nezahrnuje: - x</t>
  </si>
  <si>
    <t>A28</t>
  </si>
  <si>
    <t>"nová drenáž (dl*plocha z řezu) "2*223*0,58</t>
  </si>
  <si>
    <t>B20</t>
  </si>
  <si>
    <t>"nové šachty (počet*objem zásypu) "12*6,12</t>
  </si>
  <si>
    <t>C20</t>
  </si>
  <si>
    <t>"rušené šachty (počet*objem zásypu) "4*8,3</t>
  </si>
  <si>
    <t>D20</t>
  </si>
  <si>
    <t>"Mezisoučet "365.320000</t>
  </si>
  <si>
    <t>17581</t>
  </si>
  <si>
    <t>OBSYP POTRUBÍ A OBJEKTŮ Z NAKUPOVANÝCH MATERIÁLŮ</t>
  </si>
  <si>
    <t>933995085</t>
  </si>
  <si>
    <t>Poznámka k souboru cen:_x000D_
Položka zahrnuje: - kompletní provedení zemní konstrukce včetně nákupu a dopravy materiálu dle zadávací dokumentace - úprava ukládaného materiálu vlhčením, tříděním, promícháním nebo vysoušením, příp. jiné úpravy za účelem zlepšení jeho mech. vlastností - hutnění i různé míry hutnění - ošetření úložiště po celou dobu práce v něm vč. klimatických opatření - ztížení v okolí vedení, konstrukcí a objektů a jejich dočasné zajištění - ztížení provádění vč. hutnění ve ztížených podmínkách a stísněných prostorech - ztížené ukládání sypaniny pod vodu - ukládání po vrstvách a po jiných nutných částech (figurách) vč. dosypávek - spouštění a nošení materiálu - výměna částí zemní konstrukce znehodnocené klimatickými vlivy - ruční hutnění a výplň jam a prohlubní v podloží - úprava, očištění, ochrana a zhutnění podloží - svahování, hutnění a uzavírání povrchů svahů - zřízení lavic na svazích - udržování úložiště a jeho ochrana proti vodě - odvedení nebo obvedení vody v okolí úložiště a v úložišti - veškeré pomocné konstrukce umožňující provedení zemní konstrukce (příjezdy, sjezdy, nájezdy, lešení, podpěrné konstrukce, přemostění, zpevněné plochy, zakrytí a pod.) Položka nezahrnuje: - x Způsob měření: - zemina vytlačená potrubím o DN 180mm se od kubatury obsypů neodečítá</t>
  </si>
  <si>
    <t>A29</t>
  </si>
  <si>
    <t>"nová drenáž (dl*plocha z řezu) "2*223*0,123</t>
  </si>
  <si>
    <t>22</t>
  </si>
  <si>
    <t>18110</t>
  </si>
  <si>
    <t>ÚPRAVA PLÁNĚ SE ZHUTNĚNÍM V HORNINĚ TŘ. I</t>
  </si>
  <si>
    <t>-922082355</t>
  </si>
  <si>
    <t>Poznámka k souboru cen:_x000D_
Položka zahrnuje: - úpravu pláně včetně vyrovnání výškových rozdílů. Míru zhutnění určuje projekt. Položka nezahrnuje: - x</t>
  </si>
  <si>
    <t>A30</t>
  </si>
  <si>
    <t>"Záliv pro údržbu "178</t>
  </si>
  <si>
    <t>23</t>
  </si>
  <si>
    <t>18210</t>
  </si>
  <si>
    <t>ÚPRAVA POVRCHŮ SROVNÁNÍM ÚZEMÍ</t>
  </si>
  <si>
    <t>1603059774</t>
  </si>
  <si>
    <t>Poznámka k souboru cen:_x000D_
Položka zahrnuje: - úpravu pláně včetně vyrovnání výškových rozdílů Položka nezahrnuje: - x</t>
  </si>
  <si>
    <t>B23</t>
  </si>
  <si>
    <t>"SDP úpravy pod svodidlem(dl x š x tl) "(1435+182+66)*3*0,1</t>
  </si>
  <si>
    <t>C23</t>
  </si>
  <si>
    <t>"Pod nové žlaby "1345*0,1</t>
  </si>
  <si>
    <t>A31</t>
  </si>
  <si>
    <t>"Pod oplocení "25*0,6*0,1</t>
  </si>
  <si>
    <t>D23</t>
  </si>
  <si>
    <t>"Mezisoučet "640.900000</t>
  </si>
  <si>
    <t>24</t>
  </si>
  <si>
    <t>18222</t>
  </si>
  <si>
    <t>ROZPROSTŘENÍ ORNICE VE SVAHU V TL DO 0,15M</t>
  </si>
  <si>
    <t>744350593</t>
  </si>
  <si>
    <t>Poznámka k souboru cen:_x000D_
Položka zahrnuje: - nutné přemístění ornice z dočasných skládek vzdálených do 50m - rozprostření ornice v předepsané tloušťce ve svahu přes 1:5 Položka nezahrnuje: - x</t>
  </si>
  <si>
    <t>A32</t>
  </si>
  <si>
    <t>6345</t>
  </si>
  <si>
    <t>25</t>
  </si>
  <si>
    <t>18232</t>
  </si>
  <si>
    <t>ROZPROSTŘENÍ ORNICE V ROVINĚ V TL DO 0,15M</t>
  </si>
  <si>
    <t>-248653842</t>
  </si>
  <si>
    <t>Poznámka k souboru cen:_x000D_
Položka zahrnuje: - nutné přemístění ornice z dočasných skládek vzdálených do 50m - rozprostření ornice v předepsané tloušťce v rovině a ve svahu do 1:5 Položka nezahrnuje: - x</t>
  </si>
  <si>
    <t>A33</t>
  </si>
  <si>
    <t>"SDP "4978</t>
  </si>
  <si>
    <t>26</t>
  </si>
  <si>
    <t>18241</t>
  </si>
  <si>
    <t>ZALOŽENÍ TRÁVNÍKU RUČNÍM VÝSEVEM</t>
  </si>
  <si>
    <t>1565043149</t>
  </si>
  <si>
    <t>Poznámka k souboru cen:_x000D_
Položka zahrnuje: - dodání předepsané travní směsi, její výsev na ornici, zalévání, první pokosení, to vše bez ohledu na sklon terénu Položka nezahrnuje: - x</t>
  </si>
  <si>
    <t>A34</t>
  </si>
  <si>
    <t>6345+4978</t>
  </si>
  <si>
    <t>27</t>
  </si>
  <si>
    <t>18247</t>
  </si>
  <si>
    <t>OŠETŘOVÁNÍ TRÁVNÍKU</t>
  </si>
  <si>
    <t>1652153407</t>
  </si>
  <si>
    <t>Poznámka k souboru cen:_x000D_
Položka zahrnuje: - pokosení se shrabáním, naložení shrabků na dopravní prostředek, s odvozem a se složením, to vše bez ohledu na sklon terénu - nutné zalití a hnojení Položka nezahrnuje: - x</t>
  </si>
  <si>
    <t>A35</t>
  </si>
  <si>
    <t>11323</t>
  </si>
  <si>
    <t>Základy</t>
  </si>
  <si>
    <t>28</t>
  </si>
  <si>
    <t>21264</t>
  </si>
  <si>
    <t>TRATIVODY KOMPL Z TRUB Z PLAST HMOT DN DO 200MM</t>
  </si>
  <si>
    <t>170952406</t>
  </si>
  <si>
    <t>Poznámka k souboru cen:_x000D_
Položka zahrnuje: - platí pro kompletní konstrukce trativodů: - výkop rýhy předepsaného tvaru v dané třídě těžitelnosti, výplň, zásyp trativodu včetně dopravy, uložení přebytečného materiálu, dodávky předepsaného materiálu pro výplň a zásyp - zřízení spojovací vrstvy - zřízení podkladu a lože trativodu z předepsaného materiálu - dodávka a uložení trativodu předepsaného materiálu a profilu - obsyp trativodu předepsaným materiálem - ukončení trativodu zaústěním do potrubí nebo vodoteče, případně vybudování ukončujícího objektu (kapličky) dle VL - veškerý materiál, výrobky a polotovary, včetně mimostaveništní a vnitrostaveništní dopravy Položka nezahrnuje: - opláštění z geotextilie, fólie</t>
  </si>
  <si>
    <t>A36</t>
  </si>
  <si>
    <t>"drenáž "2*223</t>
  </si>
  <si>
    <t>29</t>
  </si>
  <si>
    <t>289971</t>
  </si>
  <si>
    <t>OPLÁŠTĚNÍ (ZPEVNĚNÍ) Z GEOTEXTILIE</t>
  </si>
  <si>
    <t>1046959205</t>
  </si>
  <si>
    <t>Poznámka k souboru cen:_x000D_
Položka zahrnuje: - dodávku předepsané geotextilie - úpravu, očištění a ochranu podkladu - přichycení k podkladu, případně zatížení - úpravy spojů a zajištění okrajů - úpravy pro odvodnění - nutné přesahy - mimostaveništní a vnitrostaveništní dopravu Položka nezahrnuje: - x Způsob měření: - přesahy se nezapočítávají do výměry</t>
  </si>
  <si>
    <t>A37</t>
  </si>
  <si>
    <t>"trativodydl x rozvinutá dl z řezu "223*2,5</t>
  </si>
  <si>
    <t>B29</t>
  </si>
  <si>
    <t>"rýha pod plotdl. x rozvinutá dl z řezu "25*0,9</t>
  </si>
  <si>
    <t>C29</t>
  </si>
  <si>
    <t>"Mezisoučet "580.000000</t>
  </si>
  <si>
    <t>Svislé konstrukce</t>
  </si>
  <si>
    <t>30</t>
  </si>
  <si>
    <t>33817C</t>
  </si>
  <si>
    <t>SLOUPKY PLOTOVÉ Z DÍLCŮ KOVOVÝCH  DO BETONOVÝCH PATEK</t>
  </si>
  <si>
    <t>KS</t>
  </si>
  <si>
    <t>-1972123939</t>
  </si>
  <si>
    <t>Poznámka k souboru cen:_x000D_
Položka zahrnuje: - dodání a osazení předepsaného sloupku včetně PKO - případnou betonovou patku z předepsané třídy betonu - nutné zemní práce Položka nezahrnuje: -x</t>
  </si>
  <si>
    <t>A38</t>
  </si>
  <si>
    <t>"dl oplocení; á 4m + 1 krajní "25/4+1</t>
  </si>
  <si>
    <t>B30</t>
  </si>
  <si>
    <t>"zaokrouhlení "-0,25</t>
  </si>
  <si>
    <t>C30</t>
  </si>
  <si>
    <t>"Mezisoučet "7.000000</t>
  </si>
  <si>
    <t>31</t>
  </si>
  <si>
    <t>33817D</t>
  </si>
  <si>
    <t>VZPĚRY PLOTOVÉ Z DÍLCŮ KOVOVÝCH  DO BETONOVÝCH PATEK</t>
  </si>
  <si>
    <t>-251825174</t>
  </si>
  <si>
    <t>Poznámka k souboru cen:_x000D_
Položka zahrnuje: - dodání a osazení předepsané vzpěry včetně PKO - případnou betonovou patku z předepsané třídy betonu - nutné zemní práce Položka nezahrnuje: - x</t>
  </si>
  <si>
    <t>A39</t>
  </si>
  <si>
    <t>"krajní+rohové "2+2</t>
  </si>
  <si>
    <t>Vodorovné konstrukce</t>
  </si>
  <si>
    <t>32</t>
  </si>
  <si>
    <t>451311</t>
  </si>
  <si>
    <t>PODKL A VÝPLŇ VRSTVY Z PROST BET DO C8/10</t>
  </si>
  <si>
    <t>1273031243</t>
  </si>
  <si>
    <t>Poznámka k souboru cen:_x000D_
Položka zahrnuje: - dodání čerstvého betonu (betonové směsi) požadované kvality, jeho uložení do požadovaného tvaru při jakékoliv hustotě výztuže, konzistenci čerstvého betonu a způsobu hutnění, ošetření a ochranu betonu, - zhotovení nepropustného, mrazuvzdorného betonu a betonu požadované trvanlivosti a vlastností, užití potřebných přísad a technologií výroby betonu, - zřízení pracovních a dilatačních spar, včetně potřebných úprav, výplně, vložek, opracování, očištění a ošetření, - bednění požadovaných konstr. (i ztracené) s úpravou dle požadované kvality povrchu betonu, včetně odbedňovacích a odskružovacích prostředků, nátěrů zabraňujících soudržnosti betonu a bednění, - podpěrné konstr. (skruže) a lešení všech druhů pro bednění, vč. ochranných a bezpečnostních opatření a základů těchto konstrukcí a lešení, - vytvoření kotevních čel, kapes, nálitků a sedel, zřízení všech požadovaných otvorů, výklenků, prostupů, dutin, drážek a pod., vč. ztížení práce a úprav kolem nich, - úpravy pro osazení výztuže, doplňkových konstrukcí a vybavení, - úpravy povrchu pro položení požadované izolace, povlaků a nátěrů, případně vyspravení, - ztížení práce u kabelových a injektážních trubek a ostatních zařízení osazovaných do betonu, - konstrukce betonových kloubů, upevnění kotevních prvků a doplňkových konstrukcí, - nátěry zabraňující soudržnost betonu a bednění, - výplň, těsnění a tmelení spar a spojů, - opatření povrchů betonu izolací proti zemní vlhkosti v částech, kde přijdou do styku se zeminou nebo kamenivem, - případné zřízení spojovací vrstvy u základů, - úpravy pro osazení zařízení ochrany konstrukce proti vlivu bludných proudů, Položka nezahrnuje: - x</t>
  </si>
  <si>
    <t>A40</t>
  </si>
  <si>
    <t>"podklad pod šachty (ks*plocha z řezu*tl.) "12*1,64*0,1</t>
  </si>
  <si>
    <t>33</t>
  </si>
  <si>
    <t>45152</t>
  </si>
  <si>
    <t>PODKLADNÍ A VÝPLŇOVÉ VRSTVY Z KAMENIVA DRCENÉHO</t>
  </si>
  <si>
    <t>1772509824</t>
  </si>
  <si>
    <t>ŠDB 0/22 --0/32</t>
  </si>
  <si>
    <t>Poznámka k souboru cen:_x000D_
Položka zahrnuje: - dodávku předepsaného kameniva - mimostaveništní a vnitrostaveništní dopravu a jeho uložení - není-li v zadávací dokumentaci uvedeno jinak, jedná se o nakupovaný materiál Položka nezahrnuje: - x</t>
  </si>
  <si>
    <t>A42</t>
  </si>
  <si>
    <t>"podsyp šachet (ks*plocha z řezu*tl) "12*3,53*0,1</t>
  </si>
  <si>
    <t>B34</t>
  </si>
  <si>
    <t>"podsyp drenáž (dl*plocha z řezu) "2*223*0,05</t>
  </si>
  <si>
    <t>C34</t>
  </si>
  <si>
    <t>"podsyp pod žlabovky (dl.*tl*š) "1345*0,25*1</t>
  </si>
  <si>
    <t>D34</t>
  </si>
  <si>
    <t>"Mezisoučet "362.786000</t>
  </si>
  <si>
    <t>34</t>
  </si>
  <si>
    <t>45152.1</t>
  </si>
  <si>
    <t>-1878603081</t>
  </si>
  <si>
    <t>ŠDA 0/32</t>
  </si>
  <si>
    <t>A41</t>
  </si>
  <si>
    <t>"odvodňovací žlab u PHS "118*0,1</t>
  </si>
  <si>
    <t>35</t>
  </si>
  <si>
    <t>45152.2</t>
  </si>
  <si>
    <t>-304124093</t>
  </si>
  <si>
    <t>ŠDB 16/32</t>
  </si>
  <si>
    <t>A43</t>
  </si>
  <si>
    <t>"zásyp rýhy oplocenídl x š x hl * nadvýšení "25*0,5*0,2*1,125</t>
  </si>
  <si>
    <t>36</t>
  </si>
  <si>
    <t>46591</t>
  </si>
  <si>
    <t>DLAŽBY Z KAMENICKÝCH VÝROBKŮ</t>
  </si>
  <si>
    <t>163221812</t>
  </si>
  <si>
    <t>Poznámka k souboru cen:_x000D_
Položka zahrnuje: - nutné zemní práce (svahování, úpravu pláně a pod.) - úpravu podkladu - zřízení spojovací vrstvy - zřízení lože dlažby z předepsaného materiálu - dodávku a uložení dlažby z předepsaných kamenických výrobků do předepsaného tvaru - spárování, těsnění, tmelení a vyplnění spar případně s vyklínováním - úprava povrchu pro odvedení srážkové vody Položka nezahrnuje: - podklad pod dlažbu, vykazuje se samostatně položkami SD 45</t>
  </si>
  <si>
    <t>A44</t>
  </si>
  <si>
    <t>"obklad vyústění drenáže "0,8*0,6*0,25</t>
  </si>
  <si>
    <t>37</t>
  </si>
  <si>
    <t>466921</t>
  </si>
  <si>
    <t>DLAŽBY VEGETAČNÍ Z BETONOVÝCH DLAŽDIC NA SUCHO</t>
  </si>
  <si>
    <t>810804261</t>
  </si>
  <si>
    <t>Poznámka k souboru cen:_x000D_
Položka zahrnuje: - povrchovou úpravu podkladu - zřízení spojovací vrstvy - dodávku a uložení předepsaných dlažebních prvků do předepsaného tvaru - spárování, těsnění, tmelení a vyplnění spar případně s vyklínováním - úprava povrchu pro odvedení srážkové vody - výplň otvorů drnem nebo ornicí s osetím, případně kamenivem - výplň spar předepsaným materiálem - nutné zemní práce (svahování, úpravu pláně a pod.) Položka nezahrnuje: - podklad pod dlažbu, vykazuje se samostatně položkami SD 45</t>
  </si>
  <si>
    <t>A45</t>
  </si>
  <si>
    <t>"křížení vedení v SDP "4*0,6</t>
  </si>
  <si>
    <t>Komunikace</t>
  </si>
  <si>
    <t>38</t>
  </si>
  <si>
    <t>56360</t>
  </si>
  <si>
    <t>VOZOVKOVÉ VRSTVY Z RECYKLOVANÉHO MATERIÁLU</t>
  </si>
  <si>
    <t>1916261399</t>
  </si>
  <si>
    <t>Poznámka k souboru cen:_x000D_
Položka zahrnuje: - dodání recyklátu v požadované kvalitě - očištění podkladu - uložení recyklátu dle předepsaného technologického předpisu, zhutnění vrstvy v předepsané tloušťce - zřízení vrstvy bez rozlišení šířky, pokládání vrstvy po etapách, včetně pracovních spar a spojů - úpravu napojení, ukončení Položka nezahrnuje: - postřiky, nátěry</t>
  </si>
  <si>
    <t>A46</t>
  </si>
  <si>
    <t>"záliv pro údržbu (plocha ze situace*tl.) "178*0,2</t>
  </si>
  <si>
    <t>39</t>
  </si>
  <si>
    <t>56963</t>
  </si>
  <si>
    <t>ZPEVNĚNÍ KRAJNIC Z RECYKLOVANÉHO MATERIÁLU TL DO 150MM</t>
  </si>
  <si>
    <t>-387555536</t>
  </si>
  <si>
    <t>Poznámka k souboru cen:_x000D_
Položka zahrnuje: - dodání recyklátu předepsané kvality a zrnitosti - očištění podkladu - uložení recyklátu dle předepsaného technologického předpisu, zhutnění vrstvy v předepsané tloušťce - zřízení vrstvy bez rozlišení šířky, pokládání vrstvy po etapách, Položka nezahrnuje: - postřiky, nátěry</t>
  </si>
  <si>
    <t>A47</t>
  </si>
  <si>
    <t>1804</t>
  </si>
  <si>
    <t>40</t>
  </si>
  <si>
    <t>572214</t>
  </si>
  <si>
    <t>SPOJOVACÍ POSTŘIK Z MODIFIK EMULZE DO 0,5KG/M2</t>
  </si>
  <si>
    <t>2140116163</t>
  </si>
  <si>
    <t>Poznámka k souboru cen:_x000D_
Položka zahrnuje: - dodání všech předepsaných materiálů pro postřiky v předepsaném množství - provedení dle předepsaného technologického předpisu - zřízení vrstvy bez rozlišení šířky, pokládání vrstvy po etapách - úpravu napojení, ukončení Položka nezahrnuje: - x</t>
  </si>
  <si>
    <t>A48</t>
  </si>
  <si>
    <t>"pod SMAPlocha ze situace*koef. rozšíření "17059*1,0</t>
  </si>
  <si>
    <t>B40</t>
  </si>
  <si>
    <t>"pod ACLPlocha ze situace*koef. rozšíření "17059*1,02</t>
  </si>
  <si>
    <t>C40</t>
  </si>
  <si>
    <t>"pod ACPPlocha ze situace *koef. rozšíření "17059*1,04</t>
  </si>
  <si>
    <t>D40</t>
  </si>
  <si>
    <t>"pod ACO (SDP)Plocha ze situace "476</t>
  </si>
  <si>
    <t>E40</t>
  </si>
  <si>
    <t>"pod ACL (SDP)plocha ze situace "476</t>
  </si>
  <si>
    <t>F40</t>
  </si>
  <si>
    <t>"pod ACP (odvodňovací žlab)plocha ze situace "118</t>
  </si>
  <si>
    <t>G40</t>
  </si>
  <si>
    <t>"Mezisoučet "53270.540000</t>
  </si>
  <si>
    <t>41</t>
  </si>
  <si>
    <t>572B52</t>
  </si>
  <si>
    <t>PRUŽNÁ MEMBRÁNA Z MODIFIK ASFALTU  DO 2,5KG/M2</t>
  </si>
  <si>
    <t>876059294</t>
  </si>
  <si>
    <t>Poznámka k souboru cen:_x000D_
Položka zahrnuje: - dodání všech předepsaných materiálů pro nátěry v předepsaném množství - provedení dle předepsaného technologického předpisu - zřízení vrstvy bez rozlišení šířky, pokládání vrstvy po etapách - úpravu napojení, ukončení Položka nezahrnuje: - x</t>
  </si>
  <si>
    <t>A49</t>
  </si>
  <si>
    <t>"plocha ze situace*koef rozšíř vrstev "17059*1,05</t>
  </si>
  <si>
    <t>42</t>
  </si>
  <si>
    <t>57326</t>
  </si>
  <si>
    <t>MIKROKOBEREC JEDNOVRSTVÝ FRAKCE KAMENIVA 0/5</t>
  </si>
  <si>
    <t>-1384426658</t>
  </si>
  <si>
    <t>Poznámka k souboru cen:_x000D_
Položka zahrnuje: - očištění povrchu podkladu, zakrytí poklopů, mříží a pod. - dodání veškerého potřebného materiálu (kamenivo předepsané frakce, emulze, přísady, voda) - pokládku jedné vrstvy (tloušťka je dána frakcí použitého kameniva) - zhutnění (pokud je předepsáno zadávací dokumentací) Položka nezahrnuje: - odstranění vodorovného dopravního zančení a spojovací postřik</t>
  </si>
  <si>
    <t>A50</t>
  </si>
  <si>
    <t>43</t>
  </si>
  <si>
    <t>574B34</t>
  </si>
  <si>
    <t>ASFALTOVÝ BETON PRO OBRUSNÉ VRSTVY MODIFIK ACO 11+ TL. 40MM</t>
  </si>
  <si>
    <t>-566624737</t>
  </si>
  <si>
    <t>Poznámka k souboru cen:_x000D_
Položka zahrnuje: - dodání směsi v požadované kvalitě - očištění podkladu - uložení směsi dle předepsaného technologického předpisu, zhutnění vrstvy v předepsané tloušťce - zřízení vrstvy bez rozlišení šířky, pokládání vrstvy po etapách, včetně pracovních spar a spojů - úpravu napojení, ukončení podél obrubníků, dilatačních zařízení, odvodňovacích proužků, odvodňovačů, vpustí, šachet a pod. Položka nezahrnuje: - postřiky, nátěry - těsnění podél obrubníků, dilatačních zařízení, odvodňovacích proužků, odvodňovačů, vpustí, šachet a pod.</t>
  </si>
  <si>
    <t>A51</t>
  </si>
  <si>
    <t>"plocha ze situace (SDP) "476</t>
  </si>
  <si>
    <t>44</t>
  </si>
  <si>
    <t>574D68</t>
  </si>
  <si>
    <t>ASFALTOVÝ BETON PRO LOŽNÍ VRSTVY MODIFIK ACL 22+, 22S TL. 70MM</t>
  </si>
  <si>
    <t>-1235767701</t>
  </si>
  <si>
    <t>A52</t>
  </si>
  <si>
    <t>"plocha ze situace*koef rozšíř vrstev "17059*1,03</t>
  </si>
  <si>
    <t>B44</t>
  </si>
  <si>
    <t>"Plocha ze situace (SDP) "476</t>
  </si>
  <si>
    <t>C44</t>
  </si>
  <si>
    <t>"Mezisoučet "18046.770000</t>
  </si>
  <si>
    <t>45</t>
  </si>
  <si>
    <t>574F58</t>
  </si>
  <si>
    <t>ASFALTOVÝ BETON PRO PODKLADNÍ VRSTVY MODIFIK ACP 22+, 22S TL. 60MM</t>
  </si>
  <si>
    <t>-549769821</t>
  </si>
  <si>
    <t>A53</t>
  </si>
  <si>
    <t>"vozovkaplocha ze situace*koef rozšíř vrstev "17059*1,04</t>
  </si>
  <si>
    <t>B45</t>
  </si>
  <si>
    <t>"odvodňovací žlab "118</t>
  </si>
  <si>
    <t>C45</t>
  </si>
  <si>
    <t>"Mezisoučet "17859.360000</t>
  </si>
  <si>
    <t>46</t>
  </si>
  <si>
    <t>574J54</t>
  </si>
  <si>
    <t>ASFALTOVÝ KOBEREC MASTIXOVÝ MODIFIK SMA 11S TL. 40MM</t>
  </si>
  <si>
    <t>1916603127</t>
  </si>
  <si>
    <t>A54</t>
  </si>
  <si>
    <t>"plocha ze situace "17059</t>
  </si>
  <si>
    <t>47</t>
  </si>
  <si>
    <t>575D05</t>
  </si>
  <si>
    <t>LITÝ ASFALT MA I (SILNICE, DÁLNICE) 16 MODIFIK</t>
  </si>
  <si>
    <t>383773741</t>
  </si>
  <si>
    <t>A55</t>
  </si>
  <si>
    <t>"odvodňovací žlab u PHS "118*0,07</t>
  </si>
  <si>
    <t>48</t>
  </si>
  <si>
    <t>576411</t>
  </si>
  <si>
    <t>POSYP KAMENIVEM OBALOVANÝM 2KG/M2</t>
  </si>
  <si>
    <t>1780748540</t>
  </si>
  <si>
    <t>Poznámka k souboru cen:_x000D_
Položka zahrnuje: - dodání obalovaného kameniva předepsané kvality a zrnitosti - posyp předepsaným množstvím Položka nezahrnuje: - x</t>
  </si>
  <si>
    <t>A56</t>
  </si>
  <si>
    <t>17059</t>
  </si>
  <si>
    <t>49</t>
  </si>
  <si>
    <t>57790F</t>
  </si>
  <si>
    <t>VÝSPRAVA VÝTLUKŮ SMĚSÍ ACP MODIFIK (KUBATURA)</t>
  </si>
  <si>
    <t>-1346318094</t>
  </si>
  <si>
    <t>SE SOUHLASEM TDS</t>
  </si>
  <si>
    <t>Poznámka k souboru cen:_x000D_
Položka zahrnuje: - odfrézování nebo jiné odstranění poškozených vozovkových vrstev - zaříznutí hran - vyčištění - nátěr - dodání a výplň předepsanou zhutněnou balenou asfaltovou směsí - asfaltová zálivka Položka nezahrnuje: - x</t>
  </si>
  <si>
    <t>A57</t>
  </si>
  <si>
    <t>"plocha*tl*odhad rozsahu "17059*0,05*0,10</t>
  </si>
  <si>
    <t>50</t>
  </si>
  <si>
    <t>577A2</t>
  </si>
  <si>
    <t>VÝSPRAVA TRHLIN ASFALTOVOU ZÁLIVKOU MODIFIK</t>
  </si>
  <si>
    <t>1213659051</t>
  </si>
  <si>
    <t>Poznámka k souboru cen:_x000D_
Položka zahrnuje: - vyfrézování drážky šířky do 20mm hloubky do 40mm - vyčištění - nátěr - výplň předepsanou zálivkovou hmotou Položka nezahrnuje: - x</t>
  </si>
  <si>
    <t>A58</t>
  </si>
  <si>
    <t>"odhad rozsahu "500</t>
  </si>
  <si>
    <t>Přidružená stavební výroba</t>
  </si>
  <si>
    <t>51</t>
  </si>
  <si>
    <t>767912</t>
  </si>
  <si>
    <t>OPLOCENÍ Z DRÁTĚNÉHO PLETIVA POZINKOVANÉHO VYSOKOPEVNOSTNÍHO</t>
  </si>
  <si>
    <t>-127669591</t>
  </si>
  <si>
    <t>Poznámka k souboru cen:_x000D_
Položka zahrnuje: - vlastní pletivo - rámy, rošty, lišty, kování, podpěrné, závěsné, upevňovací prvky, spojovací a těsnící materiál, pomocný materiál, kompletní povrchovou úpravu. - případně i ostnatý drát Položka nezahrnuje: - sloupky a vzpěry, které se vykazují v samostatných položkách 338** - podezdívka (272**) Způsob měření: - uvažovaná plocha se pak vypočítává po horní hranu drátu</t>
  </si>
  <si>
    <t>A59</t>
  </si>
  <si>
    <t>"dl x výška "25*2,3</t>
  </si>
  <si>
    <t>52</t>
  </si>
  <si>
    <t>76796</t>
  </si>
  <si>
    <t>VRATA A VRÁTKA</t>
  </si>
  <si>
    <t>1164879843</t>
  </si>
  <si>
    <t>technické požadavky dle PPK-PLO (viz www.rsd.cz)
položka zahrnuje veškeré práce a potřebný materiál</t>
  </si>
  <si>
    <t>Poznámka k souboru cen:_x000D_
Položka zahrnuje: - vlastní vrata a vrátka - rámy, rošty, lišty, kování, podpěrné, závěsné, upevňovací prvky, spojovací a těsnící materiál, pomocný materiál - kompletní povrchovou úpravu - sloupky včetně kotvení, základové patky a nutných zemních prací - drobné zasklení nebo jiná předepsaná výplň - ostnatý drát Položka nezahrnuje: - x Způsob měření: - uvažovaná plocha se pak vypočítává po horní hranu drátu</t>
  </si>
  <si>
    <t>A60</t>
  </si>
  <si>
    <t>"š x v "1,2*2,5</t>
  </si>
  <si>
    <t>53</t>
  </si>
  <si>
    <t>76799</t>
  </si>
  <si>
    <t>OSTATNÍ KOVOVÉ DOPLŇK KONSTRUKCE</t>
  </si>
  <si>
    <t>T</t>
  </si>
  <si>
    <t>-498508852</t>
  </si>
  <si>
    <t>technické požadavky dle PPK-PLO (viz www.rsd.cz)
položka zahrnuje práce a veškerý materiál</t>
  </si>
  <si>
    <t>Poznámka k souboru cen:_x000D_
Položka zahrnuje: - vlastní zámečnické výrobky - rámy, rošty, lišty, kování, podpěrné, závěsné, upevňovací prvky, spojovací a těsnící materiál, pomocný materiál - kompletní povrchovou úpravu - u doplňkových stavebních konstrukcí je zahrnuto drobné zasklení nebo jiná předepsaná výplň Položka nezahrnuje: - x</t>
  </si>
  <si>
    <t>A61</t>
  </si>
  <si>
    <t>"zajištění příkopu (řetězy)š x á 0,1m x hl průměrná x hmotnost (řetěz min 0,4kg/m) "(0,8/0,1)*0,1*0,0004</t>
  </si>
  <si>
    <t>B53</t>
  </si>
  <si>
    <t>"napojení na most (kari síť)š x v x hmotnost (kari síť cca 3,5kg/m2) "0,6*2,3*0,0035</t>
  </si>
  <si>
    <t>C53</t>
  </si>
  <si>
    <t>"Mezisoučet "0.005100</t>
  </si>
  <si>
    <t>Potrubí</t>
  </si>
  <si>
    <t>54</t>
  </si>
  <si>
    <t>895122</t>
  </si>
  <si>
    <t>DRENÁŽNÍ ŠACHTICE KONTROLNÍ Z BETON DÍLCŮ ŠK 80</t>
  </si>
  <si>
    <t>-1219956871</t>
  </si>
  <si>
    <t>Poznámka k souboru cen:_x000D_
Položka zahrnuje: - poklopy s rámem předepsaného materiálu a tvaru - dodání a osazení předepsaných skruží požadovaného tvaru a vlastností, jejich skladování - dopravu vnitrostaveništní i mimostaveništní - výplň, těsnění a tmelení spár a spojů - očištění a ošetření úložných ploch - předepsané podkladní konstrukce Položka nezahrnuje: - x</t>
  </si>
  <si>
    <t>A62</t>
  </si>
  <si>
    <t>"drenáž "12</t>
  </si>
  <si>
    <t>55</t>
  </si>
  <si>
    <t>89921</t>
  </si>
  <si>
    <t>VÝŠKOVÁ ÚPRAVA POKLOPŮ</t>
  </si>
  <si>
    <t>434267688</t>
  </si>
  <si>
    <t>Poznámka k souboru cen:_x000D_
Položka zahrnuje: - všechny nutné práce a materiály pro zvýšení nebo snížení zařízení (včetně nutné úpravy stávajícího povrchu vozovky nebo chodníku) Položka nezahrnuje: - x</t>
  </si>
  <si>
    <t>A63</t>
  </si>
  <si>
    <t>"SDP "18</t>
  </si>
  <si>
    <t>Ostatní konstrukce a práce</t>
  </si>
  <si>
    <t>56</t>
  </si>
  <si>
    <t>9113B3</t>
  </si>
  <si>
    <t>SVODIDLO OCEL SILNIČ JEDNOSTR, ÚROVEŇ ZADRŽ H1 - DEMONTÁŽ S PŘESUNEM</t>
  </si>
  <si>
    <t>1200521673</t>
  </si>
  <si>
    <t>odkup zhotovitelem</t>
  </si>
  <si>
    <t>Poznámka k souboru cen:_x000D_
Položka zahrnuje: - demontáž a odstranění zařízení - jeho odvoz na předepsané místo Položka nezahrnuje: - x Způsob měření: - vykazuje se délka svodidla v základní výšce, délka náběhů se nezapočítává</t>
  </si>
  <si>
    <t>A64</t>
  </si>
  <si>
    <t>305</t>
  </si>
  <si>
    <t>B56</t>
  </si>
  <si>
    <t>C56</t>
  </si>
  <si>
    <t>"Pravá polovina "172</t>
  </si>
  <si>
    <t>D56</t>
  </si>
  <si>
    <t>"Mezisoučet "515.000000</t>
  </si>
  <si>
    <t>57</t>
  </si>
  <si>
    <t>9113C1</t>
  </si>
  <si>
    <t>SVODIDLO OCEL SILNIČ JEDNOSTR, ÚROVEŇ ZADRŽ H2 - DODÁVKA A MONTÁŽ</t>
  </si>
  <si>
    <t>1715108339</t>
  </si>
  <si>
    <t>Poznámka k souboru cen:_x000D_
Položka zahrnuje: - kompletní dodávku všech dílů certifikovaného ocelového svodidla s předepsanou povrchovou úpravou včetně spojovacích prvků - montáž a osazení svodidla, osazení sloupků zaberaněním nebo osazením do betonových bloků (včetně betonových bloků a nutných zemních prací) - výškové náběhy, ukončení zapuštěním do betonových bloků (včetně betonového bloku a nutných zemních prací) nebo koncovkou - přechod na jiný typ svodidla nebo přes mostní závěr - ochranu proti bludným proudům a vývody pro jejich měření Položka nezahrnuje: - odrazky nebo retroreflexní fólie Způsob měření: - vykazuje se délka svodidla v předepsané výšce, délka náběhů se nezapočítává</t>
  </si>
  <si>
    <t>A65</t>
  </si>
  <si>
    <t>308</t>
  </si>
  <si>
    <t>B57</t>
  </si>
  <si>
    <t>64</t>
  </si>
  <si>
    <t>C57</t>
  </si>
  <si>
    <t>"pravá polovina "172</t>
  </si>
  <si>
    <t>D57</t>
  </si>
  <si>
    <t>"Mezisoučet "544.000000</t>
  </si>
  <si>
    <t>58</t>
  </si>
  <si>
    <t>9114B3</t>
  </si>
  <si>
    <t>SVODIDLO OCEL SILNIČ OBOUSTR, ÚROVEŇ ZADRŽ H1 - DEMONTÁŽ S PŘESUNEM</t>
  </si>
  <si>
    <t>120177483</t>
  </si>
  <si>
    <t>Odkup zhotovitelem</t>
  </si>
  <si>
    <t>A66</t>
  </si>
  <si>
    <t>1435</t>
  </si>
  <si>
    <t>B58</t>
  </si>
  <si>
    <t>182</t>
  </si>
  <si>
    <t>C58</t>
  </si>
  <si>
    <t>60</t>
  </si>
  <si>
    <t>D58</t>
  </si>
  <si>
    <t>"Mezisoučet "1677.000000</t>
  </si>
  <si>
    <t>59</t>
  </si>
  <si>
    <t>9114D1</t>
  </si>
  <si>
    <t>SVODIDLO OCEL SILNIČ OBOUSTR, ÚROVEŇ ZADRŽ H3 - DODÁVKA A MONTÁŽ</t>
  </si>
  <si>
    <t>1135612025</t>
  </si>
  <si>
    <t>A67</t>
  </si>
  <si>
    <t>B59</t>
  </si>
  <si>
    <t>C59</t>
  </si>
  <si>
    <t>66</t>
  </si>
  <si>
    <t>D59</t>
  </si>
  <si>
    <t>"Mezisoučet "1683.000000</t>
  </si>
  <si>
    <t>91228</t>
  </si>
  <si>
    <t>SMĚROVÉ SLOUPKY Z PLAST HMOT VČETNĚ ODRAZNÉHO PÁSKU</t>
  </si>
  <si>
    <t>-1785828970</t>
  </si>
  <si>
    <t>Poznámka k souboru cen:_x000D_
Položka zahrnuje: - dodání a osazení sloupku včetně nutných zemních prací - vnitrostaveništní a mimostaveništní doprava - odrazky plastové nebo z retroreflexní fólie Položka nezahrnuje: - x</t>
  </si>
  <si>
    <t>A68</t>
  </si>
  <si>
    <t>"náhrada zničených, poškozených (odhad 10%)p912282 "38*0,1</t>
  </si>
  <si>
    <t>B60</t>
  </si>
  <si>
    <t>"zaokrouhlení "0,2</t>
  </si>
  <si>
    <t>C60</t>
  </si>
  <si>
    <t>"Mezisoučet "4.000000</t>
  </si>
  <si>
    <t>61</t>
  </si>
  <si>
    <t>912282</t>
  </si>
  <si>
    <t>SMĚROVÉ SLOUPKY Z PLAST HMOT - DEMONTÁŽ A ZPĚTNÁ MONTÁŽ</t>
  </si>
  <si>
    <t>-2097167025</t>
  </si>
  <si>
    <t>Poznámka k souboru cen:_x000D_
Položka zahrnuje: - demontáž a osazení sloupku včetně nutných zemních prací - očištění - nové odrazky plastové nebo z retroreflexní fólie Položka nezahrnuje: - x</t>
  </si>
  <si>
    <t>A69</t>
  </si>
  <si>
    <t>"dl úseku/á 40m "1491/40</t>
  </si>
  <si>
    <t>B61</t>
  </si>
  <si>
    <t>"zaokrouhlení "0,725</t>
  </si>
  <si>
    <t>C61</t>
  </si>
  <si>
    <t>"Mezisoučet "38.000000</t>
  </si>
  <si>
    <t>62</t>
  </si>
  <si>
    <t>91238R</t>
  </si>
  <si>
    <t>SMĚROVÉ SLOUPKY Z PLAST HMOT - NÁSTAVCE NA SVODIDLA VČETNĚ ODRAZNÉHO PÁSKU NEBO ODRAZKY NA SVODIDLA</t>
  </si>
  <si>
    <t>-612343346</t>
  </si>
  <si>
    <t>TP 58; R 93 (viz www.rsd.cz);
dle vysky svodidla nastavec smeroveho sloupku nebo odrazka v prolisu;</t>
  </si>
  <si>
    <t>A70</t>
  </si>
  <si>
    <t>"SDP "2*(1435+182+66)/40</t>
  </si>
  <si>
    <t>B62</t>
  </si>
  <si>
    <t>"Krajnice "(308+64)/40</t>
  </si>
  <si>
    <t>C62</t>
  </si>
  <si>
    <t>"pravá polovina (po opravě mostu) "172/40</t>
  </si>
  <si>
    <t>D62</t>
  </si>
  <si>
    <t>"zaokrouhlení "0,25</t>
  </si>
  <si>
    <t>E62</t>
  </si>
  <si>
    <t>"Mezisoučet "98.000000</t>
  </si>
  <si>
    <t>63</t>
  </si>
  <si>
    <t>9132R</t>
  </si>
  <si>
    <t>HEKTOMETROVNÍKY PRO ÚDRŽBU</t>
  </si>
  <si>
    <t>-1295054018</t>
  </si>
  <si>
    <t>R 102 (viz www.rsd.cz)</t>
  </si>
  <si>
    <t>Poznámka k souboru cen:_x000D_
Položka zahrnuje: - dodání a osazení hektometrovníku včetně nutných zemních prací - vnitrostaveništní a mimostaveništní dopravu - odrazky plastové nebo z retroreflexní fólie Položka nezahrnuje: - x</t>
  </si>
  <si>
    <t>A71</t>
  </si>
  <si>
    <t>"dl úseku (od D5)/ á 100m; oboustranně "4500/100*2</t>
  </si>
  <si>
    <t>917224</t>
  </si>
  <si>
    <t>SILNIČNÍ A CHODNÍKOVÉ OBRUBY Z BETONOVÝCH OBRUBNÍKŮ ŠÍŘ 150MM</t>
  </si>
  <si>
    <t>-201162351</t>
  </si>
  <si>
    <t>Poznámka k souboru cen:_x000D_
Položka zahrnuje: - dodání a pokládku betonových obrubníků o rozměrech předepsaných zadávací dokumentací - betonové lože i boční betonovou opěrku Položka nezahrnuje: - x</t>
  </si>
  <si>
    <t>A72</t>
  </si>
  <si>
    <t>"u PHS "97</t>
  </si>
  <si>
    <t>B64</t>
  </si>
  <si>
    <t>"SDP "44</t>
  </si>
  <si>
    <t>C64</t>
  </si>
  <si>
    <t>"Mezisoučet "141.000000</t>
  </si>
  <si>
    <t>65</t>
  </si>
  <si>
    <t>919111</t>
  </si>
  <si>
    <t>ŘEZÁNÍ ASFALTOVÉHO KRYTU VOZOVEK TL DO 50MM</t>
  </si>
  <si>
    <t>-1429942878</t>
  </si>
  <si>
    <t>Poznámka k souboru cen:_x000D_
Položka zahrnuje: - řezání vozovkové vrstvy v předepsané tloušťce - spotřeba vody Položka nezahrnuje: - x</t>
  </si>
  <si>
    <t>A73</t>
  </si>
  <si>
    <t>"ZÚ+KÚ "21</t>
  </si>
  <si>
    <t>B65</t>
  </si>
  <si>
    <t>"podél obrub "97+44</t>
  </si>
  <si>
    <t>C65</t>
  </si>
  <si>
    <t>"dren šachty (počet*obvod) "4*2,4</t>
  </si>
  <si>
    <t>D65</t>
  </si>
  <si>
    <t>"SDP (napojení) "336</t>
  </si>
  <si>
    <t>E65</t>
  </si>
  <si>
    <t>"Mezisoučet "507.600000</t>
  </si>
  <si>
    <t>931321</t>
  </si>
  <si>
    <t>TĚSNĚNÍ DILATAČ SPAR ASF ZÁLIVKOU MODIFIK PRŮŘ DO 100MM2</t>
  </si>
  <si>
    <t>-222197334</t>
  </si>
  <si>
    <t>Poznámka k souboru cen:_x000D_
Položka zahrnuje: - dodávku a osazení předepsaného materiálu - očištění ploch spáry před úpravou - očištění okolí spáry po úpravě Položka nezahrnuje: - těsnící profil</t>
  </si>
  <si>
    <t>A74</t>
  </si>
  <si>
    <t>"p919111 "507.6</t>
  </si>
  <si>
    <t>67</t>
  </si>
  <si>
    <t>935222</t>
  </si>
  <si>
    <t>PŘÍKOPOVÉ ŽLABY Z BETON TVÁRNIC ŠÍŘ DO 900MM DO BETONU TL 100MM</t>
  </si>
  <si>
    <t>782595020</t>
  </si>
  <si>
    <t>lože MC30-XF4+zpomalovač tuhnutí
spáry3mm, zatmelit pružným PUR tmelem</t>
  </si>
  <si>
    <t>Poznámka k souboru cen:_x000D_
Položka zahrnuje: - dodávku a uložení příkopových tvárnic předepsaného rozměru a kvality - dodání a rozprostření lože z předepsaného materiálu v předepsané kvalitěa v předepsané tloušťce - veškerou manipulaci s materiálem, vnitrostaveništní i mimostaveništní dopravu - ukončení, patky, spárování Položka nezahrnuje: - x Způsob měření: - měří se v metrech běžných délky osy žlabu</t>
  </si>
  <si>
    <t>C67</t>
  </si>
  <si>
    <t>"napojení u PHS "15</t>
  </si>
  <si>
    <t>A75</t>
  </si>
  <si>
    <t>B67</t>
  </si>
  <si>
    <t>"Mezisoučet "1330.000000</t>
  </si>
  <si>
    <t>68</t>
  </si>
  <si>
    <t>935222.1</t>
  </si>
  <si>
    <t>1658098288</t>
  </si>
  <si>
    <t>B68</t>
  </si>
  <si>
    <t>69</t>
  </si>
  <si>
    <t>93530</t>
  </si>
  <si>
    <t>ŽLABY A RIGOLY MONOLITICKÉ BETONOVÉ</t>
  </si>
  <si>
    <t>-405959096</t>
  </si>
  <si>
    <t>Poznámka k souboru cen:_x000D_
Položka zahrnuje: - dodání a uložení betonové směsi předepsané kvality do předepsaného tvaru - provedení spar (smršťovacích, vkládaných, řezaných) - postřiky povrchu (proti odpařování, ochranné) Položka nezahrnuje: - x</t>
  </si>
  <si>
    <t>A76</t>
  </si>
  <si>
    <t>"napojení odvodnění u PHS "1</t>
  </si>
  <si>
    <t>70</t>
  </si>
  <si>
    <t>93808</t>
  </si>
  <si>
    <t>OČIŠTĚNÍ VOZOVEK ZAMETENÍM</t>
  </si>
  <si>
    <t>272747815</t>
  </si>
  <si>
    <t>Poznámka k souboru cen:_x000D_
Položka zahrnuje: - očištění předepsaným způsobem - odklizení vzniklého odpadu Položka nezahrnuje: - x</t>
  </si>
  <si>
    <t>A77</t>
  </si>
  <si>
    <t>"vozovka "17059</t>
  </si>
  <si>
    <t>B70</t>
  </si>
  <si>
    <t>"napojení na ZÚ "47</t>
  </si>
  <si>
    <t>C70</t>
  </si>
  <si>
    <t>"SDP "476</t>
  </si>
  <si>
    <t>D70</t>
  </si>
  <si>
    <t>"Mezisoučet "17582.000000</t>
  </si>
  <si>
    <t>71</t>
  </si>
  <si>
    <t>96688</t>
  </si>
  <si>
    <t>VYBOURÁNÍ KANALIZAČ ŠACHET KOMPLETNÍCH</t>
  </si>
  <si>
    <t>1356704544</t>
  </si>
  <si>
    <t>Poznámka k souboru cen:_x000D_
Položka zahrnuje: - kompletní bourací práce včetně nezbytného rozsahu zemních prací, - veškerou manipulaci s vybouranou sutí a hmotami včetně uložení na skládku, - veškeré další práce plynoucí z technologického předpisu a z platných předpisů, Položka nezahrnuje: - poplatek za skládku, který se vykazuje v položce 0141** (s výjimkou malého množství bouraného materiálu, kde je možné poplatek zahrnout do jednotkové ceny bourání – tento fakt musí být uveden v doplňujícím textu k položce)</t>
  </si>
  <si>
    <t>A78</t>
  </si>
  <si>
    <t>72</t>
  </si>
  <si>
    <t>96711</t>
  </si>
  <si>
    <t>VYBOURÁNÍ ČÁSTÍ KONSTRUKCÍ Z BETON DÍLCŮ</t>
  </si>
  <si>
    <t>206021333</t>
  </si>
  <si>
    <t>Poznámka k souboru cen:_x000D_
Položka zahrnuje: - veškerou manipulaci s vybouranou sutí a hmotami včetně uložení na skládku, - veškeré další práce plynoucí z technologického předpisu a z platných předpisů, Položka nezahrnuje: - poplatek za skládku, který se vykazuje v položce 0141** (s výjimkou malého množství bouraného materiálu, kde je možné poplatek zahrnout do jednotkové ceny bourání – tento fakt musí být uveden v doplňujícím textu k položce)</t>
  </si>
  <si>
    <t>A79</t>
  </si>
  <si>
    <t>"vybourání stávajícího skluzu "15*0,15*1</t>
  </si>
  <si>
    <t>73</t>
  </si>
  <si>
    <t>969234</t>
  </si>
  <si>
    <t>VYBOURÁNÍ POTRUBÍ DN DO 200MM KANALIZAČ</t>
  </si>
  <si>
    <t>1712525661</t>
  </si>
  <si>
    <t>Poznámka k souboru cen:_x000D_
Položka zahrnuje: - veškerou manipulaci s vybouranou sutí a hmotami včetně uložení na skládku - veškeré další práce plynoucí z technologického předpisu a z platných předpisů Položka nezahrnuje: - poplatek za skládku, který se vykazuje v položce 0141** (s výjimkou malého množství bouraného materiálu, kde je možné poplatek zahrnout do jednotkové ceny bourání – tento fakt musí být uveden v doplňujícím textu k položce)</t>
  </si>
  <si>
    <t>A80</t>
  </si>
  <si>
    <t>"drenáž v SDP "223</t>
  </si>
  <si>
    <t>B73</t>
  </si>
  <si>
    <t>"drenáž u PHS "223</t>
  </si>
  <si>
    <t>C73</t>
  </si>
  <si>
    <t>"Mezisoučet "446.000000</t>
  </si>
  <si>
    <t>A169</t>
  </si>
  <si>
    <t>102 - Oprava vozovky (km 4,84-5,94)</t>
  </si>
  <si>
    <t>-1201778692</t>
  </si>
  <si>
    <t>A81</t>
  </si>
  <si>
    <t>"Drn (p 11130) "2893*0,15</t>
  </si>
  <si>
    <t>B2</t>
  </si>
  <si>
    <t>"R-mat (p11313) "17,80</t>
  </si>
  <si>
    <t>C2</t>
  </si>
  <si>
    <t>"Beton (p11315) "1,17</t>
  </si>
  <si>
    <t>D2</t>
  </si>
  <si>
    <t>"Žlab (p11328) "235*0,16</t>
  </si>
  <si>
    <t>E2</t>
  </si>
  <si>
    <t>"Podklady (p11332) "79,75</t>
  </si>
  <si>
    <t>F2</t>
  </si>
  <si>
    <t>"Asfalty bourané (p11343) "395,88</t>
  </si>
  <si>
    <t>G2</t>
  </si>
  <si>
    <t>"Kostky (p11347) "57,120</t>
  </si>
  <si>
    <t>H2</t>
  </si>
  <si>
    <t>"Obrubníky (p11352)dl x plocha z řezu vč lože) "2968*0,1</t>
  </si>
  <si>
    <t>I2</t>
  </si>
  <si>
    <t>"Přídlažba (p11355) "1255*0,11*0,15</t>
  </si>
  <si>
    <t>J2</t>
  </si>
  <si>
    <t>"Asfalty frézované (p11372) "1321,28</t>
  </si>
  <si>
    <t>K2</t>
  </si>
  <si>
    <t>"Odkop (p 12373) "123,75</t>
  </si>
  <si>
    <t>L2</t>
  </si>
  <si>
    <t>"Krajnice (p12920) "44,6</t>
  </si>
  <si>
    <t>"Příkopy (p12930) "2,5</t>
  </si>
  <si>
    <t>N2</t>
  </si>
  <si>
    <t>"Čištění vpustí (p12980)ks x odhad objemu "46*0,25</t>
  </si>
  <si>
    <t>O2</t>
  </si>
  <si>
    <t>"Čištění potrubí (p12993)dl x plocha z řezu "65*0,01</t>
  </si>
  <si>
    <t>P2</t>
  </si>
  <si>
    <t>"Rýhy (p13273) "66,400</t>
  </si>
  <si>
    <t>Q2</t>
  </si>
  <si>
    <t>"Mezisoučet "2911.458000</t>
  </si>
  <si>
    <t>-298335232</t>
  </si>
  <si>
    <t>A82</t>
  </si>
  <si>
    <t>"p 18222+p 18232 "(658,56+3400)*0,15</t>
  </si>
  <si>
    <t>824566282</t>
  </si>
  <si>
    <t>ořez větví</t>
  </si>
  <si>
    <t>A83</t>
  </si>
  <si>
    <t>"za benzinkou "102*2</t>
  </si>
  <si>
    <t>B4</t>
  </si>
  <si>
    <t>"MÚK "245*2</t>
  </si>
  <si>
    <t>C4</t>
  </si>
  <si>
    <t>"dl středového svodidla x š "262*1</t>
  </si>
  <si>
    <t>D3</t>
  </si>
  <si>
    <t>"Mezisoučet "956.000000</t>
  </si>
  <si>
    <t>-1328711282</t>
  </si>
  <si>
    <t>A84</t>
  </si>
  <si>
    <t>2893</t>
  </si>
  <si>
    <t>11241</t>
  </si>
  <si>
    <t>ÚPRAVA STROMŮ D DO 0,5M ŘEZEM VĚTVÍ</t>
  </si>
  <si>
    <t>-1785046029</t>
  </si>
  <si>
    <t>Poznámka k souboru cen:_x000D_
Položka zahrnuje: - odřezání větví 1 ks stromu přesahujících do komunikace bez ohledu na způsob a použitou mechanizaci (např. plošina), bez ohledu na počet větví - všechna opatření související se silničním provozem (např. provizorní dopravní značení) - odvoz a likvidaci vyzískaného materiálu dle pokynů zadávací dokumentace Položka nezahrnuje: - x Způsob měření: - průměr stromů se měří ve výšce 1,3m nad terénem.</t>
  </si>
  <si>
    <t>A85</t>
  </si>
  <si>
    <t>"parkoviště (provoz MHD) "4</t>
  </si>
  <si>
    <t>-1972390142</t>
  </si>
  <si>
    <t>A86</t>
  </si>
  <si>
    <t>"záliv pro údržbu (R-mat)plocha x tl "89*0,2</t>
  </si>
  <si>
    <t>222794462</t>
  </si>
  <si>
    <t>A87</t>
  </si>
  <si>
    <t>"podél sjezdůdl x š x tl "26*0,3*0,15</t>
  </si>
  <si>
    <t>1579706409</t>
  </si>
  <si>
    <t>A88</t>
  </si>
  <si>
    <t>"větev MÚK "235</t>
  </si>
  <si>
    <t>11332</t>
  </si>
  <si>
    <t>ODSTRANĚNÍ PODKLADŮ ZPEVNĚNÝCH PLOCH Z KAMENIVA NESTMELENÉHO</t>
  </si>
  <si>
    <t>-2020900441</t>
  </si>
  <si>
    <t>plocha x tl.</t>
  </si>
  <si>
    <t>A89</t>
  </si>
  <si>
    <t>"Záliv zastávky "145*0,55</t>
  </si>
  <si>
    <t>11343</t>
  </si>
  <si>
    <t>ODSTRAN KRYTU ZPEVNĚNÝCH PLOCH S ASFALT POJIVEM VČET PODKLADU</t>
  </si>
  <si>
    <t>830860294</t>
  </si>
  <si>
    <t>A90</t>
  </si>
  <si>
    <t>"Chodníky "1342*0,24</t>
  </si>
  <si>
    <t>C11</t>
  </si>
  <si>
    <t>"Mezisoučet "322.080000</t>
  </si>
  <si>
    <t>11347</t>
  </si>
  <si>
    <t>ODSTRAN KRYTU ZPEVNĚNÝCH PLOCH Z DLAŽEB KOSTEK VČET PODKL</t>
  </si>
  <si>
    <t>-33477358</t>
  </si>
  <si>
    <t>betonová dlažba</t>
  </si>
  <si>
    <t>A91</t>
  </si>
  <si>
    <t>"vjezd / výjezd ČS PHM "84*0,24</t>
  </si>
  <si>
    <t>B11</t>
  </si>
  <si>
    <t>"chodník u ČS "154*0,24</t>
  </si>
  <si>
    <t>C12</t>
  </si>
  <si>
    <t>"Mezisoučet "57.120000</t>
  </si>
  <si>
    <t>2031834284</t>
  </si>
  <si>
    <t>A92</t>
  </si>
  <si>
    <t>"Silniční "2695</t>
  </si>
  <si>
    <t>B12</t>
  </si>
  <si>
    <t>"Chodníkové "209</t>
  </si>
  <si>
    <t>C13</t>
  </si>
  <si>
    <t>"Nový přejezd SDP "2*64</t>
  </si>
  <si>
    <t>E12</t>
  </si>
  <si>
    <t>"Mezisoučet "3032.000000</t>
  </si>
  <si>
    <t>11355</t>
  </si>
  <si>
    <t>ODSTRANĚNÍ OBRUB Z DLAŽEBNÍCH KOSTEK JEDNODUCHÝCH</t>
  </si>
  <si>
    <t>-685383326</t>
  </si>
  <si>
    <t>Odkup zhotovitelem na místě dle kupní smlouvy</t>
  </si>
  <si>
    <t>A93</t>
  </si>
  <si>
    <t>"Přídlažba "1255</t>
  </si>
  <si>
    <t>-1842064698</t>
  </si>
  <si>
    <t>Odkup zhotovitelem na místě dle kupní smlouvy
(plocha ze situace * tl)</t>
  </si>
  <si>
    <t>A94</t>
  </si>
  <si>
    <t>"Vozovka I/26 "13876*0,08</t>
  </si>
  <si>
    <t>B15</t>
  </si>
  <si>
    <t>"Vozovka (sjezd MÚK) "1920*0,11</t>
  </si>
  <si>
    <t>C15</t>
  </si>
  <si>
    <t>"Mezisoučet "1321.280000</t>
  </si>
  <si>
    <t>12373</t>
  </si>
  <si>
    <t>ODKOP PRO SPOD STAVBU SILNIC A ŽELEZNIC TŘ. I</t>
  </si>
  <si>
    <t>-10791063</t>
  </si>
  <si>
    <t>Poznámka k souboru cen:_x000D_
Položka zahrnuje: - vodorovnou a svislou dopravu, přemístění, přeložení, manipulace s výkopkem - kompletní provedení vykopávky nezapažené i zapažené - ošetření výkopiště po celou dobu práce v něm vč. klimatických opatření - ztížení vykopávek v blízkosti podzemního vedení, konstrukcí a objektů vč. jejich dočasného zajištění - ztížení pod vodou, v okolí výbušnin, ve stísněných prostorech a pod. - příplatek za lepivost - těžení po vrstvách, pásech a po jiných nutných částech (figurách) - čerpání vody vč. čerpacích jímek, potrubí a pohotovostní čerpací soupravy (viz ustanovení k pol. 1151,2) - potřebné snížení hladiny podzemní vody - těžení a rozpojování jednotlivých balvanů - vytahování a nošení výkopku - svahování a přesvah. svahů do konečného tvaru, výměna hornin v podloží a v pláni znehodnocené klimatickými vlivy - ruční vykopávky, odstranění kořenů a napadávek - pažení, vzepření a rozepření vč. přepažování (vyjma pažení záporového a štětových stěn) - úpravu, ochranu a očištění dna, základové spáry, stěn a svahů - zhutnění podloží, případně i svahů vč. svahování - zřízení stupňů v podloží a lavic na svazích, není-li pro tyto práce zřízena samostatná položka - udržování výkopiště a jeho ochrana proti vodě - odvedení nebo obvedení vody v okolí výkopiště a ve výkopišti - třídění výkopku - veškeré pomocné konstrukce umožňující provedení vykopávky (příjezdy, sjezdy, nájezdy, lešení, podpěr. konstr., přemostění, zpevněné plochy, zakrytí a pod.) Položka nezahrnuje: - uložení zeminy (na skládku, do násypu) ani poplatky za skládku, vykazují se v položce č.0141**</t>
  </si>
  <si>
    <t>A95</t>
  </si>
  <si>
    <t>"AZ pod zastávkou tl. 500mm "145*0,5</t>
  </si>
  <si>
    <t>F15</t>
  </si>
  <si>
    <t>"Nový přejezd SDP "205*0,6</t>
  </si>
  <si>
    <t>B16</t>
  </si>
  <si>
    <t>"Nový přejezd SDP-AZ "205*0,5</t>
  </si>
  <si>
    <t>C16</t>
  </si>
  <si>
    <t>"Mezisoučet "298.000000</t>
  </si>
  <si>
    <t>12920</t>
  </si>
  <si>
    <t>ČIŠTĚNÍ KRAJNIC OD NÁNOSU</t>
  </si>
  <si>
    <t>-1471545825</t>
  </si>
  <si>
    <t>A96</t>
  </si>
  <si>
    <t>223*0,2</t>
  </si>
  <si>
    <t>12930</t>
  </si>
  <si>
    <t>ČIŠTĚNÍ PŘÍKOPŮ OD NÁNOSU</t>
  </si>
  <si>
    <t>-1806417514</t>
  </si>
  <si>
    <t>A97</t>
  </si>
  <si>
    <t>"u benzinkyplocha x tl "50*0,05</t>
  </si>
  <si>
    <t>12980</t>
  </si>
  <si>
    <t>ČIŠTĚNÍ ULIČNÍCH VPUSTÍ</t>
  </si>
  <si>
    <t>-1354937314</t>
  </si>
  <si>
    <t>A98</t>
  </si>
  <si>
    <t>"nakláněné "20</t>
  </si>
  <si>
    <t>B18</t>
  </si>
  <si>
    <t>"s výškovou úpravou "24+2</t>
  </si>
  <si>
    <t>C18</t>
  </si>
  <si>
    <t>"Mezisoučet "46.000000</t>
  </si>
  <si>
    <t>1156479363</t>
  </si>
  <si>
    <t>počet * dl (průměrná)</t>
  </si>
  <si>
    <t>A99</t>
  </si>
  <si>
    <t>"Přípojky UV "62+3</t>
  </si>
  <si>
    <t>129945</t>
  </si>
  <si>
    <t>ČIŠTĚNÍ POTRUBÍ DN DO 300MM</t>
  </si>
  <si>
    <t>-1820876955</t>
  </si>
  <si>
    <t>A100</t>
  </si>
  <si>
    <t>"Stávající kanalizace ŘSD "324</t>
  </si>
  <si>
    <t>-1000894294</t>
  </si>
  <si>
    <t>A101</t>
  </si>
  <si>
    <t>"UV v zastávce(počet x dl. x š x hl) "4*2*2*1,9</t>
  </si>
  <si>
    <t>B21</t>
  </si>
  <si>
    <t>"nová přípojka (počet x š x hl) "5*0,5*1,5</t>
  </si>
  <si>
    <t>C21</t>
  </si>
  <si>
    <t>"rýha pro odvod. žlábek(dl. x š x hl) "(20+13)*0,5*0,5</t>
  </si>
  <si>
    <t>D21</t>
  </si>
  <si>
    <t>"rýha pro přípojky ke žlábkům "16*0,5*1,5</t>
  </si>
  <si>
    <t>E21</t>
  </si>
  <si>
    <t>"napojení nových vpustí (odhad á 1m) "(12+4)*0,5*1,5</t>
  </si>
  <si>
    <t>F21</t>
  </si>
  <si>
    <t>"Nový přejezd SDP - kabel VO, zahloubení "66*0,2*0,3</t>
  </si>
  <si>
    <t>G21</t>
  </si>
  <si>
    <t>"Mezisoučet "70.360000</t>
  </si>
  <si>
    <t>-7841768</t>
  </si>
  <si>
    <t>A102</t>
  </si>
  <si>
    <t>70,360000 "(13273)</t>
  </si>
  <si>
    <t>606280152</t>
  </si>
  <si>
    <t>SDB 0/22; hutněné po vrstvách max. tl. 250mm</t>
  </si>
  <si>
    <t>A103</t>
  </si>
  <si>
    <t>"vybouraná vpust(dl x š x hl) "2*2*1,9</t>
  </si>
  <si>
    <t>B24</t>
  </si>
  <si>
    <t>"přípojka posouvané UVdl x plocha z řezu "5*0,58</t>
  </si>
  <si>
    <t>C24</t>
  </si>
  <si>
    <t>"přípojky odvod žlábků "16*0,58</t>
  </si>
  <si>
    <t>D24</t>
  </si>
  <si>
    <t>"přípojky nových vpustí (odhad á 1m) "(12+4)*0,58</t>
  </si>
  <si>
    <t>E23</t>
  </si>
  <si>
    <t>"Mezisoučet "29.060000</t>
  </si>
  <si>
    <t>215865215</t>
  </si>
  <si>
    <t>PDK 0/4; hutnění po vrstvách max. 250mm</t>
  </si>
  <si>
    <t>A104</t>
  </si>
  <si>
    <t>"UV u zastávky(ks*objem) "4*6,8</t>
  </si>
  <si>
    <t>B25</t>
  </si>
  <si>
    <t>"nakláněné UVks * objem/2 (polovina výšky) "20*6,8/2</t>
  </si>
  <si>
    <t>C25</t>
  </si>
  <si>
    <t>"nové UV "12*6,8</t>
  </si>
  <si>
    <t>D25</t>
  </si>
  <si>
    <t>"přípojka posouvané UV u zastávkydl*plocha z řezu "5*0,125</t>
  </si>
  <si>
    <t>E24</t>
  </si>
  <si>
    <t>"přípojky ke žlábkům "16*0,125</t>
  </si>
  <si>
    <t>F24</t>
  </si>
  <si>
    <t>"přípojky nových vpustí (odhad á 1m) "12*0,125</t>
  </si>
  <si>
    <t>G24</t>
  </si>
  <si>
    <t>"Mezisoučet "180.925000</t>
  </si>
  <si>
    <t>17591</t>
  </si>
  <si>
    <t>OBSYP POTRUBÍ A OBJEKTŮ Z JINÝCH MATERIÁLŮ</t>
  </si>
  <si>
    <t>-1215460827</t>
  </si>
  <si>
    <t>dodatečná ochrana kabelů VO
obsyp dělené chráničky PDK 0/4</t>
  </si>
  <si>
    <t>Poznámka k souboru cen:_x000D_
Položka zahrnuje: - kompletní provedení zemní konstrukce vč. výběru vhodného materiálu - úprava ukládaného materiálu vlhčením, tříděním, promícháním nebo vysoušením, příp. jiné úpravy za účelem zlepšení jeho mech. vlastností - hutnění i různé míry hutnění - ošetření úložiště po celou dobu práce v něm vč. klimatických opatření - ztížení v okolí vedení, konstrukcí a objektů a jejich dočasné zajištění - ztížení provádění vč. hutnění ve ztížených podmínkách a stísněných prostorech - ztížené ukládání sypaniny pod vodu - ukládání po vrstvách a po jiných nutných částech (figurách) vč. dosypávek - spouštění a nošení materiálu - výměna částí zemní konstrukce znehodnocené klimatickými vlivy - ruční hutnění a výplň jam a prohlubní v podloží - úprava, očištění, ochrana a zhutnění podloží - svahování, hutnění a uzavírání povrchů svahů - zřízení lavic na svazích - udržování úložiště a jeho ochrana proti vodě - odvedení nebo obvedení vody v okolí úložiště a v úložišti - veškeré pomocné konstrukce umožňující provedení zemní konstrukce (příjezdy, sjezdy, nájezdy, lešení, podpěrné konstrukce, přemostění, zpevněné plochy, zakrytí a pod.) Položka nezahrnuje: - x Způsob měření: - zemina vytlačená potrubím o DN 180mm se od kubatury obsypů neodečítá</t>
  </si>
  <si>
    <t>A105</t>
  </si>
  <si>
    <t>"dl* plocha z řezu "(66+4)*0,125</t>
  </si>
  <si>
    <t>-1799702357</t>
  </si>
  <si>
    <t>A106</t>
  </si>
  <si>
    <t>"zastávka "145</t>
  </si>
  <si>
    <t>B26</t>
  </si>
  <si>
    <t>"chodníky(plocha ze situace x tl) "1500</t>
  </si>
  <si>
    <t>C26</t>
  </si>
  <si>
    <t>"provizorní SDP "205</t>
  </si>
  <si>
    <t>D26</t>
  </si>
  <si>
    <t>"Mezisoučet "1850.000000</t>
  </si>
  <si>
    <t>-540104019</t>
  </si>
  <si>
    <t>A107</t>
  </si>
  <si>
    <t>"SDP úpravy pod svodidlem (dl x š x tl) "262*3*0,1</t>
  </si>
  <si>
    <t>B27</t>
  </si>
  <si>
    <t>"chodníky(plocha ze situace x tl) "1500*0,1</t>
  </si>
  <si>
    <t>C27</t>
  </si>
  <si>
    <t>"pod žlabovkami v MÚK "252*0,1</t>
  </si>
  <si>
    <t>D27</t>
  </si>
  <si>
    <t>"Mezisoučet "253.800000</t>
  </si>
  <si>
    <t>1186577829</t>
  </si>
  <si>
    <t>A108</t>
  </si>
  <si>
    <t>"příkop podél větve MÚKplocha x koef šikmosti "588*1,12</t>
  </si>
  <si>
    <t>-1985133218</t>
  </si>
  <si>
    <t>A109</t>
  </si>
  <si>
    <t>3195</t>
  </si>
  <si>
    <t>C31</t>
  </si>
  <si>
    <t>"Mezisoučet "3195.000000</t>
  </si>
  <si>
    <t>1598542256</t>
  </si>
  <si>
    <t>A110</t>
  </si>
  <si>
    <t>"p18222+p18232 "3195+658,56</t>
  </si>
  <si>
    <t>-99495086</t>
  </si>
  <si>
    <t>A111</t>
  </si>
  <si>
    <t>-395892946</t>
  </si>
  <si>
    <t>tuhá drenážní trubka HDPE DN 160 SN 8 perforace 220°;</t>
  </si>
  <si>
    <t>A112</t>
  </si>
  <si>
    <t>"drenáž podél zastávky "57</t>
  </si>
  <si>
    <t>21452</t>
  </si>
  <si>
    <t>SANAČNÍ VRSTVY Z KAMENIVA DRCENÉHO</t>
  </si>
  <si>
    <t>1156531099</t>
  </si>
  <si>
    <t>Aktivní zóna; PDK 0/125
se souhlasem TDS</t>
  </si>
  <si>
    <t>A113</t>
  </si>
  <si>
    <t>"Záliv zastávkyplocha x tl "145*0,5</t>
  </si>
  <si>
    <t>B33</t>
  </si>
  <si>
    <t>"Nový přejezd SDPplocha x tl "205*0,5</t>
  </si>
  <si>
    <t>C33</t>
  </si>
  <si>
    <t>"Mezisoučet "175.000000</t>
  </si>
  <si>
    <t>21461A</t>
  </si>
  <si>
    <t>SEPARAČNÍ GEOTEXTILIE DO 100G/M2</t>
  </si>
  <si>
    <t>720791096</t>
  </si>
  <si>
    <t>PP filtrační geotextilie 100g/m2</t>
  </si>
  <si>
    <t>Poznámka k souboru cen:_x000D_
Položka zahrnuje: - dodávku předepsané geotextilie - úpravu, očištění a ochranu podkladu - přichycení k podkladu, případně zatížení - úpravy spojů a zajištění okrajů - úpravy pro odvodnění - nutné přesahy (nezapočítávají se do výměry) - mimostaveništní a vnitrostaveništní dopravu Položka nezahrnuje: - x</t>
  </si>
  <si>
    <t>A114</t>
  </si>
  <si>
    <t>"drenáž "57</t>
  </si>
  <si>
    <t>21461C</t>
  </si>
  <si>
    <t>SEPARAČNÍ GEOTEXTILIE DO 300G/M2</t>
  </si>
  <si>
    <t>1515732211</t>
  </si>
  <si>
    <t>PP filtrační geotextilie 300g/m2
se souhlasem TDS</t>
  </si>
  <si>
    <t>A115</t>
  </si>
  <si>
    <t>"záliv zastávky "145</t>
  </si>
  <si>
    <t>B35</t>
  </si>
  <si>
    <t>"Nový přejezd SDP "205</t>
  </si>
  <si>
    <t>C35</t>
  </si>
  <si>
    <t>"Mezisoučet "350.000000</t>
  </si>
  <si>
    <t>45131</t>
  </si>
  <si>
    <t>PODKL A VÝPLŇ VRSTVY Z PROST BET</t>
  </si>
  <si>
    <t>195025704</t>
  </si>
  <si>
    <t>A116</t>
  </si>
  <si>
    <t>"nové UVks x dl x š x tl "12*1*1*0,05</t>
  </si>
  <si>
    <t>B36</t>
  </si>
  <si>
    <t>"žlabové vpusti u zastávky(ks x dl x š x tl) "4*1*1*0,05</t>
  </si>
  <si>
    <t>C36</t>
  </si>
  <si>
    <t>"žlábky v nástupišti zastávky(dl x š x tl) "(20+13)*0,5*0,1</t>
  </si>
  <si>
    <t>D36</t>
  </si>
  <si>
    <t>"Mezisoučet "2.450000</t>
  </si>
  <si>
    <t>-1643540803</t>
  </si>
  <si>
    <t>ŠDB 0/22-0/32</t>
  </si>
  <si>
    <t>A117</t>
  </si>
  <si>
    <t>"žlabové vpusti u zastávky(ks x dl x š x tl) "4*1*1*0,1</t>
  </si>
  <si>
    <t>C37</t>
  </si>
  <si>
    <t>"nové UV "12*1*1*0,1</t>
  </si>
  <si>
    <t>D37</t>
  </si>
  <si>
    <t>"přípojka posouvané UV u zastávkydl x š x tl "5*0,5*0,1</t>
  </si>
  <si>
    <t>E37</t>
  </si>
  <si>
    <t>"přípojky ke žlábkůmdl x š x tl "16*0,5*0,1</t>
  </si>
  <si>
    <t>B37</t>
  </si>
  <si>
    <t>"žlábky v nástupišti u zastávkydl x š x tl "(20+13)*0,5*0,1</t>
  </si>
  <si>
    <t>F37</t>
  </si>
  <si>
    <t>"dodatečná ochrana kabelu VO "(64+60+10)*0,5*0,1</t>
  </si>
  <si>
    <t>G37</t>
  </si>
  <si>
    <t>"lože pod dlažbuplocha x tl "86*0,04</t>
  </si>
  <si>
    <t>H37</t>
  </si>
  <si>
    <t>"Mezisoučet "14.440000</t>
  </si>
  <si>
    <t>465923</t>
  </si>
  <si>
    <t>PŘEDLÁŽDĚNÍ DLAŽBY Z BETON DLAŽDIC</t>
  </si>
  <si>
    <t>-1729289401</t>
  </si>
  <si>
    <t>Poznámka k souboru cen:_x000D_
Položka zahrnuje: - rozebrání stávající dlažby a pokládka dlažby ze stávajícího dlažebního materiálu (bez dodávky nového) - nezbytnou manipulaci s tímto materiálem (nakládání, doprava, složení, očištění) - dodání a rozprostření materiálu pro lože a jeho tloušťku předepsanou dokumentací a pro předepsanou výplň spar - nutné zemní práce (svahování, úpravu pláně a pod.) Položka nezahrnuje: - podklad pod dlažbu, vykazuje se samostatně položkami SD 45</t>
  </si>
  <si>
    <t>A118</t>
  </si>
  <si>
    <t>"dlažba u ČS PHMmateriál 90% stávající "86*0,9</t>
  </si>
  <si>
    <t>-1272596208</t>
  </si>
  <si>
    <t>A119</t>
  </si>
  <si>
    <t>"křížení vedení v SDP2+2m na každou stranu x š "4*0,6</t>
  </si>
  <si>
    <t>56140G</t>
  </si>
  <si>
    <t>SMĚSI Z KAMENIVA STMELENÉ CEMENTEM  SC C 8/10</t>
  </si>
  <si>
    <t>-250786713</t>
  </si>
  <si>
    <t>SC 8/10</t>
  </si>
  <si>
    <t>Poznámka k souboru cen:_x000D_
Položka zahrnuje: - dodání směsi v požadované kvalitě - očištění podkladu - uložení směsi dle předepsaného technologického předpisu a zhutnění vrstvy v předepsané tloušťce - zřízení vrstvy bez rozlišení šířky, pokládání vrstvy po etapách, včetně pracovních spar a spojů - úpravu napojení, ukončení - úpravu dilatačních spar včetně předepsané výztuže Položka nezahrnuje: - postřiky, nátěry</t>
  </si>
  <si>
    <t>A120</t>
  </si>
  <si>
    <t>"záliv zastávky "145*0,15</t>
  </si>
  <si>
    <t>56310</t>
  </si>
  <si>
    <t>VOZOVKOVÉ VRSTVY Z MECHANICKY ZPEVNĚNÉHO KAMENIVA</t>
  </si>
  <si>
    <t>1268535559</t>
  </si>
  <si>
    <t>Poznámka k souboru cen:_x000D_
Položka zahrnuje: - dodání kameniva předepsané kvality a zrnitosti - rozprostření a zhutnění vrstvy v předepsané tloušťce - zřízení vrstvy bez rozlišení šířky, pokládání vrstvy po etapách Položka nezahrnuje: - postřiky, nátěry</t>
  </si>
  <si>
    <t>A121</t>
  </si>
  <si>
    <t>"vjezd/výjezd z ČS PHMPlocha ze situace x tl "86*0,1</t>
  </si>
  <si>
    <t>56330</t>
  </si>
  <si>
    <t>VOZOVKOVÉ VRSTVY ZE ŠTĚRKODRTI</t>
  </si>
  <si>
    <t>-26254919</t>
  </si>
  <si>
    <t>A122</t>
  </si>
  <si>
    <t>"záliv zastávkyPlocha ze situace x tl "145*0,25</t>
  </si>
  <si>
    <t>B42</t>
  </si>
  <si>
    <t>"Nový přejezd SDP "205*0,25</t>
  </si>
  <si>
    <t>C42</t>
  </si>
  <si>
    <t>"Mezisoučet "87.500000</t>
  </si>
  <si>
    <t>56330.1</t>
  </si>
  <si>
    <t>544942434</t>
  </si>
  <si>
    <t>ŠDB 0/32</t>
  </si>
  <si>
    <t>A123</t>
  </si>
  <si>
    <t>"chodníkPlocha ze situace x tl "1528*0,15</t>
  </si>
  <si>
    <t>B43</t>
  </si>
  <si>
    <t>"zesílený chodník "120*0,2</t>
  </si>
  <si>
    <t>D43</t>
  </si>
  <si>
    <t>"Mezisoučet "253.200000</t>
  </si>
  <si>
    <t>-265179238</t>
  </si>
  <si>
    <t>A124</t>
  </si>
  <si>
    <t>"záliv pro údržbuPlocha ze situace x tl "89*0,2</t>
  </si>
  <si>
    <t>B46</t>
  </si>
  <si>
    <t>"chodník "1528*0,05</t>
  </si>
  <si>
    <t>C46</t>
  </si>
  <si>
    <t>"zesílený chodník "120*0,05</t>
  </si>
  <si>
    <t>D44</t>
  </si>
  <si>
    <t>"Mezisoučet "100.200000</t>
  </si>
  <si>
    <t>56960</t>
  </si>
  <si>
    <t>ZPEVNĚNÍ KRAJNIC Z RECYKLOVANÉHO MATERIÁLU</t>
  </si>
  <si>
    <t>498431924</t>
  </si>
  <si>
    <t>A125</t>
  </si>
  <si>
    <t>"větev MÚK "253*0,15</t>
  </si>
  <si>
    <t>572123</t>
  </si>
  <si>
    <t>INFILTRAČNÍ POSTŘIK Z EMULZE DO 1,0KG/M2</t>
  </si>
  <si>
    <t>14570885</t>
  </si>
  <si>
    <t>A126</t>
  </si>
  <si>
    <t>2023535325</t>
  </si>
  <si>
    <t>A127</t>
  </si>
  <si>
    <t>"vozovka I/26 (dvě vrstvy)Plocha ze situace "2*13882</t>
  </si>
  <si>
    <t>B47</t>
  </si>
  <si>
    <t>"větev MÚK (dvě vrstvy)plocha zesituace x koef rozšíření "2*1856*1,2</t>
  </si>
  <si>
    <t>C47</t>
  </si>
  <si>
    <t>"stávající SDP (dvě vrstvy) "2*158</t>
  </si>
  <si>
    <t>D47</t>
  </si>
  <si>
    <t>"Nový přejezd SDP (dvě vrstvy) "2*205</t>
  </si>
  <si>
    <t>E47</t>
  </si>
  <si>
    <t>"pravá polovina (po opravě mostu), jedna vrstva "1*700</t>
  </si>
  <si>
    <t>F47</t>
  </si>
  <si>
    <t>"Mezisoučet "33644.400000</t>
  </si>
  <si>
    <t>574A01</t>
  </si>
  <si>
    <t>ASFALTOVÝ BETON PRO OBRUSNÉ VRSTVY ACO 8</t>
  </si>
  <si>
    <t>-999907362</t>
  </si>
  <si>
    <t>A128</t>
  </si>
  <si>
    <t>"chodníkplocha x tl "1528*0,04</t>
  </si>
  <si>
    <t>574A03</t>
  </si>
  <si>
    <t>ASFALTOVÝ BETON PRO OBRUSNÉ VRSTVY ACO 11</t>
  </si>
  <si>
    <t>-1286309912</t>
  </si>
  <si>
    <t>A129</t>
  </si>
  <si>
    <t>"zesílený chodníkplocha x tl "120*0,05</t>
  </si>
  <si>
    <t>574B04</t>
  </si>
  <si>
    <t>ASFALTOVÝ BETON PRO OBRUSNÉ VRSTVY MODIFIK ACO 11+</t>
  </si>
  <si>
    <t>1915314267</t>
  </si>
  <si>
    <t>A130</t>
  </si>
  <si>
    <t>"SDP "(205+158)*0,04</t>
  </si>
  <si>
    <t>-1483056129</t>
  </si>
  <si>
    <t>A131</t>
  </si>
  <si>
    <t>"Vozovka MÚKPlocha ze situace x koef. rozšíření "1856*1,1</t>
  </si>
  <si>
    <t>B51</t>
  </si>
  <si>
    <t>"SDP "(205+158)</t>
  </si>
  <si>
    <t>C51</t>
  </si>
  <si>
    <t>"Mezisoučet "2404.600000</t>
  </si>
  <si>
    <t>574D78</t>
  </si>
  <si>
    <t>ASFALTOVÝ BETON PRO LOŽNÍ VRSTVY MODIFIK ACL 22+, 22S TL. 80MM</t>
  </si>
  <si>
    <t>600891548</t>
  </si>
  <si>
    <t>A132</t>
  </si>
  <si>
    <t>"Vozovka I/26Plocha ze situace "13882</t>
  </si>
  <si>
    <t>574E88</t>
  </si>
  <si>
    <t>ASFALTOVÝ BETON PRO PODKLADNÍ VRSTVY ACP 22+, 22S TL. 90MM</t>
  </si>
  <si>
    <t>-1628826295</t>
  </si>
  <si>
    <t>A133</t>
  </si>
  <si>
    <t>"nový přejezd SDP "205</t>
  </si>
  <si>
    <t>-340271007</t>
  </si>
  <si>
    <t>A134</t>
  </si>
  <si>
    <t>"Vozovka I/26 "13882</t>
  </si>
  <si>
    <t>B54</t>
  </si>
  <si>
    <t>"Vozovka MÚK "1856</t>
  </si>
  <si>
    <t>C54</t>
  </si>
  <si>
    <t>"pravá polovina (po opravě mostu) "700</t>
  </si>
  <si>
    <t>D54</t>
  </si>
  <si>
    <t>"Mezisoučet "16438.000000</t>
  </si>
  <si>
    <t>-790704325</t>
  </si>
  <si>
    <t>fr 2/4; 1,5kg/m2</t>
  </si>
  <si>
    <t>A135</t>
  </si>
  <si>
    <t>B55</t>
  </si>
  <si>
    <t>C55</t>
  </si>
  <si>
    <t>"Mezisoučet "15738.000000</t>
  </si>
  <si>
    <t>-898084869</t>
  </si>
  <si>
    <t>odhad</t>
  </si>
  <si>
    <t>A136</t>
  </si>
  <si>
    <t>"p 574J54plocha x tl. x 10% podíl "15738*0,05*0,1</t>
  </si>
  <si>
    <t>517120424</t>
  </si>
  <si>
    <t>A137</t>
  </si>
  <si>
    <t>"odhad "200</t>
  </si>
  <si>
    <t>581302</t>
  </si>
  <si>
    <t>CEMENTOBETONOVÝ KRYT JEDNOVRSTVÝ VYZTUŽENÝ TŘ.I</t>
  </si>
  <si>
    <t>-737159815</t>
  </si>
  <si>
    <t>CB I. kompletní dodávka</t>
  </si>
  <si>
    <t>Poznámka k souboru cen:_x000D_
Položka zahrnuje: - dodání směsi v požadované kvalitě a výztuže v předepsaném množství - očištění podkladu - uložení směsi a výztuže dle předepsaného technologického předpisu a zhutnění vrstvy v předepsané tloušťce - zřízení vrstvy bez rozlišení šířky, pokládání vrstvy po etapách, včetně pracovních spar a spojů - úpravu napojení, ukončení - úpravu dilatačních spar včetně předepsané výztuže - úpravu povrchu krytu uvedenou v kapitole 7.10 ČSN 73 6123-1 - navrtání otvorů a osazení kotev a kluzných trnů v napojovacích spárách Položka nezahrnuje: - postřiky, nátěry</t>
  </si>
  <si>
    <t>A138</t>
  </si>
  <si>
    <t>"plocha x tl. "145*0,23</t>
  </si>
  <si>
    <t>582613</t>
  </si>
  <si>
    <t>KRYTY Z BETON DLAŽDIC SE ZÁMKEM ŠEDÝCH TL 100MM DO LOŽE Z KAM</t>
  </si>
  <si>
    <t>1254698514</t>
  </si>
  <si>
    <t>tloušťka dlažby dle stávající</t>
  </si>
  <si>
    <t>Poznámka k souboru cen:_x000D_
Položka zahrnuje: - dodání dlažebního materiálu v požadované kvalitě, dodání materiálu pro předepsané lože v tloušťce předepsané dokumentací a pro předepsanou výplň spar - očištění podkladu - uložení dlažby dle předepsaného technologického předpisu včetně předepsané podkladní vrstvy a předepsané výplně spar - zřízení vrstvy bez rozlišení šířky, pokládání vrstvy po etapách - úpravu napojení, ukončení podél obrubníků, dilatačních zařízení, odvodňovacích proužků, odvodňovačů, vpustí, šachet a pod., nestanoví-li zadávací dokumentace jinak Položka nezahrnuje: - postřiky, nátěry - těsnění podél obrubníků, dilatačních zařízení, odvodňovacích proužků, odvodňovačů, vpustí, šachet a pod.</t>
  </si>
  <si>
    <t>B63</t>
  </si>
  <si>
    <t>"materiál odhad 10% (poškozené, chybějící) "86*0,1</t>
  </si>
  <si>
    <t>582614</t>
  </si>
  <si>
    <t>KRYTY Z BETON DLAŽDIC SE ZÁMKEM BAREV TL 60MM DO LOŽE Z KAM</t>
  </si>
  <si>
    <t>60531509</t>
  </si>
  <si>
    <t>A139</t>
  </si>
  <si>
    <t>"signální pás v nástupní hraně "16</t>
  </si>
  <si>
    <t>58261A</t>
  </si>
  <si>
    <t>KRYTY Z BETON DLAŽDIC SE ZÁMKEM BAREV RELIÉF TL 60MM DO LOŽE Z KAM</t>
  </si>
  <si>
    <t>-1074383158</t>
  </si>
  <si>
    <t>A140</t>
  </si>
  <si>
    <t>"hmatné úpravy "13</t>
  </si>
  <si>
    <t>702232</t>
  </si>
  <si>
    <t>KABELOVÁ CHRÁNIČKA ZEMNÍ DĚLENÁ DN PŘES 100 DO 200 MM</t>
  </si>
  <si>
    <t>1455382376</t>
  </si>
  <si>
    <t>Poznámka k souboru cen:_x000D_
1. Položka obsahuje: – přípravu podkladu pro osazení 2. Položka neobsahuje: X 3. Způsob měření: Měří se metr délkový.</t>
  </si>
  <si>
    <t>A141</t>
  </si>
  <si>
    <t>"dodatečná ochrana kabelů VOnový přejezd SDP+ochrana pod svodidlem (km 4,54) "66+4</t>
  </si>
  <si>
    <t>702311</t>
  </si>
  <si>
    <t>ZAKRYTÍ KABELŮ VÝSTRAŽNOU FÓLIÍ ŠÍŘKY DO 20 CM</t>
  </si>
  <si>
    <t>-700073529</t>
  </si>
  <si>
    <t>Poznámka k souboru cen:_x000D_
1. Položka obsahuje: – dodávku a montáž fólie – přípravu podkladu pro osazení 2. Položka neobsahuje: X 3. Způsob měření: Měří se metr délkový.</t>
  </si>
  <si>
    <t>A142</t>
  </si>
  <si>
    <t>75O831</t>
  </si>
  <si>
    <t>INDUKČNÍ SMYČKA K DETEKTORU - OBNOVA</t>
  </si>
  <si>
    <t>1066980386</t>
  </si>
  <si>
    <t>v rozsahu Plzeňského standardu komunikací</t>
  </si>
  <si>
    <t>Poznámka k souboru cen:_x000D_
1. Položka obsahuje: – dodávku specifikovaného bloku/zařízení včetně potřebného drobného montážního materiálu – dodávku souvisejícího příslušenství pro specifikovaný blok/zařízení – náklady na dopravu a skladování – veškeré potřebné mechanizmy, včetně obsluhy, náklady na mzdy a přibližné (průměrné) náklady na pořízení potřebných materiálů včetně všech ostatních vedlejších nákladů 2. Položka neobsahuje: X 3. Způsob měření: – Udává se počet kusů kompletní konstrukce nebo práce.</t>
  </si>
  <si>
    <t>A143</t>
  </si>
  <si>
    <t>87434</t>
  </si>
  <si>
    <t>POTRUBÍ Z TRUB PLASTOVÝCH ODPADNÍCH DN DO 200MM</t>
  </si>
  <si>
    <t>1840697382</t>
  </si>
  <si>
    <t>Poznámka k souboru cen:_x000D_
Položka zahrnuje: - výrobní dokumentaci (včetně technologického předpisu) - dodání veškerého trubního a pomocného materiálu (trouby, trubky, tvarovky, spojovací a těsnící materiál a pod.), podpěrných, závěsných a upevňovacích prvků, včetně potřebných úprav - úprava a příprava podkladu a podpěr, očištění a ošetření podkladu a podpěr - zřízení plně funkčního potrubí, kompletní soustavy, podle příslušného technologického předpisu (bez ohledu na sklon) - zřízení potrubí i jednotlivých částí po etapách, včetně pracovních spar a spojů, pracovního zaslepení konců a pod. - úprava prostupů, průchodů šachtami a komorami, okolí podpěr a vyústění, zaústění, napojení, vyvedení a upevnění odpad. výustí - ochrana potrubí nátěrem (vč. úpravy povrchu), případně izolací, nejsou-li tyto práce předmětem jiné položky - úprava, očištění a ošetření prostoru kolem potrubí - položky platí pro práce prováděné v prostoru zapaženém i nezapaženém a i v kolektorech, chráničkách - položky zahrnují i práce spojené s nutnými obtoky, převáděním a čerpáním vody Položka nezahrnuje: - tlakové zkoušky ani proplach a dezinfekci</t>
  </si>
  <si>
    <t>A144</t>
  </si>
  <si>
    <t>"přípojka posouvané UV "5</t>
  </si>
  <si>
    <t>B66</t>
  </si>
  <si>
    <t>"přípojky žlábků "16</t>
  </si>
  <si>
    <t>C66</t>
  </si>
  <si>
    <t>"přípojky UV (á 1m) "12+4</t>
  </si>
  <si>
    <t>D66</t>
  </si>
  <si>
    <t>"Mezisoučet "37.000000</t>
  </si>
  <si>
    <t>895812</t>
  </si>
  <si>
    <t>DRENÁŽNÍ ŠACHTICE NORMÁLNÍ Z PLAST DÍLCŮ ŠN 80</t>
  </si>
  <si>
    <t>1839937497</t>
  </si>
  <si>
    <t>Poznámka k souboru cen:_x000D_
Položka zahrnuje: - poklopy s rámem z předepsaného materiálu a tvaru - předepsané plastové skruže, dno a není-li uvedeno jinak i podkladní vrstvu (z kameniva nebo betonu). - výplň, těsnění a tmelení spár a spojů, - očištění a ošetření úložných ploch, - předepsané podkladní konstrukce Položka nezahrnuje: - x</t>
  </si>
  <si>
    <t>A145</t>
  </si>
  <si>
    <t>"drenáž u zastávky "3</t>
  </si>
  <si>
    <t>89712</t>
  </si>
  <si>
    <t>VPUSŤ KANALIZAČNÍ ULIČNÍ KOMPLETNÍ Z BETONOVÝCH DÍLCŮ</t>
  </si>
  <si>
    <t>-1766641983</t>
  </si>
  <si>
    <t>Poznámka k souboru cen:_x000D_
Položka zahrnuje: - dodávku a osazení předepsaných dílů včetně mříže - výplň, těsnění a tmelení spar a spojů, - opatření povrchů betonu izolací proti zemní vlhkosti v částech, kde přijdou do styku se zeminou nebo kamenivem, - předepsané podkladní konstrukce Položka nezahrnuje: - x</t>
  </si>
  <si>
    <t>A146</t>
  </si>
  <si>
    <t>"nová UV "12</t>
  </si>
  <si>
    <t>89712.1</t>
  </si>
  <si>
    <t>508240061</t>
  </si>
  <si>
    <t>B69</t>
  </si>
  <si>
    <t>"nakláněná UV (stavěná cca od poloviny) "21/2</t>
  </si>
  <si>
    <t>897626R</t>
  </si>
  <si>
    <t>VPUSŤ ŠTĚRBINOVÝCH ŽLABŮ Z BETON DÍLCŮ SV. ŠÍŘKY DO 400MM</t>
  </si>
  <si>
    <t>-80976602</t>
  </si>
  <si>
    <t>Položka zahrnuje kompletní dodávku vč. materiálu, výrobků a prací potřebných pro zřízení těchto konstrukcí, včetně zemních prací, lože, ukončení, patek, spárování, úpravy vtoku a výtoku atd.</t>
  </si>
  <si>
    <t>Poznámka k souboru cen:_x000D_
Položka zahrnuje: - dodávku a osazení předepsaného dílce včetně mříže</t>
  </si>
  <si>
    <t>A147</t>
  </si>
  <si>
    <t>897726R</t>
  </si>
  <si>
    <t>ČISTÍCÍ KUSY ŠTĚRBIN ŽLABŮ Z BETON DÍLCŮ SV. ŠÍŘKY DO 400MM</t>
  </si>
  <si>
    <t>-741153603</t>
  </si>
  <si>
    <t>Poznámka k souboru cen:_x000D_
Položka zahrnuje: - dodávku a osazení předepsaného dílce</t>
  </si>
  <si>
    <t>A148</t>
  </si>
  <si>
    <t>899121R</t>
  </si>
  <si>
    <t>MŘÍŽE OCELOVÉ SAMOSTATNÉ</t>
  </si>
  <si>
    <t>1662928867</t>
  </si>
  <si>
    <t>včetně kalového koše</t>
  </si>
  <si>
    <t>Poznámka k souboru cen:_x000D_
Položka zahrnuje: - dodávku a osazení předepsané mříže včetně rámu Položka nezahrnuje: - x</t>
  </si>
  <si>
    <t>A149</t>
  </si>
  <si>
    <t>"nakláněné UV +stávající UV * výměna (předpoklad) u 2/3 UV "(21+24)/3*2</t>
  </si>
  <si>
    <t>C71</t>
  </si>
  <si>
    <t>"Mezisoučet "30.000000</t>
  </si>
  <si>
    <t>931363939</t>
  </si>
  <si>
    <t>A150</t>
  </si>
  <si>
    <t>89922</t>
  </si>
  <si>
    <t>VÝŠKOVÁ ÚPRAVA MŘÍŽÍ</t>
  </si>
  <si>
    <t>-1087325213</t>
  </si>
  <si>
    <t>A151</t>
  </si>
  <si>
    <t>"UV klasická "24</t>
  </si>
  <si>
    <t>B74</t>
  </si>
  <si>
    <t>"UV podobrubníková "2</t>
  </si>
  <si>
    <t>C74</t>
  </si>
  <si>
    <t>"UV nakláněná "21</t>
  </si>
  <si>
    <t>D73</t>
  </si>
  <si>
    <t>"Mezisoučet "47.000000</t>
  </si>
  <si>
    <t>74</t>
  </si>
  <si>
    <t>89952</t>
  </si>
  <si>
    <t>OBETONOVÁNÍ POTRUBÍ Z PROSTÉHO BETONU</t>
  </si>
  <si>
    <t>-1228454962</t>
  </si>
  <si>
    <t>Poznámka k souboru cen:_x000D_
Položka zahrnuje: - dodání čerstvého betonu (betonové směsi) požadované kvality, jeho uložení do požadovaného tvaru při jakékoliv hustotě výztuže, konzistenci čerstvého betonu a způsobu hutnění, ošetření a ochranu betonu, - zhotovení nepropustného, mrazuvzdorného betonu a betonu požadované trvanlivosti a vlastností, - užití potřebných přísad a technologií výroby betonu, - zřízení pracovních a dilatačních spar, včetně potřebných úprav, výplně, vložek, opracování, očištění a ošetření, - bednění požadovaných konstr. (i ztracené) s úpravou dle požadované kvality povrchu betonu, včetně odbedňovacích a odskružovacích prostředků, - podpěrné konstr. (skruže) a lešení všech druhů pro bednění, uložení čerstvého betonu, výztuže a doplňkových konstr., vč. požadovaných otvorů, ochranných a bezpečnostních opatření a základů těchto konstrukcí a lešení, - vytvoření kotevních čel, kapes, nálitků, a sedel, - zřízení všech požadovaných otvorů, kapes, výklenků, prostupů, dutin, drážek a pod., vč. ztížení práce a úprav kolem nich, - úpravy pro osazení výztuže, doplňkových konstrukcí a vybavení, - úpravy povrchu pro položení požadované izolace, povlaků a nátěrů, případně vyspravení, - ztížení práce u kabelových a injektážních trubek a ostatních zařízení osazovaných do betonu, - konstrukce betonových kloubů, upevnění kotevních prvků a doplňkových konstrukcí, - nátěry zabraňující soudržnost betonu a bednění, - výplň, těsnění a tmelení spar a spojů, - opatření povrchů betonu izolací proti zemní vlhkosti v částech, kde přijdou do styku se zeminou nebo kamenivem, - případné zřízení spojovací vrstvy u základů, - úpravy pro osazení zařízení ochrany konstrukce proti vlivu bludných proudů Položka nezahrnuje: - x</t>
  </si>
  <si>
    <t>B75</t>
  </si>
  <si>
    <t>"nová přípojka (dl x plocha z řezu) "5*0,1</t>
  </si>
  <si>
    <t>E74</t>
  </si>
  <si>
    <t>"napojení nových vpustí (odhad á 1m)(dl x plocha z řezu) "(12+4)*0,1</t>
  </si>
  <si>
    <t>A152</t>
  </si>
  <si>
    <t>"Mezisoučet "2.100000</t>
  </si>
  <si>
    <t>75</t>
  </si>
  <si>
    <t>89980</t>
  </si>
  <si>
    <t>TELEVIZNÍ PROHLÍDKA POTRUBÍ</t>
  </si>
  <si>
    <t>1312285901</t>
  </si>
  <si>
    <t>Poznámka k souboru cen:_x000D_
Položka zahrnuje: - prohlídku potrubí televizní kamerou - záznam prohlídky na nosičích DVD - vyhotovení závěrečného písemného protokolu Položka nezahrnuje: - x</t>
  </si>
  <si>
    <t>A154</t>
  </si>
  <si>
    <t>"nové přípojky "37,000000 "(87434)</t>
  </si>
  <si>
    <t>B76</t>
  </si>
  <si>
    <t>C76</t>
  </si>
  <si>
    <t>"Mezisoučet "94.000000</t>
  </si>
  <si>
    <t>76</t>
  </si>
  <si>
    <t>89980.1</t>
  </si>
  <si>
    <t>-1437717087</t>
  </si>
  <si>
    <t>A153</t>
  </si>
  <si>
    <t>"stávající kanalizace ŘSD "324</t>
  </si>
  <si>
    <t>77</t>
  </si>
  <si>
    <t>474352604</t>
  </si>
  <si>
    <t>A155</t>
  </si>
  <si>
    <t>262</t>
  </si>
  <si>
    <t>78</t>
  </si>
  <si>
    <t>1958169263</t>
  </si>
  <si>
    <t>A156</t>
  </si>
  <si>
    <t>79</t>
  </si>
  <si>
    <t>911AC1</t>
  </si>
  <si>
    <t>SVODIDLO OCEL LEHCE ROZEBIRATELNÉ, ÚROVEŇ ZADRŽ H2 - DODÁVKA A MONTÁŽ</t>
  </si>
  <si>
    <t>1897862323</t>
  </si>
  <si>
    <t>Poznámka k souboru cen:_x000D_
Položka zahrnuje: - kompletní dodávku všech dílů certifikovaného ocelového svodidla s předepsanou povrchovou úpravou včetně spojovacích prvků - montáž a osazení svodidla na vozovku SDP - přechod na jiný typ svodidla nebo přes mostní závěr - ochranu proti bludným proudům a vývody pro jejich měření Položka nezahrnuje: - odrazky nebo retroreflexní fólie Způsob měření: - vykazuje se délka svodidla v předepsané výšce, délka náběhů se nezapočítává</t>
  </si>
  <si>
    <t>A157</t>
  </si>
  <si>
    <t>"Nový přejezd SDP "64</t>
  </si>
  <si>
    <t>80</t>
  </si>
  <si>
    <t>-1705530034</t>
  </si>
  <si>
    <t>A158</t>
  </si>
  <si>
    <t>"MÚK dl / á 10m "367/10</t>
  </si>
  <si>
    <t>B80</t>
  </si>
  <si>
    <t>"zaokrouhlení "0,3</t>
  </si>
  <si>
    <t>C80</t>
  </si>
  <si>
    <t>81</t>
  </si>
  <si>
    <t>1735933717</t>
  </si>
  <si>
    <t>A159</t>
  </si>
  <si>
    <t>"SDP "2*262/40</t>
  </si>
  <si>
    <t>D81</t>
  </si>
  <si>
    <t>"zaokrouhlení "-0,1</t>
  </si>
  <si>
    <t>C81</t>
  </si>
  <si>
    <t>"Mezisoučet "13.000000</t>
  </si>
  <si>
    <t>82</t>
  </si>
  <si>
    <t>917212</t>
  </si>
  <si>
    <t>ZÁHONOVÉ OBRUBY Z BETONOVÝCH OBRUBNÍKŮ ŠÍŘ 80MM</t>
  </si>
  <si>
    <t>1174588091</t>
  </si>
  <si>
    <t>A160</t>
  </si>
  <si>
    <t>"chodníkové obruby "342</t>
  </si>
  <si>
    <t>83</t>
  </si>
  <si>
    <t>-1302480717</t>
  </si>
  <si>
    <t>A161</t>
  </si>
  <si>
    <t>"silniční obruby "2835</t>
  </si>
  <si>
    <t>B83</t>
  </si>
  <si>
    <t>"pravá polovina (po opravě mostu) "53</t>
  </si>
  <si>
    <t>C83</t>
  </si>
  <si>
    <t>"Mezisoučet "2888.000000</t>
  </si>
  <si>
    <t>84</t>
  </si>
  <si>
    <t>91726</t>
  </si>
  <si>
    <t>KO OBRUBNÍKY BETONOVÉ</t>
  </si>
  <si>
    <t>1834202507</t>
  </si>
  <si>
    <t>A162</t>
  </si>
  <si>
    <t>"přímý dl vjezdů "5,4+(4*6)+5,4</t>
  </si>
  <si>
    <t>B84</t>
  </si>
  <si>
    <t>"počet vjezdů  x  (2x 0,6) "6*(2*0,6)</t>
  </si>
  <si>
    <t>C84</t>
  </si>
  <si>
    <t>"Mezisoučet "42.000000</t>
  </si>
  <si>
    <t>85</t>
  </si>
  <si>
    <t>91771</t>
  </si>
  <si>
    <t>OBRUBA Z DLAŽEBNÍCH KOSTEK VELKÝCH</t>
  </si>
  <si>
    <t>-1849544136</t>
  </si>
  <si>
    <t>Poznámka k souboru cen:_x000D_
Položka zahrnuje: - dodání a pokládku jedné řady dlažebních kostek o rozměrech předepsaných zadávací dokumentací - betonové lože i boční betonovou opěrku Položka nezahrnuje: - x</t>
  </si>
  <si>
    <t>A163</t>
  </si>
  <si>
    <t>"pžídlažba "2168</t>
  </si>
  <si>
    <t>86</t>
  </si>
  <si>
    <t>1902800697</t>
  </si>
  <si>
    <t>A164</t>
  </si>
  <si>
    <t>"Napojení povrchů "434</t>
  </si>
  <si>
    <t>B86</t>
  </si>
  <si>
    <t>"Podél UVpočet x obvod "62*2</t>
  </si>
  <si>
    <t>C86</t>
  </si>
  <si>
    <t>"podél šachetpočet x obvod "40*2,4</t>
  </si>
  <si>
    <t>D86</t>
  </si>
  <si>
    <t>"podél obrubp 917224 "2835</t>
  </si>
  <si>
    <t>E86</t>
  </si>
  <si>
    <t>"pravá polovina (po opravě mostu) "145</t>
  </si>
  <si>
    <t>F86</t>
  </si>
  <si>
    <t>"Mezisoučet "3634.000000</t>
  </si>
  <si>
    <t>87</t>
  </si>
  <si>
    <t>931311</t>
  </si>
  <si>
    <t>TĚSNĚNÍ DILATAČ SPAR ASF ZÁLIVKOU PRŮŘ DO 100MM2</t>
  </si>
  <si>
    <t>-933133581</t>
  </si>
  <si>
    <t>A165</t>
  </si>
  <si>
    <t>3634,000000 "(919111)</t>
  </si>
  <si>
    <t>88</t>
  </si>
  <si>
    <t>935113R</t>
  </si>
  <si>
    <t>ŠTĚRBINOVÉ ŽLABY Z BETONOVÝCH DÍLCŮ ŠÍŘ DO 400MM VÝŠ DO 500MM S OBRUBOU 150mm</t>
  </si>
  <si>
    <t>-620784461</t>
  </si>
  <si>
    <t>Poznámka k souboru cen:_x000D_
Položka zahrnuje: - veškerý materiál, výrobky a polotovary - včetně mimostaveništní a vnitrostaveništní dopravy (rovněž přesuny), včetně naložení a složení,případně s uložením. - veškeré práce nutné pro zřízení těchto konstrukcí, včetně zemních prací, lože, ukončení, patek, spárování, úpravy vtoku a výtoku Položka nezahrnuje: - x Způsob měření: - měří se v [m] délky osy žlabu bez čistících kusů a odtokových vpustí.</t>
  </si>
  <si>
    <t>B88</t>
  </si>
  <si>
    <t>"obruba 150mm "26</t>
  </si>
  <si>
    <t>89</t>
  </si>
  <si>
    <t>935113R.1</t>
  </si>
  <si>
    <t>ŠTĚRBINOVÉ ŽLABY Z BETONOVÝCH DÍLCŮ ŠÍŘ DO 400MM VÝŠ DO 500MM S OBRUBOU 180mm</t>
  </si>
  <si>
    <t>-1783381962</t>
  </si>
  <si>
    <t>A166</t>
  </si>
  <si>
    <t>"obruba 180mm "38</t>
  </si>
  <si>
    <t>90</t>
  </si>
  <si>
    <t>-1765729756</t>
  </si>
  <si>
    <t>A167</t>
  </si>
  <si>
    <t>"příkopy v MÚK "252</t>
  </si>
  <si>
    <t>91</t>
  </si>
  <si>
    <t>93542</t>
  </si>
  <si>
    <t>ŽLABY Z DÍLCŮ Z POLYMERBETONU SVĚTLÉ ŠÍŘKY DO 150MM VČETNĚ MŘÍŽÍ</t>
  </si>
  <si>
    <t>-916989704</t>
  </si>
  <si>
    <t>Poznámka k souboru cen:_x000D_
Položka zahrnuje: -dodávku a uložení dílců žlabu z předepsaného materiálu předepsaných rozměrů včetně mříže - spárování, úpravy vtoku a výtoku - nezahrnuje nutné zemní práce, předepsané lože, obetonování - měří se v metrech běžných délky osy žlabu, odečítají se čistící kusy a vpustě Položka nezahrnuje: - x</t>
  </si>
  <si>
    <t>A168</t>
  </si>
  <si>
    <t>"odvodnění v ploše u zastávky "20+12,5</t>
  </si>
  <si>
    <t>92</t>
  </si>
  <si>
    <t>93723R</t>
  </si>
  <si>
    <t>MOBILIÁŘ - KOŠ + LAVIČKA, DEMONTÁŽ + ZPĚTNÁ MONTÁŽ</t>
  </si>
  <si>
    <t>1832379201</t>
  </si>
  <si>
    <t>Poznámka k souboru cen:_x000D_
Položka zahrnuje: - montáž, osazení a dodávku kompletního zařízení, předepsaného zadávací dokumentací (materiál uvedený v textu představuje rozhodující podíl ve výrobku) - mimostavništní a vnitrostaveništní dopravu - nezbytné zemní práce a základové konstrukce - předepsanou povrchovou úpravu (nátěry a pod.) Položka nezahrnuje: - x</t>
  </si>
  <si>
    <t>"demontáž A169 zpětná montáž odpadkový koš + lavička "1+1</t>
  </si>
  <si>
    <t>93</t>
  </si>
  <si>
    <t>96687</t>
  </si>
  <si>
    <t>VYBOURÁNÍ ULIČNÍCH VPUSTÍ KOMPLETNÍCH</t>
  </si>
  <si>
    <t>-1208218322</t>
  </si>
  <si>
    <t>A170</t>
  </si>
  <si>
    <t>"UV bourané "12+4</t>
  </si>
  <si>
    <t>94</t>
  </si>
  <si>
    <t>96687.1</t>
  </si>
  <si>
    <t>-1781602226</t>
  </si>
  <si>
    <t>B94</t>
  </si>
  <si>
    <t>"UV nakláněné (cca polovina výšky) "21/2</t>
  </si>
  <si>
    <t>95</t>
  </si>
  <si>
    <t>96718</t>
  </si>
  <si>
    <t>VYBOURÁNÍ ČÁSTÍ KONSTRUKCÍ KOVOVÝCH</t>
  </si>
  <si>
    <t>889950520</t>
  </si>
  <si>
    <t>Poznámka k souboru cen:_x000D_
Položka zahrnuje: - veškerou manipulaci s vybouranou sutí a hmotami včetně uložení na skládku, - veškeré další práce plynoucí z technologického předpisu a z platných předpisů Položka nezahrnuje: - poplatek za skládku, který se vykazuje v položce 0141** (s výjimkou malého množství bouraného materiálu, kde je možné poplatek zahrnout do jednotkové ceny bourání – tento fakt musí být uveden v doplňujícím textu k položce)</t>
  </si>
  <si>
    <t>A171</t>
  </si>
  <si>
    <t>"nakláněné UV +stávající UV * výměna (předpoklad) u 2/3 UVpočet * hmotnost (t) "(21+24)/3*2*0,07</t>
  </si>
  <si>
    <t>A175</t>
  </si>
  <si>
    <t>A177</t>
  </si>
  <si>
    <t>B19</t>
  </si>
  <si>
    <t>181 - Přechodné dopravní značení</t>
  </si>
  <si>
    <t>027212R.M</t>
  </si>
  <si>
    <t>POM PRÁCE ZAJIŠŤ REGUL DOPRAVY - VÝLUKY NA ELEKTRIF TRATI</t>
  </si>
  <si>
    <t>-483110070</t>
  </si>
  <si>
    <t>viz vyjadreni PMDP v dokladove casti - úprava trolejové stopy;
zajisti jmenovany podzhotovitel PMDP; pevna cena 167 025,- Kc bez DPH;
do jednotkove ceny zadejte 1,- Kc</t>
  </si>
  <si>
    <t>Poznámka k souboru cen:_x000D_
Položka zahrnuje: - veškeré náklady pro ČD spojené s objednatelem požadovaným omezením provozu na železnici Položka nezahrnuje: - x</t>
  </si>
  <si>
    <t>027212R.M1</t>
  </si>
  <si>
    <t>1202782448</t>
  </si>
  <si>
    <t>viz vyjadreni PMDP v dokladove casti - vypnuti a zpetne zapnuti vedeni;
zajisti jmenovany podzhotovitel PMDP; pevna cena 11 176,- Kc bez DPH;
do jednotkove ceny zadejte 1,- Kc</t>
  </si>
  <si>
    <t>027212R.M2</t>
  </si>
  <si>
    <t>1225059277</t>
  </si>
  <si>
    <t>viz vyjadreni PMDP v dokladove casti - Instalace stříšky TV Pietas;
zajisti jmenovany podzhotovitel PMDP; pevna cena 44 942,- Kc bez DPH;
do jednotkove ceny zadejte 1,- Kc</t>
  </si>
  <si>
    <t>-1937558698</t>
  </si>
  <si>
    <t>Zpracovani a projednani podrobneho projektu DIO;
Zajisteni stanoveni prechodne upravy, zajisteni povoleni uzavirky;</t>
  </si>
  <si>
    <t>03350</t>
  </si>
  <si>
    <t>SLUŽBY ZAJIŠŤUJÍCÍ REGUL, PŘEVED A OCHRANU VEŘEJ DOPRAVY</t>
  </si>
  <si>
    <t>OTSKP 2024</t>
  </si>
  <si>
    <t>-290444372</t>
  </si>
  <si>
    <t>Kompletní dopravně inženýrská opatření po dobu stavby dle zadávací dokumentace a požadavků na provedení a kvalitu dle předpisů ŘSD a R-plánů zahrnující veškeré přechodné svislé i vodorovné dopravní značení, dopravní zařízení a světelné signály, výstražné a předzvěstné vozíky v potřebném rozsahu.
Položka zahrnuje:
- montáž, montáž s přesunem, demontáž – vše včetně dopravy:
- veškeré přechodné svislé i vodorovné dopravní značení včetně předznačení,
- dopravní zařízení a světelné signály (vyjma dočasných svodidel),
- výstražné a předzvěstné vozíky, ochranná a jiná vozidla,
- případné DIO pro demontáž a zpětnou montáž svodidel na přejezdech SDP,
- pořízení videozáznamu dle kapitoly 5.5 PS 11,
- zneplatnění nebo odstranění stávajícího svislého a vodorovného značení v potřebném rozsahu,
- zhotovení RDS a zajištění inženýrské činnosti pro projednání DIO,
- stanovení přechodné úpravy a stanovení uzavírky,
- kontrola správnosti provedeného značení dvakrát denně každý den s pořízením datované fotografie nebo záznamu z GPS vozidla a doložením těchto záznamů na vyžádání ŘSD.</t>
  </si>
  <si>
    <t>Poznámka k souboru cen:_x000D_
zahrnuje objednatelem povolené náklady na služby pro zhotovitele</t>
  </si>
  <si>
    <t>03350.2</t>
  </si>
  <si>
    <t>578124469</t>
  </si>
  <si>
    <t>naklady SVS MP; změny signálních plánů v krizovatkach</t>
  </si>
  <si>
    <t>A173</t>
  </si>
  <si>
    <t>"Fáze 1+5 (křiž. Vyhlídková) "2</t>
  </si>
  <si>
    <t>B7</t>
  </si>
  <si>
    <t>"Fáze 6 (křiž. Nákupní) "1</t>
  </si>
  <si>
    <t>C7</t>
  </si>
  <si>
    <t>"Mezisoučet "3.000000</t>
  </si>
  <si>
    <t>03350.M</t>
  </si>
  <si>
    <t>-411375045</t>
  </si>
  <si>
    <t>DISPEČERSKÁ ČINNOST
viz vyjádření PMDP v dokladové části - organizace dopravy při změně režimu;
zajisti jmenovany podzhotovitel PMDP; 
pevna cena 6 000,- Kc bez DPH;
do jednotkove ceny zadejte 1,- Kc</t>
  </si>
  <si>
    <t>A172</t>
  </si>
  <si>
    <t>6000</t>
  </si>
  <si>
    <t>03351R</t>
  </si>
  <si>
    <t>KPL/DEN</t>
  </si>
  <si>
    <t>-848360773</t>
  </si>
  <si>
    <t>Položka zahrnuje:
- pronájem dopravně inženýrských opatření včetně pravidelné kontroly, údržby,
servisu, přemisťování, přeznačování a manipulaci s jednotlivými prvky.</t>
  </si>
  <si>
    <t>A174</t>
  </si>
  <si>
    <t>"Pronájem DZ "40*7</t>
  </si>
  <si>
    <t>03710.M</t>
  </si>
  <si>
    <t>POMOC PRÁCE ZAJIŠŤ NEBO ZŘÍZ OBJÍŽĎKY A PŘÍSTUP CESTY</t>
  </si>
  <si>
    <t>811249950</t>
  </si>
  <si>
    <t>viz vyjadreni PMDP v dokladove casti - úpravy na zastávkách;
zajisti jmenovany podzhotovitel PMDP; pevna cena 22500,- Kc bez DPH;
do jednotkove ceny zadejte 1,- Kc</t>
  </si>
  <si>
    <t>"přesun zastávky MHD "Ústřední hřbitov" - přesun za roh na odstav "4500</t>
  </si>
  <si>
    <t>B13</t>
  </si>
  <si>
    <t>"přesun zastávky MHD "Ústřední hřbitov" - přesun na objízdnou trasu (na parkoviště) "4500</t>
  </si>
  <si>
    <t>C19</t>
  </si>
  <si>
    <t>"úprava zastávek "Na Švabinách" A175 "U Tesca" "13500</t>
  </si>
  <si>
    <t>D10</t>
  </si>
  <si>
    <t>"Mezisoučet "22500.000000</t>
  </si>
  <si>
    <t>03720.M</t>
  </si>
  <si>
    <t>POMOC PRÁCE ZAJIŠŤ NEBO ZŘÍZ REGULACI A OCHRANU DOPRAVY</t>
  </si>
  <si>
    <t>1939307270</t>
  </si>
  <si>
    <t>VÍCENÁKLADY PMDP - zajištění provozu vozy s alternativním pohonem s objízdnou
trasou;
viz vyjádření PMDP v dokladové části;
zajisti jmenovany podzhotovitel PMDP; pevna cena 43 576 Kč/den bez DPH;
do jednotkove ceny zadejte 1,- Kc</t>
  </si>
  <si>
    <t>A176</t>
  </si>
  <si>
    <t>"pracovní dny "2*5</t>
  </si>
  <si>
    <t>C22</t>
  </si>
  <si>
    <t>"rezerva (5 pracovních dnů) "1*5</t>
  </si>
  <si>
    <t>"Mezisoučet "15.000000</t>
  </si>
  <si>
    <t>D11</t>
  </si>
  <si>
    <t>B19*43576</t>
  </si>
  <si>
    <t>03720.M1</t>
  </si>
  <si>
    <t>-628746855</t>
  </si>
  <si>
    <t>VÍCENÁKLADY PMDP - zajištění provozu vozy s alternativním pohonem s objízdnou
trasou;
viz vyjádření PMDP v dokladové části;
zajisti jmenovany podzhotovitel PMDP; pevna cena 40 071 Kč/den bez DPH;
do jednotkove ceny zadejte 1,- Kc</t>
  </si>
  <si>
    <t>"dny pracovního klidu "6*2</t>
  </si>
  <si>
    <t>B22</t>
  </si>
  <si>
    <t>A177*40071</t>
  </si>
  <si>
    <t>12911</t>
  </si>
  <si>
    <t>-718607471</t>
  </si>
  <si>
    <t>pro prevadeni dopravy;
ZAHRNOUT SKLADKOVNE</t>
  </si>
  <si>
    <t>A178</t>
  </si>
  <si>
    <t>"čištění stávajících SDP před spuštěním provozu "(120+120+60)*3</t>
  </si>
  <si>
    <t>911AC2</t>
  </si>
  <si>
    <t>SVODIDLO OCEL LEHCE ROZEBIRATELNÉ, ÚROVEŇ ZADRŽ H2 - MONTÁŽ S PŘESUNEM (BEZ DODÁVKY)</t>
  </si>
  <si>
    <t>631883037</t>
  </si>
  <si>
    <t>pro prevadeni dopravy</t>
  </si>
  <si>
    <t>Poznámka k souboru cen:_x000D_
Položka zahrnuje: - dopravu zařízení - jeho montáž a osazení na určeném místě včetně všech nutných konstrukcí a prací - nutnou opravu poškozených částí, opravu nátěrů - případnou náhradu zničených částí Položka nezahrnuje: - kompletní novou PKO Způsob měření: - vykazuje se délka svodidla v základní výšce, délka náběhů se nezapočítává</t>
  </si>
  <si>
    <t>A179</t>
  </si>
  <si>
    <t>2*120</t>
  </si>
  <si>
    <t>911AC3</t>
  </si>
  <si>
    <t>SVODIDLO OCEL LEHCE ROZEBIRATELNÉ, ÚROVEŇ ZADRŽ H2 - DEMONTÁŽ S PŘESUNEM</t>
  </si>
  <si>
    <t>134913297</t>
  </si>
  <si>
    <t>A180</t>
  </si>
  <si>
    <t>911CC2</t>
  </si>
  <si>
    <t>SVODIDLO BETON, ÚROVEŇ ZADRŽ H2 VÝŠ 0,8M - MONTÁŽ S PŘESUNEM (BEZ DODÁVKY)</t>
  </si>
  <si>
    <t>-1510716601</t>
  </si>
  <si>
    <t>pro most 26-003; ochrana vykopu</t>
  </si>
  <si>
    <t>Poznámka k souboru cen:_x000D_
Položka zahrnuje: - dopravu zařízení - jeho montáž a osazení na určeném místě včetně všech nutných konstrukcí a prací - nutnou opravu poškozených částí, opravu nátěrů - případnou náhradu zničených částí Položka nezahrnuje: - podkladní vrstvu Způsob měření: - vykazuje se délka svodidla v základní výšce, délka náběhů se nezapočítává</t>
  </si>
  <si>
    <t>A181</t>
  </si>
  <si>
    <t>"etapa I "80+55</t>
  </si>
  <si>
    <t>B28</t>
  </si>
  <si>
    <t>"etapa II "80+55</t>
  </si>
  <si>
    <t>"Celkové množství "270.000000</t>
  </si>
  <si>
    <t>911CC3</t>
  </si>
  <si>
    <t>SVODIDLO BETON, ÚROVEŇ ZADRŽ H2 VÝŠ 0,8M - DEMONTÁŽ S PŘESUNEM</t>
  </si>
  <si>
    <t>2050476137</t>
  </si>
  <si>
    <t>A182</t>
  </si>
  <si>
    <t>"p 911CC2 "270</t>
  </si>
  <si>
    <t>911CC9</t>
  </si>
  <si>
    <t>SVODIDLO BETON, ÚROVEŇ ZADRŽ H2 VÝŠ 0,8M - NÁJEM</t>
  </si>
  <si>
    <t>MDEN</t>
  </si>
  <si>
    <t>-367383149</t>
  </si>
  <si>
    <t>Poznámka k souboru cen:_x000D_
Položka zahrnuje: - denní sazbu za pronájem zařízení Položka nezahrnuje: - x Způsob měření: - počet měrných jednotek se určí jako součin délky zařízení v předepsané výšce a počtu dnů použití</t>
  </si>
  <si>
    <t>A183</t>
  </si>
  <si>
    <t>"dl z p 911CC2 x tydny x dny "135*32*7</t>
  </si>
  <si>
    <t>911FC2</t>
  </si>
  <si>
    <t>SVODIDLO BETON, ÚROVEŇ ZADRŽ H2 VÝŠ 1,2M - MONTÁŽ S PŘESUNEM (BEZ DODÁVKY)</t>
  </si>
  <si>
    <t>867345233</t>
  </si>
  <si>
    <t>A184</t>
  </si>
  <si>
    <t>"SO 101 + SO 102 "50+60</t>
  </si>
  <si>
    <t>911FC3</t>
  </si>
  <si>
    <t>SVODIDLO BETON, ÚROVEŇ ZADRŽ H2 VÝŠ 1,2M - DEMONTÁŽ S PŘESUNEM</t>
  </si>
  <si>
    <t>-1346427439</t>
  </si>
  <si>
    <t>A185</t>
  </si>
  <si>
    <t>191 - Dopravní značení</t>
  </si>
  <si>
    <t>02940.1</t>
  </si>
  <si>
    <t>-1492766749</t>
  </si>
  <si>
    <t>Zpracování pasportu DZ a příslušenství PK dle předpisu B4, předpis pro jednotný sběr a evidenci vybraného vybavení PK. (Viz www.rsd.cz.)</t>
  </si>
  <si>
    <t>2045303613</t>
  </si>
  <si>
    <t>A186</t>
  </si>
  <si>
    <t>"ořez větví v parkovišti "4</t>
  </si>
  <si>
    <t>914112</t>
  </si>
  <si>
    <t>DOPRAVNÍ ZNAČKY ZÁKLAD VELIKOSTI OCEL NEREFLEXNÍ - MONTÁŽ S PŘEMÍST</t>
  </si>
  <si>
    <t>818366782</t>
  </si>
  <si>
    <t>Poznámka k souboru cen:_x000D_
Položka zahrnuje: - dopravu demontované značky z dočasné skládky - osazení a montáž značky na místě určeném projektem - nutnou opravu poškozených částí Položka nezahrnuje: - dodávku značky</t>
  </si>
  <si>
    <t>A187</t>
  </si>
  <si>
    <t>"označník zastávky "1</t>
  </si>
  <si>
    <t>914113</t>
  </si>
  <si>
    <t>DOPRAVNÍ ZNAČKY ZÁKLADNÍ VELIKOSTI OCELOVÉ NEREFLEXNÍ - DEMONTÁŽ</t>
  </si>
  <si>
    <t>1223532152</t>
  </si>
  <si>
    <t>Poznámka k souboru cen:_x000D_
Položka zahrnuje: - odstranění, demontáž a odklizení materiálu s odvozem na předepsané místo Položka nezahrnuje: - x</t>
  </si>
  <si>
    <t>A188</t>
  </si>
  <si>
    <t>914241</t>
  </si>
  <si>
    <t>DOPRAV ZNAČKY ZVĚTŠ VEL OCEL TŘ RA3 - DODÁVKA A MONT</t>
  </si>
  <si>
    <t>672490481</t>
  </si>
  <si>
    <t>Poznámka k souboru cen:_x000D_
Položka zahrnuje: - dodávku a montáž značek v požadovaném provedení Položka nezahrnuje: - x</t>
  </si>
  <si>
    <t>A189</t>
  </si>
  <si>
    <t>"B2 v MÚK "4</t>
  </si>
  <si>
    <t>915111</t>
  </si>
  <si>
    <t>VODOROVNÉ DOPRAVNÍ ZNAČENÍ BARVOU HLADKÉ - DODÁVKA A POKLÁDKA</t>
  </si>
  <si>
    <t>2073576911</t>
  </si>
  <si>
    <t>Poznámka k souboru cen:_x000D_
Položka zahrnuje: - dodání a pokládku nátěrového materiálu - předznačení a reflexní úpravu Položka nezahrnuje: - x Způsob měření: - měří se pouze natíraná plocha</t>
  </si>
  <si>
    <t>A190</t>
  </si>
  <si>
    <t>"p 915211 (hladké) "90,333</t>
  </si>
  <si>
    <t>B6</t>
  </si>
  <si>
    <t>"p 915221 (strukt. nehlučné) "540,125</t>
  </si>
  <si>
    <t>C6</t>
  </si>
  <si>
    <t>"p 915231 (strukt zvučící) "1510,042</t>
  </si>
  <si>
    <t>D6</t>
  </si>
  <si>
    <t>"p 91551 (šipky)(ks x průměrná plocha) "30*1,25</t>
  </si>
  <si>
    <t>E6</t>
  </si>
  <si>
    <t>"Mezisoučet "2178.000000</t>
  </si>
  <si>
    <t>915211</t>
  </si>
  <si>
    <t>VODOROVNÉ DOPRAVNÍ ZNAČENÍ PLASTEM HLADKÉ - DODÁVKA A POKLÁDKA</t>
  </si>
  <si>
    <t>-981708489</t>
  </si>
  <si>
    <t>A191</t>
  </si>
  <si>
    <t>"SO 102 - V13 (0,5/1) "271/3</t>
  </si>
  <si>
    <t>915221</t>
  </si>
  <si>
    <t>VODOR DOPRAV ZNAČ PLASTEM STRUKTURÁLNÍ NEHLUČNÉ - DOD A POKLÁDKA</t>
  </si>
  <si>
    <t>-1085669561</t>
  </si>
  <si>
    <t>D8</t>
  </si>
  <si>
    <t>"SO 102 - V4 (0,25) "1723*0,25</t>
  </si>
  <si>
    <t>E8</t>
  </si>
  <si>
    <t>"SO 102 - V2a (3/6/0,125) "715*0,125/3</t>
  </si>
  <si>
    <t>F8</t>
  </si>
  <si>
    <t>"SO 102 - V2b (3/1,5/0,125) "120*0,125/3</t>
  </si>
  <si>
    <t>G8</t>
  </si>
  <si>
    <t>"SO 102 - V2b (1,5/1,5/0,25) "255*0,25/2</t>
  </si>
  <si>
    <t>H8</t>
  </si>
  <si>
    <t>"SO102 - V1a (0,25) "40*0,25</t>
  </si>
  <si>
    <t>I8</t>
  </si>
  <si>
    <t>"SO 102 - V1a (0,125) "69*0,125</t>
  </si>
  <si>
    <t>A192</t>
  </si>
  <si>
    <t>"SO 102 - V7b (0,125) "42*0,125/2</t>
  </si>
  <si>
    <t>B8</t>
  </si>
  <si>
    <t>"SO 102 - V4 (0,5/0,5/0,25) "47*0,25/2</t>
  </si>
  <si>
    <t>C8</t>
  </si>
  <si>
    <t>"SO 102 - V5 (0,5) "22*0,5</t>
  </si>
  <si>
    <t>J8</t>
  </si>
  <si>
    <t>"SO 102 - V2b (3/1,5/0,25) "55*0,25/3</t>
  </si>
  <si>
    <t>L8</t>
  </si>
  <si>
    <t>"SO 101 - V2a (3/6/0,125) "(1780*0,125)/3</t>
  </si>
  <si>
    <t>K8</t>
  </si>
  <si>
    <t>"SO 102 - V2a (3/6/0,125) "((557+82)*0,125)/3</t>
  </si>
  <si>
    <t>N8</t>
  </si>
  <si>
    <t>"Mezisoučet "640.917000</t>
  </si>
  <si>
    <t>915231</t>
  </si>
  <si>
    <t>VODOR DOPRAV ZNAČ PLASTEM PROFIL ZVUČÍCÍ - DOD A POKLÁDKA</t>
  </si>
  <si>
    <t>-1607843443</t>
  </si>
  <si>
    <t>stříkaný plast, nezastavěné území</t>
  </si>
  <si>
    <t>C28</t>
  </si>
  <si>
    <t>"SO 101 - V2b (1,5/1,5/0,25) "234*0,25*0,5</t>
  </si>
  <si>
    <t>D12</t>
  </si>
  <si>
    <t>"SO 102 - V4 (0,25) "(1554+162)*0,25</t>
  </si>
  <si>
    <t>G9</t>
  </si>
  <si>
    <t>"SO 102 - V2b (1,5/1,5/0,25) "((102+57)*0,25)/0.5</t>
  </si>
  <si>
    <t>H9</t>
  </si>
  <si>
    <t>"SO102 - V1a (0,25) "(106+25)*0,25</t>
  </si>
  <si>
    <t>I9</t>
  </si>
  <si>
    <t>"SO 102 - V1a (0,125) "52*0,125</t>
  </si>
  <si>
    <t>A193</t>
  </si>
  <si>
    <t>"SO 101 - V4 (0,25) "3560*0,25</t>
  </si>
  <si>
    <t>B31</t>
  </si>
  <si>
    <t>"Mezisoučet "1467.000000</t>
  </si>
  <si>
    <t>91551</t>
  </si>
  <si>
    <t>VODOROVNÉ DOPRAVNÍ ZNAČENÍ - PŘEDEM PŘIPRAVENÉ SYMBOLY</t>
  </si>
  <si>
    <t>413269055</t>
  </si>
  <si>
    <t>Poznámka k souboru cen:_x000D_
Položka zahrnuje: - dodání a pokládku předepsaného symbolu - předznačení a reflexní úpravu Položka nezahrnuje: - x</t>
  </si>
  <si>
    <t>A194</t>
  </si>
  <si>
    <t>"SO 101 - šipky "8</t>
  </si>
  <si>
    <t>B32</t>
  </si>
  <si>
    <t>"SO 102 - šipky "22</t>
  </si>
  <si>
    <t>C32</t>
  </si>
  <si>
    <t>014121</t>
  </si>
  <si>
    <t>POPLATKY ZA SKLÁDKU TYP S-OO (OSTATNÍ ODPAD)</t>
  </si>
  <si>
    <t>1150791547</t>
  </si>
  <si>
    <t>Poznámka k souboru cen:_x000D_
zahrnuje veškeré poplatky provozovateli skládky související s uložením odpadu na skládce.</t>
  </si>
  <si>
    <t>A195</t>
  </si>
  <si>
    <t>46,000000 "(966168)</t>
  </si>
  <si>
    <t>B5</t>
  </si>
  <si>
    <t>26,000000 "(966118)</t>
  </si>
  <si>
    <t>C5</t>
  </si>
  <si>
    <t>1161,400000 "(131738)</t>
  </si>
  <si>
    <t>D4</t>
  </si>
  <si>
    <t>114,400000 "(626113)"*0,03</t>
  </si>
  <si>
    <t>E3</t>
  </si>
  <si>
    <t>28,600000 "(626123)"*0,06</t>
  </si>
  <si>
    <t>F3</t>
  </si>
  <si>
    <t>149,600000 "(626213)"*0,03</t>
  </si>
  <si>
    <t>"Celkové množství "1243.036000</t>
  </si>
  <si>
    <t>014132</t>
  </si>
  <si>
    <t>POPLATKY ZA SKLÁDKU TYP S-NO (NEBEZPEČNÝ ODPAD)</t>
  </si>
  <si>
    <t>-702011773</t>
  </si>
  <si>
    <t>A196</t>
  </si>
  <si>
    <t>"izolace "99,000000 "(97817)"*0,007</t>
  </si>
  <si>
    <t>B38</t>
  </si>
  <si>
    <t>"frézovaná ZAS-T3 "45,069000 "(113728)"*2,0</t>
  </si>
  <si>
    <t>"Celkové množství "90.831000</t>
  </si>
  <si>
    <t>02851</t>
  </si>
  <si>
    <t>PRŮZKUMNÉ PRÁCE DIAGNOSTIKY KONSTRUKCÍ NA POVRCHU</t>
  </si>
  <si>
    <t>1097067810</t>
  </si>
  <si>
    <t>Odtrhové zkoušky, karbonatace, chloridy</t>
  </si>
  <si>
    <t>Poznámka k souboru cen:_x000D_
zahrnuje veškeré náklady spojené s objednatelem požadovanými pracemi</t>
  </si>
  <si>
    <t>OSTATNÍ POŽADAVKY - GEODETICKÉ ZAMĚŘENÍ - CELKY</t>
  </si>
  <si>
    <t>-1333448232</t>
  </si>
  <si>
    <t>zamereni stavu pred stavbou;
prubezne zamerovani a vytycovani behem vystavby;
zamereni stavu po dokonceni</t>
  </si>
  <si>
    <t>02912</t>
  </si>
  <si>
    <t>OSTATNÍ POŽADAVKY - VYTYČOVACÍ BOD MIKROSÍTĚ</t>
  </si>
  <si>
    <t>414409725</t>
  </si>
  <si>
    <t>Poznámka k souboru cen:_x000D_
zahrnuje vrt D 300-500mm, ocelovou zárubnici DN 180-300 mm, ochrannou plastovou trubku DN 220-350 mm, plastový uzávěr, čepovou nivelační značku z nerez oceli, kotvu se šroubem z nerez oceli, ochranný tyčový znak s tabulkou, betonovou skruž DN 1500mm výšky 0,5m, beton C30/37-XF4, izolační pěnu, zaměření bodu včetně vyrovnání (velmi přesná nivelace) - dle projektu základní vytyčovací sítě, kde je hloubka určena geologem na základě dostupných průzkumů či dat</t>
  </si>
  <si>
    <t>029412</t>
  </si>
  <si>
    <t>OSTATNÍ POŽADAVKY - VYPRACOVÁNÍ MOSTNÍHO LISTU</t>
  </si>
  <si>
    <t>1029464919</t>
  </si>
  <si>
    <t>Mostní list;
Včetně stanovení zatížitelnosti výpočtem</t>
  </si>
  <si>
    <t>-785140313</t>
  </si>
  <si>
    <t>02953</t>
  </si>
  <si>
    <t>OSTATNÍ POŽADAVKY - HLAVNÍ MOSTNÍ PROHLÍDKA</t>
  </si>
  <si>
    <t>-362529871</t>
  </si>
  <si>
    <t>Poznámka k souboru cen:_x000D_
položka zahrnuje : - úkony dle ČSN 73 6221 - provedení hlavní mostní prohlídky oprávněnou fyzickou nebo právnickou osobou - vyhotovení záznamu (protokolu), který jednoznačně definuje stav mostu</t>
  </si>
  <si>
    <t>21331</t>
  </si>
  <si>
    <t>DRENÁŽNÍ VRSTVY Z BETONU MEZEROVITÉHO (DRENÁŽNÍHO)</t>
  </si>
  <si>
    <t>711817597</t>
  </si>
  <si>
    <t>obetonování drenáží</t>
  </si>
  <si>
    <t>Poznámka k souboru cen:_x000D_
Položka zahrnuje: - dodávku předepsaného materiálu pro drenážní vrstvu, včetně mimostaveništní a vnitrostaveništní dopravy - provedení drenážní vrstvy předepsaných rozměrů a předepsaného tvaru</t>
  </si>
  <si>
    <t>A212</t>
  </si>
  <si>
    <t>"výpočet z modelu "4,43</t>
  </si>
  <si>
    <t>272315</t>
  </si>
  <si>
    <t>ZÁKLADY Z PROSTÉHO BETONU DO C30/37</t>
  </si>
  <si>
    <t>1621440347</t>
  </si>
  <si>
    <t>ukončovací prahy dlažby</t>
  </si>
  <si>
    <t>Poznámka k souboru cen:_x000D_
- dodání čerstvého betonu (betonové směsi) požadované kvality, jeho uložení do požadovaného tvaru při jakékoliv hustotě výztuže, konzistenci čerstvého betonu a způsobu hutnění, ošetření a ochranu betonu, - zhotovení nepropustného, mrazuvzdorného betonu a betonu požadované trvanlivosti a vlastností, - užití potřebných přísad a technologií výroby betonu, - zřízení pracovních a dilatačních spar, včetně potřebných úprav, výplně, vložek, opracování, očištění a ošetření, - bednění požadovaných konstr. (i ztracené) s úpravou dle požadované kvality povrchu betonu, včetně odbedňovacích a odskružovacích prostředků, - podpěrné konstr. (skruže) a lešení všech druhů pro bednění, uložení čerstvého betonu, výztuže a doplňkových konstr., vč. požadovaných otvorů, ochranných a bezpečnostních opatření a základů těchto konstrukcí a lešení, - vytvoření kotevních čel, kapes, nálitků, a sedel, - zřízení všech požadovaných otvorů, kapes, výklenků, prostupů, dutin, drážek a pod., vč. ztížení práce a úprav kolem nich, - úpravy pro osazení výztuže, doplňkových konstrukcí a vybavení, - úpravy povrchu pro položení požadované izolace, povlaků a nátěrů, případně vyspravení, - ztížení práce u kabelových a injektážních trubek a ostatních zařízení osazovaných do betonu, - konstrukce betonových kloubů, upevnění kotevních prvků a doplňkových konstrukcí, - nátěry zabraňující soudržnost betonu a bednění, - výplň, těsnění a tmelení spar a spojů, - opatření povrchů betonu izolací proti zemní vlhkosti v částech, kde přijdou do styku se zeminou nebo kamenivem, - případné zřízení spojovací vrstvy u základů, - úpravy pro osazení zařízení ochrany konstrukce proti vlivu bludných proudů,</t>
  </si>
  <si>
    <t>A213</t>
  </si>
  <si>
    <t>"výpočet z modelu "2,09</t>
  </si>
  <si>
    <t>285391</t>
  </si>
  <si>
    <t>DODATEČNÉ KOTVENÍ VLEPENÍM BETONÁŘSKÉ VÝZTUŽE D DO 10MM DO VRTŮ</t>
  </si>
  <si>
    <t>2030837215</t>
  </si>
  <si>
    <t>kotvení spádového betonu uvnitř rámu
kotvy tvaru L</t>
  </si>
  <si>
    <t>Poznámka k souboru cen:_x000D_
Položka zahrnuje: dodání výztuže předepsaného profilu a předepsané délky (do 600mm) provedení vrtu předepsaného profilu a předepsané délky (do 300mm) vsunutí výztuže do vyvrtaného profilu a její zalepení předepsaným pojivem případně nutné lešení</t>
  </si>
  <si>
    <t>A214</t>
  </si>
  <si>
    <t>"dno "80*4</t>
  </si>
  <si>
    <t>B49</t>
  </si>
  <si>
    <t>"boky "22*2*2</t>
  </si>
  <si>
    <t>"Celkové množství "408.000000</t>
  </si>
  <si>
    <t>31112</t>
  </si>
  <si>
    <t>ZDI A STĚNY PODPĚR A VOLNÉ Z DÍLCŮ ŽELBET</t>
  </si>
  <si>
    <t>-1615612460</t>
  </si>
  <si>
    <t>provizorní zajištění zemního tělesa a konstrukčních vrstev na rozhraní etap
včetně přemístění na druhou etapu</t>
  </si>
  <si>
    <t>Poznámka k souboru cen:_x000D_
- dodání dílce požadovaného tvaru a vlastností, jeho skladování, doprava a osazení do definitivní polohy, včetně komplexní technologie výroby a montáže dílců, ošetření a ochrana dílců, - u dílců železobetonových a předpjatých veškerá výztuž, případně i tuhé kovové prvky a závěsná oka, - úpravy a zařízení pro uložení a transport dílce, - veškeré požadované úpravy dílců, včetně doplňkových konstrukcí a vybavení, - sestavení dílce na stavbě včetně montážních zařízení, plošin a prahů a pod., - výplň, těsnění a tmelení spár a spojů, - očištění a ošetření úložných ploch, - zednické výpomoce pro montáž dílců, - označení dílce výrobním štítkem nebo jiným způsobem, - úpravy dílce pro dodržení požadované přesnosti jeho osazení, včetně případných měření, - veškerá zařízení pro zajištění stability v každém okamžiku, - další práce dané případně specifikací k příslušnému prefabrik. dílci (úprava pohledových ploch, příp. rubových ploch, osazení měřících zařízení, zkoušení a měření dílců a pod.)</t>
  </si>
  <si>
    <t>A215</t>
  </si>
  <si>
    <t>317325</t>
  </si>
  <si>
    <t>ŘÍMSY ZE ŽELEZOBETONU DO C30/37</t>
  </si>
  <si>
    <t>-1093302783</t>
  </si>
  <si>
    <t>římsy na parapetních zídkách
boční prahy uvnitř rámu</t>
  </si>
  <si>
    <t>Poznámka k souboru cen:_x000D_
položka zahrnuje: - dodání čerstvého betonu (betonové směsi) požadované kvality, jeho uložení do požadovaného tvaru při jakékoliv hustotě výztuže, konzistenci čerstvého betonu a způsobu hutnění, ošetření a ochranu betonu, - zhotovení nepropustného, mrazuvzdorného betonu a betonu požadované trvanlivosti a vlastností, - užití potřebných přísad a technologií výroby betonu, - zřízení pracovních a dilatačních spar, včetně potřebných úprav, výplně, vložek, opracování, očištění a ošetření, - bednění požadovaných konstr. (i ztracené) s úpravou dle požadované kvality povrchu betonu, včetně odbedňovacích a odskružovacích prostředků, - podpěrné konstr. (skruže) a lešení všech druhů pro bednění, uložení čerstvého betonu, výztuže a doplňkových konstr., vč. požadovaných otvorů, ochranných a bezpečnostních opatření a základů těchto konstrukcí a lešení, - vytvoření kotevních čel, kapes, nálitků, a sedel, - zřízení všech požadovaných otvorů, kapes, výklenků, prostupů, dutin, drážek a pod., vč. ztížení práce a úprav kolem nich, - úpravy pro osazení výztuže, doplňkových konstrukcí a vybavení, - úpravy povrchu pro položení požadované izolace, povlaků a nátěrů, případně vyspravení, - ztížení práce u kabelových a injektážních trubek a ostatních zařízení osazovaných do betonu, - konstrukce betonových kloubů, upevnění kotevních prvků a doplňkových konstrukcí, - nátěry zabraňující soudržnost betonu a bednění, - výplň, těsnění a tmelení spar a spojů, - opatření povrchů betonu izolací proti zemní vlhkosti v částech, kde přijdou do styku se zeminou nebo kamenivem, - případné zřízení spojovací vrstvy u základů, - úpravy pro osazení zařízení ochrany konstrukce proti vlivu bludných proudů</t>
  </si>
  <si>
    <t>A216</t>
  </si>
  <si>
    <t>"římsy; výpočet z modelu "10,75</t>
  </si>
  <si>
    <t>B50</t>
  </si>
  <si>
    <t>"prahy; výpočet z modelu "3,31</t>
  </si>
  <si>
    <t>"Celkové množství "14.060000</t>
  </si>
  <si>
    <t>317365</t>
  </si>
  <si>
    <t>VÝZTUŽ ŘÍMS Z OCELI 10505, B500B</t>
  </si>
  <si>
    <t>-1297495773</t>
  </si>
  <si>
    <t>Poznámka k souboru cen:_x000D_
položka zahrnuje: - dodání betonářské výztuže v požadované kvalitě, stříhání, řezání, ohýbání a spojování do všech požadovaných tvarů (vč. armakošů) a uložení s požadovaným zajištěním polohy a krytí výztuže betonem, - veškeré svary nebo jiné spoje výztuže, - pomocné konstrukce a práce pro osazení a upevnění výztuže, - zednické výpomoci pro montáž betonářské výztuže, - úpravy výztuže pro osazení doplňkových konstrukcí, - ochranu výztuže do doby jejího zabetonování, - úpravy výztuže pro zřízení železobetonových kloubů, kotevních prvků, závěsných ok a doplňkových konstrukcí, - veškerá opatření pro zajištění soudržnosti výztuže a betonu, - vodivé propojení výztuže, které je součástí ochrany konstrukce proti vlivům bludných proudů, vyvedení do měřících skříní nebo míst pro měření bludných proudů (vlastní měřící skříně se uvádějí položkami SD 74) - povrchovou antikorozní úpravu výztuže, - separaci výztuže, - osazení měřících zařízení a úpravy pro ně, - osazení měřících skříní nebo míst pro měření bludných proudů.</t>
  </si>
  <si>
    <t>A217</t>
  </si>
  <si>
    <t>14,060000 "(317325)"*0,2</t>
  </si>
  <si>
    <t>389385</t>
  </si>
  <si>
    <t>MOSTNÍ RÁMOVÉ KONSTRUKCE ZE ŽELEZOBETONU C30/37 VČETNĚ VÝZTUŽE</t>
  </si>
  <si>
    <t>904718563</t>
  </si>
  <si>
    <t>monolitické dobetonávky krajních částí mostu
komplet včetně prostupů, chrániček, těsnění spár i napojení na ponechávanou část, ošetřování</t>
  </si>
  <si>
    <t>Poznámka k souboru cen:_x000D_
- dodání čerstvého betonu (betonové směsi) požadované kvality, jeho uložení do požadovaného tvaru při jakékoliv hustotě výztuže, konzistenci čerstvého betonu a způsobu hutnění, ošetření a ochranu betonu, - zhotovení nepropustného, mrazuvzdorného betonu a betonu požadované trvanlivosti a vlastností, - užití potřebných přísad a technologií výroby betonu, - zřízení pracovních a dilatačních spar, včetně potřebných úprav, výplně, vložek, opracování, očištění a ošetření, - bednění požadovaných konstr. (i ztracené) s úpravou dle požadované kvality povrchu betonu, včetně odbedňovacích a odskružovacích prostředků, - podpěrné konstr. (skruže) a lešení všech druhů pro bednění, uložení čerstvého betonu, výztuže a doplňkových konstr., vč. požadovaných otvorů, ochranných a bezpečnostních opatření a základů těchto konstrukcí a lešení, - vytvoření kotevních čel, kapes, nálitků, a sedel, - zřízení všech požadovaných otvorů, kapes, výklenků, prostupů, dutin, drážek a pod., vč. ztížení práce a úprav kolem nich, - úpravy pro osazení výztuže, doplňkových konstrukcí a vybavení, - úpravy povrchu pro položení požadované izolace, povlaků a nátěrů, případně vyspravení, - ztížení práce u kabelových a injektážních trubek a ostatních zařízení osazovaných do betonu, - konstrukce betonových kloubů, upevnění kotevních prvků a doplňkových konstrukcí, - nátěry zabraňující soudržnost betonu a bednění, - výplň, těsnění a tmelení spar a spojů, - opatření povrchů betonu izolací proti zemní vlhkosti v částech, kde přijdou do styku se zeminou nebo kamenivem, - případné zřízení spojovací vrstvy u základů, - úpravy pro osazení zařízení ochrany konstrukce proti vlivu bludných proudů</t>
  </si>
  <si>
    <t>A218</t>
  </si>
  <si>
    <t>"základy "31,14</t>
  </si>
  <si>
    <t>B52</t>
  </si>
  <si>
    <t>"dříky "9,90</t>
  </si>
  <si>
    <t>C43</t>
  </si>
  <si>
    <t>"mostovka "10,24</t>
  </si>
  <si>
    <t>D30</t>
  </si>
  <si>
    <t>"křídla "15,12</t>
  </si>
  <si>
    <t>E30</t>
  </si>
  <si>
    <t>"parapety "2,94</t>
  </si>
  <si>
    <t>"Celkové množství "69.340000</t>
  </si>
  <si>
    <t>420325</t>
  </si>
  <si>
    <t>PŘECHODOVÉ DESKY MOSTNÍCH OPĚR ZE ŽELEZOBETONU C30/37</t>
  </si>
  <si>
    <t>21680117</t>
  </si>
  <si>
    <t>Ochranná deska</t>
  </si>
  <si>
    <t>A219</t>
  </si>
  <si>
    <t>"výpočet z modelu "69,30</t>
  </si>
  <si>
    <t>420366</t>
  </si>
  <si>
    <t>VÝZTUŽ PŘECHOD DESEK MOSTNÍCH OPĚR Z KARI SÍTÍ</t>
  </si>
  <si>
    <t>-1789204969</t>
  </si>
  <si>
    <t>výztuž k 420325</t>
  </si>
  <si>
    <t>Poznámka k souboru cen:_x000D_
Položka zahrnuje veškerý materiál, výrobky a polotovary, včetně mimostaveništní a vnitrostaveništní dopravy (rovněž přesuny), včetně naložení a složení, případně s uložením - dodání betonářské výztuže v požadované kvalitě, stříhání, řezání, ohýbání a spojování do všech požadovaných tvarů (vč. armakošů) a uložení s požadovaným zajištěním polohy a krytí výztuže betonem, - veškeré svary nebo jiné spoje výztuže, - pomocné konstrukce a práce pro osazení a upevnění výztuže, - zednické výpomoci pro montáž betonářské výztuže, - úpravy výztuže pro osazení doplňkových konstrukcí, - ochranu výztuže do doby jejího zabetonování, - úpravy výztuže pro zřízení železobetonových kloubů, kotevních prvků, závěsných ok a doplňkových konstrukcí, - veškerá opatření pro zajištění soudržnosti výztuže a betonu, - vodivé propojení výztuže, které je součástí ochrany konstrukce proti vlivům bludných proudů, vyvedení do měřících skříní nebo míst pro měření bludných proudů (vlastní měřící skříně se uvádějí položkami SD 74), - povrchovou antikorozní úpravu výztuže, - separaci výztuže, - osazení měřících zařízení a úpravy pro ně, - osazení měřících skříní nebo míst pro měření bludných proudů.</t>
  </si>
  <si>
    <t>A220</t>
  </si>
  <si>
    <t>69,300000 "(420325)"*0,1</t>
  </si>
  <si>
    <t>451312</t>
  </si>
  <si>
    <t>PODKLADNÍ A VÝPLŇOVÉ VRSTVY Z PROSTÉHO BETONU C12/15</t>
  </si>
  <si>
    <t>1472003855</t>
  </si>
  <si>
    <t>A221</t>
  </si>
  <si>
    <t>"pod drenáže; výpočet z modelu "1,62</t>
  </si>
  <si>
    <t>B71</t>
  </si>
  <si>
    <t>"pod základy; výpočet z modelu "13,34</t>
  </si>
  <si>
    <t>C48</t>
  </si>
  <si>
    <t>"pod ochrannou desku "38,1</t>
  </si>
  <si>
    <t>"Celkové množství "53.060000</t>
  </si>
  <si>
    <t>457312</t>
  </si>
  <si>
    <t>VYROVNÁVACÍ A SPÁDOVÝ PROSTÝ BETON C12/15</t>
  </si>
  <si>
    <t>-287555549</t>
  </si>
  <si>
    <t>ochrana izolace tl. 50 mm na ochranné desce</t>
  </si>
  <si>
    <t>A222</t>
  </si>
  <si>
    <t>"výpočet z modelu "16,567</t>
  </si>
  <si>
    <t>457385</t>
  </si>
  <si>
    <t>VYROVNÁVACÍ A SPÁD ŽELEZOBETON DO C30/37 VČET VÝZTUŽE</t>
  </si>
  <si>
    <t>157628405</t>
  </si>
  <si>
    <t>spádový beton s kari sítí na původních rámech
spádový beton uvnitř rámu</t>
  </si>
  <si>
    <t>Poznámka k souboru cen:_x000D_
položka zahrnuje: - dodání čerstvého betonu (betonové směsi) požadované kvality, jeho uložení do požadovaného tvaru při jakékoliv hustotě výztuže, konzistenci čerstvého betonu a způsobu hutnění, ošetření a ochranu betonu, - zhotovení nepropustného, mrazuvzdorného betonu a betonu požadované trvanlivosti a vlastností, - užití potřebných přísad a technologií výroby betonu, - zřízení pracovních a dilatačních spar, včetně potřebných úprav, výplně, vložek, opracování, očištění a ošetření, - bednění požadovaných konstr. (i ztracené) s úpravou dle požadované kvality povrchu betonu, včetně odbedňovacích a odskružovacích prostředků, - podpěrné konstr. (skruže) a lešení všech druhů pro bednění, uložení čerstvého betonu, výztuže a doplňkových konstr., vč. požadovaných otvorů, ochranných a bezpečnostních opatření a základů těchto konstrukcí a lešení, - vytvoření kotevních čel, kapes, nálitků, a sedel, - zřízení všech požadovaných otvorů, kapes, výklenků, prostupů, dutin, drážek a pod., vč. ztížení práce a úprav kolem nich, - úpravy pro osazení výztuže, doplňkových konstrukcí a vybavení, - úpravy povrchu pro položení požadované izolace, povlaků a nátěrů, případně vyspravení, - ztížení práce u kabelových a injektážních trubek a ostatních zařízení osazovaných do betonu, - konstrukce betonových kloubů, upevnění kotevních prvků a doplňkových konstrukcí, - nátěry zabraňující soudržnost betonu a bednění, - výplň, těsnění a tmelení spar a spojů, - opatření povrchů betonu izolací proti zemní vlhkosti v částech, kde přijdou do styku se zeminou nebo kamenivem, - případné zřízení spojovací vrstvy u základů, - úpravy pro osazení zařízení ochrany konstrukce proti vlivu bludných proudů - dodání betonářské výztuže v požadované kvalitě, stříhání, řezání, ohýbání a spojování do všech požadovaných tvarů (vč. armakošů) a uložení s požadovaným zajištěním polohy a krytí výztuže betonem, - veškeré svary nebo jiné spoje výztuže, - pomocné konstrukce a práce pro osazení a upevnění výztuže, - zednické výpomoci pro montáž betonářské výztuže, - úpravy výztuže pro osazení doplňkových konstrukcí, - ochranu výztuže do doby jejího zabetonování, - úpravy výztuže pro zřízení železobetonových kloubů, kotevních prvků, závěsných ok a doplňkových konstrukcí, - veškerá opatření pro zajištění soudržnosti výztuže a betonu, - povrchovou antikorozní úpravu výztuže, - separaci výztuže</t>
  </si>
  <si>
    <t>A223</t>
  </si>
  <si>
    <t>"výpočet z modelu "14,50</t>
  </si>
  <si>
    <t>B72</t>
  </si>
  <si>
    <t>"výpočet z modelu "12,92</t>
  </si>
  <si>
    <t>"Celkové množství "27.420000</t>
  </si>
  <si>
    <t>465512</t>
  </si>
  <si>
    <t>DLAŽBY Z LOMOVÉHO KAMENE NA MC</t>
  </si>
  <si>
    <t>-1169601372</t>
  </si>
  <si>
    <t>dlažba min 150 mm do bet. lože 100 mm</t>
  </si>
  <si>
    <t>Poznámka k souboru cen:_x000D_
položka zahrnuje: - nutné zemní práce (svahování, úpravu pláně a pod.) - zřízení spojovací vrstvy - zřízení lože dlažby z cementové malty předepsané kvality a předepsané tloušťky - dodávku a položení dlažby z lomového kamene do předepsaného tvaru - spárování, těsnění, tmelení a vyplnění spar MC případně s vyklínováním - úprava povrchu pro odvedení srážkové vody - nezahrnuje podklad pod dlažbu, vykazuje se samostatně položkami SD 45</t>
  </si>
  <si>
    <t>A224</t>
  </si>
  <si>
    <t>"dlažba; výpočet z modelu "5,7</t>
  </si>
  <si>
    <t>B77</t>
  </si>
  <si>
    <t>"skluzy; výpočet z modelu "2,3</t>
  </si>
  <si>
    <t>"Celkové množství "8.000000</t>
  </si>
  <si>
    <t>Úpravy povrchů, podlahy, výplně otvorů</t>
  </si>
  <si>
    <t>626113</t>
  </si>
  <si>
    <t>REPROFILACE PODHLEDŮ, SVISLÝCH PLOCH SANAČNÍ MALTOU JEDNOVRST TL 30MM</t>
  </si>
  <si>
    <t>-1038300976</t>
  </si>
  <si>
    <t>Hrubá tixotropní vysokopevnostní opravná malta se statickou funkcí pro opravy betonových 
konstrukcí podle ČSN EN 1504-3, třídy R4</t>
  </si>
  <si>
    <t>Poznámka k souboru cen:_x000D_
položka zahrnuje: dodávku veškerého materiálu potřebného pro předepsanou úpravu v předepsané kvalitě nutné vyspravení podkladu, případně zatření spar zdiva položení vrstvy v předepsané tloušťce potřebná lešení a podpěrné konstrukce</t>
  </si>
  <si>
    <t>A236</t>
  </si>
  <si>
    <t>"vnitřek rámů IZM; obv.×dl.×koef. "6,5*22*0,8</t>
  </si>
  <si>
    <t>626123</t>
  </si>
  <si>
    <t>REPROFIL PODHL, SVIS PLOCH SANAČ MALTOU DVOUVRST TL DO 60MM</t>
  </si>
  <si>
    <t>-1494167312</t>
  </si>
  <si>
    <t>A237</t>
  </si>
  <si>
    <t>"vnitřek rámů IZM; obv.×dl.×koef. "6,5*22*0,2</t>
  </si>
  <si>
    <t>626213</t>
  </si>
  <si>
    <t>REPROFILACE VODOROVNÝCH PLOCH SHORA SANAČNÍ MALTOU JEDNOVRST TL 30MM</t>
  </si>
  <si>
    <t>-1370651843</t>
  </si>
  <si>
    <t>Lokální sanace betonové mostovky
Provedení lokálních vyrovnávek negativních nerovností mostovky materiálem metakrylátové stěrky.</t>
  </si>
  <si>
    <t>A238</t>
  </si>
  <si>
    <t>"horní deska "3,5*22</t>
  </si>
  <si>
    <t>B78</t>
  </si>
  <si>
    <t>"dolní deska "3,3*22</t>
  </si>
  <si>
    <t>"Celkové množství "149.600000</t>
  </si>
  <si>
    <t>62662</t>
  </si>
  <si>
    <t>INJEKTÁŽ TRHLIN TĚSNÍCÍ</t>
  </si>
  <si>
    <t>107988741</t>
  </si>
  <si>
    <t>Zapravení trhlin a otevřených pracovních spár betonových konstrukcí 
položka rovněž zahrnuje:
Proříznutí pracovní spáry diamant. kotoučem tl. 3-5 mm do hloubky 20 mm, 
vyčištění spáry stlač. vzduchem, 
aplikace podkladního nátěru 
tmelení polyuretanovým tmelem.</t>
  </si>
  <si>
    <t>Poznámka k souboru cen:_x000D_
položka zahrnuje: dodávku veškerého materiálu potřebného pro předepsanou úpravu v předepsané kvalitě vyčištění trhliny provedení vlastní injektáže potřebná lešení a podpěrné konstrukce</t>
  </si>
  <si>
    <t>A239</t>
  </si>
  <si>
    <t>"odhad "25</t>
  </si>
  <si>
    <t>711452</t>
  </si>
  <si>
    <t>IZOLACE MOSTOVEK ASFALTOVÝMI PÁSY S PEČETÍCÍ VRSTVOU</t>
  </si>
  <si>
    <t>1234668784</t>
  </si>
  <si>
    <t>izolace spádového betonu 
ochranné desky
nových rámů</t>
  </si>
  <si>
    <t>Poznámka k souboru cen:_x000D_
položka zahrnuje: - dodání předepsaného izolačního materiálu - očištění a ošetření podkladu, zadávací dokumentace může zahrnout i případné vyspravení - zřízení izolace jako kompletního povlaku, případně komplet. soustavy nebo systému podle příslušného technolog. předpisu - zřízení izolace i jednotlivých vrstev po etapách, včetně pracovních spár a spojů - úprava u okrajů, rohů, hran, dilatačních i pracovních spojů, kotev, obrubníků, dilatačních zařízení, odvodnění, otvorů, neizolovaných míst a pod. - zajištění odvodnění povrchu izolace, včetně odvodnění nejnižších míst, pokud dokumentace pro zadání stavby nestanoví jinak - ochrana izolace do doby zřízení definitivní ochranné vrstvy nebo konstrukce - úprava, očištění a ošetření prostoru kolem izolace - provedení požadovaných zkoušek - nezahrnuje ochranné vrstvy, např. litý asfalt, asfaltový beton v této položce se vykáže i izolace rámových konstrukcí (mosty, propusty, kolektory)</t>
  </si>
  <si>
    <t>A240</t>
  </si>
  <si>
    <t>"spádový b. + p.s. "4,5*22</t>
  </si>
  <si>
    <t>B79</t>
  </si>
  <si>
    <t>"ochranná deska; výpočet z modelu "213,761</t>
  </si>
  <si>
    <t>C52</t>
  </si>
  <si>
    <t>"rámy "(4+2,5)*8,8</t>
  </si>
  <si>
    <t>"Celkové množství "369.961000</t>
  </si>
  <si>
    <t>711509</t>
  </si>
  <si>
    <t>OCHRANA IZOLACE NA POVRCHU TEXTILIÍ</t>
  </si>
  <si>
    <t>-1211050297</t>
  </si>
  <si>
    <t>Poznámka k souboru cen:_x000D_
položka zahrnuje: - dodání předepsaného ochranného materiálu - zřízení ochrany izolace</t>
  </si>
  <si>
    <t>A241</t>
  </si>
  <si>
    <t>"Ochrana těsnicí vrstvy v přechodové oblasti z obou stran "119,700000 "(502943)"*2</t>
  </si>
  <si>
    <t>B81</t>
  </si>
  <si>
    <t>"ochrana izolace rubů opěr "2*6,8+2*11,4</t>
  </si>
  <si>
    <t>C63</t>
  </si>
  <si>
    <t>"separace materiálů za drenážemi na ochranné desce "55,26+52,14</t>
  </si>
  <si>
    <t>"Celkové množství "383.200000</t>
  </si>
  <si>
    <t>76794R</t>
  </si>
  <si>
    <t>OPLOCENÍ Z PLECHU</t>
  </si>
  <si>
    <t>234531342</t>
  </si>
  <si>
    <t>Provizorni oploceni staveniste s nepruhlednou vyplni;
Kompletni dodavka;
Polozka zahrnuje:
- dopravu, montaz, udrzbu, odstraneni,
- najemne po dobu trvani stavby</t>
  </si>
  <si>
    <t>Poznámka k souboru cen:_x000D_
- položka zahrnuje vedle vlastních zámečnických výrobků i rámy, rošty, lišty, kování, podpěrné, závěsné, upevňovací prvky, spojovací a těsnící materiál, pomocný materiál, kompletní povrchovou úpravu. - vcetne sloupku a vzper; - součástí položky je případně i ostnatý drát, uvažovaná plocha se pak vypočítává po horní hranu drátu.</t>
  </si>
  <si>
    <t>A242</t>
  </si>
  <si>
    <t>"dl x h "(40+10+10)*2,5</t>
  </si>
  <si>
    <t>78312</t>
  </si>
  <si>
    <t>PROTIKOROZ OCHRANA OCEL KONSTR NÁTĚREM VÍCEVRST</t>
  </si>
  <si>
    <t>94347622</t>
  </si>
  <si>
    <t>Pasivace výztuže obnažené při sanaci</t>
  </si>
  <si>
    <t>Poznámka k souboru cen:_x000D_
- položky nátěrů zahrnují kompletní povlaky (i různobarevné), včetně úpravy podkladu (odmaštění, odrezivění, odstranění starých nátěrů a nečistot) a jeho vyspravení, provedení nátěru předepsaným postupem a splnění všech požadavků daných technologickým předpisem.</t>
  </si>
  <si>
    <t>A243</t>
  </si>
  <si>
    <t>292,600000 "(938544)"*0,25</t>
  </si>
  <si>
    <t>78383</t>
  </si>
  <si>
    <t>NÁTĚRY BETON KONSTR TYP S4 (OS-C)</t>
  </si>
  <si>
    <t>-1263706613</t>
  </si>
  <si>
    <t>nátěr levé římsy proti CHLR</t>
  </si>
  <si>
    <t>Poznámka k souboru cen:_x000D_
- položka zahrnuje kompletní povlaky (i různobarevné), včetně úpravy podkladu (odmaštění, odstranění starých nátěrů a nečistot) a jeho vyspravení, provedení nátěru předepsaným postupem a splnění všech požadavků daných technologickým předpisem.</t>
  </si>
  <si>
    <t>A244</t>
  </si>
  <si>
    <t>0,25*(3,6+4,16+3,65)</t>
  </si>
  <si>
    <t>78385</t>
  </si>
  <si>
    <t>NÁTĚRY BETON KONSTR TYP S6 (OS-DII)</t>
  </si>
  <si>
    <t>1719302299</t>
  </si>
  <si>
    <t>Sanace BK
bude poveden jako vícevrstvý nátěr na bázi epoxidů (nominální tloušťka 500 µm).</t>
  </si>
  <si>
    <t>A245</t>
  </si>
  <si>
    <t>"vnitřek; obv.×dl. "6,5*22</t>
  </si>
  <si>
    <t>875332</t>
  </si>
  <si>
    <t>POTRUBÍ DREN Z TRUB PLAST DN DO 150MM DĚROVANÝCH</t>
  </si>
  <si>
    <t>184506349</t>
  </si>
  <si>
    <t>Poznámka k souboru cen:_x000D_
položky pro zhotovení potrubí platí bez ohledu na sklon zahrnuje: - výrobní dokumentaci (včetně technologického předpisu) - dodání veškerého trubního a pomocného materiálu (trouby, trubky, tvarovky, spojovací a těsnící materiál a pod.), podpěrných, závěsných a upevňovacích prvků, včetně potřebných úprav - úprava a příprava podkladu a podpěr, očištění a ošetření podkladu a podpěr - zřízení plně funkčního potrubí, kompletní soustavy, podle příslušného technologického předpisu - zřízení potrubí i jednotlivých částí po etapách, včetně pracovních spar a spojů, pracovního zaslepení konců a pod. - úprava prostupů, průchodů šachtami a komorami, okolí podpěr a vyústění, zaústění, napojení, vyvedení a upevnění odpad. výustí - ochrana potrubí nátěrem (vč. úpravy povrchu), případně izolací, nejsou-li tyto práce předmětem jiné položky - úprava, očištění a ošetření prostoru kolem potrubí - položky platí pro práce prováděné v prostoru zapaženém i nezapaženém a i v kolektorech, chráničkách - položky zahrnují i práce spojené s nutnými obtoky, převáděním a čerpáním vody</t>
  </si>
  <si>
    <t>A246</t>
  </si>
  <si>
    <t>"odvodnění ochranné desky "29,4+29,2</t>
  </si>
  <si>
    <t>B82</t>
  </si>
  <si>
    <t>"rubová drenáž "3,7+4,3+2,1+2</t>
  </si>
  <si>
    <t>"Celkové množství "70.700000</t>
  </si>
  <si>
    <t>91355</t>
  </si>
  <si>
    <t>EVIDENČNÍ ČÍSLO MOSTU</t>
  </si>
  <si>
    <t>-1062414947</t>
  </si>
  <si>
    <t>Poznámka k souboru cen:_x000D_
položka zahrnuje štítek s evidenčním číslem mostu, sloupek dopravní značky včetně osazení a nutných zemních prací a zabetonování</t>
  </si>
  <si>
    <t>91914</t>
  </si>
  <si>
    <t>ŘEZÁNÍ ŽELEZOBETONOVÝCH KONSTRUKCÍ</t>
  </si>
  <si>
    <t>-2014103461</t>
  </si>
  <si>
    <t>Poznámka k souboru cen:_x000D_
položka zahrnuje řezání železobetonových konstrukcí bez ohledu na tloušťku, včetně spotřeby vody</t>
  </si>
  <si>
    <t>A255</t>
  </si>
  <si>
    <t>"proříznutí zalitých spar prefabrikátů "2*10*0,2</t>
  </si>
  <si>
    <t>936501</t>
  </si>
  <si>
    <t>DROBNÉ DOPLŇK KONSTR KOVOVÉ NEREZ</t>
  </si>
  <si>
    <t>KG</t>
  </si>
  <si>
    <t>-1541556292</t>
  </si>
  <si>
    <t>prostupy křídly pro odvodnění rubu</t>
  </si>
  <si>
    <t>Poznámka k souboru cen:_x000D_
položka zahrnuje: - dílenská dokumentace, včetně technologického předpisu spojování - dodání materiálu v požadované kvalitě a výroba konstrukce i dílenská (včetně pomůcek, přípravků a prostředků pro výrobu) bez ohledu na náročnost a její hmotnost, dílenská montáž - dodání spojovacího materiálu - zřízení montážních a dilatačních spojů, spar, včetně potřebných úprav, vložek, opracování, očištění a ošetření - podpěr. konstr. a lešení všech druhů pro montáž konstrukcí i doplňkových, včetně požadovaných otvorů, ochranných a bezpečnostních opatření a základů pro tyto konstrukce a lešení - jakákoliv doprava a manipulace dílců a montážních sestav, včetně dopravy konstrukce z výrobny na stavbu - montáž konstrukce na staveništi, včetně montážních prostředků a pomůcek a zednických výpomocí - výplň, těsnění a tmelení spar a spojů - čištění konstrukce a odstranění všech vrubů (vrypy, otlačeniny a pod.) - všechny druhy ocelového kotvení - dílenskou přejímku a montážní prohlídku, včetně požadovaných dokladů - zřízení kotevních otvorů nebo jam, nejsou-li částí jiné konstrukce, jejich úpravy, očištění a ošetření - osazení kotvení nebo přímo částí konstrukce do podpůrné konstrukce nebo do zeminy - výplň kotevních otvorů (příp. podlití patních desek) maltou, betonem nebo jinou speciální hmotou, vyplnění jam zeminou - předepsanou protikorozní ochranu a nátěry konstrukcí - osazení měřících zařízení a úpravy pro ně - ochranná opatření před účinky bludných proudů</t>
  </si>
  <si>
    <t>A258</t>
  </si>
  <si>
    <t>2*2</t>
  </si>
  <si>
    <t>938544</t>
  </si>
  <si>
    <t>OČIŠTĚNÍ BETON KONSTR OTRYSKÁNÍM TLAK VODOU PŘES 1000 BARŮ</t>
  </si>
  <si>
    <t>-357294186</t>
  </si>
  <si>
    <t>Sanace BK, vč. odvozu a likvidace odpadu</t>
  </si>
  <si>
    <t>Poznámka k souboru cen:_x000D_
položka zahrnuje očištění předepsaným způsobem včetně odklizení vzniklého odpadu</t>
  </si>
  <si>
    <t>A259</t>
  </si>
  <si>
    <t>"vnitřek; obv.×dl. "9,8*22</t>
  </si>
  <si>
    <t>B87</t>
  </si>
  <si>
    <t>"horní povrch horní desky, š.×dl "3,5*22</t>
  </si>
  <si>
    <t>"Celkové množství "292.600000</t>
  </si>
  <si>
    <t>938552</t>
  </si>
  <si>
    <t>OČIŠTĚNÍ BETON KONSTR OTRYSKÁNÍM NA SUCHO KŘEMIČ PÍSKEM</t>
  </si>
  <si>
    <t>1134199183</t>
  </si>
  <si>
    <t>A260</t>
  </si>
  <si>
    <t>292,600000 "(938544)</t>
  </si>
  <si>
    <t>97817</t>
  </si>
  <si>
    <t>ODSTRANĚNÍ MOSTNÍ IZOLACE</t>
  </si>
  <si>
    <t>-830123340</t>
  </si>
  <si>
    <t>s brokováním
včetně odvozu a uložení na skládku
včetně poplatku za skládku</t>
  </si>
  <si>
    <t>Poznámka k souboru cen:_x000D_
Položka zahrnuje: - položka zahrnuje veškeré práce plynoucí z technologického předpisu a z platných předpisů - veškerou manipulaci s vybouranou sutí a hmotami včetně uložení na skládku. Položka nezahrnuje: - poplatek za skládku, který se vykazuje v položce 0141** (s výjimkou malého množství bouraného materiálu, kde je možné poplatek zahrnout do jednotkové ceny bourání – tento fakt musí být uveden v doplňujícím textu k položce)</t>
  </si>
  <si>
    <t>A263</t>
  </si>
  <si>
    <t>A265</t>
  </si>
  <si>
    <t>A289</t>
  </si>
  <si>
    <t>B108</t>
  </si>
  <si>
    <t>B112</t>
  </si>
  <si>
    <t>1511577371</t>
  </si>
  <si>
    <t>materiál z výkopu</t>
  </si>
  <si>
    <t>A264</t>
  </si>
  <si>
    <t>"objem z pol. 13173 "529,2</t>
  </si>
  <si>
    <t>"Celkové množství "529.200000</t>
  </si>
  <si>
    <t>014101.1</t>
  </si>
  <si>
    <t>-423129561</t>
  </si>
  <si>
    <t>prostý beton, železobeton, železobetonové dílce</t>
  </si>
  <si>
    <t>"objem z pol. 96611 "6,064</t>
  </si>
  <si>
    <t>B90</t>
  </si>
  <si>
    <t>"objem z pol. 96615 "21,56</t>
  </si>
  <si>
    <t>C49</t>
  </si>
  <si>
    <t>"objem z pol. 96616 "126,349</t>
  </si>
  <si>
    <t>D5</t>
  </si>
  <si>
    <t>"délka z pol. 11352 * plocha 0,1 m2 "66,0*0,1</t>
  </si>
  <si>
    <t>E4</t>
  </si>
  <si>
    <t>"plocha z pol. 11328 * tl. 0,2 m "3,6*0,2</t>
  </si>
  <si>
    <t>F4</t>
  </si>
  <si>
    <t>"objem z jádrových odvrtů pro trny fixace A265 drenaž "(3,14*0,085*0,085*0,5)*40+(3,14*0,1*0,1*1,0)*40+(3,14*0,1*0,1*1,1)*4</t>
  </si>
  <si>
    <t>"Celkové množství "163.141000</t>
  </si>
  <si>
    <t>014102</t>
  </si>
  <si>
    <t>1751187917</t>
  </si>
  <si>
    <t>asfaltové izolační pásy, izolační materiály</t>
  </si>
  <si>
    <t>A266</t>
  </si>
  <si>
    <t>"plocha z pol. 97817 * 5 kg/m2 "836,34*0,005</t>
  </si>
  <si>
    <t>948596069</t>
  </si>
  <si>
    <t>zamereni stavu pred stavbou;
prubezne zamerovani a vytycovani behem vystavby;
zamereni stavu po dokonceni;</t>
  </si>
  <si>
    <t>998521399</t>
  </si>
  <si>
    <t>v počtu tisků dle SOD</t>
  </si>
  <si>
    <t>A267</t>
  </si>
  <si>
    <t>"LM + PM "1+1</t>
  </si>
  <si>
    <t>"Celkové množství "2.000000</t>
  </si>
  <si>
    <t>861781995</t>
  </si>
  <si>
    <t>A268</t>
  </si>
  <si>
    <t>"KPL "1</t>
  </si>
  <si>
    <t>"Celkové množství "1.000000</t>
  </si>
  <si>
    <t>02947R</t>
  </si>
  <si>
    <t>OSTATNÍ POŽADAVKY - KAMEROVÝ SYSTÉM</t>
  </si>
  <si>
    <t>1609037417</t>
  </si>
  <si>
    <t>- dočasný kamerový systém, dohled nad staveništěm
- umístění do jedné pozice po celou dobu rekonstrukce obou mostních pasů
- podrobnosti viz zadávací podmínky</t>
  </si>
  <si>
    <t>A269</t>
  </si>
  <si>
    <t>-1780282901</t>
  </si>
  <si>
    <t>Poznámka k souboru cen:_x000D_
Položka zahrnuje : - úkony dle ČSN 73 6221 - provedení hlavní mostní prohlídky oprávněnou fyzickou nebo právnickou osobou - vyhotovení záznamu (protokolu), který jednoznačně definuje stav mostu Položka nezahrnuje: - x</t>
  </si>
  <si>
    <t>A270</t>
  </si>
  <si>
    <t>21341</t>
  </si>
  <si>
    <t>DRENÁŽNÍ VRSTVY Z PLASTBETONU (PLASTMALTY)</t>
  </si>
  <si>
    <t>816827218</t>
  </si>
  <si>
    <t>Poznámka k souboru cen:_x000D_
Položka zahrnuje: - dodávku předepsaného materiálu pro drenážní vrstvu, včetně mimostaveništní a vnitrostaveništní dopravy - provedení drenážní vrstvy předepsaných rozměrů a předepsaného tvaru Položka nezahrnuje: - x</t>
  </si>
  <si>
    <t>A281</t>
  </si>
  <si>
    <t>"drenažní proužek v úžlabí "0,15*0,04*21,4*4</t>
  </si>
  <si>
    <t>B100</t>
  </si>
  <si>
    <t>"žebra v místě odv. trubiček "0,6*0,04*0,4*4*4</t>
  </si>
  <si>
    <t>"Celkové množství "0.668000</t>
  </si>
  <si>
    <t>22594</t>
  </si>
  <si>
    <t>ZÁPOROVÉ PAŽENÍ Z KOVU TRVALÉ</t>
  </si>
  <si>
    <t>172320580</t>
  </si>
  <si>
    <t>záporové pažení tvořeno ocelovými profily např. HEB, IPE
- včetně vrtů a zabetonování celého profilu pod úrovní výkopu
- včetně případných pojistných převázek a zemních kotev
- včetně úpaléní profilů v ponechávané délce
- včetně poplatků za skládku</t>
  </si>
  <si>
    <t>Poznámka k souboru cen:_x000D_
Položka zahrnuje: - dodávku ocelových zápor - jejich osazení do připravených vrtů včetně zabetonování konců a obsypu, případně jejich zaberanění Položka nezahrnuje: - vrty Způsob měření: - ocelová převázka se započítává do výsledné hmotnosti</t>
  </si>
  <si>
    <t>A282</t>
  </si>
  <si>
    <t>"O1 - přechodová oblast "2,0</t>
  </si>
  <si>
    <t>B101</t>
  </si>
  <si>
    <t>"O2 - přechodová oblast "2,0</t>
  </si>
  <si>
    <t>"Celkové množství "4.000000</t>
  </si>
  <si>
    <t>22595A</t>
  </si>
  <si>
    <t>VÝDŘEVA ZÁPOROVÉHO PAŽENÍ TRVALÁ (PLOCHA)</t>
  </si>
  <si>
    <t>-619669730</t>
  </si>
  <si>
    <t>Poznámka k souboru cen:_x000D_
Položka zahrnuje: - dodávku a osazení pažin bez ohledu na druh Položka nezahrnuje: - x</t>
  </si>
  <si>
    <t>A283</t>
  </si>
  <si>
    <t>"O1 - přechodová oblast "10,0</t>
  </si>
  <si>
    <t>B102</t>
  </si>
  <si>
    <t>"O2 - přechodová oblast "10,0</t>
  </si>
  <si>
    <t>"Celkové množství "20.000000</t>
  </si>
  <si>
    <t>26114</t>
  </si>
  <si>
    <t>VRTY PRO KOTVENÍ, INJEKTÁŽ A MIKROPILOTY NA POVRCHU TŘ. I D DO 200MM</t>
  </si>
  <si>
    <t>-485313426</t>
  </si>
  <si>
    <t>průměr vrtu 200 mm
vrty pro trubkové trny fixace do NK
vrty pro vyústění rubové drenáže opěr do křídel</t>
  </si>
  <si>
    <t>Poznámka k souboru cen:_x000D_
Položka zahrnuje: - přemístění, montáž a demontáž vrtných souprav - svislou dopravu zeminy z vrtu - vodorovnou dopravu zeminy bez uložení na skládku - případně nutné pažení dočasné (včetně odpažení) i trvalé Položka nezahrnuje: - x</t>
  </si>
  <si>
    <t>A285</t>
  </si>
  <si>
    <t>"LM - fixace "1,0*10*2</t>
  </si>
  <si>
    <t>B104</t>
  </si>
  <si>
    <t>"PM - fixace "1,0*10*2</t>
  </si>
  <si>
    <t>C77</t>
  </si>
  <si>
    <t>"LM - drenaž "1,1*2</t>
  </si>
  <si>
    <t>D31</t>
  </si>
  <si>
    <t>"PM - drenáž "1,1*2</t>
  </si>
  <si>
    <t>"Celkové množství "44.400000</t>
  </si>
  <si>
    <t>26114.1</t>
  </si>
  <si>
    <t>-1058221513</t>
  </si>
  <si>
    <t>průměr vrtu 170 mm
vrty pro trubkové trny fixace do NK a úložných prahů</t>
  </si>
  <si>
    <t>A284</t>
  </si>
  <si>
    <t>"LM - fixace "1,9*10*2</t>
  </si>
  <si>
    <t>B103</t>
  </si>
  <si>
    <t>"PM - fixace "1,9*10*2</t>
  </si>
  <si>
    <t>"Celkové množství "76.000000</t>
  </si>
  <si>
    <t>285393</t>
  </si>
  <si>
    <t>DODATEČNÉ KOTVENÍ VLEPENÍM BETONÁŘSKÉ VÝZTUŽE D DO 20MM DO VRTŮ</t>
  </si>
  <si>
    <t>1105196142</t>
  </si>
  <si>
    <t>bude čerpáno dle skutečnosti po souhlasu TDS
průměr vrtu a hloubka kotvení bude upřesněna SV v realizaci dle skutečnosti</t>
  </si>
  <si>
    <t>Poznámka k souboru cen:_x000D_
Položka zahrnuje: - dodání výztuže předepsaného profilu a předepsané délky (do 600mm) - provedení vrtu předepsaného profilu a předepsané délky (do 300mm) - vsunutí výztuže do vyvrtaného profilu a její zalepení předepsaným pojivem - případně nutné lešení Položka nezahrnuje: - x</t>
  </si>
  <si>
    <t>A286</t>
  </si>
  <si>
    <t>"LM - O1 - závěrná zídka "193</t>
  </si>
  <si>
    <t>B105</t>
  </si>
  <si>
    <t>"LM - O1 - bok "32</t>
  </si>
  <si>
    <t>C78</t>
  </si>
  <si>
    <t>"LM - O2 - závěrná zídka "193</t>
  </si>
  <si>
    <t>D32</t>
  </si>
  <si>
    <t>"LM - O2 - bok "32</t>
  </si>
  <si>
    <t>E25</t>
  </si>
  <si>
    <t>"PM - O1 - závěrná zídka "193</t>
  </si>
  <si>
    <t>F25</t>
  </si>
  <si>
    <t>"PM - O1 - bok "32</t>
  </si>
  <si>
    <t>G25</t>
  </si>
  <si>
    <t>"PM - O2 - závěrná zídka "193</t>
  </si>
  <si>
    <t>H24</t>
  </si>
  <si>
    <t>"Celkové množství "900.000000</t>
  </si>
  <si>
    <t>317125</t>
  </si>
  <si>
    <t>ŘÍMSY Z DÍLCŮ ŽELEZOBETONOVÝCH DO C30/37</t>
  </si>
  <si>
    <t>2061018218</t>
  </si>
  <si>
    <t>kompletní dodávka a montáž, vč. kotevních prvků a kotvení</t>
  </si>
  <si>
    <t>Poznámka k souboru cen:_x000D_
Položka zahrnuje: - dodání dílce požadovaného tvaru a vlastností, jeho skladování, doprava a osazení do definitivní polohy, včetně komplexní technologie výroby a montáže dílců, ošetření a ochrana dílců, - u dílců železobetonových a předpjatých veškerá výztuž, případně i tuhé kovové prvky a závěsná oka, - úpravy a zařízení pro uložení a transport dílce, - veškeré požadované úpravy dílců, včetně doplňkových konstrukcí a vybavení, - sestavení dílce na stavbě včetně montážních zařízení, plošin a prahů a pod., - výplň, těsnění a tmelení spár a spojů, - očištění a ošetření úložných ploch, - zednické výpomoce pro montáž dílců, - označení dílce výrobním štítkem nebo jiným způsobem, - úpravy dílce pro dodržení požadované přesnosti jeho osazení, včetně případných měření, - veškerá zařízení pro zajištění stability v každém okamžiku, - další práce dané případně specifikací k příslušnému prefabrik. dílci (úprava pohledových ploch, příp. rubových ploch, osazení měřících zařízení, zkoušení a měření dílců a pod.). Položka nezahrnuje: - x</t>
  </si>
  <si>
    <t>A288</t>
  </si>
  <si>
    <t>"LM - levá římsa "0,09*36,1</t>
  </si>
  <si>
    <t>B107</t>
  </si>
  <si>
    <t>"PM - pravá římsa "0,09*36,1</t>
  </si>
  <si>
    <t>"Celkové množství "6.498000</t>
  </si>
  <si>
    <t>31717</t>
  </si>
  <si>
    <t>KOVOVÉ KONSTRUKCE PRO KOTVENÍ ŘÍMSY</t>
  </si>
  <si>
    <t>-551181364</t>
  </si>
  <si>
    <t>odhad hmotnosti 6 kg/ks</t>
  </si>
  <si>
    <t>Poznámka k souboru cen:_x000D_
Položka zahrnuje: - dodávku (výrobu) kotevního prvku předepsaného tvaru - jeho osazení do předepsané polohy včetně nezbytných prací (vrty, zálivky apod.) Položka nezahrnuje: - x</t>
  </si>
  <si>
    <t>"LM - pravá římsa "25</t>
  </si>
  <si>
    <t>"PM - levá římsa "25</t>
  </si>
  <si>
    <t>"Celkové množství "(A289+B108)*6</t>
  </si>
  <si>
    <t>ŘÍMSY ZE ŽELEZOBETONU DO C30/37 (B37)</t>
  </si>
  <si>
    <t>1515166487</t>
  </si>
  <si>
    <t>Poznámka k souboru cen:_x000D_
Položka zahrnuje: - dodání čerstvého betonu (betonové směsi) požadované kvality, jeho uložení do požadovaného tvaru při jakékoliv hustotě výztuže, konzistenci čerstvého betonu a způsobu hutnění, ošetření a ochranu betonu, - zhotovení nepropustného, mrazuvzdorného betonu a betonu požadované trvanlivosti a vlastností, užití potřebných přísad a technologií výroby betonu, - zřízení pracovních a dilatačních spar, včetně potřebných úprav, výplně, vložek, opracování, očištění a ošetření, - bednění požadovaných konstr. (i ztracené) s úpravou dle požadované kvality povrchu betonu, včetně odbedňovacích a odskružovacích prostředků, nátěrů zabraňujících soudržnosti betonu a bednění, - podpěrné konstr. (skruže) a lešení všech druhů pro bednění, vč. ochranných a bezpečnostních opatření a základů těchto konstrukcí a lešení, - vytvoření kotevních čel, kapes, nálitků a sedel, zřízení všech požadovaných otvorů, výklenků, prostupů, dutin, drážek a pod., vč. ztížení práce a úprav kolem nich, - úpravy pro osazení výztuže, doplňkových konstrukcí a vybavení, - úpravy povrchu pro položení požadované izolace, povlaků a nátěrů, případně vyspravení, - ztížení práce u kabelových a injektážních trubek a ostatních zařízení osazovaných do betonu, - konstrukce betonových kloubů, upevnění kotevních prvků a doplňkových konstrukcí, - nátěry zabraňující soudržnost betonu a bednění, - výplň, těsnění a tmelení spar a spojů, - opatření povrchů betonu izolací proti zemní vlhkosti v částech, kde přijdou do styku se zeminou nebo kamenivem, - případné zřízení spojovací vrstvy u základů, - úpravy pro osazení zařízení ochrany konstrukce proti vlivu bludných proudů, Položka nezahrnuje: - dodání a osazení výztuže</t>
  </si>
  <si>
    <t>A290</t>
  </si>
  <si>
    <t>"LM - levá římsa "0,17*36,1</t>
  </si>
  <si>
    <t>B109</t>
  </si>
  <si>
    <t>"LM - pravá římsa "0,49*22,7</t>
  </si>
  <si>
    <t>C79</t>
  </si>
  <si>
    <t>"PM - levá římsa "0,51*22,7</t>
  </si>
  <si>
    <t>D33</t>
  </si>
  <si>
    <t>"PM - pravá římsa "0,17*36,1</t>
  </si>
  <si>
    <t>"Celkové množství "34.974000</t>
  </si>
  <si>
    <t>-1534887367</t>
  </si>
  <si>
    <t>Poznámka k souboru cen:_x000D_
Položka zahrnuje: - veškerý materiál, výrobky a polotovary, včetně mimostaveništní a vnitrostaveništní dopravy (rovněž přesuny), včetně naložení a složení, případně s uložením - dodání betonářské výztuže v požadované kvalitě, stříhání, řezání, ohýbání a spojování do všech požadovaných tvarů (vč. armakošů) a uložení s požadovaným zajištěním polohy a krytí výztuže betonem, - veškeré svary nebo jiné spoje výztuže, - pomocné konstrukce a práce pro osazení a upevnění výztuže, - zednické výpomoci pro montáž betonářské výztuže, - úpravy výztuže pro osazení doplňkových konstrukcí, - ochranu výztuže do doby jejího zabetonování, - úpravy výztuže pro zřízení železobetonových kloubů, kotevních prvků, závěsných ok a doplňkových konstrukcí, - veškerá opatření pro zajištění soudržnosti výztuže a betonu, - vodivé propojení výztuže, které je součástí ochrany konstrukce proti vlivům bludných proudů, vyvedení do měřících skříní nebo míst pro měření bludných proudů (vlastní měřící skříně se uvádějí položkami SD 74), - povrchovou antikorozní úpravu výztuže, - separaci výztuže, - osazení měřících zařízení a úpravy pro ně, - osazení měřících skříní nebo míst pro měření bludných proudů. Položka nezahrnuje: - x</t>
  </si>
  <si>
    <t>A291</t>
  </si>
  <si>
    <t>"LM + PM "4,7</t>
  </si>
  <si>
    <t>"Celkové množství "4.700000</t>
  </si>
  <si>
    <t>333325</t>
  </si>
  <si>
    <t>MOSTNÍ OPĚRY A KŘÍDLA ZE ŽELEZOVÉHO BETONU DO C30/37</t>
  </si>
  <si>
    <t>-564946179</t>
  </si>
  <si>
    <t>A292</t>
  </si>
  <si>
    <t>"LM - O1 - závěrná zídka "14,7*0,4*1,5</t>
  </si>
  <si>
    <t>B110</t>
  </si>
  <si>
    <t>"LM - O1 - křídlo "1,1*1,0*2,4</t>
  </si>
  <si>
    <t>C82</t>
  </si>
  <si>
    <t>"LM - O2 - závěrná zídka "14,7*0,4*1,5</t>
  </si>
  <si>
    <t>D35</t>
  </si>
  <si>
    <t>"LM - O2 - křídlo "1,1*1,0*2,3</t>
  </si>
  <si>
    <t>E31</t>
  </si>
  <si>
    <t>"PM - O1 - závěrná zídka "14,7*0,4*1,5</t>
  </si>
  <si>
    <t>F30</t>
  </si>
  <si>
    <t>"PM - O1 - křídlo "1,1*1,0*2,4</t>
  </si>
  <si>
    <t>G30</t>
  </si>
  <si>
    <t>"PM - O2 - závěrná zídka "14,7*0,4*1,5</t>
  </si>
  <si>
    <t>H30</t>
  </si>
  <si>
    <t>"PM - O2 - křídlo "1,1*1,0*2,3</t>
  </si>
  <si>
    <t>"Celkové množství "45.620000</t>
  </si>
  <si>
    <t>333365</t>
  </si>
  <si>
    <t>VÝZTUŽ MOSTNÍCH OPĚR A KŘÍDEL Z OCELI 10505, B500B</t>
  </si>
  <si>
    <t>1871017829</t>
  </si>
  <si>
    <t>A293</t>
  </si>
  <si>
    <t>"O1 + O2 "7,413</t>
  </si>
  <si>
    <t>"Celkové množství "7.413000</t>
  </si>
  <si>
    <t>428500</t>
  </si>
  <si>
    <t>MOSTNÍ LOŽISKA HRNCOVÁ - ÚDRŽBA</t>
  </si>
  <si>
    <t>212216382</t>
  </si>
  <si>
    <t>bude čerpáno dle skutečnosti po souhlasu TDS
- očištění, případná oprava PKO</t>
  </si>
  <si>
    <t>Poznámka k souboru cen:_x000D_
Položka zahrnuje: - úpravu stávajících ložisek předepsanou v zadávací dokumentaci - lešení a podpěrné konstrukce - nastavení ložisek a odborná prohlídka - dočasné zpevnění nebo naopak dočasné uvolnění ložisek Položka nezahrnuje: - x</t>
  </si>
  <si>
    <t>A294</t>
  </si>
  <si>
    <t>"O1 + O2 "4*2</t>
  </si>
  <si>
    <t>42899</t>
  </si>
  <si>
    <t>MOSTNÍ LOŽISKA OSTATNÍ</t>
  </si>
  <si>
    <t>-991349966</t>
  </si>
  <si>
    <t>trubkové trny fixace, TRKR 159x14,2/800, TRKR 127x16/900
kompletní provedení do předvrtaných otvorů, včetně zálivek, výplní, injektáží atd...</t>
  </si>
  <si>
    <t>Poznámka k souboru cen:_x000D_
Položka zahrnuje: - výrobní dokumentaci, jde-li o ložisko individuálně vyráběné - dodání kompletních ložisek požadované kvality - přípravu, očištění a úpravy úložných ploch - osazení ložisek podle předepsaného technologického předpisu bez ohledu na způsob uložení a kotvení - uložení do malty jakéhokoliv druhu včetně dodávky této malty - uložení na plastické vložky nebo maltu včetně dodávky této vložky nebo malty - uložení na vrstvu plastbetonové malty nebo podobné vrstvy jako ochranu proti průchodu bludných proudů - vyplnění kotevních otvorů - lešení a podpěrné konstrukce - tmelení, těsnění a výplně spar - nastavení ložisek a odborná prohlídka - dočasné zpevnění nebo naopak dočasné uvolnění ložisek - opatření ložisek znakem výrobce a typovým číslem - úpravy, očištění a ošetření okolí ložisek - přiměřeným způsobem je nutné zahrnout ustanovení pro TMCH 94 pro kovové konstrukce. Položka nezahrnuje: - x</t>
  </si>
  <si>
    <t>A295</t>
  </si>
  <si>
    <t>"O1 + O2 "4*10</t>
  </si>
  <si>
    <t>"Celkové množství "40.000000</t>
  </si>
  <si>
    <t>894573109</t>
  </si>
  <si>
    <t>A296</t>
  </si>
  <si>
    <t>"O1 - přechodová oblast "0,22*25,2</t>
  </si>
  <si>
    <t>B111</t>
  </si>
  <si>
    <t>"O2 - přechodová oblast "0,22*25,2</t>
  </si>
  <si>
    <t>C85</t>
  </si>
  <si>
    <t>"O1 - pod římsou SDP "0,075*3,2</t>
  </si>
  <si>
    <t>D38</t>
  </si>
  <si>
    <t>"O2 - pod římsou SDP "0,075*3,2</t>
  </si>
  <si>
    <t>"Celkové množství "11.568000</t>
  </si>
  <si>
    <t>45131A</t>
  </si>
  <si>
    <t>PODKLADNÍ A VÝPLŇOVÉ VRSTVY Z PROSTÉHO BETONU C20/25</t>
  </si>
  <si>
    <t>750497387</t>
  </si>
  <si>
    <t>lože pod dlažbu z lomového kamene
tl. 0,15 m dle VL4</t>
  </si>
  <si>
    <t>A297</t>
  </si>
  <si>
    <t>"plocha z pol. 465512 "117,52</t>
  </si>
  <si>
    <t>"zazubení + patní prahy "(0,2+0,3)*0,5*4</t>
  </si>
  <si>
    <t>"Celkové množství "A297*0,15+B112</t>
  </si>
  <si>
    <t>45860</t>
  </si>
  <si>
    <t>VÝPLŇ ZA OPĚRAMI A ZDMI Z MEZEROVITÉHO BETONU</t>
  </si>
  <si>
    <t>-2079748057</t>
  </si>
  <si>
    <t>Poznámka k souboru cen:_x000D_
Položka zahrnuje: - dodávku mezerovitého betonu a jeho uložení se zhutněním - včetně mimostaveništní a vnitrostaveništní dopravy (rovněž přesuny) Položka nezahrnuje: - x</t>
  </si>
  <si>
    <t>A299</t>
  </si>
  <si>
    <t>"O1 - přechodová oblast "7,7*25,2</t>
  </si>
  <si>
    <t>B113</t>
  </si>
  <si>
    <t>"O2 - přechodová oblast "6,6*25,2</t>
  </si>
  <si>
    <t>"Celkové množství "360.360000</t>
  </si>
  <si>
    <t>-670175340</t>
  </si>
  <si>
    <t>tl. 0,2 m dle VL4</t>
  </si>
  <si>
    <t>Poznámka k souboru cen:_x000D_
Položka zahrnuje: - nutné zemní práce (svahování, úpravu pláně a pod.) - zřízení spojovací vrstvy - zřízení lože dlažby z cementové malty předepsané kvality a předepsané tloušťky - dodávku a položení dlažby z lomového kamene do předepsaného tvaru - spárování, těsnění, tmelení a vyplnění spar MC případně s vyklínováním - úprava povrchu pro odvedení srážkové vody Položka nezahrnuje: - podklad pod dlažbu, vykazuje se samostatně položkami SD 45</t>
  </si>
  <si>
    <t>A300</t>
  </si>
  <si>
    <t>"Přechodové bloky vnější "1,1*2,5*4</t>
  </si>
  <si>
    <t>B114</t>
  </si>
  <si>
    <t>"Přechodové bloky SDP "3,0*2,25*2</t>
  </si>
  <si>
    <t>C87</t>
  </si>
  <si>
    <t>"LM - O1 - podél křídla "0,5*12,3</t>
  </si>
  <si>
    <t>D39</t>
  </si>
  <si>
    <t>"LM - O2 - podél křídla "0,5*10,5</t>
  </si>
  <si>
    <t>E38</t>
  </si>
  <si>
    <t>"PM - O1 - podél křídla "0,5*12,4</t>
  </si>
  <si>
    <t>F38</t>
  </si>
  <si>
    <t>"PM - O2 - podél křídla "0,5*10,7</t>
  </si>
  <si>
    <t>G38</t>
  </si>
  <si>
    <t>"O1 - před lícem "1,5*30,5</t>
  </si>
  <si>
    <t>H38</t>
  </si>
  <si>
    <t>"O2 - před lícem "0,8*30,4</t>
  </si>
  <si>
    <t>I38</t>
  </si>
  <si>
    <t>"Mezisoučet celkové plochy "117.520000</t>
  </si>
  <si>
    <t>"Celkové množství "I38*0,2</t>
  </si>
  <si>
    <t>626112</t>
  </si>
  <si>
    <t>REPROFILACE PODHLEDŮ, SVISLÝCH PLOCH SANAČNÍ MALTOU JEDNOVRST TL 20MM</t>
  </si>
  <si>
    <t>-1866086945</t>
  </si>
  <si>
    <t>opravná malta R3-R4</t>
  </si>
  <si>
    <t>Poznámka k souboru cen:_x000D_
Položka zahrnuje: - dodávku veškerého materiálu potřebného pro předepsanou úpravu v předepsané kvalitě - nutné vyspravení podkladu, případně zatření spar zdiva - položení vrstvy v předepsané tloušťce - potřebná lešení a podpěrné konstrukce Položka nezahrnuje: - x</t>
  </si>
  <si>
    <t>A314</t>
  </si>
  <si>
    <t>"plocha z pol. 938544 "134,229</t>
  </si>
  <si>
    <t>"Celkové množství "134.229000</t>
  </si>
  <si>
    <t>62641</t>
  </si>
  <si>
    <t>SJEDNOCUJÍCÍ STĚRKA JEMNOU MALTOU TL CCA 2MM</t>
  </si>
  <si>
    <t>-1784094880</t>
  </si>
  <si>
    <t>celková pohledová plocha spodní stavby</t>
  </si>
  <si>
    <t>A315</t>
  </si>
  <si>
    <t>"LM - O1 - pod NK "14,7*(5,1+1,6+0,6)</t>
  </si>
  <si>
    <t>B125</t>
  </si>
  <si>
    <t>"LM - O1 - bok "28,0</t>
  </si>
  <si>
    <t>C91</t>
  </si>
  <si>
    <t>"LM - O2 - pod NK "14,7*(4,9+1,6+0,6)</t>
  </si>
  <si>
    <t>D53</t>
  </si>
  <si>
    <t>"LM - O2 - bok "25,0</t>
  </si>
  <si>
    <t>E53</t>
  </si>
  <si>
    <t>"PM - O1 - pod NK "14,7*(5,3+1,6+0,6)</t>
  </si>
  <si>
    <t>F53</t>
  </si>
  <si>
    <t>"PM - O1 - bok "32,0</t>
  </si>
  <si>
    <t>G53</t>
  </si>
  <si>
    <t>"PM - O2 - pod NK "14,7*(5,0+1,6+0,6)</t>
  </si>
  <si>
    <t>H53</t>
  </si>
  <si>
    <t>"PM - O2 - bok "26,0</t>
  </si>
  <si>
    <t>"Celkové množství "538.770000</t>
  </si>
  <si>
    <t>628451</t>
  </si>
  <si>
    <t>SPÁROVÁNÍ STÁVAJÍCÍCH PŘÍKOPOVÝCH TVÁRNIC CEMENTOVOU MALTOU</t>
  </si>
  <si>
    <t>15976399</t>
  </si>
  <si>
    <t>Poznámka k souboru cen:_x000D_
Položka zahrnuje: - dodávku veškerého materiálu potřebného pro předepsanou úpravu v předepsané kvalitě - vyčištění spar (vyškrábání), vypláchnutí spar vodou, očištění povrchu - spárování - odklizení suti a přebytečného materiálu - potřebná lešení Položka nezahrnuje: - x</t>
  </si>
  <si>
    <t>A316</t>
  </si>
  <si>
    <t>"O1 - žlab "0,6*36,4</t>
  </si>
  <si>
    <t>B126</t>
  </si>
  <si>
    <t>"O2 - žlab "0,6*50,0</t>
  </si>
  <si>
    <t>"Celkové množství "51.840000</t>
  </si>
  <si>
    <t>711111</t>
  </si>
  <si>
    <t>IZOLACE BĚŽNÝCH KONSTRUKCÍ PROTI ZEMNÍ VLHKOSTI ASFALTOVÝMI NÁTĚRY</t>
  </si>
  <si>
    <t>-2123644871</t>
  </si>
  <si>
    <t>asfaltový nátěr penetrační ALP</t>
  </si>
  <si>
    <t>Poznámka k souboru cen:_x000D_
Položka zahrnuje: - dodání předepsaného izolačního materiálu - očištění a ošetření podkladu, zadávací dokumentace může zahrnout i případné vyspravení - zřízení izolace jako kompletního povlaku, případně komplet. soustavy nebo systému podle příslušného technolog. předpisu - zřízení izolace i jednotlivých vrstev po etapách, včetně pracovních spár a spojů - úprava u okrajů, rohů, hran, dilatačních i pracovních spojů, kotev, obrubníků, dilatačních zařízení, odvodnění, otvorů, neizolovaných míst a pod. - zajištění odvodnění povrchu izolace, včetně odvodnění nejnižších míst, pokud dokumentace pro zadání stavby nestanoví jinak - ochrana izolace do doby zřízení definitivní ochranné vrstvy nebo konstrukce - úprava, očištění a ošetření prostoru kolem izolace - provedení požadovaných zkoušek Položka nezahrnuje: - ochranné vrstvy, např. geotextilii</t>
  </si>
  <si>
    <t>A317</t>
  </si>
  <si>
    <t>"plocha z pol. 711112 "268,9</t>
  </si>
  <si>
    <t>"Celkové množství "268.900000</t>
  </si>
  <si>
    <t>711112</t>
  </si>
  <si>
    <t>IZOLACE BĚŽNÝCH KONSTRUKCÍ PROTI ZEMNÍ VLHKOSTI ASFALTOVÝMI PÁSY</t>
  </si>
  <si>
    <t>1834037882</t>
  </si>
  <si>
    <t>rubová izolace opěr</t>
  </si>
  <si>
    <t>A318</t>
  </si>
  <si>
    <t>"LM - rub O1 + křídlo "2,8*(13,6+1,65)</t>
  </si>
  <si>
    <t>B127</t>
  </si>
  <si>
    <t>"LM - rub O2 + křídlo "2,8*(13,6+1,65)</t>
  </si>
  <si>
    <t>C92</t>
  </si>
  <si>
    <t>"PM - rub O1 + křídlo "2,8*(13,6+1,65)</t>
  </si>
  <si>
    <t>D60</t>
  </si>
  <si>
    <t>"PM - rub O2 + křídlo "2,8*(13,6+1,65)</t>
  </si>
  <si>
    <t>E56</t>
  </si>
  <si>
    <t>"O1 - podkl. beton v přechodové oblasti "1,8*27,25</t>
  </si>
  <si>
    <t>F56</t>
  </si>
  <si>
    <t>"O2 - podkl. beton v přechodové oblasti "1,8*27,25</t>
  </si>
  <si>
    <t>711442</t>
  </si>
  <si>
    <t>IZOLACE MOSTOVEK CELOPLOŠNÁ ASFALTOVÝMI PÁSY S PEČETÍCÍ VRSTVOU</t>
  </si>
  <si>
    <t>728257083</t>
  </si>
  <si>
    <t>včetně přípravy povrchu stávajících NK např. brokováním</t>
  </si>
  <si>
    <t>Poznámka k souboru cen:_x000D_
Položka zahrnuje: - izolace rámových konstrukcí (mosty, propusty, kolektory) - dodání předepsaného izolačního materiálu - očištění a ošetření podkladu, zadávací dokumentace může zahrnout i případné vyspravení - zřízení izolace jako kompletního povlaku, případně komplet. soustavy nebo systému podle příslušného technolog. předpisu - zřízení izolace i jednotlivých vrstev po etapách, včetně pracovních spár a spojů - úprava u okrajů, rohů, hran, dilatačních i pracovních spojů, kotev, obrubníků, dilatačních zařízení, odvodnění, otvorů, neizolovaných míst a pod. - zajištění odvodnění povrchu izolace, včetně odvodnění nejnižších míst, pokud dokumentace pro zadání stavby nestanoví jinak - ochrana izolace do doby zřízení definitivní ochranné vrstvy nebo konstrukce - úprava, očištění a ošetření prostoru kolem izolace - provedení požadovaných zkoušek Položka nezahrnuje: - ochranné vrstvy, např. litý asfalt, asfaltový beton</t>
  </si>
  <si>
    <t>A319</t>
  </si>
  <si>
    <t>"LM - NK "13,3*21,4</t>
  </si>
  <si>
    <t>B128</t>
  </si>
  <si>
    <t>"PM - NK "13,3*21,4</t>
  </si>
  <si>
    <t>"Celkové množství "569.240000</t>
  </si>
  <si>
    <t>711502</t>
  </si>
  <si>
    <t>OCHRANA IZOLACE NA POVRCHU ASFALTOVÝMI PÁSY</t>
  </si>
  <si>
    <t>1194272431</t>
  </si>
  <si>
    <t>ochrana izolace mostovky pod římsami asfaltovými pásy s AL vložkou</t>
  </si>
  <si>
    <t>Poznámka k souboru cen:_x000D_
Položka zahrnuje: - dodání předepsaného ochranného materiálu - zřízení ochrany izolace Položka nezahrnuje: - x</t>
  </si>
  <si>
    <t>A320</t>
  </si>
  <si>
    <t>"LM - levá římsa "0,75*21,4</t>
  </si>
  <si>
    <t>B129</t>
  </si>
  <si>
    <t>"LM - pravá římsa "1,4*21,4</t>
  </si>
  <si>
    <t>C93</t>
  </si>
  <si>
    <t>"PM - levá římsa "1,4*21,4</t>
  </si>
  <si>
    <t>D61</t>
  </si>
  <si>
    <t>"PM - pravá římsa "0,75*21,4</t>
  </si>
  <si>
    <t>"Celkové množství "92.020000</t>
  </si>
  <si>
    <t>857350885</t>
  </si>
  <si>
    <t>A321</t>
  </si>
  <si>
    <t>"LM - rub O1 + křídlo "2,8*(13,6+1,65+1,5)</t>
  </si>
  <si>
    <t>B130</t>
  </si>
  <si>
    <t>"LM - rub O2 + křídlo "2,8*(13,6+1,65+1,5)</t>
  </si>
  <si>
    <t>C94</t>
  </si>
  <si>
    <t>"PM - rub O1 + křídlo "2,8*(13,6+1,65+1,5)</t>
  </si>
  <si>
    <t>D63</t>
  </si>
  <si>
    <t>"PM - rub O2 + křídlo "2,8*(13,6+1,65+1,5)</t>
  </si>
  <si>
    <t>E59</t>
  </si>
  <si>
    <t>F59</t>
  </si>
  <si>
    <t>"Celkové množství "285.700000</t>
  </si>
  <si>
    <t>78382</t>
  </si>
  <si>
    <t>NÁTĚRY BETON KONSTR TYP S2 (OS-B)</t>
  </si>
  <si>
    <t>-786744680</t>
  </si>
  <si>
    <t>včetně zajištění případného lešení, plošiny</t>
  </si>
  <si>
    <t>Poznámka k souboru cen:_x000D_
Položka zahrnuje: - kompletní povlaky (i různobarevné) - úprava podkladu (odmaštění, odstranění starých nátěrů a nečistot) a jeho vyspravení - provedení nátěru předepsaným postupem a splnění všech požadavků daných technologickým předpisem Položka nezahrnuje: - x</t>
  </si>
  <si>
    <t>A322</t>
  </si>
  <si>
    <t>"LM - NK - čela "(11,5+13,6*0,3)*2</t>
  </si>
  <si>
    <t>B131</t>
  </si>
  <si>
    <t>"LM - NK - konzoly "0,7*20,4*2</t>
  </si>
  <si>
    <t>C95</t>
  </si>
  <si>
    <t>"PM - NK - čela "(11,5+13,6*0,3)*2</t>
  </si>
  <si>
    <t>D64</t>
  </si>
  <si>
    <t>"PM - NK - konzoly "0,7*20,4*2</t>
  </si>
  <si>
    <t>"Celkové množství "119.440000</t>
  </si>
  <si>
    <t>78386</t>
  </si>
  <si>
    <t>NÁTĚRY BETON KONSTR TYP S9 (OS-E)</t>
  </si>
  <si>
    <t>2059863887</t>
  </si>
  <si>
    <t>A323</t>
  </si>
  <si>
    <t>"LM - levá římsa "(0,15+0,15)*36,1</t>
  </si>
  <si>
    <t>B132</t>
  </si>
  <si>
    <t>"LM - pravá římsa "(0,15+0,15)*22,7</t>
  </si>
  <si>
    <t>C96</t>
  </si>
  <si>
    <t>"PM - levá římsa "(0,15+0,15)*22,7</t>
  </si>
  <si>
    <t>D67</t>
  </si>
  <si>
    <t>"PM - pravá římsa "(0,15+0,15)*36,1</t>
  </si>
  <si>
    <t>"Celkové množství "35.280000</t>
  </si>
  <si>
    <t>7838H</t>
  </si>
  <si>
    <t>NÁTĚRY BETON KONSTR ANTIGRAFITI</t>
  </si>
  <si>
    <t>-554711070</t>
  </si>
  <si>
    <t>- včetně zajištění případného lešení, plošiny
- celková pohledová svislá plocha spodní stavby</t>
  </si>
  <si>
    <t>A324</t>
  </si>
  <si>
    <t>"LM - O1 - pod NK "14,7*5,1</t>
  </si>
  <si>
    <t>B133</t>
  </si>
  <si>
    <t>C97</t>
  </si>
  <si>
    <t>"LM - O2 - pod NK "14,7*4,9</t>
  </si>
  <si>
    <t>D68</t>
  </si>
  <si>
    <t>E63</t>
  </si>
  <si>
    <t>"PM - O1 - pod NK "14,7*5,3</t>
  </si>
  <si>
    <t>F62</t>
  </si>
  <si>
    <t>G62</t>
  </si>
  <si>
    <t>"PM - O2 - pod NK "14,7*5,0</t>
  </si>
  <si>
    <t>H62</t>
  </si>
  <si>
    <t>"Celkové množství "409.410000</t>
  </si>
  <si>
    <t>91345</t>
  </si>
  <si>
    <t>NIVELAČNÍ ZNAČKY KOVOVÉ</t>
  </si>
  <si>
    <t>962105273</t>
  </si>
  <si>
    <t>Poznámka k souboru cen:_x000D_
Položka zahrnuje: - dodání a osazení nivelační značky včetně nutných zemních prací - vnitrostaveništní a mimostaveništní dopravu Položka nezahrnuje: - x</t>
  </si>
  <si>
    <t>A335</t>
  </si>
  <si>
    <t>"Opěry "4*2</t>
  </si>
  <si>
    <t>B143</t>
  </si>
  <si>
    <t>"Římsy "2*(7+3)</t>
  </si>
  <si>
    <t>"Celkové množství "28.000000</t>
  </si>
  <si>
    <t>1406783825</t>
  </si>
  <si>
    <t>Poznámka k souboru cen:_x000D_
Položka zahrnuje: - štítek s evidenčním číslem mostu - sloupek dopravní značky včetně osazení a nutných zemních prací a zabetonování Položka nezahrnuje: - x</t>
  </si>
  <si>
    <t>A336</t>
  </si>
  <si>
    <t>"evidenční číslo mostu "1+1</t>
  </si>
  <si>
    <t>B144</t>
  </si>
  <si>
    <t>"evidenční číslo podjezdu "1+1</t>
  </si>
  <si>
    <t>93263</t>
  </si>
  <si>
    <t>PŘEKRYTÍ ZRCADLA ELASTOMEROVÝM PÁSEM</t>
  </si>
  <si>
    <t>-2035930994</t>
  </si>
  <si>
    <t>Poznámka k souboru cen:_x000D_
Položka zahrnuje: - dodání a uložení předepsané konstrukce z předepsaného materiálu - vnitrostaveništní a mimostaveništní dopravy - veškeré potřebné pomocné práce - veškerý pomocný a upevňovací materiál Položka nezahrnuje: - x</t>
  </si>
  <si>
    <t>A343</t>
  </si>
  <si>
    <t>"O1 "0,35*3,0</t>
  </si>
  <si>
    <t>B151</t>
  </si>
  <si>
    <t>"O2 "0,35*3,0</t>
  </si>
  <si>
    <t>"Celkové množství "2.100000</t>
  </si>
  <si>
    <t>936541</t>
  </si>
  <si>
    <t>MOSTNÍ ODVODŇOVACÍ TRUBKA (POVRCHŮ IZOLACE) Z NEREZ OCELI</t>
  </si>
  <si>
    <t>1064623123</t>
  </si>
  <si>
    <t>prodloužení stávajících odvodňovacích trubiček
předpoklad DN60 s přírubou, materiál ocel 1,4404 nebo 1,4571
kompletní provedení včetně kotvení, těsnění atd...</t>
  </si>
  <si>
    <t>Poznámka k souboru cen:_x000D_
Položka zahrnuje: - výrobní dokumentaci (včetně technologického předpisu) - dodání kompletní odvodňovací soupravy z předepsaného materiálu, včetně všech montážních a přepravních úprav a zařízení - dodání spojovacího, kotevního a těsnícího materiálu - úprava a příprava úložného prostoru, včetně kotevních prvků, jejich očištění a ošetření - zřízení kompletní odvodňovací soupravy, dle příslušného technologického předpisu, včetně všech výškových a směrových úprav - zřízení odvodňovací soupravy po etapách, včetně pracovních spar a spojů - prodloužení odpadní trouby pod spodní líc nosné konstr. nebo zaústěním odvodňovače do dalšího odvodňovacího zařízení - úprava odvod. soupravy na styku s ostatními konstrukcemi a zařízeními (u obrubníku, podél vozovek, napojení izolací a pod.) - ochrana odvodňovací soupravy do doby provedení definitivního stavu, veškeré provizorní úpravy a opatření - konečné úpravy odvodňovací soupravy jako povrchové povlaky, zálivky, které nejsou součástí jiných konstr., vyčištění, tmelení, těsnění, výplň spar a pod. - úprava, očištění a ošetření prostoru kolem odvodňovací soupravy - opatření odvodňovače znakem výrobce a typovým číslem - provedení odborné prohlídky, je-li požadována Položka nezahrnuje: - x</t>
  </si>
  <si>
    <t>A346</t>
  </si>
  <si>
    <t>"LM - NK "4+4</t>
  </si>
  <si>
    <t>B154</t>
  </si>
  <si>
    <t>"PM - NK "4+4</t>
  </si>
  <si>
    <t>"Celkové množství "16.000000</t>
  </si>
  <si>
    <t>936541.1</t>
  </si>
  <si>
    <t>1038278681</t>
  </si>
  <si>
    <t>vyústění rubové drenáže opěr skrz křídla opěr
předpoklad DN160 dl. 1,1 m s přírubou, materiál ocel 1,4404 nebo 1,4571
kompletní provedení včetně těsnění, injektáží atd...</t>
  </si>
  <si>
    <t>A345</t>
  </si>
  <si>
    <t>"O1 "1+1</t>
  </si>
  <si>
    <t>B153</t>
  </si>
  <si>
    <t>"O2 "1+1</t>
  </si>
  <si>
    <t>938543</t>
  </si>
  <si>
    <t>OČIŠTĚNÍ BETON KONSTR OTRYSKÁNÍM TLAK VODOU DO 1000 BARŮ</t>
  </si>
  <si>
    <t>-996873329</t>
  </si>
  <si>
    <t>A347</t>
  </si>
  <si>
    <t>"LM - NK - čela "2*(11,5+13,6*0,5)</t>
  </si>
  <si>
    <t>B155</t>
  </si>
  <si>
    <t>"LM - NK - konzoly "2*0,7*20,4</t>
  </si>
  <si>
    <t>C101</t>
  </si>
  <si>
    <t>"PM - NK - čela "2*(11,5+13,6*0,5)</t>
  </si>
  <si>
    <t>D85</t>
  </si>
  <si>
    <t>"PM - NK - konzoly "2*0,7*20,4</t>
  </si>
  <si>
    <t>E85</t>
  </si>
  <si>
    <t>"LM - O1 - pod NK "14,7*(5,1+1,6)</t>
  </si>
  <si>
    <t>F85</t>
  </si>
  <si>
    <t>"LM - O1 - bok "25,0</t>
  </si>
  <si>
    <t>G85</t>
  </si>
  <si>
    <t>"LM - O2 - pod NK "14,7*(4,9+1,6)</t>
  </si>
  <si>
    <t>H85</t>
  </si>
  <si>
    <t>"LM - O2 - bok "22,0</t>
  </si>
  <si>
    <t>I85</t>
  </si>
  <si>
    <t>"PM - O1 - pod NK "14,7*(5,3+1,6)</t>
  </si>
  <si>
    <t>J85</t>
  </si>
  <si>
    <t>"PM - O1 - bok "29,0</t>
  </si>
  <si>
    <t>K85</t>
  </si>
  <si>
    <t>"PM - O2 - pod NK "14,7*(5,0+1,6)</t>
  </si>
  <si>
    <t>L85</t>
  </si>
  <si>
    <t>"PM - O2 - bok "23,0</t>
  </si>
  <si>
    <t>M85</t>
  </si>
  <si>
    <t>"O1 - žlab pod mostem "36,4*0,6</t>
  </si>
  <si>
    <t>N85</t>
  </si>
  <si>
    <t>"O2 - žlab pod mostem "50,0*0,6</t>
  </si>
  <si>
    <t>"Celkové množství "673.650000</t>
  </si>
  <si>
    <t>-1118753414</t>
  </si>
  <si>
    <t>do 2000 BAR
včetně zajištění případného lešení, plošiny</t>
  </si>
  <si>
    <t>A348</t>
  </si>
  <si>
    <t>"LM - rub O1 + křídlo "13,7*1,4+1,1*0,5+0,55*2,8</t>
  </si>
  <si>
    <t>B156</t>
  </si>
  <si>
    <t>"LM - rub O2 + křídlo "13,7*1,4+1,1*0,5+0,55*2,8</t>
  </si>
  <si>
    <t>C102</t>
  </si>
  <si>
    <t>"PM - rub O1 + křídlo "13,7*1,4+1,1*0,5+0,55*2,8</t>
  </si>
  <si>
    <t>D87</t>
  </si>
  <si>
    <t>"PM - rub O2 + křídlo "13,7*1,4+1,1*0,5+0,55*2,8</t>
  </si>
  <si>
    <t>E87</t>
  </si>
  <si>
    <t>"LM - O1 - líc - odhad 10% plochy "(14,7*(5,1+1,6)+25,0)*0,1</t>
  </si>
  <si>
    <t>F87</t>
  </si>
  <si>
    <t>"LM - O2 - líc - odhad 10% plochy "(14,7*(4,9+1,6)+22,0)*0,1</t>
  </si>
  <si>
    <t>G86</t>
  </si>
  <si>
    <t>"PM - O1 - líc - odhad 10% plochy "(14,7*(5,3+1,6)+29,0)*0,1</t>
  </si>
  <si>
    <t>H86</t>
  </si>
  <si>
    <t>"PM - O2 - líc - odhad 10% plochy "(14,7*(5,0+1,6)+23,0)*0,1</t>
  </si>
  <si>
    <t>-1528242841</t>
  </si>
  <si>
    <t>stávající izolace mostů</t>
  </si>
  <si>
    <t>Poznámka k souboru cen:_x000D_
Položka zahrnuje: - veškeré práce plynoucí z technologického předpisu a z platných předpisů - veškerou manipulaci s vybouranou sutí a hmotami včetně uložení na skládku Položka nezahrnuje: - poplatek za skládku, který se vykazuje v položce 0141** (s výjimkou malého množství bouraného materiálu, kde je možné poplatek zahrnout do jednotkové ceny bourání – tento fakt musí být uveden v doplňujícím textu k položce)</t>
  </si>
  <si>
    <t>A352</t>
  </si>
  <si>
    <t>"LM - mostovka "21,4*13,25</t>
  </si>
  <si>
    <t>B160</t>
  </si>
  <si>
    <t>"LM - pod římsami "21,4*(0,85+1,45)</t>
  </si>
  <si>
    <t>C105</t>
  </si>
  <si>
    <t>D90</t>
  </si>
  <si>
    <t>E90</t>
  </si>
  <si>
    <t>"PM - mostovka "21,4*13,25</t>
  </si>
  <si>
    <t>F90</t>
  </si>
  <si>
    <t>"PM - pod římsami "21,4*(0,85+1,45)</t>
  </si>
  <si>
    <t>G90</t>
  </si>
  <si>
    <t>H90</t>
  </si>
  <si>
    <t>"Celkové množství "836.340000</t>
  </si>
  <si>
    <t>441 - Přeložka a ochrana vedení VO</t>
  </si>
  <si>
    <t>02730R</t>
  </si>
  <si>
    <t>POMOC PRÁCE ZŘÍZ NEBO ZAJIŠŤ OCHRANU INŽENÝRSKÝCH SÍTÍ</t>
  </si>
  <si>
    <t>-1513288445</t>
  </si>
  <si>
    <t>- kompletní provedení provizorní přeložky vedení VO a poté jeho uložení v definitivní poloze
- podrobný položkový soupis prací URS viz příloha PD SO 441</t>
  </si>
  <si>
    <t>Poznámka k souboru cen:_x000D_
Položka zahrnuje: - veškeré náklady spojené s ochranou inženýrských sítí Položka nezahrnuje: -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</si>
</sst>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dd\.mm\.yyyy"/>
    <numFmt numFmtId="166" formatCode="#,##0.00000"/>
    <numFmt numFmtId="167" formatCode="#,##0.000"/>
  </numFmts>
  <fonts count="35">
    <font>
      <sz val="8"/>
      <name val="Arial CE"/>
      <family val="2"/>
    </font>
    <font>
      <sz val="10"/>
      <color rgb="FF969696"/>
      <name val="Arial CE"/>
    </font>
    <font>
      <sz val="10"/>
      <name val="Arial CE"/>
    </font>
    <font>
      <b/>
      <sz val="11"/>
      <name val="Arial CE"/>
    </font>
    <font>
      <b/>
      <sz val="12"/>
      <name val="Arial CE"/>
    </font>
    <font>
      <sz val="11"/>
      <name val="Arial CE"/>
    </font>
    <font>
      <sz val="12"/>
      <color rgb="FF003366"/>
      <name val="Arial CE"/>
    </font>
    <font>
      <sz val="8"/>
      <color rgb="FF003366"/>
      <name val="Arial CE"/>
    </font>
    <font>
      <sz val="8"/>
      <color rgb="FF505050"/>
      <name val="Arial CE"/>
    </font>
    <font>
      <sz val="8"/>
      <color rgb="FF800080"/>
      <name val="Arial CE"/>
    </font>
    <font>
      <sz val="8"/>
      <color rgb="FFFFFFFF"/>
      <name val="Arial CE"/>
    </font>
    <font>
      <sz val="8"/>
      <color rgb="FF3366FF"/>
      <name val="Arial CE"/>
    </font>
    <font>
      <b/>
      <sz val="14"/>
      <name val="Arial CE"/>
    </font>
    <font>
      <b/>
      <sz val="10"/>
      <name val="Arial CE"/>
    </font>
    <font>
      <b/>
      <sz val="10"/>
      <color rgb="FF969696"/>
      <name val="Arial CE"/>
    </font>
    <font>
      <b/>
      <sz val="10"/>
      <color rgb="FF464646"/>
      <name val="Arial CE"/>
    </font>
    <font>
      <sz val="12"/>
      <color rgb="FF969696"/>
      <name val="Arial CE"/>
    </font>
    <font>
      <sz val="8"/>
      <color rgb="FF969696"/>
      <name val="Arial CE"/>
    </font>
    <font>
      <sz val="9"/>
      <name val="Arial CE"/>
    </font>
    <font>
      <sz val="9"/>
      <color rgb="FF969696"/>
      <name val="Arial CE"/>
    </font>
    <font>
      <b/>
      <sz val="12"/>
      <color rgb="FF960000"/>
      <name val="Arial CE"/>
    </font>
    <font>
      <sz val="12"/>
      <name val="Arial CE"/>
    </font>
    <font>
      <sz val="18"/>
      <color theme="10"/>
      <name val="Wingdings 2"/>
    </font>
    <font>
      <b/>
      <sz val="11"/>
      <color rgb="FF003366"/>
      <name val="Arial CE"/>
    </font>
    <font>
      <sz val="11"/>
      <color rgb="FF003366"/>
      <name val="Arial CE"/>
    </font>
    <font>
      <sz val="11"/>
      <color rgb="FF969696"/>
      <name val="Arial CE"/>
    </font>
    <font>
      <sz val="10"/>
      <color rgb="FF3366FF"/>
      <name val="Arial CE"/>
    </font>
    <font>
      <b/>
      <sz val="12"/>
      <color rgb="FF800000"/>
      <name val="Arial CE"/>
    </font>
    <font>
      <sz val="8"/>
      <color rgb="FF960000"/>
      <name val="Arial CE"/>
    </font>
    <font>
      <b/>
      <sz val="8"/>
      <name val="Arial CE"/>
    </font>
    <font>
      <sz val="7"/>
      <color rgb="FF969696"/>
      <name val="Arial CE"/>
    </font>
    <font>
      <sz val="7"/>
      <name val="Arial CE"/>
    </font>
    <font>
      <i/>
      <sz val="7"/>
      <color rgb="FF969696"/>
      <name val="Arial CE"/>
    </font>
    <font>
      <sz val="8"/>
      <color rgb="FF000000"/>
      <name val="Arial CE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BEBEBE"/>
      </patternFill>
    </fill>
    <fill>
      <patternFill patternType="solid">
        <fgColor rgb="FFD2D2D2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969696"/>
      </left>
      <right/>
      <top style="hair">
        <color rgb="FF969696"/>
      </top>
      <bottom/>
      <diagonal/>
    </border>
    <border>
      <left/>
      <right/>
      <top style="hair">
        <color rgb="FF969696"/>
      </top>
      <bottom/>
      <diagonal/>
    </border>
    <border>
      <left/>
      <right style="hair">
        <color rgb="FF969696"/>
      </right>
      <top style="hair">
        <color rgb="FF969696"/>
      </top>
      <bottom/>
      <diagonal/>
    </border>
    <border>
      <left style="hair">
        <color rgb="FF969696"/>
      </left>
      <right/>
      <top/>
      <bottom/>
      <diagonal/>
    </border>
    <border>
      <left/>
      <right style="hair">
        <color rgb="FF969696"/>
      </right>
      <top/>
      <bottom/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/>
      <right/>
      <top style="hair">
        <color rgb="FF969696"/>
      </top>
      <bottom style="hair">
        <color rgb="FF969696"/>
      </bottom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/>
      <bottom style="hair">
        <color rgb="FF969696"/>
      </bottom>
      <diagonal/>
    </border>
    <border>
      <left/>
      <right/>
      <top/>
      <bottom style="hair">
        <color rgb="FF969696"/>
      </bottom>
      <diagonal/>
    </border>
    <border>
      <left/>
      <right style="hair">
        <color rgb="FF969696"/>
      </right>
      <top/>
      <bottom style="hair">
        <color rgb="FF969696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20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4" xfId="0" applyBorder="1"/>
    <xf numFmtId="0" fontId="0" fillId="0" borderId="3" xfId="0" applyBorder="1" applyAlignment="1">
      <alignment vertical="center"/>
    </xf>
    <xf numFmtId="0" fontId="13" fillId="0" borderId="5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0" fillId="3" borderId="7" xfId="0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165" fontId="2" fillId="0" borderId="0" xfId="0" applyNumberFormat="1" applyFont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7" fillId="0" borderId="0" xfId="0" applyFont="1" applyAlignment="1">
      <alignment horizontal="left" vertical="center"/>
    </xf>
    <xf numFmtId="0" fontId="0" fillId="0" borderId="15" xfId="0" applyBorder="1" applyAlignment="1">
      <alignment vertical="center"/>
    </xf>
    <xf numFmtId="0" fontId="0" fillId="4" borderId="7" xfId="0" applyFill="1" applyBorder="1" applyAlignment="1">
      <alignment vertical="center"/>
    </xf>
    <xf numFmtId="0" fontId="18" fillId="4" borderId="0" xfId="0" applyFont="1" applyFill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4" fillId="0" borderId="3" xfId="0" applyFont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" fontId="20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4" fontId="16" fillId="0" borderId="14" xfId="0" applyNumberFormat="1" applyFont="1" applyBorder="1" applyAlignment="1">
      <alignment vertical="center"/>
    </xf>
    <xf numFmtId="4" fontId="16" fillId="0" borderId="0" xfId="0" applyNumberFormat="1" applyFont="1" applyAlignment="1">
      <alignment vertical="center"/>
    </xf>
    <xf numFmtId="166" fontId="16" fillId="0" borderId="0" xfId="0" applyNumberFormat="1" applyFont="1" applyAlignment="1">
      <alignment vertical="center"/>
    </xf>
    <xf numFmtId="4" fontId="16" fillId="0" borderId="15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1" applyFont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" fontId="25" fillId="0" borderId="14" xfId="0" applyNumberFormat="1" applyFont="1" applyBorder="1" applyAlignment="1">
      <alignment vertical="center"/>
    </xf>
    <xf numFmtId="4" fontId="25" fillId="0" borderId="0" xfId="0" applyNumberFormat="1" applyFont="1" applyAlignment="1">
      <alignment vertical="center"/>
    </xf>
    <xf numFmtId="166" fontId="25" fillId="0" borderId="0" xfId="0" applyNumberFormat="1" applyFont="1" applyAlignment="1">
      <alignment vertical="center"/>
    </xf>
    <xf numFmtId="4" fontId="25" fillId="0" borderId="15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4" fontId="25" fillId="0" borderId="19" xfId="0" applyNumberFormat="1" applyFont="1" applyBorder="1" applyAlignment="1">
      <alignment vertical="center"/>
    </xf>
    <xf numFmtId="4" fontId="25" fillId="0" borderId="20" xfId="0" applyNumberFormat="1" applyFont="1" applyBorder="1" applyAlignment="1">
      <alignment vertical="center"/>
    </xf>
    <xf numFmtId="166" fontId="25" fillId="0" borderId="20" xfId="0" applyNumberFormat="1" applyFont="1" applyBorder="1" applyAlignment="1">
      <alignment vertical="center"/>
    </xf>
    <xf numFmtId="4" fontId="25" fillId="0" borderId="21" xfId="0" applyNumberFormat="1" applyFont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0" fillId="4" borderId="0" xfId="0" applyFill="1" applyAlignment="1">
      <alignment vertical="center"/>
    </xf>
    <xf numFmtId="0" fontId="4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center" vertical="center"/>
    </xf>
    <xf numFmtId="4" fontId="4" fillId="4" borderId="7" xfId="0" applyNumberFormat="1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6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vertical="center"/>
    </xf>
    <xf numFmtId="4" fontId="6" fillId="0" borderId="20" xfId="0" applyNumberFormat="1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4" fontId="20" fillId="0" borderId="0" xfId="0" applyNumberFormat="1" applyFont="1"/>
    <xf numFmtId="166" fontId="28" fillId="0" borderId="12" xfId="0" applyNumberFormat="1" applyFont="1" applyBorder="1"/>
    <xf numFmtId="166" fontId="28" fillId="0" borderId="13" xfId="0" applyNumberFormat="1" applyFont="1" applyBorder="1"/>
    <xf numFmtId="4" fontId="29" fillId="0" borderId="0" xfId="0" applyNumberFormat="1" applyFont="1" applyAlignment="1">
      <alignment vertical="center"/>
    </xf>
    <xf numFmtId="0" fontId="7" fillId="0" borderId="3" xfId="0" applyFont="1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4" fontId="6" fillId="0" borderId="0" xfId="0" applyNumberFormat="1" applyFont="1"/>
    <xf numFmtId="0" fontId="7" fillId="0" borderId="14" xfId="0" applyFont="1" applyBorder="1"/>
    <xf numFmtId="166" fontId="7" fillId="0" borderId="0" xfId="0" applyNumberFormat="1" applyFont="1"/>
    <xf numFmtId="166" fontId="7" fillId="0" borderId="15" xfId="0" applyNumberFormat="1" applyFont="1" applyBorder="1"/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vertical="center"/>
    </xf>
    <xf numFmtId="0" fontId="0" fillId="0" borderId="3" xfId="0" applyBorder="1" applyAlignment="1" applyProtection="1">
      <alignment vertical="center"/>
      <protection locked="0"/>
    </xf>
    <xf numFmtId="0" fontId="18" fillId="0" borderId="22" xfId="0" applyFont="1" applyBorder="1" applyAlignment="1" applyProtection="1">
      <alignment horizontal="center" vertical="center"/>
      <protection locked="0"/>
    </xf>
    <xf numFmtId="49" fontId="18" fillId="0" borderId="22" xfId="0" applyNumberFormat="1" applyFont="1" applyBorder="1" applyAlignment="1" applyProtection="1">
      <alignment horizontal="left" vertical="center" wrapText="1"/>
      <protection locked="0"/>
    </xf>
    <xf numFmtId="0" fontId="18" fillId="0" borderId="22" xfId="0" applyFont="1" applyBorder="1" applyAlignment="1" applyProtection="1">
      <alignment horizontal="left" vertical="center" wrapText="1"/>
      <protection locked="0"/>
    </xf>
    <xf numFmtId="0" fontId="18" fillId="0" borderId="22" xfId="0" applyFont="1" applyBorder="1" applyAlignment="1" applyProtection="1">
      <alignment horizontal="center" vertical="center" wrapText="1"/>
      <protection locked="0"/>
    </xf>
    <xf numFmtId="167" fontId="18" fillId="0" borderId="22" xfId="0" applyNumberFormat="1" applyFont="1" applyBorder="1" applyAlignment="1" applyProtection="1">
      <alignment vertical="center"/>
      <protection locked="0"/>
    </xf>
    <xf numFmtId="4" fontId="18" fillId="0" borderId="22" xfId="0" applyNumberFormat="1" applyFont="1" applyBorder="1" applyAlignment="1" applyProtection="1">
      <alignment vertical="center"/>
      <protection locked="0"/>
    </xf>
    <xf numFmtId="0" fontId="19" fillId="0" borderId="14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166" fontId="19" fillId="0" borderId="0" xfId="0" applyNumberFormat="1" applyFont="1" applyAlignment="1">
      <alignment vertical="center"/>
    </xf>
    <xf numFmtId="166" fontId="19" fillId="0" borderId="15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4" fontId="0" fillId="0" borderId="0" xfId="0" applyNumberFormat="1" applyAlignment="1">
      <alignment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0" fillId="0" borderId="14" xfId="0" applyBorder="1" applyAlignment="1">
      <alignment vertical="center"/>
    </xf>
    <xf numFmtId="0" fontId="32" fillId="0" borderId="0" xfId="0" applyFont="1" applyAlignment="1">
      <alignment vertical="center" wrapText="1"/>
    </xf>
    <xf numFmtId="0" fontId="8" fillId="0" borderId="3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167" fontId="8" fillId="0" borderId="0" xfId="0" applyNumberFormat="1" applyFont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33" fillId="0" borderId="0" xfId="0" applyFont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18" fillId="5" borderId="22" xfId="0" applyFont="1" applyFill="1" applyBorder="1" applyAlignment="1" applyProtection="1">
      <alignment horizontal="center" vertical="center"/>
      <protection locked="0"/>
    </xf>
    <xf numFmtId="49" fontId="18" fillId="5" borderId="22" xfId="0" applyNumberFormat="1" applyFont="1" applyFill="1" applyBorder="1" applyAlignment="1" applyProtection="1">
      <alignment horizontal="left" vertical="center" wrapText="1"/>
      <protection locked="0"/>
    </xf>
    <xf numFmtId="0" fontId="18" fillId="5" borderId="22" xfId="0" applyFont="1" applyFill="1" applyBorder="1" applyAlignment="1" applyProtection="1">
      <alignment horizontal="left" vertical="center" wrapText="1"/>
      <protection locked="0"/>
    </xf>
    <xf numFmtId="0" fontId="18" fillId="5" borderId="22" xfId="0" applyFont="1" applyFill="1" applyBorder="1" applyAlignment="1" applyProtection="1">
      <alignment horizontal="center" vertical="center" wrapText="1"/>
      <protection locked="0"/>
    </xf>
    <xf numFmtId="167" fontId="18" fillId="5" borderId="22" xfId="0" applyNumberFormat="1" applyFont="1" applyFill="1" applyBorder="1" applyAlignment="1" applyProtection="1">
      <alignment vertical="center"/>
      <protection locked="0"/>
    </xf>
    <xf numFmtId="4" fontId="18" fillId="5" borderId="22" xfId="0" applyNumberFormat="1" applyFont="1" applyFill="1" applyBorder="1" applyAlignment="1" applyProtection="1">
      <alignment vertical="center"/>
      <protection locked="0"/>
    </xf>
    <xf numFmtId="0" fontId="0" fillId="5" borderId="0" xfId="0" applyFill="1" applyAlignment="1">
      <alignment vertical="center"/>
    </xf>
    <xf numFmtId="0" fontId="30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left" vertical="center" wrapText="1"/>
    </xf>
    <xf numFmtId="0" fontId="32" fillId="5" borderId="0" xfId="0" applyFont="1" applyFill="1" applyAlignment="1">
      <alignment vertical="center" wrapText="1"/>
    </xf>
    <xf numFmtId="0" fontId="8" fillId="5" borderId="0" xfId="0" applyFont="1" applyFill="1" applyAlignment="1">
      <alignment vertical="center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 wrapText="1"/>
    </xf>
    <xf numFmtId="167" fontId="8" fillId="5" borderId="0" xfId="0" applyNumberFormat="1" applyFont="1" applyFill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165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left" vertical="center"/>
    </xf>
    <xf numFmtId="0" fontId="18" fillId="4" borderId="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left" vertical="center"/>
    </xf>
    <xf numFmtId="0" fontId="18" fillId="4" borderId="7" xfId="0" applyFont="1" applyFill="1" applyBorder="1" applyAlignment="1">
      <alignment horizontal="right" vertical="center"/>
    </xf>
    <xf numFmtId="4" fontId="24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applyFont="1" applyAlignment="1">
      <alignment horizontal="left" vertical="center" wrapText="1"/>
    </xf>
    <xf numFmtId="4" fontId="20" fillId="0" borderId="0" xfId="0" applyNumberFormat="1" applyFont="1" applyAlignment="1">
      <alignment horizontal="right" vertical="center"/>
    </xf>
    <xf numFmtId="4" fontId="20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4" fontId="13" fillId="0" borderId="5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4" fontId="4" fillId="3" borderId="7" xfId="0" applyNumberFormat="1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4" fillId="3" borderId="7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2">
    <cellStyle name="Hypertextový odkaz" xfId="1" builtinId="8"/>
    <cellStyle name="Normální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app.urs.cz/products/kros4" TargetMode="External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app.urs.cz/products/kros4" TargetMode="External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app.urs.cz/products/kros4" TargetMode="External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app.urs.cz/products/kros4" TargetMode="External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app.urs.cz/products/kros4" TargetMode="External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app.urs.cz/products/kros4" TargetMode="External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app.urs.cz/products/kros4" TargetMode="External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app.urs.cz/products/kros4" TargetMode="External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app.urs.cz/products/kros4" TargetMode="Externa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36830</xdr:colOff>
      <xdr:row>3</xdr:row>
      <xdr:rowOff>0</xdr:rowOff>
    </xdr:from>
    <xdr:to>
      <xdr:col>40</xdr:col>
      <xdr:colOff>368935</xdr:colOff>
      <xdr:row>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38</xdr:col>
      <xdr:colOff>153670</xdr:colOff>
      <xdr:row>81</xdr:row>
      <xdr:rowOff>0</xdr:rowOff>
    </xdr:from>
    <xdr:to>
      <xdr:col>41</xdr:col>
      <xdr:colOff>178435</xdr:colOff>
      <xdr:row>85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absoluteAnchor>
    <xdr:pos x="0" y="0"/>
    <xdr:ext cx="285750" cy="285750"/>
    <xdr:pic>
      <xdr:nvPicPr>
        <xdr:cNvPr id="4" name="Picture 3">
          <a:hlinkClick xmlns:r="http://schemas.openxmlformats.org/officeDocument/2006/relationships" r:id="rId2" tooltip="https://app.urs.cz/products/kros4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164465</xdr:colOff>
      <xdr:row>3</xdr:row>
      <xdr:rowOff>0</xdr:rowOff>
    </xdr:from>
    <xdr:to>
      <xdr:col>9</xdr:col>
      <xdr:colOff>1214755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9</xdr:col>
      <xdr:colOff>164465</xdr:colOff>
      <xdr:row>81</xdr:row>
      <xdr:rowOff>0</xdr:rowOff>
    </xdr:from>
    <xdr:to>
      <xdr:col>9</xdr:col>
      <xdr:colOff>1214755</xdr:colOff>
      <xdr:row>85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9</xdr:col>
      <xdr:colOff>164465</xdr:colOff>
      <xdr:row>104</xdr:row>
      <xdr:rowOff>0</xdr:rowOff>
    </xdr:from>
    <xdr:to>
      <xdr:col>9</xdr:col>
      <xdr:colOff>1214755</xdr:colOff>
      <xdr:row>108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absoluteAnchor>
    <xdr:pos x="0" y="0"/>
    <xdr:ext cx="285750" cy="285750"/>
    <xdr:pic>
      <xdr:nvPicPr>
        <xdr:cNvPr id="5" name="Picture 4">
          <a:hlinkClick xmlns:r="http://schemas.openxmlformats.org/officeDocument/2006/relationships" r:id="rId2" tooltip="https://app.urs.cz/products/kros4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164465</xdr:colOff>
      <xdr:row>3</xdr:row>
      <xdr:rowOff>0</xdr:rowOff>
    </xdr:from>
    <xdr:to>
      <xdr:col>9</xdr:col>
      <xdr:colOff>1214755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9</xdr:col>
      <xdr:colOff>164465</xdr:colOff>
      <xdr:row>81</xdr:row>
      <xdr:rowOff>0</xdr:rowOff>
    </xdr:from>
    <xdr:to>
      <xdr:col>9</xdr:col>
      <xdr:colOff>1214755</xdr:colOff>
      <xdr:row>85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9</xdr:col>
      <xdr:colOff>164465</xdr:colOff>
      <xdr:row>111</xdr:row>
      <xdr:rowOff>0</xdr:rowOff>
    </xdr:from>
    <xdr:to>
      <xdr:col>9</xdr:col>
      <xdr:colOff>1214755</xdr:colOff>
      <xdr:row>115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absoluteAnchor>
    <xdr:pos x="0" y="0"/>
    <xdr:ext cx="285750" cy="285750"/>
    <xdr:pic>
      <xdr:nvPicPr>
        <xdr:cNvPr id="5" name="Picture 4">
          <a:hlinkClick xmlns:r="http://schemas.openxmlformats.org/officeDocument/2006/relationships" r:id="rId2" tooltip="https://app.urs.cz/products/kros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164465</xdr:colOff>
      <xdr:row>3</xdr:row>
      <xdr:rowOff>0</xdr:rowOff>
    </xdr:from>
    <xdr:to>
      <xdr:col>9</xdr:col>
      <xdr:colOff>1214755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9</xdr:col>
      <xdr:colOff>164465</xdr:colOff>
      <xdr:row>81</xdr:row>
      <xdr:rowOff>0</xdr:rowOff>
    </xdr:from>
    <xdr:to>
      <xdr:col>9</xdr:col>
      <xdr:colOff>1214755</xdr:colOff>
      <xdr:row>85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9</xdr:col>
      <xdr:colOff>164465</xdr:colOff>
      <xdr:row>110</xdr:row>
      <xdr:rowOff>0</xdr:rowOff>
    </xdr:from>
    <xdr:to>
      <xdr:col>9</xdr:col>
      <xdr:colOff>1214755</xdr:colOff>
      <xdr:row>114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absoluteAnchor>
    <xdr:pos x="0" y="0"/>
    <xdr:ext cx="285750" cy="285750"/>
    <xdr:pic>
      <xdr:nvPicPr>
        <xdr:cNvPr id="5" name="Picture 4">
          <a:hlinkClick xmlns:r="http://schemas.openxmlformats.org/officeDocument/2006/relationships" r:id="rId2" tooltip="https://app.urs.cz/products/kros4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164465</xdr:colOff>
      <xdr:row>3</xdr:row>
      <xdr:rowOff>0</xdr:rowOff>
    </xdr:from>
    <xdr:to>
      <xdr:col>9</xdr:col>
      <xdr:colOff>1214755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9</xdr:col>
      <xdr:colOff>164465</xdr:colOff>
      <xdr:row>81</xdr:row>
      <xdr:rowOff>0</xdr:rowOff>
    </xdr:from>
    <xdr:to>
      <xdr:col>9</xdr:col>
      <xdr:colOff>1214755</xdr:colOff>
      <xdr:row>85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9</xdr:col>
      <xdr:colOff>164465</xdr:colOff>
      <xdr:row>105</xdr:row>
      <xdr:rowOff>0</xdr:rowOff>
    </xdr:from>
    <xdr:to>
      <xdr:col>9</xdr:col>
      <xdr:colOff>1214755</xdr:colOff>
      <xdr:row>109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absoluteAnchor>
    <xdr:pos x="0" y="0"/>
    <xdr:ext cx="285750" cy="285750"/>
    <xdr:pic>
      <xdr:nvPicPr>
        <xdr:cNvPr id="5" name="Picture 4">
          <a:hlinkClick xmlns:r="http://schemas.openxmlformats.org/officeDocument/2006/relationships" r:id="rId2" tooltip="https://app.urs.cz/products/kros4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164465</xdr:colOff>
      <xdr:row>3</xdr:row>
      <xdr:rowOff>0</xdr:rowOff>
    </xdr:from>
    <xdr:to>
      <xdr:col>9</xdr:col>
      <xdr:colOff>1214755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9</xdr:col>
      <xdr:colOff>164465</xdr:colOff>
      <xdr:row>81</xdr:row>
      <xdr:rowOff>0</xdr:rowOff>
    </xdr:from>
    <xdr:to>
      <xdr:col>9</xdr:col>
      <xdr:colOff>1214755</xdr:colOff>
      <xdr:row>85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9</xdr:col>
      <xdr:colOff>164465</xdr:colOff>
      <xdr:row>105</xdr:row>
      <xdr:rowOff>0</xdr:rowOff>
    </xdr:from>
    <xdr:to>
      <xdr:col>9</xdr:col>
      <xdr:colOff>1214755</xdr:colOff>
      <xdr:row>109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absoluteAnchor>
    <xdr:pos x="0" y="0"/>
    <xdr:ext cx="285750" cy="285750"/>
    <xdr:pic>
      <xdr:nvPicPr>
        <xdr:cNvPr id="5" name="Picture 4">
          <a:hlinkClick xmlns:r="http://schemas.openxmlformats.org/officeDocument/2006/relationships" r:id="rId2" tooltip="https://app.urs.cz/products/kros4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164465</xdr:colOff>
      <xdr:row>3</xdr:row>
      <xdr:rowOff>0</xdr:rowOff>
    </xdr:from>
    <xdr:to>
      <xdr:col>9</xdr:col>
      <xdr:colOff>1214755</xdr:colOff>
      <xdr:row>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absoluteAnchor>
    <xdr:pos x="0" y="0"/>
    <xdr:ext cx="285750" cy="285750"/>
    <xdr:pic>
      <xdr:nvPicPr>
        <xdr:cNvPr id="5" name="Picture 4">
          <a:hlinkClick xmlns:r="http://schemas.openxmlformats.org/officeDocument/2006/relationships" r:id="rId2" tooltip="https://app.urs.cz/products/kros4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164465</xdr:colOff>
      <xdr:row>3</xdr:row>
      <xdr:rowOff>0</xdr:rowOff>
    </xdr:from>
    <xdr:to>
      <xdr:col>9</xdr:col>
      <xdr:colOff>1214755</xdr:colOff>
      <xdr:row>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absoluteAnchor>
    <xdr:pos x="0" y="0"/>
    <xdr:ext cx="285750" cy="285750"/>
    <xdr:pic>
      <xdr:nvPicPr>
        <xdr:cNvPr id="5" name="Picture 4">
          <a:hlinkClick xmlns:r="http://schemas.openxmlformats.org/officeDocument/2006/relationships" r:id="rId2" tooltip="https://app.urs.cz/products/kros4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164465</xdr:colOff>
      <xdr:row>3</xdr:row>
      <xdr:rowOff>0</xdr:rowOff>
    </xdr:from>
    <xdr:to>
      <xdr:col>9</xdr:col>
      <xdr:colOff>1214755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9</xdr:col>
      <xdr:colOff>164465</xdr:colOff>
      <xdr:row>81</xdr:row>
      <xdr:rowOff>0</xdr:rowOff>
    </xdr:from>
    <xdr:to>
      <xdr:col>9</xdr:col>
      <xdr:colOff>1214755</xdr:colOff>
      <xdr:row>85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9</xdr:col>
      <xdr:colOff>164465</xdr:colOff>
      <xdr:row>103</xdr:row>
      <xdr:rowOff>0</xdr:rowOff>
    </xdr:from>
    <xdr:to>
      <xdr:col>9</xdr:col>
      <xdr:colOff>1214755</xdr:colOff>
      <xdr:row>107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absoluteAnchor>
    <xdr:pos x="0" y="0"/>
    <xdr:ext cx="285750" cy="285750"/>
    <xdr:pic>
      <xdr:nvPicPr>
        <xdr:cNvPr id="5" name="Picture 4">
          <a:hlinkClick xmlns:r="http://schemas.openxmlformats.org/officeDocument/2006/relationships" r:id="rId2" tooltip="https://app.urs.cz/products/kros4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M104"/>
  <sheetViews>
    <sheetView showGridLines="0" topLeftCell="A86" workbookViewId="0">
      <selection activeCell="J101" sqref="J101:AF101"/>
    </sheetView>
  </sheetViews>
  <sheetFormatPr defaultRowHeight="10.199999999999999"/>
  <cols>
    <col min="1" max="1" width="8.28515625" customWidth="1"/>
    <col min="2" max="2" width="1.7109375" customWidth="1"/>
    <col min="3" max="3" width="4.140625" customWidth="1"/>
    <col min="4" max="33" width="2.7109375" customWidth="1"/>
    <col min="34" max="34" width="3.28515625" customWidth="1"/>
    <col min="35" max="35" width="31.7109375" customWidth="1"/>
    <col min="36" max="37" width="2.42578125" customWidth="1"/>
    <col min="38" max="38" width="8.28515625" customWidth="1"/>
    <col min="39" max="39" width="3.28515625" customWidth="1"/>
    <col min="40" max="40" width="13.28515625" customWidth="1"/>
    <col min="41" max="41" width="7.42578125" customWidth="1"/>
    <col min="42" max="42" width="4.140625" customWidth="1"/>
    <col min="43" max="43" width="15.7109375" hidden="1" customWidth="1"/>
    <col min="44" max="44" width="13.7109375" customWidth="1"/>
    <col min="45" max="47" width="25.85546875" hidden="1" customWidth="1"/>
    <col min="48" max="49" width="21.7109375" hidden="1" customWidth="1"/>
    <col min="50" max="51" width="25" hidden="1" customWidth="1"/>
    <col min="52" max="52" width="21.7109375" hidden="1" customWidth="1"/>
    <col min="53" max="53" width="19.140625" hidden="1" customWidth="1"/>
    <col min="54" max="54" width="25" hidden="1" customWidth="1"/>
    <col min="55" max="55" width="21.7109375" hidden="1" customWidth="1"/>
    <col min="56" max="56" width="19.140625" hidden="1" customWidth="1"/>
    <col min="57" max="57" width="66.42578125" customWidth="1"/>
    <col min="71" max="91" width="9.28515625" hidden="1"/>
  </cols>
  <sheetData>
    <row r="1" spans="1:74">
      <c r="A1" s="13" t="s">
        <v>0</v>
      </c>
      <c r="AZ1" s="13" t="s">
        <v>1</v>
      </c>
      <c r="BA1" s="13" t="s">
        <v>2</v>
      </c>
      <c r="BB1" s="13" t="s">
        <v>1</v>
      </c>
      <c r="BT1" s="13" t="s">
        <v>3</v>
      </c>
      <c r="BU1" s="13" t="s">
        <v>3</v>
      </c>
      <c r="BV1" s="13" t="s">
        <v>4</v>
      </c>
    </row>
    <row r="2" spans="1:74" ht="36.9" customHeight="1">
      <c r="AR2" s="197" t="s">
        <v>5</v>
      </c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S2" s="14" t="s">
        <v>6</v>
      </c>
      <c r="BT2" s="14" t="s">
        <v>7</v>
      </c>
    </row>
    <row r="3" spans="1:74" ht="6.9" customHeight="1"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7"/>
      <c r="BS3" s="14" t="s">
        <v>6</v>
      </c>
      <c r="BT3" s="14" t="s">
        <v>8</v>
      </c>
    </row>
    <row r="4" spans="1:74" ht="24.9" customHeight="1">
      <c r="B4" s="17"/>
      <c r="D4" s="18" t="s">
        <v>9</v>
      </c>
      <c r="AR4" s="17"/>
      <c r="AS4" s="19" t="s">
        <v>10</v>
      </c>
      <c r="BS4" s="14" t="s">
        <v>11</v>
      </c>
    </row>
    <row r="5" spans="1:74" ht="12" customHeight="1">
      <c r="B5" s="17"/>
      <c r="D5" s="20" t="s">
        <v>12</v>
      </c>
      <c r="K5" s="190" t="s">
        <v>13</v>
      </c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R5" s="17"/>
      <c r="BS5" s="14" t="s">
        <v>6</v>
      </c>
    </row>
    <row r="6" spans="1:74" ht="36.9" customHeight="1">
      <c r="B6" s="17"/>
      <c r="D6" s="22" t="s">
        <v>14</v>
      </c>
      <c r="K6" s="192" t="s">
        <v>15</v>
      </c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R6" s="17"/>
      <c r="BS6" s="14" t="s">
        <v>16</v>
      </c>
    </row>
    <row r="7" spans="1:74" ht="12" customHeight="1">
      <c r="B7" s="17"/>
      <c r="D7" s="23" t="s">
        <v>17</v>
      </c>
      <c r="K7" s="21" t="s">
        <v>1</v>
      </c>
      <c r="AK7" s="23" t="s">
        <v>18</v>
      </c>
      <c r="AN7" s="21" t="s">
        <v>1</v>
      </c>
      <c r="AR7" s="17"/>
      <c r="BS7" s="14" t="s">
        <v>19</v>
      </c>
    </row>
    <row r="8" spans="1:74" ht="12" customHeight="1">
      <c r="B8" s="17"/>
      <c r="D8" s="23" t="s">
        <v>20</v>
      </c>
      <c r="K8" s="21" t="s">
        <v>21</v>
      </c>
      <c r="AK8" s="23" t="s">
        <v>22</v>
      </c>
      <c r="AN8" s="21" t="s">
        <v>23</v>
      </c>
      <c r="AR8" s="17"/>
      <c r="BS8" s="14" t="s">
        <v>24</v>
      </c>
    </row>
    <row r="9" spans="1:74" ht="14.4" customHeight="1">
      <c r="B9" s="17"/>
      <c r="AR9" s="17"/>
      <c r="BS9" s="14" t="s">
        <v>25</v>
      </c>
    </row>
    <row r="10" spans="1:74" ht="12" customHeight="1">
      <c r="B10" s="17"/>
      <c r="D10" s="23" t="s">
        <v>26</v>
      </c>
      <c r="AK10" s="23" t="s">
        <v>27</v>
      </c>
      <c r="AN10" s="21" t="s">
        <v>28</v>
      </c>
      <c r="AR10" s="17"/>
      <c r="BS10" s="14" t="s">
        <v>16</v>
      </c>
    </row>
    <row r="11" spans="1:74" ht="18.45" customHeight="1">
      <c r="B11" s="17"/>
      <c r="E11" s="21" t="s">
        <v>29</v>
      </c>
      <c r="AK11" s="23" t="s">
        <v>30</v>
      </c>
      <c r="AN11" s="21" t="s">
        <v>31</v>
      </c>
      <c r="AR11" s="17"/>
      <c r="BS11" s="14" t="s">
        <v>16</v>
      </c>
    </row>
    <row r="12" spans="1:74" ht="6.9" customHeight="1">
      <c r="B12" s="17"/>
      <c r="AR12" s="17"/>
      <c r="BS12" s="14" t="s">
        <v>16</v>
      </c>
    </row>
    <row r="13" spans="1:74" ht="12" customHeight="1">
      <c r="B13" s="17"/>
      <c r="D13" s="23" t="s">
        <v>32</v>
      </c>
      <c r="AK13" s="23" t="s">
        <v>27</v>
      </c>
      <c r="AN13" s="21" t="s">
        <v>1</v>
      </c>
      <c r="AR13" s="17"/>
      <c r="BS13" s="14" t="s">
        <v>16</v>
      </c>
    </row>
    <row r="14" spans="1:74" ht="13.2">
      <c r="B14" s="17"/>
      <c r="E14" s="21" t="s">
        <v>21</v>
      </c>
      <c r="AK14" s="23" t="s">
        <v>30</v>
      </c>
      <c r="AN14" s="21" t="s">
        <v>1</v>
      </c>
      <c r="AR14" s="17"/>
      <c r="BS14" s="14" t="s">
        <v>16</v>
      </c>
    </row>
    <row r="15" spans="1:74" ht="6.9" customHeight="1">
      <c r="B15" s="17"/>
      <c r="AR15" s="17"/>
      <c r="BS15" s="14" t="s">
        <v>3</v>
      </c>
    </row>
    <row r="16" spans="1:74" ht="12" customHeight="1">
      <c r="B16" s="17"/>
      <c r="D16" s="23" t="s">
        <v>33</v>
      </c>
      <c r="AK16" s="23" t="s">
        <v>27</v>
      </c>
      <c r="AN16" s="21" t="s">
        <v>34</v>
      </c>
      <c r="AR16" s="17"/>
      <c r="BS16" s="14" t="s">
        <v>3</v>
      </c>
    </row>
    <row r="17" spans="2:71" ht="18.45" customHeight="1">
      <c r="B17" s="17"/>
      <c r="E17" s="21" t="s">
        <v>35</v>
      </c>
      <c r="AK17" s="23" t="s">
        <v>30</v>
      </c>
      <c r="AN17" s="21" t="s">
        <v>36</v>
      </c>
      <c r="AR17" s="17"/>
      <c r="BS17" s="14" t="s">
        <v>3</v>
      </c>
    </row>
    <row r="18" spans="2:71" ht="6.9" customHeight="1">
      <c r="B18" s="17"/>
      <c r="AR18" s="17"/>
      <c r="BS18" s="14" t="s">
        <v>6</v>
      </c>
    </row>
    <row r="19" spans="2:71" ht="12" customHeight="1">
      <c r="B19" s="17"/>
      <c r="D19" s="23" t="s">
        <v>37</v>
      </c>
      <c r="AK19" s="23" t="s">
        <v>27</v>
      </c>
      <c r="AN19" s="21" t="s">
        <v>1</v>
      </c>
      <c r="AR19" s="17"/>
      <c r="BS19" s="14" t="s">
        <v>6</v>
      </c>
    </row>
    <row r="20" spans="2:71" ht="18.45" customHeight="1">
      <c r="B20" s="17"/>
      <c r="E20" s="21" t="s">
        <v>38</v>
      </c>
      <c r="AK20" s="23" t="s">
        <v>30</v>
      </c>
      <c r="AN20" s="21" t="s">
        <v>1</v>
      </c>
      <c r="AR20" s="17"/>
      <c r="BS20" s="14" t="s">
        <v>39</v>
      </c>
    </row>
    <row r="21" spans="2:71" ht="6.9" customHeight="1">
      <c r="B21" s="17"/>
      <c r="AR21" s="17"/>
    </row>
    <row r="22" spans="2:71" ht="12" customHeight="1">
      <c r="B22" s="17"/>
      <c r="D22" s="23" t="s">
        <v>40</v>
      </c>
      <c r="AR22" s="17"/>
    </row>
    <row r="23" spans="2:71" ht="16.5" customHeight="1">
      <c r="B23" s="17"/>
      <c r="E23" s="193" t="s">
        <v>1</v>
      </c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R23" s="17"/>
    </row>
    <row r="24" spans="2:71" ht="6.9" customHeight="1">
      <c r="B24" s="17"/>
      <c r="AR24" s="17"/>
    </row>
    <row r="25" spans="2:71" ht="6.9" customHeight="1">
      <c r="B25" s="17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R25" s="17"/>
    </row>
    <row r="26" spans="2:71" s="1" customFormat="1" ht="25.95" customHeight="1">
      <c r="B26" s="26"/>
      <c r="D26" s="27" t="s">
        <v>41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194" t="e">
        <f>ROUND(AG94,2)</f>
        <v>#REF!</v>
      </c>
      <c r="AL26" s="195"/>
      <c r="AM26" s="195"/>
      <c r="AN26" s="195"/>
      <c r="AO26" s="195"/>
      <c r="AR26" s="26"/>
    </row>
    <row r="27" spans="2:71" s="1" customFormat="1" ht="6.9" customHeight="1">
      <c r="B27" s="26"/>
      <c r="AR27" s="26"/>
    </row>
    <row r="28" spans="2:71" s="1" customFormat="1" ht="13.2">
      <c r="B28" s="26"/>
      <c r="L28" s="196" t="s">
        <v>42</v>
      </c>
      <c r="M28" s="196"/>
      <c r="N28" s="196"/>
      <c r="O28" s="196"/>
      <c r="P28" s="196"/>
      <c r="W28" s="196" t="s">
        <v>43</v>
      </c>
      <c r="X28" s="196"/>
      <c r="Y28" s="196"/>
      <c r="Z28" s="196"/>
      <c r="AA28" s="196"/>
      <c r="AB28" s="196"/>
      <c r="AC28" s="196"/>
      <c r="AD28" s="196"/>
      <c r="AE28" s="196"/>
      <c r="AK28" s="196" t="s">
        <v>44</v>
      </c>
      <c r="AL28" s="196"/>
      <c r="AM28" s="196"/>
      <c r="AN28" s="196"/>
      <c r="AO28" s="196"/>
      <c r="AR28" s="26"/>
    </row>
    <row r="29" spans="2:71" s="2" customFormat="1" ht="14.4" customHeight="1">
      <c r="B29" s="30"/>
      <c r="D29" s="23" t="s">
        <v>45</v>
      </c>
      <c r="F29" s="23" t="s">
        <v>46</v>
      </c>
      <c r="L29" s="187">
        <v>0.21</v>
      </c>
      <c r="M29" s="188"/>
      <c r="N29" s="188"/>
      <c r="O29" s="188"/>
      <c r="P29" s="188"/>
      <c r="W29" s="189" t="e">
        <f>ROUND(AZ94, 2)</f>
        <v>#REF!</v>
      </c>
      <c r="X29" s="188"/>
      <c r="Y29" s="188"/>
      <c r="Z29" s="188"/>
      <c r="AA29" s="188"/>
      <c r="AB29" s="188"/>
      <c r="AC29" s="188"/>
      <c r="AD29" s="188"/>
      <c r="AE29" s="188"/>
      <c r="AK29" s="189" t="e">
        <f>ROUND(AV94, 2)</f>
        <v>#REF!</v>
      </c>
      <c r="AL29" s="188"/>
      <c r="AM29" s="188"/>
      <c r="AN29" s="188"/>
      <c r="AO29" s="188"/>
      <c r="AR29" s="30"/>
    </row>
    <row r="30" spans="2:71" s="2" customFormat="1" ht="14.4" customHeight="1">
      <c r="B30" s="30"/>
      <c r="F30" s="23" t="s">
        <v>47</v>
      </c>
      <c r="L30" s="187">
        <v>0.15</v>
      </c>
      <c r="M30" s="188"/>
      <c r="N30" s="188"/>
      <c r="O30" s="188"/>
      <c r="P30" s="188"/>
      <c r="W30" s="189" t="e">
        <f>ROUND(BA94, 2)</f>
        <v>#REF!</v>
      </c>
      <c r="X30" s="188"/>
      <c r="Y30" s="188"/>
      <c r="Z30" s="188"/>
      <c r="AA30" s="188"/>
      <c r="AB30" s="188"/>
      <c r="AC30" s="188"/>
      <c r="AD30" s="188"/>
      <c r="AE30" s="188"/>
      <c r="AK30" s="189" t="e">
        <f>ROUND(AW94, 2)</f>
        <v>#REF!</v>
      </c>
      <c r="AL30" s="188"/>
      <c r="AM30" s="188"/>
      <c r="AN30" s="188"/>
      <c r="AO30" s="188"/>
      <c r="AR30" s="30"/>
    </row>
    <row r="31" spans="2:71" s="2" customFormat="1" ht="14.4" hidden="1" customHeight="1">
      <c r="B31" s="30"/>
      <c r="F31" s="23" t="s">
        <v>48</v>
      </c>
      <c r="L31" s="187">
        <v>0.21</v>
      </c>
      <c r="M31" s="188"/>
      <c r="N31" s="188"/>
      <c r="O31" s="188"/>
      <c r="P31" s="188"/>
      <c r="W31" s="189" t="e">
        <f>ROUND(BB94, 2)</f>
        <v>#REF!</v>
      </c>
      <c r="X31" s="188"/>
      <c r="Y31" s="188"/>
      <c r="Z31" s="188"/>
      <c r="AA31" s="188"/>
      <c r="AB31" s="188"/>
      <c r="AC31" s="188"/>
      <c r="AD31" s="188"/>
      <c r="AE31" s="188"/>
      <c r="AK31" s="189">
        <v>0</v>
      </c>
      <c r="AL31" s="188"/>
      <c r="AM31" s="188"/>
      <c r="AN31" s="188"/>
      <c r="AO31" s="188"/>
      <c r="AR31" s="30"/>
    </row>
    <row r="32" spans="2:71" s="2" customFormat="1" ht="14.4" hidden="1" customHeight="1">
      <c r="B32" s="30"/>
      <c r="F32" s="23" t="s">
        <v>49</v>
      </c>
      <c r="L32" s="187">
        <v>0.15</v>
      </c>
      <c r="M32" s="188"/>
      <c r="N32" s="188"/>
      <c r="O32" s="188"/>
      <c r="P32" s="188"/>
      <c r="W32" s="189" t="e">
        <f>ROUND(BC94, 2)</f>
        <v>#REF!</v>
      </c>
      <c r="X32" s="188"/>
      <c r="Y32" s="188"/>
      <c r="Z32" s="188"/>
      <c r="AA32" s="188"/>
      <c r="AB32" s="188"/>
      <c r="AC32" s="188"/>
      <c r="AD32" s="188"/>
      <c r="AE32" s="188"/>
      <c r="AK32" s="189">
        <v>0</v>
      </c>
      <c r="AL32" s="188"/>
      <c r="AM32" s="188"/>
      <c r="AN32" s="188"/>
      <c r="AO32" s="188"/>
      <c r="AR32" s="30"/>
    </row>
    <row r="33" spans="2:44" s="2" customFormat="1" ht="14.4" hidden="1" customHeight="1">
      <c r="B33" s="30"/>
      <c r="F33" s="23" t="s">
        <v>50</v>
      </c>
      <c r="L33" s="187">
        <v>0</v>
      </c>
      <c r="M33" s="188"/>
      <c r="N33" s="188"/>
      <c r="O33" s="188"/>
      <c r="P33" s="188"/>
      <c r="W33" s="189" t="e">
        <f>ROUND(BD94, 2)</f>
        <v>#REF!</v>
      </c>
      <c r="X33" s="188"/>
      <c r="Y33" s="188"/>
      <c r="Z33" s="188"/>
      <c r="AA33" s="188"/>
      <c r="AB33" s="188"/>
      <c r="AC33" s="188"/>
      <c r="AD33" s="188"/>
      <c r="AE33" s="188"/>
      <c r="AK33" s="189">
        <v>0</v>
      </c>
      <c r="AL33" s="188"/>
      <c r="AM33" s="188"/>
      <c r="AN33" s="188"/>
      <c r="AO33" s="188"/>
      <c r="AR33" s="30"/>
    </row>
    <row r="34" spans="2:44" s="1" customFormat="1" ht="6.9" customHeight="1">
      <c r="B34" s="26"/>
      <c r="AR34" s="26"/>
    </row>
    <row r="35" spans="2:44" s="1" customFormat="1" ht="25.95" customHeight="1">
      <c r="B35" s="26"/>
      <c r="C35" s="31"/>
      <c r="D35" s="32" t="s">
        <v>51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4" t="s">
        <v>52</v>
      </c>
      <c r="U35" s="33"/>
      <c r="V35" s="33"/>
      <c r="W35" s="33"/>
      <c r="X35" s="201" t="s">
        <v>53</v>
      </c>
      <c r="Y35" s="199"/>
      <c r="Z35" s="199"/>
      <c r="AA35" s="199"/>
      <c r="AB35" s="199"/>
      <c r="AC35" s="33"/>
      <c r="AD35" s="33"/>
      <c r="AE35" s="33"/>
      <c r="AF35" s="33"/>
      <c r="AG35" s="33"/>
      <c r="AH35" s="33"/>
      <c r="AI35" s="33"/>
      <c r="AJ35" s="33"/>
      <c r="AK35" s="198" t="e">
        <f>SUM(AK26:AK33)</f>
        <v>#REF!</v>
      </c>
      <c r="AL35" s="199"/>
      <c r="AM35" s="199"/>
      <c r="AN35" s="199"/>
      <c r="AO35" s="200"/>
      <c r="AP35" s="31"/>
      <c r="AQ35" s="31"/>
      <c r="AR35" s="26"/>
    </row>
    <row r="36" spans="2:44" s="1" customFormat="1" ht="6.9" customHeight="1">
      <c r="B36" s="26"/>
      <c r="AR36" s="26"/>
    </row>
    <row r="37" spans="2:44" s="1" customFormat="1" ht="14.4" customHeight="1">
      <c r="B37" s="26"/>
      <c r="AR37" s="26"/>
    </row>
    <row r="38" spans="2:44" ht="14.4" customHeight="1">
      <c r="B38" s="17"/>
      <c r="AR38" s="17"/>
    </row>
    <row r="39" spans="2:44" ht="14.4" customHeight="1">
      <c r="B39" s="17"/>
      <c r="AR39" s="17"/>
    </row>
    <row r="40" spans="2:44" ht="14.4" customHeight="1">
      <c r="B40" s="17"/>
      <c r="AR40" s="17"/>
    </row>
    <row r="41" spans="2:44" ht="14.4" customHeight="1">
      <c r="B41" s="17"/>
      <c r="AR41" s="17"/>
    </row>
    <row r="42" spans="2:44" ht="14.4" customHeight="1">
      <c r="B42" s="17"/>
      <c r="AR42" s="17"/>
    </row>
    <row r="43" spans="2:44" ht="14.4" customHeight="1">
      <c r="B43" s="17"/>
      <c r="AR43" s="17"/>
    </row>
    <row r="44" spans="2:44" ht="14.4" customHeight="1">
      <c r="B44" s="17"/>
      <c r="AR44" s="17"/>
    </row>
    <row r="45" spans="2:44" ht="14.4" customHeight="1">
      <c r="B45" s="17"/>
      <c r="AR45" s="17"/>
    </row>
    <row r="46" spans="2:44" ht="14.4" customHeight="1">
      <c r="B46" s="17"/>
      <c r="AR46" s="17"/>
    </row>
    <row r="47" spans="2:44" ht="14.4" customHeight="1">
      <c r="B47" s="17"/>
      <c r="AR47" s="17"/>
    </row>
    <row r="48" spans="2:44" ht="14.4" customHeight="1">
      <c r="B48" s="17"/>
      <c r="AR48" s="17"/>
    </row>
    <row r="49" spans="2:44" s="1" customFormat="1" ht="14.4" customHeight="1">
      <c r="B49" s="26"/>
      <c r="D49" s="35" t="s">
        <v>54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5" t="s">
        <v>55</v>
      </c>
      <c r="AI49" s="36"/>
      <c r="AJ49" s="36"/>
      <c r="AK49" s="36"/>
      <c r="AL49" s="36"/>
      <c r="AM49" s="36"/>
      <c r="AN49" s="36"/>
      <c r="AO49" s="36"/>
      <c r="AR49" s="26"/>
    </row>
    <row r="50" spans="2:44">
      <c r="B50" s="17"/>
      <c r="AR50" s="17"/>
    </row>
    <row r="51" spans="2:44">
      <c r="B51" s="17"/>
      <c r="AR51" s="17"/>
    </row>
    <row r="52" spans="2:44">
      <c r="B52" s="17"/>
      <c r="AR52" s="17"/>
    </row>
    <row r="53" spans="2:44">
      <c r="B53" s="17"/>
      <c r="AR53" s="17"/>
    </row>
    <row r="54" spans="2:44">
      <c r="B54" s="17"/>
      <c r="AR54" s="17"/>
    </row>
    <row r="55" spans="2:44">
      <c r="B55" s="17"/>
      <c r="AR55" s="17"/>
    </row>
    <row r="56" spans="2:44">
      <c r="B56" s="17"/>
      <c r="AR56" s="17"/>
    </row>
    <row r="57" spans="2:44">
      <c r="B57" s="17"/>
      <c r="AR57" s="17"/>
    </row>
    <row r="58" spans="2:44">
      <c r="B58" s="17"/>
      <c r="AR58" s="17"/>
    </row>
    <row r="59" spans="2:44">
      <c r="B59" s="17"/>
      <c r="AR59" s="17"/>
    </row>
    <row r="60" spans="2:44" s="1" customFormat="1" ht="13.2">
      <c r="B60" s="26"/>
      <c r="D60" s="37" t="s">
        <v>56</v>
      </c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37" t="s">
        <v>57</v>
      </c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37" t="s">
        <v>56</v>
      </c>
      <c r="AI60" s="28"/>
      <c r="AJ60" s="28"/>
      <c r="AK60" s="28"/>
      <c r="AL60" s="28"/>
      <c r="AM60" s="37" t="s">
        <v>57</v>
      </c>
      <c r="AN60" s="28"/>
      <c r="AO60" s="28"/>
      <c r="AR60" s="26"/>
    </row>
    <row r="61" spans="2:44">
      <c r="B61" s="17"/>
      <c r="AR61" s="17"/>
    </row>
    <row r="62" spans="2:44">
      <c r="B62" s="17"/>
      <c r="AR62" s="17"/>
    </row>
    <row r="63" spans="2:44">
      <c r="B63" s="17"/>
      <c r="AR63" s="17"/>
    </row>
    <row r="64" spans="2:44" s="1" customFormat="1" ht="13.2">
      <c r="B64" s="26"/>
      <c r="D64" s="35" t="s">
        <v>58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5" t="s">
        <v>59</v>
      </c>
      <c r="AI64" s="36"/>
      <c r="AJ64" s="36"/>
      <c r="AK64" s="36"/>
      <c r="AL64" s="36"/>
      <c r="AM64" s="36"/>
      <c r="AN64" s="36"/>
      <c r="AO64" s="36"/>
      <c r="AR64" s="26"/>
    </row>
    <row r="65" spans="2:44">
      <c r="B65" s="17"/>
      <c r="AR65" s="17"/>
    </row>
    <row r="66" spans="2:44">
      <c r="B66" s="17"/>
      <c r="AR66" s="17"/>
    </row>
    <row r="67" spans="2:44">
      <c r="B67" s="17"/>
      <c r="AR67" s="17"/>
    </row>
    <row r="68" spans="2:44">
      <c r="B68" s="17"/>
      <c r="AR68" s="17"/>
    </row>
    <row r="69" spans="2:44">
      <c r="B69" s="17"/>
      <c r="AR69" s="17"/>
    </row>
    <row r="70" spans="2:44">
      <c r="B70" s="17"/>
      <c r="AR70" s="17"/>
    </row>
    <row r="71" spans="2:44">
      <c r="B71" s="17"/>
      <c r="AR71" s="17"/>
    </row>
    <row r="72" spans="2:44">
      <c r="B72" s="17"/>
      <c r="AR72" s="17"/>
    </row>
    <row r="73" spans="2:44">
      <c r="B73" s="17"/>
      <c r="AR73" s="17"/>
    </row>
    <row r="74" spans="2:44">
      <c r="B74" s="17"/>
      <c r="AR74" s="17"/>
    </row>
    <row r="75" spans="2:44" s="1" customFormat="1" ht="13.2">
      <c r="B75" s="26"/>
      <c r="D75" s="37" t="s">
        <v>56</v>
      </c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37" t="s">
        <v>57</v>
      </c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37" t="s">
        <v>56</v>
      </c>
      <c r="AI75" s="28"/>
      <c r="AJ75" s="28"/>
      <c r="AK75" s="28"/>
      <c r="AL75" s="28"/>
      <c r="AM75" s="37" t="s">
        <v>57</v>
      </c>
      <c r="AN75" s="28"/>
      <c r="AO75" s="28"/>
      <c r="AR75" s="26"/>
    </row>
    <row r="76" spans="2:44" s="1" customFormat="1">
      <c r="B76" s="26"/>
      <c r="AR76" s="26"/>
    </row>
    <row r="77" spans="2:44" s="1" customFormat="1" ht="6.9" customHeight="1">
      <c r="B77" s="38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26"/>
    </row>
    <row r="81" spans="1:91" s="1" customFormat="1" ht="6.9" customHeight="1">
      <c r="B81" s="40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26"/>
    </row>
    <row r="82" spans="1:91" s="1" customFormat="1" ht="24.9" customHeight="1">
      <c r="B82" s="26"/>
      <c r="C82" s="18" t="s">
        <v>60</v>
      </c>
      <c r="AR82" s="26"/>
    </row>
    <row r="83" spans="1:91" s="1" customFormat="1" ht="6.9" customHeight="1">
      <c r="B83" s="26"/>
      <c r="AR83" s="26"/>
    </row>
    <row r="84" spans="1:91" s="3" customFormat="1" ht="12" customHeight="1">
      <c r="B84" s="42"/>
      <c r="C84" s="23" t="s">
        <v>12</v>
      </c>
      <c r="L84" s="3" t="str">
        <f>K5</f>
        <v>011-26</v>
      </c>
      <c r="AR84" s="42"/>
    </row>
    <row r="85" spans="1:91" s="4" customFormat="1" ht="36.9" customHeight="1">
      <c r="B85" s="43"/>
      <c r="C85" s="44" t="s">
        <v>14</v>
      </c>
      <c r="L85" s="168" t="str">
        <f>K6</f>
        <v>I/26 Kyšice - Plzeň, Hřbitovní</v>
      </c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R85" s="43"/>
    </row>
    <row r="86" spans="1:91" s="1" customFormat="1" ht="6.9" customHeight="1">
      <c r="B86" s="26"/>
      <c r="AR86" s="26"/>
    </row>
    <row r="87" spans="1:91" s="1" customFormat="1" ht="12" customHeight="1">
      <c r="B87" s="26"/>
      <c r="C87" s="23" t="s">
        <v>20</v>
      </c>
      <c r="L87" s="45" t="str">
        <f>IF(K8="","",K8)</f>
        <v xml:space="preserve"> </v>
      </c>
      <c r="AI87" s="23" t="s">
        <v>22</v>
      </c>
      <c r="AM87" s="170" t="str">
        <f>IF(AN8= "","",AN8)</f>
        <v>20. 1. 2026</v>
      </c>
      <c r="AN87" s="170"/>
      <c r="AR87" s="26"/>
    </row>
    <row r="88" spans="1:91" s="1" customFormat="1" ht="6.9" customHeight="1">
      <c r="B88" s="26"/>
      <c r="AR88" s="26"/>
    </row>
    <row r="89" spans="1:91" s="1" customFormat="1" ht="15.15" customHeight="1">
      <c r="B89" s="26"/>
      <c r="C89" s="23" t="s">
        <v>26</v>
      </c>
      <c r="L89" s="3" t="str">
        <f>IF(E11= "","",E11)</f>
        <v>Ředitelství silnic a dálnic s.p.</v>
      </c>
      <c r="AI89" s="23" t="s">
        <v>33</v>
      </c>
      <c r="AM89" s="171" t="str">
        <f>IF(E17="","",E17)</f>
        <v>Woring s.r.o.</v>
      </c>
      <c r="AN89" s="172"/>
      <c r="AO89" s="172"/>
      <c r="AP89" s="172"/>
      <c r="AR89" s="26"/>
      <c r="AS89" s="173" t="s">
        <v>61</v>
      </c>
      <c r="AT89" s="174"/>
      <c r="AU89" s="47"/>
      <c r="AV89" s="47"/>
      <c r="AW89" s="47"/>
      <c r="AX89" s="47"/>
      <c r="AY89" s="47"/>
      <c r="AZ89" s="47"/>
      <c r="BA89" s="47"/>
      <c r="BB89" s="47"/>
      <c r="BC89" s="47"/>
      <c r="BD89" s="48"/>
    </row>
    <row r="90" spans="1:91" s="1" customFormat="1" ht="15.15" customHeight="1">
      <c r="B90" s="26"/>
      <c r="C90" s="23" t="s">
        <v>32</v>
      </c>
      <c r="L90" s="3" t="str">
        <f>IF(E14="","",E14)</f>
        <v xml:space="preserve"> </v>
      </c>
      <c r="AI90" s="23" t="s">
        <v>37</v>
      </c>
      <c r="AM90" s="171" t="str">
        <f>IF(E20="","",E20)</f>
        <v>Pavel Vachtl</v>
      </c>
      <c r="AN90" s="172"/>
      <c r="AO90" s="172"/>
      <c r="AP90" s="172"/>
      <c r="AR90" s="26"/>
      <c r="AS90" s="175"/>
      <c r="AT90" s="176"/>
      <c r="BD90" s="50"/>
    </row>
    <row r="91" spans="1:91" s="1" customFormat="1" ht="10.95" customHeight="1">
      <c r="B91" s="26"/>
      <c r="AR91" s="26"/>
      <c r="AS91" s="175"/>
      <c r="AT91" s="176"/>
      <c r="BD91" s="50"/>
    </row>
    <row r="92" spans="1:91" s="1" customFormat="1" ht="29.25" customHeight="1">
      <c r="B92" s="26"/>
      <c r="C92" s="177" t="s">
        <v>62</v>
      </c>
      <c r="D92" s="178"/>
      <c r="E92" s="178"/>
      <c r="F92" s="178"/>
      <c r="G92" s="178"/>
      <c r="H92" s="51"/>
      <c r="I92" s="179" t="s">
        <v>63</v>
      </c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81" t="s">
        <v>64</v>
      </c>
      <c r="AH92" s="178"/>
      <c r="AI92" s="178"/>
      <c r="AJ92" s="178"/>
      <c r="AK92" s="178"/>
      <c r="AL92" s="178"/>
      <c r="AM92" s="178"/>
      <c r="AN92" s="179" t="s">
        <v>65</v>
      </c>
      <c r="AO92" s="178"/>
      <c r="AP92" s="180"/>
      <c r="AQ92" s="52" t="s">
        <v>66</v>
      </c>
      <c r="AR92" s="26"/>
      <c r="AS92" s="53" t="s">
        <v>67</v>
      </c>
      <c r="AT92" s="54" t="s">
        <v>68</v>
      </c>
      <c r="AU92" s="54" t="s">
        <v>69</v>
      </c>
      <c r="AV92" s="54" t="s">
        <v>70</v>
      </c>
      <c r="AW92" s="54" t="s">
        <v>71</v>
      </c>
      <c r="AX92" s="54" t="s">
        <v>72</v>
      </c>
      <c r="AY92" s="54" t="s">
        <v>73</v>
      </c>
      <c r="AZ92" s="54" t="s">
        <v>74</v>
      </c>
      <c r="BA92" s="54" t="s">
        <v>75</v>
      </c>
      <c r="BB92" s="54" t="s">
        <v>76</v>
      </c>
      <c r="BC92" s="54" t="s">
        <v>77</v>
      </c>
      <c r="BD92" s="55" t="s">
        <v>78</v>
      </c>
    </row>
    <row r="93" spans="1:91" s="1" customFormat="1" ht="10.95" customHeight="1">
      <c r="B93" s="26"/>
      <c r="AR93" s="26"/>
      <c r="AS93" s="56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8"/>
    </row>
    <row r="94" spans="1:91" s="5" customFormat="1" ht="32.4" customHeight="1">
      <c r="B94" s="57"/>
      <c r="C94" s="58" t="s">
        <v>79</v>
      </c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185" t="e">
        <f>ROUND(SUM(AG95:AG102),2)</f>
        <v>#REF!</v>
      </c>
      <c r="AH94" s="185"/>
      <c r="AI94" s="185"/>
      <c r="AJ94" s="185"/>
      <c r="AK94" s="185"/>
      <c r="AL94" s="185"/>
      <c r="AM94" s="185"/>
      <c r="AN94" s="186" t="e">
        <f t="shared" ref="AN94:AN102" si="0">SUM(AG94,AT94)</f>
        <v>#REF!</v>
      </c>
      <c r="AO94" s="186"/>
      <c r="AP94" s="186"/>
      <c r="AQ94" s="61" t="s">
        <v>1</v>
      </c>
      <c r="AR94" s="57"/>
      <c r="AS94" s="62">
        <f>ROUND(SUM(AS95:AS102),2)</f>
        <v>0</v>
      </c>
      <c r="AT94" s="63" t="e">
        <f t="shared" ref="AT94:AT102" si="1">ROUND(SUM(AV94:AW94),2)</f>
        <v>#REF!</v>
      </c>
      <c r="AU94" s="64" t="e">
        <f>ROUND(SUM(AU95:AU102),5)</f>
        <v>#REF!</v>
      </c>
      <c r="AV94" s="63" t="e">
        <f>ROUND(AZ94*L29,2)</f>
        <v>#REF!</v>
      </c>
      <c r="AW94" s="63" t="e">
        <f>ROUND(BA94*L30,2)</f>
        <v>#REF!</v>
      </c>
      <c r="AX94" s="63" t="e">
        <f>ROUND(BB94*L29,2)</f>
        <v>#REF!</v>
      </c>
      <c r="AY94" s="63" t="e">
        <f>ROUND(BC94*L30,2)</f>
        <v>#REF!</v>
      </c>
      <c r="AZ94" s="63" t="e">
        <f>ROUND(SUM(AZ95:AZ102),2)</f>
        <v>#REF!</v>
      </c>
      <c r="BA94" s="63" t="e">
        <f>ROUND(SUM(BA95:BA102),2)</f>
        <v>#REF!</v>
      </c>
      <c r="BB94" s="63" t="e">
        <f>ROUND(SUM(BB95:BB102),2)</f>
        <v>#REF!</v>
      </c>
      <c r="BC94" s="63" t="e">
        <f>ROUND(SUM(BC95:BC102),2)</f>
        <v>#REF!</v>
      </c>
      <c r="BD94" s="65" t="e">
        <f>ROUND(SUM(BD95:BD102),2)</f>
        <v>#REF!</v>
      </c>
      <c r="BS94" s="66" t="s">
        <v>80</v>
      </c>
      <c r="BT94" s="66" t="s">
        <v>81</v>
      </c>
      <c r="BU94" s="67" t="s">
        <v>82</v>
      </c>
      <c r="BV94" s="66" t="s">
        <v>83</v>
      </c>
      <c r="BW94" s="66" t="s">
        <v>4</v>
      </c>
      <c r="BX94" s="66" t="s">
        <v>84</v>
      </c>
      <c r="CL94" s="66" t="s">
        <v>1</v>
      </c>
    </row>
    <row r="95" spans="1:91" s="6" customFormat="1" ht="16.5" customHeight="1">
      <c r="A95" s="68" t="s">
        <v>85</v>
      </c>
      <c r="B95" s="69"/>
      <c r="C95" s="70"/>
      <c r="D95" s="184" t="s">
        <v>86</v>
      </c>
      <c r="E95" s="184"/>
      <c r="F95" s="184"/>
      <c r="G95" s="184"/>
      <c r="H95" s="184"/>
      <c r="I95" s="71"/>
      <c r="J95" s="184" t="s">
        <v>87</v>
      </c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  <c r="AB95" s="184"/>
      <c r="AC95" s="184"/>
      <c r="AD95" s="184"/>
      <c r="AE95" s="184"/>
      <c r="AF95" s="184"/>
      <c r="AG95" s="182">
        <f>'001 - Vedlejsi a ostatni ...'!J30</f>
        <v>0</v>
      </c>
      <c r="AH95" s="183"/>
      <c r="AI95" s="183"/>
      <c r="AJ95" s="183"/>
      <c r="AK95" s="183"/>
      <c r="AL95" s="183"/>
      <c r="AM95" s="183"/>
      <c r="AN95" s="182">
        <f t="shared" si="0"/>
        <v>0</v>
      </c>
      <c r="AO95" s="183"/>
      <c r="AP95" s="183"/>
      <c r="AQ95" s="72" t="s">
        <v>88</v>
      </c>
      <c r="AR95" s="69"/>
      <c r="AS95" s="73">
        <v>0</v>
      </c>
      <c r="AT95" s="74">
        <f t="shared" si="1"/>
        <v>0</v>
      </c>
      <c r="AU95" s="75">
        <f>'001 - Vedlejsi a ostatni ...'!P118</f>
        <v>0</v>
      </c>
      <c r="AV95" s="74">
        <f>'001 - Vedlejsi a ostatni ...'!J33</f>
        <v>0</v>
      </c>
      <c r="AW95" s="74">
        <f>'001 - Vedlejsi a ostatni ...'!J34</f>
        <v>0</v>
      </c>
      <c r="AX95" s="74">
        <f>'001 - Vedlejsi a ostatni ...'!J35</f>
        <v>0</v>
      </c>
      <c r="AY95" s="74">
        <f>'001 - Vedlejsi a ostatni ...'!J36</f>
        <v>0</v>
      </c>
      <c r="AZ95" s="74">
        <f>'001 - Vedlejsi a ostatni ...'!F33</f>
        <v>0</v>
      </c>
      <c r="BA95" s="74">
        <f>'001 - Vedlejsi a ostatni ...'!F34</f>
        <v>0</v>
      </c>
      <c r="BB95" s="74">
        <f>'001 - Vedlejsi a ostatni ...'!F35</f>
        <v>0</v>
      </c>
      <c r="BC95" s="74">
        <f>'001 - Vedlejsi a ostatni ...'!F36</f>
        <v>0</v>
      </c>
      <c r="BD95" s="76">
        <f>'001 - Vedlejsi a ostatni ...'!F37</f>
        <v>0</v>
      </c>
      <c r="BT95" s="77" t="s">
        <v>19</v>
      </c>
      <c r="BV95" s="77" t="s">
        <v>83</v>
      </c>
      <c r="BW95" s="77" t="s">
        <v>89</v>
      </c>
      <c r="BX95" s="77" t="s">
        <v>4</v>
      </c>
      <c r="CL95" s="77" t="s">
        <v>1</v>
      </c>
      <c r="CM95" s="77" t="s">
        <v>90</v>
      </c>
    </row>
    <row r="96" spans="1:91" s="6" customFormat="1" ht="16.5" customHeight="1">
      <c r="A96" s="68" t="s">
        <v>85</v>
      </c>
      <c r="B96" s="69"/>
      <c r="C96" s="70"/>
      <c r="D96" s="184" t="s">
        <v>91</v>
      </c>
      <c r="E96" s="184"/>
      <c r="F96" s="184"/>
      <c r="G96" s="184"/>
      <c r="H96" s="184"/>
      <c r="I96" s="71"/>
      <c r="J96" s="184" t="s">
        <v>92</v>
      </c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  <c r="AB96" s="184"/>
      <c r="AC96" s="184"/>
      <c r="AD96" s="184"/>
      <c r="AE96" s="184"/>
      <c r="AF96" s="184"/>
      <c r="AG96" s="182">
        <f>'101 - Oprava vozovky (km ...'!J30</f>
        <v>0</v>
      </c>
      <c r="AH96" s="183"/>
      <c r="AI96" s="183"/>
      <c r="AJ96" s="183"/>
      <c r="AK96" s="183"/>
      <c r="AL96" s="183"/>
      <c r="AM96" s="183"/>
      <c r="AN96" s="182">
        <f t="shared" si="0"/>
        <v>0</v>
      </c>
      <c r="AO96" s="183"/>
      <c r="AP96" s="183"/>
      <c r="AQ96" s="72" t="s">
        <v>88</v>
      </c>
      <c r="AR96" s="69"/>
      <c r="AS96" s="73">
        <v>0</v>
      </c>
      <c r="AT96" s="74">
        <f t="shared" si="1"/>
        <v>0</v>
      </c>
      <c r="AU96" s="75">
        <f>'101 - Oprava vozovky (km ...'!P125</f>
        <v>0</v>
      </c>
      <c r="AV96" s="74">
        <f>'101 - Oprava vozovky (km ...'!J33</f>
        <v>0</v>
      </c>
      <c r="AW96" s="74">
        <f>'101 - Oprava vozovky (km ...'!J34</f>
        <v>0</v>
      </c>
      <c r="AX96" s="74">
        <f>'101 - Oprava vozovky (km ...'!J35</f>
        <v>0</v>
      </c>
      <c r="AY96" s="74">
        <f>'101 - Oprava vozovky (km ...'!J36</f>
        <v>0</v>
      </c>
      <c r="AZ96" s="74">
        <f>'101 - Oprava vozovky (km ...'!F33</f>
        <v>0</v>
      </c>
      <c r="BA96" s="74">
        <f>'101 - Oprava vozovky (km ...'!F34</f>
        <v>0</v>
      </c>
      <c r="BB96" s="74">
        <f>'101 - Oprava vozovky (km ...'!F35</f>
        <v>0</v>
      </c>
      <c r="BC96" s="74">
        <f>'101 - Oprava vozovky (km ...'!F36</f>
        <v>0</v>
      </c>
      <c r="BD96" s="76">
        <f>'101 - Oprava vozovky (km ...'!F37</f>
        <v>0</v>
      </c>
      <c r="BT96" s="77" t="s">
        <v>19</v>
      </c>
      <c r="BV96" s="77" t="s">
        <v>83</v>
      </c>
      <c r="BW96" s="77" t="s">
        <v>93</v>
      </c>
      <c r="BX96" s="77" t="s">
        <v>4</v>
      </c>
      <c r="CL96" s="77" t="s">
        <v>1</v>
      </c>
      <c r="CM96" s="77" t="s">
        <v>90</v>
      </c>
    </row>
    <row r="97" spans="1:91" s="6" customFormat="1" ht="16.5" customHeight="1">
      <c r="A97" s="68" t="s">
        <v>85</v>
      </c>
      <c r="B97" s="69"/>
      <c r="C97" s="70"/>
      <c r="D97" s="184" t="s">
        <v>94</v>
      </c>
      <c r="E97" s="184"/>
      <c r="F97" s="184"/>
      <c r="G97" s="184"/>
      <c r="H97" s="184"/>
      <c r="I97" s="71"/>
      <c r="J97" s="184" t="s">
        <v>95</v>
      </c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  <c r="AB97" s="184"/>
      <c r="AC97" s="184"/>
      <c r="AD97" s="184"/>
      <c r="AE97" s="184"/>
      <c r="AF97" s="184"/>
      <c r="AG97" s="182">
        <f>'102 - Oprava vozovky (km ...'!J30</f>
        <v>0</v>
      </c>
      <c r="AH97" s="183"/>
      <c r="AI97" s="183"/>
      <c r="AJ97" s="183"/>
      <c r="AK97" s="183"/>
      <c r="AL97" s="183"/>
      <c r="AM97" s="183"/>
      <c r="AN97" s="182">
        <f t="shared" si="0"/>
        <v>0</v>
      </c>
      <c r="AO97" s="183"/>
      <c r="AP97" s="183"/>
      <c r="AQ97" s="72" t="s">
        <v>88</v>
      </c>
      <c r="AR97" s="69"/>
      <c r="AS97" s="73">
        <v>0</v>
      </c>
      <c r="AT97" s="74">
        <f t="shared" si="1"/>
        <v>0</v>
      </c>
      <c r="AU97" s="75">
        <f>'102 - Oprava vozovky (km ...'!P124</f>
        <v>0</v>
      </c>
      <c r="AV97" s="74">
        <f>'102 - Oprava vozovky (km ...'!J33</f>
        <v>0</v>
      </c>
      <c r="AW97" s="74">
        <f>'102 - Oprava vozovky (km ...'!J34</f>
        <v>0</v>
      </c>
      <c r="AX97" s="74">
        <f>'102 - Oprava vozovky (km ...'!J35</f>
        <v>0</v>
      </c>
      <c r="AY97" s="74">
        <f>'102 - Oprava vozovky (km ...'!J36</f>
        <v>0</v>
      </c>
      <c r="AZ97" s="74">
        <f>'102 - Oprava vozovky (km ...'!F33</f>
        <v>0</v>
      </c>
      <c r="BA97" s="74">
        <f>'102 - Oprava vozovky (km ...'!F34</f>
        <v>0</v>
      </c>
      <c r="BB97" s="74">
        <f>'102 - Oprava vozovky (km ...'!F35</f>
        <v>0</v>
      </c>
      <c r="BC97" s="74">
        <f>'102 - Oprava vozovky (km ...'!F36</f>
        <v>0</v>
      </c>
      <c r="BD97" s="76">
        <f>'102 - Oprava vozovky (km ...'!F37</f>
        <v>0</v>
      </c>
      <c r="BT97" s="77" t="s">
        <v>19</v>
      </c>
      <c r="BV97" s="77" t="s">
        <v>83</v>
      </c>
      <c r="BW97" s="77" t="s">
        <v>96</v>
      </c>
      <c r="BX97" s="77" t="s">
        <v>4</v>
      </c>
      <c r="CL97" s="77" t="s">
        <v>1</v>
      </c>
      <c r="CM97" s="77" t="s">
        <v>90</v>
      </c>
    </row>
    <row r="98" spans="1:91" s="6" customFormat="1" ht="16.5" customHeight="1">
      <c r="A98" s="68" t="s">
        <v>85</v>
      </c>
      <c r="B98" s="69"/>
      <c r="C98" s="70"/>
      <c r="D98" s="184" t="s">
        <v>97</v>
      </c>
      <c r="E98" s="184"/>
      <c r="F98" s="184"/>
      <c r="G98" s="184"/>
      <c r="H98" s="184"/>
      <c r="I98" s="71"/>
      <c r="J98" s="184" t="s">
        <v>98</v>
      </c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  <c r="AB98" s="184"/>
      <c r="AC98" s="184"/>
      <c r="AD98" s="184"/>
      <c r="AE98" s="184"/>
      <c r="AF98" s="184"/>
      <c r="AG98" s="182">
        <f>'181 - Přechodné dopravní ...'!J30</f>
        <v>0</v>
      </c>
      <c r="AH98" s="183"/>
      <c r="AI98" s="183"/>
      <c r="AJ98" s="183"/>
      <c r="AK98" s="183"/>
      <c r="AL98" s="183"/>
      <c r="AM98" s="183"/>
      <c r="AN98" s="182">
        <f t="shared" si="0"/>
        <v>0</v>
      </c>
      <c r="AO98" s="183"/>
      <c r="AP98" s="183"/>
      <c r="AQ98" s="72" t="s">
        <v>88</v>
      </c>
      <c r="AR98" s="69"/>
      <c r="AS98" s="73">
        <v>0</v>
      </c>
      <c r="AT98" s="74">
        <f t="shared" si="1"/>
        <v>0</v>
      </c>
      <c r="AU98" s="75">
        <f>'181 - Přechodné dopravní ...'!P119</f>
        <v>0</v>
      </c>
      <c r="AV98" s="74">
        <f>'181 - Přechodné dopravní ...'!J33</f>
        <v>0</v>
      </c>
      <c r="AW98" s="74">
        <f>'181 - Přechodné dopravní ...'!J34</f>
        <v>0</v>
      </c>
      <c r="AX98" s="74">
        <f>'181 - Přechodné dopravní ...'!J35</f>
        <v>0</v>
      </c>
      <c r="AY98" s="74">
        <f>'181 - Přechodné dopravní ...'!J36</f>
        <v>0</v>
      </c>
      <c r="AZ98" s="74">
        <f>'181 - Přechodné dopravní ...'!F33</f>
        <v>0</v>
      </c>
      <c r="BA98" s="74">
        <f>'181 - Přechodné dopravní ...'!F34</f>
        <v>0</v>
      </c>
      <c r="BB98" s="74">
        <f>'181 - Přechodné dopravní ...'!F35</f>
        <v>0</v>
      </c>
      <c r="BC98" s="74">
        <f>'181 - Přechodné dopravní ...'!F36</f>
        <v>0</v>
      </c>
      <c r="BD98" s="76">
        <f>'181 - Přechodné dopravní ...'!F37</f>
        <v>0</v>
      </c>
      <c r="BT98" s="77" t="s">
        <v>19</v>
      </c>
      <c r="BV98" s="77" t="s">
        <v>83</v>
      </c>
      <c r="BW98" s="77" t="s">
        <v>99</v>
      </c>
      <c r="BX98" s="77" t="s">
        <v>4</v>
      </c>
      <c r="CL98" s="77" t="s">
        <v>1</v>
      </c>
      <c r="CM98" s="77" t="s">
        <v>90</v>
      </c>
    </row>
    <row r="99" spans="1:91" s="6" customFormat="1" ht="16.5" customHeight="1">
      <c r="A99" s="68" t="s">
        <v>85</v>
      </c>
      <c r="B99" s="69"/>
      <c r="C99" s="70"/>
      <c r="D99" s="184" t="s">
        <v>100</v>
      </c>
      <c r="E99" s="184"/>
      <c r="F99" s="184"/>
      <c r="G99" s="184"/>
      <c r="H99" s="184"/>
      <c r="I99" s="71"/>
      <c r="J99" s="184" t="s">
        <v>101</v>
      </c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  <c r="AB99" s="184"/>
      <c r="AC99" s="184"/>
      <c r="AD99" s="184"/>
      <c r="AE99" s="184"/>
      <c r="AF99" s="184"/>
      <c r="AG99" s="182">
        <f>'191 - Dopravní značení'!J30</f>
        <v>0</v>
      </c>
      <c r="AH99" s="183"/>
      <c r="AI99" s="183"/>
      <c r="AJ99" s="183"/>
      <c r="AK99" s="183"/>
      <c r="AL99" s="183"/>
      <c r="AM99" s="183"/>
      <c r="AN99" s="182">
        <f t="shared" si="0"/>
        <v>0</v>
      </c>
      <c r="AO99" s="183"/>
      <c r="AP99" s="183"/>
      <c r="AQ99" s="72" t="s">
        <v>88</v>
      </c>
      <c r="AR99" s="69"/>
      <c r="AS99" s="73">
        <v>0</v>
      </c>
      <c r="AT99" s="74">
        <f t="shared" si="1"/>
        <v>0</v>
      </c>
      <c r="AU99" s="75">
        <f>'191 - Dopravní značení'!P119</f>
        <v>0</v>
      </c>
      <c r="AV99" s="74">
        <f>'191 - Dopravní značení'!J33</f>
        <v>0</v>
      </c>
      <c r="AW99" s="74">
        <f>'191 - Dopravní značení'!J34</f>
        <v>0</v>
      </c>
      <c r="AX99" s="74">
        <f>'191 - Dopravní značení'!J35</f>
        <v>0</v>
      </c>
      <c r="AY99" s="74">
        <f>'191 - Dopravní značení'!J36</f>
        <v>0</v>
      </c>
      <c r="AZ99" s="74">
        <f>'191 - Dopravní značení'!F33</f>
        <v>0</v>
      </c>
      <c r="BA99" s="74">
        <f>'191 - Dopravní značení'!F34</f>
        <v>0</v>
      </c>
      <c r="BB99" s="74">
        <f>'191 - Dopravní značení'!F35</f>
        <v>0</v>
      </c>
      <c r="BC99" s="74">
        <f>'191 - Dopravní značení'!F36</f>
        <v>0</v>
      </c>
      <c r="BD99" s="76">
        <f>'191 - Dopravní značení'!F37</f>
        <v>0</v>
      </c>
      <c r="BT99" s="77" t="s">
        <v>19</v>
      </c>
      <c r="BV99" s="77" t="s">
        <v>83</v>
      </c>
      <c r="BW99" s="77" t="s">
        <v>102</v>
      </c>
      <c r="BX99" s="77" t="s">
        <v>4</v>
      </c>
      <c r="CL99" s="77" t="s">
        <v>1</v>
      </c>
      <c r="CM99" s="77" t="s">
        <v>90</v>
      </c>
    </row>
    <row r="100" spans="1:91" s="6" customFormat="1" ht="16.5" customHeight="1">
      <c r="A100" s="68" t="s">
        <v>85</v>
      </c>
      <c r="B100" s="69"/>
      <c r="C100" s="70"/>
      <c r="D100" s="184" t="s">
        <v>103</v>
      </c>
      <c r="E100" s="184"/>
      <c r="F100" s="184"/>
      <c r="G100" s="184"/>
      <c r="H100" s="184"/>
      <c r="I100" s="71"/>
      <c r="J100" s="184" t="s">
        <v>104</v>
      </c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  <c r="AF100" s="184"/>
      <c r="AG100" s="182" t="e">
        <f>'201-003 - Most ev.č. 206-003'!#REF!</f>
        <v>#REF!</v>
      </c>
      <c r="AH100" s="183"/>
      <c r="AI100" s="183"/>
      <c r="AJ100" s="183"/>
      <c r="AK100" s="183"/>
      <c r="AL100" s="183"/>
      <c r="AM100" s="183"/>
      <c r="AN100" s="182" t="e">
        <f t="shared" si="0"/>
        <v>#REF!</v>
      </c>
      <c r="AO100" s="183"/>
      <c r="AP100" s="183"/>
      <c r="AQ100" s="72" t="s">
        <v>88</v>
      </c>
      <c r="AR100" s="69"/>
      <c r="AS100" s="73">
        <v>0</v>
      </c>
      <c r="AT100" s="74" t="e">
        <f t="shared" si="1"/>
        <v>#REF!</v>
      </c>
      <c r="AU100" s="75" t="e">
        <f>'201-003 - Most ev.č. 206-003'!P17</f>
        <v>#REF!</v>
      </c>
      <c r="AV100" s="74" t="e">
        <f>'201-003 - Most ev.č. 206-003'!#REF!</f>
        <v>#REF!</v>
      </c>
      <c r="AW100" s="74" t="e">
        <f>'201-003 - Most ev.č. 206-003'!#REF!</f>
        <v>#REF!</v>
      </c>
      <c r="AX100" s="74" t="e">
        <f>'201-003 - Most ev.č. 206-003'!#REF!</f>
        <v>#REF!</v>
      </c>
      <c r="AY100" s="74" t="e">
        <f>'201-003 - Most ev.č. 206-003'!#REF!</f>
        <v>#REF!</v>
      </c>
      <c r="AZ100" s="74" t="e">
        <f>'201-003 - Most ev.č. 206-003'!#REF!</f>
        <v>#REF!</v>
      </c>
      <c r="BA100" s="74" t="e">
        <f>'201-003 - Most ev.č. 206-003'!#REF!</f>
        <v>#REF!</v>
      </c>
      <c r="BB100" s="74" t="e">
        <f>'201-003 - Most ev.č. 206-003'!#REF!</f>
        <v>#REF!</v>
      </c>
      <c r="BC100" s="74" t="e">
        <f>'201-003 - Most ev.č. 206-003'!#REF!</f>
        <v>#REF!</v>
      </c>
      <c r="BD100" s="76" t="e">
        <f>'201-003 - Most ev.č. 206-003'!#REF!</f>
        <v>#REF!</v>
      </c>
      <c r="BT100" s="77" t="s">
        <v>19</v>
      </c>
      <c r="BV100" s="77" t="s">
        <v>83</v>
      </c>
      <c r="BW100" s="77" t="s">
        <v>105</v>
      </c>
      <c r="BX100" s="77" t="s">
        <v>4</v>
      </c>
      <c r="CL100" s="77" t="s">
        <v>1</v>
      </c>
      <c r="CM100" s="77" t="s">
        <v>90</v>
      </c>
    </row>
    <row r="101" spans="1:91" s="6" customFormat="1" ht="16.5" customHeight="1">
      <c r="A101" s="68" t="s">
        <v>85</v>
      </c>
      <c r="B101" s="69"/>
      <c r="C101" s="70"/>
      <c r="D101" s="184" t="s">
        <v>106</v>
      </c>
      <c r="E101" s="184"/>
      <c r="F101" s="184"/>
      <c r="G101" s="184"/>
      <c r="H101" s="184"/>
      <c r="I101" s="71"/>
      <c r="J101" s="184" t="s">
        <v>107</v>
      </c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  <c r="AB101" s="184"/>
      <c r="AC101" s="184"/>
      <c r="AD101" s="184"/>
      <c r="AE101" s="184"/>
      <c r="AF101" s="184"/>
      <c r="AG101" s="182" t="e">
        <f>'201-004 - Mosty ev. č. 26...'!#REF!</f>
        <v>#REF!</v>
      </c>
      <c r="AH101" s="183"/>
      <c r="AI101" s="183"/>
      <c r="AJ101" s="183"/>
      <c r="AK101" s="183"/>
      <c r="AL101" s="183"/>
      <c r="AM101" s="183"/>
      <c r="AN101" s="182" t="e">
        <f t="shared" si="0"/>
        <v>#REF!</v>
      </c>
      <c r="AO101" s="183"/>
      <c r="AP101" s="183"/>
      <c r="AQ101" s="72" t="s">
        <v>88</v>
      </c>
      <c r="AR101" s="69"/>
      <c r="AS101" s="73">
        <v>0</v>
      </c>
      <c r="AT101" s="74" t="e">
        <f t="shared" si="1"/>
        <v>#REF!</v>
      </c>
      <c r="AU101" s="75" t="e">
        <f>'201-004 - Mosty ev. č. 26...'!P17</f>
        <v>#REF!</v>
      </c>
      <c r="AV101" s="74" t="e">
        <f>'201-004 - Mosty ev. č. 26...'!#REF!</f>
        <v>#REF!</v>
      </c>
      <c r="AW101" s="74" t="e">
        <f>'201-004 - Mosty ev. č. 26...'!#REF!</f>
        <v>#REF!</v>
      </c>
      <c r="AX101" s="74" t="e">
        <f>'201-004 - Mosty ev. č. 26...'!#REF!</f>
        <v>#REF!</v>
      </c>
      <c r="AY101" s="74" t="e">
        <f>'201-004 - Mosty ev. č. 26...'!#REF!</f>
        <v>#REF!</v>
      </c>
      <c r="AZ101" s="74" t="e">
        <f>'201-004 - Mosty ev. č. 26...'!#REF!</f>
        <v>#REF!</v>
      </c>
      <c r="BA101" s="74" t="e">
        <f>'201-004 - Mosty ev. č. 26...'!#REF!</f>
        <v>#REF!</v>
      </c>
      <c r="BB101" s="74" t="e">
        <f>'201-004 - Mosty ev. č. 26...'!#REF!</f>
        <v>#REF!</v>
      </c>
      <c r="BC101" s="74" t="e">
        <f>'201-004 - Mosty ev. č. 26...'!#REF!</f>
        <v>#REF!</v>
      </c>
      <c r="BD101" s="76" t="e">
        <f>'201-004 - Mosty ev. č. 26...'!#REF!</f>
        <v>#REF!</v>
      </c>
      <c r="BT101" s="77" t="s">
        <v>19</v>
      </c>
      <c r="BV101" s="77" t="s">
        <v>83</v>
      </c>
      <c r="BW101" s="77" t="s">
        <v>108</v>
      </c>
      <c r="BX101" s="77" t="s">
        <v>4</v>
      </c>
      <c r="CL101" s="77" t="s">
        <v>1</v>
      </c>
      <c r="CM101" s="77" t="s">
        <v>90</v>
      </c>
    </row>
    <row r="102" spans="1:91" s="6" customFormat="1" ht="16.5" customHeight="1">
      <c r="A102" s="68" t="s">
        <v>85</v>
      </c>
      <c r="B102" s="69"/>
      <c r="C102" s="70"/>
      <c r="D102" s="184" t="s">
        <v>109</v>
      </c>
      <c r="E102" s="184"/>
      <c r="F102" s="184"/>
      <c r="G102" s="184"/>
      <c r="H102" s="184"/>
      <c r="I102" s="71"/>
      <c r="J102" s="184" t="s">
        <v>110</v>
      </c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  <c r="AB102" s="184"/>
      <c r="AC102" s="184"/>
      <c r="AD102" s="184"/>
      <c r="AE102" s="184"/>
      <c r="AF102" s="184"/>
      <c r="AG102" s="182">
        <f>'441 - Přeložka a ochrana ...'!J30</f>
        <v>0</v>
      </c>
      <c r="AH102" s="183"/>
      <c r="AI102" s="183"/>
      <c r="AJ102" s="183"/>
      <c r="AK102" s="183"/>
      <c r="AL102" s="183"/>
      <c r="AM102" s="183"/>
      <c r="AN102" s="182">
        <f t="shared" si="0"/>
        <v>0</v>
      </c>
      <c r="AO102" s="183"/>
      <c r="AP102" s="183"/>
      <c r="AQ102" s="72" t="s">
        <v>88</v>
      </c>
      <c r="AR102" s="69"/>
      <c r="AS102" s="78">
        <v>0</v>
      </c>
      <c r="AT102" s="79">
        <f t="shared" si="1"/>
        <v>0</v>
      </c>
      <c r="AU102" s="80">
        <f>'441 - Přeložka a ochrana ...'!P117</f>
        <v>0</v>
      </c>
      <c r="AV102" s="79">
        <f>'441 - Přeložka a ochrana ...'!J33</f>
        <v>0</v>
      </c>
      <c r="AW102" s="79">
        <f>'441 - Přeložka a ochrana ...'!J34</f>
        <v>0</v>
      </c>
      <c r="AX102" s="79">
        <f>'441 - Přeložka a ochrana ...'!J35</f>
        <v>0</v>
      </c>
      <c r="AY102" s="79">
        <f>'441 - Přeložka a ochrana ...'!J36</f>
        <v>0</v>
      </c>
      <c r="AZ102" s="79">
        <f>'441 - Přeložka a ochrana ...'!F33</f>
        <v>0</v>
      </c>
      <c r="BA102" s="79">
        <f>'441 - Přeložka a ochrana ...'!F34</f>
        <v>0</v>
      </c>
      <c r="BB102" s="79">
        <f>'441 - Přeložka a ochrana ...'!F35</f>
        <v>0</v>
      </c>
      <c r="BC102" s="79">
        <f>'441 - Přeložka a ochrana ...'!F36</f>
        <v>0</v>
      </c>
      <c r="BD102" s="81">
        <f>'441 - Přeložka a ochrana ...'!F37</f>
        <v>0</v>
      </c>
      <c r="BT102" s="77" t="s">
        <v>19</v>
      </c>
      <c r="BV102" s="77" t="s">
        <v>83</v>
      </c>
      <c r="BW102" s="77" t="s">
        <v>111</v>
      </c>
      <c r="BX102" s="77" t="s">
        <v>4</v>
      </c>
      <c r="CL102" s="77" t="s">
        <v>1</v>
      </c>
      <c r="CM102" s="77" t="s">
        <v>90</v>
      </c>
    </row>
    <row r="103" spans="1:91" s="1" customFormat="1" ht="30" customHeight="1">
      <c r="B103" s="26"/>
      <c r="AR103" s="26"/>
    </row>
    <row r="104" spans="1:91" s="1" customFormat="1" ht="6.9" customHeight="1">
      <c r="B104" s="38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26"/>
    </row>
  </sheetData>
  <mergeCells count="68">
    <mergeCell ref="AR2:BE2"/>
    <mergeCell ref="L33:P33"/>
    <mergeCell ref="W33:AE33"/>
    <mergeCell ref="AK33:AO33"/>
    <mergeCell ref="AK35:AO35"/>
    <mergeCell ref="X35:AB35"/>
    <mergeCell ref="W31:AE31"/>
    <mergeCell ref="AK31:AO31"/>
    <mergeCell ref="L31:P31"/>
    <mergeCell ref="L32:P32"/>
    <mergeCell ref="W32:AE32"/>
    <mergeCell ref="AK32:AO32"/>
    <mergeCell ref="L29:P29"/>
    <mergeCell ref="W29:AE29"/>
    <mergeCell ref="AK29:AO29"/>
    <mergeCell ref="AK30:AO30"/>
    <mergeCell ref="L30:P30"/>
    <mergeCell ref="W30:AE30"/>
    <mergeCell ref="K5:AJ5"/>
    <mergeCell ref="K6:AJ6"/>
    <mergeCell ref="E23:AN23"/>
    <mergeCell ref="AK26:AO26"/>
    <mergeCell ref="L28:P28"/>
    <mergeCell ref="W28:AE28"/>
    <mergeCell ref="AK28:AO28"/>
    <mergeCell ref="AN102:AP102"/>
    <mergeCell ref="AG102:AM102"/>
    <mergeCell ref="D102:H102"/>
    <mergeCell ref="J102:AF102"/>
    <mergeCell ref="AG94:AM94"/>
    <mergeCell ref="AN94:AP94"/>
    <mergeCell ref="AN100:AP100"/>
    <mergeCell ref="AG100:AM100"/>
    <mergeCell ref="D100:H100"/>
    <mergeCell ref="J100:AF100"/>
    <mergeCell ref="AN101:AP101"/>
    <mergeCell ref="AG101:AM101"/>
    <mergeCell ref="D101:H101"/>
    <mergeCell ref="J101:AF101"/>
    <mergeCell ref="AN98:AP98"/>
    <mergeCell ref="AG98:AM98"/>
    <mergeCell ref="J98:AF98"/>
    <mergeCell ref="D98:H98"/>
    <mergeCell ref="AN99:AP99"/>
    <mergeCell ref="AG99:AM99"/>
    <mergeCell ref="D99:H99"/>
    <mergeCell ref="J99:AF99"/>
    <mergeCell ref="J96:AF96"/>
    <mergeCell ref="D96:H96"/>
    <mergeCell ref="AN96:AP96"/>
    <mergeCell ref="AG96:AM96"/>
    <mergeCell ref="J97:AF97"/>
    <mergeCell ref="AG97:AM97"/>
    <mergeCell ref="D97:H97"/>
    <mergeCell ref="AN97:AP97"/>
    <mergeCell ref="C92:G92"/>
    <mergeCell ref="AN92:AP92"/>
    <mergeCell ref="AG92:AM92"/>
    <mergeCell ref="I92:AF92"/>
    <mergeCell ref="AN95:AP95"/>
    <mergeCell ref="D95:H95"/>
    <mergeCell ref="AG95:AM95"/>
    <mergeCell ref="J95:AF95"/>
    <mergeCell ref="L85:AJ85"/>
    <mergeCell ref="AM87:AN87"/>
    <mergeCell ref="AM89:AP89"/>
    <mergeCell ref="AS89:AT91"/>
    <mergeCell ref="AM90:AP90"/>
  </mergeCells>
  <hyperlinks>
    <hyperlink ref="A95" location="'001 - Vedlejsi a ostatni ...'!C2" display="/" xr:uid="{00000000-0004-0000-0000-000000000000}"/>
    <hyperlink ref="A96" location="'101 - Oprava vozovky (km ...'!C2" display="/" xr:uid="{00000000-0004-0000-0000-000001000000}"/>
    <hyperlink ref="A97" location="'102 - Oprava vozovky (km ...'!C2" display="/" xr:uid="{00000000-0004-0000-0000-000002000000}"/>
    <hyperlink ref="A98" location="'181 - Přechodné dopravní ...'!C2" display="/" xr:uid="{00000000-0004-0000-0000-000003000000}"/>
    <hyperlink ref="A99" location="'191 - Dopravní značení'!C2" display="/" xr:uid="{00000000-0004-0000-0000-000004000000}"/>
    <hyperlink ref="A100" location="'201-003 - Most ev.č. 206-003'!C2" display="/" xr:uid="{00000000-0004-0000-0000-000005000000}"/>
    <hyperlink ref="A101" location="'201-004 - Mosty ev. č. 26...'!C2" display="/" xr:uid="{00000000-0004-0000-0000-000006000000}"/>
    <hyperlink ref="A102" location="'441 - Přeložka a ochrana ...'!C2" display="/" xr:uid="{00000000-0004-0000-0000-000007000000}"/>
  </hyperlink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BM156"/>
  <sheetViews>
    <sheetView showGridLines="0" workbookViewId="0"/>
  </sheetViews>
  <sheetFormatPr defaultRowHeight="10.199999999999999"/>
  <cols>
    <col min="1" max="1" width="8.28515625" customWidth="1"/>
    <col min="2" max="2" width="1.140625" customWidth="1"/>
    <col min="3" max="3" width="4.140625" customWidth="1"/>
    <col min="4" max="4" width="4.28515625" customWidth="1"/>
    <col min="5" max="5" width="17.140625" customWidth="1"/>
    <col min="6" max="6" width="50.85546875" customWidth="1"/>
    <col min="7" max="7" width="7.42578125" customWidth="1"/>
    <col min="8" max="8" width="14" customWidth="1"/>
    <col min="9" max="9" width="15.85546875" customWidth="1"/>
    <col min="10" max="11" width="22.28515625" customWidth="1"/>
    <col min="12" max="12" width="9.28515625" customWidth="1"/>
    <col min="13" max="13" width="10.85546875" hidden="1" customWidth="1"/>
    <col min="14" max="14" width="9.28515625" hidden="1"/>
    <col min="15" max="20" width="14.140625" hidden="1" customWidth="1"/>
    <col min="21" max="21" width="16.28515625" hidden="1" customWidth="1"/>
    <col min="22" max="22" width="12.28515625" customWidth="1"/>
    <col min="23" max="23" width="16.28515625" customWidth="1"/>
    <col min="24" max="24" width="12.28515625" customWidth="1"/>
    <col min="25" max="25" width="15" customWidth="1"/>
    <col min="26" max="26" width="11" customWidth="1"/>
    <col min="27" max="27" width="15" customWidth="1"/>
    <col min="28" max="28" width="16.28515625" customWidth="1"/>
    <col min="29" max="29" width="11" customWidth="1"/>
    <col min="30" max="30" width="15" customWidth="1"/>
    <col min="31" max="31" width="16.28515625" customWidth="1"/>
    <col min="44" max="65" width="9.28515625" hidden="1"/>
  </cols>
  <sheetData>
    <row r="2" spans="2:46" ht="36.9" customHeight="1">
      <c r="L2" s="197" t="s">
        <v>5</v>
      </c>
      <c r="M2" s="191"/>
      <c r="N2" s="191"/>
      <c r="O2" s="191"/>
      <c r="P2" s="191"/>
      <c r="Q2" s="191"/>
      <c r="R2" s="191"/>
      <c r="S2" s="191"/>
      <c r="T2" s="191"/>
      <c r="U2" s="191"/>
      <c r="V2" s="191"/>
      <c r="AT2" s="14" t="s">
        <v>89</v>
      </c>
    </row>
    <row r="3" spans="2:46" ht="6.9" hidden="1" customHeight="1">
      <c r="B3" s="15"/>
      <c r="C3" s="16"/>
      <c r="D3" s="16"/>
      <c r="E3" s="16"/>
      <c r="F3" s="16"/>
      <c r="G3" s="16"/>
      <c r="H3" s="16"/>
      <c r="I3" s="16"/>
      <c r="J3" s="16"/>
      <c r="K3" s="16"/>
      <c r="L3" s="17"/>
      <c r="AT3" s="14" t="s">
        <v>90</v>
      </c>
    </row>
    <row r="4" spans="2:46" ht="24.9" hidden="1" customHeight="1">
      <c r="B4" s="17"/>
      <c r="D4" s="18" t="s">
        <v>112</v>
      </c>
      <c r="L4" s="17"/>
      <c r="M4" s="82" t="s">
        <v>10</v>
      </c>
      <c r="AT4" s="14" t="s">
        <v>3</v>
      </c>
    </row>
    <row r="5" spans="2:46" ht="6.9" hidden="1" customHeight="1">
      <c r="B5" s="17"/>
      <c r="L5" s="17"/>
    </row>
    <row r="6" spans="2:46" ht="12" hidden="1" customHeight="1">
      <c r="B6" s="17"/>
      <c r="D6" s="23" t="s">
        <v>14</v>
      </c>
      <c r="L6" s="17"/>
    </row>
    <row r="7" spans="2:46" ht="16.5" hidden="1" customHeight="1">
      <c r="B7" s="17"/>
      <c r="E7" s="203" t="str">
        <f>'Rekapitulace stavby'!K6</f>
        <v>I/26 Kyšice - Plzeň, Hřbitovní</v>
      </c>
      <c r="F7" s="204"/>
      <c r="G7" s="204"/>
      <c r="H7" s="204"/>
      <c r="L7" s="17"/>
    </row>
    <row r="8" spans="2:46" s="1" customFormat="1" ht="12" hidden="1" customHeight="1">
      <c r="B8" s="26"/>
      <c r="D8" s="23" t="s">
        <v>113</v>
      </c>
      <c r="L8" s="26"/>
    </row>
    <row r="9" spans="2:46" s="1" customFormat="1" ht="16.5" hidden="1" customHeight="1">
      <c r="B9" s="26"/>
      <c r="E9" s="168" t="s">
        <v>114</v>
      </c>
      <c r="F9" s="202"/>
      <c r="G9" s="202"/>
      <c r="H9" s="202"/>
      <c r="L9" s="26"/>
    </row>
    <row r="10" spans="2:46" s="1" customFormat="1" hidden="1">
      <c r="B10" s="26"/>
      <c r="L10" s="26"/>
    </row>
    <row r="11" spans="2:46" s="1" customFormat="1" ht="12" hidden="1" customHeight="1">
      <c r="B11" s="26"/>
      <c r="D11" s="23" t="s">
        <v>17</v>
      </c>
      <c r="F11" s="21" t="s">
        <v>1</v>
      </c>
      <c r="I11" s="23" t="s">
        <v>18</v>
      </c>
      <c r="J11" s="21" t="s">
        <v>1</v>
      </c>
      <c r="L11" s="26"/>
    </row>
    <row r="12" spans="2:46" s="1" customFormat="1" ht="12" hidden="1" customHeight="1">
      <c r="B12" s="26"/>
      <c r="D12" s="23" t="s">
        <v>20</v>
      </c>
      <c r="F12" s="21" t="s">
        <v>21</v>
      </c>
      <c r="I12" s="23" t="s">
        <v>22</v>
      </c>
      <c r="J12" s="46" t="str">
        <f>'Rekapitulace stavby'!AN8</f>
        <v>20. 1. 2026</v>
      </c>
      <c r="L12" s="26"/>
    </row>
    <row r="13" spans="2:46" s="1" customFormat="1" ht="10.95" hidden="1" customHeight="1">
      <c r="B13" s="26"/>
      <c r="L13" s="26"/>
    </row>
    <row r="14" spans="2:46" s="1" customFormat="1" ht="12" hidden="1" customHeight="1">
      <c r="B14" s="26"/>
      <c r="D14" s="23" t="s">
        <v>26</v>
      </c>
      <c r="I14" s="23" t="s">
        <v>27</v>
      </c>
      <c r="J14" s="21" t="s">
        <v>28</v>
      </c>
      <c r="L14" s="26"/>
    </row>
    <row r="15" spans="2:46" s="1" customFormat="1" ht="18" hidden="1" customHeight="1">
      <c r="B15" s="26"/>
      <c r="E15" s="21" t="s">
        <v>29</v>
      </c>
      <c r="I15" s="23" t="s">
        <v>30</v>
      </c>
      <c r="J15" s="21" t="s">
        <v>31</v>
      </c>
      <c r="L15" s="26"/>
    </row>
    <row r="16" spans="2:46" s="1" customFormat="1" ht="6.9" hidden="1" customHeight="1">
      <c r="B16" s="26"/>
      <c r="L16" s="26"/>
    </row>
    <row r="17" spans="2:12" s="1" customFormat="1" ht="12" hidden="1" customHeight="1">
      <c r="B17" s="26"/>
      <c r="D17" s="23" t="s">
        <v>32</v>
      </c>
      <c r="I17" s="23" t="s">
        <v>27</v>
      </c>
      <c r="J17" s="21" t="str">
        <f>'Rekapitulace stavby'!AN13</f>
        <v/>
      </c>
      <c r="L17" s="26"/>
    </row>
    <row r="18" spans="2:12" s="1" customFormat="1" ht="18" hidden="1" customHeight="1">
      <c r="B18" s="26"/>
      <c r="E18" s="190" t="str">
        <f>'Rekapitulace stavby'!E14</f>
        <v xml:space="preserve"> </v>
      </c>
      <c r="F18" s="190"/>
      <c r="G18" s="190"/>
      <c r="H18" s="190"/>
      <c r="I18" s="23" t="s">
        <v>30</v>
      </c>
      <c r="J18" s="21" t="str">
        <f>'Rekapitulace stavby'!AN14</f>
        <v/>
      </c>
      <c r="L18" s="26"/>
    </row>
    <row r="19" spans="2:12" s="1" customFormat="1" ht="6.9" hidden="1" customHeight="1">
      <c r="B19" s="26"/>
      <c r="L19" s="26"/>
    </row>
    <row r="20" spans="2:12" s="1" customFormat="1" ht="12" hidden="1" customHeight="1">
      <c r="B20" s="26"/>
      <c r="D20" s="23" t="s">
        <v>33</v>
      </c>
      <c r="I20" s="23" t="s">
        <v>27</v>
      </c>
      <c r="J20" s="21" t="s">
        <v>34</v>
      </c>
      <c r="L20" s="26"/>
    </row>
    <row r="21" spans="2:12" s="1" customFormat="1" ht="18" hidden="1" customHeight="1">
      <c r="B21" s="26"/>
      <c r="E21" s="21" t="s">
        <v>35</v>
      </c>
      <c r="I21" s="23" t="s">
        <v>30</v>
      </c>
      <c r="J21" s="21" t="s">
        <v>36</v>
      </c>
      <c r="L21" s="26"/>
    </row>
    <row r="22" spans="2:12" s="1" customFormat="1" ht="6.9" hidden="1" customHeight="1">
      <c r="B22" s="26"/>
      <c r="L22" s="26"/>
    </row>
    <row r="23" spans="2:12" s="1" customFormat="1" ht="12" hidden="1" customHeight="1">
      <c r="B23" s="26"/>
      <c r="D23" s="23" t="s">
        <v>37</v>
      </c>
      <c r="I23" s="23" t="s">
        <v>27</v>
      </c>
      <c r="J23" s="21" t="str">
        <f>IF('Rekapitulace stavby'!AN19="","",'Rekapitulace stavby'!AN19)</f>
        <v/>
      </c>
      <c r="L23" s="26"/>
    </row>
    <row r="24" spans="2:12" s="1" customFormat="1" ht="18" hidden="1" customHeight="1">
      <c r="B24" s="26"/>
      <c r="E24" s="21" t="str">
        <f>IF('Rekapitulace stavby'!E20="","",'Rekapitulace stavby'!E20)</f>
        <v>Pavel Vachtl</v>
      </c>
      <c r="I24" s="23" t="s">
        <v>30</v>
      </c>
      <c r="J24" s="21" t="str">
        <f>IF('Rekapitulace stavby'!AN20="","",'Rekapitulace stavby'!AN20)</f>
        <v/>
      </c>
      <c r="L24" s="26"/>
    </row>
    <row r="25" spans="2:12" s="1" customFormat="1" ht="6.9" hidden="1" customHeight="1">
      <c r="B25" s="26"/>
      <c r="L25" s="26"/>
    </row>
    <row r="26" spans="2:12" s="1" customFormat="1" ht="12" hidden="1" customHeight="1">
      <c r="B26" s="26"/>
      <c r="D26" s="23" t="s">
        <v>40</v>
      </c>
      <c r="L26" s="26"/>
    </row>
    <row r="27" spans="2:12" s="7" customFormat="1" ht="16.5" hidden="1" customHeight="1">
      <c r="B27" s="83"/>
      <c r="E27" s="193" t="s">
        <v>1</v>
      </c>
      <c r="F27" s="193"/>
      <c r="G27" s="193"/>
      <c r="H27" s="193"/>
      <c r="L27" s="83"/>
    </row>
    <row r="28" spans="2:12" s="1" customFormat="1" ht="6.9" hidden="1" customHeight="1">
      <c r="B28" s="26"/>
      <c r="L28" s="26"/>
    </row>
    <row r="29" spans="2:12" s="1" customFormat="1" ht="6.9" hidden="1" customHeight="1">
      <c r="B29" s="26"/>
      <c r="D29" s="47"/>
      <c r="E29" s="47"/>
      <c r="F29" s="47"/>
      <c r="G29" s="47"/>
      <c r="H29" s="47"/>
      <c r="I29" s="47"/>
      <c r="J29" s="47"/>
      <c r="K29" s="47"/>
      <c r="L29" s="26"/>
    </row>
    <row r="30" spans="2:12" s="1" customFormat="1" ht="25.35" hidden="1" customHeight="1">
      <c r="B30" s="26"/>
      <c r="D30" s="84" t="s">
        <v>41</v>
      </c>
      <c r="J30" s="60">
        <f>ROUND(J118, 2)</f>
        <v>0</v>
      </c>
      <c r="L30" s="26"/>
    </row>
    <row r="31" spans="2:12" s="1" customFormat="1" ht="6.9" hidden="1" customHeight="1">
      <c r="B31" s="26"/>
      <c r="D31" s="47"/>
      <c r="E31" s="47"/>
      <c r="F31" s="47"/>
      <c r="G31" s="47"/>
      <c r="H31" s="47"/>
      <c r="I31" s="47"/>
      <c r="J31" s="47"/>
      <c r="K31" s="47"/>
      <c r="L31" s="26"/>
    </row>
    <row r="32" spans="2:12" s="1" customFormat="1" ht="14.4" hidden="1" customHeight="1">
      <c r="B32" s="26"/>
      <c r="F32" s="29" t="s">
        <v>43</v>
      </c>
      <c r="I32" s="29" t="s">
        <v>42</v>
      </c>
      <c r="J32" s="29" t="s">
        <v>44</v>
      </c>
      <c r="L32" s="26"/>
    </row>
    <row r="33" spans="2:12" s="1" customFormat="1" ht="14.4" hidden="1" customHeight="1">
      <c r="B33" s="26"/>
      <c r="D33" s="49" t="s">
        <v>45</v>
      </c>
      <c r="E33" s="23" t="s">
        <v>46</v>
      </c>
      <c r="F33" s="85">
        <f>ROUND((SUM(BE118:BE155)),  2)</f>
        <v>0</v>
      </c>
      <c r="I33" s="86">
        <v>0.21</v>
      </c>
      <c r="J33" s="85">
        <f>ROUND(((SUM(BE118:BE155))*I33),  2)</f>
        <v>0</v>
      </c>
      <c r="L33" s="26"/>
    </row>
    <row r="34" spans="2:12" s="1" customFormat="1" ht="14.4" hidden="1" customHeight="1">
      <c r="B34" s="26"/>
      <c r="E34" s="23" t="s">
        <v>47</v>
      </c>
      <c r="F34" s="85">
        <f>ROUND((SUM(BF118:BF155)),  2)</f>
        <v>0</v>
      </c>
      <c r="I34" s="86">
        <v>0.15</v>
      </c>
      <c r="J34" s="85">
        <f>ROUND(((SUM(BF118:BF155))*I34),  2)</f>
        <v>0</v>
      </c>
      <c r="L34" s="26"/>
    </row>
    <row r="35" spans="2:12" s="1" customFormat="1" ht="14.4" hidden="1" customHeight="1">
      <c r="B35" s="26"/>
      <c r="E35" s="23" t="s">
        <v>48</v>
      </c>
      <c r="F35" s="85">
        <f>ROUND((SUM(BG118:BG155)),  2)</f>
        <v>0</v>
      </c>
      <c r="I35" s="86">
        <v>0.21</v>
      </c>
      <c r="J35" s="85">
        <f>0</f>
        <v>0</v>
      </c>
      <c r="L35" s="26"/>
    </row>
    <row r="36" spans="2:12" s="1" customFormat="1" ht="14.4" hidden="1" customHeight="1">
      <c r="B36" s="26"/>
      <c r="E36" s="23" t="s">
        <v>49</v>
      </c>
      <c r="F36" s="85">
        <f>ROUND((SUM(BH118:BH155)),  2)</f>
        <v>0</v>
      </c>
      <c r="I36" s="86">
        <v>0.15</v>
      </c>
      <c r="J36" s="85">
        <f>0</f>
        <v>0</v>
      </c>
      <c r="L36" s="26"/>
    </row>
    <row r="37" spans="2:12" s="1" customFormat="1" ht="14.4" hidden="1" customHeight="1">
      <c r="B37" s="26"/>
      <c r="E37" s="23" t="s">
        <v>50</v>
      </c>
      <c r="F37" s="85">
        <f>ROUND((SUM(BI118:BI155)),  2)</f>
        <v>0</v>
      </c>
      <c r="I37" s="86">
        <v>0</v>
      </c>
      <c r="J37" s="85">
        <f>0</f>
        <v>0</v>
      </c>
      <c r="L37" s="26"/>
    </row>
    <row r="38" spans="2:12" s="1" customFormat="1" ht="6.9" hidden="1" customHeight="1">
      <c r="B38" s="26"/>
      <c r="L38" s="26"/>
    </row>
    <row r="39" spans="2:12" s="1" customFormat="1" ht="25.35" hidden="1" customHeight="1">
      <c r="B39" s="26"/>
      <c r="C39" s="87"/>
      <c r="D39" s="88" t="s">
        <v>51</v>
      </c>
      <c r="E39" s="51"/>
      <c r="F39" s="51"/>
      <c r="G39" s="89" t="s">
        <v>52</v>
      </c>
      <c r="H39" s="90" t="s">
        <v>53</v>
      </c>
      <c r="I39" s="51"/>
      <c r="J39" s="91">
        <f>SUM(J30:J37)</f>
        <v>0</v>
      </c>
      <c r="K39" s="92"/>
      <c r="L39" s="26"/>
    </row>
    <row r="40" spans="2:12" s="1" customFormat="1" ht="14.4" hidden="1" customHeight="1">
      <c r="B40" s="26"/>
      <c r="L40" s="26"/>
    </row>
    <row r="41" spans="2:12" ht="14.4" hidden="1" customHeight="1">
      <c r="B41" s="17"/>
      <c r="L41" s="17"/>
    </row>
    <row r="42" spans="2:12" ht="14.4" hidden="1" customHeight="1">
      <c r="B42" s="17"/>
      <c r="L42" s="17"/>
    </row>
    <row r="43" spans="2:12" ht="14.4" hidden="1" customHeight="1">
      <c r="B43" s="17"/>
      <c r="L43" s="17"/>
    </row>
    <row r="44" spans="2:12" ht="14.4" hidden="1" customHeight="1">
      <c r="B44" s="17"/>
      <c r="L44" s="17"/>
    </row>
    <row r="45" spans="2:12" ht="14.4" hidden="1" customHeight="1">
      <c r="B45" s="17"/>
      <c r="L45" s="17"/>
    </row>
    <row r="46" spans="2:12" ht="14.4" hidden="1" customHeight="1">
      <c r="B46" s="17"/>
      <c r="L46" s="17"/>
    </row>
    <row r="47" spans="2:12" ht="14.4" hidden="1" customHeight="1">
      <c r="B47" s="17"/>
      <c r="L47" s="17"/>
    </row>
    <row r="48" spans="2:12" ht="14.4" hidden="1" customHeight="1">
      <c r="B48" s="17"/>
      <c r="L48" s="17"/>
    </row>
    <row r="49" spans="2:12" ht="14.4" hidden="1" customHeight="1">
      <c r="B49" s="17"/>
      <c r="L49" s="17"/>
    </row>
    <row r="50" spans="2:12" s="1" customFormat="1" ht="14.4" hidden="1" customHeight="1">
      <c r="B50" s="26"/>
      <c r="D50" s="35" t="s">
        <v>54</v>
      </c>
      <c r="E50" s="36"/>
      <c r="F50" s="36"/>
      <c r="G50" s="35" t="s">
        <v>55</v>
      </c>
      <c r="H50" s="36"/>
      <c r="I50" s="36"/>
      <c r="J50" s="36"/>
      <c r="K50" s="36"/>
      <c r="L50" s="26"/>
    </row>
    <row r="51" spans="2:12" hidden="1">
      <c r="B51" s="17"/>
      <c r="L51" s="17"/>
    </row>
    <row r="52" spans="2:12" hidden="1">
      <c r="B52" s="17"/>
      <c r="L52" s="17"/>
    </row>
    <row r="53" spans="2:12" hidden="1">
      <c r="B53" s="17"/>
      <c r="L53" s="17"/>
    </row>
    <row r="54" spans="2:12" hidden="1">
      <c r="B54" s="17"/>
      <c r="L54" s="17"/>
    </row>
    <row r="55" spans="2:12" hidden="1">
      <c r="B55" s="17"/>
      <c r="L55" s="17"/>
    </row>
    <row r="56" spans="2:12" hidden="1">
      <c r="B56" s="17"/>
      <c r="L56" s="17"/>
    </row>
    <row r="57" spans="2:12" hidden="1">
      <c r="B57" s="17"/>
      <c r="L57" s="17"/>
    </row>
    <row r="58" spans="2:12" hidden="1">
      <c r="B58" s="17"/>
      <c r="L58" s="17"/>
    </row>
    <row r="59" spans="2:12" hidden="1">
      <c r="B59" s="17"/>
      <c r="L59" s="17"/>
    </row>
    <row r="60" spans="2:12" hidden="1">
      <c r="B60" s="17"/>
      <c r="L60" s="17"/>
    </row>
    <row r="61" spans="2:12" s="1" customFormat="1" ht="13.2" hidden="1">
      <c r="B61" s="26"/>
      <c r="D61" s="37" t="s">
        <v>56</v>
      </c>
      <c r="E61" s="28"/>
      <c r="F61" s="93" t="s">
        <v>57</v>
      </c>
      <c r="G61" s="37" t="s">
        <v>56</v>
      </c>
      <c r="H61" s="28"/>
      <c r="I61" s="28"/>
      <c r="J61" s="94" t="s">
        <v>57</v>
      </c>
      <c r="K61" s="28"/>
      <c r="L61" s="26"/>
    </row>
    <row r="62" spans="2:12" hidden="1">
      <c r="B62" s="17"/>
      <c r="L62" s="17"/>
    </row>
    <row r="63" spans="2:12" hidden="1">
      <c r="B63" s="17"/>
      <c r="L63" s="17"/>
    </row>
    <row r="64" spans="2:12" hidden="1">
      <c r="B64" s="17"/>
      <c r="L64" s="17"/>
    </row>
    <row r="65" spans="2:12" s="1" customFormat="1" ht="13.2" hidden="1">
      <c r="B65" s="26"/>
      <c r="D65" s="35" t="s">
        <v>58</v>
      </c>
      <c r="E65" s="36"/>
      <c r="F65" s="36"/>
      <c r="G65" s="35" t="s">
        <v>59</v>
      </c>
      <c r="H65" s="36"/>
      <c r="I65" s="36"/>
      <c r="J65" s="36"/>
      <c r="K65" s="36"/>
      <c r="L65" s="26"/>
    </row>
    <row r="66" spans="2:12" hidden="1">
      <c r="B66" s="17"/>
      <c r="L66" s="17"/>
    </row>
    <row r="67" spans="2:12" hidden="1">
      <c r="B67" s="17"/>
      <c r="L67" s="17"/>
    </row>
    <row r="68" spans="2:12" hidden="1">
      <c r="B68" s="17"/>
      <c r="L68" s="17"/>
    </row>
    <row r="69" spans="2:12" hidden="1">
      <c r="B69" s="17"/>
      <c r="L69" s="17"/>
    </row>
    <row r="70" spans="2:12" hidden="1">
      <c r="B70" s="17"/>
      <c r="L70" s="17"/>
    </row>
    <row r="71" spans="2:12" hidden="1">
      <c r="B71" s="17"/>
      <c r="L71" s="17"/>
    </row>
    <row r="72" spans="2:12" hidden="1">
      <c r="B72" s="17"/>
      <c r="L72" s="17"/>
    </row>
    <row r="73" spans="2:12" hidden="1">
      <c r="B73" s="17"/>
      <c r="L73" s="17"/>
    </row>
    <row r="74" spans="2:12" hidden="1">
      <c r="B74" s="17"/>
      <c r="L74" s="17"/>
    </row>
    <row r="75" spans="2:12" hidden="1">
      <c r="B75" s="17"/>
      <c r="L75" s="17"/>
    </row>
    <row r="76" spans="2:12" s="1" customFormat="1" ht="13.2" hidden="1">
      <c r="B76" s="26"/>
      <c r="D76" s="37" t="s">
        <v>56</v>
      </c>
      <c r="E76" s="28"/>
      <c r="F76" s="93" t="s">
        <v>57</v>
      </c>
      <c r="G76" s="37" t="s">
        <v>56</v>
      </c>
      <c r="H76" s="28"/>
      <c r="I76" s="28"/>
      <c r="J76" s="94" t="s">
        <v>57</v>
      </c>
      <c r="K76" s="28"/>
      <c r="L76" s="26"/>
    </row>
    <row r="77" spans="2:12" s="1" customFormat="1" ht="14.4" hidden="1" customHeight="1">
      <c r="B77" s="38"/>
      <c r="C77" s="39"/>
      <c r="D77" s="39"/>
      <c r="E77" s="39"/>
      <c r="F77" s="39"/>
      <c r="G77" s="39"/>
      <c r="H77" s="39"/>
      <c r="I77" s="39"/>
      <c r="J77" s="39"/>
      <c r="K77" s="39"/>
      <c r="L77" s="26"/>
    </row>
    <row r="78" spans="2:12" hidden="1"/>
    <row r="79" spans="2:12" hidden="1"/>
    <row r="80" spans="2:12" hidden="1"/>
    <row r="81" spans="2:47" s="1" customFormat="1" ht="6.9" customHeight="1">
      <c r="B81" s="40"/>
      <c r="C81" s="41"/>
      <c r="D81" s="41"/>
      <c r="E81" s="41"/>
      <c r="F81" s="41"/>
      <c r="G81" s="41"/>
      <c r="H81" s="41"/>
      <c r="I81" s="41"/>
      <c r="J81" s="41"/>
      <c r="K81" s="41"/>
      <c r="L81" s="26"/>
    </row>
    <row r="82" spans="2:47" s="1" customFormat="1" ht="24.9" customHeight="1">
      <c r="B82" s="26"/>
      <c r="C82" s="18" t="s">
        <v>115</v>
      </c>
      <c r="L82" s="26"/>
    </row>
    <row r="83" spans="2:47" s="1" customFormat="1" ht="6.9" customHeight="1">
      <c r="B83" s="26"/>
      <c r="L83" s="26"/>
    </row>
    <row r="84" spans="2:47" s="1" customFormat="1" ht="12" customHeight="1">
      <c r="B84" s="26"/>
      <c r="C84" s="23" t="s">
        <v>14</v>
      </c>
      <c r="L84" s="26"/>
    </row>
    <row r="85" spans="2:47" s="1" customFormat="1" ht="16.5" customHeight="1">
      <c r="B85" s="26"/>
      <c r="E85" s="203" t="str">
        <f>E7</f>
        <v>I/26 Kyšice - Plzeň, Hřbitovní</v>
      </c>
      <c r="F85" s="204"/>
      <c r="G85" s="204"/>
      <c r="H85" s="204"/>
      <c r="L85" s="26"/>
    </row>
    <row r="86" spans="2:47" s="1" customFormat="1" ht="12" customHeight="1">
      <c r="B86" s="26"/>
      <c r="C86" s="23" t="s">
        <v>113</v>
      </c>
      <c r="L86" s="26"/>
    </row>
    <row r="87" spans="2:47" s="1" customFormat="1" ht="16.5" customHeight="1">
      <c r="B87" s="26"/>
      <c r="E87" s="168" t="str">
        <f>E9</f>
        <v>001 - Vedlejsi a ostatni naklady</v>
      </c>
      <c r="F87" s="202"/>
      <c r="G87" s="202"/>
      <c r="H87" s="202"/>
      <c r="L87" s="26"/>
    </row>
    <row r="88" spans="2:47" s="1" customFormat="1" ht="6.9" customHeight="1">
      <c r="B88" s="26"/>
      <c r="L88" s="26"/>
    </row>
    <row r="89" spans="2:47" s="1" customFormat="1" ht="12" customHeight="1">
      <c r="B89" s="26"/>
      <c r="C89" s="23" t="s">
        <v>20</v>
      </c>
      <c r="F89" s="21" t="str">
        <f>F12</f>
        <v xml:space="preserve"> </v>
      </c>
      <c r="I89" s="23" t="s">
        <v>22</v>
      </c>
      <c r="J89" s="46" t="str">
        <f>IF(J12="","",J12)</f>
        <v>20. 1. 2026</v>
      </c>
      <c r="L89" s="26"/>
    </row>
    <row r="90" spans="2:47" s="1" customFormat="1" ht="6.9" customHeight="1">
      <c r="B90" s="26"/>
      <c r="L90" s="26"/>
    </row>
    <row r="91" spans="2:47" s="1" customFormat="1" ht="15.15" customHeight="1">
      <c r="B91" s="26"/>
      <c r="C91" s="23" t="s">
        <v>26</v>
      </c>
      <c r="F91" s="21" t="str">
        <f>E15</f>
        <v>Ředitelství silnic a dálnic s.p.</v>
      </c>
      <c r="I91" s="23" t="s">
        <v>33</v>
      </c>
      <c r="J91" s="24" t="str">
        <f>E21</f>
        <v>Woring s.r.o.</v>
      </c>
      <c r="L91" s="26"/>
    </row>
    <row r="92" spans="2:47" s="1" customFormat="1" ht="15.15" customHeight="1">
      <c r="B92" s="26"/>
      <c r="C92" s="23" t="s">
        <v>32</v>
      </c>
      <c r="F92" s="21" t="str">
        <f>IF(E18="","",E18)</f>
        <v xml:space="preserve"> </v>
      </c>
      <c r="I92" s="23" t="s">
        <v>37</v>
      </c>
      <c r="J92" s="24" t="str">
        <f>E24</f>
        <v>Pavel Vachtl</v>
      </c>
      <c r="L92" s="26"/>
    </row>
    <row r="93" spans="2:47" s="1" customFormat="1" ht="10.35" customHeight="1">
      <c r="B93" s="26"/>
      <c r="L93" s="26"/>
    </row>
    <row r="94" spans="2:47" s="1" customFormat="1" ht="29.25" customHeight="1">
      <c r="B94" s="26"/>
      <c r="C94" s="95" t="s">
        <v>116</v>
      </c>
      <c r="D94" s="87"/>
      <c r="E94" s="87"/>
      <c r="F94" s="87"/>
      <c r="G94" s="87"/>
      <c r="H94" s="87"/>
      <c r="I94" s="87"/>
      <c r="J94" s="96" t="s">
        <v>117</v>
      </c>
      <c r="K94" s="87"/>
      <c r="L94" s="26"/>
    </row>
    <row r="95" spans="2:47" s="1" customFormat="1" ht="10.35" customHeight="1">
      <c r="B95" s="26"/>
      <c r="L95" s="26"/>
    </row>
    <row r="96" spans="2:47" s="1" customFormat="1" ht="22.95" customHeight="1">
      <c r="B96" s="26"/>
      <c r="C96" s="97" t="s">
        <v>118</v>
      </c>
      <c r="J96" s="60">
        <f>J118</f>
        <v>0</v>
      </c>
      <c r="L96" s="26"/>
      <c r="AU96" s="14" t="s">
        <v>90</v>
      </c>
    </row>
    <row r="97" spans="2:12" s="8" customFormat="1" ht="24.9" customHeight="1">
      <c r="B97" s="98"/>
      <c r="D97" s="99" t="s">
        <v>119</v>
      </c>
      <c r="E97" s="100"/>
      <c r="F97" s="100"/>
      <c r="G97" s="100"/>
      <c r="H97" s="100"/>
      <c r="I97" s="100"/>
      <c r="J97" s="101">
        <f>J119</f>
        <v>0</v>
      </c>
      <c r="L97" s="98"/>
    </row>
    <row r="98" spans="2:12" s="8" customFormat="1" ht="24.9" customHeight="1">
      <c r="B98" s="98"/>
      <c r="D98" s="99" t="s">
        <v>120</v>
      </c>
      <c r="E98" s="100"/>
      <c r="F98" s="100"/>
      <c r="G98" s="100"/>
      <c r="H98" s="100"/>
      <c r="I98" s="100"/>
      <c r="J98" s="101">
        <f>J151</f>
        <v>0</v>
      </c>
      <c r="L98" s="98"/>
    </row>
    <row r="99" spans="2:12" s="1" customFormat="1" ht="21.75" customHeight="1">
      <c r="B99" s="26"/>
      <c r="L99" s="26"/>
    </row>
    <row r="100" spans="2:12" s="1" customFormat="1" ht="6.9" customHeight="1">
      <c r="B100" s="38"/>
      <c r="C100" s="39"/>
      <c r="D100" s="39"/>
      <c r="E100" s="39"/>
      <c r="F100" s="39"/>
      <c r="G100" s="39"/>
      <c r="H100" s="39"/>
      <c r="I100" s="39"/>
      <c r="J100" s="39"/>
      <c r="K100" s="39"/>
      <c r="L100" s="26"/>
    </row>
    <row r="104" spans="2:12" s="1" customFormat="1" ht="6.9" customHeight="1">
      <c r="B104" s="40"/>
      <c r="C104" s="41"/>
      <c r="D104" s="41"/>
      <c r="E104" s="41"/>
      <c r="F104" s="41"/>
      <c r="G104" s="41"/>
      <c r="H104" s="41"/>
      <c r="I104" s="41"/>
      <c r="J104" s="41"/>
      <c r="K104" s="41"/>
      <c r="L104" s="26"/>
    </row>
    <row r="105" spans="2:12" s="1" customFormat="1" ht="24.9" customHeight="1">
      <c r="B105" s="26"/>
      <c r="C105" s="18" t="s">
        <v>121</v>
      </c>
      <c r="L105" s="26"/>
    </row>
    <row r="106" spans="2:12" s="1" customFormat="1" ht="6.9" customHeight="1">
      <c r="B106" s="26"/>
      <c r="L106" s="26"/>
    </row>
    <row r="107" spans="2:12" s="1" customFormat="1" ht="12" customHeight="1">
      <c r="B107" s="26"/>
      <c r="C107" s="23" t="s">
        <v>14</v>
      </c>
      <c r="L107" s="26"/>
    </row>
    <row r="108" spans="2:12" s="1" customFormat="1" ht="16.5" customHeight="1">
      <c r="B108" s="26"/>
      <c r="E108" s="203" t="str">
        <f>E7</f>
        <v>I/26 Kyšice - Plzeň, Hřbitovní</v>
      </c>
      <c r="F108" s="204"/>
      <c r="G108" s="204"/>
      <c r="H108" s="204"/>
      <c r="L108" s="26"/>
    </row>
    <row r="109" spans="2:12" s="1" customFormat="1" ht="12" customHeight="1">
      <c r="B109" s="26"/>
      <c r="C109" s="23" t="s">
        <v>113</v>
      </c>
      <c r="L109" s="26"/>
    </row>
    <row r="110" spans="2:12" s="1" customFormat="1" ht="16.5" customHeight="1">
      <c r="B110" s="26"/>
      <c r="E110" s="168" t="str">
        <f>E9</f>
        <v>001 - Vedlejsi a ostatni naklady</v>
      </c>
      <c r="F110" s="202"/>
      <c r="G110" s="202"/>
      <c r="H110" s="202"/>
      <c r="L110" s="26"/>
    </row>
    <row r="111" spans="2:12" s="1" customFormat="1" ht="6.9" customHeight="1">
      <c r="B111" s="26"/>
      <c r="L111" s="26"/>
    </row>
    <row r="112" spans="2:12" s="1" customFormat="1" ht="12" customHeight="1">
      <c r="B112" s="26"/>
      <c r="C112" s="23" t="s">
        <v>20</v>
      </c>
      <c r="F112" s="21" t="str">
        <f>F12</f>
        <v xml:space="preserve"> </v>
      </c>
      <c r="I112" s="23" t="s">
        <v>22</v>
      </c>
      <c r="J112" s="46" t="str">
        <f>IF(J12="","",J12)</f>
        <v>20. 1. 2026</v>
      </c>
      <c r="L112" s="26"/>
    </row>
    <row r="113" spans="2:65" s="1" customFormat="1" ht="6.9" customHeight="1">
      <c r="B113" s="26"/>
      <c r="L113" s="26"/>
    </row>
    <row r="114" spans="2:65" s="1" customFormat="1" ht="15.15" customHeight="1">
      <c r="B114" s="26"/>
      <c r="C114" s="23" t="s">
        <v>26</v>
      </c>
      <c r="F114" s="21" t="str">
        <f>E15</f>
        <v>Ředitelství silnic a dálnic s.p.</v>
      </c>
      <c r="I114" s="23" t="s">
        <v>33</v>
      </c>
      <c r="J114" s="24" t="str">
        <f>E21</f>
        <v>Woring s.r.o.</v>
      </c>
      <c r="L114" s="26"/>
    </row>
    <row r="115" spans="2:65" s="1" customFormat="1" ht="15.15" customHeight="1">
      <c r="B115" s="26"/>
      <c r="C115" s="23" t="s">
        <v>32</v>
      </c>
      <c r="F115" s="21" t="str">
        <f>IF(E18="","",E18)</f>
        <v xml:space="preserve"> </v>
      </c>
      <c r="I115" s="23" t="s">
        <v>37</v>
      </c>
      <c r="J115" s="24" t="str">
        <f>E24</f>
        <v>Pavel Vachtl</v>
      </c>
      <c r="L115" s="26"/>
    </row>
    <row r="116" spans="2:65" s="1" customFormat="1" ht="10.35" customHeight="1">
      <c r="B116" s="26"/>
      <c r="L116" s="26"/>
    </row>
    <row r="117" spans="2:65" s="9" customFormat="1" ht="29.25" customHeight="1">
      <c r="B117" s="102"/>
      <c r="C117" s="103" t="s">
        <v>122</v>
      </c>
      <c r="D117" s="104" t="s">
        <v>66</v>
      </c>
      <c r="E117" s="104" t="s">
        <v>62</v>
      </c>
      <c r="F117" s="104" t="s">
        <v>63</v>
      </c>
      <c r="G117" s="104" t="s">
        <v>123</v>
      </c>
      <c r="H117" s="104" t="s">
        <v>124</v>
      </c>
      <c r="I117" s="104" t="s">
        <v>125</v>
      </c>
      <c r="J117" s="104" t="s">
        <v>117</v>
      </c>
      <c r="K117" s="105" t="s">
        <v>126</v>
      </c>
      <c r="L117" s="102"/>
      <c r="M117" s="53" t="s">
        <v>1</v>
      </c>
      <c r="N117" s="54" t="s">
        <v>45</v>
      </c>
      <c r="O117" s="54" t="s">
        <v>127</v>
      </c>
      <c r="P117" s="54" t="s">
        <v>128</v>
      </c>
      <c r="Q117" s="54" t="s">
        <v>129</v>
      </c>
      <c r="R117" s="54" t="s">
        <v>130</v>
      </c>
      <c r="S117" s="54" t="s">
        <v>131</v>
      </c>
      <c r="T117" s="55" t="s">
        <v>132</v>
      </c>
    </row>
    <row r="118" spans="2:65" s="1" customFormat="1" ht="22.95" customHeight="1">
      <c r="B118" s="26"/>
      <c r="C118" s="58" t="s">
        <v>133</v>
      </c>
      <c r="J118" s="106">
        <f>BK118</f>
        <v>0</v>
      </c>
      <c r="L118" s="26"/>
      <c r="M118" s="56"/>
      <c r="N118" s="47"/>
      <c r="O118" s="47"/>
      <c r="P118" s="107">
        <f>P119+P151</f>
        <v>0</v>
      </c>
      <c r="Q118" s="47"/>
      <c r="R118" s="107">
        <f>R119+R151</f>
        <v>0</v>
      </c>
      <c r="S118" s="47"/>
      <c r="T118" s="108">
        <f>T119+T151</f>
        <v>0</v>
      </c>
      <c r="AT118" s="14" t="s">
        <v>80</v>
      </c>
      <c r="AU118" s="14" t="s">
        <v>90</v>
      </c>
      <c r="BK118" s="109">
        <f>BK119+BK151</f>
        <v>0</v>
      </c>
    </row>
    <row r="119" spans="2:65" s="10" customFormat="1" ht="25.95" customHeight="1">
      <c r="B119" s="110"/>
      <c r="D119" s="111" t="s">
        <v>80</v>
      </c>
      <c r="E119" s="112" t="s">
        <v>81</v>
      </c>
      <c r="F119" s="112" t="s">
        <v>134</v>
      </c>
      <c r="J119" s="113">
        <f>BK119</f>
        <v>0</v>
      </c>
      <c r="L119" s="110"/>
      <c r="M119" s="114"/>
      <c r="P119" s="115">
        <f>SUM(P120:P150)</f>
        <v>0</v>
      </c>
      <c r="R119" s="115">
        <f>SUM(R120:R150)</f>
        <v>0</v>
      </c>
      <c r="T119" s="116">
        <f>SUM(T120:T150)</f>
        <v>0</v>
      </c>
      <c r="AR119" s="111" t="s">
        <v>135</v>
      </c>
      <c r="AT119" s="117" t="s">
        <v>80</v>
      </c>
      <c r="AU119" s="117" t="s">
        <v>81</v>
      </c>
      <c r="AY119" s="111" t="s">
        <v>136</v>
      </c>
      <c r="BK119" s="118">
        <f>SUM(BK120:BK150)</f>
        <v>0</v>
      </c>
    </row>
    <row r="120" spans="2:65" s="1" customFormat="1" ht="24.15" customHeight="1">
      <c r="B120" s="119"/>
      <c r="C120" s="120" t="s">
        <v>19</v>
      </c>
      <c r="D120" s="120" t="s">
        <v>137</v>
      </c>
      <c r="E120" s="121" t="s">
        <v>138</v>
      </c>
      <c r="F120" s="122" t="s">
        <v>139</v>
      </c>
      <c r="G120" s="123" t="s">
        <v>140</v>
      </c>
      <c r="H120" s="124">
        <v>1</v>
      </c>
      <c r="I120" s="125">
        <v>0</v>
      </c>
      <c r="J120" s="125">
        <f>ROUND(I120*H120,2)</f>
        <v>0</v>
      </c>
      <c r="K120" s="122" t="s">
        <v>141</v>
      </c>
      <c r="L120" s="26"/>
      <c r="M120" s="126" t="s">
        <v>1</v>
      </c>
      <c r="N120" s="127" t="s">
        <v>46</v>
      </c>
      <c r="O120" s="128">
        <v>0</v>
      </c>
      <c r="P120" s="128">
        <f>O120*H120</f>
        <v>0</v>
      </c>
      <c r="Q120" s="128">
        <v>0</v>
      </c>
      <c r="R120" s="128">
        <f>Q120*H120</f>
        <v>0</v>
      </c>
      <c r="S120" s="128">
        <v>0</v>
      </c>
      <c r="T120" s="129">
        <f>S120*H120</f>
        <v>0</v>
      </c>
      <c r="AR120" s="130" t="s">
        <v>135</v>
      </c>
      <c r="AT120" s="130" t="s">
        <v>137</v>
      </c>
      <c r="AU120" s="130" t="s">
        <v>19</v>
      </c>
      <c r="AY120" s="14" t="s">
        <v>136</v>
      </c>
      <c r="BE120" s="131">
        <f>IF(N120="základní",J120,0)</f>
        <v>0</v>
      </c>
      <c r="BF120" s="131">
        <f>IF(N120="snížená",J120,0)</f>
        <v>0</v>
      </c>
      <c r="BG120" s="131">
        <f>IF(N120="zákl. přenesená",J120,0)</f>
        <v>0</v>
      </c>
      <c r="BH120" s="131">
        <f>IF(N120="sníž. přenesená",J120,0)</f>
        <v>0</v>
      </c>
      <c r="BI120" s="131">
        <f>IF(N120="nulová",J120,0)</f>
        <v>0</v>
      </c>
      <c r="BJ120" s="14" t="s">
        <v>19</v>
      </c>
      <c r="BK120" s="131">
        <f>ROUND(I120*H120,2)</f>
        <v>0</v>
      </c>
      <c r="BL120" s="14" t="s">
        <v>135</v>
      </c>
      <c r="BM120" s="130" t="s">
        <v>142</v>
      </c>
    </row>
    <row r="121" spans="2:65" s="1" customFormat="1" ht="28.8">
      <c r="B121" s="26"/>
      <c r="D121" s="132" t="s">
        <v>143</v>
      </c>
      <c r="F121" s="133" t="s">
        <v>144</v>
      </c>
      <c r="L121" s="26"/>
      <c r="M121" s="134"/>
      <c r="T121" s="50"/>
      <c r="AT121" s="14" t="s">
        <v>143</v>
      </c>
      <c r="AU121" s="14" t="s">
        <v>19</v>
      </c>
    </row>
    <row r="122" spans="2:65" s="1" customFormat="1" ht="124.8">
      <c r="B122" s="26"/>
      <c r="D122" s="132" t="s">
        <v>145</v>
      </c>
      <c r="F122" s="135" t="s">
        <v>146</v>
      </c>
      <c r="L122" s="26"/>
      <c r="M122" s="134"/>
      <c r="T122" s="50"/>
      <c r="AT122" s="14" t="s">
        <v>145</v>
      </c>
      <c r="AU122" s="14" t="s">
        <v>19</v>
      </c>
    </row>
    <row r="123" spans="2:65" s="11" customFormat="1">
      <c r="B123" s="136"/>
      <c r="D123" s="132" t="s">
        <v>147</v>
      </c>
      <c r="E123" s="137" t="s">
        <v>148</v>
      </c>
      <c r="F123" s="138" t="s">
        <v>19</v>
      </c>
      <c r="H123" s="139">
        <v>1</v>
      </c>
      <c r="L123" s="136"/>
      <c r="M123" s="140"/>
      <c r="T123" s="141"/>
      <c r="AT123" s="137" t="s">
        <v>147</v>
      </c>
      <c r="AU123" s="137" t="s">
        <v>19</v>
      </c>
      <c r="AV123" s="11" t="s">
        <v>149</v>
      </c>
      <c r="AW123" s="11" t="s">
        <v>39</v>
      </c>
      <c r="AX123" s="11" t="s">
        <v>19</v>
      </c>
      <c r="AY123" s="137" t="s">
        <v>136</v>
      </c>
    </row>
    <row r="124" spans="2:65" s="1" customFormat="1" ht="24.15" customHeight="1">
      <c r="B124" s="119"/>
      <c r="C124" s="120" t="s">
        <v>149</v>
      </c>
      <c r="D124" s="120" t="s">
        <v>137</v>
      </c>
      <c r="E124" s="121" t="s">
        <v>150</v>
      </c>
      <c r="F124" s="122" t="s">
        <v>151</v>
      </c>
      <c r="G124" s="123" t="s">
        <v>152</v>
      </c>
      <c r="H124" s="124">
        <v>1</v>
      </c>
      <c r="I124" s="125">
        <v>0</v>
      </c>
      <c r="J124" s="125">
        <f>ROUND(I124*H124,2)</f>
        <v>0</v>
      </c>
      <c r="K124" s="122" t="s">
        <v>141</v>
      </c>
      <c r="L124" s="26"/>
      <c r="M124" s="126" t="s">
        <v>1</v>
      </c>
      <c r="N124" s="127" t="s">
        <v>46</v>
      </c>
      <c r="O124" s="128">
        <v>0</v>
      </c>
      <c r="P124" s="128">
        <f>O124*H124</f>
        <v>0</v>
      </c>
      <c r="Q124" s="128">
        <v>0</v>
      </c>
      <c r="R124" s="128">
        <f>Q124*H124</f>
        <v>0</v>
      </c>
      <c r="S124" s="128">
        <v>0</v>
      </c>
      <c r="T124" s="129">
        <f>S124*H124</f>
        <v>0</v>
      </c>
      <c r="AR124" s="130" t="s">
        <v>135</v>
      </c>
      <c r="AT124" s="130" t="s">
        <v>137</v>
      </c>
      <c r="AU124" s="130" t="s">
        <v>19</v>
      </c>
      <c r="AY124" s="14" t="s">
        <v>136</v>
      </c>
      <c r="BE124" s="131">
        <f>IF(N124="základní",J124,0)</f>
        <v>0</v>
      </c>
      <c r="BF124" s="131">
        <f>IF(N124="snížená",J124,0)</f>
        <v>0</v>
      </c>
      <c r="BG124" s="131">
        <f>IF(N124="zákl. přenesená",J124,0)</f>
        <v>0</v>
      </c>
      <c r="BH124" s="131">
        <f>IF(N124="sníž. přenesená",J124,0)</f>
        <v>0</v>
      </c>
      <c r="BI124" s="131">
        <f>IF(N124="nulová",J124,0)</f>
        <v>0</v>
      </c>
      <c r="BJ124" s="14" t="s">
        <v>19</v>
      </c>
      <c r="BK124" s="131">
        <f>ROUND(I124*H124,2)</f>
        <v>0</v>
      </c>
      <c r="BL124" s="14" t="s">
        <v>135</v>
      </c>
      <c r="BM124" s="130" t="s">
        <v>153</v>
      </c>
    </row>
    <row r="125" spans="2:65" s="1" customFormat="1" ht="28.8">
      <c r="B125" s="26"/>
      <c r="D125" s="132" t="s">
        <v>143</v>
      </c>
      <c r="F125" s="133" t="s">
        <v>154</v>
      </c>
      <c r="L125" s="26"/>
      <c r="M125" s="134"/>
      <c r="T125" s="50"/>
      <c r="AT125" s="14" t="s">
        <v>143</v>
      </c>
      <c r="AU125" s="14" t="s">
        <v>19</v>
      </c>
    </row>
    <row r="126" spans="2:65" s="1" customFormat="1" ht="57.6">
      <c r="B126" s="26"/>
      <c r="D126" s="132" t="s">
        <v>145</v>
      </c>
      <c r="F126" s="135" t="s">
        <v>155</v>
      </c>
      <c r="L126" s="26"/>
      <c r="M126" s="134"/>
      <c r="T126" s="50"/>
      <c r="AT126" s="14" t="s">
        <v>145</v>
      </c>
      <c r="AU126" s="14" t="s">
        <v>19</v>
      </c>
    </row>
    <row r="127" spans="2:65" s="11" customFormat="1">
      <c r="B127" s="136"/>
      <c r="D127" s="132" t="s">
        <v>147</v>
      </c>
      <c r="E127" s="137" t="s">
        <v>156</v>
      </c>
      <c r="F127" s="138" t="s">
        <v>19</v>
      </c>
      <c r="H127" s="139">
        <v>1</v>
      </c>
      <c r="L127" s="136"/>
      <c r="M127" s="140"/>
      <c r="T127" s="141"/>
      <c r="AT127" s="137" t="s">
        <v>147</v>
      </c>
      <c r="AU127" s="137" t="s">
        <v>19</v>
      </c>
      <c r="AV127" s="11" t="s">
        <v>149</v>
      </c>
      <c r="AW127" s="11" t="s">
        <v>39</v>
      </c>
      <c r="AX127" s="11" t="s">
        <v>19</v>
      </c>
      <c r="AY127" s="137" t="s">
        <v>136</v>
      </c>
    </row>
    <row r="128" spans="2:65" s="1" customFormat="1" ht="24.15" customHeight="1">
      <c r="B128" s="119"/>
      <c r="C128" s="120" t="s">
        <v>157</v>
      </c>
      <c r="D128" s="120" t="s">
        <v>137</v>
      </c>
      <c r="E128" s="121" t="s">
        <v>158</v>
      </c>
      <c r="F128" s="122" t="s">
        <v>159</v>
      </c>
      <c r="G128" s="123" t="s">
        <v>140</v>
      </c>
      <c r="H128" s="124">
        <v>1</v>
      </c>
      <c r="I128" s="125">
        <v>0</v>
      </c>
      <c r="J128" s="125">
        <f>ROUND(I128*H128,2)</f>
        <v>0</v>
      </c>
      <c r="K128" s="122" t="s">
        <v>141</v>
      </c>
      <c r="L128" s="26"/>
      <c r="M128" s="126" t="s">
        <v>1</v>
      </c>
      <c r="N128" s="127" t="s">
        <v>46</v>
      </c>
      <c r="O128" s="128">
        <v>0</v>
      </c>
      <c r="P128" s="128">
        <f>O128*H128</f>
        <v>0</v>
      </c>
      <c r="Q128" s="128">
        <v>0</v>
      </c>
      <c r="R128" s="128">
        <f>Q128*H128</f>
        <v>0</v>
      </c>
      <c r="S128" s="128">
        <v>0</v>
      </c>
      <c r="T128" s="129">
        <f>S128*H128</f>
        <v>0</v>
      </c>
      <c r="AR128" s="130" t="s">
        <v>135</v>
      </c>
      <c r="AT128" s="130" t="s">
        <v>137</v>
      </c>
      <c r="AU128" s="130" t="s">
        <v>19</v>
      </c>
      <c r="AY128" s="14" t="s">
        <v>136</v>
      </c>
      <c r="BE128" s="131">
        <f>IF(N128="základní",J128,0)</f>
        <v>0</v>
      </c>
      <c r="BF128" s="131">
        <f>IF(N128="snížená",J128,0)</f>
        <v>0</v>
      </c>
      <c r="BG128" s="131">
        <f>IF(N128="zákl. přenesená",J128,0)</f>
        <v>0</v>
      </c>
      <c r="BH128" s="131">
        <f>IF(N128="sníž. přenesená",J128,0)</f>
        <v>0</v>
      </c>
      <c r="BI128" s="131">
        <f>IF(N128="nulová",J128,0)</f>
        <v>0</v>
      </c>
      <c r="BJ128" s="14" t="s">
        <v>19</v>
      </c>
      <c r="BK128" s="131">
        <f>ROUND(I128*H128,2)</f>
        <v>0</v>
      </c>
      <c r="BL128" s="14" t="s">
        <v>135</v>
      </c>
      <c r="BM128" s="130" t="s">
        <v>160</v>
      </c>
    </row>
    <row r="129" spans="2:65" s="1" customFormat="1" ht="38.4">
      <c r="B129" s="26"/>
      <c r="D129" s="132" t="s">
        <v>143</v>
      </c>
      <c r="F129" s="133" t="s">
        <v>161</v>
      </c>
      <c r="L129" s="26"/>
      <c r="M129" s="134"/>
      <c r="T129" s="50"/>
      <c r="AT129" s="14" t="s">
        <v>143</v>
      </c>
      <c r="AU129" s="14" t="s">
        <v>19</v>
      </c>
    </row>
    <row r="130" spans="2:65" s="1" customFormat="1" ht="38.4">
      <c r="B130" s="26"/>
      <c r="D130" s="132" t="s">
        <v>145</v>
      </c>
      <c r="F130" s="135" t="s">
        <v>162</v>
      </c>
      <c r="L130" s="26"/>
      <c r="M130" s="134"/>
      <c r="T130" s="50"/>
      <c r="AT130" s="14" t="s">
        <v>145</v>
      </c>
      <c r="AU130" s="14" t="s">
        <v>19</v>
      </c>
    </row>
    <row r="131" spans="2:65" s="1" customFormat="1" ht="24.15" customHeight="1">
      <c r="B131" s="119"/>
      <c r="C131" s="120" t="s">
        <v>135</v>
      </c>
      <c r="D131" s="120" t="s">
        <v>137</v>
      </c>
      <c r="E131" s="121" t="s">
        <v>163</v>
      </c>
      <c r="F131" s="122" t="s">
        <v>164</v>
      </c>
      <c r="G131" s="123" t="s">
        <v>140</v>
      </c>
      <c r="H131" s="124">
        <v>1</v>
      </c>
      <c r="I131" s="125">
        <v>0</v>
      </c>
      <c r="J131" s="125">
        <f>ROUND(I131*H131,2)</f>
        <v>0</v>
      </c>
      <c r="K131" s="122" t="s">
        <v>141</v>
      </c>
      <c r="L131" s="26"/>
      <c r="M131" s="126" t="s">
        <v>1</v>
      </c>
      <c r="N131" s="127" t="s">
        <v>46</v>
      </c>
      <c r="O131" s="128">
        <v>0</v>
      </c>
      <c r="P131" s="128">
        <f>O131*H131</f>
        <v>0</v>
      </c>
      <c r="Q131" s="128">
        <v>0</v>
      </c>
      <c r="R131" s="128">
        <f>Q131*H131</f>
        <v>0</v>
      </c>
      <c r="S131" s="128">
        <v>0</v>
      </c>
      <c r="T131" s="129">
        <f>S131*H131</f>
        <v>0</v>
      </c>
      <c r="AR131" s="130" t="s">
        <v>135</v>
      </c>
      <c r="AT131" s="130" t="s">
        <v>137</v>
      </c>
      <c r="AU131" s="130" t="s">
        <v>19</v>
      </c>
      <c r="AY131" s="14" t="s">
        <v>136</v>
      </c>
      <c r="BE131" s="131">
        <f>IF(N131="základní",J131,0)</f>
        <v>0</v>
      </c>
      <c r="BF131" s="131">
        <f>IF(N131="snížená",J131,0)</f>
        <v>0</v>
      </c>
      <c r="BG131" s="131">
        <f>IF(N131="zákl. přenesená",J131,0)</f>
        <v>0</v>
      </c>
      <c r="BH131" s="131">
        <f>IF(N131="sníž. přenesená",J131,0)</f>
        <v>0</v>
      </c>
      <c r="BI131" s="131">
        <f>IF(N131="nulová",J131,0)</f>
        <v>0</v>
      </c>
      <c r="BJ131" s="14" t="s">
        <v>19</v>
      </c>
      <c r="BK131" s="131">
        <f>ROUND(I131*H131,2)</f>
        <v>0</v>
      </c>
      <c r="BL131" s="14" t="s">
        <v>135</v>
      </c>
      <c r="BM131" s="130" t="s">
        <v>165</v>
      </c>
    </row>
    <row r="132" spans="2:65" s="1" customFormat="1" ht="19.2">
      <c r="B132" s="26"/>
      <c r="D132" s="132" t="s">
        <v>143</v>
      </c>
      <c r="F132" s="133" t="s">
        <v>166</v>
      </c>
      <c r="L132" s="26"/>
      <c r="M132" s="134"/>
      <c r="T132" s="50"/>
      <c r="AT132" s="14" t="s">
        <v>143</v>
      </c>
      <c r="AU132" s="14" t="s">
        <v>19</v>
      </c>
    </row>
    <row r="133" spans="2:65" s="1" customFormat="1" ht="86.4">
      <c r="B133" s="26"/>
      <c r="D133" s="132" t="s">
        <v>145</v>
      </c>
      <c r="F133" s="135" t="s">
        <v>167</v>
      </c>
      <c r="L133" s="26"/>
      <c r="M133" s="134"/>
      <c r="T133" s="50"/>
      <c r="AT133" s="14" t="s">
        <v>145</v>
      </c>
      <c r="AU133" s="14" t="s">
        <v>19</v>
      </c>
    </row>
    <row r="134" spans="2:65" s="11" customFormat="1">
      <c r="B134" s="136"/>
      <c r="D134" s="132" t="s">
        <v>147</v>
      </c>
      <c r="E134" s="137" t="s">
        <v>168</v>
      </c>
      <c r="F134" s="138" t="s">
        <v>19</v>
      </c>
      <c r="H134" s="139">
        <v>1</v>
      </c>
      <c r="L134" s="136"/>
      <c r="M134" s="140"/>
      <c r="T134" s="141"/>
      <c r="AT134" s="137" t="s">
        <v>147</v>
      </c>
      <c r="AU134" s="137" t="s">
        <v>19</v>
      </c>
      <c r="AV134" s="11" t="s">
        <v>149</v>
      </c>
      <c r="AW134" s="11" t="s">
        <v>39</v>
      </c>
      <c r="AX134" s="11" t="s">
        <v>19</v>
      </c>
      <c r="AY134" s="137" t="s">
        <v>136</v>
      </c>
    </row>
    <row r="135" spans="2:65" s="1" customFormat="1" ht="16.5" customHeight="1">
      <c r="B135" s="119"/>
      <c r="C135" s="120" t="s">
        <v>169</v>
      </c>
      <c r="D135" s="120" t="s">
        <v>137</v>
      </c>
      <c r="E135" s="121" t="s">
        <v>170</v>
      </c>
      <c r="F135" s="122" t="s">
        <v>171</v>
      </c>
      <c r="G135" s="123" t="s">
        <v>152</v>
      </c>
      <c r="H135" s="124">
        <v>2</v>
      </c>
      <c r="I135" s="125">
        <v>0</v>
      </c>
      <c r="J135" s="125">
        <f>ROUND(I135*H135,2)</f>
        <v>0</v>
      </c>
      <c r="K135" s="122" t="s">
        <v>141</v>
      </c>
      <c r="L135" s="26"/>
      <c r="M135" s="126" t="s">
        <v>1</v>
      </c>
      <c r="N135" s="127" t="s">
        <v>46</v>
      </c>
      <c r="O135" s="128">
        <v>0</v>
      </c>
      <c r="P135" s="128">
        <f>O135*H135</f>
        <v>0</v>
      </c>
      <c r="Q135" s="128">
        <v>0</v>
      </c>
      <c r="R135" s="128">
        <f>Q135*H135</f>
        <v>0</v>
      </c>
      <c r="S135" s="128">
        <v>0</v>
      </c>
      <c r="T135" s="129">
        <f>S135*H135</f>
        <v>0</v>
      </c>
      <c r="AR135" s="130" t="s">
        <v>135</v>
      </c>
      <c r="AT135" s="130" t="s">
        <v>137</v>
      </c>
      <c r="AU135" s="130" t="s">
        <v>19</v>
      </c>
      <c r="AY135" s="14" t="s">
        <v>136</v>
      </c>
      <c r="BE135" s="131">
        <f>IF(N135="základní",J135,0)</f>
        <v>0</v>
      </c>
      <c r="BF135" s="131">
        <f>IF(N135="snížená",J135,0)</f>
        <v>0</v>
      </c>
      <c r="BG135" s="131">
        <f>IF(N135="zákl. přenesená",J135,0)</f>
        <v>0</v>
      </c>
      <c r="BH135" s="131">
        <f>IF(N135="sníž. přenesená",J135,0)</f>
        <v>0</v>
      </c>
      <c r="BI135" s="131">
        <f>IF(N135="nulová",J135,0)</f>
        <v>0</v>
      </c>
      <c r="BJ135" s="14" t="s">
        <v>19</v>
      </c>
      <c r="BK135" s="131">
        <f>ROUND(I135*H135,2)</f>
        <v>0</v>
      </c>
      <c r="BL135" s="14" t="s">
        <v>135</v>
      </c>
      <c r="BM135" s="130" t="s">
        <v>172</v>
      </c>
    </row>
    <row r="136" spans="2:65" s="1" customFormat="1">
      <c r="B136" s="26"/>
      <c r="D136" s="132" t="s">
        <v>143</v>
      </c>
      <c r="F136" s="133" t="s">
        <v>173</v>
      </c>
      <c r="L136" s="26"/>
      <c r="M136" s="134"/>
      <c r="T136" s="50"/>
      <c r="AT136" s="14" t="s">
        <v>143</v>
      </c>
      <c r="AU136" s="14" t="s">
        <v>19</v>
      </c>
    </row>
    <row r="137" spans="2:65" s="1" customFormat="1" ht="76.8">
      <c r="B137" s="26"/>
      <c r="D137" s="132" t="s">
        <v>145</v>
      </c>
      <c r="F137" s="135" t="s">
        <v>174</v>
      </c>
      <c r="L137" s="26"/>
      <c r="M137" s="134"/>
      <c r="T137" s="50"/>
      <c r="AT137" s="14" t="s">
        <v>145</v>
      </c>
      <c r="AU137" s="14" t="s">
        <v>19</v>
      </c>
    </row>
    <row r="138" spans="2:65" s="11" customFormat="1">
      <c r="B138" s="136"/>
      <c r="D138" s="132" t="s">
        <v>147</v>
      </c>
      <c r="E138" s="137" t="s">
        <v>175</v>
      </c>
      <c r="F138" s="138" t="s">
        <v>149</v>
      </c>
      <c r="H138" s="139">
        <v>2</v>
      </c>
      <c r="L138" s="136"/>
      <c r="M138" s="140"/>
      <c r="T138" s="141"/>
      <c r="AT138" s="137" t="s">
        <v>147</v>
      </c>
      <c r="AU138" s="137" t="s">
        <v>19</v>
      </c>
      <c r="AV138" s="11" t="s">
        <v>149</v>
      </c>
      <c r="AW138" s="11" t="s">
        <v>39</v>
      </c>
      <c r="AX138" s="11" t="s">
        <v>19</v>
      </c>
      <c r="AY138" s="137" t="s">
        <v>136</v>
      </c>
    </row>
    <row r="139" spans="2:65" s="1" customFormat="1" ht="24.15" customHeight="1">
      <c r="B139" s="119"/>
      <c r="C139" s="120" t="s">
        <v>176</v>
      </c>
      <c r="D139" s="120" t="s">
        <v>137</v>
      </c>
      <c r="E139" s="121" t="s">
        <v>177</v>
      </c>
      <c r="F139" s="122" t="s">
        <v>178</v>
      </c>
      <c r="G139" s="123" t="s">
        <v>140</v>
      </c>
      <c r="H139" s="124">
        <v>1</v>
      </c>
      <c r="I139" s="125">
        <v>0</v>
      </c>
      <c r="J139" s="125">
        <f>ROUND(I139*H139,2)</f>
        <v>0</v>
      </c>
      <c r="K139" s="122" t="s">
        <v>141</v>
      </c>
      <c r="L139" s="26"/>
      <c r="M139" s="126" t="s">
        <v>1</v>
      </c>
      <c r="N139" s="127" t="s">
        <v>46</v>
      </c>
      <c r="O139" s="128">
        <v>0</v>
      </c>
      <c r="P139" s="128">
        <f>O139*H139</f>
        <v>0</v>
      </c>
      <c r="Q139" s="128">
        <v>0</v>
      </c>
      <c r="R139" s="128">
        <f>Q139*H139</f>
        <v>0</v>
      </c>
      <c r="S139" s="128">
        <v>0</v>
      </c>
      <c r="T139" s="129">
        <f>S139*H139</f>
        <v>0</v>
      </c>
      <c r="AR139" s="130" t="s">
        <v>135</v>
      </c>
      <c r="AT139" s="130" t="s">
        <v>137</v>
      </c>
      <c r="AU139" s="130" t="s">
        <v>19</v>
      </c>
      <c r="AY139" s="14" t="s">
        <v>136</v>
      </c>
      <c r="BE139" s="131">
        <f>IF(N139="základní",J139,0)</f>
        <v>0</v>
      </c>
      <c r="BF139" s="131">
        <f>IF(N139="snížená",J139,0)</f>
        <v>0</v>
      </c>
      <c r="BG139" s="131">
        <f>IF(N139="zákl. přenesená",J139,0)</f>
        <v>0</v>
      </c>
      <c r="BH139" s="131">
        <f>IF(N139="sníž. přenesená",J139,0)</f>
        <v>0</v>
      </c>
      <c r="BI139" s="131">
        <f>IF(N139="nulová",J139,0)</f>
        <v>0</v>
      </c>
      <c r="BJ139" s="14" t="s">
        <v>19</v>
      </c>
      <c r="BK139" s="131">
        <f>ROUND(I139*H139,2)</f>
        <v>0</v>
      </c>
      <c r="BL139" s="14" t="s">
        <v>135</v>
      </c>
      <c r="BM139" s="130" t="s">
        <v>179</v>
      </c>
    </row>
    <row r="140" spans="2:65" s="1" customFormat="1">
      <c r="B140" s="26"/>
      <c r="D140" s="132" t="s">
        <v>143</v>
      </c>
      <c r="F140" s="133" t="s">
        <v>178</v>
      </c>
      <c r="L140" s="26"/>
      <c r="M140" s="134"/>
      <c r="T140" s="50"/>
      <c r="AT140" s="14" t="s">
        <v>143</v>
      </c>
      <c r="AU140" s="14" t="s">
        <v>19</v>
      </c>
    </row>
    <row r="141" spans="2:65" s="1" customFormat="1" ht="38.4">
      <c r="B141" s="26"/>
      <c r="D141" s="132" t="s">
        <v>145</v>
      </c>
      <c r="F141" s="135" t="s">
        <v>180</v>
      </c>
      <c r="L141" s="26"/>
      <c r="M141" s="134"/>
      <c r="T141" s="50"/>
      <c r="AT141" s="14" t="s">
        <v>145</v>
      </c>
      <c r="AU141" s="14" t="s">
        <v>19</v>
      </c>
    </row>
    <row r="142" spans="2:65" s="11" customFormat="1">
      <c r="B142" s="136"/>
      <c r="D142" s="132" t="s">
        <v>147</v>
      </c>
      <c r="E142" s="137" t="s">
        <v>181</v>
      </c>
      <c r="F142" s="138" t="s">
        <v>19</v>
      </c>
      <c r="H142" s="139">
        <v>1</v>
      </c>
      <c r="L142" s="136"/>
      <c r="M142" s="140"/>
      <c r="T142" s="141"/>
      <c r="AT142" s="137" t="s">
        <v>147</v>
      </c>
      <c r="AU142" s="137" t="s">
        <v>19</v>
      </c>
      <c r="AV142" s="11" t="s">
        <v>149</v>
      </c>
      <c r="AW142" s="11" t="s">
        <v>39</v>
      </c>
      <c r="AX142" s="11" t="s">
        <v>19</v>
      </c>
      <c r="AY142" s="137" t="s">
        <v>136</v>
      </c>
    </row>
    <row r="143" spans="2:65" s="1" customFormat="1" ht="24.15" customHeight="1">
      <c r="B143" s="119"/>
      <c r="C143" s="120" t="s">
        <v>182</v>
      </c>
      <c r="D143" s="120" t="s">
        <v>137</v>
      </c>
      <c r="E143" s="121" t="s">
        <v>183</v>
      </c>
      <c r="F143" s="122" t="s">
        <v>184</v>
      </c>
      <c r="G143" s="123" t="s">
        <v>140</v>
      </c>
      <c r="H143" s="124">
        <v>1</v>
      </c>
      <c r="I143" s="125">
        <v>0</v>
      </c>
      <c r="J143" s="125">
        <f>ROUND(I143*H143,2)</f>
        <v>0</v>
      </c>
      <c r="K143" s="122" t="s">
        <v>141</v>
      </c>
      <c r="L143" s="26"/>
      <c r="M143" s="126" t="s">
        <v>1</v>
      </c>
      <c r="N143" s="127" t="s">
        <v>46</v>
      </c>
      <c r="O143" s="128">
        <v>0</v>
      </c>
      <c r="P143" s="128">
        <f>O143*H143</f>
        <v>0</v>
      </c>
      <c r="Q143" s="128">
        <v>0</v>
      </c>
      <c r="R143" s="128">
        <f>Q143*H143</f>
        <v>0</v>
      </c>
      <c r="S143" s="128">
        <v>0</v>
      </c>
      <c r="T143" s="129">
        <f>S143*H143</f>
        <v>0</v>
      </c>
      <c r="AR143" s="130" t="s">
        <v>135</v>
      </c>
      <c r="AT143" s="130" t="s">
        <v>137</v>
      </c>
      <c r="AU143" s="130" t="s">
        <v>19</v>
      </c>
      <c r="AY143" s="14" t="s">
        <v>136</v>
      </c>
      <c r="BE143" s="131">
        <f>IF(N143="základní",J143,0)</f>
        <v>0</v>
      </c>
      <c r="BF143" s="131">
        <f>IF(N143="snížená",J143,0)</f>
        <v>0</v>
      </c>
      <c r="BG143" s="131">
        <f>IF(N143="zákl. přenesená",J143,0)</f>
        <v>0</v>
      </c>
      <c r="BH143" s="131">
        <f>IF(N143="sníž. přenesená",J143,0)</f>
        <v>0</v>
      </c>
      <c r="BI143" s="131">
        <f>IF(N143="nulová",J143,0)</f>
        <v>0</v>
      </c>
      <c r="BJ143" s="14" t="s">
        <v>19</v>
      </c>
      <c r="BK143" s="131">
        <f>ROUND(I143*H143,2)</f>
        <v>0</v>
      </c>
      <c r="BL143" s="14" t="s">
        <v>135</v>
      </c>
      <c r="BM143" s="130" t="s">
        <v>185</v>
      </c>
    </row>
    <row r="144" spans="2:65" s="1" customFormat="1">
      <c r="B144" s="26"/>
      <c r="D144" s="132" t="s">
        <v>143</v>
      </c>
      <c r="F144" s="133" t="s">
        <v>186</v>
      </c>
      <c r="L144" s="26"/>
      <c r="M144" s="134"/>
      <c r="T144" s="50"/>
      <c r="AT144" s="14" t="s">
        <v>143</v>
      </c>
      <c r="AU144" s="14" t="s">
        <v>19</v>
      </c>
    </row>
    <row r="145" spans="2:65" s="1" customFormat="1" ht="28.8">
      <c r="B145" s="26"/>
      <c r="D145" s="132" t="s">
        <v>145</v>
      </c>
      <c r="F145" s="135" t="s">
        <v>187</v>
      </c>
      <c r="L145" s="26"/>
      <c r="M145" s="134"/>
      <c r="T145" s="50"/>
      <c r="AT145" s="14" t="s">
        <v>145</v>
      </c>
      <c r="AU145" s="14" t="s">
        <v>19</v>
      </c>
    </row>
    <row r="146" spans="2:65" s="11" customFormat="1">
      <c r="B146" s="136"/>
      <c r="D146" s="132" t="s">
        <v>147</v>
      </c>
      <c r="E146" s="137" t="s">
        <v>188</v>
      </c>
      <c r="F146" s="138" t="s">
        <v>19</v>
      </c>
      <c r="H146" s="139">
        <v>1</v>
      </c>
      <c r="L146" s="136"/>
      <c r="M146" s="140"/>
      <c r="T146" s="141"/>
      <c r="AT146" s="137" t="s">
        <v>147</v>
      </c>
      <c r="AU146" s="137" t="s">
        <v>19</v>
      </c>
      <c r="AV146" s="11" t="s">
        <v>149</v>
      </c>
      <c r="AW146" s="11" t="s">
        <v>39</v>
      </c>
      <c r="AX146" s="11" t="s">
        <v>19</v>
      </c>
      <c r="AY146" s="137" t="s">
        <v>136</v>
      </c>
    </row>
    <row r="147" spans="2:65" s="1" customFormat="1" ht="24.15" customHeight="1">
      <c r="B147" s="119"/>
      <c r="C147" s="120" t="s">
        <v>189</v>
      </c>
      <c r="D147" s="120" t="s">
        <v>137</v>
      </c>
      <c r="E147" s="121" t="s">
        <v>190</v>
      </c>
      <c r="F147" s="122" t="s">
        <v>191</v>
      </c>
      <c r="G147" s="123" t="s">
        <v>140</v>
      </c>
      <c r="H147" s="124">
        <v>1</v>
      </c>
      <c r="I147" s="125">
        <v>0</v>
      </c>
      <c r="J147" s="125">
        <f>ROUND(I147*H147,2)</f>
        <v>0</v>
      </c>
      <c r="K147" s="122" t="s">
        <v>141</v>
      </c>
      <c r="L147" s="26"/>
      <c r="M147" s="126" t="s">
        <v>1</v>
      </c>
      <c r="N147" s="127" t="s">
        <v>46</v>
      </c>
      <c r="O147" s="128">
        <v>0</v>
      </c>
      <c r="P147" s="128">
        <f>O147*H147</f>
        <v>0</v>
      </c>
      <c r="Q147" s="128">
        <v>0</v>
      </c>
      <c r="R147" s="128">
        <f>Q147*H147</f>
        <v>0</v>
      </c>
      <c r="S147" s="128">
        <v>0</v>
      </c>
      <c r="T147" s="129">
        <f>S147*H147</f>
        <v>0</v>
      </c>
      <c r="AR147" s="130" t="s">
        <v>135</v>
      </c>
      <c r="AT147" s="130" t="s">
        <v>137</v>
      </c>
      <c r="AU147" s="130" t="s">
        <v>19</v>
      </c>
      <c r="AY147" s="14" t="s">
        <v>136</v>
      </c>
      <c r="BE147" s="131">
        <f>IF(N147="základní",J147,0)</f>
        <v>0</v>
      </c>
      <c r="BF147" s="131">
        <f>IF(N147="snížená",J147,0)</f>
        <v>0</v>
      </c>
      <c r="BG147" s="131">
        <f>IF(N147="zákl. přenesená",J147,0)</f>
        <v>0</v>
      </c>
      <c r="BH147" s="131">
        <f>IF(N147="sníž. přenesená",J147,0)</f>
        <v>0</v>
      </c>
      <c r="BI147" s="131">
        <f>IF(N147="nulová",J147,0)</f>
        <v>0</v>
      </c>
      <c r="BJ147" s="14" t="s">
        <v>19</v>
      </c>
      <c r="BK147" s="131">
        <f>ROUND(I147*H147,2)</f>
        <v>0</v>
      </c>
      <c r="BL147" s="14" t="s">
        <v>135</v>
      </c>
      <c r="BM147" s="130" t="s">
        <v>192</v>
      </c>
    </row>
    <row r="148" spans="2:65" s="1" customFormat="1" ht="19.2">
      <c r="B148" s="26"/>
      <c r="D148" s="132" t="s">
        <v>143</v>
      </c>
      <c r="F148" s="133" t="s">
        <v>193</v>
      </c>
      <c r="L148" s="26"/>
      <c r="M148" s="134"/>
      <c r="T148" s="50"/>
      <c r="AT148" s="14" t="s">
        <v>143</v>
      </c>
      <c r="AU148" s="14" t="s">
        <v>19</v>
      </c>
    </row>
    <row r="149" spans="2:65" s="1" customFormat="1" ht="28.8">
      <c r="B149" s="26"/>
      <c r="D149" s="132" t="s">
        <v>145</v>
      </c>
      <c r="F149" s="135" t="s">
        <v>194</v>
      </c>
      <c r="L149" s="26"/>
      <c r="M149" s="134"/>
      <c r="T149" s="50"/>
      <c r="AT149" s="14" t="s">
        <v>145</v>
      </c>
      <c r="AU149" s="14" t="s">
        <v>19</v>
      </c>
    </row>
    <row r="150" spans="2:65" s="11" customFormat="1">
      <c r="B150" s="136"/>
      <c r="D150" s="132" t="s">
        <v>147</v>
      </c>
      <c r="E150" s="137" t="s">
        <v>195</v>
      </c>
      <c r="F150" s="138" t="s">
        <v>19</v>
      </c>
      <c r="H150" s="139">
        <v>1</v>
      </c>
      <c r="L150" s="136"/>
      <c r="M150" s="140"/>
      <c r="T150" s="141"/>
      <c r="AT150" s="137" t="s">
        <v>147</v>
      </c>
      <c r="AU150" s="137" t="s">
        <v>19</v>
      </c>
      <c r="AV150" s="11" t="s">
        <v>149</v>
      </c>
      <c r="AW150" s="11" t="s">
        <v>39</v>
      </c>
      <c r="AX150" s="11" t="s">
        <v>19</v>
      </c>
      <c r="AY150" s="137" t="s">
        <v>136</v>
      </c>
    </row>
    <row r="151" spans="2:65" s="10" customFormat="1" ht="25.95" customHeight="1">
      <c r="B151" s="110"/>
      <c r="D151" s="111" t="s">
        <v>80</v>
      </c>
      <c r="E151" s="112" t="s">
        <v>19</v>
      </c>
      <c r="F151" s="112" t="s">
        <v>196</v>
      </c>
      <c r="J151" s="113">
        <f>BK151</f>
        <v>0</v>
      </c>
      <c r="L151" s="110"/>
      <c r="M151" s="114"/>
      <c r="P151" s="115">
        <f>SUM(P152:P155)</f>
        <v>0</v>
      </c>
      <c r="R151" s="115">
        <f>SUM(R152:R155)</f>
        <v>0</v>
      </c>
      <c r="T151" s="116">
        <f>SUM(T152:T155)</f>
        <v>0</v>
      </c>
      <c r="AR151" s="111" t="s">
        <v>135</v>
      </c>
      <c r="AT151" s="117" t="s">
        <v>80</v>
      </c>
      <c r="AU151" s="117" t="s">
        <v>81</v>
      </c>
      <c r="AY151" s="111" t="s">
        <v>136</v>
      </c>
      <c r="BK151" s="118">
        <f>SUM(BK152:BK155)</f>
        <v>0</v>
      </c>
    </row>
    <row r="152" spans="2:65" s="1" customFormat="1" ht="16.5" customHeight="1">
      <c r="B152" s="119"/>
      <c r="C152" s="120" t="s">
        <v>197</v>
      </c>
      <c r="D152" s="120" t="s">
        <v>137</v>
      </c>
      <c r="E152" s="121" t="s">
        <v>198</v>
      </c>
      <c r="F152" s="122" t="s">
        <v>199</v>
      </c>
      <c r="G152" s="123" t="s">
        <v>140</v>
      </c>
      <c r="H152" s="124">
        <v>1</v>
      </c>
      <c r="I152" s="125">
        <v>0</v>
      </c>
      <c r="J152" s="125">
        <f>ROUND(I152*H152,2)</f>
        <v>0</v>
      </c>
      <c r="K152" s="122" t="s">
        <v>1</v>
      </c>
      <c r="L152" s="26"/>
      <c r="M152" s="126" t="s">
        <v>1</v>
      </c>
      <c r="N152" s="127" t="s">
        <v>46</v>
      </c>
      <c r="O152" s="128">
        <v>0</v>
      </c>
      <c r="P152" s="128">
        <f>O152*H152</f>
        <v>0</v>
      </c>
      <c r="Q152" s="128">
        <v>0</v>
      </c>
      <c r="R152" s="128">
        <f>Q152*H152</f>
        <v>0</v>
      </c>
      <c r="S152" s="128">
        <v>0</v>
      </c>
      <c r="T152" s="129">
        <f>S152*H152</f>
        <v>0</v>
      </c>
      <c r="AR152" s="130" t="s">
        <v>135</v>
      </c>
      <c r="AT152" s="130" t="s">
        <v>137</v>
      </c>
      <c r="AU152" s="130" t="s">
        <v>19</v>
      </c>
      <c r="AY152" s="14" t="s">
        <v>136</v>
      </c>
      <c r="BE152" s="131">
        <f>IF(N152="základní",J152,0)</f>
        <v>0</v>
      </c>
      <c r="BF152" s="131">
        <f>IF(N152="snížená",J152,0)</f>
        <v>0</v>
      </c>
      <c r="BG152" s="131">
        <f>IF(N152="zákl. přenesená",J152,0)</f>
        <v>0</v>
      </c>
      <c r="BH152" s="131">
        <f>IF(N152="sníž. přenesená",J152,0)</f>
        <v>0</v>
      </c>
      <c r="BI152" s="131">
        <f>IF(N152="nulová",J152,0)</f>
        <v>0</v>
      </c>
      <c r="BJ152" s="14" t="s">
        <v>19</v>
      </c>
      <c r="BK152" s="131">
        <f>ROUND(I152*H152,2)</f>
        <v>0</v>
      </c>
      <c r="BL152" s="14" t="s">
        <v>135</v>
      </c>
      <c r="BM152" s="130" t="s">
        <v>200</v>
      </c>
    </row>
    <row r="153" spans="2:65" s="1" customFormat="1">
      <c r="B153" s="26"/>
      <c r="D153" s="132" t="s">
        <v>143</v>
      </c>
      <c r="F153" s="133" t="s">
        <v>201</v>
      </c>
      <c r="L153" s="26"/>
      <c r="M153" s="134"/>
      <c r="T153" s="50"/>
      <c r="AT153" s="14" t="s">
        <v>143</v>
      </c>
      <c r="AU153" s="14" t="s">
        <v>19</v>
      </c>
    </row>
    <row r="154" spans="2:65" s="1" customFormat="1" ht="76.8">
      <c r="B154" s="26"/>
      <c r="D154" s="132" t="s">
        <v>145</v>
      </c>
      <c r="F154" s="135" t="s">
        <v>202</v>
      </c>
      <c r="L154" s="26"/>
      <c r="M154" s="134"/>
      <c r="T154" s="50"/>
      <c r="AT154" s="14" t="s">
        <v>145</v>
      </c>
      <c r="AU154" s="14" t="s">
        <v>19</v>
      </c>
    </row>
    <row r="155" spans="2:65" s="11" customFormat="1">
      <c r="B155" s="136"/>
      <c r="D155" s="132" t="s">
        <v>147</v>
      </c>
      <c r="E155" s="137" t="s">
        <v>203</v>
      </c>
      <c r="F155" s="138" t="s">
        <v>19</v>
      </c>
      <c r="H155" s="139">
        <v>1</v>
      </c>
      <c r="L155" s="136"/>
      <c r="M155" s="142"/>
      <c r="N155" s="143"/>
      <c r="O155" s="143"/>
      <c r="P155" s="143"/>
      <c r="Q155" s="143"/>
      <c r="R155" s="143"/>
      <c r="S155" s="143"/>
      <c r="T155" s="144"/>
      <c r="AT155" s="137" t="s">
        <v>147</v>
      </c>
      <c r="AU155" s="137" t="s">
        <v>19</v>
      </c>
      <c r="AV155" s="11" t="s">
        <v>149</v>
      </c>
      <c r="AW155" s="11" t="s">
        <v>39</v>
      </c>
      <c r="AX155" s="11" t="s">
        <v>19</v>
      </c>
      <c r="AY155" s="137" t="s">
        <v>136</v>
      </c>
    </row>
    <row r="156" spans="2:65" s="1" customFormat="1" ht="6.9" customHeight="1">
      <c r="B156" s="38"/>
      <c r="C156" s="39"/>
      <c r="D156" s="39"/>
      <c r="E156" s="39"/>
      <c r="F156" s="39"/>
      <c r="G156" s="39"/>
      <c r="H156" s="39"/>
      <c r="I156" s="39"/>
      <c r="J156" s="39"/>
      <c r="K156" s="39"/>
      <c r="L156" s="26"/>
    </row>
  </sheetData>
  <autoFilter ref="C117:K155" xr:uid="{00000000-0009-0000-0000-000001000000}"/>
  <mergeCells count="9">
    <mergeCell ref="E87:H87"/>
    <mergeCell ref="E108:H108"/>
    <mergeCell ref="E110:H110"/>
    <mergeCell ref="L2:V2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BM515"/>
  <sheetViews>
    <sheetView showGridLines="0" workbookViewId="0"/>
  </sheetViews>
  <sheetFormatPr defaultRowHeight="10.199999999999999"/>
  <cols>
    <col min="1" max="1" width="8.28515625" customWidth="1"/>
    <col min="2" max="2" width="1.140625" customWidth="1"/>
    <col min="3" max="3" width="4.140625" customWidth="1"/>
    <col min="4" max="4" width="4.28515625" customWidth="1"/>
    <col min="5" max="5" width="17.140625" customWidth="1"/>
    <col min="6" max="6" width="50.85546875" customWidth="1"/>
    <col min="7" max="7" width="7.42578125" customWidth="1"/>
    <col min="8" max="8" width="14" customWidth="1"/>
    <col min="9" max="9" width="15.85546875" customWidth="1"/>
    <col min="10" max="11" width="22.28515625" customWidth="1"/>
    <col min="12" max="12" width="9.28515625" customWidth="1"/>
    <col min="13" max="13" width="10.85546875" hidden="1" customWidth="1"/>
    <col min="14" max="14" width="9.28515625" hidden="1"/>
    <col min="15" max="20" width="14.140625" hidden="1" customWidth="1"/>
    <col min="21" max="21" width="16.28515625" hidden="1" customWidth="1"/>
    <col min="22" max="22" width="12.28515625" customWidth="1"/>
    <col min="23" max="23" width="16.28515625" customWidth="1"/>
    <col min="24" max="24" width="12.28515625" customWidth="1"/>
    <col min="25" max="25" width="15" customWidth="1"/>
    <col min="26" max="26" width="11" customWidth="1"/>
    <col min="27" max="27" width="15" customWidth="1"/>
    <col min="28" max="28" width="16.28515625" customWidth="1"/>
    <col min="29" max="29" width="11" customWidth="1"/>
    <col min="30" max="30" width="15" customWidth="1"/>
    <col min="31" max="31" width="16.28515625" customWidth="1"/>
    <col min="44" max="65" width="9.28515625" hidden="1"/>
  </cols>
  <sheetData>
    <row r="2" spans="2:56" ht="36.9" customHeight="1">
      <c r="L2" s="197" t="s">
        <v>5</v>
      </c>
      <c r="M2" s="191"/>
      <c r="N2" s="191"/>
      <c r="O2" s="191"/>
      <c r="P2" s="191"/>
      <c r="Q2" s="191"/>
      <c r="R2" s="191"/>
      <c r="S2" s="191"/>
      <c r="T2" s="191"/>
      <c r="U2" s="191"/>
      <c r="V2" s="191"/>
      <c r="AT2" s="14" t="s">
        <v>93</v>
      </c>
      <c r="AZ2" s="145" t="s">
        <v>204</v>
      </c>
      <c r="BA2" s="145" t="s">
        <v>204</v>
      </c>
      <c r="BB2" s="145" t="s">
        <v>1</v>
      </c>
      <c r="BC2" s="145" t="s">
        <v>205</v>
      </c>
      <c r="BD2" s="145" t="s">
        <v>149</v>
      </c>
    </row>
    <row r="3" spans="2:56" ht="6.9" hidden="1" customHeight="1">
      <c r="B3" s="15"/>
      <c r="C3" s="16"/>
      <c r="D3" s="16"/>
      <c r="E3" s="16"/>
      <c r="F3" s="16"/>
      <c r="G3" s="16"/>
      <c r="H3" s="16"/>
      <c r="I3" s="16"/>
      <c r="J3" s="16"/>
      <c r="K3" s="16"/>
      <c r="L3" s="17"/>
      <c r="AT3" s="14" t="s">
        <v>90</v>
      </c>
    </row>
    <row r="4" spans="2:56" ht="24.9" hidden="1" customHeight="1">
      <c r="B4" s="17"/>
      <c r="D4" s="18" t="s">
        <v>112</v>
      </c>
      <c r="L4" s="17"/>
      <c r="M4" s="82" t="s">
        <v>10</v>
      </c>
      <c r="AT4" s="14" t="s">
        <v>3</v>
      </c>
    </row>
    <row r="5" spans="2:56" ht="6.9" hidden="1" customHeight="1">
      <c r="B5" s="17"/>
      <c r="L5" s="17"/>
    </row>
    <row r="6" spans="2:56" ht="12" hidden="1" customHeight="1">
      <c r="B6" s="17"/>
      <c r="D6" s="23" t="s">
        <v>14</v>
      </c>
      <c r="L6" s="17"/>
    </row>
    <row r="7" spans="2:56" ht="16.5" hidden="1" customHeight="1">
      <c r="B7" s="17"/>
      <c r="E7" s="203" t="str">
        <f>'Rekapitulace stavby'!K6</f>
        <v>I/26 Kyšice - Plzeň, Hřbitovní</v>
      </c>
      <c r="F7" s="204"/>
      <c r="G7" s="204"/>
      <c r="H7" s="204"/>
      <c r="L7" s="17"/>
    </row>
    <row r="8" spans="2:56" s="1" customFormat="1" ht="12" hidden="1" customHeight="1">
      <c r="B8" s="26"/>
      <c r="D8" s="23" t="s">
        <v>113</v>
      </c>
      <c r="L8" s="26"/>
    </row>
    <row r="9" spans="2:56" s="1" customFormat="1" ht="16.5" hidden="1" customHeight="1">
      <c r="B9" s="26"/>
      <c r="E9" s="168" t="s">
        <v>206</v>
      </c>
      <c r="F9" s="202"/>
      <c r="G9" s="202"/>
      <c r="H9" s="202"/>
      <c r="L9" s="26"/>
    </row>
    <row r="10" spans="2:56" s="1" customFormat="1" hidden="1">
      <c r="B10" s="26"/>
      <c r="L10" s="26"/>
    </row>
    <row r="11" spans="2:56" s="1" customFormat="1" ht="12" hidden="1" customHeight="1">
      <c r="B11" s="26"/>
      <c r="D11" s="23" t="s">
        <v>17</v>
      </c>
      <c r="F11" s="21" t="s">
        <v>1</v>
      </c>
      <c r="I11" s="23" t="s">
        <v>18</v>
      </c>
      <c r="J11" s="21" t="s">
        <v>1</v>
      </c>
      <c r="L11" s="26"/>
    </row>
    <row r="12" spans="2:56" s="1" customFormat="1" ht="12" hidden="1" customHeight="1">
      <c r="B12" s="26"/>
      <c r="D12" s="23" t="s">
        <v>20</v>
      </c>
      <c r="F12" s="21" t="s">
        <v>21</v>
      </c>
      <c r="I12" s="23" t="s">
        <v>22</v>
      </c>
      <c r="J12" s="46" t="str">
        <f>'Rekapitulace stavby'!AN8</f>
        <v>20. 1. 2026</v>
      </c>
      <c r="L12" s="26"/>
    </row>
    <row r="13" spans="2:56" s="1" customFormat="1" ht="10.95" hidden="1" customHeight="1">
      <c r="B13" s="26"/>
      <c r="L13" s="26"/>
    </row>
    <row r="14" spans="2:56" s="1" customFormat="1" ht="12" hidden="1" customHeight="1">
      <c r="B14" s="26"/>
      <c r="D14" s="23" t="s">
        <v>26</v>
      </c>
      <c r="I14" s="23" t="s">
        <v>27</v>
      </c>
      <c r="J14" s="21" t="s">
        <v>28</v>
      </c>
      <c r="L14" s="26"/>
    </row>
    <row r="15" spans="2:56" s="1" customFormat="1" ht="18" hidden="1" customHeight="1">
      <c r="B15" s="26"/>
      <c r="E15" s="21" t="s">
        <v>29</v>
      </c>
      <c r="I15" s="23" t="s">
        <v>30</v>
      </c>
      <c r="J15" s="21" t="s">
        <v>31</v>
      </c>
      <c r="L15" s="26"/>
    </row>
    <row r="16" spans="2:56" s="1" customFormat="1" ht="6.9" hidden="1" customHeight="1">
      <c r="B16" s="26"/>
      <c r="L16" s="26"/>
    </row>
    <row r="17" spans="2:12" s="1" customFormat="1" ht="12" hidden="1" customHeight="1">
      <c r="B17" s="26"/>
      <c r="D17" s="23" t="s">
        <v>32</v>
      </c>
      <c r="I17" s="23" t="s">
        <v>27</v>
      </c>
      <c r="J17" s="21" t="str">
        <f>'Rekapitulace stavby'!AN13</f>
        <v/>
      </c>
      <c r="L17" s="26"/>
    </row>
    <row r="18" spans="2:12" s="1" customFormat="1" ht="18" hidden="1" customHeight="1">
      <c r="B18" s="26"/>
      <c r="E18" s="190" t="str">
        <f>'Rekapitulace stavby'!E14</f>
        <v xml:space="preserve"> </v>
      </c>
      <c r="F18" s="190"/>
      <c r="G18" s="190"/>
      <c r="H18" s="190"/>
      <c r="I18" s="23" t="s">
        <v>30</v>
      </c>
      <c r="J18" s="21" t="str">
        <f>'Rekapitulace stavby'!AN14</f>
        <v/>
      </c>
      <c r="L18" s="26"/>
    </row>
    <row r="19" spans="2:12" s="1" customFormat="1" ht="6.9" hidden="1" customHeight="1">
      <c r="B19" s="26"/>
      <c r="L19" s="26"/>
    </row>
    <row r="20" spans="2:12" s="1" customFormat="1" ht="12" hidden="1" customHeight="1">
      <c r="B20" s="26"/>
      <c r="D20" s="23" t="s">
        <v>33</v>
      </c>
      <c r="I20" s="23" t="s">
        <v>27</v>
      </c>
      <c r="J20" s="21" t="s">
        <v>34</v>
      </c>
      <c r="L20" s="26"/>
    </row>
    <row r="21" spans="2:12" s="1" customFormat="1" ht="18" hidden="1" customHeight="1">
      <c r="B21" s="26"/>
      <c r="E21" s="21" t="s">
        <v>35</v>
      </c>
      <c r="I21" s="23" t="s">
        <v>30</v>
      </c>
      <c r="J21" s="21" t="s">
        <v>36</v>
      </c>
      <c r="L21" s="26"/>
    </row>
    <row r="22" spans="2:12" s="1" customFormat="1" ht="6.9" hidden="1" customHeight="1">
      <c r="B22" s="26"/>
      <c r="L22" s="26"/>
    </row>
    <row r="23" spans="2:12" s="1" customFormat="1" ht="12" hidden="1" customHeight="1">
      <c r="B23" s="26"/>
      <c r="D23" s="23" t="s">
        <v>37</v>
      </c>
      <c r="I23" s="23" t="s">
        <v>27</v>
      </c>
      <c r="J23" s="21" t="str">
        <f>IF('Rekapitulace stavby'!AN19="","",'Rekapitulace stavby'!AN19)</f>
        <v/>
      </c>
      <c r="L23" s="26"/>
    </row>
    <row r="24" spans="2:12" s="1" customFormat="1" ht="18" hidden="1" customHeight="1">
      <c r="B24" s="26"/>
      <c r="E24" s="21" t="str">
        <f>IF('Rekapitulace stavby'!E20="","",'Rekapitulace stavby'!E20)</f>
        <v>Pavel Vachtl</v>
      </c>
      <c r="I24" s="23" t="s">
        <v>30</v>
      </c>
      <c r="J24" s="21" t="str">
        <f>IF('Rekapitulace stavby'!AN20="","",'Rekapitulace stavby'!AN20)</f>
        <v/>
      </c>
      <c r="L24" s="26"/>
    </row>
    <row r="25" spans="2:12" s="1" customFormat="1" ht="6.9" hidden="1" customHeight="1">
      <c r="B25" s="26"/>
      <c r="L25" s="26"/>
    </row>
    <row r="26" spans="2:12" s="1" customFormat="1" ht="12" hidden="1" customHeight="1">
      <c r="B26" s="26"/>
      <c r="D26" s="23" t="s">
        <v>40</v>
      </c>
      <c r="L26" s="26"/>
    </row>
    <row r="27" spans="2:12" s="7" customFormat="1" ht="16.5" hidden="1" customHeight="1">
      <c r="B27" s="83"/>
      <c r="E27" s="193" t="s">
        <v>1</v>
      </c>
      <c r="F27" s="193"/>
      <c r="G27" s="193"/>
      <c r="H27" s="193"/>
      <c r="L27" s="83"/>
    </row>
    <row r="28" spans="2:12" s="1" customFormat="1" ht="6.9" hidden="1" customHeight="1">
      <c r="B28" s="26"/>
      <c r="L28" s="26"/>
    </row>
    <row r="29" spans="2:12" s="1" customFormat="1" ht="6.9" hidden="1" customHeight="1">
      <c r="B29" s="26"/>
      <c r="D29" s="47"/>
      <c r="E29" s="47"/>
      <c r="F29" s="47"/>
      <c r="G29" s="47"/>
      <c r="H29" s="47"/>
      <c r="I29" s="47"/>
      <c r="J29" s="47"/>
      <c r="K29" s="47"/>
      <c r="L29" s="26"/>
    </row>
    <row r="30" spans="2:12" s="1" customFormat="1" ht="25.35" hidden="1" customHeight="1">
      <c r="B30" s="26"/>
      <c r="D30" s="84" t="s">
        <v>41</v>
      </c>
      <c r="J30" s="60">
        <f>ROUND(J125, 2)</f>
        <v>0</v>
      </c>
      <c r="L30" s="26"/>
    </row>
    <row r="31" spans="2:12" s="1" customFormat="1" ht="6.9" hidden="1" customHeight="1">
      <c r="B31" s="26"/>
      <c r="D31" s="47"/>
      <c r="E31" s="47"/>
      <c r="F31" s="47"/>
      <c r="G31" s="47"/>
      <c r="H31" s="47"/>
      <c r="I31" s="47"/>
      <c r="J31" s="47"/>
      <c r="K31" s="47"/>
      <c r="L31" s="26"/>
    </row>
    <row r="32" spans="2:12" s="1" customFormat="1" ht="14.4" hidden="1" customHeight="1">
      <c r="B32" s="26"/>
      <c r="F32" s="29" t="s">
        <v>43</v>
      </c>
      <c r="I32" s="29" t="s">
        <v>42</v>
      </c>
      <c r="J32" s="29" t="s">
        <v>44</v>
      </c>
      <c r="L32" s="26"/>
    </row>
    <row r="33" spans="2:12" s="1" customFormat="1" ht="14.4" hidden="1" customHeight="1">
      <c r="B33" s="26"/>
      <c r="D33" s="49" t="s">
        <v>45</v>
      </c>
      <c r="E33" s="23" t="s">
        <v>46</v>
      </c>
      <c r="F33" s="85">
        <f>ROUND((SUM(BE125:BE514)),  2)</f>
        <v>0</v>
      </c>
      <c r="I33" s="86">
        <v>0.21</v>
      </c>
      <c r="J33" s="85">
        <f>ROUND(((SUM(BE125:BE514))*I33),  2)</f>
        <v>0</v>
      </c>
      <c r="L33" s="26"/>
    </row>
    <row r="34" spans="2:12" s="1" customFormat="1" ht="14.4" hidden="1" customHeight="1">
      <c r="B34" s="26"/>
      <c r="E34" s="23" t="s">
        <v>47</v>
      </c>
      <c r="F34" s="85">
        <f>ROUND((SUM(BF125:BF514)),  2)</f>
        <v>0</v>
      </c>
      <c r="I34" s="86">
        <v>0.15</v>
      </c>
      <c r="J34" s="85">
        <f>ROUND(((SUM(BF125:BF514))*I34),  2)</f>
        <v>0</v>
      </c>
      <c r="L34" s="26"/>
    </row>
    <row r="35" spans="2:12" s="1" customFormat="1" ht="14.4" hidden="1" customHeight="1">
      <c r="B35" s="26"/>
      <c r="E35" s="23" t="s">
        <v>48</v>
      </c>
      <c r="F35" s="85">
        <f>ROUND((SUM(BG125:BG514)),  2)</f>
        <v>0</v>
      </c>
      <c r="I35" s="86">
        <v>0.21</v>
      </c>
      <c r="J35" s="85">
        <f>0</f>
        <v>0</v>
      </c>
      <c r="L35" s="26"/>
    </row>
    <row r="36" spans="2:12" s="1" customFormat="1" ht="14.4" hidden="1" customHeight="1">
      <c r="B36" s="26"/>
      <c r="E36" s="23" t="s">
        <v>49</v>
      </c>
      <c r="F36" s="85">
        <f>ROUND((SUM(BH125:BH514)),  2)</f>
        <v>0</v>
      </c>
      <c r="I36" s="86">
        <v>0.15</v>
      </c>
      <c r="J36" s="85">
        <f>0</f>
        <v>0</v>
      </c>
      <c r="L36" s="26"/>
    </row>
    <row r="37" spans="2:12" s="1" customFormat="1" ht="14.4" hidden="1" customHeight="1">
      <c r="B37" s="26"/>
      <c r="E37" s="23" t="s">
        <v>50</v>
      </c>
      <c r="F37" s="85">
        <f>ROUND((SUM(BI125:BI514)),  2)</f>
        <v>0</v>
      </c>
      <c r="I37" s="86">
        <v>0</v>
      </c>
      <c r="J37" s="85">
        <f>0</f>
        <v>0</v>
      </c>
      <c r="L37" s="26"/>
    </row>
    <row r="38" spans="2:12" s="1" customFormat="1" ht="6.9" hidden="1" customHeight="1">
      <c r="B38" s="26"/>
      <c r="L38" s="26"/>
    </row>
    <row r="39" spans="2:12" s="1" customFormat="1" ht="25.35" hidden="1" customHeight="1">
      <c r="B39" s="26"/>
      <c r="C39" s="87"/>
      <c r="D39" s="88" t="s">
        <v>51</v>
      </c>
      <c r="E39" s="51"/>
      <c r="F39" s="51"/>
      <c r="G39" s="89" t="s">
        <v>52</v>
      </c>
      <c r="H39" s="90" t="s">
        <v>53</v>
      </c>
      <c r="I39" s="51"/>
      <c r="J39" s="91">
        <f>SUM(J30:J37)</f>
        <v>0</v>
      </c>
      <c r="K39" s="92"/>
      <c r="L39" s="26"/>
    </row>
    <row r="40" spans="2:12" s="1" customFormat="1" ht="14.4" hidden="1" customHeight="1">
      <c r="B40" s="26"/>
      <c r="L40" s="26"/>
    </row>
    <row r="41" spans="2:12" ht="14.4" hidden="1" customHeight="1">
      <c r="B41" s="17"/>
      <c r="L41" s="17"/>
    </row>
    <row r="42" spans="2:12" ht="14.4" hidden="1" customHeight="1">
      <c r="B42" s="17"/>
      <c r="L42" s="17"/>
    </row>
    <row r="43" spans="2:12" ht="14.4" hidden="1" customHeight="1">
      <c r="B43" s="17"/>
      <c r="L43" s="17"/>
    </row>
    <row r="44" spans="2:12" ht="14.4" hidden="1" customHeight="1">
      <c r="B44" s="17"/>
      <c r="L44" s="17"/>
    </row>
    <row r="45" spans="2:12" ht="14.4" hidden="1" customHeight="1">
      <c r="B45" s="17"/>
      <c r="L45" s="17"/>
    </row>
    <row r="46" spans="2:12" ht="14.4" hidden="1" customHeight="1">
      <c r="B46" s="17"/>
      <c r="L46" s="17"/>
    </row>
    <row r="47" spans="2:12" ht="14.4" hidden="1" customHeight="1">
      <c r="B47" s="17"/>
      <c r="L47" s="17"/>
    </row>
    <row r="48" spans="2:12" ht="14.4" hidden="1" customHeight="1">
      <c r="B48" s="17"/>
      <c r="L48" s="17"/>
    </row>
    <row r="49" spans="2:12" ht="14.4" hidden="1" customHeight="1">
      <c r="B49" s="17"/>
      <c r="L49" s="17"/>
    </row>
    <row r="50" spans="2:12" s="1" customFormat="1" ht="14.4" hidden="1" customHeight="1">
      <c r="B50" s="26"/>
      <c r="D50" s="35" t="s">
        <v>54</v>
      </c>
      <c r="E50" s="36"/>
      <c r="F50" s="36"/>
      <c r="G50" s="35" t="s">
        <v>55</v>
      </c>
      <c r="H50" s="36"/>
      <c r="I50" s="36"/>
      <c r="J50" s="36"/>
      <c r="K50" s="36"/>
      <c r="L50" s="26"/>
    </row>
    <row r="51" spans="2:12" hidden="1">
      <c r="B51" s="17"/>
      <c r="L51" s="17"/>
    </row>
    <row r="52" spans="2:12" hidden="1">
      <c r="B52" s="17"/>
      <c r="L52" s="17"/>
    </row>
    <row r="53" spans="2:12" hidden="1">
      <c r="B53" s="17"/>
      <c r="L53" s="17"/>
    </row>
    <row r="54" spans="2:12" hidden="1">
      <c r="B54" s="17"/>
      <c r="L54" s="17"/>
    </row>
    <row r="55" spans="2:12" hidden="1">
      <c r="B55" s="17"/>
      <c r="L55" s="17"/>
    </row>
    <row r="56" spans="2:12" hidden="1">
      <c r="B56" s="17"/>
      <c r="L56" s="17"/>
    </row>
    <row r="57" spans="2:12" hidden="1">
      <c r="B57" s="17"/>
      <c r="L57" s="17"/>
    </row>
    <row r="58" spans="2:12" hidden="1">
      <c r="B58" s="17"/>
      <c r="L58" s="17"/>
    </row>
    <row r="59" spans="2:12" hidden="1">
      <c r="B59" s="17"/>
      <c r="L59" s="17"/>
    </row>
    <row r="60" spans="2:12" hidden="1">
      <c r="B60" s="17"/>
      <c r="L60" s="17"/>
    </row>
    <row r="61" spans="2:12" s="1" customFormat="1" ht="13.2" hidden="1">
      <c r="B61" s="26"/>
      <c r="D61" s="37" t="s">
        <v>56</v>
      </c>
      <c r="E61" s="28"/>
      <c r="F61" s="93" t="s">
        <v>57</v>
      </c>
      <c r="G61" s="37" t="s">
        <v>56</v>
      </c>
      <c r="H61" s="28"/>
      <c r="I61" s="28"/>
      <c r="J61" s="94" t="s">
        <v>57</v>
      </c>
      <c r="K61" s="28"/>
      <c r="L61" s="26"/>
    </row>
    <row r="62" spans="2:12" hidden="1">
      <c r="B62" s="17"/>
      <c r="L62" s="17"/>
    </row>
    <row r="63" spans="2:12" hidden="1">
      <c r="B63" s="17"/>
      <c r="L63" s="17"/>
    </row>
    <row r="64" spans="2:12" hidden="1">
      <c r="B64" s="17"/>
      <c r="L64" s="17"/>
    </row>
    <row r="65" spans="2:12" s="1" customFormat="1" ht="13.2" hidden="1">
      <c r="B65" s="26"/>
      <c r="D65" s="35" t="s">
        <v>58</v>
      </c>
      <c r="E65" s="36"/>
      <c r="F65" s="36"/>
      <c r="G65" s="35" t="s">
        <v>59</v>
      </c>
      <c r="H65" s="36"/>
      <c r="I65" s="36"/>
      <c r="J65" s="36"/>
      <c r="K65" s="36"/>
      <c r="L65" s="26"/>
    </row>
    <row r="66" spans="2:12" hidden="1">
      <c r="B66" s="17"/>
      <c r="L66" s="17"/>
    </row>
    <row r="67" spans="2:12" hidden="1">
      <c r="B67" s="17"/>
      <c r="L67" s="17"/>
    </row>
    <row r="68" spans="2:12" hidden="1">
      <c r="B68" s="17"/>
      <c r="L68" s="17"/>
    </row>
    <row r="69" spans="2:12" hidden="1">
      <c r="B69" s="17"/>
      <c r="L69" s="17"/>
    </row>
    <row r="70" spans="2:12" hidden="1">
      <c r="B70" s="17"/>
      <c r="L70" s="17"/>
    </row>
    <row r="71" spans="2:12" hidden="1">
      <c r="B71" s="17"/>
      <c r="L71" s="17"/>
    </row>
    <row r="72" spans="2:12" hidden="1">
      <c r="B72" s="17"/>
      <c r="L72" s="17"/>
    </row>
    <row r="73" spans="2:12" hidden="1">
      <c r="B73" s="17"/>
      <c r="L73" s="17"/>
    </row>
    <row r="74" spans="2:12" hidden="1">
      <c r="B74" s="17"/>
      <c r="L74" s="17"/>
    </row>
    <row r="75" spans="2:12" hidden="1">
      <c r="B75" s="17"/>
      <c r="L75" s="17"/>
    </row>
    <row r="76" spans="2:12" s="1" customFormat="1" ht="13.2" hidden="1">
      <c r="B76" s="26"/>
      <c r="D76" s="37" t="s">
        <v>56</v>
      </c>
      <c r="E76" s="28"/>
      <c r="F76" s="93" t="s">
        <v>57</v>
      </c>
      <c r="G76" s="37" t="s">
        <v>56</v>
      </c>
      <c r="H76" s="28"/>
      <c r="I76" s="28"/>
      <c r="J76" s="94" t="s">
        <v>57</v>
      </c>
      <c r="K76" s="28"/>
      <c r="L76" s="26"/>
    </row>
    <row r="77" spans="2:12" s="1" customFormat="1" ht="14.4" hidden="1" customHeight="1">
      <c r="B77" s="38"/>
      <c r="C77" s="39"/>
      <c r="D77" s="39"/>
      <c r="E77" s="39"/>
      <c r="F77" s="39"/>
      <c r="G77" s="39"/>
      <c r="H77" s="39"/>
      <c r="I77" s="39"/>
      <c r="J77" s="39"/>
      <c r="K77" s="39"/>
      <c r="L77" s="26"/>
    </row>
    <row r="78" spans="2:12" hidden="1"/>
    <row r="79" spans="2:12" hidden="1"/>
    <row r="80" spans="2:12" hidden="1"/>
    <row r="81" spans="2:47" s="1" customFormat="1" ht="6.9" customHeight="1">
      <c r="B81" s="40"/>
      <c r="C81" s="41"/>
      <c r="D81" s="41"/>
      <c r="E81" s="41"/>
      <c r="F81" s="41"/>
      <c r="G81" s="41"/>
      <c r="H81" s="41"/>
      <c r="I81" s="41"/>
      <c r="J81" s="41"/>
      <c r="K81" s="41"/>
      <c r="L81" s="26"/>
    </row>
    <row r="82" spans="2:47" s="1" customFormat="1" ht="24.9" customHeight="1">
      <c r="B82" s="26"/>
      <c r="C82" s="18" t="s">
        <v>115</v>
      </c>
      <c r="L82" s="26"/>
    </row>
    <row r="83" spans="2:47" s="1" customFormat="1" ht="6.9" customHeight="1">
      <c r="B83" s="26"/>
      <c r="L83" s="26"/>
    </row>
    <row r="84" spans="2:47" s="1" customFormat="1" ht="12" customHeight="1">
      <c r="B84" s="26"/>
      <c r="C84" s="23" t="s">
        <v>14</v>
      </c>
      <c r="L84" s="26"/>
    </row>
    <row r="85" spans="2:47" s="1" customFormat="1" ht="16.5" customHeight="1">
      <c r="B85" s="26"/>
      <c r="E85" s="203" t="str">
        <f>E7</f>
        <v>I/26 Kyšice - Plzeň, Hřbitovní</v>
      </c>
      <c r="F85" s="204"/>
      <c r="G85" s="204"/>
      <c r="H85" s="204"/>
      <c r="L85" s="26"/>
    </row>
    <row r="86" spans="2:47" s="1" customFormat="1" ht="12" customHeight="1">
      <c r="B86" s="26"/>
      <c r="C86" s="23" t="s">
        <v>113</v>
      </c>
      <c r="L86" s="26"/>
    </row>
    <row r="87" spans="2:47" s="1" customFormat="1" ht="16.5" customHeight="1">
      <c r="B87" s="26"/>
      <c r="E87" s="168" t="str">
        <f>E9</f>
        <v>101 - Oprava vozovky (km 2,74-4,84)</v>
      </c>
      <c r="F87" s="202"/>
      <c r="G87" s="202"/>
      <c r="H87" s="202"/>
      <c r="L87" s="26"/>
    </row>
    <row r="88" spans="2:47" s="1" customFormat="1" ht="6.9" customHeight="1">
      <c r="B88" s="26"/>
      <c r="L88" s="26"/>
    </row>
    <row r="89" spans="2:47" s="1" customFormat="1" ht="12" customHeight="1">
      <c r="B89" s="26"/>
      <c r="C89" s="23" t="s">
        <v>20</v>
      </c>
      <c r="F89" s="21" t="str">
        <f>F12</f>
        <v xml:space="preserve"> </v>
      </c>
      <c r="I89" s="23" t="s">
        <v>22</v>
      </c>
      <c r="J89" s="46" t="str">
        <f>IF(J12="","",J12)</f>
        <v>20. 1. 2026</v>
      </c>
      <c r="L89" s="26"/>
    </row>
    <row r="90" spans="2:47" s="1" customFormat="1" ht="6.9" customHeight="1">
      <c r="B90" s="26"/>
      <c r="L90" s="26"/>
    </row>
    <row r="91" spans="2:47" s="1" customFormat="1" ht="15.15" customHeight="1">
      <c r="B91" s="26"/>
      <c r="C91" s="23" t="s">
        <v>26</v>
      </c>
      <c r="F91" s="21" t="str">
        <f>E15</f>
        <v>Ředitelství silnic a dálnic s.p.</v>
      </c>
      <c r="I91" s="23" t="s">
        <v>33</v>
      </c>
      <c r="J91" s="24" t="str">
        <f>E21</f>
        <v>Woring s.r.o.</v>
      </c>
      <c r="L91" s="26"/>
    </row>
    <row r="92" spans="2:47" s="1" customFormat="1" ht="15.15" customHeight="1">
      <c r="B92" s="26"/>
      <c r="C92" s="23" t="s">
        <v>32</v>
      </c>
      <c r="F92" s="21" t="str">
        <f>IF(E18="","",E18)</f>
        <v xml:space="preserve"> </v>
      </c>
      <c r="I92" s="23" t="s">
        <v>37</v>
      </c>
      <c r="J92" s="24" t="str">
        <f>E24</f>
        <v>Pavel Vachtl</v>
      </c>
      <c r="L92" s="26"/>
    </row>
    <row r="93" spans="2:47" s="1" customFormat="1" ht="10.35" customHeight="1">
      <c r="B93" s="26"/>
      <c r="L93" s="26"/>
    </row>
    <row r="94" spans="2:47" s="1" customFormat="1" ht="29.25" customHeight="1">
      <c r="B94" s="26"/>
      <c r="C94" s="95" t="s">
        <v>116</v>
      </c>
      <c r="D94" s="87"/>
      <c r="E94" s="87"/>
      <c r="F94" s="87"/>
      <c r="G94" s="87"/>
      <c r="H94" s="87"/>
      <c r="I94" s="87"/>
      <c r="J94" s="96" t="s">
        <v>117</v>
      </c>
      <c r="K94" s="87"/>
      <c r="L94" s="26"/>
    </row>
    <row r="95" spans="2:47" s="1" customFormat="1" ht="10.35" customHeight="1">
      <c r="B95" s="26"/>
      <c r="L95" s="26"/>
    </row>
    <row r="96" spans="2:47" s="1" customFormat="1" ht="22.95" customHeight="1">
      <c r="B96" s="26"/>
      <c r="C96" s="97" t="s">
        <v>118</v>
      </c>
      <c r="J96" s="60">
        <f>J125</f>
        <v>0</v>
      </c>
      <c r="L96" s="26"/>
      <c r="AU96" s="14" t="s">
        <v>90</v>
      </c>
    </row>
    <row r="97" spans="2:12" s="8" customFormat="1" ht="24.9" customHeight="1">
      <c r="B97" s="98"/>
      <c r="D97" s="99" t="s">
        <v>119</v>
      </c>
      <c r="E97" s="100"/>
      <c r="F97" s="100"/>
      <c r="G97" s="100"/>
      <c r="H97" s="100"/>
      <c r="I97" s="100"/>
      <c r="J97" s="101">
        <f>J126</f>
        <v>0</v>
      </c>
      <c r="L97" s="98"/>
    </row>
    <row r="98" spans="2:12" s="8" customFormat="1" ht="24.9" customHeight="1">
      <c r="B98" s="98"/>
      <c r="D98" s="99" t="s">
        <v>120</v>
      </c>
      <c r="E98" s="100"/>
      <c r="F98" s="100"/>
      <c r="G98" s="100"/>
      <c r="H98" s="100"/>
      <c r="I98" s="100"/>
      <c r="J98" s="101">
        <f>J151</f>
        <v>0</v>
      </c>
      <c r="L98" s="98"/>
    </row>
    <row r="99" spans="2:12" s="8" customFormat="1" ht="24.9" customHeight="1">
      <c r="B99" s="98"/>
      <c r="D99" s="99" t="s">
        <v>207</v>
      </c>
      <c r="E99" s="100"/>
      <c r="F99" s="100"/>
      <c r="G99" s="100"/>
      <c r="H99" s="100"/>
      <c r="I99" s="100"/>
      <c r="J99" s="101">
        <f>J272</f>
        <v>0</v>
      </c>
      <c r="L99" s="98"/>
    </row>
    <row r="100" spans="2:12" s="8" customFormat="1" ht="24.9" customHeight="1">
      <c r="B100" s="98"/>
      <c r="D100" s="99" t="s">
        <v>208</v>
      </c>
      <c r="E100" s="100"/>
      <c r="F100" s="100"/>
      <c r="G100" s="100"/>
      <c r="H100" s="100"/>
      <c r="I100" s="100"/>
      <c r="J100" s="101">
        <f>J283</f>
        <v>0</v>
      </c>
      <c r="L100" s="98"/>
    </row>
    <row r="101" spans="2:12" s="8" customFormat="1" ht="24.9" customHeight="1">
      <c r="B101" s="98"/>
      <c r="D101" s="99" t="s">
        <v>209</v>
      </c>
      <c r="E101" s="100"/>
      <c r="F101" s="100"/>
      <c r="G101" s="100"/>
      <c r="H101" s="100"/>
      <c r="I101" s="100"/>
      <c r="J101" s="101">
        <f>J294</f>
        <v>0</v>
      </c>
      <c r="L101" s="98"/>
    </row>
    <row r="102" spans="2:12" s="8" customFormat="1" ht="24.9" customHeight="1">
      <c r="B102" s="98"/>
      <c r="D102" s="99" t="s">
        <v>210</v>
      </c>
      <c r="E102" s="100"/>
      <c r="F102" s="100"/>
      <c r="G102" s="100"/>
      <c r="H102" s="100"/>
      <c r="I102" s="100"/>
      <c r="J102" s="101">
        <f>J322</f>
        <v>0</v>
      </c>
      <c r="L102" s="98"/>
    </row>
    <row r="103" spans="2:12" s="8" customFormat="1" ht="24.9" customHeight="1">
      <c r="B103" s="98"/>
      <c r="D103" s="99" t="s">
        <v>211</v>
      </c>
      <c r="E103" s="100"/>
      <c r="F103" s="100"/>
      <c r="G103" s="100"/>
      <c r="H103" s="100"/>
      <c r="I103" s="100"/>
      <c r="J103" s="101">
        <f>J385</f>
        <v>0</v>
      </c>
      <c r="L103" s="98"/>
    </row>
    <row r="104" spans="2:12" s="8" customFormat="1" ht="24.9" customHeight="1">
      <c r="B104" s="98"/>
      <c r="D104" s="99" t="s">
        <v>212</v>
      </c>
      <c r="E104" s="100"/>
      <c r="F104" s="100"/>
      <c r="G104" s="100"/>
      <c r="H104" s="100"/>
      <c r="I104" s="100"/>
      <c r="J104" s="101">
        <f>J400</f>
        <v>0</v>
      </c>
      <c r="L104" s="98"/>
    </row>
    <row r="105" spans="2:12" s="8" customFormat="1" ht="24.9" customHeight="1">
      <c r="B105" s="98"/>
      <c r="D105" s="99" t="s">
        <v>213</v>
      </c>
      <c r="E105" s="100"/>
      <c r="F105" s="100"/>
      <c r="G105" s="100"/>
      <c r="H105" s="100"/>
      <c r="I105" s="100"/>
      <c r="J105" s="101">
        <f>J409</f>
        <v>0</v>
      </c>
      <c r="L105" s="98"/>
    </row>
    <row r="106" spans="2:12" s="1" customFormat="1" ht="21.75" customHeight="1">
      <c r="B106" s="26"/>
      <c r="L106" s="26"/>
    </row>
    <row r="107" spans="2:12" s="1" customFormat="1" ht="6.9" customHeight="1">
      <c r="B107" s="38"/>
      <c r="C107" s="39"/>
      <c r="D107" s="39"/>
      <c r="E107" s="39"/>
      <c r="F107" s="39"/>
      <c r="G107" s="39"/>
      <c r="H107" s="39"/>
      <c r="I107" s="39"/>
      <c r="J107" s="39"/>
      <c r="K107" s="39"/>
      <c r="L107" s="26"/>
    </row>
    <row r="111" spans="2:12" s="1" customFormat="1" ht="6.9" customHeight="1">
      <c r="B111" s="40"/>
      <c r="C111" s="41"/>
      <c r="D111" s="41"/>
      <c r="E111" s="41"/>
      <c r="F111" s="41"/>
      <c r="G111" s="41"/>
      <c r="H111" s="41"/>
      <c r="I111" s="41"/>
      <c r="J111" s="41"/>
      <c r="K111" s="41"/>
      <c r="L111" s="26"/>
    </row>
    <row r="112" spans="2:12" s="1" customFormat="1" ht="24.9" customHeight="1">
      <c r="B112" s="26"/>
      <c r="C112" s="18" t="s">
        <v>121</v>
      </c>
      <c r="L112" s="26"/>
    </row>
    <row r="113" spans="2:65" s="1" customFormat="1" ht="6.9" customHeight="1">
      <c r="B113" s="26"/>
      <c r="L113" s="26"/>
    </row>
    <row r="114" spans="2:65" s="1" customFormat="1" ht="12" customHeight="1">
      <c r="B114" s="26"/>
      <c r="C114" s="23" t="s">
        <v>14</v>
      </c>
      <c r="L114" s="26"/>
    </row>
    <row r="115" spans="2:65" s="1" customFormat="1" ht="16.5" customHeight="1">
      <c r="B115" s="26"/>
      <c r="E115" s="203" t="str">
        <f>E7</f>
        <v>I/26 Kyšice - Plzeň, Hřbitovní</v>
      </c>
      <c r="F115" s="204"/>
      <c r="G115" s="204"/>
      <c r="H115" s="204"/>
      <c r="L115" s="26"/>
    </row>
    <row r="116" spans="2:65" s="1" customFormat="1" ht="12" customHeight="1">
      <c r="B116" s="26"/>
      <c r="C116" s="23" t="s">
        <v>113</v>
      </c>
      <c r="L116" s="26"/>
    </row>
    <row r="117" spans="2:65" s="1" customFormat="1" ht="16.5" customHeight="1">
      <c r="B117" s="26"/>
      <c r="E117" s="168" t="str">
        <f>E9</f>
        <v>101 - Oprava vozovky (km 2,74-4,84)</v>
      </c>
      <c r="F117" s="202"/>
      <c r="G117" s="202"/>
      <c r="H117" s="202"/>
      <c r="L117" s="26"/>
    </row>
    <row r="118" spans="2:65" s="1" customFormat="1" ht="6.9" customHeight="1">
      <c r="B118" s="26"/>
      <c r="L118" s="26"/>
    </row>
    <row r="119" spans="2:65" s="1" customFormat="1" ht="12" customHeight="1">
      <c r="B119" s="26"/>
      <c r="C119" s="23" t="s">
        <v>20</v>
      </c>
      <c r="F119" s="21" t="str">
        <f>F12</f>
        <v xml:space="preserve"> </v>
      </c>
      <c r="I119" s="23" t="s">
        <v>22</v>
      </c>
      <c r="J119" s="46" t="str">
        <f>IF(J12="","",J12)</f>
        <v>20. 1. 2026</v>
      </c>
      <c r="L119" s="26"/>
    </row>
    <row r="120" spans="2:65" s="1" customFormat="1" ht="6.9" customHeight="1">
      <c r="B120" s="26"/>
      <c r="L120" s="26"/>
    </row>
    <row r="121" spans="2:65" s="1" customFormat="1" ht="15.15" customHeight="1">
      <c r="B121" s="26"/>
      <c r="C121" s="23" t="s">
        <v>26</v>
      </c>
      <c r="F121" s="21" t="str">
        <f>E15</f>
        <v>Ředitelství silnic a dálnic s.p.</v>
      </c>
      <c r="I121" s="23" t="s">
        <v>33</v>
      </c>
      <c r="J121" s="24" t="str">
        <f>E21</f>
        <v>Woring s.r.o.</v>
      </c>
      <c r="L121" s="26"/>
    </row>
    <row r="122" spans="2:65" s="1" customFormat="1" ht="15.15" customHeight="1">
      <c r="B122" s="26"/>
      <c r="C122" s="23" t="s">
        <v>32</v>
      </c>
      <c r="F122" s="21" t="str">
        <f>IF(E18="","",E18)</f>
        <v xml:space="preserve"> </v>
      </c>
      <c r="I122" s="23" t="s">
        <v>37</v>
      </c>
      <c r="J122" s="24" t="str">
        <f>E24</f>
        <v>Pavel Vachtl</v>
      </c>
      <c r="L122" s="26"/>
    </row>
    <row r="123" spans="2:65" s="1" customFormat="1" ht="10.35" customHeight="1">
      <c r="B123" s="26"/>
      <c r="L123" s="26"/>
    </row>
    <row r="124" spans="2:65" s="9" customFormat="1" ht="29.25" customHeight="1">
      <c r="B124" s="102"/>
      <c r="C124" s="103" t="s">
        <v>122</v>
      </c>
      <c r="D124" s="104" t="s">
        <v>66</v>
      </c>
      <c r="E124" s="104" t="s">
        <v>62</v>
      </c>
      <c r="F124" s="104" t="s">
        <v>63</v>
      </c>
      <c r="G124" s="104" t="s">
        <v>123</v>
      </c>
      <c r="H124" s="104" t="s">
        <v>124</v>
      </c>
      <c r="I124" s="104" t="s">
        <v>125</v>
      </c>
      <c r="J124" s="104" t="s">
        <v>117</v>
      </c>
      <c r="K124" s="105" t="s">
        <v>126</v>
      </c>
      <c r="L124" s="102"/>
      <c r="M124" s="53" t="s">
        <v>1</v>
      </c>
      <c r="N124" s="54" t="s">
        <v>45</v>
      </c>
      <c r="O124" s="54" t="s">
        <v>127</v>
      </c>
      <c r="P124" s="54" t="s">
        <v>128</v>
      </c>
      <c r="Q124" s="54" t="s">
        <v>129</v>
      </c>
      <c r="R124" s="54" t="s">
        <v>130</v>
      </c>
      <c r="S124" s="54" t="s">
        <v>131</v>
      </c>
      <c r="T124" s="55" t="s">
        <v>132</v>
      </c>
    </row>
    <row r="125" spans="2:65" s="1" customFormat="1" ht="22.95" customHeight="1">
      <c r="B125" s="26"/>
      <c r="C125" s="58" t="s">
        <v>133</v>
      </c>
      <c r="J125" s="106">
        <f>BK125</f>
        <v>0</v>
      </c>
      <c r="L125" s="26"/>
      <c r="M125" s="56"/>
      <c r="N125" s="47"/>
      <c r="O125" s="47"/>
      <c r="P125" s="107">
        <f>P126+P151+P272+P283+P294+P322+P385+P400+P409</f>
        <v>0</v>
      </c>
      <c r="Q125" s="47"/>
      <c r="R125" s="107">
        <f>R126+R151+R272+R283+R294+R322+R385+R400+R409</f>
        <v>0</v>
      </c>
      <c r="S125" s="47"/>
      <c r="T125" s="108">
        <f>T126+T151+T272+T283+T294+T322+T385+T400+T409</f>
        <v>0</v>
      </c>
      <c r="AT125" s="14" t="s">
        <v>80</v>
      </c>
      <c r="AU125" s="14" t="s">
        <v>90</v>
      </c>
      <c r="BK125" s="109">
        <f>BK126+BK151+BK272+BK283+BK294+BK322+BK385+BK400+BK409</f>
        <v>0</v>
      </c>
    </row>
    <row r="126" spans="2:65" s="10" customFormat="1" ht="25.95" customHeight="1">
      <c r="B126" s="110"/>
      <c r="D126" s="111" t="s">
        <v>80</v>
      </c>
      <c r="E126" s="112" t="s">
        <v>81</v>
      </c>
      <c r="F126" s="112" t="s">
        <v>134</v>
      </c>
      <c r="J126" s="113">
        <f>BK126</f>
        <v>0</v>
      </c>
      <c r="L126" s="110"/>
      <c r="M126" s="114"/>
      <c r="P126" s="115">
        <f>SUM(P127:P150)</f>
        <v>0</v>
      </c>
      <c r="R126" s="115">
        <f>SUM(R127:R150)</f>
        <v>0</v>
      </c>
      <c r="T126" s="116">
        <f>SUM(T127:T150)</f>
        <v>0</v>
      </c>
      <c r="AR126" s="111" t="s">
        <v>135</v>
      </c>
      <c r="AT126" s="117" t="s">
        <v>80</v>
      </c>
      <c r="AU126" s="117" t="s">
        <v>81</v>
      </c>
      <c r="AY126" s="111" t="s">
        <v>136</v>
      </c>
      <c r="BK126" s="118">
        <f>SUM(BK127:BK150)</f>
        <v>0</v>
      </c>
    </row>
    <row r="127" spans="2:65" s="1" customFormat="1" ht="16.5" customHeight="1">
      <c r="B127" s="119"/>
      <c r="C127" s="120" t="s">
        <v>19</v>
      </c>
      <c r="D127" s="120" t="s">
        <v>137</v>
      </c>
      <c r="E127" s="121" t="s">
        <v>214</v>
      </c>
      <c r="F127" s="122" t="s">
        <v>215</v>
      </c>
      <c r="G127" s="123" t="s">
        <v>216</v>
      </c>
      <c r="H127" s="124">
        <v>5621.0230000000001</v>
      </c>
      <c r="I127" s="125">
        <v>0</v>
      </c>
      <c r="J127" s="125">
        <f>ROUND(I127*H127,2)</f>
        <v>0</v>
      </c>
      <c r="K127" s="122" t="s">
        <v>141</v>
      </c>
      <c r="L127" s="26"/>
      <c r="M127" s="126" t="s">
        <v>1</v>
      </c>
      <c r="N127" s="127" t="s">
        <v>46</v>
      </c>
      <c r="O127" s="128">
        <v>0</v>
      </c>
      <c r="P127" s="128">
        <f>O127*H127</f>
        <v>0</v>
      </c>
      <c r="Q127" s="128">
        <v>0</v>
      </c>
      <c r="R127" s="128">
        <f>Q127*H127</f>
        <v>0</v>
      </c>
      <c r="S127" s="128">
        <v>0</v>
      </c>
      <c r="T127" s="129">
        <f>S127*H127</f>
        <v>0</v>
      </c>
      <c r="AR127" s="130" t="s">
        <v>135</v>
      </c>
      <c r="AT127" s="130" t="s">
        <v>137</v>
      </c>
      <c r="AU127" s="130" t="s">
        <v>19</v>
      </c>
      <c r="AY127" s="14" t="s">
        <v>136</v>
      </c>
      <c r="BE127" s="131">
        <f>IF(N127="základní",J127,0)</f>
        <v>0</v>
      </c>
      <c r="BF127" s="131">
        <f>IF(N127="snížená",J127,0)</f>
        <v>0</v>
      </c>
      <c r="BG127" s="131">
        <f>IF(N127="zákl. přenesená",J127,0)</f>
        <v>0</v>
      </c>
      <c r="BH127" s="131">
        <f>IF(N127="sníž. přenesená",J127,0)</f>
        <v>0</v>
      </c>
      <c r="BI127" s="131">
        <f>IF(N127="nulová",J127,0)</f>
        <v>0</v>
      </c>
      <c r="BJ127" s="14" t="s">
        <v>19</v>
      </c>
      <c r="BK127" s="131">
        <f>ROUND(I127*H127,2)</f>
        <v>0</v>
      </c>
      <c r="BL127" s="14" t="s">
        <v>135</v>
      </c>
      <c r="BM127" s="130" t="s">
        <v>217</v>
      </c>
    </row>
    <row r="128" spans="2:65" s="1" customFormat="1">
      <c r="B128" s="26"/>
      <c r="D128" s="132" t="s">
        <v>143</v>
      </c>
      <c r="F128" s="133" t="s">
        <v>215</v>
      </c>
      <c r="L128" s="26"/>
      <c r="M128" s="134"/>
      <c r="T128" s="50"/>
      <c r="AT128" s="14" t="s">
        <v>143</v>
      </c>
      <c r="AU128" s="14" t="s">
        <v>19</v>
      </c>
    </row>
    <row r="129" spans="2:51" s="1" customFormat="1" ht="38.4">
      <c r="B129" s="26"/>
      <c r="D129" s="132" t="s">
        <v>145</v>
      </c>
      <c r="F129" s="135" t="s">
        <v>218</v>
      </c>
      <c r="L129" s="26"/>
      <c r="M129" s="134"/>
      <c r="T129" s="50"/>
      <c r="AT129" s="14" t="s">
        <v>145</v>
      </c>
      <c r="AU129" s="14" t="s">
        <v>19</v>
      </c>
    </row>
    <row r="130" spans="2:51" s="11" customFormat="1">
      <c r="B130" s="136"/>
      <c r="D130" s="132" t="s">
        <v>147</v>
      </c>
      <c r="E130" s="137" t="s">
        <v>219</v>
      </c>
      <c r="F130" s="138" t="s">
        <v>220</v>
      </c>
      <c r="H130" s="139">
        <v>1697.25</v>
      </c>
      <c r="L130" s="136"/>
      <c r="M130" s="140"/>
      <c r="T130" s="141"/>
      <c r="AT130" s="137" t="s">
        <v>147</v>
      </c>
      <c r="AU130" s="137" t="s">
        <v>19</v>
      </c>
      <c r="AV130" s="11" t="s">
        <v>149</v>
      </c>
      <c r="AW130" s="11" t="s">
        <v>39</v>
      </c>
      <c r="AX130" s="11" t="s">
        <v>81</v>
      </c>
      <c r="AY130" s="137" t="s">
        <v>136</v>
      </c>
    </row>
    <row r="131" spans="2:51" s="11" customFormat="1">
      <c r="B131" s="136"/>
      <c r="D131" s="132" t="s">
        <v>147</v>
      </c>
      <c r="E131" s="137" t="s">
        <v>221</v>
      </c>
      <c r="F131" s="138" t="s">
        <v>222</v>
      </c>
      <c r="H131" s="139">
        <v>35.6</v>
      </c>
      <c r="L131" s="136"/>
      <c r="M131" s="140"/>
      <c r="T131" s="141"/>
      <c r="AT131" s="137" t="s">
        <v>147</v>
      </c>
      <c r="AU131" s="137" t="s">
        <v>19</v>
      </c>
      <c r="AV131" s="11" t="s">
        <v>149</v>
      </c>
      <c r="AW131" s="11" t="s">
        <v>39</v>
      </c>
      <c r="AX131" s="11" t="s">
        <v>81</v>
      </c>
      <c r="AY131" s="137" t="s">
        <v>136</v>
      </c>
    </row>
    <row r="132" spans="2:51" s="11" customFormat="1">
      <c r="B132" s="136"/>
      <c r="D132" s="132" t="s">
        <v>147</v>
      </c>
      <c r="E132" s="137" t="s">
        <v>223</v>
      </c>
      <c r="F132" s="138" t="s">
        <v>224</v>
      </c>
      <c r="H132" s="139">
        <v>23.6</v>
      </c>
      <c r="L132" s="136"/>
      <c r="M132" s="140"/>
      <c r="T132" s="141"/>
      <c r="AT132" s="137" t="s">
        <v>147</v>
      </c>
      <c r="AU132" s="137" t="s">
        <v>19</v>
      </c>
      <c r="AV132" s="11" t="s">
        <v>149</v>
      </c>
      <c r="AW132" s="11" t="s">
        <v>39</v>
      </c>
      <c r="AX132" s="11" t="s">
        <v>81</v>
      </c>
      <c r="AY132" s="137" t="s">
        <v>136</v>
      </c>
    </row>
    <row r="133" spans="2:51" s="11" customFormat="1">
      <c r="B133" s="136"/>
      <c r="D133" s="132" t="s">
        <v>147</v>
      </c>
      <c r="E133" s="137" t="s">
        <v>225</v>
      </c>
      <c r="F133" s="138" t="s">
        <v>226</v>
      </c>
      <c r="H133" s="139">
        <v>161.4</v>
      </c>
      <c r="L133" s="136"/>
      <c r="M133" s="140"/>
      <c r="T133" s="141"/>
      <c r="AT133" s="137" t="s">
        <v>147</v>
      </c>
      <c r="AU133" s="137" t="s">
        <v>19</v>
      </c>
      <c r="AV133" s="11" t="s">
        <v>149</v>
      </c>
      <c r="AW133" s="11" t="s">
        <v>39</v>
      </c>
      <c r="AX133" s="11" t="s">
        <v>81</v>
      </c>
      <c r="AY133" s="137" t="s">
        <v>136</v>
      </c>
    </row>
    <row r="134" spans="2:51" s="11" customFormat="1">
      <c r="B134" s="136"/>
      <c r="D134" s="132" t="s">
        <v>147</v>
      </c>
      <c r="E134" s="137" t="s">
        <v>227</v>
      </c>
      <c r="F134" s="138" t="s">
        <v>228</v>
      </c>
      <c r="H134" s="139">
        <v>5.5125000000000002</v>
      </c>
      <c r="L134" s="136"/>
      <c r="M134" s="140"/>
      <c r="T134" s="141"/>
      <c r="AT134" s="137" t="s">
        <v>147</v>
      </c>
      <c r="AU134" s="137" t="s">
        <v>19</v>
      </c>
      <c r="AV134" s="11" t="s">
        <v>149</v>
      </c>
      <c r="AW134" s="11" t="s">
        <v>39</v>
      </c>
      <c r="AX134" s="11" t="s">
        <v>81</v>
      </c>
      <c r="AY134" s="137" t="s">
        <v>136</v>
      </c>
    </row>
    <row r="135" spans="2:51" s="11" customFormat="1">
      <c r="B135" s="136"/>
      <c r="D135" s="132" t="s">
        <v>147</v>
      </c>
      <c r="E135" s="137" t="s">
        <v>229</v>
      </c>
      <c r="F135" s="138" t="s">
        <v>230</v>
      </c>
      <c r="H135" s="139">
        <v>2310.23</v>
      </c>
      <c r="L135" s="136"/>
      <c r="M135" s="140"/>
      <c r="T135" s="141"/>
      <c r="AT135" s="137" t="s">
        <v>147</v>
      </c>
      <c r="AU135" s="137" t="s">
        <v>19</v>
      </c>
      <c r="AV135" s="11" t="s">
        <v>149</v>
      </c>
      <c r="AW135" s="11" t="s">
        <v>39</v>
      </c>
      <c r="AX135" s="11" t="s">
        <v>81</v>
      </c>
      <c r="AY135" s="137" t="s">
        <v>136</v>
      </c>
    </row>
    <row r="136" spans="2:51" s="11" customFormat="1">
      <c r="B136" s="136"/>
      <c r="D136" s="132" t="s">
        <v>147</v>
      </c>
      <c r="E136" s="137" t="s">
        <v>231</v>
      </c>
      <c r="F136" s="138" t="s">
        <v>232</v>
      </c>
      <c r="H136" s="139">
        <v>407.6</v>
      </c>
      <c r="L136" s="136"/>
      <c r="M136" s="140"/>
      <c r="T136" s="141"/>
      <c r="AT136" s="137" t="s">
        <v>147</v>
      </c>
      <c r="AU136" s="137" t="s">
        <v>19</v>
      </c>
      <c r="AV136" s="11" t="s">
        <v>149</v>
      </c>
      <c r="AW136" s="11" t="s">
        <v>39</v>
      </c>
      <c r="AX136" s="11" t="s">
        <v>81</v>
      </c>
      <c r="AY136" s="137" t="s">
        <v>136</v>
      </c>
    </row>
    <row r="137" spans="2:51" s="11" customFormat="1">
      <c r="B137" s="136"/>
      <c r="D137" s="132" t="s">
        <v>147</v>
      </c>
      <c r="E137" s="137" t="s">
        <v>233</v>
      </c>
      <c r="F137" s="138" t="s">
        <v>234</v>
      </c>
      <c r="H137" s="139">
        <v>67.25</v>
      </c>
      <c r="L137" s="136"/>
      <c r="M137" s="140"/>
      <c r="T137" s="141"/>
      <c r="AT137" s="137" t="s">
        <v>147</v>
      </c>
      <c r="AU137" s="137" t="s">
        <v>19</v>
      </c>
      <c r="AV137" s="11" t="s">
        <v>149</v>
      </c>
      <c r="AW137" s="11" t="s">
        <v>39</v>
      </c>
      <c r="AX137" s="11" t="s">
        <v>81</v>
      </c>
      <c r="AY137" s="137" t="s">
        <v>136</v>
      </c>
    </row>
    <row r="138" spans="2:51" s="11" customFormat="1">
      <c r="B138" s="136"/>
      <c r="D138" s="132" t="s">
        <v>147</v>
      </c>
      <c r="E138" s="137" t="s">
        <v>235</v>
      </c>
      <c r="F138" s="138" t="s">
        <v>236</v>
      </c>
      <c r="H138" s="139">
        <v>0.63000000000000012</v>
      </c>
      <c r="L138" s="136"/>
      <c r="M138" s="140"/>
      <c r="T138" s="141"/>
      <c r="AT138" s="137" t="s">
        <v>147</v>
      </c>
      <c r="AU138" s="137" t="s">
        <v>19</v>
      </c>
      <c r="AV138" s="11" t="s">
        <v>149</v>
      </c>
      <c r="AW138" s="11" t="s">
        <v>39</v>
      </c>
      <c r="AX138" s="11" t="s">
        <v>81</v>
      </c>
      <c r="AY138" s="137" t="s">
        <v>136</v>
      </c>
    </row>
    <row r="139" spans="2:51" s="11" customFormat="1">
      <c r="B139" s="136"/>
      <c r="D139" s="132" t="s">
        <v>147</v>
      </c>
      <c r="E139" s="137" t="s">
        <v>237</v>
      </c>
      <c r="F139" s="138" t="s">
        <v>238</v>
      </c>
      <c r="H139" s="139">
        <v>5.0200000000000005</v>
      </c>
      <c r="L139" s="136"/>
      <c r="M139" s="140"/>
      <c r="T139" s="141"/>
      <c r="AT139" s="137" t="s">
        <v>147</v>
      </c>
      <c r="AU139" s="137" t="s">
        <v>19</v>
      </c>
      <c r="AV139" s="11" t="s">
        <v>149</v>
      </c>
      <c r="AW139" s="11" t="s">
        <v>39</v>
      </c>
      <c r="AX139" s="11" t="s">
        <v>81</v>
      </c>
      <c r="AY139" s="137" t="s">
        <v>136</v>
      </c>
    </row>
    <row r="140" spans="2:51" s="11" customFormat="1">
      <c r="B140" s="136"/>
      <c r="D140" s="132" t="s">
        <v>147</v>
      </c>
      <c r="E140" s="137" t="s">
        <v>239</v>
      </c>
      <c r="F140" s="138" t="s">
        <v>240</v>
      </c>
      <c r="H140" s="139">
        <v>705.6</v>
      </c>
      <c r="L140" s="136"/>
      <c r="M140" s="140"/>
      <c r="T140" s="141"/>
      <c r="AT140" s="137" t="s">
        <v>147</v>
      </c>
      <c r="AU140" s="137" t="s">
        <v>19</v>
      </c>
      <c r="AV140" s="11" t="s">
        <v>149</v>
      </c>
      <c r="AW140" s="11" t="s">
        <v>39</v>
      </c>
      <c r="AX140" s="11" t="s">
        <v>81</v>
      </c>
      <c r="AY140" s="137" t="s">
        <v>136</v>
      </c>
    </row>
    <row r="141" spans="2:51" s="11" customFormat="1">
      <c r="B141" s="136"/>
      <c r="D141" s="132" t="s">
        <v>147</v>
      </c>
      <c r="E141" s="137" t="s">
        <v>241</v>
      </c>
      <c r="F141" s="138" t="s">
        <v>242</v>
      </c>
      <c r="H141" s="139">
        <v>4</v>
      </c>
      <c r="L141" s="136"/>
      <c r="M141" s="140"/>
      <c r="T141" s="141"/>
      <c r="AT141" s="137" t="s">
        <v>147</v>
      </c>
      <c r="AU141" s="137" t="s">
        <v>19</v>
      </c>
      <c r="AV141" s="11" t="s">
        <v>149</v>
      </c>
      <c r="AW141" s="11" t="s">
        <v>39</v>
      </c>
      <c r="AX141" s="11" t="s">
        <v>81</v>
      </c>
      <c r="AY141" s="137" t="s">
        <v>136</v>
      </c>
    </row>
    <row r="142" spans="2:51" s="11" customFormat="1">
      <c r="B142" s="136"/>
      <c r="D142" s="132" t="s">
        <v>147</v>
      </c>
      <c r="E142" s="137" t="s">
        <v>204</v>
      </c>
      <c r="F142" s="138" t="s">
        <v>243</v>
      </c>
      <c r="H142" s="139">
        <v>2.25</v>
      </c>
      <c r="L142" s="136"/>
      <c r="M142" s="140"/>
      <c r="T142" s="141"/>
      <c r="AT142" s="137" t="s">
        <v>147</v>
      </c>
      <c r="AU142" s="137" t="s">
        <v>19</v>
      </c>
      <c r="AV142" s="11" t="s">
        <v>149</v>
      </c>
      <c r="AW142" s="11" t="s">
        <v>39</v>
      </c>
      <c r="AX142" s="11" t="s">
        <v>81</v>
      </c>
      <c r="AY142" s="137" t="s">
        <v>136</v>
      </c>
    </row>
    <row r="143" spans="2:51" s="11" customFormat="1">
      <c r="B143" s="136"/>
      <c r="D143" s="132" t="s">
        <v>147</v>
      </c>
      <c r="E143" s="137" t="s">
        <v>244</v>
      </c>
      <c r="F143" s="138" t="s">
        <v>245</v>
      </c>
      <c r="H143" s="139">
        <v>13.379999999999999</v>
      </c>
      <c r="L143" s="136"/>
      <c r="M143" s="140"/>
      <c r="T143" s="141"/>
      <c r="AT143" s="137" t="s">
        <v>147</v>
      </c>
      <c r="AU143" s="137" t="s">
        <v>19</v>
      </c>
      <c r="AV143" s="11" t="s">
        <v>149</v>
      </c>
      <c r="AW143" s="11" t="s">
        <v>39</v>
      </c>
      <c r="AX143" s="11" t="s">
        <v>81</v>
      </c>
      <c r="AY143" s="137" t="s">
        <v>136</v>
      </c>
    </row>
    <row r="144" spans="2:51" s="11" customFormat="1">
      <c r="B144" s="136"/>
      <c r="D144" s="132" t="s">
        <v>147</v>
      </c>
      <c r="E144" s="137" t="s">
        <v>246</v>
      </c>
      <c r="F144" s="138" t="s">
        <v>247</v>
      </c>
      <c r="H144" s="139">
        <v>5.88</v>
      </c>
      <c r="L144" s="136"/>
      <c r="M144" s="140"/>
      <c r="T144" s="141"/>
      <c r="AT144" s="137" t="s">
        <v>147</v>
      </c>
      <c r="AU144" s="137" t="s">
        <v>19</v>
      </c>
      <c r="AV144" s="11" t="s">
        <v>149</v>
      </c>
      <c r="AW144" s="11" t="s">
        <v>39</v>
      </c>
      <c r="AX144" s="11" t="s">
        <v>81</v>
      </c>
      <c r="AY144" s="137" t="s">
        <v>136</v>
      </c>
    </row>
    <row r="145" spans="2:65" s="11" customFormat="1">
      <c r="B145" s="136"/>
      <c r="D145" s="132" t="s">
        <v>147</v>
      </c>
      <c r="E145" s="137" t="s">
        <v>248</v>
      </c>
      <c r="F145" s="138" t="s">
        <v>249</v>
      </c>
      <c r="H145" s="139">
        <v>175.82</v>
      </c>
      <c r="L145" s="136"/>
      <c r="M145" s="140"/>
      <c r="T145" s="141"/>
      <c r="AT145" s="137" t="s">
        <v>147</v>
      </c>
      <c r="AU145" s="137" t="s">
        <v>19</v>
      </c>
      <c r="AV145" s="11" t="s">
        <v>149</v>
      </c>
      <c r="AW145" s="11" t="s">
        <v>39</v>
      </c>
      <c r="AX145" s="11" t="s">
        <v>81</v>
      </c>
      <c r="AY145" s="137" t="s">
        <v>136</v>
      </c>
    </row>
    <row r="146" spans="2:65" s="11" customFormat="1">
      <c r="B146" s="136"/>
      <c r="D146" s="132" t="s">
        <v>147</v>
      </c>
      <c r="E146" s="137" t="s">
        <v>250</v>
      </c>
      <c r="F146" s="138" t="s">
        <v>251</v>
      </c>
      <c r="H146" s="139">
        <v>5621.0230000000001</v>
      </c>
      <c r="L146" s="136"/>
      <c r="M146" s="140"/>
      <c r="T146" s="141"/>
      <c r="AT146" s="137" t="s">
        <v>147</v>
      </c>
      <c r="AU146" s="137" t="s">
        <v>19</v>
      </c>
      <c r="AV146" s="11" t="s">
        <v>149</v>
      </c>
      <c r="AW146" s="11" t="s">
        <v>39</v>
      </c>
      <c r="AX146" s="11" t="s">
        <v>19</v>
      </c>
      <c r="AY146" s="137" t="s">
        <v>136</v>
      </c>
    </row>
    <row r="147" spans="2:65" s="1" customFormat="1" ht="16.5" customHeight="1">
      <c r="B147" s="119"/>
      <c r="C147" s="120" t="s">
        <v>149</v>
      </c>
      <c r="D147" s="120" t="s">
        <v>137</v>
      </c>
      <c r="E147" s="121" t="s">
        <v>252</v>
      </c>
      <c r="F147" s="122" t="s">
        <v>253</v>
      </c>
      <c r="G147" s="123" t="s">
        <v>216</v>
      </c>
      <c r="H147" s="124">
        <v>1698.45</v>
      </c>
      <c r="I147" s="125">
        <v>0</v>
      </c>
      <c r="J147" s="125">
        <f>ROUND(I147*H147,2)</f>
        <v>0</v>
      </c>
      <c r="K147" s="122" t="s">
        <v>141</v>
      </c>
      <c r="L147" s="26"/>
      <c r="M147" s="126" t="s">
        <v>1</v>
      </c>
      <c r="N147" s="127" t="s">
        <v>46</v>
      </c>
      <c r="O147" s="128">
        <v>0</v>
      </c>
      <c r="P147" s="128">
        <f>O147*H147</f>
        <v>0</v>
      </c>
      <c r="Q147" s="128">
        <v>0</v>
      </c>
      <c r="R147" s="128">
        <f>Q147*H147</f>
        <v>0</v>
      </c>
      <c r="S147" s="128">
        <v>0</v>
      </c>
      <c r="T147" s="129">
        <f>S147*H147</f>
        <v>0</v>
      </c>
      <c r="AR147" s="130" t="s">
        <v>135</v>
      </c>
      <c r="AT147" s="130" t="s">
        <v>137</v>
      </c>
      <c r="AU147" s="130" t="s">
        <v>19</v>
      </c>
      <c r="AY147" s="14" t="s">
        <v>136</v>
      </c>
      <c r="BE147" s="131">
        <f>IF(N147="základní",J147,0)</f>
        <v>0</v>
      </c>
      <c r="BF147" s="131">
        <f>IF(N147="snížená",J147,0)</f>
        <v>0</v>
      </c>
      <c r="BG147" s="131">
        <f>IF(N147="zákl. přenesená",J147,0)</f>
        <v>0</v>
      </c>
      <c r="BH147" s="131">
        <f>IF(N147="sníž. přenesená",J147,0)</f>
        <v>0</v>
      </c>
      <c r="BI147" s="131">
        <f>IF(N147="nulová",J147,0)</f>
        <v>0</v>
      </c>
      <c r="BJ147" s="14" t="s">
        <v>19</v>
      </c>
      <c r="BK147" s="131">
        <f>ROUND(I147*H147,2)</f>
        <v>0</v>
      </c>
      <c r="BL147" s="14" t="s">
        <v>135</v>
      </c>
      <c r="BM147" s="130" t="s">
        <v>254</v>
      </c>
    </row>
    <row r="148" spans="2:65" s="1" customFormat="1">
      <c r="B148" s="26"/>
      <c r="D148" s="132" t="s">
        <v>143</v>
      </c>
      <c r="F148" s="133" t="s">
        <v>253</v>
      </c>
      <c r="L148" s="26"/>
      <c r="M148" s="134"/>
      <c r="T148" s="50"/>
      <c r="AT148" s="14" t="s">
        <v>143</v>
      </c>
      <c r="AU148" s="14" t="s">
        <v>19</v>
      </c>
    </row>
    <row r="149" spans="2:65" s="1" customFormat="1" ht="38.4">
      <c r="B149" s="26"/>
      <c r="D149" s="132" t="s">
        <v>145</v>
      </c>
      <c r="F149" s="135" t="s">
        <v>255</v>
      </c>
      <c r="L149" s="26"/>
      <c r="M149" s="134"/>
      <c r="T149" s="50"/>
      <c r="AT149" s="14" t="s">
        <v>145</v>
      </c>
      <c r="AU149" s="14" t="s">
        <v>19</v>
      </c>
    </row>
    <row r="150" spans="2:65" s="11" customFormat="1">
      <c r="B150" s="136"/>
      <c r="D150" s="132" t="s">
        <v>147</v>
      </c>
      <c r="E150" s="137" t="s">
        <v>256</v>
      </c>
      <c r="F150" s="138" t="s">
        <v>257</v>
      </c>
      <c r="H150" s="139">
        <v>1698.45</v>
      </c>
      <c r="L150" s="136"/>
      <c r="M150" s="140"/>
      <c r="T150" s="141"/>
      <c r="AT150" s="137" t="s">
        <v>147</v>
      </c>
      <c r="AU150" s="137" t="s">
        <v>19</v>
      </c>
      <c r="AV150" s="11" t="s">
        <v>149</v>
      </c>
      <c r="AW150" s="11" t="s">
        <v>39</v>
      </c>
      <c r="AX150" s="11" t="s">
        <v>19</v>
      </c>
      <c r="AY150" s="137" t="s">
        <v>136</v>
      </c>
    </row>
    <row r="151" spans="2:65" s="10" customFormat="1" ht="25.95" customHeight="1">
      <c r="B151" s="110"/>
      <c r="D151" s="111" t="s">
        <v>80</v>
      </c>
      <c r="E151" s="112" t="s">
        <v>19</v>
      </c>
      <c r="F151" s="112" t="s">
        <v>196</v>
      </c>
      <c r="J151" s="113">
        <f>BK151</f>
        <v>0</v>
      </c>
      <c r="L151" s="110"/>
      <c r="M151" s="114"/>
      <c r="P151" s="115">
        <f>SUM(P152:P271)</f>
        <v>0</v>
      </c>
      <c r="R151" s="115">
        <f>SUM(R152:R271)</f>
        <v>0</v>
      </c>
      <c r="T151" s="116">
        <f>SUM(T152:T271)</f>
        <v>0</v>
      </c>
      <c r="AR151" s="111" t="s">
        <v>135</v>
      </c>
      <c r="AT151" s="117" t="s">
        <v>80</v>
      </c>
      <c r="AU151" s="117" t="s">
        <v>81</v>
      </c>
      <c r="AY151" s="111" t="s">
        <v>136</v>
      </c>
      <c r="BK151" s="118">
        <f>SUM(BK152:BK271)</f>
        <v>0</v>
      </c>
    </row>
    <row r="152" spans="2:65" s="1" customFormat="1" ht="16.5" customHeight="1">
      <c r="B152" s="119"/>
      <c r="C152" s="120" t="s">
        <v>157</v>
      </c>
      <c r="D152" s="120" t="s">
        <v>137</v>
      </c>
      <c r="E152" s="121" t="s">
        <v>258</v>
      </c>
      <c r="F152" s="122" t="s">
        <v>259</v>
      </c>
      <c r="G152" s="123" t="s">
        <v>260</v>
      </c>
      <c r="H152" s="124">
        <v>1743</v>
      </c>
      <c r="I152" s="125">
        <v>0</v>
      </c>
      <c r="J152" s="125">
        <f>ROUND(I152*H152,2)</f>
        <v>0</v>
      </c>
      <c r="K152" s="122" t="s">
        <v>141</v>
      </c>
      <c r="L152" s="26"/>
      <c r="M152" s="126" t="s">
        <v>1</v>
      </c>
      <c r="N152" s="127" t="s">
        <v>46</v>
      </c>
      <c r="O152" s="128">
        <v>0</v>
      </c>
      <c r="P152" s="128">
        <f>O152*H152</f>
        <v>0</v>
      </c>
      <c r="Q152" s="128">
        <v>0</v>
      </c>
      <c r="R152" s="128">
        <f>Q152*H152</f>
        <v>0</v>
      </c>
      <c r="S152" s="128">
        <v>0</v>
      </c>
      <c r="T152" s="129">
        <f>S152*H152</f>
        <v>0</v>
      </c>
      <c r="AR152" s="130" t="s">
        <v>135</v>
      </c>
      <c r="AT152" s="130" t="s">
        <v>137</v>
      </c>
      <c r="AU152" s="130" t="s">
        <v>19</v>
      </c>
      <c r="AY152" s="14" t="s">
        <v>136</v>
      </c>
      <c r="BE152" s="131">
        <f>IF(N152="základní",J152,0)</f>
        <v>0</v>
      </c>
      <c r="BF152" s="131">
        <f>IF(N152="snížená",J152,0)</f>
        <v>0</v>
      </c>
      <c r="BG152" s="131">
        <f>IF(N152="zákl. přenesená",J152,0)</f>
        <v>0</v>
      </c>
      <c r="BH152" s="131">
        <f>IF(N152="sníž. přenesená",J152,0)</f>
        <v>0</v>
      </c>
      <c r="BI152" s="131">
        <f>IF(N152="nulová",J152,0)</f>
        <v>0</v>
      </c>
      <c r="BJ152" s="14" t="s">
        <v>19</v>
      </c>
      <c r="BK152" s="131">
        <f>ROUND(I152*H152,2)</f>
        <v>0</v>
      </c>
      <c r="BL152" s="14" t="s">
        <v>135</v>
      </c>
      <c r="BM152" s="130" t="s">
        <v>261</v>
      </c>
    </row>
    <row r="153" spans="2:65" s="1" customFormat="1">
      <c r="B153" s="26"/>
      <c r="D153" s="132" t="s">
        <v>143</v>
      </c>
      <c r="F153" s="133" t="s">
        <v>259</v>
      </c>
      <c r="L153" s="26"/>
      <c r="M153" s="134"/>
      <c r="T153" s="50"/>
      <c r="AT153" s="14" t="s">
        <v>143</v>
      </c>
      <c r="AU153" s="14" t="s">
        <v>19</v>
      </c>
    </row>
    <row r="154" spans="2:65" s="1" customFormat="1" ht="38.4">
      <c r="B154" s="26"/>
      <c r="D154" s="132" t="s">
        <v>145</v>
      </c>
      <c r="F154" s="135" t="s">
        <v>262</v>
      </c>
      <c r="L154" s="26"/>
      <c r="M154" s="134"/>
      <c r="T154" s="50"/>
      <c r="AT154" s="14" t="s">
        <v>145</v>
      </c>
      <c r="AU154" s="14" t="s">
        <v>19</v>
      </c>
    </row>
    <row r="155" spans="2:65" s="11" customFormat="1">
      <c r="B155" s="136"/>
      <c r="D155" s="132" t="s">
        <v>147</v>
      </c>
      <c r="E155" s="137" t="s">
        <v>263</v>
      </c>
      <c r="F155" s="138" t="s">
        <v>264</v>
      </c>
      <c r="H155" s="139">
        <v>1683</v>
      </c>
      <c r="L155" s="136"/>
      <c r="M155" s="140"/>
      <c r="T155" s="141"/>
      <c r="AT155" s="137" t="s">
        <v>147</v>
      </c>
      <c r="AU155" s="137" t="s">
        <v>19</v>
      </c>
      <c r="AV155" s="11" t="s">
        <v>149</v>
      </c>
      <c r="AW155" s="11" t="s">
        <v>39</v>
      </c>
      <c r="AX155" s="11" t="s">
        <v>81</v>
      </c>
      <c r="AY155" s="137" t="s">
        <v>136</v>
      </c>
    </row>
    <row r="156" spans="2:65" s="11" customFormat="1">
      <c r="B156" s="136"/>
      <c r="D156" s="132" t="s">
        <v>147</v>
      </c>
      <c r="E156" s="137" t="s">
        <v>265</v>
      </c>
      <c r="F156" s="138" t="s">
        <v>266</v>
      </c>
      <c r="H156" s="139">
        <v>60</v>
      </c>
      <c r="L156" s="136"/>
      <c r="M156" s="140"/>
      <c r="T156" s="141"/>
      <c r="AT156" s="137" t="s">
        <v>147</v>
      </c>
      <c r="AU156" s="137" t="s">
        <v>19</v>
      </c>
      <c r="AV156" s="11" t="s">
        <v>149</v>
      </c>
      <c r="AW156" s="11" t="s">
        <v>39</v>
      </c>
      <c r="AX156" s="11" t="s">
        <v>81</v>
      </c>
      <c r="AY156" s="137" t="s">
        <v>136</v>
      </c>
    </row>
    <row r="157" spans="2:65" s="11" customFormat="1">
      <c r="B157" s="136"/>
      <c r="D157" s="132" t="s">
        <v>147</v>
      </c>
      <c r="E157" s="137" t="s">
        <v>267</v>
      </c>
      <c r="F157" s="138" t="s">
        <v>268</v>
      </c>
      <c r="H157" s="139">
        <v>1743</v>
      </c>
      <c r="L157" s="136"/>
      <c r="M157" s="140"/>
      <c r="T157" s="141"/>
      <c r="AT157" s="137" t="s">
        <v>147</v>
      </c>
      <c r="AU157" s="137" t="s">
        <v>19</v>
      </c>
      <c r="AV157" s="11" t="s">
        <v>149</v>
      </c>
      <c r="AW157" s="11" t="s">
        <v>39</v>
      </c>
      <c r="AX157" s="11" t="s">
        <v>19</v>
      </c>
      <c r="AY157" s="137" t="s">
        <v>136</v>
      </c>
    </row>
    <row r="158" spans="2:65" s="1" customFormat="1" ht="16.5" customHeight="1">
      <c r="B158" s="119"/>
      <c r="C158" s="120" t="s">
        <v>135</v>
      </c>
      <c r="D158" s="120" t="s">
        <v>137</v>
      </c>
      <c r="E158" s="121" t="s">
        <v>269</v>
      </c>
      <c r="F158" s="122" t="s">
        <v>270</v>
      </c>
      <c r="G158" s="123" t="s">
        <v>260</v>
      </c>
      <c r="H158" s="124">
        <v>11315</v>
      </c>
      <c r="I158" s="125">
        <v>0</v>
      </c>
      <c r="J158" s="125">
        <f>ROUND(I158*H158,2)</f>
        <v>0</v>
      </c>
      <c r="K158" s="122" t="s">
        <v>141</v>
      </c>
      <c r="L158" s="26"/>
      <c r="M158" s="126" t="s">
        <v>1</v>
      </c>
      <c r="N158" s="127" t="s">
        <v>46</v>
      </c>
      <c r="O158" s="128">
        <v>0</v>
      </c>
      <c r="P158" s="128">
        <f>O158*H158</f>
        <v>0</v>
      </c>
      <c r="Q158" s="128">
        <v>0</v>
      </c>
      <c r="R158" s="128">
        <f>Q158*H158</f>
        <v>0</v>
      </c>
      <c r="S158" s="128">
        <v>0</v>
      </c>
      <c r="T158" s="129">
        <f>S158*H158</f>
        <v>0</v>
      </c>
      <c r="AR158" s="130" t="s">
        <v>135</v>
      </c>
      <c r="AT158" s="130" t="s">
        <v>137</v>
      </c>
      <c r="AU158" s="130" t="s">
        <v>19</v>
      </c>
      <c r="AY158" s="14" t="s">
        <v>136</v>
      </c>
      <c r="BE158" s="131">
        <f>IF(N158="základní",J158,0)</f>
        <v>0</v>
      </c>
      <c r="BF158" s="131">
        <f>IF(N158="snížená",J158,0)</f>
        <v>0</v>
      </c>
      <c r="BG158" s="131">
        <f>IF(N158="zákl. přenesená",J158,0)</f>
        <v>0</v>
      </c>
      <c r="BH158" s="131">
        <f>IF(N158="sníž. přenesená",J158,0)</f>
        <v>0</v>
      </c>
      <c r="BI158" s="131">
        <f>IF(N158="nulová",J158,0)</f>
        <v>0</v>
      </c>
      <c r="BJ158" s="14" t="s">
        <v>19</v>
      </c>
      <c r="BK158" s="131">
        <f>ROUND(I158*H158,2)</f>
        <v>0</v>
      </c>
      <c r="BL158" s="14" t="s">
        <v>135</v>
      </c>
      <c r="BM158" s="130" t="s">
        <v>271</v>
      </c>
    </row>
    <row r="159" spans="2:65" s="1" customFormat="1">
      <c r="B159" s="26"/>
      <c r="D159" s="132" t="s">
        <v>143</v>
      </c>
      <c r="F159" s="133" t="s">
        <v>270</v>
      </c>
      <c r="L159" s="26"/>
      <c r="M159" s="134"/>
      <c r="T159" s="50"/>
      <c r="AT159" s="14" t="s">
        <v>143</v>
      </c>
      <c r="AU159" s="14" t="s">
        <v>19</v>
      </c>
    </row>
    <row r="160" spans="2:65" s="1" customFormat="1" ht="28.8">
      <c r="B160" s="26"/>
      <c r="D160" s="132" t="s">
        <v>145</v>
      </c>
      <c r="F160" s="135" t="s">
        <v>272</v>
      </c>
      <c r="L160" s="26"/>
      <c r="M160" s="134"/>
      <c r="T160" s="50"/>
      <c r="AT160" s="14" t="s">
        <v>145</v>
      </c>
      <c r="AU160" s="14" t="s">
        <v>19</v>
      </c>
    </row>
    <row r="161" spans="2:65" s="11" customFormat="1">
      <c r="B161" s="136"/>
      <c r="D161" s="132" t="s">
        <v>147</v>
      </c>
      <c r="E161" s="137" t="s">
        <v>273</v>
      </c>
      <c r="F161" s="138" t="s">
        <v>274</v>
      </c>
      <c r="H161" s="139">
        <v>11315</v>
      </c>
      <c r="L161" s="136"/>
      <c r="M161" s="140"/>
      <c r="T161" s="141"/>
      <c r="AT161" s="137" t="s">
        <v>147</v>
      </c>
      <c r="AU161" s="137" t="s">
        <v>19</v>
      </c>
      <c r="AV161" s="11" t="s">
        <v>149</v>
      </c>
      <c r="AW161" s="11" t="s">
        <v>39</v>
      </c>
      <c r="AX161" s="11" t="s">
        <v>19</v>
      </c>
      <c r="AY161" s="137" t="s">
        <v>136</v>
      </c>
    </row>
    <row r="162" spans="2:65" s="1" customFormat="1" ht="24.15" customHeight="1">
      <c r="B162" s="119"/>
      <c r="C162" s="120" t="s">
        <v>169</v>
      </c>
      <c r="D162" s="120" t="s">
        <v>137</v>
      </c>
      <c r="E162" s="121" t="s">
        <v>275</v>
      </c>
      <c r="F162" s="122" t="s">
        <v>276</v>
      </c>
      <c r="G162" s="123" t="s">
        <v>152</v>
      </c>
      <c r="H162" s="124">
        <v>3</v>
      </c>
      <c r="I162" s="125">
        <v>0</v>
      </c>
      <c r="J162" s="125">
        <f>ROUND(I162*H162,2)</f>
        <v>0</v>
      </c>
      <c r="K162" s="122" t="s">
        <v>141</v>
      </c>
      <c r="L162" s="26"/>
      <c r="M162" s="126" t="s">
        <v>1</v>
      </c>
      <c r="N162" s="127" t="s">
        <v>46</v>
      </c>
      <c r="O162" s="128">
        <v>0</v>
      </c>
      <c r="P162" s="128">
        <f>O162*H162</f>
        <v>0</v>
      </c>
      <c r="Q162" s="128">
        <v>0</v>
      </c>
      <c r="R162" s="128">
        <f>Q162*H162</f>
        <v>0</v>
      </c>
      <c r="S162" s="128">
        <v>0</v>
      </c>
      <c r="T162" s="129">
        <f>S162*H162</f>
        <v>0</v>
      </c>
      <c r="AR162" s="130" t="s">
        <v>135</v>
      </c>
      <c r="AT162" s="130" t="s">
        <v>137</v>
      </c>
      <c r="AU162" s="130" t="s">
        <v>19</v>
      </c>
      <c r="AY162" s="14" t="s">
        <v>136</v>
      </c>
      <c r="BE162" s="131">
        <f>IF(N162="základní",J162,0)</f>
        <v>0</v>
      </c>
      <c r="BF162" s="131">
        <f>IF(N162="snížená",J162,0)</f>
        <v>0</v>
      </c>
      <c r="BG162" s="131">
        <f>IF(N162="zákl. přenesená",J162,0)</f>
        <v>0</v>
      </c>
      <c r="BH162" s="131">
        <f>IF(N162="sníž. přenesená",J162,0)</f>
        <v>0</v>
      </c>
      <c r="BI162" s="131">
        <f>IF(N162="nulová",J162,0)</f>
        <v>0</v>
      </c>
      <c r="BJ162" s="14" t="s">
        <v>19</v>
      </c>
      <c r="BK162" s="131">
        <f>ROUND(I162*H162,2)</f>
        <v>0</v>
      </c>
      <c r="BL162" s="14" t="s">
        <v>135</v>
      </c>
      <c r="BM162" s="130" t="s">
        <v>277</v>
      </c>
    </row>
    <row r="163" spans="2:65" s="1" customFormat="1" ht="19.2">
      <c r="B163" s="26"/>
      <c r="D163" s="132" t="s">
        <v>143</v>
      </c>
      <c r="F163" s="133" t="s">
        <v>276</v>
      </c>
      <c r="L163" s="26"/>
      <c r="M163" s="134"/>
      <c r="T163" s="50"/>
      <c r="AT163" s="14" t="s">
        <v>143</v>
      </c>
      <c r="AU163" s="14" t="s">
        <v>19</v>
      </c>
    </row>
    <row r="164" spans="2:65" s="1" customFormat="1" ht="105.6">
      <c r="B164" s="26"/>
      <c r="D164" s="132" t="s">
        <v>145</v>
      </c>
      <c r="F164" s="135" t="s">
        <v>278</v>
      </c>
      <c r="L164" s="26"/>
      <c r="M164" s="134"/>
      <c r="T164" s="50"/>
      <c r="AT164" s="14" t="s">
        <v>145</v>
      </c>
      <c r="AU164" s="14" t="s">
        <v>19</v>
      </c>
    </row>
    <row r="165" spans="2:65" s="11" customFormat="1">
      <c r="B165" s="136"/>
      <c r="D165" s="132" t="s">
        <v>147</v>
      </c>
      <c r="E165" s="137" t="s">
        <v>279</v>
      </c>
      <c r="F165" s="138" t="s">
        <v>157</v>
      </c>
      <c r="H165" s="139">
        <v>3</v>
      </c>
      <c r="L165" s="136"/>
      <c r="M165" s="140"/>
      <c r="T165" s="141"/>
      <c r="AT165" s="137" t="s">
        <v>147</v>
      </c>
      <c r="AU165" s="137" t="s">
        <v>19</v>
      </c>
      <c r="AV165" s="11" t="s">
        <v>149</v>
      </c>
      <c r="AW165" s="11" t="s">
        <v>39</v>
      </c>
      <c r="AX165" s="11" t="s">
        <v>19</v>
      </c>
      <c r="AY165" s="137" t="s">
        <v>136</v>
      </c>
    </row>
    <row r="166" spans="2:65" s="1" customFormat="1" ht="16.5" customHeight="1">
      <c r="B166" s="119"/>
      <c r="C166" s="120" t="s">
        <v>176</v>
      </c>
      <c r="D166" s="120" t="s">
        <v>137</v>
      </c>
      <c r="E166" s="121" t="s">
        <v>280</v>
      </c>
      <c r="F166" s="122" t="s">
        <v>281</v>
      </c>
      <c r="G166" s="123" t="s">
        <v>152</v>
      </c>
      <c r="H166" s="124">
        <v>3</v>
      </c>
      <c r="I166" s="125">
        <v>0</v>
      </c>
      <c r="J166" s="125">
        <f>ROUND(I166*H166,2)</f>
        <v>0</v>
      </c>
      <c r="K166" s="122" t="s">
        <v>141</v>
      </c>
      <c r="L166" s="26"/>
      <c r="M166" s="126" t="s">
        <v>1</v>
      </c>
      <c r="N166" s="127" t="s">
        <v>46</v>
      </c>
      <c r="O166" s="128">
        <v>0</v>
      </c>
      <c r="P166" s="128">
        <f>O166*H166</f>
        <v>0</v>
      </c>
      <c r="Q166" s="128">
        <v>0</v>
      </c>
      <c r="R166" s="128">
        <f>Q166*H166</f>
        <v>0</v>
      </c>
      <c r="S166" s="128">
        <v>0</v>
      </c>
      <c r="T166" s="129">
        <f>S166*H166</f>
        <v>0</v>
      </c>
      <c r="AR166" s="130" t="s">
        <v>135</v>
      </c>
      <c r="AT166" s="130" t="s">
        <v>137</v>
      </c>
      <c r="AU166" s="130" t="s">
        <v>19</v>
      </c>
      <c r="AY166" s="14" t="s">
        <v>136</v>
      </c>
      <c r="BE166" s="131">
        <f>IF(N166="základní",J166,0)</f>
        <v>0</v>
      </c>
      <c r="BF166" s="131">
        <f>IF(N166="snížená",J166,0)</f>
        <v>0</v>
      </c>
      <c r="BG166" s="131">
        <f>IF(N166="zákl. přenesená",J166,0)</f>
        <v>0</v>
      </c>
      <c r="BH166" s="131">
        <f>IF(N166="sníž. přenesená",J166,0)</f>
        <v>0</v>
      </c>
      <c r="BI166" s="131">
        <f>IF(N166="nulová",J166,0)</f>
        <v>0</v>
      </c>
      <c r="BJ166" s="14" t="s">
        <v>19</v>
      </c>
      <c r="BK166" s="131">
        <f>ROUND(I166*H166,2)</f>
        <v>0</v>
      </c>
      <c r="BL166" s="14" t="s">
        <v>135</v>
      </c>
      <c r="BM166" s="130" t="s">
        <v>282</v>
      </c>
    </row>
    <row r="167" spans="2:65" s="1" customFormat="1">
      <c r="B167" s="26"/>
      <c r="D167" s="132" t="s">
        <v>143</v>
      </c>
      <c r="F167" s="133" t="s">
        <v>281</v>
      </c>
      <c r="L167" s="26"/>
      <c r="M167" s="134"/>
      <c r="T167" s="50"/>
      <c r="AT167" s="14" t="s">
        <v>143</v>
      </c>
      <c r="AU167" s="14" t="s">
        <v>19</v>
      </c>
    </row>
    <row r="168" spans="2:65" s="1" customFormat="1" ht="96">
      <c r="B168" s="26"/>
      <c r="D168" s="132" t="s">
        <v>145</v>
      </c>
      <c r="F168" s="135" t="s">
        <v>283</v>
      </c>
      <c r="L168" s="26"/>
      <c r="M168" s="134"/>
      <c r="T168" s="50"/>
      <c r="AT168" s="14" t="s">
        <v>145</v>
      </c>
      <c r="AU168" s="14" t="s">
        <v>19</v>
      </c>
    </row>
    <row r="169" spans="2:65" s="11" customFormat="1">
      <c r="B169" s="136"/>
      <c r="D169" s="132" t="s">
        <v>147</v>
      </c>
      <c r="E169" s="137" t="s">
        <v>284</v>
      </c>
      <c r="F169" s="138" t="s">
        <v>157</v>
      </c>
      <c r="H169" s="139">
        <v>3</v>
      </c>
      <c r="L169" s="136"/>
      <c r="M169" s="140"/>
      <c r="T169" s="141"/>
      <c r="AT169" s="137" t="s">
        <v>147</v>
      </c>
      <c r="AU169" s="137" t="s">
        <v>19</v>
      </c>
      <c r="AV169" s="11" t="s">
        <v>149</v>
      </c>
      <c r="AW169" s="11" t="s">
        <v>39</v>
      </c>
      <c r="AX169" s="11" t="s">
        <v>19</v>
      </c>
      <c r="AY169" s="137" t="s">
        <v>136</v>
      </c>
    </row>
    <row r="170" spans="2:65" s="1" customFormat="1" ht="24.15" customHeight="1">
      <c r="B170" s="119"/>
      <c r="C170" s="120" t="s">
        <v>182</v>
      </c>
      <c r="D170" s="120" t="s">
        <v>137</v>
      </c>
      <c r="E170" s="121" t="s">
        <v>285</v>
      </c>
      <c r="F170" s="122" t="s">
        <v>286</v>
      </c>
      <c r="G170" s="123" t="s">
        <v>216</v>
      </c>
      <c r="H170" s="124">
        <v>35.6</v>
      </c>
      <c r="I170" s="125">
        <v>0</v>
      </c>
      <c r="J170" s="125">
        <f>ROUND(I170*H170,2)</f>
        <v>0</v>
      </c>
      <c r="K170" s="122" t="s">
        <v>141</v>
      </c>
      <c r="L170" s="26"/>
      <c r="M170" s="126" t="s">
        <v>1</v>
      </c>
      <c r="N170" s="127" t="s">
        <v>46</v>
      </c>
      <c r="O170" s="128">
        <v>0</v>
      </c>
      <c r="P170" s="128">
        <f>O170*H170</f>
        <v>0</v>
      </c>
      <c r="Q170" s="128">
        <v>0</v>
      </c>
      <c r="R170" s="128">
        <f>Q170*H170</f>
        <v>0</v>
      </c>
      <c r="S170" s="128">
        <v>0</v>
      </c>
      <c r="T170" s="129">
        <f>S170*H170</f>
        <v>0</v>
      </c>
      <c r="AR170" s="130" t="s">
        <v>135</v>
      </c>
      <c r="AT170" s="130" t="s">
        <v>137</v>
      </c>
      <c r="AU170" s="130" t="s">
        <v>19</v>
      </c>
      <c r="AY170" s="14" t="s">
        <v>136</v>
      </c>
      <c r="BE170" s="131">
        <f>IF(N170="základní",J170,0)</f>
        <v>0</v>
      </c>
      <c r="BF170" s="131">
        <f>IF(N170="snížená",J170,0)</f>
        <v>0</v>
      </c>
      <c r="BG170" s="131">
        <f>IF(N170="zákl. přenesená",J170,0)</f>
        <v>0</v>
      </c>
      <c r="BH170" s="131">
        <f>IF(N170="sníž. přenesená",J170,0)</f>
        <v>0</v>
      </c>
      <c r="BI170" s="131">
        <f>IF(N170="nulová",J170,0)</f>
        <v>0</v>
      </c>
      <c r="BJ170" s="14" t="s">
        <v>19</v>
      </c>
      <c r="BK170" s="131">
        <f>ROUND(I170*H170,2)</f>
        <v>0</v>
      </c>
      <c r="BL170" s="14" t="s">
        <v>135</v>
      </c>
      <c r="BM170" s="130" t="s">
        <v>287</v>
      </c>
    </row>
    <row r="171" spans="2:65" s="1" customFormat="1">
      <c r="B171" s="26"/>
      <c r="D171" s="132" t="s">
        <v>143</v>
      </c>
      <c r="F171" s="133" t="s">
        <v>288</v>
      </c>
      <c r="L171" s="26"/>
      <c r="M171" s="134"/>
      <c r="T171" s="50"/>
      <c r="AT171" s="14" t="s">
        <v>143</v>
      </c>
      <c r="AU171" s="14" t="s">
        <v>19</v>
      </c>
    </row>
    <row r="172" spans="2:65" s="1" customFormat="1" ht="76.8">
      <c r="B172" s="26"/>
      <c r="D172" s="132" t="s">
        <v>145</v>
      </c>
      <c r="F172" s="135" t="s">
        <v>289</v>
      </c>
      <c r="L172" s="26"/>
      <c r="M172" s="134"/>
      <c r="T172" s="50"/>
      <c r="AT172" s="14" t="s">
        <v>145</v>
      </c>
      <c r="AU172" s="14" t="s">
        <v>19</v>
      </c>
    </row>
    <row r="173" spans="2:65" s="11" customFormat="1">
      <c r="B173" s="136"/>
      <c r="D173" s="132" t="s">
        <v>147</v>
      </c>
      <c r="E173" s="137" t="s">
        <v>290</v>
      </c>
      <c r="F173" s="138" t="s">
        <v>291</v>
      </c>
      <c r="H173" s="139">
        <v>35.6</v>
      </c>
      <c r="L173" s="136"/>
      <c r="M173" s="140"/>
      <c r="T173" s="141"/>
      <c r="AT173" s="137" t="s">
        <v>147</v>
      </c>
      <c r="AU173" s="137" t="s">
        <v>19</v>
      </c>
      <c r="AV173" s="11" t="s">
        <v>149</v>
      </c>
      <c r="AW173" s="11" t="s">
        <v>39</v>
      </c>
      <c r="AX173" s="11" t="s">
        <v>19</v>
      </c>
      <c r="AY173" s="137" t="s">
        <v>136</v>
      </c>
    </row>
    <row r="174" spans="2:65" s="1" customFormat="1" ht="24.15" customHeight="1">
      <c r="B174" s="119"/>
      <c r="C174" s="120" t="s">
        <v>189</v>
      </c>
      <c r="D174" s="120" t="s">
        <v>137</v>
      </c>
      <c r="E174" s="121" t="s">
        <v>292</v>
      </c>
      <c r="F174" s="122" t="s">
        <v>293</v>
      </c>
      <c r="G174" s="123" t="s">
        <v>216</v>
      </c>
      <c r="H174" s="124">
        <v>23.6</v>
      </c>
      <c r="I174" s="125">
        <v>0</v>
      </c>
      <c r="J174" s="125">
        <f>ROUND(I174*H174,2)</f>
        <v>0</v>
      </c>
      <c r="K174" s="122" t="s">
        <v>141</v>
      </c>
      <c r="L174" s="26"/>
      <c r="M174" s="126" t="s">
        <v>1</v>
      </c>
      <c r="N174" s="127" t="s">
        <v>46</v>
      </c>
      <c r="O174" s="128">
        <v>0</v>
      </c>
      <c r="P174" s="128">
        <f>O174*H174</f>
        <v>0</v>
      </c>
      <c r="Q174" s="128">
        <v>0</v>
      </c>
      <c r="R174" s="128">
        <f>Q174*H174</f>
        <v>0</v>
      </c>
      <c r="S174" s="128">
        <v>0</v>
      </c>
      <c r="T174" s="129">
        <f>S174*H174</f>
        <v>0</v>
      </c>
      <c r="AR174" s="130" t="s">
        <v>135</v>
      </c>
      <c r="AT174" s="130" t="s">
        <v>137</v>
      </c>
      <c r="AU174" s="130" t="s">
        <v>19</v>
      </c>
      <c r="AY174" s="14" t="s">
        <v>136</v>
      </c>
      <c r="BE174" s="131">
        <f>IF(N174="základní",J174,0)</f>
        <v>0</v>
      </c>
      <c r="BF174" s="131">
        <f>IF(N174="snížená",J174,0)</f>
        <v>0</v>
      </c>
      <c r="BG174" s="131">
        <f>IF(N174="zákl. přenesená",J174,0)</f>
        <v>0</v>
      </c>
      <c r="BH174" s="131">
        <f>IF(N174="sníž. přenesená",J174,0)</f>
        <v>0</v>
      </c>
      <c r="BI174" s="131">
        <f>IF(N174="nulová",J174,0)</f>
        <v>0</v>
      </c>
      <c r="BJ174" s="14" t="s">
        <v>19</v>
      </c>
      <c r="BK174" s="131">
        <f>ROUND(I174*H174,2)</f>
        <v>0</v>
      </c>
      <c r="BL174" s="14" t="s">
        <v>135</v>
      </c>
      <c r="BM174" s="130" t="s">
        <v>294</v>
      </c>
    </row>
    <row r="175" spans="2:65" s="1" customFormat="1">
      <c r="B175" s="26"/>
      <c r="D175" s="132" t="s">
        <v>143</v>
      </c>
      <c r="F175" s="133" t="s">
        <v>293</v>
      </c>
      <c r="L175" s="26"/>
      <c r="M175" s="134"/>
      <c r="T175" s="50"/>
      <c r="AT175" s="14" t="s">
        <v>143</v>
      </c>
      <c r="AU175" s="14" t="s">
        <v>19</v>
      </c>
    </row>
    <row r="176" spans="2:65" s="1" customFormat="1" ht="86.4">
      <c r="B176" s="26"/>
      <c r="D176" s="132" t="s">
        <v>145</v>
      </c>
      <c r="F176" s="135" t="s">
        <v>295</v>
      </c>
      <c r="L176" s="26"/>
      <c r="M176" s="134"/>
      <c r="T176" s="50"/>
      <c r="AT176" s="14" t="s">
        <v>145</v>
      </c>
      <c r="AU176" s="14" t="s">
        <v>19</v>
      </c>
    </row>
    <row r="177" spans="2:65" s="11" customFormat="1">
      <c r="B177" s="136"/>
      <c r="D177" s="132" t="s">
        <v>147</v>
      </c>
      <c r="E177" s="137" t="s">
        <v>296</v>
      </c>
      <c r="F177" s="138" t="s">
        <v>297</v>
      </c>
      <c r="H177" s="139">
        <v>23.6</v>
      </c>
      <c r="L177" s="136"/>
      <c r="M177" s="140"/>
      <c r="T177" s="141"/>
      <c r="AT177" s="137" t="s">
        <v>147</v>
      </c>
      <c r="AU177" s="137" t="s">
        <v>19</v>
      </c>
      <c r="AV177" s="11" t="s">
        <v>149</v>
      </c>
      <c r="AW177" s="11" t="s">
        <v>39</v>
      </c>
      <c r="AX177" s="11" t="s">
        <v>19</v>
      </c>
      <c r="AY177" s="137" t="s">
        <v>136</v>
      </c>
    </row>
    <row r="178" spans="2:65" s="1" customFormat="1" ht="24.15" customHeight="1">
      <c r="B178" s="119"/>
      <c r="C178" s="120" t="s">
        <v>197</v>
      </c>
      <c r="D178" s="120" t="s">
        <v>137</v>
      </c>
      <c r="E178" s="121" t="s">
        <v>298</v>
      </c>
      <c r="F178" s="122" t="s">
        <v>299</v>
      </c>
      <c r="G178" s="123" t="s">
        <v>260</v>
      </c>
      <c r="H178" s="124">
        <v>1076</v>
      </c>
      <c r="I178" s="125">
        <v>0</v>
      </c>
      <c r="J178" s="125">
        <f>ROUND(I178*H178,2)</f>
        <v>0</v>
      </c>
      <c r="K178" s="122" t="s">
        <v>141</v>
      </c>
      <c r="L178" s="26"/>
      <c r="M178" s="126" t="s">
        <v>1</v>
      </c>
      <c r="N178" s="127" t="s">
        <v>46</v>
      </c>
      <c r="O178" s="128">
        <v>0</v>
      </c>
      <c r="P178" s="128">
        <f>O178*H178</f>
        <v>0</v>
      </c>
      <c r="Q178" s="128">
        <v>0</v>
      </c>
      <c r="R178" s="128">
        <f>Q178*H178</f>
        <v>0</v>
      </c>
      <c r="S178" s="128">
        <v>0</v>
      </c>
      <c r="T178" s="129">
        <f>S178*H178</f>
        <v>0</v>
      </c>
      <c r="AR178" s="130" t="s">
        <v>135</v>
      </c>
      <c r="AT178" s="130" t="s">
        <v>137</v>
      </c>
      <c r="AU178" s="130" t="s">
        <v>19</v>
      </c>
      <c r="AY178" s="14" t="s">
        <v>136</v>
      </c>
      <c r="BE178" s="131">
        <f>IF(N178="základní",J178,0)</f>
        <v>0</v>
      </c>
      <c r="BF178" s="131">
        <f>IF(N178="snížená",J178,0)</f>
        <v>0</v>
      </c>
      <c r="BG178" s="131">
        <f>IF(N178="zákl. přenesená",J178,0)</f>
        <v>0</v>
      </c>
      <c r="BH178" s="131">
        <f>IF(N178="sníž. přenesená",J178,0)</f>
        <v>0</v>
      </c>
      <c r="BI178" s="131">
        <f>IF(N178="nulová",J178,0)</f>
        <v>0</v>
      </c>
      <c r="BJ178" s="14" t="s">
        <v>19</v>
      </c>
      <c r="BK178" s="131">
        <f>ROUND(I178*H178,2)</f>
        <v>0</v>
      </c>
      <c r="BL178" s="14" t="s">
        <v>135</v>
      </c>
      <c r="BM178" s="130" t="s">
        <v>300</v>
      </c>
    </row>
    <row r="179" spans="2:65" s="1" customFormat="1" ht="19.2">
      <c r="B179" s="26"/>
      <c r="D179" s="132" t="s">
        <v>143</v>
      </c>
      <c r="F179" s="133" t="s">
        <v>299</v>
      </c>
      <c r="L179" s="26"/>
      <c r="M179" s="134"/>
      <c r="T179" s="50"/>
      <c r="AT179" s="14" t="s">
        <v>143</v>
      </c>
      <c r="AU179" s="14" t="s">
        <v>19</v>
      </c>
    </row>
    <row r="180" spans="2:65" s="1" customFormat="1" ht="96">
      <c r="B180" s="26"/>
      <c r="D180" s="132" t="s">
        <v>145</v>
      </c>
      <c r="F180" s="135" t="s">
        <v>301</v>
      </c>
      <c r="L180" s="26"/>
      <c r="M180" s="134"/>
      <c r="T180" s="50"/>
      <c r="AT180" s="14" t="s">
        <v>145</v>
      </c>
      <c r="AU180" s="14" t="s">
        <v>19</v>
      </c>
    </row>
    <row r="181" spans="2:65" s="11" customFormat="1">
      <c r="B181" s="136"/>
      <c r="D181" s="132" t="s">
        <v>147</v>
      </c>
      <c r="E181" s="137" t="s">
        <v>302</v>
      </c>
      <c r="F181" s="138" t="s">
        <v>303</v>
      </c>
      <c r="H181" s="139">
        <v>1052</v>
      </c>
      <c r="L181" s="136"/>
      <c r="M181" s="140"/>
      <c r="T181" s="141"/>
      <c r="AT181" s="137" t="s">
        <v>147</v>
      </c>
      <c r="AU181" s="137" t="s">
        <v>19</v>
      </c>
      <c r="AV181" s="11" t="s">
        <v>149</v>
      </c>
      <c r="AW181" s="11" t="s">
        <v>39</v>
      </c>
      <c r="AX181" s="11" t="s">
        <v>81</v>
      </c>
      <c r="AY181" s="137" t="s">
        <v>136</v>
      </c>
    </row>
    <row r="182" spans="2:65" s="11" customFormat="1">
      <c r="B182" s="136"/>
      <c r="D182" s="132" t="s">
        <v>147</v>
      </c>
      <c r="E182" s="137" t="s">
        <v>304</v>
      </c>
      <c r="F182" s="138" t="s">
        <v>305</v>
      </c>
      <c r="H182" s="139">
        <v>12</v>
      </c>
      <c r="L182" s="136"/>
      <c r="M182" s="140"/>
      <c r="T182" s="141"/>
      <c r="AT182" s="137" t="s">
        <v>147</v>
      </c>
      <c r="AU182" s="137" t="s">
        <v>19</v>
      </c>
      <c r="AV182" s="11" t="s">
        <v>149</v>
      </c>
      <c r="AW182" s="11" t="s">
        <v>39</v>
      </c>
      <c r="AX182" s="11" t="s">
        <v>81</v>
      </c>
      <c r="AY182" s="137" t="s">
        <v>136</v>
      </c>
    </row>
    <row r="183" spans="2:65" s="11" customFormat="1">
      <c r="B183" s="136"/>
      <c r="D183" s="132" t="s">
        <v>147</v>
      </c>
      <c r="E183" s="137" t="s">
        <v>306</v>
      </c>
      <c r="F183" s="138" t="s">
        <v>307</v>
      </c>
      <c r="H183" s="139">
        <v>12</v>
      </c>
      <c r="L183" s="136"/>
      <c r="M183" s="140"/>
      <c r="T183" s="141"/>
      <c r="AT183" s="137" t="s">
        <v>147</v>
      </c>
      <c r="AU183" s="137" t="s">
        <v>19</v>
      </c>
      <c r="AV183" s="11" t="s">
        <v>149</v>
      </c>
      <c r="AW183" s="11" t="s">
        <v>39</v>
      </c>
      <c r="AX183" s="11" t="s">
        <v>81</v>
      </c>
      <c r="AY183" s="137" t="s">
        <v>136</v>
      </c>
    </row>
    <row r="184" spans="2:65" s="11" customFormat="1">
      <c r="B184" s="136"/>
      <c r="D184" s="132" t="s">
        <v>147</v>
      </c>
      <c r="E184" s="137" t="s">
        <v>308</v>
      </c>
      <c r="F184" s="138" t="s">
        <v>309</v>
      </c>
      <c r="H184" s="139">
        <v>1076</v>
      </c>
      <c r="L184" s="136"/>
      <c r="M184" s="140"/>
      <c r="T184" s="141"/>
      <c r="AT184" s="137" t="s">
        <v>147</v>
      </c>
      <c r="AU184" s="137" t="s">
        <v>19</v>
      </c>
      <c r="AV184" s="11" t="s">
        <v>149</v>
      </c>
      <c r="AW184" s="11" t="s">
        <v>39</v>
      </c>
      <c r="AX184" s="11" t="s">
        <v>19</v>
      </c>
      <c r="AY184" s="137" t="s">
        <v>136</v>
      </c>
    </row>
    <row r="185" spans="2:65" s="1" customFormat="1" ht="24.15" customHeight="1">
      <c r="B185" s="119"/>
      <c r="C185" s="120" t="s">
        <v>24</v>
      </c>
      <c r="D185" s="120" t="s">
        <v>137</v>
      </c>
      <c r="E185" s="121" t="s">
        <v>310</v>
      </c>
      <c r="F185" s="122" t="s">
        <v>311</v>
      </c>
      <c r="G185" s="123" t="s">
        <v>312</v>
      </c>
      <c r="H185" s="124">
        <v>147</v>
      </c>
      <c r="I185" s="125">
        <v>0</v>
      </c>
      <c r="J185" s="125">
        <f>ROUND(I185*H185,2)</f>
        <v>0</v>
      </c>
      <c r="K185" s="122" t="s">
        <v>141</v>
      </c>
      <c r="L185" s="26"/>
      <c r="M185" s="126" t="s">
        <v>1</v>
      </c>
      <c r="N185" s="127" t="s">
        <v>46</v>
      </c>
      <c r="O185" s="128">
        <v>0</v>
      </c>
      <c r="P185" s="128">
        <f>O185*H185</f>
        <v>0</v>
      </c>
      <c r="Q185" s="128">
        <v>0</v>
      </c>
      <c r="R185" s="128">
        <f>Q185*H185</f>
        <v>0</v>
      </c>
      <c r="S185" s="128">
        <v>0</v>
      </c>
      <c r="T185" s="129">
        <f>S185*H185</f>
        <v>0</v>
      </c>
      <c r="AR185" s="130" t="s">
        <v>135</v>
      </c>
      <c r="AT185" s="130" t="s">
        <v>137</v>
      </c>
      <c r="AU185" s="130" t="s">
        <v>19</v>
      </c>
      <c r="AY185" s="14" t="s">
        <v>136</v>
      </c>
      <c r="BE185" s="131">
        <f>IF(N185="základní",J185,0)</f>
        <v>0</v>
      </c>
      <c r="BF185" s="131">
        <f>IF(N185="snížená",J185,0)</f>
        <v>0</v>
      </c>
      <c r="BG185" s="131">
        <f>IF(N185="zákl. přenesená",J185,0)</f>
        <v>0</v>
      </c>
      <c r="BH185" s="131">
        <f>IF(N185="sníž. přenesená",J185,0)</f>
        <v>0</v>
      </c>
      <c r="BI185" s="131">
        <f>IF(N185="nulová",J185,0)</f>
        <v>0</v>
      </c>
      <c r="BJ185" s="14" t="s">
        <v>19</v>
      </c>
      <c r="BK185" s="131">
        <f>ROUND(I185*H185,2)</f>
        <v>0</v>
      </c>
      <c r="BL185" s="14" t="s">
        <v>135</v>
      </c>
      <c r="BM185" s="130" t="s">
        <v>313</v>
      </c>
    </row>
    <row r="186" spans="2:65" s="1" customFormat="1" ht="19.2">
      <c r="B186" s="26"/>
      <c r="D186" s="132" t="s">
        <v>143</v>
      </c>
      <c r="F186" s="133" t="s">
        <v>311</v>
      </c>
      <c r="L186" s="26"/>
      <c r="M186" s="134"/>
      <c r="T186" s="50"/>
      <c r="AT186" s="14" t="s">
        <v>143</v>
      </c>
      <c r="AU186" s="14" t="s">
        <v>19</v>
      </c>
    </row>
    <row r="187" spans="2:65" s="1" customFormat="1" ht="76.8">
      <c r="B187" s="26"/>
      <c r="D187" s="132" t="s">
        <v>145</v>
      </c>
      <c r="F187" s="135" t="s">
        <v>289</v>
      </c>
      <c r="L187" s="26"/>
      <c r="M187" s="134"/>
      <c r="T187" s="50"/>
      <c r="AT187" s="14" t="s">
        <v>145</v>
      </c>
      <c r="AU187" s="14" t="s">
        <v>19</v>
      </c>
    </row>
    <row r="188" spans="2:65" s="11" customFormat="1">
      <c r="B188" s="136"/>
      <c r="D188" s="132" t="s">
        <v>147</v>
      </c>
      <c r="E188" s="137" t="s">
        <v>314</v>
      </c>
      <c r="F188" s="138" t="s">
        <v>315</v>
      </c>
      <c r="H188" s="139">
        <v>94</v>
      </c>
      <c r="L188" s="136"/>
      <c r="M188" s="140"/>
      <c r="T188" s="141"/>
      <c r="AT188" s="137" t="s">
        <v>147</v>
      </c>
      <c r="AU188" s="137" t="s">
        <v>19</v>
      </c>
      <c r="AV188" s="11" t="s">
        <v>149</v>
      </c>
      <c r="AW188" s="11" t="s">
        <v>39</v>
      </c>
      <c r="AX188" s="11" t="s">
        <v>81</v>
      </c>
      <c r="AY188" s="137" t="s">
        <v>136</v>
      </c>
    </row>
    <row r="189" spans="2:65" s="11" customFormat="1">
      <c r="B189" s="136"/>
      <c r="D189" s="132" t="s">
        <v>147</v>
      </c>
      <c r="E189" s="137" t="s">
        <v>316</v>
      </c>
      <c r="F189" s="138" t="s">
        <v>317</v>
      </c>
      <c r="H189" s="139">
        <v>53</v>
      </c>
      <c r="L189" s="136"/>
      <c r="M189" s="140"/>
      <c r="T189" s="141"/>
      <c r="AT189" s="137" t="s">
        <v>147</v>
      </c>
      <c r="AU189" s="137" t="s">
        <v>19</v>
      </c>
      <c r="AV189" s="11" t="s">
        <v>149</v>
      </c>
      <c r="AW189" s="11" t="s">
        <v>39</v>
      </c>
      <c r="AX189" s="11" t="s">
        <v>81</v>
      </c>
      <c r="AY189" s="137" t="s">
        <v>136</v>
      </c>
    </row>
    <row r="190" spans="2:65" s="11" customFormat="1">
      <c r="B190" s="136"/>
      <c r="D190" s="132" t="s">
        <v>147</v>
      </c>
      <c r="E190" s="137" t="s">
        <v>318</v>
      </c>
      <c r="F190" s="138" t="s">
        <v>319</v>
      </c>
      <c r="H190" s="139">
        <v>147</v>
      </c>
      <c r="L190" s="136"/>
      <c r="M190" s="140"/>
      <c r="T190" s="141"/>
      <c r="AT190" s="137" t="s">
        <v>147</v>
      </c>
      <c r="AU190" s="137" t="s">
        <v>19</v>
      </c>
      <c r="AV190" s="11" t="s">
        <v>149</v>
      </c>
      <c r="AW190" s="11" t="s">
        <v>39</v>
      </c>
      <c r="AX190" s="11" t="s">
        <v>19</v>
      </c>
      <c r="AY190" s="137" t="s">
        <v>136</v>
      </c>
    </row>
    <row r="191" spans="2:65" s="1" customFormat="1" ht="21.75" customHeight="1">
      <c r="B191" s="119"/>
      <c r="C191" s="120" t="s">
        <v>320</v>
      </c>
      <c r="D191" s="120" t="s">
        <v>137</v>
      </c>
      <c r="E191" s="121" t="s">
        <v>321</v>
      </c>
      <c r="F191" s="122" t="s">
        <v>322</v>
      </c>
      <c r="G191" s="123" t="s">
        <v>216</v>
      </c>
      <c r="H191" s="124">
        <v>2310.23</v>
      </c>
      <c r="I191" s="125">
        <v>0</v>
      </c>
      <c r="J191" s="125">
        <f>ROUND(I191*H191,2)</f>
        <v>0</v>
      </c>
      <c r="K191" s="122" t="s">
        <v>141</v>
      </c>
      <c r="L191" s="26"/>
      <c r="M191" s="126" t="s">
        <v>1</v>
      </c>
      <c r="N191" s="127" t="s">
        <v>46</v>
      </c>
      <c r="O191" s="128">
        <v>0</v>
      </c>
      <c r="P191" s="128">
        <f>O191*H191</f>
        <v>0</v>
      </c>
      <c r="Q191" s="128">
        <v>0</v>
      </c>
      <c r="R191" s="128">
        <f>Q191*H191</f>
        <v>0</v>
      </c>
      <c r="S191" s="128">
        <v>0</v>
      </c>
      <c r="T191" s="129">
        <f>S191*H191</f>
        <v>0</v>
      </c>
      <c r="AR191" s="130" t="s">
        <v>135</v>
      </c>
      <c r="AT191" s="130" t="s">
        <v>137</v>
      </c>
      <c r="AU191" s="130" t="s">
        <v>19</v>
      </c>
      <c r="AY191" s="14" t="s">
        <v>136</v>
      </c>
      <c r="BE191" s="131">
        <f>IF(N191="základní",J191,0)</f>
        <v>0</v>
      </c>
      <c r="BF191" s="131">
        <f>IF(N191="snížená",J191,0)</f>
        <v>0</v>
      </c>
      <c r="BG191" s="131">
        <f>IF(N191="zákl. přenesená",J191,0)</f>
        <v>0</v>
      </c>
      <c r="BH191" s="131">
        <f>IF(N191="sníž. přenesená",J191,0)</f>
        <v>0</v>
      </c>
      <c r="BI191" s="131">
        <f>IF(N191="nulová",J191,0)</f>
        <v>0</v>
      </c>
      <c r="BJ191" s="14" t="s">
        <v>19</v>
      </c>
      <c r="BK191" s="131">
        <f>ROUND(I191*H191,2)</f>
        <v>0</v>
      </c>
      <c r="BL191" s="14" t="s">
        <v>135</v>
      </c>
      <c r="BM191" s="130" t="s">
        <v>323</v>
      </c>
    </row>
    <row r="192" spans="2:65" s="1" customFormat="1">
      <c r="B192" s="26"/>
      <c r="D192" s="132" t="s">
        <v>143</v>
      </c>
      <c r="F192" s="133" t="s">
        <v>324</v>
      </c>
      <c r="L192" s="26"/>
      <c r="M192" s="134"/>
      <c r="T192" s="50"/>
      <c r="AT192" s="14" t="s">
        <v>143</v>
      </c>
      <c r="AU192" s="14" t="s">
        <v>19</v>
      </c>
    </row>
    <row r="193" spans="2:65" s="1" customFormat="1" ht="76.8">
      <c r="B193" s="26"/>
      <c r="D193" s="132" t="s">
        <v>145</v>
      </c>
      <c r="F193" s="135" t="s">
        <v>289</v>
      </c>
      <c r="L193" s="26"/>
      <c r="M193" s="134"/>
      <c r="T193" s="50"/>
      <c r="AT193" s="14" t="s">
        <v>145</v>
      </c>
      <c r="AU193" s="14" t="s">
        <v>19</v>
      </c>
    </row>
    <row r="194" spans="2:65" s="11" customFormat="1">
      <c r="B194" s="136"/>
      <c r="D194" s="132" t="s">
        <v>147</v>
      </c>
      <c r="E194" s="137" t="s">
        <v>325</v>
      </c>
      <c r="F194" s="138" t="s">
        <v>326</v>
      </c>
      <c r="H194" s="139">
        <v>2310.23</v>
      </c>
      <c r="L194" s="136"/>
      <c r="M194" s="140"/>
      <c r="T194" s="141"/>
      <c r="AT194" s="137" t="s">
        <v>147</v>
      </c>
      <c r="AU194" s="137" t="s">
        <v>19</v>
      </c>
      <c r="AV194" s="11" t="s">
        <v>149</v>
      </c>
      <c r="AW194" s="11" t="s">
        <v>39</v>
      </c>
      <c r="AX194" s="11" t="s">
        <v>19</v>
      </c>
      <c r="AY194" s="137" t="s">
        <v>136</v>
      </c>
    </row>
    <row r="195" spans="2:65" s="1" customFormat="1" ht="16.5" customHeight="1">
      <c r="B195" s="119"/>
      <c r="C195" s="120" t="s">
        <v>327</v>
      </c>
      <c r="D195" s="120" t="s">
        <v>137</v>
      </c>
      <c r="E195" s="121" t="s">
        <v>328</v>
      </c>
      <c r="F195" s="122" t="s">
        <v>329</v>
      </c>
      <c r="G195" s="123" t="s">
        <v>216</v>
      </c>
      <c r="H195" s="124">
        <v>1698.45</v>
      </c>
      <c r="I195" s="125">
        <v>0</v>
      </c>
      <c r="J195" s="125">
        <f>ROUND(I195*H195,2)</f>
        <v>0</v>
      </c>
      <c r="K195" s="122" t="s">
        <v>141</v>
      </c>
      <c r="L195" s="26"/>
      <c r="M195" s="126" t="s">
        <v>1</v>
      </c>
      <c r="N195" s="127" t="s">
        <v>46</v>
      </c>
      <c r="O195" s="128">
        <v>0</v>
      </c>
      <c r="P195" s="128">
        <f>O195*H195</f>
        <v>0</v>
      </c>
      <c r="Q195" s="128">
        <v>0</v>
      </c>
      <c r="R195" s="128">
        <f>Q195*H195</f>
        <v>0</v>
      </c>
      <c r="S195" s="128">
        <v>0</v>
      </c>
      <c r="T195" s="129">
        <f>S195*H195</f>
        <v>0</v>
      </c>
      <c r="AR195" s="130" t="s">
        <v>135</v>
      </c>
      <c r="AT195" s="130" t="s">
        <v>137</v>
      </c>
      <c r="AU195" s="130" t="s">
        <v>19</v>
      </c>
      <c r="AY195" s="14" t="s">
        <v>136</v>
      </c>
      <c r="BE195" s="131">
        <f>IF(N195="základní",J195,0)</f>
        <v>0</v>
      </c>
      <c r="BF195" s="131">
        <f>IF(N195="snížená",J195,0)</f>
        <v>0</v>
      </c>
      <c r="BG195" s="131">
        <f>IF(N195="zákl. přenesená",J195,0)</f>
        <v>0</v>
      </c>
      <c r="BH195" s="131">
        <f>IF(N195="sníž. přenesená",J195,0)</f>
        <v>0</v>
      </c>
      <c r="BI195" s="131">
        <f>IF(N195="nulová",J195,0)</f>
        <v>0</v>
      </c>
      <c r="BJ195" s="14" t="s">
        <v>19</v>
      </c>
      <c r="BK195" s="131">
        <f>ROUND(I195*H195,2)</f>
        <v>0</v>
      </c>
      <c r="BL195" s="14" t="s">
        <v>135</v>
      </c>
      <c r="BM195" s="130" t="s">
        <v>330</v>
      </c>
    </row>
    <row r="196" spans="2:65" s="1" customFormat="1">
      <c r="B196" s="26"/>
      <c r="D196" s="132" t="s">
        <v>143</v>
      </c>
      <c r="F196" s="133" t="s">
        <v>329</v>
      </c>
      <c r="L196" s="26"/>
      <c r="M196" s="134"/>
      <c r="T196" s="50"/>
      <c r="AT196" s="14" t="s">
        <v>143</v>
      </c>
      <c r="AU196" s="14" t="s">
        <v>19</v>
      </c>
    </row>
    <row r="197" spans="2:65" s="1" customFormat="1" ht="220.8">
      <c r="B197" s="26"/>
      <c r="D197" s="132" t="s">
        <v>145</v>
      </c>
      <c r="F197" s="135" t="s">
        <v>331</v>
      </c>
      <c r="L197" s="26"/>
      <c r="M197" s="134"/>
      <c r="T197" s="50"/>
      <c r="AT197" s="14" t="s">
        <v>145</v>
      </c>
      <c r="AU197" s="14" t="s">
        <v>19</v>
      </c>
    </row>
    <row r="198" spans="2:65" s="11" customFormat="1">
      <c r="B198" s="136"/>
      <c r="D198" s="132" t="s">
        <v>147</v>
      </c>
      <c r="E198" s="137" t="s">
        <v>332</v>
      </c>
      <c r="F198" s="138" t="s">
        <v>333</v>
      </c>
      <c r="H198" s="139">
        <v>1698.45</v>
      </c>
      <c r="L198" s="136"/>
      <c r="M198" s="140"/>
      <c r="T198" s="141"/>
      <c r="AT198" s="137" t="s">
        <v>147</v>
      </c>
      <c r="AU198" s="137" t="s">
        <v>19</v>
      </c>
      <c r="AV198" s="11" t="s">
        <v>149</v>
      </c>
      <c r="AW198" s="11" t="s">
        <v>39</v>
      </c>
      <c r="AX198" s="11" t="s">
        <v>19</v>
      </c>
      <c r="AY198" s="137" t="s">
        <v>136</v>
      </c>
    </row>
    <row r="199" spans="2:65" s="1" customFormat="1" ht="16.5" customHeight="1">
      <c r="B199" s="119"/>
      <c r="C199" s="120" t="s">
        <v>334</v>
      </c>
      <c r="D199" s="120" t="s">
        <v>137</v>
      </c>
      <c r="E199" s="121" t="s">
        <v>335</v>
      </c>
      <c r="F199" s="122" t="s">
        <v>336</v>
      </c>
      <c r="G199" s="123" t="s">
        <v>260</v>
      </c>
      <c r="H199" s="124">
        <v>2038</v>
      </c>
      <c r="I199" s="125">
        <v>0</v>
      </c>
      <c r="J199" s="125">
        <f>ROUND(I199*H199,2)</f>
        <v>0</v>
      </c>
      <c r="K199" s="122" t="s">
        <v>141</v>
      </c>
      <c r="L199" s="26"/>
      <c r="M199" s="126" t="s">
        <v>1</v>
      </c>
      <c r="N199" s="127" t="s">
        <v>46</v>
      </c>
      <c r="O199" s="128">
        <v>0</v>
      </c>
      <c r="P199" s="128">
        <f>O199*H199</f>
        <v>0</v>
      </c>
      <c r="Q199" s="128">
        <v>0</v>
      </c>
      <c r="R199" s="128">
        <f>Q199*H199</f>
        <v>0</v>
      </c>
      <c r="S199" s="128">
        <v>0</v>
      </c>
      <c r="T199" s="129">
        <f>S199*H199</f>
        <v>0</v>
      </c>
      <c r="AR199" s="130" t="s">
        <v>135</v>
      </c>
      <c r="AT199" s="130" t="s">
        <v>137</v>
      </c>
      <c r="AU199" s="130" t="s">
        <v>19</v>
      </c>
      <c r="AY199" s="14" t="s">
        <v>136</v>
      </c>
      <c r="BE199" s="131">
        <f>IF(N199="základní",J199,0)</f>
        <v>0</v>
      </c>
      <c r="BF199" s="131">
        <f>IF(N199="snížená",J199,0)</f>
        <v>0</v>
      </c>
      <c r="BG199" s="131">
        <f>IF(N199="zákl. přenesená",J199,0)</f>
        <v>0</v>
      </c>
      <c r="BH199" s="131">
        <f>IF(N199="sníž. přenesená",J199,0)</f>
        <v>0</v>
      </c>
      <c r="BI199" s="131">
        <f>IF(N199="nulová",J199,0)</f>
        <v>0</v>
      </c>
      <c r="BJ199" s="14" t="s">
        <v>19</v>
      </c>
      <c r="BK199" s="131">
        <f>ROUND(I199*H199,2)</f>
        <v>0</v>
      </c>
      <c r="BL199" s="14" t="s">
        <v>135</v>
      </c>
      <c r="BM199" s="130" t="s">
        <v>337</v>
      </c>
    </row>
    <row r="200" spans="2:65" s="1" customFormat="1">
      <c r="B200" s="26"/>
      <c r="D200" s="132" t="s">
        <v>143</v>
      </c>
      <c r="F200" s="133" t="s">
        <v>336</v>
      </c>
      <c r="L200" s="26"/>
      <c r="M200" s="134"/>
      <c r="T200" s="50"/>
      <c r="AT200" s="14" t="s">
        <v>143</v>
      </c>
      <c r="AU200" s="14" t="s">
        <v>19</v>
      </c>
    </row>
    <row r="201" spans="2:65" s="1" customFormat="1" ht="76.8">
      <c r="B201" s="26"/>
      <c r="D201" s="132" t="s">
        <v>145</v>
      </c>
      <c r="F201" s="135" t="s">
        <v>202</v>
      </c>
      <c r="L201" s="26"/>
      <c r="M201" s="134"/>
      <c r="T201" s="50"/>
      <c r="AT201" s="14" t="s">
        <v>145</v>
      </c>
      <c r="AU201" s="14" t="s">
        <v>19</v>
      </c>
    </row>
    <row r="202" spans="2:65" s="11" customFormat="1">
      <c r="B202" s="136"/>
      <c r="D202" s="132" t="s">
        <v>147</v>
      </c>
      <c r="E202" s="137" t="s">
        <v>338</v>
      </c>
      <c r="F202" s="138" t="s">
        <v>339</v>
      </c>
      <c r="H202" s="139">
        <v>2038</v>
      </c>
      <c r="L202" s="136"/>
      <c r="M202" s="140"/>
      <c r="T202" s="141"/>
      <c r="AT202" s="137" t="s">
        <v>147</v>
      </c>
      <c r="AU202" s="137" t="s">
        <v>19</v>
      </c>
      <c r="AV202" s="11" t="s">
        <v>149</v>
      </c>
      <c r="AW202" s="11" t="s">
        <v>39</v>
      </c>
      <c r="AX202" s="11" t="s">
        <v>19</v>
      </c>
      <c r="AY202" s="137" t="s">
        <v>136</v>
      </c>
    </row>
    <row r="203" spans="2:65" s="1" customFormat="1" ht="21.75" customHeight="1">
      <c r="B203" s="119"/>
      <c r="C203" s="120" t="s">
        <v>340</v>
      </c>
      <c r="D203" s="120" t="s">
        <v>137</v>
      </c>
      <c r="E203" s="121" t="s">
        <v>341</v>
      </c>
      <c r="F203" s="122" t="s">
        <v>342</v>
      </c>
      <c r="G203" s="123" t="s">
        <v>312</v>
      </c>
      <c r="H203" s="124">
        <v>1345</v>
      </c>
      <c r="I203" s="125">
        <v>0</v>
      </c>
      <c r="J203" s="125">
        <f>ROUND(I203*H203,2)</f>
        <v>0</v>
      </c>
      <c r="K203" s="122" t="s">
        <v>141</v>
      </c>
      <c r="L203" s="26"/>
      <c r="M203" s="126" t="s">
        <v>1</v>
      </c>
      <c r="N203" s="127" t="s">
        <v>46</v>
      </c>
      <c r="O203" s="128">
        <v>0</v>
      </c>
      <c r="P203" s="128">
        <f>O203*H203</f>
        <v>0</v>
      </c>
      <c r="Q203" s="128">
        <v>0</v>
      </c>
      <c r="R203" s="128">
        <f>Q203*H203</f>
        <v>0</v>
      </c>
      <c r="S203" s="128">
        <v>0</v>
      </c>
      <c r="T203" s="129">
        <f>S203*H203</f>
        <v>0</v>
      </c>
      <c r="AR203" s="130" t="s">
        <v>135</v>
      </c>
      <c r="AT203" s="130" t="s">
        <v>137</v>
      </c>
      <c r="AU203" s="130" t="s">
        <v>19</v>
      </c>
      <c r="AY203" s="14" t="s">
        <v>136</v>
      </c>
      <c r="BE203" s="131">
        <f>IF(N203="základní",J203,0)</f>
        <v>0</v>
      </c>
      <c r="BF203" s="131">
        <f>IF(N203="snížená",J203,0)</f>
        <v>0</v>
      </c>
      <c r="BG203" s="131">
        <f>IF(N203="zákl. přenesená",J203,0)</f>
        <v>0</v>
      </c>
      <c r="BH203" s="131">
        <f>IF(N203="sníž. přenesená",J203,0)</f>
        <v>0</v>
      </c>
      <c r="BI203" s="131">
        <f>IF(N203="nulová",J203,0)</f>
        <v>0</v>
      </c>
      <c r="BJ203" s="14" t="s">
        <v>19</v>
      </c>
      <c r="BK203" s="131">
        <f>ROUND(I203*H203,2)</f>
        <v>0</v>
      </c>
      <c r="BL203" s="14" t="s">
        <v>135</v>
      </c>
      <c r="BM203" s="130" t="s">
        <v>343</v>
      </c>
    </row>
    <row r="204" spans="2:65" s="1" customFormat="1">
      <c r="B204" s="26"/>
      <c r="D204" s="132" t="s">
        <v>143</v>
      </c>
      <c r="F204" s="133" t="s">
        <v>342</v>
      </c>
      <c r="L204" s="26"/>
      <c r="M204" s="134"/>
      <c r="T204" s="50"/>
      <c r="AT204" s="14" t="s">
        <v>143</v>
      </c>
      <c r="AU204" s="14" t="s">
        <v>19</v>
      </c>
    </row>
    <row r="205" spans="2:65" s="1" customFormat="1" ht="76.8">
      <c r="B205" s="26"/>
      <c r="D205" s="132" t="s">
        <v>145</v>
      </c>
      <c r="F205" s="135" t="s">
        <v>202</v>
      </c>
      <c r="L205" s="26"/>
      <c r="M205" s="134"/>
      <c r="T205" s="50"/>
      <c r="AT205" s="14" t="s">
        <v>145</v>
      </c>
      <c r="AU205" s="14" t="s">
        <v>19</v>
      </c>
    </row>
    <row r="206" spans="2:65" s="11" customFormat="1">
      <c r="B206" s="136"/>
      <c r="D206" s="132" t="s">
        <v>147</v>
      </c>
      <c r="E206" s="137" t="s">
        <v>344</v>
      </c>
      <c r="F206" s="138" t="s">
        <v>345</v>
      </c>
      <c r="H206" s="139">
        <v>1315</v>
      </c>
      <c r="L206" s="136"/>
      <c r="M206" s="140"/>
      <c r="T206" s="141"/>
      <c r="AT206" s="137" t="s">
        <v>147</v>
      </c>
      <c r="AU206" s="137" t="s">
        <v>19</v>
      </c>
      <c r="AV206" s="11" t="s">
        <v>149</v>
      </c>
      <c r="AW206" s="11" t="s">
        <v>39</v>
      </c>
      <c r="AX206" s="11" t="s">
        <v>81</v>
      </c>
      <c r="AY206" s="137" t="s">
        <v>136</v>
      </c>
    </row>
    <row r="207" spans="2:65" s="11" customFormat="1">
      <c r="B207" s="136"/>
      <c r="D207" s="132" t="s">
        <v>147</v>
      </c>
      <c r="E207" s="137" t="s">
        <v>346</v>
      </c>
      <c r="F207" s="138" t="s">
        <v>347</v>
      </c>
      <c r="H207" s="139">
        <v>15</v>
      </c>
      <c r="L207" s="136"/>
      <c r="M207" s="140"/>
      <c r="T207" s="141"/>
      <c r="AT207" s="137" t="s">
        <v>147</v>
      </c>
      <c r="AU207" s="137" t="s">
        <v>19</v>
      </c>
      <c r="AV207" s="11" t="s">
        <v>149</v>
      </c>
      <c r="AW207" s="11" t="s">
        <v>39</v>
      </c>
      <c r="AX207" s="11" t="s">
        <v>81</v>
      </c>
      <c r="AY207" s="137" t="s">
        <v>136</v>
      </c>
    </row>
    <row r="208" spans="2:65" s="11" customFormat="1">
      <c r="B208" s="136"/>
      <c r="D208" s="132" t="s">
        <v>147</v>
      </c>
      <c r="E208" s="137" t="s">
        <v>348</v>
      </c>
      <c r="F208" s="138" t="s">
        <v>349</v>
      </c>
      <c r="H208" s="139">
        <v>15</v>
      </c>
      <c r="L208" s="136"/>
      <c r="M208" s="140"/>
      <c r="T208" s="141"/>
      <c r="AT208" s="137" t="s">
        <v>147</v>
      </c>
      <c r="AU208" s="137" t="s">
        <v>19</v>
      </c>
      <c r="AV208" s="11" t="s">
        <v>149</v>
      </c>
      <c r="AW208" s="11" t="s">
        <v>39</v>
      </c>
      <c r="AX208" s="11" t="s">
        <v>81</v>
      </c>
      <c r="AY208" s="137" t="s">
        <v>136</v>
      </c>
    </row>
    <row r="209" spans="2:65" s="11" customFormat="1">
      <c r="B209" s="136"/>
      <c r="D209" s="132" t="s">
        <v>147</v>
      </c>
      <c r="E209" s="137" t="s">
        <v>350</v>
      </c>
      <c r="F209" s="138" t="s">
        <v>351</v>
      </c>
      <c r="H209" s="139">
        <v>1345</v>
      </c>
      <c r="L209" s="136"/>
      <c r="M209" s="140"/>
      <c r="T209" s="141"/>
      <c r="AT209" s="137" t="s">
        <v>147</v>
      </c>
      <c r="AU209" s="137" t="s">
        <v>19</v>
      </c>
      <c r="AV209" s="11" t="s">
        <v>149</v>
      </c>
      <c r="AW209" s="11" t="s">
        <v>39</v>
      </c>
      <c r="AX209" s="11" t="s">
        <v>19</v>
      </c>
      <c r="AY209" s="137" t="s">
        <v>136</v>
      </c>
    </row>
    <row r="210" spans="2:65" s="1" customFormat="1" ht="16.5" customHeight="1">
      <c r="B210" s="119"/>
      <c r="C210" s="120" t="s">
        <v>8</v>
      </c>
      <c r="D210" s="120" t="s">
        <v>137</v>
      </c>
      <c r="E210" s="121" t="s">
        <v>352</v>
      </c>
      <c r="F210" s="122" t="s">
        <v>353</v>
      </c>
      <c r="G210" s="123" t="s">
        <v>152</v>
      </c>
      <c r="H210" s="124">
        <v>9</v>
      </c>
      <c r="I210" s="125">
        <v>0</v>
      </c>
      <c r="J210" s="125">
        <f>ROUND(I210*H210,2)</f>
        <v>0</v>
      </c>
      <c r="K210" s="122" t="s">
        <v>141</v>
      </c>
      <c r="L210" s="26"/>
      <c r="M210" s="126" t="s">
        <v>1</v>
      </c>
      <c r="N210" s="127" t="s">
        <v>46</v>
      </c>
      <c r="O210" s="128">
        <v>0</v>
      </c>
      <c r="P210" s="128">
        <f>O210*H210</f>
        <v>0</v>
      </c>
      <c r="Q210" s="128">
        <v>0</v>
      </c>
      <c r="R210" s="128">
        <f>Q210*H210</f>
        <v>0</v>
      </c>
      <c r="S210" s="128">
        <v>0</v>
      </c>
      <c r="T210" s="129">
        <f>S210*H210</f>
        <v>0</v>
      </c>
      <c r="AR210" s="130" t="s">
        <v>135</v>
      </c>
      <c r="AT210" s="130" t="s">
        <v>137</v>
      </c>
      <c r="AU210" s="130" t="s">
        <v>19</v>
      </c>
      <c r="AY210" s="14" t="s">
        <v>136</v>
      </c>
      <c r="BE210" s="131">
        <f>IF(N210="základní",J210,0)</f>
        <v>0</v>
      </c>
      <c r="BF210" s="131">
        <f>IF(N210="snížená",J210,0)</f>
        <v>0</v>
      </c>
      <c r="BG210" s="131">
        <f>IF(N210="zákl. přenesená",J210,0)</f>
        <v>0</v>
      </c>
      <c r="BH210" s="131">
        <f>IF(N210="sníž. přenesená",J210,0)</f>
        <v>0</v>
      </c>
      <c r="BI210" s="131">
        <f>IF(N210="nulová",J210,0)</f>
        <v>0</v>
      </c>
      <c r="BJ210" s="14" t="s">
        <v>19</v>
      </c>
      <c r="BK210" s="131">
        <f>ROUND(I210*H210,2)</f>
        <v>0</v>
      </c>
      <c r="BL210" s="14" t="s">
        <v>135</v>
      </c>
      <c r="BM210" s="130" t="s">
        <v>354</v>
      </c>
    </row>
    <row r="211" spans="2:65" s="1" customFormat="1">
      <c r="B211" s="26"/>
      <c r="D211" s="132" t="s">
        <v>143</v>
      </c>
      <c r="F211" s="133" t="s">
        <v>353</v>
      </c>
      <c r="L211" s="26"/>
      <c r="M211" s="134"/>
      <c r="T211" s="50"/>
      <c r="AT211" s="14" t="s">
        <v>143</v>
      </c>
      <c r="AU211" s="14" t="s">
        <v>19</v>
      </c>
    </row>
    <row r="212" spans="2:65" s="1" customFormat="1" ht="76.8">
      <c r="B212" s="26"/>
      <c r="D212" s="132" t="s">
        <v>145</v>
      </c>
      <c r="F212" s="135" t="s">
        <v>202</v>
      </c>
      <c r="L212" s="26"/>
      <c r="M212" s="134"/>
      <c r="T212" s="50"/>
      <c r="AT212" s="14" t="s">
        <v>145</v>
      </c>
      <c r="AU212" s="14" t="s">
        <v>19</v>
      </c>
    </row>
    <row r="213" spans="2:65" s="11" customFormat="1">
      <c r="B213" s="136"/>
      <c r="D213" s="132" t="s">
        <v>147</v>
      </c>
      <c r="E213" s="137" t="s">
        <v>355</v>
      </c>
      <c r="F213" s="138" t="s">
        <v>356</v>
      </c>
      <c r="H213" s="139">
        <v>9</v>
      </c>
      <c r="L213" s="136"/>
      <c r="M213" s="140"/>
      <c r="T213" s="141"/>
      <c r="AT213" s="137" t="s">
        <v>147</v>
      </c>
      <c r="AU213" s="137" t="s">
        <v>19</v>
      </c>
      <c r="AV213" s="11" t="s">
        <v>149</v>
      </c>
      <c r="AW213" s="11" t="s">
        <v>39</v>
      </c>
      <c r="AX213" s="11" t="s">
        <v>19</v>
      </c>
      <c r="AY213" s="137" t="s">
        <v>136</v>
      </c>
    </row>
    <row r="214" spans="2:65" s="1" customFormat="1" ht="16.5" customHeight="1">
      <c r="B214" s="119"/>
      <c r="C214" s="120" t="s">
        <v>357</v>
      </c>
      <c r="D214" s="120" t="s">
        <v>137</v>
      </c>
      <c r="E214" s="121" t="s">
        <v>358</v>
      </c>
      <c r="F214" s="122" t="s">
        <v>359</v>
      </c>
      <c r="G214" s="123" t="s">
        <v>312</v>
      </c>
      <c r="H214" s="124">
        <v>502</v>
      </c>
      <c r="I214" s="125">
        <v>0</v>
      </c>
      <c r="J214" s="125">
        <f>ROUND(I214*H214,2)</f>
        <v>0</v>
      </c>
      <c r="K214" s="122" t="s">
        <v>141</v>
      </c>
      <c r="L214" s="26"/>
      <c r="M214" s="126" t="s">
        <v>1</v>
      </c>
      <c r="N214" s="127" t="s">
        <v>46</v>
      </c>
      <c r="O214" s="128">
        <v>0</v>
      </c>
      <c r="P214" s="128">
        <f>O214*H214</f>
        <v>0</v>
      </c>
      <c r="Q214" s="128">
        <v>0</v>
      </c>
      <c r="R214" s="128">
        <f>Q214*H214</f>
        <v>0</v>
      </c>
      <c r="S214" s="128">
        <v>0</v>
      </c>
      <c r="T214" s="129">
        <f>S214*H214</f>
        <v>0</v>
      </c>
      <c r="AR214" s="130" t="s">
        <v>135</v>
      </c>
      <c r="AT214" s="130" t="s">
        <v>137</v>
      </c>
      <c r="AU214" s="130" t="s">
        <v>19</v>
      </c>
      <c r="AY214" s="14" t="s">
        <v>136</v>
      </c>
      <c r="BE214" s="131">
        <f>IF(N214="základní",J214,0)</f>
        <v>0</v>
      </c>
      <c r="BF214" s="131">
        <f>IF(N214="snížená",J214,0)</f>
        <v>0</v>
      </c>
      <c r="BG214" s="131">
        <f>IF(N214="zákl. přenesená",J214,0)</f>
        <v>0</v>
      </c>
      <c r="BH214" s="131">
        <f>IF(N214="sníž. přenesená",J214,0)</f>
        <v>0</v>
      </c>
      <c r="BI214" s="131">
        <f>IF(N214="nulová",J214,0)</f>
        <v>0</v>
      </c>
      <c r="BJ214" s="14" t="s">
        <v>19</v>
      </c>
      <c r="BK214" s="131">
        <f>ROUND(I214*H214,2)</f>
        <v>0</v>
      </c>
      <c r="BL214" s="14" t="s">
        <v>135</v>
      </c>
      <c r="BM214" s="130" t="s">
        <v>360</v>
      </c>
    </row>
    <row r="215" spans="2:65" s="1" customFormat="1">
      <c r="B215" s="26"/>
      <c r="D215" s="132" t="s">
        <v>143</v>
      </c>
      <c r="F215" s="133" t="s">
        <v>359</v>
      </c>
      <c r="L215" s="26"/>
      <c r="M215" s="134"/>
      <c r="T215" s="50"/>
      <c r="AT215" s="14" t="s">
        <v>143</v>
      </c>
      <c r="AU215" s="14" t="s">
        <v>19</v>
      </c>
    </row>
    <row r="216" spans="2:65" s="1" customFormat="1" ht="76.8">
      <c r="B216" s="26"/>
      <c r="D216" s="132" t="s">
        <v>145</v>
      </c>
      <c r="F216" s="135" t="s">
        <v>202</v>
      </c>
      <c r="L216" s="26"/>
      <c r="M216" s="134"/>
      <c r="T216" s="50"/>
      <c r="AT216" s="14" t="s">
        <v>145</v>
      </c>
      <c r="AU216" s="14" t="s">
        <v>19</v>
      </c>
    </row>
    <row r="217" spans="2:65" s="11" customFormat="1">
      <c r="B217" s="136"/>
      <c r="D217" s="132" t="s">
        <v>147</v>
      </c>
      <c r="E217" s="137" t="s">
        <v>361</v>
      </c>
      <c r="F217" s="138" t="s">
        <v>362</v>
      </c>
      <c r="H217" s="139">
        <v>502</v>
      </c>
      <c r="L217" s="136"/>
      <c r="M217" s="140"/>
      <c r="T217" s="141"/>
      <c r="AT217" s="137" t="s">
        <v>147</v>
      </c>
      <c r="AU217" s="137" t="s">
        <v>19</v>
      </c>
      <c r="AV217" s="11" t="s">
        <v>149</v>
      </c>
      <c r="AW217" s="11" t="s">
        <v>39</v>
      </c>
      <c r="AX217" s="11" t="s">
        <v>19</v>
      </c>
      <c r="AY217" s="137" t="s">
        <v>136</v>
      </c>
    </row>
    <row r="218" spans="2:65" s="1" customFormat="1" ht="21.75" customHeight="1">
      <c r="B218" s="119"/>
      <c r="C218" s="120" t="s">
        <v>363</v>
      </c>
      <c r="D218" s="120" t="s">
        <v>137</v>
      </c>
      <c r="E218" s="121" t="s">
        <v>364</v>
      </c>
      <c r="F218" s="122" t="s">
        <v>365</v>
      </c>
      <c r="G218" s="123" t="s">
        <v>216</v>
      </c>
      <c r="H218" s="124">
        <v>705.6</v>
      </c>
      <c r="I218" s="125">
        <v>0</v>
      </c>
      <c r="J218" s="125">
        <f>ROUND(I218*H218,2)</f>
        <v>0</v>
      </c>
      <c r="K218" s="122" t="s">
        <v>141</v>
      </c>
      <c r="L218" s="26"/>
      <c r="M218" s="126" t="s">
        <v>1</v>
      </c>
      <c r="N218" s="127" t="s">
        <v>46</v>
      </c>
      <c r="O218" s="128">
        <v>0</v>
      </c>
      <c r="P218" s="128">
        <f>O218*H218</f>
        <v>0</v>
      </c>
      <c r="Q218" s="128">
        <v>0</v>
      </c>
      <c r="R218" s="128">
        <f>Q218*H218</f>
        <v>0</v>
      </c>
      <c r="S218" s="128">
        <v>0</v>
      </c>
      <c r="T218" s="129">
        <f>S218*H218</f>
        <v>0</v>
      </c>
      <c r="AR218" s="130" t="s">
        <v>135</v>
      </c>
      <c r="AT218" s="130" t="s">
        <v>137</v>
      </c>
      <c r="AU218" s="130" t="s">
        <v>19</v>
      </c>
      <c r="AY218" s="14" t="s">
        <v>136</v>
      </c>
      <c r="BE218" s="131">
        <f>IF(N218="základní",J218,0)</f>
        <v>0</v>
      </c>
      <c r="BF218" s="131">
        <f>IF(N218="snížená",J218,0)</f>
        <v>0</v>
      </c>
      <c r="BG218" s="131">
        <f>IF(N218="zákl. přenesená",J218,0)</f>
        <v>0</v>
      </c>
      <c r="BH218" s="131">
        <f>IF(N218="sníž. přenesená",J218,0)</f>
        <v>0</v>
      </c>
      <c r="BI218" s="131">
        <f>IF(N218="nulová",J218,0)</f>
        <v>0</v>
      </c>
      <c r="BJ218" s="14" t="s">
        <v>19</v>
      </c>
      <c r="BK218" s="131">
        <f>ROUND(I218*H218,2)</f>
        <v>0</v>
      </c>
      <c r="BL218" s="14" t="s">
        <v>135</v>
      </c>
      <c r="BM218" s="130" t="s">
        <v>366</v>
      </c>
    </row>
    <row r="219" spans="2:65" s="1" customFormat="1">
      <c r="B219" s="26"/>
      <c r="D219" s="132" t="s">
        <v>143</v>
      </c>
      <c r="F219" s="133" t="s">
        <v>365</v>
      </c>
      <c r="L219" s="26"/>
      <c r="M219" s="134"/>
      <c r="T219" s="50"/>
      <c r="AT219" s="14" t="s">
        <v>143</v>
      </c>
      <c r="AU219" s="14" t="s">
        <v>19</v>
      </c>
    </row>
    <row r="220" spans="2:65" s="1" customFormat="1" ht="249.6">
      <c r="B220" s="26"/>
      <c r="D220" s="132" t="s">
        <v>145</v>
      </c>
      <c r="F220" s="135" t="s">
        <v>367</v>
      </c>
      <c r="L220" s="26"/>
      <c r="M220" s="134"/>
      <c r="T220" s="50"/>
      <c r="AT220" s="14" t="s">
        <v>145</v>
      </c>
      <c r="AU220" s="14" t="s">
        <v>19</v>
      </c>
    </row>
    <row r="221" spans="2:65" s="11" customFormat="1">
      <c r="B221" s="136"/>
      <c r="D221" s="132" t="s">
        <v>147</v>
      </c>
      <c r="E221" s="137" t="s">
        <v>368</v>
      </c>
      <c r="F221" s="138" t="s">
        <v>369</v>
      </c>
      <c r="H221" s="139">
        <v>334.5</v>
      </c>
      <c r="L221" s="136"/>
      <c r="M221" s="140"/>
      <c r="T221" s="141"/>
      <c r="AT221" s="137" t="s">
        <v>147</v>
      </c>
      <c r="AU221" s="137" t="s">
        <v>19</v>
      </c>
      <c r="AV221" s="11" t="s">
        <v>149</v>
      </c>
      <c r="AW221" s="11" t="s">
        <v>39</v>
      </c>
      <c r="AX221" s="11" t="s">
        <v>81</v>
      </c>
      <c r="AY221" s="137" t="s">
        <v>136</v>
      </c>
    </row>
    <row r="222" spans="2:65" s="11" customFormat="1">
      <c r="B222" s="136"/>
      <c r="D222" s="132" t="s">
        <v>147</v>
      </c>
      <c r="E222" s="137" t="s">
        <v>370</v>
      </c>
      <c r="F222" s="138" t="s">
        <v>371</v>
      </c>
      <c r="H222" s="139">
        <v>99.600000000000009</v>
      </c>
      <c r="L222" s="136"/>
      <c r="M222" s="140"/>
      <c r="T222" s="141"/>
      <c r="AT222" s="137" t="s">
        <v>147</v>
      </c>
      <c r="AU222" s="137" t="s">
        <v>19</v>
      </c>
      <c r="AV222" s="11" t="s">
        <v>149</v>
      </c>
      <c r="AW222" s="11" t="s">
        <v>39</v>
      </c>
      <c r="AX222" s="11" t="s">
        <v>81</v>
      </c>
      <c r="AY222" s="137" t="s">
        <v>136</v>
      </c>
    </row>
    <row r="223" spans="2:65" s="11" customFormat="1">
      <c r="B223" s="136"/>
      <c r="D223" s="132" t="s">
        <v>147</v>
      </c>
      <c r="E223" s="137" t="s">
        <v>372</v>
      </c>
      <c r="F223" s="138" t="s">
        <v>373</v>
      </c>
      <c r="H223" s="139">
        <v>269</v>
      </c>
      <c r="L223" s="136"/>
      <c r="M223" s="140"/>
      <c r="T223" s="141"/>
      <c r="AT223" s="137" t="s">
        <v>147</v>
      </c>
      <c r="AU223" s="137" t="s">
        <v>19</v>
      </c>
      <c r="AV223" s="11" t="s">
        <v>149</v>
      </c>
      <c r="AW223" s="11" t="s">
        <v>39</v>
      </c>
      <c r="AX223" s="11" t="s">
        <v>81</v>
      </c>
      <c r="AY223" s="137" t="s">
        <v>136</v>
      </c>
    </row>
    <row r="224" spans="2:65" s="11" customFormat="1">
      <c r="B224" s="136"/>
      <c r="D224" s="132" t="s">
        <v>147</v>
      </c>
      <c r="E224" s="137" t="s">
        <v>374</v>
      </c>
      <c r="F224" s="138" t="s">
        <v>375</v>
      </c>
      <c r="H224" s="139">
        <v>2.5</v>
      </c>
      <c r="L224" s="136"/>
      <c r="M224" s="140"/>
      <c r="T224" s="141"/>
      <c r="AT224" s="137" t="s">
        <v>147</v>
      </c>
      <c r="AU224" s="137" t="s">
        <v>19</v>
      </c>
      <c r="AV224" s="11" t="s">
        <v>149</v>
      </c>
      <c r="AW224" s="11" t="s">
        <v>39</v>
      </c>
      <c r="AX224" s="11" t="s">
        <v>81</v>
      </c>
      <c r="AY224" s="137" t="s">
        <v>136</v>
      </c>
    </row>
    <row r="225" spans="2:65" s="11" customFormat="1">
      <c r="B225" s="136"/>
      <c r="D225" s="132" t="s">
        <v>147</v>
      </c>
      <c r="E225" s="137" t="s">
        <v>376</v>
      </c>
      <c r="F225" s="138" t="s">
        <v>377</v>
      </c>
      <c r="H225" s="139">
        <v>705.6</v>
      </c>
      <c r="L225" s="136"/>
      <c r="M225" s="140"/>
      <c r="T225" s="141"/>
      <c r="AT225" s="137" t="s">
        <v>147</v>
      </c>
      <c r="AU225" s="137" t="s">
        <v>19</v>
      </c>
      <c r="AV225" s="11" t="s">
        <v>149</v>
      </c>
      <c r="AW225" s="11" t="s">
        <v>39</v>
      </c>
      <c r="AX225" s="11" t="s">
        <v>19</v>
      </c>
      <c r="AY225" s="137" t="s">
        <v>136</v>
      </c>
    </row>
    <row r="226" spans="2:65" s="1" customFormat="1" ht="24.15" customHeight="1">
      <c r="B226" s="119"/>
      <c r="C226" s="120" t="s">
        <v>378</v>
      </c>
      <c r="D226" s="120" t="s">
        <v>137</v>
      </c>
      <c r="E226" s="121" t="s">
        <v>379</v>
      </c>
      <c r="F226" s="122" t="s">
        <v>380</v>
      </c>
      <c r="G226" s="123" t="s">
        <v>312</v>
      </c>
      <c r="H226" s="124">
        <v>13</v>
      </c>
      <c r="I226" s="125">
        <v>0</v>
      </c>
      <c r="J226" s="125">
        <f>ROUND(I226*H226,2)</f>
        <v>0</v>
      </c>
      <c r="K226" s="122" t="s">
        <v>141</v>
      </c>
      <c r="L226" s="26"/>
      <c r="M226" s="126" t="s">
        <v>1</v>
      </c>
      <c r="N226" s="127" t="s">
        <v>46</v>
      </c>
      <c r="O226" s="128">
        <v>0</v>
      </c>
      <c r="P226" s="128">
        <f>O226*H226</f>
        <v>0</v>
      </c>
      <c r="Q226" s="128">
        <v>0</v>
      </c>
      <c r="R226" s="128">
        <f>Q226*H226</f>
        <v>0</v>
      </c>
      <c r="S226" s="128">
        <v>0</v>
      </c>
      <c r="T226" s="129">
        <f>S226*H226</f>
        <v>0</v>
      </c>
      <c r="AR226" s="130" t="s">
        <v>135</v>
      </c>
      <c r="AT226" s="130" t="s">
        <v>137</v>
      </c>
      <c r="AU226" s="130" t="s">
        <v>19</v>
      </c>
      <c r="AY226" s="14" t="s">
        <v>136</v>
      </c>
      <c r="BE226" s="131">
        <f>IF(N226="základní",J226,0)</f>
        <v>0</v>
      </c>
      <c r="BF226" s="131">
        <f>IF(N226="snížená",J226,0)</f>
        <v>0</v>
      </c>
      <c r="BG226" s="131">
        <f>IF(N226="zákl. přenesená",J226,0)</f>
        <v>0</v>
      </c>
      <c r="BH226" s="131">
        <f>IF(N226="sníž. přenesená",J226,0)</f>
        <v>0</v>
      </c>
      <c r="BI226" s="131">
        <f>IF(N226="nulová",J226,0)</f>
        <v>0</v>
      </c>
      <c r="BJ226" s="14" t="s">
        <v>19</v>
      </c>
      <c r="BK226" s="131">
        <f>ROUND(I226*H226,2)</f>
        <v>0</v>
      </c>
      <c r="BL226" s="14" t="s">
        <v>135</v>
      </c>
      <c r="BM226" s="130" t="s">
        <v>381</v>
      </c>
    </row>
    <row r="227" spans="2:65" s="1" customFormat="1">
      <c r="B227" s="26"/>
      <c r="D227" s="132" t="s">
        <v>143</v>
      </c>
      <c r="F227" s="133" t="s">
        <v>380</v>
      </c>
      <c r="L227" s="26"/>
      <c r="M227" s="134"/>
      <c r="T227" s="50"/>
      <c r="AT227" s="14" t="s">
        <v>143</v>
      </c>
      <c r="AU227" s="14" t="s">
        <v>19</v>
      </c>
    </row>
    <row r="228" spans="2:65" s="1" customFormat="1" ht="48">
      <c r="B228" s="26"/>
      <c r="D228" s="132" t="s">
        <v>145</v>
      </c>
      <c r="F228" s="135" t="s">
        <v>382</v>
      </c>
      <c r="L228" s="26"/>
      <c r="M228" s="134"/>
      <c r="T228" s="50"/>
      <c r="AT228" s="14" t="s">
        <v>145</v>
      </c>
      <c r="AU228" s="14" t="s">
        <v>19</v>
      </c>
    </row>
    <row r="229" spans="2:65" s="11" customFormat="1">
      <c r="B229" s="136"/>
      <c r="D229" s="132" t="s">
        <v>147</v>
      </c>
      <c r="E229" s="137" t="s">
        <v>383</v>
      </c>
      <c r="F229" s="138" t="s">
        <v>384</v>
      </c>
      <c r="H229" s="139">
        <v>13</v>
      </c>
      <c r="L229" s="136"/>
      <c r="M229" s="140"/>
      <c r="T229" s="141"/>
      <c r="AT229" s="137" t="s">
        <v>147</v>
      </c>
      <c r="AU229" s="137" t="s">
        <v>19</v>
      </c>
      <c r="AV229" s="11" t="s">
        <v>149</v>
      </c>
      <c r="AW229" s="11" t="s">
        <v>39</v>
      </c>
      <c r="AX229" s="11" t="s">
        <v>19</v>
      </c>
      <c r="AY229" s="137" t="s">
        <v>136</v>
      </c>
    </row>
    <row r="230" spans="2:65" s="1" customFormat="1" ht="24.15" customHeight="1">
      <c r="B230" s="119"/>
      <c r="C230" s="120" t="s">
        <v>385</v>
      </c>
      <c r="D230" s="120" t="s">
        <v>137</v>
      </c>
      <c r="E230" s="121" t="s">
        <v>386</v>
      </c>
      <c r="F230" s="122" t="s">
        <v>387</v>
      </c>
      <c r="G230" s="123" t="s">
        <v>216</v>
      </c>
      <c r="H230" s="124">
        <v>705.6</v>
      </c>
      <c r="I230" s="125">
        <v>0</v>
      </c>
      <c r="J230" s="125">
        <f>ROUND(I230*H230,2)</f>
        <v>0</v>
      </c>
      <c r="K230" s="122" t="s">
        <v>141</v>
      </c>
      <c r="L230" s="26"/>
      <c r="M230" s="126" t="s">
        <v>1</v>
      </c>
      <c r="N230" s="127" t="s">
        <v>46</v>
      </c>
      <c r="O230" s="128">
        <v>0</v>
      </c>
      <c r="P230" s="128">
        <f>O230*H230</f>
        <v>0</v>
      </c>
      <c r="Q230" s="128">
        <v>0</v>
      </c>
      <c r="R230" s="128">
        <f>Q230*H230</f>
        <v>0</v>
      </c>
      <c r="S230" s="128">
        <v>0</v>
      </c>
      <c r="T230" s="129">
        <f>S230*H230</f>
        <v>0</v>
      </c>
      <c r="AR230" s="130" t="s">
        <v>135</v>
      </c>
      <c r="AT230" s="130" t="s">
        <v>137</v>
      </c>
      <c r="AU230" s="130" t="s">
        <v>19</v>
      </c>
      <c r="AY230" s="14" t="s">
        <v>136</v>
      </c>
      <c r="BE230" s="131">
        <f>IF(N230="základní",J230,0)</f>
        <v>0</v>
      </c>
      <c r="BF230" s="131">
        <f>IF(N230="snížená",J230,0)</f>
        <v>0</v>
      </c>
      <c r="BG230" s="131">
        <f>IF(N230="zákl. přenesená",J230,0)</f>
        <v>0</v>
      </c>
      <c r="BH230" s="131">
        <f>IF(N230="sníž. přenesená",J230,0)</f>
        <v>0</v>
      </c>
      <c r="BI230" s="131">
        <f>IF(N230="nulová",J230,0)</f>
        <v>0</v>
      </c>
      <c r="BJ230" s="14" t="s">
        <v>19</v>
      </c>
      <c r="BK230" s="131">
        <f>ROUND(I230*H230,2)</f>
        <v>0</v>
      </c>
      <c r="BL230" s="14" t="s">
        <v>135</v>
      </c>
      <c r="BM230" s="130" t="s">
        <v>388</v>
      </c>
    </row>
    <row r="231" spans="2:65" s="1" customFormat="1" ht="19.2">
      <c r="B231" s="26"/>
      <c r="D231" s="132" t="s">
        <v>143</v>
      </c>
      <c r="F231" s="133" t="s">
        <v>387</v>
      </c>
      <c r="L231" s="26"/>
      <c r="M231" s="134"/>
      <c r="T231" s="50"/>
      <c r="AT231" s="14" t="s">
        <v>143</v>
      </c>
      <c r="AU231" s="14" t="s">
        <v>19</v>
      </c>
    </row>
    <row r="232" spans="2:65" s="1" customFormat="1" ht="153.6">
      <c r="B232" s="26"/>
      <c r="D232" s="132" t="s">
        <v>145</v>
      </c>
      <c r="F232" s="135" t="s">
        <v>389</v>
      </c>
      <c r="L232" s="26"/>
      <c r="M232" s="134"/>
      <c r="T232" s="50"/>
      <c r="AT232" s="14" t="s">
        <v>145</v>
      </c>
      <c r="AU232" s="14" t="s">
        <v>19</v>
      </c>
    </row>
    <row r="233" spans="2:65" s="11" customFormat="1">
      <c r="B233" s="136"/>
      <c r="D233" s="132" t="s">
        <v>147</v>
      </c>
      <c r="E233" s="137" t="s">
        <v>390</v>
      </c>
      <c r="F233" s="138" t="s">
        <v>391</v>
      </c>
      <c r="H233" s="139">
        <v>705.6</v>
      </c>
      <c r="L233" s="136"/>
      <c r="M233" s="140"/>
      <c r="T233" s="141"/>
      <c r="AT233" s="137" t="s">
        <v>147</v>
      </c>
      <c r="AU233" s="137" t="s">
        <v>19</v>
      </c>
      <c r="AV233" s="11" t="s">
        <v>149</v>
      </c>
      <c r="AW233" s="11" t="s">
        <v>39</v>
      </c>
      <c r="AX233" s="11" t="s">
        <v>19</v>
      </c>
      <c r="AY233" s="137" t="s">
        <v>136</v>
      </c>
    </row>
    <row r="234" spans="2:65" s="1" customFormat="1" ht="21.75" customHeight="1">
      <c r="B234" s="119"/>
      <c r="C234" s="120" t="s">
        <v>392</v>
      </c>
      <c r="D234" s="120" t="s">
        <v>137</v>
      </c>
      <c r="E234" s="121" t="s">
        <v>393</v>
      </c>
      <c r="F234" s="122" t="s">
        <v>394</v>
      </c>
      <c r="G234" s="123" t="s">
        <v>216</v>
      </c>
      <c r="H234" s="124">
        <v>365.32</v>
      </c>
      <c r="I234" s="125">
        <v>0</v>
      </c>
      <c r="J234" s="125">
        <f>ROUND(I234*H234,2)</f>
        <v>0</v>
      </c>
      <c r="K234" s="122" t="s">
        <v>141</v>
      </c>
      <c r="L234" s="26"/>
      <c r="M234" s="126" t="s">
        <v>1</v>
      </c>
      <c r="N234" s="127" t="s">
        <v>46</v>
      </c>
      <c r="O234" s="128">
        <v>0</v>
      </c>
      <c r="P234" s="128">
        <f>O234*H234</f>
        <v>0</v>
      </c>
      <c r="Q234" s="128">
        <v>0</v>
      </c>
      <c r="R234" s="128">
        <f>Q234*H234</f>
        <v>0</v>
      </c>
      <c r="S234" s="128">
        <v>0</v>
      </c>
      <c r="T234" s="129">
        <f>S234*H234</f>
        <v>0</v>
      </c>
      <c r="AR234" s="130" t="s">
        <v>135</v>
      </c>
      <c r="AT234" s="130" t="s">
        <v>137</v>
      </c>
      <c r="AU234" s="130" t="s">
        <v>19</v>
      </c>
      <c r="AY234" s="14" t="s">
        <v>136</v>
      </c>
      <c r="BE234" s="131">
        <f>IF(N234="základní",J234,0)</f>
        <v>0</v>
      </c>
      <c r="BF234" s="131">
        <f>IF(N234="snížená",J234,0)</f>
        <v>0</v>
      </c>
      <c r="BG234" s="131">
        <f>IF(N234="zákl. přenesená",J234,0)</f>
        <v>0</v>
      </c>
      <c r="BH234" s="131">
        <f>IF(N234="sníž. přenesená",J234,0)</f>
        <v>0</v>
      </c>
      <c r="BI234" s="131">
        <f>IF(N234="nulová",J234,0)</f>
        <v>0</v>
      </c>
      <c r="BJ234" s="14" t="s">
        <v>19</v>
      </c>
      <c r="BK234" s="131">
        <f>ROUND(I234*H234,2)</f>
        <v>0</v>
      </c>
      <c r="BL234" s="14" t="s">
        <v>135</v>
      </c>
      <c r="BM234" s="130" t="s">
        <v>395</v>
      </c>
    </row>
    <row r="235" spans="2:65" s="1" customFormat="1">
      <c r="B235" s="26"/>
      <c r="D235" s="132" t="s">
        <v>143</v>
      </c>
      <c r="F235" s="133" t="s">
        <v>394</v>
      </c>
      <c r="L235" s="26"/>
      <c r="M235" s="134"/>
      <c r="T235" s="50"/>
      <c r="AT235" s="14" t="s">
        <v>143</v>
      </c>
      <c r="AU235" s="14" t="s">
        <v>19</v>
      </c>
    </row>
    <row r="236" spans="2:65" s="1" customFormat="1" ht="192">
      <c r="B236" s="26"/>
      <c r="D236" s="132" t="s">
        <v>145</v>
      </c>
      <c r="F236" s="135" t="s">
        <v>396</v>
      </c>
      <c r="L236" s="26"/>
      <c r="M236" s="134"/>
      <c r="T236" s="50"/>
      <c r="AT236" s="14" t="s">
        <v>145</v>
      </c>
      <c r="AU236" s="14" t="s">
        <v>19</v>
      </c>
    </row>
    <row r="237" spans="2:65" s="11" customFormat="1">
      <c r="B237" s="136"/>
      <c r="D237" s="132" t="s">
        <v>147</v>
      </c>
      <c r="E237" s="137" t="s">
        <v>397</v>
      </c>
      <c r="F237" s="138" t="s">
        <v>398</v>
      </c>
      <c r="H237" s="139">
        <v>258.68</v>
      </c>
      <c r="L237" s="136"/>
      <c r="M237" s="140"/>
      <c r="T237" s="141"/>
      <c r="AT237" s="137" t="s">
        <v>147</v>
      </c>
      <c r="AU237" s="137" t="s">
        <v>19</v>
      </c>
      <c r="AV237" s="11" t="s">
        <v>149</v>
      </c>
      <c r="AW237" s="11" t="s">
        <v>39</v>
      </c>
      <c r="AX237" s="11" t="s">
        <v>81</v>
      </c>
      <c r="AY237" s="137" t="s">
        <v>136</v>
      </c>
    </row>
    <row r="238" spans="2:65" s="11" customFormat="1">
      <c r="B238" s="136"/>
      <c r="D238" s="132" t="s">
        <v>147</v>
      </c>
      <c r="E238" s="137" t="s">
        <v>399</v>
      </c>
      <c r="F238" s="138" t="s">
        <v>400</v>
      </c>
      <c r="H238" s="139">
        <v>73.44</v>
      </c>
      <c r="L238" s="136"/>
      <c r="M238" s="140"/>
      <c r="T238" s="141"/>
      <c r="AT238" s="137" t="s">
        <v>147</v>
      </c>
      <c r="AU238" s="137" t="s">
        <v>19</v>
      </c>
      <c r="AV238" s="11" t="s">
        <v>149</v>
      </c>
      <c r="AW238" s="11" t="s">
        <v>39</v>
      </c>
      <c r="AX238" s="11" t="s">
        <v>81</v>
      </c>
      <c r="AY238" s="137" t="s">
        <v>136</v>
      </c>
    </row>
    <row r="239" spans="2:65" s="11" customFormat="1">
      <c r="B239" s="136"/>
      <c r="D239" s="132" t="s">
        <v>147</v>
      </c>
      <c r="E239" s="137" t="s">
        <v>401</v>
      </c>
      <c r="F239" s="138" t="s">
        <v>402</v>
      </c>
      <c r="H239" s="139">
        <v>33.200000000000003</v>
      </c>
      <c r="L239" s="136"/>
      <c r="M239" s="140"/>
      <c r="T239" s="141"/>
      <c r="AT239" s="137" t="s">
        <v>147</v>
      </c>
      <c r="AU239" s="137" t="s">
        <v>19</v>
      </c>
      <c r="AV239" s="11" t="s">
        <v>149</v>
      </c>
      <c r="AW239" s="11" t="s">
        <v>39</v>
      </c>
      <c r="AX239" s="11" t="s">
        <v>81</v>
      </c>
      <c r="AY239" s="137" t="s">
        <v>136</v>
      </c>
    </row>
    <row r="240" spans="2:65" s="11" customFormat="1">
      <c r="B240" s="136"/>
      <c r="D240" s="132" t="s">
        <v>147</v>
      </c>
      <c r="E240" s="137" t="s">
        <v>403</v>
      </c>
      <c r="F240" s="138" t="s">
        <v>404</v>
      </c>
      <c r="H240" s="139">
        <v>365.32</v>
      </c>
      <c r="L240" s="136"/>
      <c r="M240" s="140"/>
      <c r="T240" s="141"/>
      <c r="AT240" s="137" t="s">
        <v>147</v>
      </c>
      <c r="AU240" s="137" t="s">
        <v>19</v>
      </c>
      <c r="AV240" s="11" t="s">
        <v>149</v>
      </c>
      <c r="AW240" s="11" t="s">
        <v>39</v>
      </c>
      <c r="AX240" s="11" t="s">
        <v>19</v>
      </c>
      <c r="AY240" s="137" t="s">
        <v>136</v>
      </c>
    </row>
    <row r="241" spans="2:65" s="1" customFormat="1" ht="24.15" customHeight="1">
      <c r="B241" s="119"/>
      <c r="C241" s="120" t="s">
        <v>7</v>
      </c>
      <c r="D241" s="120" t="s">
        <v>137</v>
      </c>
      <c r="E241" s="121" t="s">
        <v>405</v>
      </c>
      <c r="F241" s="122" t="s">
        <v>406</v>
      </c>
      <c r="G241" s="123" t="s">
        <v>216</v>
      </c>
      <c r="H241" s="124">
        <v>54.857999999999997</v>
      </c>
      <c r="I241" s="125">
        <v>0</v>
      </c>
      <c r="J241" s="125">
        <f>ROUND(I241*H241,2)</f>
        <v>0</v>
      </c>
      <c r="K241" s="122" t="s">
        <v>141</v>
      </c>
      <c r="L241" s="26"/>
      <c r="M241" s="126" t="s">
        <v>1</v>
      </c>
      <c r="N241" s="127" t="s">
        <v>46</v>
      </c>
      <c r="O241" s="128">
        <v>0</v>
      </c>
      <c r="P241" s="128">
        <f>O241*H241</f>
        <v>0</v>
      </c>
      <c r="Q241" s="128">
        <v>0</v>
      </c>
      <c r="R241" s="128">
        <f>Q241*H241</f>
        <v>0</v>
      </c>
      <c r="S241" s="128">
        <v>0</v>
      </c>
      <c r="T241" s="129">
        <f>S241*H241</f>
        <v>0</v>
      </c>
      <c r="AR241" s="130" t="s">
        <v>135</v>
      </c>
      <c r="AT241" s="130" t="s">
        <v>137</v>
      </c>
      <c r="AU241" s="130" t="s">
        <v>19</v>
      </c>
      <c r="AY241" s="14" t="s">
        <v>136</v>
      </c>
      <c r="BE241" s="131">
        <f>IF(N241="základní",J241,0)</f>
        <v>0</v>
      </c>
      <c r="BF241" s="131">
        <f>IF(N241="snížená",J241,0)</f>
        <v>0</v>
      </c>
      <c r="BG241" s="131">
        <f>IF(N241="zákl. přenesená",J241,0)</f>
        <v>0</v>
      </c>
      <c r="BH241" s="131">
        <f>IF(N241="sníž. přenesená",J241,0)</f>
        <v>0</v>
      </c>
      <c r="BI241" s="131">
        <f>IF(N241="nulová",J241,0)</f>
        <v>0</v>
      </c>
      <c r="BJ241" s="14" t="s">
        <v>19</v>
      </c>
      <c r="BK241" s="131">
        <f>ROUND(I241*H241,2)</f>
        <v>0</v>
      </c>
      <c r="BL241" s="14" t="s">
        <v>135</v>
      </c>
      <c r="BM241" s="130" t="s">
        <v>407</v>
      </c>
    </row>
    <row r="242" spans="2:65" s="1" customFormat="1" ht="19.2">
      <c r="B242" s="26"/>
      <c r="D242" s="132" t="s">
        <v>143</v>
      </c>
      <c r="F242" s="133" t="s">
        <v>406</v>
      </c>
      <c r="L242" s="26"/>
      <c r="M242" s="134"/>
      <c r="T242" s="50"/>
      <c r="AT242" s="14" t="s">
        <v>143</v>
      </c>
      <c r="AU242" s="14" t="s">
        <v>19</v>
      </c>
    </row>
    <row r="243" spans="2:65" s="1" customFormat="1" ht="230.4">
      <c r="B243" s="26"/>
      <c r="D243" s="132" t="s">
        <v>145</v>
      </c>
      <c r="F243" s="135" t="s">
        <v>408</v>
      </c>
      <c r="L243" s="26"/>
      <c r="M243" s="134"/>
      <c r="T243" s="50"/>
      <c r="AT243" s="14" t="s">
        <v>145</v>
      </c>
      <c r="AU243" s="14" t="s">
        <v>19</v>
      </c>
    </row>
    <row r="244" spans="2:65" s="11" customFormat="1">
      <c r="B244" s="136"/>
      <c r="D244" s="132" t="s">
        <v>147</v>
      </c>
      <c r="E244" s="137" t="s">
        <v>409</v>
      </c>
      <c r="F244" s="138" t="s">
        <v>410</v>
      </c>
      <c r="H244" s="139">
        <v>54.857999999999997</v>
      </c>
      <c r="L244" s="136"/>
      <c r="M244" s="140"/>
      <c r="T244" s="141"/>
      <c r="AT244" s="137" t="s">
        <v>147</v>
      </c>
      <c r="AU244" s="137" t="s">
        <v>19</v>
      </c>
      <c r="AV244" s="11" t="s">
        <v>149</v>
      </c>
      <c r="AW244" s="11" t="s">
        <v>39</v>
      </c>
      <c r="AX244" s="11" t="s">
        <v>19</v>
      </c>
      <c r="AY244" s="137" t="s">
        <v>136</v>
      </c>
    </row>
    <row r="245" spans="2:65" s="1" customFormat="1" ht="21.75" customHeight="1">
      <c r="B245" s="119"/>
      <c r="C245" s="120" t="s">
        <v>411</v>
      </c>
      <c r="D245" s="120" t="s">
        <v>137</v>
      </c>
      <c r="E245" s="121" t="s">
        <v>412</v>
      </c>
      <c r="F245" s="122" t="s">
        <v>413</v>
      </c>
      <c r="G245" s="123" t="s">
        <v>260</v>
      </c>
      <c r="H245" s="124">
        <v>178</v>
      </c>
      <c r="I245" s="125">
        <v>0</v>
      </c>
      <c r="J245" s="125">
        <f>ROUND(I245*H245,2)</f>
        <v>0</v>
      </c>
      <c r="K245" s="122" t="s">
        <v>141</v>
      </c>
      <c r="L245" s="26"/>
      <c r="M245" s="126" t="s">
        <v>1</v>
      </c>
      <c r="N245" s="127" t="s">
        <v>46</v>
      </c>
      <c r="O245" s="128">
        <v>0</v>
      </c>
      <c r="P245" s="128">
        <f>O245*H245</f>
        <v>0</v>
      </c>
      <c r="Q245" s="128">
        <v>0</v>
      </c>
      <c r="R245" s="128">
        <f>Q245*H245</f>
        <v>0</v>
      </c>
      <c r="S245" s="128">
        <v>0</v>
      </c>
      <c r="T245" s="129">
        <f>S245*H245</f>
        <v>0</v>
      </c>
      <c r="AR245" s="130" t="s">
        <v>135</v>
      </c>
      <c r="AT245" s="130" t="s">
        <v>137</v>
      </c>
      <c r="AU245" s="130" t="s">
        <v>19</v>
      </c>
      <c r="AY245" s="14" t="s">
        <v>136</v>
      </c>
      <c r="BE245" s="131">
        <f>IF(N245="základní",J245,0)</f>
        <v>0</v>
      </c>
      <c r="BF245" s="131">
        <f>IF(N245="snížená",J245,0)</f>
        <v>0</v>
      </c>
      <c r="BG245" s="131">
        <f>IF(N245="zákl. přenesená",J245,0)</f>
        <v>0</v>
      </c>
      <c r="BH245" s="131">
        <f>IF(N245="sníž. přenesená",J245,0)</f>
        <v>0</v>
      </c>
      <c r="BI245" s="131">
        <f>IF(N245="nulová",J245,0)</f>
        <v>0</v>
      </c>
      <c r="BJ245" s="14" t="s">
        <v>19</v>
      </c>
      <c r="BK245" s="131">
        <f>ROUND(I245*H245,2)</f>
        <v>0</v>
      </c>
      <c r="BL245" s="14" t="s">
        <v>135</v>
      </c>
      <c r="BM245" s="130" t="s">
        <v>414</v>
      </c>
    </row>
    <row r="246" spans="2:65" s="1" customFormat="1">
      <c r="B246" s="26"/>
      <c r="D246" s="132" t="s">
        <v>143</v>
      </c>
      <c r="F246" s="133" t="s">
        <v>413</v>
      </c>
      <c r="L246" s="26"/>
      <c r="M246" s="134"/>
      <c r="T246" s="50"/>
      <c r="AT246" s="14" t="s">
        <v>143</v>
      </c>
      <c r="AU246" s="14" t="s">
        <v>19</v>
      </c>
    </row>
    <row r="247" spans="2:65" s="1" customFormat="1" ht="38.4">
      <c r="B247" s="26"/>
      <c r="D247" s="132" t="s">
        <v>145</v>
      </c>
      <c r="F247" s="135" t="s">
        <v>415</v>
      </c>
      <c r="L247" s="26"/>
      <c r="M247" s="134"/>
      <c r="T247" s="50"/>
      <c r="AT247" s="14" t="s">
        <v>145</v>
      </c>
      <c r="AU247" s="14" t="s">
        <v>19</v>
      </c>
    </row>
    <row r="248" spans="2:65" s="11" customFormat="1">
      <c r="B248" s="136"/>
      <c r="D248" s="132" t="s">
        <v>147</v>
      </c>
      <c r="E248" s="137" t="s">
        <v>416</v>
      </c>
      <c r="F248" s="138" t="s">
        <v>417</v>
      </c>
      <c r="H248" s="139">
        <v>178</v>
      </c>
      <c r="L248" s="136"/>
      <c r="M248" s="140"/>
      <c r="T248" s="141"/>
      <c r="AT248" s="137" t="s">
        <v>147</v>
      </c>
      <c r="AU248" s="137" t="s">
        <v>19</v>
      </c>
      <c r="AV248" s="11" t="s">
        <v>149</v>
      </c>
      <c r="AW248" s="11" t="s">
        <v>39</v>
      </c>
      <c r="AX248" s="11" t="s">
        <v>19</v>
      </c>
      <c r="AY248" s="137" t="s">
        <v>136</v>
      </c>
    </row>
    <row r="249" spans="2:65" s="1" customFormat="1" ht="16.5" customHeight="1">
      <c r="B249" s="119"/>
      <c r="C249" s="120" t="s">
        <v>418</v>
      </c>
      <c r="D249" s="120" t="s">
        <v>137</v>
      </c>
      <c r="E249" s="121" t="s">
        <v>419</v>
      </c>
      <c r="F249" s="122" t="s">
        <v>420</v>
      </c>
      <c r="G249" s="123" t="s">
        <v>216</v>
      </c>
      <c r="H249" s="124">
        <v>640.9</v>
      </c>
      <c r="I249" s="125">
        <v>0</v>
      </c>
      <c r="J249" s="125">
        <f>ROUND(I249*H249,2)</f>
        <v>0</v>
      </c>
      <c r="K249" s="122" t="s">
        <v>141</v>
      </c>
      <c r="L249" s="26"/>
      <c r="M249" s="126" t="s">
        <v>1</v>
      </c>
      <c r="N249" s="127" t="s">
        <v>46</v>
      </c>
      <c r="O249" s="128">
        <v>0</v>
      </c>
      <c r="P249" s="128">
        <f>O249*H249</f>
        <v>0</v>
      </c>
      <c r="Q249" s="128">
        <v>0</v>
      </c>
      <c r="R249" s="128">
        <f>Q249*H249</f>
        <v>0</v>
      </c>
      <c r="S249" s="128">
        <v>0</v>
      </c>
      <c r="T249" s="129">
        <f>S249*H249</f>
        <v>0</v>
      </c>
      <c r="AR249" s="130" t="s">
        <v>135</v>
      </c>
      <c r="AT249" s="130" t="s">
        <v>137</v>
      </c>
      <c r="AU249" s="130" t="s">
        <v>19</v>
      </c>
      <c r="AY249" s="14" t="s">
        <v>136</v>
      </c>
      <c r="BE249" s="131">
        <f>IF(N249="základní",J249,0)</f>
        <v>0</v>
      </c>
      <c r="BF249" s="131">
        <f>IF(N249="snížená",J249,0)</f>
        <v>0</v>
      </c>
      <c r="BG249" s="131">
        <f>IF(N249="zákl. přenesená",J249,0)</f>
        <v>0</v>
      </c>
      <c r="BH249" s="131">
        <f>IF(N249="sníž. přenesená",J249,0)</f>
        <v>0</v>
      </c>
      <c r="BI249" s="131">
        <f>IF(N249="nulová",J249,0)</f>
        <v>0</v>
      </c>
      <c r="BJ249" s="14" t="s">
        <v>19</v>
      </c>
      <c r="BK249" s="131">
        <f>ROUND(I249*H249,2)</f>
        <v>0</v>
      </c>
      <c r="BL249" s="14" t="s">
        <v>135</v>
      </c>
      <c r="BM249" s="130" t="s">
        <v>421</v>
      </c>
    </row>
    <row r="250" spans="2:65" s="1" customFormat="1">
      <c r="B250" s="26"/>
      <c r="D250" s="132" t="s">
        <v>143</v>
      </c>
      <c r="F250" s="133" t="s">
        <v>420</v>
      </c>
      <c r="L250" s="26"/>
      <c r="M250" s="134"/>
      <c r="T250" s="50"/>
      <c r="AT250" s="14" t="s">
        <v>143</v>
      </c>
      <c r="AU250" s="14" t="s">
        <v>19</v>
      </c>
    </row>
    <row r="251" spans="2:65" s="1" customFormat="1" ht="28.8">
      <c r="B251" s="26"/>
      <c r="D251" s="132" t="s">
        <v>145</v>
      </c>
      <c r="F251" s="135" t="s">
        <v>422</v>
      </c>
      <c r="L251" s="26"/>
      <c r="M251" s="134"/>
      <c r="T251" s="50"/>
      <c r="AT251" s="14" t="s">
        <v>145</v>
      </c>
      <c r="AU251" s="14" t="s">
        <v>19</v>
      </c>
    </row>
    <row r="252" spans="2:65" s="11" customFormat="1" ht="20.399999999999999">
      <c r="B252" s="136"/>
      <c r="D252" s="132" t="s">
        <v>147</v>
      </c>
      <c r="E252" s="137" t="s">
        <v>423</v>
      </c>
      <c r="F252" s="138" t="s">
        <v>424</v>
      </c>
      <c r="H252" s="139">
        <v>504.90000000000003</v>
      </c>
      <c r="L252" s="136"/>
      <c r="M252" s="140"/>
      <c r="T252" s="141"/>
      <c r="AT252" s="137" t="s">
        <v>147</v>
      </c>
      <c r="AU252" s="137" t="s">
        <v>19</v>
      </c>
      <c r="AV252" s="11" t="s">
        <v>149</v>
      </c>
      <c r="AW252" s="11" t="s">
        <v>39</v>
      </c>
      <c r="AX252" s="11" t="s">
        <v>81</v>
      </c>
      <c r="AY252" s="137" t="s">
        <v>136</v>
      </c>
    </row>
    <row r="253" spans="2:65" s="11" customFormat="1">
      <c r="B253" s="136"/>
      <c r="D253" s="132" t="s">
        <v>147</v>
      </c>
      <c r="E253" s="137" t="s">
        <v>425</v>
      </c>
      <c r="F253" s="138" t="s">
        <v>426</v>
      </c>
      <c r="H253" s="139">
        <v>134.5</v>
      </c>
      <c r="L253" s="136"/>
      <c r="M253" s="140"/>
      <c r="T253" s="141"/>
      <c r="AT253" s="137" t="s">
        <v>147</v>
      </c>
      <c r="AU253" s="137" t="s">
        <v>19</v>
      </c>
      <c r="AV253" s="11" t="s">
        <v>149</v>
      </c>
      <c r="AW253" s="11" t="s">
        <v>39</v>
      </c>
      <c r="AX253" s="11" t="s">
        <v>81</v>
      </c>
      <c r="AY253" s="137" t="s">
        <v>136</v>
      </c>
    </row>
    <row r="254" spans="2:65" s="11" customFormat="1">
      <c r="B254" s="136"/>
      <c r="D254" s="132" t="s">
        <v>147</v>
      </c>
      <c r="E254" s="137" t="s">
        <v>427</v>
      </c>
      <c r="F254" s="138" t="s">
        <v>428</v>
      </c>
      <c r="H254" s="139">
        <v>1.5</v>
      </c>
      <c r="L254" s="136"/>
      <c r="M254" s="140"/>
      <c r="T254" s="141"/>
      <c r="AT254" s="137" t="s">
        <v>147</v>
      </c>
      <c r="AU254" s="137" t="s">
        <v>19</v>
      </c>
      <c r="AV254" s="11" t="s">
        <v>149</v>
      </c>
      <c r="AW254" s="11" t="s">
        <v>39</v>
      </c>
      <c r="AX254" s="11" t="s">
        <v>81</v>
      </c>
      <c r="AY254" s="137" t="s">
        <v>136</v>
      </c>
    </row>
    <row r="255" spans="2:65" s="11" customFormat="1">
      <c r="B255" s="136"/>
      <c r="D255" s="132" t="s">
        <v>147</v>
      </c>
      <c r="E255" s="137" t="s">
        <v>429</v>
      </c>
      <c r="F255" s="138" t="s">
        <v>430</v>
      </c>
      <c r="H255" s="139">
        <v>640.9</v>
      </c>
      <c r="L255" s="136"/>
      <c r="M255" s="140"/>
      <c r="T255" s="141"/>
      <c r="AT255" s="137" t="s">
        <v>147</v>
      </c>
      <c r="AU255" s="137" t="s">
        <v>19</v>
      </c>
      <c r="AV255" s="11" t="s">
        <v>149</v>
      </c>
      <c r="AW255" s="11" t="s">
        <v>39</v>
      </c>
      <c r="AX255" s="11" t="s">
        <v>19</v>
      </c>
      <c r="AY255" s="137" t="s">
        <v>136</v>
      </c>
    </row>
    <row r="256" spans="2:65" s="1" customFormat="1" ht="21.75" customHeight="1">
      <c r="B256" s="119"/>
      <c r="C256" s="120" t="s">
        <v>431</v>
      </c>
      <c r="D256" s="120" t="s">
        <v>137</v>
      </c>
      <c r="E256" s="121" t="s">
        <v>432</v>
      </c>
      <c r="F256" s="122" t="s">
        <v>433</v>
      </c>
      <c r="G256" s="123" t="s">
        <v>260</v>
      </c>
      <c r="H256" s="124">
        <v>6345</v>
      </c>
      <c r="I256" s="125">
        <v>0</v>
      </c>
      <c r="J256" s="125">
        <f>ROUND(I256*H256,2)</f>
        <v>0</v>
      </c>
      <c r="K256" s="122" t="s">
        <v>141</v>
      </c>
      <c r="L256" s="26"/>
      <c r="M256" s="126" t="s">
        <v>1</v>
      </c>
      <c r="N256" s="127" t="s">
        <v>46</v>
      </c>
      <c r="O256" s="128">
        <v>0</v>
      </c>
      <c r="P256" s="128">
        <f>O256*H256</f>
        <v>0</v>
      </c>
      <c r="Q256" s="128">
        <v>0</v>
      </c>
      <c r="R256" s="128">
        <f>Q256*H256</f>
        <v>0</v>
      </c>
      <c r="S256" s="128">
        <v>0</v>
      </c>
      <c r="T256" s="129">
        <f>S256*H256</f>
        <v>0</v>
      </c>
      <c r="AR256" s="130" t="s">
        <v>135</v>
      </c>
      <c r="AT256" s="130" t="s">
        <v>137</v>
      </c>
      <c r="AU256" s="130" t="s">
        <v>19</v>
      </c>
      <c r="AY256" s="14" t="s">
        <v>136</v>
      </c>
      <c r="BE256" s="131">
        <f>IF(N256="základní",J256,0)</f>
        <v>0</v>
      </c>
      <c r="BF256" s="131">
        <f>IF(N256="snížená",J256,0)</f>
        <v>0</v>
      </c>
      <c r="BG256" s="131">
        <f>IF(N256="zákl. přenesená",J256,0)</f>
        <v>0</v>
      </c>
      <c r="BH256" s="131">
        <f>IF(N256="sníž. přenesená",J256,0)</f>
        <v>0</v>
      </c>
      <c r="BI256" s="131">
        <f>IF(N256="nulová",J256,0)</f>
        <v>0</v>
      </c>
      <c r="BJ256" s="14" t="s">
        <v>19</v>
      </c>
      <c r="BK256" s="131">
        <f>ROUND(I256*H256,2)</f>
        <v>0</v>
      </c>
      <c r="BL256" s="14" t="s">
        <v>135</v>
      </c>
      <c r="BM256" s="130" t="s">
        <v>434</v>
      </c>
    </row>
    <row r="257" spans="2:65" s="1" customFormat="1">
      <c r="B257" s="26"/>
      <c r="D257" s="132" t="s">
        <v>143</v>
      </c>
      <c r="F257" s="133" t="s">
        <v>433</v>
      </c>
      <c r="L257" s="26"/>
      <c r="M257" s="134"/>
      <c r="T257" s="50"/>
      <c r="AT257" s="14" t="s">
        <v>143</v>
      </c>
      <c r="AU257" s="14" t="s">
        <v>19</v>
      </c>
    </row>
    <row r="258" spans="2:65" s="1" customFormat="1" ht="48">
      <c r="B258" s="26"/>
      <c r="D258" s="132" t="s">
        <v>145</v>
      </c>
      <c r="F258" s="135" t="s">
        <v>435</v>
      </c>
      <c r="L258" s="26"/>
      <c r="M258" s="134"/>
      <c r="T258" s="50"/>
      <c r="AT258" s="14" t="s">
        <v>145</v>
      </c>
      <c r="AU258" s="14" t="s">
        <v>19</v>
      </c>
    </row>
    <row r="259" spans="2:65" s="11" customFormat="1">
      <c r="B259" s="136"/>
      <c r="D259" s="132" t="s">
        <v>147</v>
      </c>
      <c r="E259" s="137" t="s">
        <v>436</v>
      </c>
      <c r="F259" s="138" t="s">
        <v>437</v>
      </c>
      <c r="H259" s="139">
        <v>6345</v>
      </c>
      <c r="L259" s="136"/>
      <c r="M259" s="140"/>
      <c r="T259" s="141"/>
      <c r="AT259" s="137" t="s">
        <v>147</v>
      </c>
      <c r="AU259" s="137" t="s">
        <v>19</v>
      </c>
      <c r="AV259" s="11" t="s">
        <v>149</v>
      </c>
      <c r="AW259" s="11" t="s">
        <v>39</v>
      </c>
      <c r="AX259" s="11" t="s">
        <v>19</v>
      </c>
      <c r="AY259" s="137" t="s">
        <v>136</v>
      </c>
    </row>
    <row r="260" spans="2:65" s="1" customFormat="1" ht="21.75" customHeight="1">
      <c r="B260" s="119"/>
      <c r="C260" s="120" t="s">
        <v>438</v>
      </c>
      <c r="D260" s="120" t="s">
        <v>137</v>
      </c>
      <c r="E260" s="121" t="s">
        <v>439</v>
      </c>
      <c r="F260" s="122" t="s">
        <v>440</v>
      </c>
      <c r="G260" s="123" t="s">
        <v>260</v>
      </c>
      <c r="H260" s="124">
        <v>4978</v>
      </c>
      <c r="I260" s="125">
        <v>0</v>
      </c>
      <c r="J260" s="125">
        <f>ROUND(I260*H260,2)</f>
        <v>0</v>
      </c>
      <c r="K260" s="122" t="s">
        <v>141</v>
      </c>
      <c r="L260" s="26"/>
      <c r="M260" s="126" t="s">
        <v>1</v>
      </c>
      <c r="N260" s="127" t="s">
        <v>46</v>
      </c>
      <c r="O260" s="128">
        <v>0</v>
      </c>
      <c r="P260" s="128">
        <f>O260*H260</f>
        <v>0</v>
      </c>
      <c r="Q260" s="128">
        <v>0</v>
      </c>
      <c r="R260" s="128">
        <f>Q260*H260</f>
        <v>0</v>
      </c>
      <c r="S260" s="128">
        <v>0</v>
      </c>
      <c r="T260" s="129">
        <f>S260*H260</f>
        <v>0</v>
      </c>
      <c r="AR260" s="130" t="s">
        <v>135</v>
      </c>
      <c r="AT260" s="130" t="s">
        <v>137</v>
      </c>
      <c r="AU260" s="130" t="s">
        <v>19</v>
      </c>
      <c r="AY260" s="14" t="s">
        <v>136</v>
      </c>
      <c r="BE260" s="131">
        <f>IF(N260="základní",J260,0)</f>
        <v>0</v>
      </c>
      <c r="BF260" s="131">
        <f>IF(N260="snížená",J260,0)</f>
        <v>0</v>
      </c>
      <c r="BG260" s="131">
        <f>IF(N260="zákl. přenesená",J260,0)</f>
        <v>0</v>
      </c>
      <c r="BH260" s="131">
        <f>IF(N260="sníž. přenesená",J260,0)</f>
        <v>0</v>
      </c>
      <c r="BI260" s="131">
        <f>IF(N260="nulová",J260,0)</f>
        <v>0</v>
      </c>
      <c r="BJ260" s="14" t="s">
        <v>19</v>
      </c>
      <c r="BK260" s="131">
        <f>ROUND(I260*H260,2)</f>
        <v>0</v>
      </c>
      <c r="BL260" s="14" t="s">
        <v>135</v>
      </c>
      <c r="BM260" s="130" t="s">
        <v>441</v>
      </c>
    </row>
    <row r="261" spans="2:65" s="1" customFormat="1">
      <c r="B261" s="26"/>
      <c r="D261" s="132" t="s">
        <v>143</v>
      </c>
      <c r="F261" s="133" t="s">
        <v>440</v>
      </c>
      <c r="L261" s="26"/>
      <c r="M261" s="134"/>
      <c r="T261" s="50"/>
      <c r="AT261" s="14" t="s">
        <v>143</v>
      </c>
      <c r="AU261" s="14" t="s">
        <v>19</v>
      </c>
    </row>
    <row r="262" spans="2:65" s="1" customFormat="1" ht="48">
      <c r="B262" s="26"/>
      <c r="D262" s="132" t="s">
        <v>145</v>
      </c>
      <c r="F262" s="135" t="s">
        <v>442</v>
      </c>
      <c r="L262" s="26"/>
      <c r="M262" s="134"/>
      <c r="T262" s="50"/>
      <c r="AT262" s="14" t="s">
        <v>145</v>
      </c>
      <c r="AU262" s="14" t="s">
        <v>19</v>
      </c>
    </row>
    <row r="263" spans="2:65" s="11" customFormat="1">
      <c r="B263" s="136"/>
      <c r="D263" s="132" t="s">
        <v>147</v>
      </c>
      <c r="E263" s="137" t="s">
        <v>443</v>
      </c>
      <c r="F263" s="138" t="s">
        <v>444</v>
      </c>
      <c r="H263" s="139">
        <v>4978</v>
      </c>
      <c r="L263" s="136"/>
      <c r="M263" s="140"/>
      <c r="T263" s="141"/>
      <c r="AT263" s="137" t="s">
        <v>147</v>
      </c>
      <c r="AU263" s="137" t="s">
        <v>19</v>
      </c>
      <c r="AV263" s="11" t="s">
        <v>149</v>
      </c>
      <c r="AW263" s="11" t="s">
        <v>39</v>
      </c>
      <c r="AX263" s="11" t="s">
        <v>19</v>
      </c>
      <c r="AY263" s="137" t="s">
        <v>136</v>
      </c>
    </row>
    <row r="264" spans="2:65" s="1" customFormat="1" ht="16.5" customHeight="1">
      <c r="B264" s="119"/>
      <c r="C264" s="120" t="s">
        <v>445</v>
      </c>
      <c r="D264" s="120" t="s">
        <v>137</v>
      </c>
      <c r="E264" s="121" t="s">
        <v>446</v>
      </c>
      <c r="F264" s="122" t="s">
        <v>447</v>
      </c>
      <c r="G264" s="123" t="s">
        <v>260</v>
      </c>
      <c r="H264" s="124">
        <v>11323</v>
      </c>
      <c r="I264" s="125">
        <v>0</v>
      </c>
      <c r="J264" s="125">
        <f>ROUND(I264*H264,2)</f>
        <v>0</v>
      </c>
      <c r="K264" s="122" t="s">
        <v>141</v>
      </c>
      <c r="L264" s="26"/>
      <c r="M264" s="126" t="s">
        <v>1</v>
      </c>
      <c r="N264" s="127" t="s">
        <v>46</v>
      </c>
      <c r="O264" s="128">
        <v>0</v>
      </c>
      <c r="P264" s="128">
        <f>O264*H264</f>
        <v>0</v>
      </c>
      <c r="Q264" s="128">
        <v>0</v>
      </c>
      <c r="R264" s="128">
        <f>Q264*H264</f>
        <v>0</v>
      </c>
      <c r="S264" s="128">
        <v>0</v>
      </c>
      <c r="T264" s="129">
        <f>S264*H264</f>
        <v>0</v>
      </c>
      <c r="AR264" s="130" t="s">
        <v>135</v>
      </c>
      <c r="AT264" s="130" t="s">
        <v>137</v>
      </c>
      <c r="AU264" s="130" t="s">
        <v>19</v>
      </c>
      <c r="AY264" s="14" t="s">
        <v>136</v>
      </c>
      <c r="BE264" s="131">
        <f>IF(N264="základní",J264,0)</f>
        <v>0</v>
      </c>
      <c r="BF264" s="131">
        <f>IF(N264="snížená",J264,0)</f>
        <v>0</v>
      </c>
      <c r="BG264" s="131">
        <f>IF(N264="zákl. přenesená",J264,0)</f>
        <v>0</v>
      </c>
      <c r="BH264" s="131">
        <f>IF(N264="sníž. přenesená",J264,0)</f>
        <v>0</v>
      </c>
      <c r="BI264" s="131">
        <f>IF(N264="nulová",J264,0)</f>
        <v>0</v>
      </c>
      <c r="BJ264" s="14" t="s">
        <v>19</v>
      </c>
      <c r="BK264" s="131">
        <f>ROUND(I264*H264,2)</f>
        <v>0</v>
      </c>
      <c r="BL264" s="14" t="s">
        <v>135</v>
      </c>
      <c r="BM264" s="130" t="s">
        <v>448</v>
      </c>
    </row>
    <row r="265" spans="2:65" s="1" customFormat="1">
      <c r="B265" s="26"/>
      <c r="D265" s="132" t="s">
        <v>143</v>
      </c>
      <c r="F265" s="133" t="s">
        <v>447</v>
      </c>
      <c r="L265" s="26"/>
      <c r="M265" s="134"/>
      <c r="T265" s="50"/>
      <c r="AT265" s="14" t="s">
        <v>143</v>
      </c>
      <c r="AU265" s="14" t="s">
        <v>19</v>
      </c>
    </row>
    <row r="266" spans="2:65" s="1" customFormat="1" ht="38.4">
      <c r="B266" s="26"/>
      <c r="D266" s="132" t="s">
        <v>145</v>
      </c>
      <c r="F266" s="135" t="s">
        <v>449</v>
      </c>
      <c r="L266" s="26"/>
      <c r="M266" s="134"/>
      <c r="T266" s="50"/>
      <c r="AT266" s="14" t="s">
        <v>145</v>
      </c>
      <c r="AU266" s="14" t="s">
        <v>19</v>
      </c>
    </row>
    <row r="267" spans="2:65" s="11" customFormat="1">
      <c r="B267" s="136"/>
      <c r="D267" s="132" t="s">
        <v>147</v>
      </c>
      <c r="E267" s="137" t="s">
        <v>450</v>
      </c>
      <c r="F267" s="138" t="s">
        <v>451</v>
      </c>
      <c r="H267" s="139">
        <v>11323</v>
      </c>
      <c r="L267" s="136"/>
      <c r="M267" s="140"/>
      <c r="T267" s="141"/>
      <c r="AT267" s="137" t="s">
        <v>147</v>
      </c>
      <c r="AU267" s="137" t="s">
        <v>19</v>
      </c>
      <c r="AV267" s="11" t="s">
        <v>149</v>
      </c>
      <c r="AW267" s="11" t="s">
        <v>39</v>
      </c>
      <c r="AX267" s="11" t="s">
        <v>19</v>
      </c>
      <c r="AY267" s="137" t="s">
        <v>136</v>
      </c>
    </row>
    <row r="268" spans="2:65" s="1" customFormat="1" ht="16.5" customHeight="1">
      <c r="B268" s="119"/>
      <c r="C268" s="120" t="s">
        <v>452</v>
      </c>
      <c r="D268" s="120" t="s">
        <v>137</v>
      </c>
      <c r="E268" s="121" t="s">
        <v>453</v>
      </c>
      <c r="F268" s="122" t="s">
        <v>454</v>
      </c>
      <c r="G268" s="123" t="s">
        <v>260</v>
      </c>
      <c r="H268" s="124">
        <v>11323</v>
      </c>
      <c r="I268" s="125">
        <v>0</v>
      </c>
      <c r="J268" s="125">
        <f>ROUND(I268*H268,2)</f>
        <v>0</v>
      </c>
      <c r="K268" s="122" t="s">
        <v>141</v>
      </c>
      <c r="L268" s="26"/>
      <c r="M268" s="126" t="s">
        <v>1</v>
      </c>
      <c r="N268" s="127" t="s">
        <v>46</v>
      </c>
      <c r="O268" s="128">
        <v>0</v>
      </c>
      <c r="P268" s="128">
        <f>O268*H268</f>
        <v>0</v>
      </c>
      <c r="Q268" s="128">
        <v>0</v>
      </c>
      <c r="R268" s="128">
        <f>Q268*H268</f>
        <v>0</v>
      </c>
      <c r="S268" s="128">
        <v>0</v>
      </c>
      <c r="T268" s="129">
        <f>S268*H268</f>
        <v>0</v>
      </c>
      <c r="AR268" s="130" t="s">
        <v>135</v>
      </c>
      <c r="AT268" s="130" t="s">
        <v>137</v>
      </c>
      <c r="AU268" s="130" t="s">
        <v>19</v>
      </c>
      <c r="AY268" s="14" t="s">
        <v>136</v>
      </c>
      <c r="BE268" s="131">
        <f>IF(N268="základní",J268,0)</f>
        <v>0</v>
      </c>
      <c r="BF268" s="131">
        <f>IF(N268="snížená",J268,0)</f>
        <v>0</v>
      </c>
      <c r="BG268" s="131">
        <f>IF(N268="zákl. přenesená",J268,0)</f>
        <v>0</v>
      </c>
      <c r="BH268" s="131">
        <f>IF(N268="sníž. přenesená",J268,0)</f>
        <v>0</v>
      </c>
      <c r="BI268" s="131">
        <f>IF(N268="nulová",J268,0)</f>
        <v>0</v>
      </c>
      <c r="BJ268" s="14" t="s">
        <v>19</v>
      </c>
      <c r="BK268" s="131">
        <f>ROUND(I268*H268,2)</f>
        <v>0</v>
      </c>
      <c r="BL268" s="14" t="s">
        <v>135</v>
      </c>
      <c r="BM268" s="130" t="s">
        <v>455</v>
      </c>
    </row>
    <row r="269" spans="2:65" s="1" customFormat="1">
      <c r="B269" s="26"/>
      <c r="D269" s="132" t="s">
        <v>143</v>
      </c>
      <c r="F269" s="133" t="s">
        <v>454</v>
      </c>
      <c r="L269" s="26"/>
      <c r="M269" s="134"/>
      <c r="T269" s="50"/>
      <c r="AT269" s="14" t="s">
        <v>143</v>
      </c>
      <c r="AU269" s="14" t="s">
        <v>19</v>
      </c>
    </row>
    <row r="270" spans="2:65" s="1" customFormat="1" ht="48">
      <c r="B270" s="26"/>
      <c r="D270" s="132" t="s">
        <v>145</v>
      </c>
      <c r="F270" s="135" t="s">
        <v>456</v>
      </c>
      <c r="L270" s="26"/>
      <c r="M270" s="134"/>
      <c r="T270" s="50"/>
      <c r="AT270" s="14" t="s">
        <v>145</v>
      </c>
      <c r="AU270" s="14" t="s">
        <v>19</v>
      </c>
    </row>
    <row r="271" spans="2:65" s="11" customFormat="1">
      <c r="B271" s="136"/>
      <c r="D271" s="132" t="s">
        <v>147</v>
      </c>
      <c r="E271" s="137" t="s">
        <v>457</v>
      </c>
      <c r="F271" s="138" t="s">
        <v>458</v>
      </c>
      <c r="H271" s="139">
        <v>11323</v>
      </c>
      <c r="L271" s="136"/>
      <c r="M271" s="140"/>
      <c r="T271" s="141"/>
      <c r="AT271" s="137" t="s">
        <v>147</v>
      </c>
      <c r="AU271" s="137" t="s">
        <v>19</v>
      </c>
      <c r="AV271" s="11" t="s">
        <v>149</v>
      </c>
      <c r="AW271" s="11" t="s">
        <v>39</v>
      </c>
      <c r="AX271" s="11" t="s">
        <v>19</v>
      </c>
      <c r="AY271" s="137" t="s">
        <v>136</v>
      </c>
    </row>
    <row r="272" spans="2:65" s="10" customFormat="1" ht="25.95" customHeight="1">
      <c r="B272" s="110"/>
      <c r="D272" s="111" t="s">
        <v>80</v>
      </c>
      <c r="E272" s="112" t="s">
        <v>149</v>
      </c>
      <c r="F272" s="112" t="s">
        <v>459</v>
      </c>
      <c r="J272" s="113">
        <f>BK272</f>
        <v>0</v>
      </c>
      <c r="L272" s="110"/>
      <c r="M272" s="114"/>
      <c r="P272" s="115">
        <f>SUM(P273:P282)</f>
        <v>0</v>
      </c>
      <c r="R272" s="115">
        <f>SUM(R273:R282)</f>
        <v>0</v>
      </c>
      <c r="T272" s="116">
        <f>SUM(T273:T282)</f>
        <v>0</v>
      </c>
      <c r="AR272" s="111" t="s">
        <v>135</v>
      </c>
      <c r="AT272" s="117" t="s">
        <v>80</v>
      </c>
      <c r="AU272" s="117" t="s">
        <v>81</v>
      </c>
      <c r="AY272" s="111" t="s">
        <v>136</v>
      </c>
      <c r="BK272" s="118">
        <f>SUM(BK273:BK282)</f>
        <v>0</v>
      </c>
    </row>
    <row r="273" spans="2:65" s="1" customFormat="1" ht="24.15" customHeight="1">
      <c r="B273" s="119"/>
      <c r="C273" s="120" t="s">
        <v>460</v>
      </c>
      <c r="D273" s="120" t="s">
        <v>137</v>
      </c>
      <c r="E273" s="121" t="s">
        <v>461</v>
      </c>
      <c r="F273" s="122" t="s">
        <v>462</v>
      </c>
      <c r="G273" s="123" t="s">
        <v>312</v>
      </c>
      <c r="H273" s="124">
        <v>446</v>
      </c>
      <c r="I273" s="125">
        <v>0</v>
      </c>
      <c r="J273" s="125">
        <f>ROUND(I273*H273,2)</f>
        <v>0</v>
      </c>
      <c r="K273" s="122" t="s">
        <v>141</v>
      </c>
      <c r="L273" s="26"/>
      <c r="M273" s="126" t="s">
        <v>1</v>
      </c>
      <c r="N273" s="127" t="s">
        <v>46</v>
      </c>
      <c r="O273" s="128">
        <v>0</v>
      </c>
      <c r="P273" s="128">
        <f>O273*H273</f>
        <v>0</v>
      </c>
      <c r="Q273" s="128">
        <v>0</v>
      </c>
      <c r="R273" s="128">
        <f>Q273*H273</f>
        <v>0</v>
      </c>
      <c r="S273" s="128">
        <v>0</v>
      </c>
      <c r="T273" s="129">
        <f>S273*H273</f>
        <v>0</v>
      </c>
      <c r="AR273" s="130" t="s">
        <v>135</v>
      </c>
      <c r="AT273" s="130" t="s">
        <v>137</v>
      </c>
      <c r="AU273" s="130" t="s">
        <v>19</v>
      </c>
      <c r="AY273" s="14" t="s">
        <v>136</v>
      </c>
      <c r="BE273" s="131">
        <f>IF(N273="základní",J273,0)</f>
        <v>0</v>
      </c>
      <c r="BF273" s="131">
        <f>IF(N273="snížená",J273,0)</f>
        <v>0</v>
      </c>
      <c r="BG273" s="131">
        <f>IF(N273="zákl. přenesená",J273,0)</f>
        <v>0</v>
      </c>
      <c r="BH273" s="131">
        <f>IF(N273="sníž. přenesená",J273,0)</f>
        <v>0</v>
      </c>
      <c r="BI273" s="131">
        <f>IF(N273="nulová",J273,0)</f>
        <v>0</v>
      </c>
      <c r="BJ273" s="14" t="s">
        <v>19</v>
      </c>
      <c r="BK273" s="131">
        <f>ROUND(I273*H273,2)</f>
        <v>0</v>
      </c>
      <c r="BL273" s="14" t="s">
        <v>135</v>
      </c>
      <c r="BM273" s="130" t="s">
        <v>463</v>
      </c>
    </row>
    <row r="274" spans="2:65" s="1" customFormat="1">
      <c r="B274" s="26"/>
      <c r="D274" s="132" t="s">
        <v>143</v>
      </c>
      <c r="F274" s="133" t="s">
        <v>462</v>
      </c>
      <c r="L274" s="26"/>
      <c r="M274" s="134"/>
      <c r="T274" s="50"/>
      <c r="AT274" s="14" t="s">
        <v>143</v>
      </c>
      <c r="AU274" s="14" t="s">
        <v>19</v>
      </c>
    </row>
    <row r="275" spans="2:65" s="1" customFormat="1" ht="124.8">
      <c r="B275" s="26"/>
      <c r="D275" s="132" t="s">
        <v>145</v>
      </c>
      <c r="F275" s="135" t="s">
        <v>464</v>
      </c>
      <c r="L275" s="26"/>
      <c r="M275" s="134"/>
      <c r="T275" s="50"/>
      <c r="AT275" s="14" t="s">
        <v>145</v>
      </c>
      <c r="AU275" s="14" t="s">
        <v>19</v>
      </c>
    </row>
    <row r="276" spans="2:65" s="11" customFormat="1">
      <c r="B276" s="136"/>
      <c r="D276" s="132" t="s">
        <v>147</v>
      </c>
      <c r="E276" s="137" t="s">
        <v>465</v>
      </c>
      <c r="F276" s="138" t="s">
        <v>466</v>
      </c>
      <c r="H276" s="139">
        <v>446</v>
      </c>
      <c r="L276" s="136"/>
      <c r="M276" s="140"/>
      <c r="T276" s="141"/>
      <c r="AT276" s="137" t="s">
        <v>147</v>
      </c>
      <c r="AU276" s="137" t="s">
        <v>19</v>
      </c>
      <c r="AV276" s="11" t="s">
        <v>149</v>
      </c>
      <c r="AW276" s="11" t="s">
        <v>39</v>
      </c>
      <c r="AX276" s="11" t="s">
        <v>19</v>
      </c>
      <c r="AY276" s="137" t="s">
        <v>136</v>
      </c>
    </row>
    <row r="277" spans="2:65" s="1" customFormat="1" ht="16.5" customHeight="1">
      <c r="B277" s="119"/>
      <c r="C277" s="120" t="s">
        <v>467</v>
      </c>
      <c r="D277" s="120" t="s">
        <v>137</v>
      </c>
      <c r="E277" s="121" t="s">
        <v>468</v>
      </c>
      <c r="F277" s="122" t="s">
        <v>469</v>
      </c>
      <c r="G277" s="123" t="s">
        <v>260</v>
      </c>
      <c r="H277" s="124">
        <v>580</v>
      </c>
      <c r="I277" s="125">
        <v>0</v>
      </c>
      <c r="J277" s="125">
        <f>ROUND(I277*H277,2)</f>
        <v>0</v>
      </c>
      <c r="K277" s="122" t="s">
        <v>141</v>
      </c>
      <c r="L277" s="26"/>
      <c r="M277" s="126" t="s">
        <v>1</v>
      </c>
      <c r="N277" s="127" t="s">
        <v>46</v>
      </c>
      <c r="O277" s="128">
        <v>0</v>
      </c>
      <c r="P277" s="128">
        <f>O277*H277</f>
        <v>0</v>
      </c>
      <c r="Q277" s="128">
        <v>0</v>
      </c>
      <c r="R277" s="128">
        <f>Q277*H277</f>
        <v>0</v>
      </c>
      <c r="S277" s="128">
        <v>0</v>
      </c>
      <c r="T277" s="129">
        <f>S277*H277</f>
        <v>0</v>
      </c>
      <c r="AR277" s="130" t="s">
        <v>135</v>
      </c>
      <c r="AT277" s="130" t="s">
        <v>137</v>
      </c>
      <c r="AU277" s="130" t="s">
        <v>19</v>
      </c>
      <c r="AY277" s="14" t="s">
        <v>136</v>
      </c>
      <c r="BE277" s="131">
        <f>IF(N277="základní",J277,0)</f>
        <v>0</v>
      </c>
      <c r="BF277" s="131">
        <f>IF(N277="snížená",J277,0)</f>
        <v>0</v>
      </c>
      <c r="BG277" s="131">
        <f>IF(N277="zákl. přenesená",J277,0)</f>
        <v>0</v>
      </c>
      <c r="BH277" s="131">
        <f>IF(N277="sníž. přenesená",J277,0)</f>
        <v>0</v>
      </c>
      <c r="BI277" s="131">
        <f>IF(N277="nulová",J277,0)</f>
        <v>0</v>
      </c>
      <c r="BJ277" s="14" t="s">
        <v>19</v>
      </c>
      <c r="BK277" s="131">
        <f>ROUND(I277*H277,2)</f>
        <v>0</v>
      </c>
      <c r="BL277" s="14" t="s">
        <v>135</v>
      </c>
      <c r="BM277" s="130" t="s">
        <v>470</v>
      </c>
    </row>
    <row r="278" spans="2:65" s="1" customFormat="1">
      <c r="B278" s="26"/>
      <c r="D278" s="132" t="s">
        <v>143</v>
      </c>
      <c r="F278" s="133" t="s">
        <v>469</v>
      </c>
      <c r="L278" s="26"/>
      <c r="M278" s="134"/>
      <c r="T278" s="50"/>
      <c r="AT278" s="14" t="s">
        <v>143</v>
      </c>
      <c r="AU278" s="14" t="s">
        <v>19</v>
      </c>
    </row>
    <row r="279" spans="2:65" s="1" customFormat="1" ht="67.2">
      <c r="B279" s="26"/>
      <c r="D279" s="132" t="s">
        <v>145</v>
      </c>
      <c r="F279" s="135" t="s">
        <v>471</v>
      </c>
      <c r="L279" s="26"/>
      <c r="M279" s="134"/>
      <c r="T279" s="50"/>
      <c r="AT279" s="14" t="s">
        <v>145</v>
      </c>
      <c r="AU279" s="14" t="s">
        <v>19</v>
      </c>
    </row>
    <row r="280" spans="2:65" s="11" customFormat="1">
      <c r="B280" s="136"/>
      <c r="D280" s="132" t="s">
        <v>147</v>
      </c>
      <c r="E280" s="137" t="s">
        <v>472</v>
      </c>
      <c r="F280" s="138" t="s">
        <v>473</v>
      </c>
      <c r="H280" s="139">
        <v>557.5</v>
      </c>
      <c r="L280" s="136"/>
      <c r="M280" s="140"/>
      <c r="T280" s="141"/>
      <c r="AT280" s="137" t="s">
        <v>147</v>
      </c>
      <c r="AU280" s="137" t="s">
        <v>19</v>
      </c>
      <c r="AV280" s="11" t="s">
        <v>149</v>
      </c>
      <c r="AW280" s="11" t="s">
        <v>39</v>
      </c>
      <c r="AX280" s="11" t="s">
        <v>81</v>
      </c>
      <c r="AY280" s="137" t="s">
        <v>136</v>
      </c>
    </row>
    <row r="281" spans="2:65" s="11" customFormat="1">
      <c r="B281" s="136"/>
      <c r="D281" s="132" t="s">
        <v>147</v>
      </c>
      <c r="E281" s="137" t="s">
        <v>474</v>
      </c>
      <c r="F281" s="138" t="s">
        <v>475</v>
      </c>
      <c r="H281" s="139">
        <v>22.5</v>
      </c>
      <c r="L281" s="136"/>
      <c r="M281" s="140"/>
      <c r="T281" s="141"/>
      <c r="AT281" s="137" t="s">
        <v>147</v>
      </c>
      <c r="AU281" s="137" t="s">
        <v>19</v>
      </c>
      <c r="AV281" s="11" t="s">
        <v>149</v>
      </c>
      <c r="AW281" s="11" t="s">
        <v>39</v>
      </c>
      <c r="AX281" s="11" t="s">
        <v>81</v>
      </c>
      <c r="AY281" s="137" t="s">
        <v>136</v>
      </c>
    </row>
    <row r="282" spans="2:65" s="11" customFormat="1">
      <c r="B282" s="136"/>
      <c r="D282" s="132" t="s">
        <v>147</v>
      </c>
      <c r="E282" s="137" t="s">
        <v>476</v>
      </c>
      <c r="F282" s="138" t="s">
        <v>477</v>
      </c>
      <c r="H282" s="139">
        <v>580</v>
      </c>
      <c r="L282" s="136"/>
      <c r="M282" s="140"/>
      <c r="T282" s="141"/>
      <c r="AT282" s="137" t="s">
        <v>147</v>
      </c>
      <c r="AU282" s="137" t="s">
        <v>19</v>
      </c>
      <c r="AV282" s="11" t="s">
        <v>149</v>
      </c>
      <c r="AW282" s="11" t="s">
        <v>39</v>
      </c>
      <c r="AX282" s="11" t="s">
        <v>19</v>
      </c>
      <c r="AY282" s="137" t="s">
        <v>136</v>
      </c>
    </row>
    <row r="283" spans="2:65" s="10" customFormat="1" ht="25.95" customHeight="1">
      <c r="B283" s="110"/>
      <c r="D283" s="111" t="s">
        <v>80</v>
      </c>
      <c r="E283" s="112" t="s">
        <v>157</v>
      </c>
      <c r="F283" s="112" t="s">
        <v>478</v>
      </c>
      <c r="J283" s="113">
        <f>BK283</f>
        <v>0</v>
      </c>
      <c r="L283" s="110"/>
      <c r="M283" s="114"/>
      <c r="P283" s="115">
        <f>SUM(P284:P293)</f>
        <v>0</v>
      </c>
      <c r="R283" s="115">
        <f>SUM(R284:R293)</f>
        <v>0</v>
      </c>
      <c r="T283" s="116">
        <f>SUM(T284:T293)</f>
        <v>0</v>
      </c>
      <c r="AR283" s="111" t="s">
        <v>135</v>
      </c>
      <c r="AT283" s="117" t="s">
        <v>80</v>
      </c>
      <c r="AU283" s="117" t="s">
        <v>81</v>
      </c>
      <c r="AY283" s="111" t="s">
        <v>136</v>
      </c>
      <c r="BK283" s="118">
        <f>SUM(BK284:BK293)</f>
        <v>0</v>
      </c>
    </row>
    <row r="284" spans="2:65" s="1" customFormat="1" ht="24.15" customHeight="1">
      <c r="B284" s="119"/>
      <c r="C284" s="120" t="s">
        <v>479</v>
      </c>
      <c r="D284" s="120" t="s">
        <v>137</v>
      </c>
      <c r="E284" s="121" t="s">
        <v>480</v>
      </c>
      <c r="F284" s="122" t="s">
        <v>481</v>
      </c>
      <c r="G284" s="123" t="s">
        <v>482</v>
      </c>
      <c r="H284" s="124">
        <v>7</v>
      </c>
      <c r="I284" s="125">
        <v>0</v>
      </c>
      <c r="J284" s="125">
        <f>ROUND(I284*H284,2)</f>
        <v>0</v>
      </c>
      <c r="K284" s="122" t="s">
        <v>141</v>
      </c>
      <c r="L284" s="26"/>
      <c r="M284" s="126" t="s">
        <v>1</v>
      </c>
      <c r="N284" s="127" t="s">
        <v>46</v>
      </c>
      <c r="O284" s="128">
        <v>0</v>
      </c>
      <c r="P284" s="128">
        <f>O284*H284</f>
        <v>0</v>
      </c>
      <c r="Q284" s="128">
        <v>0</v>
      </c>
      <c r="R284" s="128">
        <f>Q284*H284</f>
        <v>0</v>
      </c>
      <c r="S284" s="128">
        <v>0</v>
      </c>
      <c r="T284" s="129">
        <f>S284*H284</f>
        <v>0</v>
      </c>
      <c r="AR284" s="130" t="s">
        <v>135</v>
      </c>
      <c r="AT284" s="130" t="s">
        <v>137</v>
      </c>
      <c r="AU284" s="130" t="s">
        <v>19</v>
      </c>
      <c r="AY284" s="14" t="s">
        <v>136</v>
      </c>
      <c r="BE284" s="131">
        <f>IF(N284="základní",J284,0)</f>
        <v>0</v>
      </c>
      <c r="BF284" s="131">
        <f>IF(N284="snížená",J284,0)</f>
        <v>0</v>
      </c>
      <c r="BG284" s="131">
        <f>IF(N284="zákl. přenesená",J284,0)</f>
        <v>0</v>
      </c>
      <c r="BH284" s="131">
        <f>IF(N284="sníž. přenesená",J284,0)</f>
        <v>0</v>
      </c>
      <c r="BI284" s="131">
        <f>IF(N284="nulová",J284,0)</f>
        <v>0</v>
      </c>
      <c r="BJ284" s="14" t="s">
        <v>19</v>
      </c>
      <c r="BK284" s="131">
        <f>ROUND(I284*H284,2)</f>
        <v>0</v>
      </c>
      <c r="BL284" s="14" t="s">
        <v>135</v>
      </c>
      <c r="BM284" s="130" t="s">
        <v>483</v>
      </c>
    </row>
    <row r="285" spans="2:65" s="1" customFormat="1" ht="19.2">
      <c r="B285" s="26"/>
      <c r="D285" s="132" t="s">
        <v>143</v>
      </c>
      <c r="F285" s="133" t="s">
        <v>481</v>
      </c>
      <c r="L285" s="26"/>
      <c r="M285" s="134"/>
      <c r="T285" s="50"/>
      <c r="AT285" s="14" t="s">
        <v>143</v>
      </c>
      <c r="AU285" s="14" t="s">
        <v>19</v>
      </c>
    </row>
    <row r="286" spans="2:65" s="1" customFormat="1" ht="48">
      <c r="B286" s="26"/>
      <c r="D286" s="132" t="s">
        <v>145</v>
      </c>
      <c r="F286" s="135" t="s">
        <v>484</v>
      </c>
      <c r="L286" s="26"/>
      <c r="M286" s="134"/>
      <c r="T286" s="50"/>
      <c r="AT286" s="14" t="s">
        <v>145</v>
      </c>
      <c r="AU286" s="14" t="s">
        <v>19</v>
      </c>
    </row>
    <row r="287" spans="2:65" s="11" customFormat="1">
      <c r="B287" s="136"/>
      <c r="D287" s="132" t="s">
        <v>147</v>
      </c>
      <c r="E287" s="137" t="s">
        <v>485</v>
      </c>
      <c r="F287" s="138" t="s">
        <v>486</v>
      </c>
      <c r="H287" s="139">
        <v>7.25</v>
      </c>
      <c r="L287" s="136"/>
      <c r="M287" s="140"/>
      <c r="T287" s="141"/>
      <c r="AT287" s="137" t="s">
        <v>147</v>
      </c>
      <c r="AU287" s="137" t="s">
        <v>19</v>
      </c>
      <c r="AV287" s="11" t="s">
        <v>149</v>
      </c>
      <c r="AW287" s="11" t="s">
        <v>39</v>
      </c>
      <c r="AX287" s="11" t="s">
        <v>81</v>
      </c>
      <c r="AY287" s="137" t="s">
        <v>136</v>
      </c>
    </row>
    <row r="288" spans="2:65" s="11" customFormat="1">
      <c r="B288" s="136"/>
      <c r="D288" s="132" t="s">
        <v>147</v>
      </c>
      <c r="E288" s="137" t="s">
        <v>487</v>
      </c>
      <c r="F288" s="138" t="s">
        <v>488</v>
      </c>
      <c r="H288" s="139">
        <v>-0.25</v>
      </c>
      <c r="L288" s="136"/>
      <c r="M288" s="140"/>
      <c r="T288" s="141"/>
      <c r="AT288" s="137" t="s">
        <v>147</v>
      </c>
      <c r="AU288" s="137" t="s">
        <v>19</v>
      </c>
      <c r="AV288" s="11" t="s">
        <v>149</v>
      </c>
      <c r="AW288" s="11" t="s">
        <v>39</v>
      </c>
      <c r="AX288" s="11" t="s">
        <v>81</v>
      </c>
      <c r="AY288" s="137" t="s">
        <v>136</v>
      </c>
    </row>
    <row r="289" spans="2:65" s="11" customFormat="1">
      <c r="B289" s="136"/>
      <c r="D289" s="132" t="s">
        <v>147</v>
      </c>
      <c r="E289" s="137" t="s">
        <v>489</v>
      </c>
      <c r="F289" s="138" t="s">
        <v>490</v>
      </c>
      <c r="H289" s="139">
        <v>7</v>
      </c>
      <c r="L289" s="136"/>
      <c r="M289" s="140"/>
      <c r="T289" s="141"/>
      <c r="AT289" s="137" t="s">
        <v>147</v>
      </c>
      <c r="AU289" s="137" t="s">
        <v>19</v>
      </c>
      <c r="AV289" s="11" t="s">
        <v>149</v>
      </c>
      <c r="AW289" s="11" t="s">
        <v>39</v>
      </c>
      <c r="AX289" s="11" t="s">
        <v>19</v>
      </c>
      <c r="AY289" s="137" t="s">
        <v>136</v>
      </c>
    </row>
    <row r="290" spans="2:65" s="1" customFormat="1" ht="24.15" customHeight="1">
      <c r="B290" s="119"/>
      <c r="C290" s="120" t="s">
        <v>491</v>
      </c>
      <c r="D290" s="120" t="s">
        <v>137</v>
      </c>
      <c r="E290" s="121" t="s">
        <v>492</v>
      </c>
      <c r="F290" s="122" t="s">
        <v>493</v>
      </c>
      <c r="G290" s="123" t="s">
        <v>482</v>
      </c>
      <c r="H290" s="124">
        <v>4</v>
      </c>
      <c r="I290" s="125">
        <v>0</v>
      </c>
      <c r="J290" s="125">
        <f>ROUND(I290*H290,2)</f>
        <v>0</v>
      </c>
      <c r="K290" s="122" t="s">
        <v>141</v>
      </c>
      <c r="L290" s="26"/>
      <c r="M290" s="126" t="s">
        <v>1</v>
      </c>
      <c r="N290" s="127" t="s">
        <v>46</v>
      </c>
      <c r="O290" s="128">
        <v>0</v>
      </c>
      <c r="P290" s="128">
        <f>O290*H290</f>
        <v>0</v>
      </c>
      <c r="Q290" s="128">
        <v>0</v>
      </c>
      <c r="R290" s="128">
        <f>Q290*H290</f>
        <v>0</v>
      </c>
      <c r="S290" s="128">
        <v>0</v>
      </c>
      <c r="T290" s="129">
        <f>S290*H290</f>
        <v>0</v>
      </c>
      <c r="AR290" s="130" t="s">
        <v>135</v>
      </c>
      <c r="AT290" s="130" t="s">
        <v>137</v>
      </c>
      <c r="AU290" s="130" t="s">
        <v>19</v>
      </c>
      <c r="AY290" s="14" t="s">
        <v>136</v>
      </c>
      <c r="BE290" s="131">
        <f>IF(N290="základní",J290,0)</f>
        <v>0</v>
      </c>
      <c r="BF290" s="131">
        <f>IF(N290="snížená",J290,0)</f>
        <v>0</v>
      </c>
      <c r="BG290" s="131">
        <f>IF(N290="zákl. přenesená",J290,0)</f>
        <v>0</v>
      </c>
      <c r="BH290" s="131">
        <f>IF(N290="sníž. přenesená",J290,0)</f>
        <v>0</v>
      </c>
      <c r="BI290" s="131">
        <f>IF(N290="nulová",J290,0)</f>
        <v>0</v>
      </c>
      <c r="BJ290" s="14" t="s">
        <v>19</v>
      </c>
      <c r="BK290" s="131">
        <f>ROUND(I290*H290,2)</f>
        <v>0</v>
      </c>
      <c r="BL290" s="14" t="s">
        <v>135</v>
      </c>
      <c r="BM290" s="130" t="s">
        <v>494</v>
      </c>
    </row>
    <row r="291" spans="2:65" s="1" customFormat="1" ht="19.2">
      <c r="B291" s="26"/>
      <c r="D291" s="132" t="s">
        <v>143</v>
      </c>
      <c r="F291" s="133" t="s">
        <v>493</v>
      </c>
      <c r="L291" s="26"/>
      <c r="M291" s="134"/>
      <c r="T291" s="50"/>
      <c r="AT291" s="14" t="s">
        <v>143</v>
      </c>
      <c r="AU291" s="14" t="s">
        <v>19</v>
      </c>
    </row>
    <row r="292" spans="2:65" s="1" customFormat="1" ht="38.4">
      <c r="B292" s="26"/>
      <c r="D292" s="132" t="s">
        <v>145</v>
      </c>
      <c r="F292" s="135" t="s">
        <v>495</v>
      </c>
      <c r="L292" s="26"/>
      <c r="M292" s="134"/>
      <c r="T292" s="50"/>
      <c r="AT292" s="14" t="s">
        <v>145</v>
      </c>
      <c r="AU292" s="14" t="s">
        <v>19</v>
      </c>
    </row>
    <row r="293" spans="2:65" s="11" customFormat="1">
      <c r="B293" s="136"/>
      <c r="D293" s="132" t="s">
        <v>147</v>
      </c>
      <c r="E293" s="137" t="s">
        <v>496</v>
      </c>
      <c r="F293" s="138" t="s">
        <v>497</v>
      </c>
      <c r="H293" s="139">
        <v>4</v>
      </c>
      <c r="L293" s="136"/>
      <c r="M293" s="140"/>
      <c r="T293" s="141"/>
      <c r="AT293" s="137" t="s">
        <v>147</v>
      </c>
      <c r="AU293" s="137" t="s">
        <v>19</v>
      </c>
      <c r="AV293" s="11" t="s">
        <v>149</v>
      </c>
      <c r="AW293" s="11" t="s">
        <v>39</v>
      </c>
      <c r="AX293" s="11" t="s">
        <v>19</v>
      </c>
      <c r="AY293" s="137" t="s">
        <v>136</v>
      </c>
    </row>
    <row r="294" spans="2:65" s="10" customFormat="1" ht="25.95" customHeight="1">
      <c r="B294" s="110"/>
      <c r="D294" s="111" t="s">
        <v>80</v>
      </c>
      <c r="E294" s="112" t="s">
        <v>135</v>
      </c>
      <c r="F294" s="112" t="s">
        <v>498</v>
      </c>
      <c r="J294" s="113">
        <f>BK294</f>
        <v>0</v>
      </c>
      <c r="L294" s="110"/>
      <c r="M294" s="114"/>
      <c r="P294" s="115">
        <f>SUM(P295:P321)</f>
        <v>0</v>
      </c>
      <c r="R294" s="115">
        <f>SUM(R295:R321)</f>
        <v>0</v>
      </c>
      <c r="T294" s="116">
        <f>SUM(T295:T321)</f>
        <v>0</v>
      </c>
      <c r="AR294" s="111" t="s">
        <v>135</v>
      </c>
      <c r="AT294" s="117" t="s">
        <v>80</v>
      </c>
      <c r="AU294" s="117" t="s">
        <v>81</v>
      </c>
      <c r="AY294" s="111" t="s">
        <v>136</v>
      </c>
      <c r="BK294" s="118">
        <f>SUM(BK295:BK321)</f>
        <v>0</v>
      </c>
    </row>
    <row r="295" spans="2:65" s="1" customFormat="1" ht="21.75" customHeight="1">
      <c r="B295" s="119"/>
      <c r="C295" s="120" t="s">
        <v>499</v>
      </c>
      <c r="D295" s="120" t="s">
        <v>137</v>
      </c>
      <c r="E295" s="121" t="s">
        <v>500</v>
      </c>
      <c r="F295" s="122" t="s">
        <v>501</v>
      </c>
      <c r="G295" s="123" t="s">
        <v>216</v>
      </c>
      <c r="H295" s="124">
        <v>1.968</v>
      </c>
      <c r="I295" s="125">
        <v>0</v>
      </c>
      <c r="J295" s="125">
        <f>ROUND(I295*H295,2)</f>
        <v>0</v>
      </c>
      <c r="K295" s="122" t="s">
        <v>141</v>
      </c>
      <c r="L295" s="26"/>
      <c r="M295" s="126" t="s">
        <v>1</v>
      </c>
      <c r="N295" s="127" t="s">
        <v>46</v>
      </c>
      <c r="O295" s="128">
        <v>0</v>
      </c>
      <c r="P295" s="128">
        <f>O295*H295</f>
        <v>0</v>
      </c>
      <c r="Q295" s="128">
        <v>0</v>
      </c>
      <c r="R295" s="128">
        <f>Q295*H295</f>
        <v>0</v>
      </c>
      <c r="S295" s="128">
        <v>0</v>
      </c>
      <c r="T295" s="129">
        <f>S295*H295</f>
        <v>0</v>
      </c>
      <c r="AR295" s="130" t="s">
        <v>135</v>
      </c>
      <c r="AT295" s="130" t="s">
        <v>137</v>
      </c>
      <c r="AU295" s="130" t="s">
        <v>19</v>
      </c>
      <c r="AY295" s="14" t="s">
        <v>136</v>
      </c>
      <c r="BE295" s="131">
        <f>IF(N295="základní",J295,0)</f>
        <v>0</v>
      </c>
      <c r="BF295" s="131">
        <f>IF(N295="snížená",J295,0)</f>
        <v>0</v>
      </c>
      <c r="BG295" s="131">
        <f>IF(N295="zákl. přenesená",J295,0)</f>
        <v>0</v>
      </c>
      <c r="BH295" s="131">
        <f>IF(N295="sníž. přenesená",J295,0)</f>
        <v>0</v>
      </c>
      <c r="BI295" s="131">
        <f>IF(N295="nulová",J295,0)</f>
        <v>0</v>
      </c>
      <c r="BJ295" s="14" t="s">
        <v>19</v>
      </c>
      <c r="BK295" s="131">
        <f>ROUND(I295*H295,2)</f>
        <v>0</v>
      </c>
      <c r="BL295" s="14" t="s">
        <v>135</v>
      </c>
      <c r="BM295" s="130" t="s">
        <v>502</v>
      </c>
    </row>
    <row r="296" spans="2:65" s="1" customFormat="1">
      <c r="B296" s="26"/>
      <c r="D296" s="132" t="s">
        <v>143</v>
      </c>
      <c r="F296" s="133" t="s">
        <v>501</v>
      </c>
      <c r="L296" s="26"/>
      <c r="M296" s="134"/>
      <c r="T296" s="50"/>
      <c r="AT296" s="14" t="s">
        <v>143</v>
      </c>
      <c r="AU296" s="14" t="s">
        <v>19</v>
      </c>
    </row>
    <row r="297" spans="2:65" s="1" customFormat="1" ht="297.60000000000002">
      <c r="B297" s="26"/>
      <c r="D297" s="132" t="s">
        <v>145</v>
      </c>
      <c r="F297" s="135" t="s">
        <v>503</v>
      </c>
      <c r="L297" s="26"/>
      <c r="M297" s="134"/>
      <c r="T297" s="50"/>
      <c r="AT297" s="14" t="s">
        <v>145</v>
      </c>
      <c r="AU297" s="14" t="s">
        <v>19</v>
      </c>
    </row>
    <row r="298" spans="2:65" s="11" customFormat="1">
      <c r="B298" s="136"/>
      <c r="D298" s="132" t="s">
        <v>147</v>
      </c>
      <c r="E298" s="137" t="s">
        <v>504</v>
      </c>
      <c r="F298" s="138" t="s">
        <v>505</v>
      </c>
      <c r="H298" s="139">
        <v>1.968</v>
      </c>
      <c r="L298" s="136"/>
      <c r="M298" s="140"/>
      <c r="T298" s="141"/>
      <c r="AT298" s="137" t="s">
        <v>147</v>
      </c>
      <c r="AU298" s="137" t="s">
        <v>19</v>
      </c>
      <c r="AV298" s="11" t="s">
        <v>149</v>
      </c>
      <c r="AW298" s="11" t="s">
        <v>39</v>
      </c>
      <c r="AX298" s="11" t="s">
        <v>19</v>
      </c>
      <c r="AY298" s="137" t="s">
        <v>136</v>
      </c>
    </row>
    <row r="299" spans="2:65" s="1" customFormat="1" ht="24.15" customHeight="1">
      <c r="B299" s="119"/>
      <c r="C299" s="120" t="s">
        <v>506</v>
      </c>
      <c r="D299" s="120" t="s">
        <v>137</v>
      </c>
      <c r="E299" s="121" t="s">
        <v>507</v>
      </c>
      <c r="F299" s="122" t="s">
        <v>508</v>
      </c>
      <c r="G299" s="123" t="s">
        <v>216</v>
      </c>
      <c r="H299" s="124">
        <v>362.786</v>
      </c>
      <c r="I299" s="125">
        <v>0</v>
      </c>
      <c r="J299" s="125">
        <f>ROUND(I299*H299,2)</f>
        <v>0</v>
      </c>
      <c r="K299" s="122" t="s">
        <v>141</v>
      </c>
      <c r="L299" s="26"/>
      <c r="M299" s="126" t="s">
        <v>1</v>
      </c>
      <c r="N299" s="127" t="s">
        <v>46</v>
      </c>
      <c r="O299" s="128">
        <v>0</v>
      </c>
      <c r="P299" s="128">
        <f>O299*H299</f>
        <v>0</v>
      </c>
      <c r="Q299" s="128">
        <v>0</v>
      </c>
      <c r="R299" s="128">
        <f>Q299*H299</f>
        <v>0</v>
      </c>
      <c r="S299" s="128">
        <v>0</v>
      </c>
      <c r="T299" s="129">
        <f>S299*H299</f>
        <v>0</v>
      </c>
      <c r="AR299" s="130" t="s">
        <v>135</v>
      </c>
      <c r="AT299" s="130" t="s">
        <v>137</v>
      </c>
      <c r="AU299" s="130" t="s">
        <v>19</v>
      </c>
      <c r="AY299" s="14" t="s">
        <v>136</v>
      </c>
      <c r="BE299" s="131">
        <f>IF(N299="základní",J299,0)</f>
        <v>0</v>
      </c>
      <c r="BF299" s="131">
        <f>IF(N299="snížená",J299,0)</f>
        <v>0</v>
      </c>
      <c r="BG299" s="131">
        <f>IF(N299="zákl. přenesená",J299,0)</f>
        <v>0</v>
      </c>
      <c r="BH299" s="131">
        <f>IF(N299="sníž. přenesená",J299,0)</f>
        <v>0</v>
      </c>
      <c r="BI299" s="131">
        <f>IF(N299="nulová",J299,0)</f>
        <v>0</v>
      </c>
      <c r="BJ299" s="14" t="s">
        <v>19</v>
      </c>
      <c r="BK299" s="131">
        <f>ROUND(I299*H299,2)</f>
        <v>0</v>
      </c>
      <c r="BL299" s="14" t="s">
        <v>135</v>
      </c>
      <c r="BM299" s="130" t="s">
        <v>509</v>
      </c>
    </row>
    <row r="300" spans="2:65" s="1" customFormat="1">
      <c r="B300" s="26"/>
      <c r="D300" s="132" t="s">
        <v>143</v>
      </c>
      <c r="F300" s="133" t="s">
        <v>510</v>
      </c>
      <c r="L300" s="26"/>
      <c r="M300" s="134"/>
      <c r="T300" s="50"/>
      <c r="AT300" s="14" t="s">
        <v>143</v>
      </c>
      <c r="AU300" s="14" t="s">
        <v>19</v>
      </c>
    </row>
    <row r="301" spans="2:65" s="1" customFormat="1" ht="48">
      <c r="B301" s="26"/>
      <c r="D301" s="132" t="s">
        <v>145</v>
      </c>
      <c r="F301" s="135" t="s">
        <v>511</v>
      </c>
      <c r="L301" s="26"/>
      <c r="M301" s="134"/>
      <c r="T301" s="50"/>
      <c r="AT301" s="14" t="s">
        <v>145</v>
      </c>
      <c r="AU301" s="14" t="s">
        <v>19</v>
      </c>
    </row>
    <row r="302" spans="2:65" s="11" customFormat="1">
      <c r="B302" s="136"/>
      <c r="D302" s="132" t="s">
        <v>147</v>
      </c>
      <c r="E302" s="137" t="s">
        <v>512</v>
      </c>
      <c r="F302" s="138" t="s">
        <v>513</v>
      </c>
      <c r="H302" s="139">
        <v>4.2359999999999998</v>
      </c>
      <c r="L302" s="136"/>
      <c r="M302" s="140"/>
      <c r="T302" s="141"/>
      <c r="AT302" s="137" t="s">
        <v>147</v>
      </c>
      <c r="AU302" s="137" t="s">
        <v>19</v>
      </c>
      <c r="AV302" s="11" t="s">
        <v>149</v>
      </c>
      <c r="AW302" s="11" t="s">
        <v>39</v>
      </c>
      <c r="AX302" s="11" t="s">
        <v>81</v>
      </c>
      <c r="AY302" s="137" t="s">
        <v>136</v>
      </c>
    </row>
    <row r="303" spans="2:65" s="11" customFormat="1">
      <c r="B303" s="136"/>
      <c r="D303" s="132" t="s">
        <v>147</v>
      </c>
      <c r="E303" s="137" t="s">
        <v>514</v>
      </c>
      <c r="F303" s="138" t="s">
        <v>515</v>
      </c>
      <c r="H303" s="139">
        <v>22.3</v>
      </c>
      <c r="L303" s="136"/>
      <c r="M303" s="140"/>
      <c r="T303" s="141"/>
      <c r="AT303" s="137" t="s">
        <v>147</v>
      </c>
      <c r="AU303" s="137" t="s">
        <v>19</v>
      </c>
      <c r="AV303" s="11" t="s">
        <v>149</v>
      </c>
      <c r="AW303" s="11" t="s">
        <v>39</v>
      </c>
      <c r="AX303" s="11" t="s">
        <v>81</v>
      </c>
      <c r="AY303" s="137" t="s">
        <v>136</v>
      </c>
    </row>
    <row r="304" spans="2:65" s="11" customFormat="1">
      <c r="B304" s="136"/>
      <c r="D304" s="132" t="s">
        <v>147</v>
      </c>
      <c r="E304" s="137" t="s">
        <v>516</v>
      </c>
      <c r="F304" s="138" t="s">
        <v>517</v>
      </c>
      <c r="H304" s="139">
        <v>336.25</v>
      </c>
      <c r="L304" s="136"/>
      <c r="M304" s="140"/>
      <c r="T304" s="141"/>
      <c r="AT304" s="137" t="s">
        <v>147</v>
      </c>
      <c r="AU304" s="137" t="s">
        <v>19</v>
      </c>
      <c r="AV304" s="11" t="s">
        <v>149</v>
      </c>
      <c r="AW304" s="11" t="s">
        <v>39</v>
      </c>
      <c r="AX304" s="11" t="s">
        <v>81</v>
      </c>
      <c r="AY304" s="137" t="s">
        <v>136</v>
      </c>
    </row>
    <row r="305" spans="2:65" s="11" customFormat="1">
      <c r="B305" s="136"/>
      <c r="D305" s="132" t="s">
        <v>147</v>
      </c>
      <c r="E305" s="137" t="s">
        <v>518</v>
      </c>
      <c r="F305" s="138" t="s">
        <v>519</v>
      </c>
      <c r="H305" s="139">
        <v>362.786</v>
      </c>
      <c r="L305" s="136"/>
      <c r="M305" s="140"/>
      <c r="T305" s="141"/>
      <c r="AT305" s="137" t="s">
        <v>147</v>
      </c>
      <c r="AU305" s="137" t="s">
        <v>19</v>
      </c>
      <c r="AV305" s="11" t="s">
        <v>149</v>
      </c>
      <c r="AW305" s="11" t="s">
        <v>39</v>
      </c>
      <c r="AX305" s="11" t="s">
        <v>19</v>
      </c>
      <c r="AY305" s="137" t="s">
        <v>136</v>
      </c>
    </row>
    <row r="306" spans="2:65" s="1" customFormat="1" ht="24.15" customHeight="1">
      <c r="B306" s="119"/>
      <c r="C306" s="120" t="s">
        <v>520</v>
      </c>
      <c r="D306" s="120" t="s">
        <v>137</v>
      </c>
      <c r="E306" s="121" t="s">
        <v>521</v>
      </c>
      <c r="F306" s="122" t="s">
        <v>508</v>
      </c>
      <c r="G306" s="123" t="s">
        <v>216</v>
      </c>
      <c r="H306" s="124">
        <v>11.8</v>
      </c>
      <c r="I306" s="125">
        <v>0</v>
      </c>
      <c r="J306" s="125">
        <f>ROUND(I306*H306,2)</f>
        <v>0</v>
      </c>
      <c r="K306" s="122" t="s">
        <v>141</v>
      </c>
      <c r="L306" s="26"/>
      <c r="M306" s="126" t="s">
        <v>1</v>
      </c>
      <c r="N306" s="127" t="s">
        <v>46</v>
      </c>
      <c r="O306" s="128">
        <v>0</v>
      </c>
      <c r="P306" s="128">
        <f>O306*H306</f>
        <v>0</v>
      </c>
      <c r="Q306" s="128">
        <v>0</v>
      </c>
      <c r="R306" s="128">
        <f>Q306*H306</f>
        <v>0</v>
      </c>
      <c r="S306" s="128">
        <v>0</v>
      </c>
      <c r="T306" s="129">
        <f>S306*H306</f>
        <v>0</v>
      </c>
      <c r="AR306" s="130" t="s">
        <v>135</v>
      </c>
      <c r="AT306" s="130" t="s">
        <v>137</v>
      </c>
      <c r="AU306" s="130" t="s">
        <v>19</v>
      </c>
      <c r="AY306" s="14" t="s">
        <v>136</v>
      </c>
      <c r="BE306" s="131">
        <f>IF(N306="základní",J306,0)</f>
        <v>0</v>
      </c>
      <c r="BF306" s="131">
        <f>IF(N306="snížená",J306,0)</f>
        <v>0</v>
      </c>
      <c r="BG306" s="131">
        <f>IF(N306="zákl. přenesená",J306,0)</f>
        <v>0</v>
      </c>
      <c r="BH306" s="131">
        <f>IF(N306="sníž. přenesená",J306,0)</f>
        <v>0</v>
      </c>
      <c r="BI306" s="131">
        <f>IF(N306="nulová",J306,0)</f>
        <v>0</v>
      </c>
      <c r="BJ306" s="14" t="s">
        <v>19</v>
      </c>
      <c r="BK306" s="131">
        <f>ROUND(I306*H306,2)</f>
        <v>0</v>
      </c>
      <c r="BL306" s="14" t="s">
        <v>135</v>
      </c>
      <c r="BM306" s="130" t="s">
        <v>522</v>
      </c>
    </row>
    <row r="307" spans="2:65" s="1" customFormat="1">
      <c r="B307" s="26"/>
      <c r="D307" s="132" t="s">
        <v>143</v>
      </c>
      <c r="F307" s="133" t="s">
        <v>523</v>
      </c>
      <c r="L307" s="26"/>
      <c r="M307" s="134"/>
      <c r="T307" s="50"/>
      <c r="AT307" s="14" t="s">
        <v>143</v>
      </c>
      <c r="AU307" s="14" t="s">
        <v>19</v>
      </c>
    </row>
    <row r="308" spans="2:65" s="1" customFormat="1" ht="48">
      <c r="B308" s="26"/>
      <c r="D308" s="132" t="s">
        <v>145</v>
      </c>
      <c r="F308" s="135" t="s">
        <v>511</v>
      </c>
      <c r="L308" s="26"/>
      <c r="M308" s="134"/>
      <c r="T308" s="50"/>
      <c r="AT308" s="14" t="s">
        <v>145</v>
      </c>
      <c r="AU308" s="14" t="s">
        <v>19</v>
      </c>
    </row>
    <row r="309" spans="2:65" s="11" customFormat="1">
      <c r="B309" s="136"/>
      <c r="D309" s="132" t="s">
        <v>147</v>
      </c>
      <c r="E309" s="137" t="s">
        <v>524</v>
      </c>
      <c r="F309" s="138" t="s">
        <v>525</v>
      </c>
      <c r="H309" s="139">
        <v>11.8</v>
      </c>
      <c r="L309" s="136"/>
      <c r="M309" s="140"/>
      <c r="T309" s="141"/>
      <c r="AT309" s="137" t="s">
        <v>147</v>
      </c>
      <c r="AU309" s="137" t="s">
        <v>19</v>
      </c>
      <c r="AV309" s="11" t="s">
        <v>149</v>
      </c>
      <c r="AW309" s="11" t="s">
        <v>39</v>
      </c>
      <c r="AX309" s="11" t="s">
        <v>19</v>
      </c>
      <c r="AY309" s="137" t="s">
        <v>136</v>
      </c>
    </row>
    <row r="310" spans="2:65" s="1" customFormat="1" ht="24.15" customHeight="1">
      <c r="B310" s="119"/>
      <c r="C310" s="120" t="s">
        <v>526</v>
      </c>
      <c r="D310" s="120" t="s">
        <v>137</v>
      </c>
      <c r="E310" s="121" t="s">
        <v>527</v>
      </c>
      <c r="F310" s="122" t="s">
        <v>508</v>
      </c>
      <c r="G310" s="123" t="s">
        <v>216</v>
      </c>
      <c r="H310" s="124">
        <v>2.8130000000000002</v>
      </c>
      <c r="I310" s="125">
        <v>0</v>
      </c>
      <c r="J310" s="125">
        <f>ROUND(I310*H310,2)</f>
        <v>0</v>
      </c>
      <c r="K310" s="122" t="s">
        <v>141</v>
      </c>
      <c r="L310" s="26"/>
      <c r="M310" s="126" t="s">
        <v>1</v>
      </c>
      <c r="N310" s="127" t="s">
        <v>46</v>
      </c>
      <c r="O310" s="128">
        <v>0</v>
      </c>
      <c r="P310" s="128">
        <f>O310*H310</f>
        <v>0</v>
      </c>
      <c r="Q310" s="128">
        <v>0</v>
      </c>
      <c r="R310" s="128">
        <f>Q310*H310</f>
        <v>0</v>
      </c>
      <c r="S310" s="128">
        <v>0</v>
      </c>
      <c r="T310" s="129">
        <f>S310*H310</f>
        <v>0</v>
      </c>
      <c r="AR310" s="130" t="s">
        <v>135</v>
      </c>
      <c r="AT310" s="130" t="s">
        <v>137</v>
      </c>
      <c r="AU310" s="130" t="s">
        <v>19</v>
      </c>
      <c r="AY310" s="14" t="s">
        <v>136</v>
      </c>
      <c r="BE310" s="131">
        <f>IF(N310="základní",J310,0)</f>
        <v>0</v>
      </c>
      <c r="BF310" s="131">
        <f>IF(N310="snížená",J310,0)</f>
        <v>0</v>
      </c>
      <c r="BG310" s="131">
        <f>IF(N310="zákl. přenesená",J310,0)</f>
        <v>0</v>
      </c>
      <c r="BH310" s="131">
        <f>IF(N310="sníž. přenesená",J310,0)</f>
        <v>0</v>
      </c>
      <c r="BI310" s="131">
        <f>IF(N310="nulová",J310,0)</f>
        <v>0</v>
      </c>
      <c r="BJ310" s="14" t="s">
        <v>19</v>
      </c>
      <c r="BK310" s="131">
        <f>ROUND(I310*H310,2)</f>
        <v>0</v>
      </c>
      <c r="BL310" s="14" t="s">
        <v>135</v>
      </c>
      <c r="BM310" s="130" t="s">
        <v>528</v>
      </c>
    </row>
    <row r="311" spans="2:65" s="1" customFormat="1">
      <c r="B311" s="26"/>
      <c r="D311" s="132" t="s">
        <v>143</v>
      </c>
      <c r="F311" s="133" t="s">
        <v>529</v>
      </c>
      <c r="L311" s="26"/>
      <c r="M311" s="134"/>
      <c r="T311" s="50"/>
      <c r="AT311" s="14" t="s">
        <v>143</v>
      </c>
      <c r="AU311" s="14" t="s">
        <v>19</v>
      </c>
    </row>
    <row r="312" spans="2:65" s="1" customFormat="1" ht="48">
      <c r="B312" s="26"/>
      <c r="D312" s="132" t="s">
        <v>145</v>
      </c>
      <c r="F312" s="135" t="s">
        <v>511</v>
      </c>
      <c r="L312" s="26"/>
      <c r="M312" s="134"/>
      <c r="T312" s="50"/>
      <c r="AT312" s="14" t="s">
        <v>145</v>
      </c>
      <c r="AU312" s="14" t="s">
        <v>19</v>
      </c>
    </row>
    <row r="313" spans="2:65" s="11" customFormat="1" ht="20.399999999999999">
      <c r="B313" s="136"/>
      <c r="D313" s="132" t="s">
        <v>147</v>
      </c>
      <c r="E313" s="137" t="s">
        <v>530</v>
      </c>
      <c r="F313" s="138" t="s">
        <v>531</v>
      </c>
      <c r="H313" s="139">
        <v>2.8125</v>
      </c>
      <c r="L313" s="136"/>
      <c r="M313" s="140"/>
      <c r="T313" s="141"/>
      <c r="AT313" s="137" t="s">
        <v>147</v>
      </c>
      <c r="AU313" s="137" t="s">
        <v>19</v>
      </c>
      <c r="AV313" s="11" t="s">
        <v>149</v>
      </c>
      <c r="AW313" s="11" t="s">
        <v>39</v>
      </c>
      <c r="AX313" s="11" t="s">
        <v>19</v>
      </c>
      <c r="AY313" s="137" t="s">
        <v>136</v>
      </c>
    </row>
    <row r="314" spans="2:65" s="1" customFormat="1" ht="16.5" customHeight="1">
      <c r="B314" s="119"/>
      <c r="C314" s="120" t="s">
        <v>532</v>
      </c>
      <c r="D314" s="120" t="s">
        <v>137</v>
      </c>
      <c r="E314" s="121" t="s">
        <v>533</v>
      </c>
      <c r="F314" s="122" t="s">
        <v>534</v>
      </c>
      <c r="G314" s="123" t="s">
        <v>260</v>
      </c>
      <c r="H314" s="124">
        <v>0.12</v>
      </c>
      <c r="I314" s="125">
        <v>0</v>
      </c>
      <c r="J314" s="125">
        <f>ROUND(I314*H314,2)</f>
        <v>0</v>
      </c>
      <c r="K314" s="122" t="s">
        <v>141</v>
      </c>
      <c r="L314" s="26"/>
      <c r="M314" s="126" t="s">
        <v>1</v>
      </c>
      <c r="N314" s="127" t="s">
        <v>46</v>
      </c>
      <c r="O314" s="128">
        <v>0</v>
      </c>
      <c r="P314" s="128">
        <f>O314*H314</f>
        <v>0</v>
      </c>
      <c r="Q314" s="128">
        <v>0</v>
      </c>
      <c r="R314" s="128">
        <f>Q314*H314</f>
        <v>0</v>
      </c>
      <c r="S314" s="128">
        <v>0</v>
      </c>
      <c r="T314" s="129">
        <f>S314*H314</f>
        <v>0</v>
      </c>
      <c r="AR314" s="130" t="s">
        <v>135</v>
      </c>
      <c r="AT314" s="130" t="s">
        <v>137</v>
      </c>
      <c r="AU314" s="130" t="s">
        <v>19</v>
      </c>
      <c r="AY314" s="14" t="s">
        <v>136</v>
      </c>
      <c r="BE314" s="131">
        <f>IF(N314="základní",J314,0)</f>
        <v>0</v>
      </c>
      <c r="BF314" s="131">
        <f>IF(N314="snížená",J314,0)</f>
        <v>0</v>
      </c>
      <c r="BG314" s="131">
        <f>IF(N314="zákl. přenesená",J314,0)</f>
        <v>0</v>
      </c>
      <c r="BH314" s="131">
        <f>IF(N314="sníž. přenesená",J314,0)</f>
        <v>0</v>
      </c>
      <c r="BI314" s="131">
        <f>IF(N314="nulová",J314,0)</f>
        <v>0</v>
      </c>
      <c r="BJ314" s="14" t="s">
        <v>19</v>
      </c>
      <c r="BK314" s="131">
        <f>ROUND(I314*H314,2)</f>
        <v>0</v>
      </c>
      <c r="BL314" s="14" t="s">
        <v>135</v>
      </c>
      <c r="BM314" s="130" t="s">
        <v>535</v>
      </c>
    </row>
    <row r="315" spans="2:65" s="1" customFormat="1">
      <c r="B315" s="26"/>
      <c r="D315" s="132" t="s">
        <v>143</v>
      </c>
      <c r="F315" s="133" t="s">
        <v>534</v>
      </c>
      <c r="L315" s="26"/>
      <c r="M315" s="134"/>
      <c r="T315" s="50"/>
      <c r="AT315" s="14" t="s">
        <v>143</v>
      </c>
      <c r="AU315" s="14" t="s">
        <v>19</v>
      </c>
    </row>
    <row r="316" spans="2:65" s="1" customFormat="1" ht="86.4">
      <c r="B316" s="26"/>
      <c r="D316" s="132" t="s">
        <v>145</v>
      </c>
      <c r="F316" s="135" t="s">
        <v>536</v>
      </c>
      <c r="L316" s="26"/>
      <c r="M316" s="134"/>
      <c r="T316" s="50"/>
      <c r="AT316" s="14" t="s">
        <v>145</v>
      </c>
      <c r="AU316" s="14" t="s">
        <v>19</v>
      </c>
    </row>
    <row r="317" spans="2:65" s="11" customFormat="1">
      <c r="B317" s="136"/>
      <c r="D317" s="132" t="s">
        <v>147</v>
      </c>
      <c r="E317" s="137" t="s">
        <v>537</v>
      </c>
      <c r="F317" s="138" t="s">
        <v>538</v>
      </c>
      <c r="H317" s="139">
        <v>0.12</v>
      </c>
      <c r="L317" s="136"/>
      <c r="M317" s="140"/>
      <c r="T317" s="141"/>
      <c r="AT317" s="137" t="s">
        <v>147</v>
      </c>
      <c r="AU317" s="137" t="s">
        <v>19</v>
      </c>
      <c r="AV317" s="11" t="s">
        <v>149</v>
      </c>
      <c r="AW317" s="11" t="s">
        <v>39</v>
      </c>
      <c r="AX317" s="11" t="s">
        <v>19</v>
      </c>
      <c r="AY317" s="137" t="s">
        <v>136</v>
      </c>
    </row>
    <row r="318" spans="2:65" s="1" customFormat="1" ht="24.15" customHeight="1">
      <c r="B318" s="119"/>
      <c r="C318" s="120" t="s">
        <v>539</v>
      </c>
      <c r="D318" s="120" t="s">
        <v>137</v>
      </c>
      <c r="E318" s="121" t="s">
        <v>540</v>
      </c>
      <c r="F318" s="122" t="s">
        <v>541</v>
      </c>
      <c r="G318" s="123" t="s">
        <v>260</v>
      </c>
      <c r="H318" s="124">
        <v>2.4</v>
      </c>
      <c r="I318" s="125">
        <v>0</v>
      </c>
      <c r="J318" s="125">
        <f>ROUND(I318*H318,2)</f>
        <v>0</v>
      </c>
      <c r="K318" s="122" t="s">
        <v>141</v>
      </c>
      <c r="L318" s="26"/>
      <c r="M318" s="126" t="s">
        <v>1</v>
      </c>
      <c r="N318" s="127" t="s">
        <v>46</v>
      </c>
      <c r="O318" s="128">
        <v>0</v>
      </c>
      <c r="P318" s="128">
        <f>O318*H318</f>
        <v>0</v>
      </c>
      <c r="Q318" s="128">
        <v>0</v>
      </c>
      <c r="R318" s="128">
        <f>Q318*H318</f>
        <v>0</v>
      </c>
      <c r="S318" s="128">
        <v>0</v>
      </c>
      <c r="T318" s="129">
        <f>S318*H318</f>
        <v>0</v>
      </c>
      <c r="AR318" s="130" t="s">
        <v>135</v>
      </c>
      <c r="AT318" s="130" t="s">
        <v>137</v>
      </c>
      <c r="AU318" s="130" t="s">
        <v>19</v>
      </c>
      <c r="AY318" s="14" t="s">
        <v>136</v>
      </c>
      <c r="BE318" s="131">
        <f>IF(N318="základní",J318,0)</f>
        <v>0</v>
      </c>
      <c r="BF318" s="131">
        <f>IF(N318="snížená",J318,0)</f>
        <v>0</v>
      </c>
      <c r="BG318" s="131">
        <f>IF(N318="zákl. přenesená",J318,0)</f>
        <v>0</v>
      </c>
      <c r="BH318" s="131">
        <f>IF(N318="sníž. přenesená",J318,0)</f>
        <v>0</v>
      </c>
      <c r="BI318" s="131">
        <f>IF(N318="nulová",J318,0)</f>
        <v>0</v>
      </c>
      <c r="BJ318" s="14" t="s">
        <v>19</v>
      </c>
      <c r="BK318" s="131">
        <f>ROUND(I318*H318,2)</f>
        <v>0</v>
      </c>
      <c r="BL318" s="14" t="s">
        <v>135</v>
      </c>
      <c r="BM318" s="130" t="s">
        <v>542</v>
      </c>
    </row>
    <row r="319" spans="2:65" s="1" customFormat="1">
      <c r="B319" s="26"/>
      <c r="D319" s="132" t="s">
        <v>143</v>
      </c>
      <c r="F319" s="133" t="s">
        <v>541</v>
      </c>
      <c r="L319" s="26"/>
      <c r="M319" s="134"/>
      <c r="T319" s="50"/>
      <c r="AT319" s="14" t="s">
        <v>143</v>
      </c>
      <c r="AU319" s="14" t="s">
        <v>19</v>
      </c>
    </row>
    <row r="320" spans="2:65" s="1" customFormat="1" ht="105.6">
      <c r="B320" s="26"/>
      <c r="D320" s="132" t="s">
        <v>145</v>
      </c>
      <c r="F320" s="135" t="s">
        <v>543</v>
      </c>
      <c r="L320" s="26"/>
      <c r="M320" s="134"/>
      <c r="T320" s="50"/>
      <c r="AT320" s="14" t="s">
        <v>145</v>
      </c>
      <c r="AU320" s="14" t="s">
        <v>19</v>
      </c>
    </row>
    <row r="321" spans="2:65" s="11" customFormat="1">
      <c r="B321" s="136"/>
      <c r="D321" s="132" t="s">
        <v>147</v>
      </c>
      <c r="E321" s="137" t="s">
        <v>544</v>
      </c>
      <c r="F321" s="138" t="s">
        <v>545</v>
      </c>
      <c r="H321" s="139">
        <v>2.4</v>
      </c>
      <c r="L321" s="136"/>
      <c r="M321" s="140"/>
      <c r="T321" s="141"/>
      <c r="AT321" s="137" t="s">
        <v>147</v>
      </c>
      <c r="AU321" s="137" t="s">
        <v>19</v>
      </c>
      <c r="AV321" s="11" t="s">
        <v>149</v>
      </c>
      <c r="AW321" s="11" t="s">
        <v>39</v>
      </c>
      <c r="AX321" s="11" t="s">
        <v>19</v>
      </c>
      <c r="AY321" s="137" t="s">
        <v>136</v>
      </c>
    </row>
    <row r="322" spans="2:65" s="10" customFormat="1" ht="25.95" customHeight="1">
      <c r="B322" s="110"/>
      <c r="D322" s="111" t="s">
        <v>80</v>
      </c>
      <c r="E322" s="112" t="s">
        <v>169</v>
      </c>
      <c r="F322" s="112" t="s">
        <v>546</v>
      </c>
      <c r="J322" s="113">
        <f>BK322</f>
        <v>0</v>
      </c>
      <c r="L322" s="110"/>
      <c r="M322" s="114"/>
      <c r="P322" s="115">
        <f>SUM(P323:P384)</f>
        <v>0</v>
      </c>
      <c r="R322" s="115">
        <f>SUM(R323:R384)</f>
        <v>0</v>
      </c>
      <c r="T322" s="116">
        <f>SUM(T323:T384)</f>
        <v>0</v>
      </c>
      <c r="AR322" s="111" t="s">
        <v>135</v>
      </c>
      <c r="AT322" s="117" t="s">
        <v>80</v>
      </c>
      <c r="AU322" s="117" t="s">
        <v>81</v>
      </c>
      <c r="AY322" s="111" t="s">
        <v>136</v>
      </c>
      <c r="BK322" s="118">
        <f>SUM(BK323:BK384)</f>
        <v>0</v>
      </c>
    </row>
    <row r="323" spans="2:65" s="1" customFormat="1" ht="24.15" customHeight="1">
      <c r="B323" s="119"/>
      <c r="C323" s="120" t="s">
        <v>547</v>
      </c>
      <c r="D323" s="120" t="s">
        <v>137</v>
      </c>
      <c r="E323" s="121" t="s">
        <v>548</v>
      </c>
      <c r="F323" s="122" t="s">
        <v>549</v>
      </c>
      <c r="G323" s="123" t="s">
        <v>216</v>
      </c>
      <c r="H323" s="124">
        <v>35.6</v>
      </c>
      <c r="I323" s="125">
        <v>0</v>
      </c>
      <c r="J323" s="125">
        <f>ROUND(I323*H323,2)</f>
        <v>0</v>
      </c>
      <c r="K323" s="122" t="s">
        <v>141</v>
      </c>
      <c r="L323" s="26"/>
      <c r="M323" s="126" t="s">
        <v>1</v>
      </c>
      <c r="N323" s="127" t="s">
        <v>46</v>
      </c>
      <c r="O323" s="128">
        <v>0</v>
      </c>
      <c r="P323" s="128">
        <f>O323*H323</f>
        <v>0</v>
      </c>
      <c r="Q323" s="128">
        <v>0</v>
      </c>
      <c r="R323" s="128">
        <f>Q323*H323</f>
        <v>0</v>
      </c>
      <c r="S323" s="128">
        <v>0</v>
      </c>
      <c r="T323" s="129">
        <f>S323*H323</f>
        <v>0</v>
      </c>
      <c r="AR323" s="130" t="s">
        <v>135</v>
      </c>
      <c r="AT323" s="130" t="s">
        <v>137</v>
      </c>
      <c r="AU323" s="130" t="s">
        <v>19</v>
      </c>
      <c r="AY323" s="14" t="s">
        <v>136</v>
      </c>
      <c r="BE323" s="131">
        <f>IF(N323="základní",J323,0)</f>
        <v>0</v>
      </c>
      <c r="BF323" s="131">
        <f>IF(N323="snížená",J323,0)</f>
        <v>0</v>
      </c>
      <c r="BG323" s="131">
        <f>IF(N323="zákl. přenesená",J323,0)</f>
        <v>0</v>
      </c>
      <c r="BH323" s="131">
        <f>IF(N323="sníž. přenesená",J323,0)</f>
        <v>0</v>
      </c>
      <c r="BI323" s="131">
        <f>IF(N323="nulová",J323,0)</f>
        <v>0</v>
      </c>
      <c r="BJ323" s="14" t="s">
        <v>19</v>
      </c>
      <c r="BK323" s="131">
        <f>ROUND(I323*H323,2)</f>
        <v>0</v>
      </c>
      <c r="BL323" s="14" t="s">
        <v>135</v>
      </c>
      <c r="BM323" s="130" t="s">
        <v>550</v>
      </c>
    </row>
    <row r="324" spans="2:65" s="1" customFormat="1">
      <c r="B324" s="26"/>
      <c r="D324" s="132" t="s">
        <v>143</v>
      </c>
      <c r="F324" s="133" t="s">
        <v>549</v>
      </c>
      <c r="L324" s="26"/>
      <c r="M324" s="134"/>
      <c r="T324" s="50"/>
      <c r="AT324" s="14" t="s">
        <v>143</v>
      </c>
      <c r="AU324" s="14" t="s">
        <v>19</v>
      </c>
    </row>
    <row r="325" spans="2:65" s="1" customFormat="1" ht="67.2">
      <c r="B325" s="26"/>
      <c r="D325" s="132" t="s">
        <v>145</v>
      </c>
      <c r="F325" s="135" t="s">
        <v>551</v>
      </c>
      <c r="L325" s="26"/>
      <c r="M325" s="134"/>
      <c r="T325" s="50"/>
      <c r="AT325" s="14" t="s">
        <v>145</v>
      </c>
      <c r="AU325" s="14" t="s">
        <v>19</v>
      </c>
    </row>
    <row r="326" spans="2:65" s="11" customFormat="1">
      <c r="B326" s="136"/>
      <c r="D326" s="132" t="s">
        <v>147</v>
      </c>
      <c r="E326" s="137" t="s">
        <v>552</v>
      </c>
      <c r="F326" s="138" t="s">
        <v>553</v>
      </c>
      <c r="H326" s="139">
        <v>35.6</v>
      </c>
      <c r="L326" s="136"/>
      <c r="M326" s="140"/>
      <c r="T326" s="141"/>
      <c r="AT326" s="137" t="s">
        <v>147</v>
      </c>
      <c r="AU326" s="137" t="s">
        <v>19</v>
      </c>
      <c r="AV326" s="11" t="s">
        <v>149</v>
      </c>
      <c r="AW326" s="11" t="s">
        <v>39</v>
      </c>
      <c r="AX326" s="11" t="s">
        <v>19</v>
      </c>
      <c r="AY326" s="137" t="s">
        <v>136</v>
      </c>
    </row>
    <row r="327" spans="2:65" s="1" customFormat="1" ht="24.15" customHeight="1">
      <c r="B327" s="119"/>
      <c r="C327" s="120" t="s">
        <v>554</v>
      </c>
      <c r="D327" s="120" t="s">
        <v>137</v>
      </c>
      <c r="E327" s="121" t="s">
        <v>555</v>
      </c>
      <c r="F327" s="122" t="s">
        <v>556</v>
      </c>
      <c r="G327" s="123" t="s">
        <v>260</v>
      </c>
      <c r="H327" s="124">
        <v>1804</v>
      </c>
      <c r="I327" s="125">
        <v>0</v>
      </c>
      <c r="J327" s="125">
        <f>ROUND(I327*H327,2)</f>
        <v>0</v>
      </c>
      <c r="K327" s="122" t="s">
        <v>141</v>
      </c>
      <c r="L327" s="26"/>
      <c r="M327" s="126" t="s">
        <v>1</v>
      </c>
      <c r="N327" s="127" t="s">
        <v>46</v>
      </c>
      <c r="O327" s="128">
        <v>0</v>
      </c>
      <c r="P327" s="128">
        <f>O327*H327</f>
        <v>0</v>
      </c>
      <c r="Q327" s="128">
        <v>0</v>
      </c>
      <c r="R327" s="128">
        <f>Q327*H327</f>
        <v>0</v>
      </c>
      <c r="S327" s="128">
        <v>0</v>
      </c>
      <c r="T327" s="129">
        <f>S327*H327</f>
        <v>0</v>
      </c>
      <c r="AR327" s="130" t="s">
        <v>135</v>
      </c>
      <c r="AT327" s="130" t="s">
        <v>137</v>
      </c>
      <c r="AU327" s="130" t="s">
        <v>19</v>
      </c>
      <c r="AY327" s="14" t="s">
        <v>136</v>
      </c>
      <c r="BE327" s="131">
        <f>IF(N327="základní",J327,0)</f>
        <v>0</v>
      </c>
      <c r="BF327" s="131">
        <f>IF(N327="snížená",J327,0)</f>
        <v>0</v>
      </c>
      <c r="BG327" s="131">
        <f>IF(N327="zákl. přenesená",J327,0)</f>
        <v>0</v>
      </c>
      <c r="BH327" s="131">
        <f>IF(N327="sníž. přenesená",J327,0)</f>
        <v>0</v>
      </c>
      <c r="BI327" s="131">
        <f>IF(N327="nulová",J327,0)</f>
        <v>0</v>
      </c>
      <c r="BJ327" s="14" t="s">
        <v>19</v>
      </c>
      <c r="BK327" s="131">
        <f>ROUND(I327*H327,2)</f>
        <v>0</v>
      </c>
      <c r="BL327" s="14" t="s">
        <v>135</v>
      </c>
      <c r="BM327" s="130" t="s">
        <v>557</v>
      </c>
    </row>
    <row r="328" spans="2:65" s="1" customFormat="1" ht="19.2">
      <c r="B328" s="26"/>
      <c r="D328" s="132" t="s">
        <v>143</v>
      </c>
      <c r="F328" s="133" t="s">
        <v>556</v>
      </c>
      <c r="L328" s="26"/>
      <c r="M328" s="134"/>
      <c r="T328" s="50"/>
      <c r="AT328" s="14" t="s">
        <v>143</v>
      </c>
      <c r="AU328" s="14" t="s">
        <v>19</v>
      </c>
    </row>
    <row r="329" spans="2:65" s="1" customFormat="1" ht="67.2">
      <c r="B329" s="26"/>
      <c r="D329" s="132" t="s">
        <v>145</v>
      </c>
      <c r="F329" s="135" t="s">
        <v>558</v>
      </c>
      <c r="L329" s="26"/>
      <c r="M329" s="134"/>
      <c r="T329" s="50"/>
      <c r="AT329" s="14" t="s">
        <v>145</v>
      </c>
      <c r="AU329" s="14" t="s">
        <v>19</v>
      </c>
    </row>
    <row r="330" spans="2:65" s="11" customFormat="1">
      <c r="B330" s="136"/>
      <c r="D330" s="132" t="s">
        <v>147</v>
      </c>
      <c r="E330" s="137" t="s">
        <v>559</v>
      </c>
      <c r="F330" s="138" t="s">
        <v>560</v>
      </c>
      <c r="H330" s="139">
        <v>1804</v>
      </c>
      <c r="L330" s="136"/>
      <c r="M330" s="140"/>
      <c r="T330" s="141"/>
      <c r="AT330" s="137" t="s">
        <v>147</v>
      </c>
      <c r="AU330" s="137" t="s">
        <v>19</v>
      </c>
      <c r="AV330" s="11" t="s">
        <v>149</v>
      </c>
      <c r="AW330" s="11" t="s">
        <v>39</v>
      </c>
      <c r="AX330" s="11" t="s">
        <v>19</v>
      </c>
      <c r="AY330" s="137" t="s">
        <v>136</v>
      </c>
    </row>
    <row r="331" spans="2:65" s="1" customFormat="1" ht="24.15" customHeight="1">
      <c r="B331" s="119"/>
      <c r="C331" s="120" t="s">
        <v>561</v>
      </c>
      <c r="D331" s="120" t="s">
        <v>137</v>
      </c>
      <c r="E331" s="121" t="s">
        <v>562</v>
      </c>
      <c r="F331" s="122" t="s">
        <v>563</v>
      </c>
      <c r="G331" s="123" t="s">
        <v>260</v>
      </c>
      <c r="H331" s="124">
        <v>53270.54</v>
      </c>
      <c r="I331" s="125">
        <v>0</v>
      </c>
      <c r="J331" s="125">
        <f>ROUND(I331*H331,2)</f>
        <v>0</v>
      </c>
      <c r="K331" s="122" t="s">
        <v>141</v>
      </c>
      <c r="L331" s="26"/>
      <c r="M331" s="126" t="s">
        <v>1</v>
      </c>
      <c r="N331" s="127" t="s">
        <v>46</v>
      </c>
      <c r="O331" s="128">
        <v>0</v>
      </c>
      <c r="P331" s="128">
        <f>O331*H331</f>
        <v>0</v>
      </c>
      <c r="Q331" s="128">
        <v>0</v>
      </c>
      <c r="R331" s="128">
        <f>Q331*H331</f>
        <v>0</v>
      </c>
      <c r="S331" s="128">
        <v>0</v>
      </c>
      <c r="T331" s="129">
        <f>S331*H331</f>
        <v>0</v>
      </c>
      <c r="AR331" s="130" t="s">
        <v>135</v>
      </c>
      <c r="AT331" s="130" t="s">
        <v>137</v>
      </c>
      <c r="AU331" s="130" t="s">
        <v>19</v>
      </c>
      <c r="AY331" s="14" t="s">
        <v>136</v>
      </c>
      <c r="BE331" s="131">
        <f>IF(N331="základní",J331,0)</f>
        <v>0</v>
      </c>
      <c r="BF331" s="131">
        <f>IF(N331="snížená",J331,0)</f>
        <v>0</v>
      </c>
      <c r="BG331" s="131">
        <f>IF(N331="zákl. přenesená",J331,0)</f>
        <v>0</v>
      </c>
      <c r="BH331" s="131">
        <f>IF(N331="sníž. přenesená",J331,0)</f>
        <v>0</v>
      </c>
      <c r="BI331" s="131">
        <f>IF(N331="nulová",J331,0)</f>
        <v>0</v>
      </c>
      <c r="BJ331" s="14" t="s">
        <v>19</v>
      </c>
      <c r="BK331" s="131">
        <f>ROUND(I331*H331,2)</f>
        <v>0</v>
      </c>
      <c r="BL331" s="14" t="s">
        <v>135</v>
      </c>
      <c r="BM331" s="130" t="s">
        <v>564</v>
      </c>
    </row>
    <row r="332" spans="2:65" s="1" customFormat="1">
      <c r="B332" s="26"/>
      <c r="D332" s="132" t="s">
        <v>143</v>
      </c>
      <c r="F332" s="133" t="s">
        <v>563</v>
      </c>
      <c r="L332" s="26"/>
      <c r="M332" s="134"/>
      <c r="T332" s="50"/>
      <c r="AT332" s="14" t="s">
        <v>143</v>
      </c>
      <c r="AU332" s="14" t="s">
        <v>19</v>
      </c>
    </row>
    <row r="333" spans="2:65" s="1" customFormat="1" ht="57.6">
      <c r="B333" s="26"/>
      <c r="D333" s="132" t="s">
        <v>145</v>
      </c>
      <c r="F333" s="135" t="s">
        <v>565</v>
      </c>
      <c r="L333" s="26"/>
      <c r="M333" s="134"/>
      <c r="T333" s="50"/>
      <c r="AT333" s="14" t="s">
        <v>145</v>
      </c>
      <c r="AU333" s="14" t="s">
        <v>19</v>
      </c>
    </row>
    <row r="334" spans="2:65" s="11" customFormat="1">
      <c r="B334" s="136"/>
      <c r="D334" s="132" t="s">
        <v>147</v>
      </c>
      <c r="E334" s="137" t="s">
        <v>566</v>
      </c>
      <c r="F334" s="138" t="s">
        <v>567</v>
      </c>
      <c r="H334" s="139">
        <v>17059</v>
      </c>
      <c r="L334" s="136"/>
      <c r="M334" s="140"/>
      <c r="T334" s="141"/>
      <c r="AT334" s="137" t="s">
        <v>147</v>
      </c>
      <c r="AU334" s="137" t="s">
        <v>19</v>
      </c>
      <c r="AV334" s="11" t="s">
        <v>149</v>
      </c>
      <c r="AW334" s="11" t="s">
        <v>39</v>
      </c>
      <c r="AX334" s="11" t="s">
        <v>81</v>
      </c>
      <c r="AY334" s="137" t="s">
        <v>136</v>
      </c>
    </row>
    <row r="335" spans="2:65" s="11" customFormat="1">
      <c r="B335" s="136"/>
      <c r="D335" s="132" t="s">
        <v>147</v>
      </c>
      <c r="E335" s="137" t="s">
        <v>568</v>
      </c>
      <c r="F335" s="138" t="s">
        <v>569</v>
      </c>
      <c r="H335" s="139">
        <v>17400.18</v>
      </c>
      <c r="L335" s="136"/>
      <c r="M335" s="140"/>
      <c r="T335" s="141"/>
      <c r="AT335" s="137" t="s">
        <v>147</v>
      </c>
      <c r="AU335" s="137" t="s">
        <v>19</v>
      </c>
      <c r="AV335" s="11" t="s">
        <v>149</v>
      </c>
      <c r="AW335" s="11" t="s">
        <v>39</v>
      </c>
      <c r="AX335" s="11" t="s">
        <v>81</v>
      </c>
      <c r="AY335" s="137" t="s">
        <v>136</v>
      </c>
    </row>
    <row r="336" spans="2:65" s="11" customFormat="1">
      <c r="B336" s="136"/>
      <c r="D336" s="132" t="s">
        <v>147</v>
      </c>
      <c r="E336" s="137" t="s">
        <v>570</v>
      </c>
      <c r="F336" s="138" t="s">
        <v>571</v>
      </c>
      <c r="H336" s="139">
        <v>17741.36</v>
      </c>
      <c r="L336" s="136"/>
      <c r="M336" s="140"/>
      <c r="T336" s="141"/>
      <c r="AT336" s="137" t="s">
        <v>147</v>
      </c>
      <c r="AU336" s="137" t="s">
        <v>19</v>
      </c>
      <c r="AV336" s="11" t="s">
        <v>149</v>
      </c>
      <c r="AW336" s="11" t="s">
        <v>39</v>
      </c>
      <c r="AX336" s="11" t="s">
        <v>81</v>
      </c>
      <c r="AY336" s="137" t="s">
        <v>136</v>
      </c>
    </row>
    <row r="337" spans="2:65" s="11" customFormat="1">
      <c r="B337" s="136"/>
      <c r="D337" s="132" t="s">
        <v>147</v>
      </c>
      <c r="E337" s="137" t="s">
        <v>572</v>
      </c>
      <c r="F337" s="138" t="s">
        <v>573</v>
      </c>
      <c r="H337" s="139">
        <v>476</v>
      </c>
      <c r="L337" s="136"/>
      <c r="M337" s="140"/>
      <c r="T337" s="141"/>
      <c r="AT337" s="137" t="s">
        <v>147</v>
      </c>
      <c r="AU337" s="137" t="s">
        <v>19</v>
      </c>
      <c r="AV337" s="11" t="s">
        <v>149</v>
      </c>
      <c r="AW337" s="11" t="s">
        <v>39</v>
      </c>
      <c r="AX337" s="11" t="s">
        <v>81</v>
      </c>
      <c r="AY337" s="137" t="s">
        <v>136</v>
      </c>
    </row>
    <row r="338" spans="2:65" s="11" customFormat="1">
      <c r="B338" s="136"/>
      <c r="D338" s="132" t="s">
        <v>147</v>
      </c>
      <c r="E338" s="137" t="s">
        <v>574</v>
      </c>
      <c r="F338" s="138" t="s">
        <v>575</v>
      </c>
      <c r="H338" s="139">
        <v>476</v>
      </c>
      <c r="L338" s="136"/>
      <c r="M338" s="140"/>
      <c r="T338" s="141"/>
      <c r="AT338" s="137" t="s">
        <v>147</v>
      </c>
      <c r="AU338" s="137" t="s">
        <v>19</v>
      </c>
      <c r="AV338" s="11" t="s">
        <v>149</v>
      </c>
      <c r="AW338" s="11" t="s">
        <v>39</v>
      </c>
      <c r="AX338" s="11" t="s">
        <v>81</v>
      </c>
      <c r="AY338" s="137" t="s">
        <v>136</v>
      </c>
    </row>
    <row r="339" spans="2:65" s="11" customFormat="1">
      <c r="B339" s="136"/>
      <c r="D339" s="132" t="s">
        <v>147</v>
      </c>
      <c r="E339" s="137" t="s">
        <v>576</v>
      </c>
      <c r="F339" s="138" t="s">
        <v>577</v>
      </c>
      <c r="H339" s="139">
        <v>118</v>
      </c>
      <c r="L339" s="136"/>
      <c r="M339" s="140"/>
      <c r="T339" s="141"/>
      <c r="AT339" s="137" t="s">
        <v>147</v>
      </c>
      <c r="AU339" s="137" t="s">
        <v>19</v>
      </c>
      <c r="AV339" s="11" t="s">
        <v>149</v>
      </c>
      <c r="AW339" s="11" t="s">
        <v>39</v>
      </c>
      <c r="AX339" s="11" t="s">
        <v>81</v>
      </c>
      <c r="AY339" s="137" t="s">
        <v>136</v>
      </c>
    </row>
    <row r="340" spans="2:65" s="11" customFormat="1">
      <c r="B340" s="136"/>
      <c r="D340" s="132" t="s">
        <v>147</v>
      </c>
      <c r="E340" s="137" t="s">
        <v>578</v>
      </c>
      <c r="F340" s="138" t="s">
        <v>579</v>
      </c>
      <c r="H340" s="139">
        <v>53270.54</v>
      </c>
      <c r="L340" s="136"/>
      <c r="M340" s="140"/>
      <c r="T340" s="141"/>
      <c r="AT340" s="137" t="s">
        <v>147</v>
      </c>
      <c r="AU340" s="137" t="s">
        <v>19</v>
      </c>
      <c r="AV340" s="11" t="s">
        <v>149</v>
      </c>
      <c r="AW340" s="11" t="s">
        <v>39</v>
      </c>
      <c r="AX340" s="11" t="s">
        <v>19</v>
      </c>
      <c r="AY340" s="137" t="s">
        <v>136</v>
      </c>
    </row>
    <row r="341" spans="2:65" s="1" customFormat="1" ht="24.15" customHeight="1">
      <c r="B341" s="119"/>
      <c r="C341" s="120" t="s">
        <v>580</v>
      </c>
      <c r="D341" s="120" t="s">
        <v>137</v>
      </c>
      <c r="E341" s="121" t="s">
        <v>581</v>
      </c>
      <c r="F341" s="122" t="s">
        <v>582</v>
      </c>
      <c r="G341" s="123" t="s">
        <v>260</v>
      </c>
      <c r="H341" s="124">
        <v>17911.95</v>
      </c>
      <c r="I341" s="125">
        <v>0</v>
      </c>
      <c r="J341" s="125">
        <f>ROUND(I341*H341,2)</f>
        <v>0</v>
      </c>
      <c r="K341" s="122" t="s">
        <v>141</v>
      </c>
      <c r="L341" s="26"/>
      <c r="M341" s="126" t="s">
        <v>1</v>
      </c>
      <c r="N341" s="127" t="s">
        <v>46</v>
      </c>
      <c r="O341" s="128">
        <v>0</v>
      </c>
      <c r="P341" s="128">
        <f>O341*H341</f>
        <v>0</v>
      </c>
      <c r="Q341" s="128">
        <v>0</v>
      </c>
      <c r="R341" s="128">
        <f>Q341*H341</f>
        <v>0</v>
      </c>
      <c r="S341" s="128">
        <v>0</v>
      </c>
      <c r="T341" s="129">
        <f>S341*H341</f>
        <v>0</v>
      </c>
      <c r="AR341" s="130" t="s">
        <v>135</v>
      </c>
      <c r="AT341" s="130" t="s">
        <v>137</v>
      </c>
      <c r="AU341" s="130" t="s">
        <v>19</v>
      </c>
      <c r="AY341" s="14" t="s">
        <v>136</v>
      </c>
      <c r="BE341" s="131">
        <f>IF(N341="základní",J341,0)</f>
        <v>0</v>
      </c>
      <c r="BF341" s="131">
        <f>IF(N341="snížená",J341,0)</f>
        <v>0</v>
      </c>
      <c r="BG341" s="131">
        <f>IF(N341="zákl. přenesená",J341,0)</f>
        <v>0</v>
      </c>
      <c r="BH341" s="131">
        <f>IF(N341="sníž. přenesená",J341,0)</f>
        <v>0</v>
      </c>
      <c r="BI341" s="131">
        <f>IF(N341="nulová",J341,0)</f>
        <v>0</v>
      </c>
      <c r="BJ341" s="14" t="s">
        <v>19</v>
      </c>
      <c r="BK341" s="131">
        <f>ROUND(I341*H341,2)</f>
        <v>0</v>
      </c>
      <c r="BL341" s="14" t="s">
        <v>135</v>
      </c>
      <c r="BM341" s="130" t="s">
        <v>583</v>
      </c>
    </row>
    <row r="342" spans="2:65" s="1" customFormat="1">
      <c r="B342" s="26"/>
      <c r="D342" s="132" t="s">
        <v>143</v>
      </c>
      <c r="F342" s="133" t="s">
        <v>582</v>
      </c>
      <c r="L342" s="26"/>
      <c r="M342" s="134"/>
      <c r="T342" s="50"/>
      <c r="AT342" s="14" t="s">
        <v>143</v>
      </c>
      <c r="AU342" s="14" t="s">
        <v>19</v>
      </c>
    </row>
    <row r="343" spans="2:65" s="1" customFormat="1" ht="57.6">
      <c r="B343" s="26"/>
      <c r="D343" s="132" t="s">
        <v>145</v>
      </c>
      <c r="F343" s="135" t="s">
        <v>584</v>
      </c>
      <c r="L343" s="26"/>
      <c r="M343" s="134"/>
      <c r="T343" s="50"/>
      <c r="AT343" s="14" t="s">
        <v>145</v>
      </c>
      <c r="AU343" s="14" t="s">
        <v>19</v>
      </c>
    </row>
    <row r="344" spans="2:65" s="11" customFormat="1">
      <c r="B344" s="136"/>
      <c r="D344" s="132" t="s">
        <v>147</v>
      </c>
      <c r="E344" s="137" t="s">
        <v>585</v>
      </c>
      <c r="F344" s="138" t="s">
        <v>586</v>
      </c>
      <c r="H344" s="139">
        <v>17911.95</v>
      </c>
      <c r="L344" s="136"/>
      <c r="M344" s="140"/>
      <c r="T344" s="141"/>
      <c r="AT344" s="137" t="s">
        <v>147</v>
      </c>
      <c r="AU344" s="137" t="s">
        <v>19</v>
      </c>
      <c r="AV344" s="11" t="s">
        <v>149</v>
      </c>
      <c r="AW344" s="11" t="s">
        <v>39</v>
      </c>
      <c r="AX344" s="11" t="s">
        <v>19</v>
      </c>
      <c r="AY344" s="137" t="s">
        <v>136</v>
      </c>
    </row>
    <row r="345" spans="2:65" s="1" customFormat="1" ht="24.15" customHeight="1">
      <c r="B345" s="119"/>
      <c r="C345" s="120" t="s">
        <v>587</v>
      </c>
      <c r="D345" s="120" t="s">
        <v>137</v>
      </c>
      <c r="E345" s="121" t="s">
        <v>588</v>
      </c>
      <c r="F345" s="122" t="s">
        <v>589</v>
      </c>
      <c r="G345" s="123" t="s">
        <v>260</v>
      </c>
      <c r="H345" s="124">
        <v>17911.95</v>
      </c>
      <c r="I345" s="125">
        <v>0</v>
      </c>
      <c r="J345" s="125">
        <f>ROUND(I345*H345,2)</f>
        <v>0</v>
      </c>
      <c r="K345" s="122" t="s">
        <v>141</v>
      </c>
      <c r="L345" s="26"/>
      <c r="M345" s="126" t="s">
        <v>1</v>
      </c>
      <c r="N345" s="127" t="s">
        <v>46</v>
      </c>
      <c r="O345" s="128">
        <v>0</v>
      </c>
      <c r="P345" s="128">
        <f>O345*H345</f>
        <v>0</v>
      </c>
      <c r="Q345" s="128">
        <v>0</v>
      </c>
      <c r="R345" s="128">
        <f>Q345*H345</f>
        <v>0</v>
      </c>
      <c r="S345" s="128">
        <v>0</v>
      </c>
      <c r="T345" s="129">
        <f>S345*H345</f>
        <v>0</v>
      </c>
      <c r="AR345" s="130" t="s">
        <v>135</v>
      </c>
      <c r="AT345" s="130" t="s">
        <v>137</v>
      </c>
      <c r="AU345" s="130" t="s">
        <v>19</v>
      </c>
      <c r="AY345" s="14" t="s">
        <v>136</v>
      </c>
      <c r="BE345" s="131">
        <f>IF(N345="základní",J345,0)</f>
        <v>0</v>
      </c>
      <c r="BF345" s="131">
        <f>IF(N345="snížená",J345,0)</f>
        <v>0</v>
      </c>
      <c r="BG345" s="131">
        <f>IF(N345="zákl. přenesená",J345,0)</f>
        <v>0</v>
      </c>
      <c r="BH345" s="131">
        <f>IF(N345="sníž. přenesená",J345,0)</f>
        <v>0</v>
      </c>
      <c r="BI345" s="131">
        <f>IF(N345="nulová",J345,0)</f>
        <v>0</v>
      </c>
      <c r="BJ345" s="14" t="s">
        <v>19</v>
      </c>
      <c r="BK345" s="131">
        <f>ROUND(I345*H345,2)</f>
        <v>0</v>
      </c>
      <c r="BL345" s="14" t="s">
        <v>135</v>
      </c>
      <c r="BM345" s="130" t="s">
        <v>590</v>
      </c>
    </row>
    <row r="346" spans="2:65" s="1" customFormat="1">
      <c r="B346" s="26"/>
      <c r="D346" s="132" t="s">
        <v>143</v>
      </c>
      <c r="F346" s="133" t="s">
        <v>589</v>
      </c>
      <c r="L346" s="26"/>
      <c r="M346" s="134"/>
      <c r="T346" s="50"/>
      <c r="AT346" s="14" t="s">
        <v>143</v>
      </c>
      <c r="AU346" s="14" t="s">
        <v>19</v>
      </c>
    </row>
    <row r="347" spans="2:65" s="1" customFormat="1" ht="76.8">
      <c r="B347" s="26"/>
      <c r="D347" s="132" t="s">
        <v>145</v>
      </c>
      <c r="F347" s="135" t="s">
        <v>591</v>
      </c>
      <c r="L347" s="26"/>
      <c r="M347" s="134"/>
      <c r="T347" s="50"/>
      <c r="AT347" s="14" t="s">
        <v>145</v>
      </c>
      <c r="AU347" s="14" t="s">
        <v>19</v>
      </c>
    </row>
    <row r="348" spans="2:65" s="11" customFormat="1">
      <c r="B348" s="136"/>
      <c r="D348" s="132" t="s">
        <v>147</v>
      </c>
      <c r="E348" s="137" t="s">
        <v>592</v>
      </c>
      <c r="F348" s="138" t="s">
        <v>586</v>
      </c>
      <c r="H348" s="139">
        <v>17911.95</v>
      </c>
      <c r="L348" s="136"/>
      <c r="M348" s="140"/>
      <c r="T348" s="141"/>
      <c r="AT348" s="137" t="s">
        <v>147</v>
      </c>
      <c r="AU348" s="137" t="s">
        <v>19</v>
      </c>
      <c r="AV348" s="11" t="s">
        <v>149</v>
      </c>
      <c r="AW348" s="11" t="s">
        <v>39</v>
      </c>
      <c r="AX348" s="11" t="s">
        <v>19</v>
      </c>
      <c r="AY348" s="137" t="s">
        <v>136</v>
      </c>
    </row>
    <row r="349" spans="2:65" s="1" customFormat="1" ht="24.15" customHeight="1">
      <c r="B349" s="119"/>
      <c r="C349" s="120" t="s">
        <v>593</v>
      </c>
      <c r="D349" s="120" t="s">
        <v>137</v>
      </c>
      <c r="E349" s="121" t="s">
        <v>594</v>
      </c>
      <c r="F349" s="122" t="s">
        <v>595</v>
      </c>
      <c r="G349" s="123" t="s">
        <v>260</v>
      </c>
      <c r="H349" s="124">
        <v>476</v>
      </c>
      <c r="I349" s="125">
        <v>0</v>
      </c>
      <c r="J349" s="125">
        <f>ROUND(I349*H349,2)</f>
        <v>0</v>
      </c>
      <c r="K349" s="122" t="s">
        <v>141</v>
      </c>
      <c r="L349" s="26"/>
      <c r="M349" s="126" t="s">
        <v>1</v>
      </c>
      <c r="N349" s="127" t="s">
        <v>46</v>
      </c>
      <c r="O349" s="128">
        <v>0</v>
      </c>
      <c r="P349" s="128">
        <f>O349*H349</f>
        <v>0</v>
      </c>
      <c r="Q349" s="128">
        <v>0</v>
      </c>
      <c r="R349" s="128">
        <f>Q349*H349</f>
        <v>0</v>
      </c>
      <c r="S349" s="128">
        <v>0</v>
      </c>
      <c r="T349" s="129">
        <f>S349*H349</f>
        <v>0</v>
      </c>
      <c r="AR349" s="130" t="s">
        <v>135</v>
      </c>
      <c r="AT349" s="130" t="s">
        <v>137</v>
      </c>
      <c r="AU349" s="130" t="s">
        <v>19</v>
      </c>
      <c r="AY349" s="14" t="s">
        <v>136</v>
      </c>
      <c r="BE349" s="131">
        <f>IF(N349="základní",J349,0)</f>
        <v>0</v>
      </c>
      <c r="BF349" s="131">
        <f>IF(N349="snížená",J349,0)</f>
        <v>0</v>
      </c>
      <c r="BG349" s="131">
        <f>IF(N349="zákl. přenesená",J349,0)</f>
        <v>0</v>
      </c>
      <c r="BH349" s="131">
        <f>IF(N349="sníž. přenesená",J349,0)</f>
        <v>0</v>
      </c>
      <c r="BI349" s="131">
        <f>IF(N349="nulová",J349,0)</f>
        <v>0</v>
      </c>
      <c r="BJ349" s="14" t="s">
        <v>19</v>
      </c>
      <c r="BK349" s="131">
        <f>ROUND(I349*H349,2)</f>
        <v>0</v>
      </c>
      <c r="BL349" s="14" t="s">
        <v>135</v>
      </c>
      <c r="BM349" s="130" t="s">
        <v>596</v>
      </c>
    </row>
    <row r="350" spans="2:65" s="1" customFormat="1" ht="19.2">
      <c r="B350" s="26"/>
      <c r="D350" s="132" t="s">
        <v>143</v>
      </c>
      <c r="F350" s="133" t="s">
        <v>595</v>
      </c>
      <c r="L350" s="26"/>
      <c r="M350" s="134"/>
      <c r="T350" s="50"/>
      <c r="AT350" s="14" t="s">
        <v>143</v>
      </c>
      <c r="AU350" s="14" t="s">
        <v>19</v>
      </c>
    </row>
    <row r="351" spans="2:65" s="1" customFormat="1" ht="105.6">
      <c r="B351" s="26"/>
      <c r="D351" s="132" t="s">
        <v>145</v>
      </c>
      <c r="F351" s="135" t="s">
        <v>597</v>
      </c>
      <c r="L351" s="26"/>
      <c r="M351" s="134"/>
      <c r="T351" s="50"/>
      <c r="AT351" s="14" t="s">
        <v>145</v>
      </c>
      <c r="AU351" s="14" t="s">
        <v>19</v>
      </c>
    </row>
    <row r="352" spans="2:65" s="11" customFormat="1">
      <c r="B352" s="136"/>
      <c r="D352" s="132" t="s">
        <v>147</v>
      </c>
      <c r="E352" s="137" t="s">
        <v>598</v>
      </c>
      <c r="F352" s="138" t="s">
        <v>599</v>
      </c>
      <c r="H352" s="139">
        <v>476</v>
      </c>
      <c r="L352" s="136"/>
      <c r="M352" s="140"/>
      <c r="T352" s="141"/>
      <c r="AT352" s="137" t="s">
        <v>147</v>
      </c>
      <c r="AU352" s="137" t="s">
        <v>19</v>
      </c>
      <c r="AV352" s="11" t="s">
        <v>149</v>
      </c>
      <c r="AW352" s="11" t="s">
        <v>39</v>
      </c>
      <c r="AX352" s="11" t="s">
        <v>19</v>
      </c>
      <c r="AY352" s="137" t="s">
        <v>136</v>
      </c>
    </row>
    <row r="353" spans="2:65" s="1" customFormat="1" ht="24.15" customHeight="1">
      <c r="B353" s="119"/>
      <c r="C353" s="120" t="s">
        <v>600</v>
      </c>
      <c r="D353" s="120" t="s">
        <v>137</v>
      </c>
      <c r="E353" s="121" t="s">
        <v>601</v>
      </c>
      <c r="F353" s="122" t="s">
        <v>602</v>
      </c>
      <c r="G353" s="123" t="s">
        <v>260</v>
      </c>
      <c r="H353" s="124">
        <v>18046.77</v>
      </c>
      <c r="I353" s="125">
        <v>0</v>
      </c>
      <c r="J353" s="125">
        <f>ROUND(I353*H353,2)</f>
        <v>0</v>
      </c>
      <c r="K353" s="122" t="s">
        <v>141</v>
      </c>
      <c r="L353" s="26"/>
      <c r="M353" s="126" t="s">
        <v>1</v>
      </c>
      <c r="N353" s="127" t="s">
        <v>46</v>
      </c>
      <c r="O353" s="128">
        <v>0</v>
      </c>
      <c r="P353" s="128">
        <f>O353*H353</f>
        <v>0</v>
      </c>
      <c r="Q353" s="128">
        <v>0</v>
      </c>
      <c r="R353" s="128">
        <f>Q353*H353</f>
        <v>0</v>
      </c>
      <c r="S353" s="128">
        <v>0</v>
      </c>
      <c r="T353" s="129">
        <f>S353*H353</f>
        <v>0</v>
      </c>
      <c r="AR353" s="130" t="s">
        <v>135</v>
      </c>
      <c r="AT353" s="130" t="s">
        <v>137</v>
      </c>
      <c r="AU353" s="130" t="s">
        <v>19</v>
      </c>
      <c r="AY353" s="14" t="s">
        <v>136</v>
      </c>
      <c r="BE353" s="131">
        <f>IF(N353="základní",J353,0)</f>
        <v>0</v>
      </c>
      <c r="BF353" s="131">
        <f>IF(N353="snížená",J353,0)</f>
        <v>0</v>
      </c>
      <c r="BG353" s="131">
        <f>IF(N353="zákl. přenesená",J353,0)</f>
        <v>0</v>
      </c>
      <c r="BH353" s="131">
        <f>IF(N353="sníž. přenesená",J353,0)</f>
        <v>0</v>
      </c>
      <c r="BI353" s="131">
        <f>IF(N353="nulová",J353,0)</f>
        <v>0</v>
      </c>
      <c r="BJ353" s="14" t="s">
        <v>19</v>
      </c>
      <c r="BK353" s="131">
        <f>ROUND(I353*H353,2)</f>
        <v>0</v>
      </c>
      <c r="BL353" s="14" t="s">
        <v>135</v>
      </c>
      <c r="BM353" s="130" t="s">
        <v>603</v>
      </c>
    </row>
    <row r="354" spans="2:65" s="1" customFormat="1" ht="19.2">
      <c r="B354" s="26"/>
      <c r="D354" s="132" t="s">
        <v>143</v>
      </c>
      <c r="F354" s="133" t="s">
        <v>602</v>
      </c>
      <c r="L354" s="26"/>
      <c r="M354" s="134"/>
      <c r="T354" s="50"/>
      <c r="AT354" s="14" t="s">
        <v>143</v>
      </c>
      <c r="AU354" s="14" t="s">
        <v>19</v>
      </c>
    </row>
    <row r="355" spans="2:65" s="1" customFormat="1" ht="105.6">
      <c r="B355" s="26"/>
      <c r="D355" s="132" t="s">
        <v>145</v>
      </c>
      <c r="F355" s="135" t="s">
        <v>597</v>
      </c>
      <c r="L355" s="26"/>
      <c r="M355" s="134"/>
      <c r="T355" s="50"/>
      <c r="AT355" s="14" t="s">
        <v>145</v>
      </c>
      <c r="AU355" s="14" t="s">
        <v>19</v>
      </c>
    </row>
    <row r="356" spans="2:65" s="11" customFormat="1">
      <c r="B356" s="136"/>
      <c r="D356" s="132" t="s">
        <v>147</v>
      </c>
      <c r="E356" s="137" t="s">
        <v>604</v>
      </c>
      <c r="F356" s="138" t="s">
        <v>605</v>
      </c>
      <c r="H356" s="139">
        <v>17570.77</v>
      </c>
      <c r="L356" s="136"/>
      <c r="M356" s="140"/>
      <c r="T356" s="141"/>
      <c r="AT356" s="137" t="s">
        <v>147</v>
      </c>
      <c r="AU356" s="137" t="s">
        <v>19</v>
      </c>
      <c r="AV356" s="11" t="s">
        <v>149</v>
      </c>
      <c r="AW356" s="11" t="s">
        <v>39</v>
      </c>
      <c r="AX356" s="11" t="s">
        <v>81</v>
      </c>
      <c r="AY356" s="137" t="s">
        <v>136</v>
      </c>
    </row>
    <row r="357" spans="2:65" s="11" customFormat="1">
      <c r="B357" s="136"/>
      <c r="D357" s="132" t="s">
        <v>147</v>
      </c>
      <c r="E357" s="137" t="s">
        <v>606</v>
      </c>
      <c r="F357" s="138" t="s">
        <v>607</v>
      </c>
      <c r="H357" s="139">
        <v>476</v>
      </c>
      <c r="L357" s="136"/>
      <c r="M357" s="140"/>
      <c r="T357" s="141"/>
      <c r="AT357" s="137" t="s">
        <v>147</v>
      </c>
      <c r="AU357" s="137" t="s">
        <v>19</v>
      </c>
      <c r="AV357" s="11" t="s">
        <v>149</v>
      </c>
      <c r="AW357" s="11" t="s">
        <v>39</v>
      </c>
      <c r="AX357" s="11" t="s">
        <v>81</v>
      </c>
      <c r="AY357" s="137" t="s">
        <v>136</v>
      </c>
    </row>
    <row r="358" spans="2:65" s="11" customFormat="1">
      <c r="B358" s="136"/>
      <c r="D358" s="132" t="s">
        <v>147</v>
      </c>
      <c r="E358" s="137" t="s">
        <v>608</v>
      </c>
      <c r="F358" s="138" t="s">
        <v>609</v>
      </c>
      <c r="H358" s="139">
        <v>18046.77</v>
      </c>
      <c r="L358" s="136"/>
      <c r="M358" s="140"/>
      <c r="T358" s="141"/>
      <c r="AT358" s="137" t="s">
        <v>147</v>
      </c>
      <c r="AU358" s="137" t="s">
        <v>19</v>
      </c>
      <c r="AV358" s="11" t="s">
        <v>149</v>
      </c>
      <c r="AW358" s="11" t="s">
        <v>39</v>
      </c>
      <c r="AX358" s="11" t="s">
        <v>19</v>
      </c>
      <c r="AY358" s="137" t="s">
        <v>136</v>
      </c>
    </row>
    <row r="359" spans="2:65" s="1" customFormat="1" ht="24.15" customHeight="1">
      <c r="B359" s="119"/>
      <c r="C359" s="120" t="s">
        <v>610</v>
      </c>
      <c r="D359" s="120" t="s">
        <v>137</v>
      </c>
      <c r="E359" s="121" t="s">
        <v>611</v>
      </c>
      <c r="F359" s="122" t="s">
        <v>612</v>
      </c>
      <c r="G359" s="123" t="s">
        <v>260</v>
      </c>
      <c r="H359" s="124">
        <v>17859.36</v>
      </c>
      <c r="I359" s="125">
        <v>0</v>
      </c>
      <c r="J359" s="125">
        <f>ROUND(I359*H359,2)</f>
        <v>0</v>
      </c>
      <c r="K359" s="122" t="s">
        <v>141</v>
      </c>
      <c r="L359" s="26"/>
      <c r="M359" s="126" t="s">
        <v>1</v>
      </c>
      <c r="N359" s="127" t="s">
        <v>46</v>
      </c>
      <c r="O359" s="128">
        <v>0</v>
      </c>
      <c r="P359" s="128">
        <f>O359*H359</f>
        <v>0</v>
      </c>
      <c r="Q359" s="128">
        <v>0</v>
      </c>
      <c r="R359" s="128">
        <f>Q359*H359</f>
        <v>0</v>
      </c>
      <c r="S359" s="128">
        <v>0</v>
      </c>
      <c r="T359" s="129">
        <f>S359*H359</f>
        <v>0</v>
      </c>
      <c r="AR359" s="130" t="s">
        <v>135</v>
      </c>
      <c r="AT359" s="130" t="s">
        <v>137</v>
      </c>
      <c r="AU359" s="130" t="s">
        <v>19</v>
      </c>
      <c r="AY359" s="14" t="s">
        <v>136</v>
      </c>
      <c r="BE359" s="131">
        <f>IF(N359="základní",J359,0)</f>
        <v>0</v>
      </c>
      <c r="BF359" s="131">
        <f>IF(N359="snížená",J359,0)</f>
        <v>0</v>
      </c>
      <c r="BG359" s="131">
        <f>IF(N359="zákl. přenesená",J359,0)</f>
        <v>0</v>
      </c>
      <c r="BH359" s="131">
        <f>IF(N359="sníž. přenesená",J359,0)</f>
        <v>0</v>
      </c>
      <c r="BI359" s="131">
        <f>IF(N359="nulová",J359,0)</f>
        <v>0</v>
      </c>
      <c r="BJ359" s="14" t="s">
        <v>19</v>
      </c>
      <c r="BK359" s="131">
        <f>ROUND(I359*H359,2)</f>
        <v>0</v>
      </c>
      <c r="BL359" s="14" t="s">
        <v>135</v>
      </c>
      <c r="BM359" s="130" t="s">
        <v>613</v>
      </c>
    </row>
    <row r="360" spans="2:65" s="1" customFormat="1" ht="19.2">
      <c r="B360" s="26"/>
      <c r="D360" s="132" t="s">
        <v>143</v>
      </c>
      <c r="F360" s="133" t="s">
        <v>612</v>
      </c>
      <c r="L360" s="26"/>
      <c r="M360" s="134"/>
      <c r="T360" s="50"/>
      <c r="AT360" s="14" t="s">
        <v>143</v>
      </c>
      <c r="AU360" s="14" t="s">
        <v>19</v>
      </c>
    </row>
    <row r="361" spans="2:65" s="1" customFormat="1" ht="105.6">
      <c r="B361" s="26"/>
      <c r="D361" s="132" t="s">
        <v>145</v>
      </c>
      <c r="F361" s="135" t="s">
        <v>597</v>
      </c>
      <c r="L361" s="26"/>
      <c r="M361" s="134"/>
      <c r="T361" s="50"/>
      <c r="AT361" s="14" t="s">
        <v>145</v>
      </c>
      <c r="AU361" s="14" t="s">
        <v>19</v>
      </c>
    </row>
    <row r="362" spans="2:65" s="11" customFormat="1">
      <c r="B362" s="136"/>
      <c r="D362" s="132" t="s">
        <v>147</v>
      </c>
      <c r="E362" s="137" t="s">
        <v>614</v>
      </c>
      <c r="F362" s="138" t="s">
        <v>615</v>
      </c>
      <c r="H362" s="139">
        <v>17741.36</v>
      </c>
      <c r="L362" s="136"/>
      <c r="M362" s="140"/>
      <c r="T362" s="141"/>
      <c r="AT362" s="137" t="s">
        <v>147</v>
      </c>
      <c r="AU362" s="137" t="s">
        <v>19</v>
      </c>
      <c r="AV362" s="11" t="s">
        <v>149</v>
      </c>
      <c r="AW362" s="11" t="s">
        <v>39</v>
      </c>
      <c r="AX362" s="11" t="s">
        <v>81</v>
      </c>
      <c r="AY362" s="137" t="s">
        <v>136</v>
      </c>
    </row>
    <row r="363" spans="2:65" s="11" customFormat="1">
      <c r="B363" s="136"/>
      <c r="D363" s="132" t="s">
        <v>147</v>
      </c>
      <c r="E363" s="137" t="s">
        <v>616</v>
      </c>
      <c r="F363" s="138" t="s">
        <v>617</v>
      </c>
      <c r="H363" s="139">
        <v>118</v>
      </c>
      <c r="L363" s="136"/>
      <c r="M363" s="140"/>
      <c r="T363" s="141"/>
      <c r="AT363" s="137" t="s">
        <v>147</v>
      </c>
      <c r="AU363" s="137" t="s">
        <v>19</v>
      </c>
      <c r="AV363" s="11" t="s">
        <v>149</v>
      </c>
      <c r="AW363" s="11" t="s">
        <v>39</v>
      </c>
      <c r="AX363" s="11" t="s">
        <v>81</v>
      </c>
      <c r="AY363" s="137" t="s">
        <v>136</v>
      </c>
    </row>
    <row r="364" spans="2:65" s="11" customFormat="1">
      <c r="B364" s="136"/>
      <c r="D364" s="132" t="s">
        <v>147</v>
      </c>
      <c r="E364" s="137" t="s">
        <v>618</v>
      </c>
      <c r="F364" s="138" t="s">
        <v>619</v>
      </c>
      <c r="H364" s="139">
        <v>17859.36</v>
      </c>
      <c r="L364" s="136"/>
      <c r="M364" s="140"/>
      <c r="T364" s="141"/>
      <c r="AT364" s="137" t="s">
        <v>147</v>
      </c>
      <c r="AU364" s="137" t="s">
        <v>19</v>
      </c>
      <c r="AV364" s="11" t="s">
        <v>149</v>
      </c>
      <c r="AW364" s="11" t="s">
        <v>39</v>
      </c>
      <c r="AX364" s="11" t="s">
        <v>19</v>
      </c>
      <c r="AY364" s="137" t="s">
        <v>136</v>
      </c>
    </row>
    <row r="365" spans="2:65" s="1" customFormat="1" ht="24.15" customHeight="1">
      <c r="B365" s="119"/>
      <c r="C365" s="120" t="s">
        <v>620</v>
      </c>
      <c r="D365" s="120" t="s">
        <v>137</v>
      </c>
      <c r="E365" s="121" t="s">
        <v>621</v>
      </c>
      <c r="F365" s="122" t="s">
        <v>622</v>
      </c>
      <c r="G365" s="123" t="s">
        <v>260</v>
      </c>
      <c r="H365" s="124">
        <v>17059</v>
      </c>
      <c r="I365" s="125">
        <v>0</v>
      </c>
      <c r="J365" s="125">
        <f>ROUND(I365*H365,2)</f>
        <v>0</v>
      </c>
      <c r="K365" s="122" t="s">
        <v>141</v>
      </c>
      <c r="L365" s="26"/>
      <c r="M365" s="126" t="s">
        <v>1</v>
      </c>
      <c r="N365" s="127" t="s">
        <v>46</v>
      </c>
      <c r="O365" s="128">
        <v>0</v>
      </c>
      <c r="P365" s="128">
        <f>O365*H365</f>
        <v>0</v>
      </c>
      <c r="Q365" s="128">
        <v>0</v>
      </c>
      <c r="R365" s="128">
        <f>Q365*H365</f>
        <v>0</v>
      </c>
      <c r="S365" s="128">
        <v>0</v>
      </c>
      <c r="T365" s="129">
        <f>S365*H365</f>
        <v>0</v>
      </c>
      <c r="AR365" s="130" t="s">
        <v>135</v>
      </c>
      <c r="AT365" s="130" t="s">
        <v>137</v>
      </c>
      <c r="AU365" s="130" t="s">
        <v>19</v>
      </c>
      <c r="AY365" s="14" t="s">
        <v>136</v>
      </c>
      <c r="BE365" s="131">
        <f>IF(N365="základní",J365,0)</f>
        <v>0</v>
      </c>
      <c r="BF365" s="131">
        <f>IF(N365="snížená",J365,0)</f>
        <v>0</v>
      </c>
      <c r="BG365" s="131">
        <f>IF(N365="zákl. přenesená",J365,0)</f>
        <v>0</v>
      </c>
      <c r="BH365" s="131">
        <f>IF(N365="sníž. přenesená",J365,0)</f>
        <v>0</v>
      </c>
      <c r="BI365" s="131">
        <f>IF(N365="nulová",J365,0)</f>
        <v>0</v>
      </c>
      <c r="BJ365" s="14" t="s">
        <v>19</v>
      </c>
      <c r="BK365" s="131">
        <f>ROUND(I365*H365,2)</f>
        <v>0</v>
      </c>
      <c r="BL365" s="14" t="s">
        <v>135</v>
      </c>
      <c r="BM365" s="130" t="s">
        <v>623</v>
      </c>
    </row>
    <row r="366" spans="2:65" s="1" customFormat="1" ht="19.2">
      <c r="B366" s="26"/>
      <c r="D366" s="132" t="s">
        <v>143</v>
      </c>
      <c r="F366" s="133" t="s">
        <v>622</v>
      </c>
      <c r="L366" s="26"/>
      <c r="M366" s="134"/>
      <c r="T366" s="50"/>
      <c r="AT366" s="14" t="s">
        <v>143</v>
      </c>
      <c r="AU366" s="14" t="s">
        <v>19</v>
      </c>
    </row>
    <row r="367" spans="2:65" s="1" customFormat="1" ht="105.6">
      <c r="B367" s="26"/>
      <c r="D367" s="132" t="s">
        <v>145</v>
      </c>
      <c r="F367" s="135" t="s">
        <v>597</v>
      </c>
      <c r="L367" s="26"/>
      <c r="M367" s="134"/>
      <c r="T367" s="50"/>
      <c r="AT367" s="14" t="s">
        <v>145</v>
      </c>
      <c r="AU367" s="14" t="s">
        <v>19</v>
      </c>
    </row>
    <row r="368" spans="2:65" s="11" customFormat="1">
      <c r="B368" s="136"/>
      <c r="D368" s="132" t="s">
        <v>147</v>
      </c>
      <c r="E368" s="137" t="s">
        <v>624</v>
      </c>
      <c r="F368" s="138" t="s">
        <v>625</v>
      </c>
      <c r="H368" s="139">
        <v>17059</v>
      </c>
      <c r="L368" s="136"/>
      <c r="M368" s="140"/>
      <c r="T368" s="141"/>
      <c r="AT368" s="137" t="s">
        <v>147</v>
      </c>
      <c r="AU368" s="137" t="s">
        <v>19</v>
      </c>
      <c r="AV368" s="11" t="s">
        <v>149</v>
      </c>
      <c r="AW368" s="11" t="s">
        <v>39</v>
      </c>
      <c r="AX368" s="11" t="s">
        <v>19</v>
      </c>
      <c r="AY368" s="137" t="s">
        <v>136</v>
      </c>
    </row>
    <row r="369" spans="2:65" s="1" customFormat="1" ht="21.75" customHeight="1">
      <c r="B369" s="119"/>
      <c r="C369" s="120" t="s">
        <v>626</v>
      </c>
      <c r="D369" s="120" t="s">
        <v>137</v>
      </c>
      <c r="E369" s="121" t="s">
        <v>627</v>
      </c>
      <c r="F369" s="122" t="s">
        <v>628</v>
      </c>
      <c r="G369" s="123" t="s">
        <v>216</v>
      </c>
      <c r="H369" s="124">
        <v>8.26</v>
      </c>
      <c r="I369" s="125">
        <v>0</v>
      </c>
      <c r="J369" s="125">
        <f>ROUND(I369*H369,2)</f>
        <v>0</v>
      </c>
      <c r="K369" s="122" t="s">
        <v>141</v>
      </c>
      <c r="L369" s="26"/>
      <c r="M369" s="126" t="s">
        <v>1</v>
      </c>
      <c r="N369" s="127" t="s">
        <v>46</v>
      </c>
      <c r="O369" s="128">
        <v>0</v>
      </c>
      <c r="P369" s="128">
        <f>O369*H369</f>
        <v>0</v>
      </c>
      <c r="Q369" s="128">
        <v>0</v>
      </c>
      <c r="R369" s="128">
        <f>Q369*H369</f>
        <v>0</v>
      </c>
      <c r="S369" s="128">
        <v>0</v>
      </c>
      <c r="T369" s="129">
        <f>S369*H369</f>
        <v>0</v>
      </c>
      <c r="AR369" s="130" t="s">
        <v>135</v>
      </c>
      <c r="AT369" s="130" t="s">
        <v>137</v>
      </c>
      <c r="AU369" s="130" t="s">
        <v>19</v>
      </c>
      <c r="AY369" s="14" t="s">
        <v>136</v>
      </c>
      <c r="BE369" s="131">
        <f>IF(N369="základní",J369,0)</f>
        <v>0</v>
      </c>
      <c r="BF369" s="131">
        <f>IF(N369="snížená",J369,0)</f>
        <v>0</v>
      </c>
      <c r="BG369" s="131">
        <f>IF(N369="zákl. přenesená",J369,0)</f>
        <v>0</v>
      </c>
      <c r="BH369" s="131">
        <f>IF(N369="sníž. přenesená",J369,0)</f>
        <v>0</v>
      </c>
      <c r="BI369" s="131">
        <f>IF(N369="nulová",J369,0)</f>
        <v>0</v>
      </c>
      <c r="BJ369" s="14" t="s">
        <v>19</v>
      </c>
      <c r="BK369" s="131">
        <f>ROUND(I369*H369,2)</f>
        <v>0</v>
      </c>
      <c r="BL369" s="14" t="s">
        <v>135</v>
      </c>
      <c r="BM369" s="130" t="s">
        <v>629</v>
      </c>
    </row>
    <row r="370" spans="2:65" s="1" customFormat="1">
      <c r="B370" s="26"/>
      <c r="D370" s="132" t="s">
        <v>143</v>
      </c>
      <c r="F370" s="133" t="s">
        <v>628</v>
      </c>
      <c r="L370" s="26"/>
      <c r="M370" s="134"/>
      <c r="T370" s="50"/>
      <c r="AT370" s="14" t="s">
        <v>143</v>
      </c>
      <c r="AU370" s="14" t="s">
        <v>19</v>
      </c>
    </row>
    <row r="371" spans="2:65" s="1" customFormat="1" ht="105.6">
      <c r="B371" s="26"/>
      <c r="D371" s="132" t="s">
        <v>145</v>
      </c>
      <c r="F371" s="135" t="s">
        <v>597</v>
      </c>
      <c r="L371" s="26"/>
      <c r="M371" s="134"/>
      <c r="T371" s="50"/>
      <c r="AT371" s="14" t="s">
        <v>145</v>
      </c>
      <c r="AU371" s="14" t="s">
        <v>19</v>
      </c>
    </row>
    <row r="372" spans="2:65" s="11" customFormat="1">
      <c r="B372" s="136"/>
      <c r="D372" s="132" t="s">
        <v>147</v>
      </c>
      <c r="E372" s="137" t="s">
        <v>630</v>
      </c>
      <c r="F372" s="138" t="s">
        <v>631</v>
      </c>
      <c r="H372" s="139">
        <v>8.2600000000000016</v>
      </c>
      <c r="L372" s="136"/>
      <c r="M372" s="140"/>
      <c r="T372" s="141"/>
      <c r="AT372" s="137" t="s">
        <v>147</v>
      </c>
      <c r="AU372" s="137" t="s">
        <v>19</v>
      </c>
      <c r="AV372" s="11" t="s">
        <v>149</v>
      </c>
      <c r="AW372" s="11" t="s">
        <v>39</v>
      </c>
      <c r="AX372" s="11" t="s">
        <v>19</v>
      </c>
      <c r="AY372" s="137" t="s">
        <v>136</v>
      </c>
    </row>
    <row r="373" spans="2:65" s="1" customFormat="1" ht="16.5" customHeight="1">
      <c r="B373" s="119"/>
      <c r="C373" s="120" t="s">
        <v>632</v>
      </c>
      <c r="D373" s="120" t="s">
        <v>137</v>
      </c>
      <c r="E373" s="121" t="s">
        <v>633</v>
      </c>
      <c r="F373" s="122" t="s">
        <v>634</v>
      </c>
      <c r="G373" s="123" t="s">
        <v>260</v>
      </c>
      <c r="H373" s="124">
        <v>17059</v>
      </c>
      <c r="I373" s="125">
        <v>0</v>
      </c>
      <c r="J373" s="125">
        <f>ROUND(I373*H373,2)</f>
        <v>0</v>
      </c>
      <c r="K373" s="122" t="s">
        <v>141</v>
      </c>
      <c r="L373" s="26"/>
      <c r="M373" s="126" t="s">
        <v>1</v>
      </c>
      <c r="N373" s="127" t="s">
        <v>46</v>
      </c>
      <c r="O373" s="128">
        <v>0</v>
      </c>
      <c r="P373" s="128">
        <f>O373*H373</f>
        <v>0</v>
      </c>
      <c r="Q373" s="128">
        <v>0</v>
      </c>
      <c r="R373" s="128">
        <f>Q373*H373</f>
        <v>0</v>
      </c>
      <c r="S373" s="128">
        <v>0</v>
      </c>
      <c r="T373" s="129">
        <f>S373*H373</f>
        <v>0</v>
      </c>
      <c r="AR373" s="130" t="s">
        <v>135</v>
      </c>
      <c r="AT373" s="130" t="s">
        <v>137</v>
      </c>
      <c r="AU373" s="130" t="s">
        <v>19</v>
      </c>
      <c r="AY373" s="14" t="s">
        <v>136</v>
      </c>
      <c r="BE373" s="131">
        <f>IF(N373="základní",J373,0)</f>
        <v>0</v>
      </c>
      <c r="BF373" s="131">
        <f>IF(N373="snížená",J373,0)</f>
        <v>0</v>
      </c>
      <c r="BG373" s="131">
        <f>IF(N373="zákl. přenesená",J373,0)</f>
        <v>0</v>
      </c>
      <c r="BH373" s="131">
        <f>IF(N373="sníž. přenesená",J373,0)</f>
        <v>0</v>
      </c>
      <c r="BI373" s="131">
        <f>IF(N373="nulová",J373,0)</f>
        <v>0</v>
      </c>
      <c r="BJ373" s="14" t="s">
        <v>19</v>
      </c>
      <c r="BK373" s="131">
        <f>ROUND(I373*H373,2)</f>
        <v>0</v>
      </c>
      <c r="BL373" s="14" t="s">
        <v>135</v>
      </c>
      <c r="BM373" s="130" t="s">
        <v>635</v>
      </c>
    </row>
    <row r="374" spans="2:65" s="1" customFormat="1">
      <c r="B374" s="26"/>
      <c r="D374" s="132" t="s">
        <v>143</v>
      </c>
      <c r="F374" s="133" t="s">
        <v>634</v>
      </c>
      <c r="L374" s="26"/>
      <c r="M374" s="134"/>
      <c r="T374" s="50"/>
      <c r="AT374" s="14" t="s">
        <v>143</v>
      </c>
      <c r="AU374" s="14" t="s">
        <v>19</v>
      </c>
    </row>
    <row r="375" spans="2:65" s="1" customFormat="1" ht="38.4">
      <c r="B375" s="26"/>
      <c r="D375" s="132" t="s">
        <v>145</v>
      </c>
      <c r="F375" s="135" t="s">
        <v>636</v>
      </c>
      <c r="L375" s="26"/>
      <c r="M375" s="134"/>
      <c r="T375" s="50"/>
      <c r="AT375" s="14" t="s">
        <v>145</v>
      </c>
      <c r="AU375" s="14" t="s">
        <v>19</v>
      </c>
    </row>
    <row r="376" spans="2:65" s="11" customFormat="1">
      <c r="B376" s="136"/>
      <c r="D376" s="132" t="s">
        <v>147</v>
      </c>
      <c r="E376" s="137" t="s">
        <v>637</v>
      </c>
      <c r="F376" s="138" t="s">
        <v>638</v>
      </c>
      <c r="H376" s="139">
        <v>17059</v>
      </c>
      <c r="L376" s="136"/>
      <c r="M376" s="140"/>
      <c r="T376" s="141"/>
      <c r="AT376" s="137" t="s">
        <v>147</v>
      </c>
      <c r="AU376" s="137" t="s">
        <v>19</v>
      </c>
      <c r="AV376" s="11" t="s">
        <v>149</v>
      </c>
      <c r="AW376" s="11" t="s">
        <v>39</v>
      </c>
      <c r="AX376" s="11" t="s">
        <v>19</v>
      </c>
      <c r="AY376" s="137" t="s">
        <v>136</v>
      </c>
    </row>
    <row r="377" spans="2:65" s="1" customFormat="1" ht="24.15" customHeight="1">
      <c r="B377" s="119"/>
      <c r="C377" s="120" t="s">
        <v>639</v>
      </c>
      <c r="D377" s="120" t="s">
        <v>137</v>
      </c>
      <c r="E377" s="121" t="s">
        <v>640</v>
      </c>
      <c r="F377" s="122" t="s">
        <v>641</v>
      </c>
      <c r="G377" s="123" t="s">
        <v>216</v>
      </c>
      <c r="H377" s="124">
        <v>85.295000000000002</v>
      </c>
      <c r="I377" s="125">
        <v>0</v>
      </c>
      <c r="J377" s="125">
        <f>ROUND(I377*H377,2)</f>
        <v>0</v>
      </c>
      <c r="K377" s="122" t="s">
        <v>141</v>
      </c>
      <c r="L377" s="26"/>
      <c r="M377" s="126" t="s">
        <v>1</v>
      </c>
      <c r="N377" s="127" t="s">
        <v>46</v>
      </c>
      <c r="O377" s="128">
        <v>0</v>
      </c>
      <c r="P377" s="128">
        <f>O377*H377</f>
        <v>0</v>
      </c>
      <c r="Q377" s="128">
        <v>0</v>
      </c>
      <c r="R377" s="128">
        <f>Q377*H377</f>
        <v>0</v>
      </c>
      <c r="S377" s="128">
        <v>0</v>
      </c>
      <c r="T377" s="129">
        <f>S377*H377</f>
        <v>0</v>
      </c>
      <c r="AR377" s="130" t="s">
        <v>135</v>
      </c>
      <c r="AT377" s="130" t="s">
        <v>137</v>
      </c>
      <c r="AU377" s="130" t="s">
        <v>19</v>
      </c>
      <c r="AY377" s="14" t="s">
        <v>136</v>
      </c>
      <c r="BE377" s="131">
        <f>IF(N377="základní",J377,0)</f>
        <v>0</v>
      </c>
      <c r="BF377" s="131">
        <f>IF(N377="snížená",J377,0)</f>
        <v>0</v>
      </c>
      <c r="BG377" s="131">
        <f>IF(N377="zákl. přenesená",J377,0)</f>
        <v>0</v>
      </c>
      <c r="BH377" s="131">
        <f>IF(N377="sníž. přenesená",J377,0)</f>
        <v>0</v>
      </c>
      <c r="BI377" s="131">
        <f>IF(N377="nulová",J377,0)</f>
        <v>0</v>
      </c>
      <c r="BJ377" s="14" t="s">
        <v>19</v>
      </c>
      <c r="BK377" s="131">
        <f>ROUND(I377*H377,2)</f>
        <v>0</v>
      </c>
      <c r="BL377" s="14" t="s">
        <v>135</v>
      </c>
      <c r="BM377" s="130" t="s">
        <v>642</v>
      </c>
    </row>
    <row r="378" spans="2:65" s="1" customFormat="1">
      <c r="B378" s="26"/>
      <c r="D378" s="132" t="s">
        <v>143</v>
      </c>
      <c r="F378" s="133" t="s">
        <v>643</v>
      </c>
      <c r="L378" s="26"/>
      <c r="M378" s="134"/>
      <c r="T378" s="50"/>
      <c r="AT378" s="14" t="s">
        <v>143</v>
      </c>
      <c r="AU378" s="14" t="s">
        <v>19</v>
      </c>
    </row>
    <row r="379" spans="2:65" s="1" customFormat="1" ht="48">
      <c r="B379" s="26"/>
      <c r="D379" s="132" t="s">
        <v>145</v>
      </c>
      <c r="F379" s="135" t="s">
        <v>644</v>
      </c>
      <c r="L379" s="26"/>
      <c r="M379" s="134"/>
      <c r="T379" s="50"/>
      <c r="AT379" s="14" t="s">
        <v>145</v>
      </c>
      <c r="AU379" s="14" t="s">
        <v>19</v>
      </c>
    </row>
    <row r="380" spans="2:65" s="11" customFormat="1">
      <c r="B380" s="136"/>
      <c r="D380" s="132" t="s">
        <v>147</v>
      </c>
      <c r="E380" s="137" t="s">
        <v>645</v>
      </c>
      <c r="F380" s="138" t="s">
        <v>646</v>
      </c>
      <c r="H380" s="139">
        <v>85.295000000000016</v>
      </c>
      <c r="L380" s="136"/>
      <c r="M380" s="140"/>
      <c r="T380" s="141"/>
      <c r="AT380" s="137" t="s">
        <v>147</v>
      </c>
      <c r="AU380" s="137" t="s">
        <v>19</v>
      </c>
      <c r="AV380" s="11" t="s">
        <v>149</v>
      </c>
      <c r="AW380" s="11" t="s">
        <v>39</v>
      </c>
      <c r="AX380" s="11" t="s">
        <v>19</v>
      </c>
      <c r="AY380" s="137" t="s">
        <v>136</v>
      </c>
    </row>
    <row r="381" spans="2:65" s="1" customFormat="1" ht="24.15" customHeight="1">
      <c r="B381" s="119"/>
      <c r="C381" s="120" t="s">
        <v>647</v>
      </c>
      <c r="D381" s="120" t="s">
        <v>137</v>
      </c>
      <c r="E381" s="121" t="s">
        <v>648</v>
      </c>
      <c r="F381" s="122" t="s">
        <v>649</v>
      </c>
      <c r="G381" s="123" t="s">
        <v>312</v>
      </c>
      <c r="H381" s="124">
        <v>500</v>
      </c>
      <c r="I381" s="125">
        <v>0</v>
      </c>
      <c r="J381" s="125">
        <f>ROUND(I381*H381,2)</f>
        <v>0</v>
      </c>
      <c r="K381" s="122" t="s">
        <v>141</v>
      </c>
      <c r="L381" s="26"/>
      <c r="M381" s="126" t="s">
        <v>1</v>
      </c>
      <c r="N381" s="127" t="s">
        <v>46</v>
      </c>
      <c r="O381" s="128">
        <v>0</v>
      </c>
      <c r="P381" s="128">
        <f>O381*H381</f>
        <v>0</v>
      </c>
      <c r="Q381" s="128">
        <v>0</v>
      </c>
      <c r="R381" s="128">
        <f>Q381*H381</f>
        <v>0</v>
      </c>
      <c r="S381" s="128">
        <v>0</v>
      </c>
      <c r="T381" s="129">
        <f>S381*H381</f>
        <v>0</v>
      </c>
      <c r="AR381" s="130" t="s">
        <v>135</v>
      </c>
      <c r="AT381" s="130" t="s">
        <v>137</v>
      </c>
      <c r="AU381" s="130" t="s">
        <v>19</v>
      </c>
      <c r="AY381" s="14" t="s">
        <v>136</v>
      </c>
      <c r="BE381" s="131">
        <f>IF(N381="základní",J381,0)</f>
        <v>0</v>
      </c>
      <c r="BF381" s="131">
        <f>IF(N381="snížená",J381,0)</f>
        <v>0</v>
      </c>
      <c r="BG381" s="131">
        <f>IF(N381="zákl. přenesená",J381,0)</f>
        <v>0</v>
      </c>
      <c r="BH381" s="131">
        <f>IF(N381="sníž. přenesená",J381,0)</f>
        <v>0</v>
      </c>
      <c r="BI381" s="131">
        <f>IF(N381="nulová",J381,0)</f>
        <v>0</v>
      </c>
      <c r="BJ381" s="14" t="s">
        <v>19</v>
      </c>
      <c r="BK381" s="131">
        <f>ROUND(I381*H381,2)</f>
        <v>0</v>
      </c>
      <c r="BL381" s="14" t="s">
        <v>135</v>
      </c>
      <c r="BM381" s="130" t="s">
        <v>650</v>
      </c>
    </row>
    <row r="382" spans="2:65" s="1" customFormat="1">
      <c r="B382" s="26"/>
      <c r="D382" s="132" t="s">
        <v>143</v>
      </c>
      <c r="F382" s="133" t="s">
        <v>643</v>
      </c>
      <c r="L382" s="26"/>
      <c r="M382" s="134"/>
      <c r="T382" s="50"/>
      <c r="AT382" s="14" t="s">
        <v>143</v>
      </c>
      <c r="AU382" s="14" t="s">
        <v>19</v>
      </c>
    </row>
    <row r="383" spans="2:65" s="1" customFormat="1" ht="38.4">
      <c r="B383" s="26"/>
      <c r="D383" s="132" t="s">
        <v>145</v>
      </c>
      <c r="F383" s="135" t="s">
        <v>651</v>
      </c>
      <c r="L383" s="26"/>
      <c r="M383" s="134"/>
      <c r="T383" s="50"/>
      <c r="AT383" s="14" t="s">
        <v>145</v>
      </c>
      <c r="AU383" s="14" t="s">
        <v>19</v>
      </c>
    </row>
    <row r="384" spans="2:65" s="11" customFormat="1">
      <c r="B384" s="136"/>
      <c r="D384" s="132" t="s">
        <v>147</v>
      </c>
      <c r="E384" s="137" t="s">
        <v>652</v>
      </c>
      <c r="F384" s="138" t="s">
        <v>653</v>
      </c>
      <c r="H384" s="139">
        <v>500</v>
      </c>
      <c r="L384" s="136"/>
      <c r="M384" s="140"/>
      <c r="T384" s="141"/>
      <c r="AT384" s="137" t="s">
        <v>147</v>
      </c>
      <c r="AU384" s="137" t="s">
        <v>19</v>
      </c>
      <c r="AV384" s="11" t="s">
        <v>149</v>
      </c>
      <c r="AW384" s="11" t="s">
        <v>39</v>
      </c>
      <c r="AX384" s="11" t="s">
        <v>19</v>
      </c>
      <c r="AY384" s="137" t="s">
        <v>136</v>
      </c>
    </row>
    <row r="385" spans="2:65" s="10" customFormat="1" ht="25.95" customHeight="1">
      <c r="B385" s="110"/>
      <c r="D385" s="111" t="s">
        <v>80</v>
      </c>
      <c r="E385" s="112" t="s">
        <v>182</v>
      </c>
      <c r="F385" s="112" t="s">
        <v>654</v>
      </c>
      <c r="J385" s="113">
        <f>BK385</f>
        <v>0</v>
      </c>
      <c r="L385" s="110"/>
      <c r="M385" s="114"/>
      <c r="P385" s="115">
        <f>SUM(P386:P399)</f>
        <v>0</v>
      </c>
      <c r="R385" s="115">
        <f>SUM(R386:R399)</f>
        <v>0</v>
      </c>
      <c r="T385" s="116">
        <f>SUM(T386:T399)</f>
        <v>0</v>
      </c>
      <c r="AR385" s="111" t="s">
        <v>135</v>
      </c>
      <c r="AT385" s="117" t="s">
        <v>80</v>
      </c>
      <c r="AU385" s="117" t="s">
        <v>81</v>
      </c>
      <c r="AY385" s="111" t="s">
        <v>136</v>
      </c>
      <c r="BK385" s="118">
        <f>SUM(BK386:BK399)</f>
        <v>0</v>
      </c>
    </row>
    <row r="386" spans="2:65" s="1" customFormat="1" ht="24.15" customHeight="1">
      <c r="B386" s="119"/>
      <c r="C386" s="120" t="s">
        <v>655</v>
      </c>
      <c r="D386" s="120" t="s">
        <v>137</v>
      </c>
      <c r="E386" s="121" t="s">
        <v>656</v>
      </c>
      <c r="F386" s="122" t="s">
        <v>657</v>
      </c>
      <c r="G386" s="123" t="s">
        <v>260</v>
      </c>
      <c r="H386" s="124">
        <v>57.5</v>
      </c>
      <c r="I386" s="125">
        <v>0</v>
      </c>
      <c r="J386" s="125">
        <f>ROUND(I386*H386,2)</f>
        <v>0</v>
      </c>
      <c r="K386" s="122" t="s">
        <v>141</v>
      </c>
      <c r="L386" s="26"/>
      <c r="M386" s="126" t="s">
        <v>1</v>
      </c>
      <c r="N386" s="127" t="s">
        <v>46</v>
      </c>
      <c r="O386" s="128">
        <v>0</v>
      </c>
      <c r="P386" s="128">
        <f>O386*H386</f>
        <v>0</v>
      </c>
      <c r="Q386" s="128">
        <v>0</v>
      </c>
      <c r="R386" s="128">
        <f>Q386*H386</f>
        <v>0</v>
      </c>
      <c r="S386" s="128">
        <v>0</v>
      </c>
      <c r="T386" s="129">
        <f>S386*H386</f>
        <v>0</v>
      </c>
      <c r="AR386" s="130" t="s">
        <v>135</v>
      </c>
      <c r="AT386" s="130" t="s">
        <v>137</v>
      </c>
      <c r="AU386" s="130" t="s">
        <v>19</v>
      </c>
      <c r="AY386" s="14" t="s">
        <v>136</v>
      </c>
      <c r="BE386" s="131">
        <f>IF(N386="základní",J386,0)</f>
        <v>0</v>
      </c>
      <c r="BF386" s="131">
        <f>IF(N386="snížená",J386,0)</f>
        <v>0</v>
      </c>
      <c r="BG386" s="131">
        <f>IF(N386="zákl. přenesená",J386,0)</f>
        <v>0</v>
      </c>
      <c r="BH386" s="131">
        <f>IF(N386="sníž. přenesená",J386,0)</f>
        <v>0</v>
      </c>
      <c r="BI386" s="131">
        <f>IF(N386="nulová",J386,0)</f>
        <v>0</v>
      </c>
      <c r="BJ386" s="14" t="s">
        <v>19</v>
      </c>
      <c r="BK386" s="131">
        <f>ROUND(I386*H386,2)</f>
        <v>0</v>
      </c>
      <c r="BL386" s="14" t="s">
        <v>135</v>
      </c>
      <c r="BM386" s="130" t="s">
        <v>658</v>
      </c>
    </row>
    <row r="387" spans="2:65" s="1" customFormat="1" ht="19.2">
      <c r="B387" s="26"/>
      <c r="D387" s="132" t="s">
        <v>143</v>
      </c>
      <c r="F387" s="133" t="s">
        <v>657</v>
      </c>
      <c r="L387" s="26"/>
      <c r="M387" s="134"/>
      <c r="T387" s="50"/>
      <c r="AT387" s="14" t="s">
        <v>143</v>
      </c>
      <c r="AU387" s="14" t="s">
        <v>19</v>
      </c>
    </row>
    <row r="388" spans="2:65" s="1" customFormat="1" ht="76.8">
      <c r="B388" s="26"/>
      <c r="D388" s="132" t="s">
        <v>145</v>
      </c>
      <c r="F388" s="135" t="s">
        <v>659</v>
      </c>
      <c r="L388" s="26"/>
      <c r="M388" s="134"/>
      <c r="T388" s="50"/>
      <c r="AT388" s="14" t="s">
        <v>145</v>
      </c>
      <c r="AU388" s="14" t="s">
        <v>19</v>
      </c>
    </row>
    <row r="389" spans="2:65" s="11" customFormat="1">
      <c r="B389" s="136"/>
      <c r="D389" s="132" t="s">
        <v>147</v>
      </c>
      <c r="E389" s="137" t="s">
        <v>660</v>
      </c>
      <c r="F389" s="138" t="s">
        <v>661</v>
      </c>
      <c r="H389" s="139">
        <v>57.499999999999993</v>
      </c>
      <c r="L389" s="136"/>
      <c r="M389" s="140"/>
      <c r="T389" s="141"/>
      <c r="AT389" s="137" t="s">
        <v>147</v>
      </c>
      <c r="AU389" s="137" t="s">
        <v>19</v>
      </c>
      <c r="AV389" s="11" t="s">
        <v>149</v>
      </c>
      <c r="AW389" s="11" t="s">
        <v>39</v>
      </c>
      <c r="AX389" s="11" t="s">
        <v>19</v>
      </c>
      <c r="AY389" s="137" t="s">
        <v>136</v>
      </c>
    </row>
    <row r="390" spans="2:65" s="1" customFormat="1" ht="16.5" customHeight="1">
      <c r="B390" s="119"/>
      <c r="C390" s="120" t="s">
        <v>662</v>
      </c>
      <c r="D390" s="120" t="s">
        <v>137</v>
      </c>
      <c r="E390" s="121" t="s">
        <v>663</v>
      </c>
      <c r="F390" s="122" t="s">
        <v>664</v>
      </c>
      <c r="G390" s="123" t="s">
        <v>260</v>
      </c>
      <c r="H390" s="124">
        <v>3</v>
      </c>
      <c r="I390" s="125">
        <v>0</v>
      </c>
      <c r="J390" s="125">
        <f>ROUND(I390*H390,2)</f>
        <v>0</v>
      </c>
      <c r="K390" s="122" t="s">
        <v>141</v>
      </c>
      <c r="L390" s="26"/>
      <c r="M390" s="126" t="s">
        <v>1</v>
      </c>
      <c r="N390" s="127" t="s">
        <v>46</v>
      </c>
      <c r="O390" s="128">
        <v>0</v>
      </c>
      <c r="P390" s="128">
        <f>O390*H390</f>
        <v>0</v>
      </c>
      <c r="Q390" s="128">
        <v>0</v>
      </c>
      <c r="R390" s="128">
        <f>Q390*H390</f>
        <v>0</v>
      </c>
      <c r="S390" s="128">
        <v>0</v>
      </c>
      <c r="T390" s="129">
        <f>S390*H390</f>
        <v>0</v>
      </c>
      <c r="AR390" s="130" t="s">
        <v>135</v>
      </c>
      <c r="AT390" s="130" t="s">
        <v>137</v>
      </c>
      <c r="AU390" s="130" t="s">
        <v>19</v>
      </c>
      <c r="AY390" s="14" t="s">
        <v>136</v>
      </c>
      <c r="BE390" s="131">
        <f>IF(N390="základní",J390,0)</f>
        <v>0</v>
      </c>
      <c r="BF390" s="131">
        <f>IF(N390="snížená",J390,0)</f>
        <v>0</v>
      </c>
      <c r="BG390" s="131">
        <f>IF(N390="zákl. přenesená",J390,0)</f>
        <v>0</v>
      </c>
      <c r="BH390" s="131">
        <f>IF(N390="sníž. přenesená",J390,0)</f>
        <v>0</v>
      </c>
      <c r="BI390" s="131">
        <f>IF(N390="nulová",J390,0)</f>
        <v>0</v>
      </c>
      <c r="BJ390" s="14" t="s">
        <v>19</v>
      </c>
      <c r="BK390" s="131">
        <f>ROUND(I390*H390,2)</f>
        <v>0</v>
      </c>
      <c r="BL390" s="14" t="s">
        <v>135</v>
      </c>
      <c r="BM390" s="130" t="s">
        <v>665</v>
      </c>
    </row>
    <row r="391" spans="2:65" s="1" customFormat="1" ht="19.2">
      <c r="B391" s="26"/>
      <c r="D391" s="132" t="s">
        <v>143</v>
      </c>
      <c r="F391" s="133" t="s">
        <v>666</v>
      </c>
      <c r="L391" s="26"/>
      <c r="M391" s="134"/>
      <c r="T391" s="50"/>
      <c r="AT391" s="14" t="s">
        <v>143</v>
      </c>
      <c r="AU391" s="14" t="s">
        <v>19</v>
      </c>
    </row>
    <row r="392" spans="2:65" s="1" customFormat="1" ht="76.8">
      <c r="B392" s="26"/>
      <c r="D392" s="132" t="s">
        <v>145</v>
      </c>
      <c r="F392" s="135" t="s">
        <v>667</v>
      </c>
      <c r="L392" s="26"/>
      <c r="M392" s="134"/>
      <c r="T392" s="50"/>
      <c r="AT392" s="14" t="s">
        <v>145</v>
      </c>
      <c r="AU392" s="14" t="s">
        <v>19</v>
      </c>
    </row>
    <row r="393" spans="2:65" s="11" customFormat="1">
      <c r="B393" s="136"/>
      <c r="D393" s="132" t="s">
        <v>147</v>
      </c>
      <c r="E393" s="137" t="s">
        <v>668</v>
      </c>
      <c r="F393" s="138" t="s">
        <v>669</v>
      </c>
      <c r="H393" s="139">
        <v>3</v>
      </c>
      <c r="L393" s="136"/>
      <c r="M393" s="140"/>
      <c r="T393" s="141"/>
      <c r="AT393" s="137" t="s">
        <v>147</v>
      </c>
      <c r="AU393" s="137" t="s">
        <v>19</v>
      </c>
      <c r="AV393" s="11" t="s">
        <v>149</v>
      </c>
      <c r="AW393" s="11" t="s">
        <v>39</v>
      </c>
      <c r="AX393" s="11" t="s">
        <v>19</v>
      </c>
      <c r="AY393" s="137" t="s">
        <v>136</v>
      </c>
    </row>
    <row r="394" spans="2:65" s="1" customFormat="1" ht="16.5" customHeight="1">
      <c r="B394" s="119"/>
      <c r="C394" s="120" t="s">
        <v>670</v>
      </c>
      <c r="D394" s="120" t="s">
        <v>137</v>
      </c>
      <c r="E394" s="121" t="s">
        <v>671</v>
      </c>
      <c r="F394" s="122" t="s">
        <v>672</v>
      </c>
      <c r="G394" s="123" t="s">
        <v>673</v>
      </c>
      <c r="H394" s="124">
        <v>5.0000000000000001E-3</v>
      </c>
      <c r="I394" s="125">
        <v>0</v>
      </c>
      <c r="J394" s="125">
        <f>ROUND(I394*H394,2)</f>
        <v>0</v>
      </c>
      <c r="K394" s="122" t="s">
        <v>141</v>
      </c>
      <c r="L394" s="26"/>
      <c r="M394" s="126" t="s">
        <v>1</v>
      </c>
      <c r="N394" s="127" t="s">
        <v>46</v>
      </c>
      <c r="O394" s="128">
        <v>0</v>
      </c>
      <c r="P394" s="128">
        <f>O394*H394</f>
        <v>0</v>
      </c>
      <c r="Q394" s="128">
        <v>0</v>
      </c>
      <c r="R394" s="128">
        <f>Q394*H394</f>
        <v>0</v>
      </c>
      <c r="S394" s="128">
        <v>0</v>
      </c>
      <c r="T394" s="129">
        <f>S394*H394</f>
        <v>0</v>
      </c>
      <c r="AR394" s="130" t="s">
        <v>135</v>
      </c>
      <c r="AT394" s="130" t="s">
        <v>137</v>
      </c>
      <c r="AU394" s="130" t="s">
        <v>19</v>
      </c>
      <c r="AY394" s="14" t="s">
        <v>136</v>
      </c>
      <c r="BE394" s="131">
        <f>IF(N394="základní",J394,0)</f>
        <v>0</v>
      </c>
      <c r="BF394" s="131">
        <f>IF(N394="snížená",J394,0)</f>
        <v>0</v>
      </c>
      <c r="BG394" s="131">
        <f>IF(N394="zákl. přenesená",J394,0)</f>
        <v>0</v>
      </c>
      <c r="BH394" s="131">
        <f>IF(N394="sníž. přenesená",J394,0)</f>
        <v>0</v>
      </c>
      <c r="BI394" s="131">
        <f>IF(N394="nulová",J394,0)</f>
        <v>0</v>
      </c>
      <c r="BJ394" s="14" t="s">
        <v>19</v>
      </c>
      <c r="BK394" s="131">
        <f>ROUND(I394*H394,2)</f>
        <v>0</v>
      </c>
      <c r="BL394" s="14" t="s">
        <v>135</v>
      </c>
      <c r="BM394" s="130" t="s">
        <v>674</v>
      </c>
    </row>
    <row r="395" spans="2:65" s="1" customFormat="1" ht="19.2">
      <c r="B395" s="26"/>
      <c r="D395" s="132" t="s">
        <v>143</v>
      </c>
      <c r="F395" s="133" t="s">
        <v>675</v>
      </c>
      <c r="L395" s="26"/>
      <c r="M395" s="134"/>
      <c r="T395" s="50"/>
      <c r="AT395" s="14" t="s">
        <v>143</v>
      </c>
      <c r="AU395" s="14" t="s">
        <v>19</v>
      </c>
    </row>
    <row r="396" spans="2:65" s="1" customFormat="1" ht="67.2">
      <c r="B396" s="26"/>
      <c r="D396" s="132" t="s">
        <v>145</v>
      </c>
      <c r="F396" s="135" t="s">
        <v>676</v>
      </c>
      <c r="L396" s="26"/>
      <c r="M396" s="134"/>
      <c r="T396" s="50"/>
      <c r="AT396" s="14" t="s">
        <v>145</v>
      </c>
      <c r="AU396" s="14" t="s">
        <v>19</v>
      </c>
    </row>
    <row r="397" spans="2:65" s="11" customFormat="1" ht="20.399999999999999">
      <c r="B397" s="136"/>
      <c r="D397" s="132" t="s">
        <v>147</v>
      </c>
      <c r="E397" s="137" t="s">
        <v>677</v>
      </c>
      <c r="F397" s="138" t="s">
        <v>678</v>
      </c>
      <c r="H397" s="139">
        <v>3.2000000000000003E-4</v>
      </c>
      <c r="L397" s="136"/>
      <c r="M397" s="140"/>
      <c r="T397" s="141"/>
      <c r="AT397" s="137" t="s">
        <v>147</v>
      </c>
      <c r="AU397" s="137" t="s">
        <v>19</v>
      </c>
      <c r="AV397" s="11" t="s">
        <v>149</v>
      </c>
      <c r="AW397" s="11" t="s">
        <v>39</v>
      </c>
      <c r="AX397" s="11" t="s">
        <v>81</v>
      </c>
      <c r="AY397" s="137" t="s">
        <v>136</v>
      </c>
    </row>
    <row r="398" spans="2:65" s="11" customFormat="1" ht="20.399999999999999">
      <c r="B398" s="136"/>
      <c r="D398" s="132" t="s">
        <v>147</v>
      </c>
      <c r="E398" s="137" t="s">
        <v>679</v>
      </c>
      <c r="F398" s="138" t="s">
        <v>680</v>
      </c>
      <c r="H398" s="139">
        <v>4.8300000000000001E-3</v>
      </c>
      <c r="L398" s="136"/>
      <c r="M398" s="140"/>
      <c r="T398" s="141"/>
      <c r="AT398" s="137" t="s">
        <v>147</v>
      </c>
      <c r="AU398" s="137" t="s">
        <v>19</v>
      </c>
      <c r="AV398" s="11" t="s">
        <v>149</v>
      </c>
      <c r="AW398" s="11" t="s">
        <v>39</v>
      </c>
      <c r="AX398" s="11" t="s">
        <v>81</v>
      </c>
      <c r="AY398" s="137" t="s">
        <v>136</v>
      </c>
    </row>
    <row r="399" spans="2:65" s="11" customFormat="1">
      <c r="B399" s="136"/>
      <c r="D399" s="132" t="s">
        <v>147</v>
      </c>
      <c r="E399" s="137" t="s">
        <v>681</v>
      </c>
      <c r="F399" s="138" t="s">
        <v>682</v>
      </c>
      <c r="H399" s="139">
        <v>5.1000000000000004E-3</v>
      </c>
      <c r="L399" s="136"/>
      <c r="M399" s="140"/>
      <c r="T399" s="141"/>
      <c r="AT399" s="137" t="s">
        <v>147</v>
      </c>
      <c r="AU399" s="137" t="s">
        <v>19</v>
      </c>
      <c r="AV399" s="11" t="s">
        <v>149</v>
      </c>
      <c r="AW399" s="11" t="s">
        <v>39</v>
      </c>
      <c r="AX399" s="11" t="s">
        <v>19</v>
      </c>
      <c r="AY399" s="137" t="s">
        <v>136</v>
      </c>
    </row>
    <row r="400" spans="2:65" s="10" customFormat="1" ht="25.95" customHeight="1">
      <c r="B400" s="110"/>
      <c r="D400" s="111" t="s">
        <v>80</v>
      </c>
      <c r="E400" s="112" t="s">
        <v>189</v>
      </c>
      <c r="F400" s="112" t="s">
        <v>683</v>
      </c>
      <c r="J400" s="113">
        <f>BK400</f>
        <v>0</v>
      </c>
      <c r="L400" s="110"/>
      <c r="M400" s="114"/>
      <c r="P400" s="115">
        <f>SUM(P401:P408)</f>
        <v>0</v>
      </c>
      <c r="R400" s="115">
        <f>SUM(R401:R408)</f>
        <v>0</v>
      </c>
      <c r="T400" s="116">
        <f>SUM(T401:T408)</f>
        <v>0</v>
      </c>
      <c r="AR400" s="111" t="s">
        <v>135</v>
      </c>
      <c r="AT400" s="117" t="s">
        <v>80</v>
      </c>
      <c r="AU400" s="117" t="s">
        <v>81</v>
      </c>
      <c r="AY400" s="111" t="s">
        <v>136</v>
      </c>
      <c r="BK400" s="118">
        <f>SUM(BK401:BK408)</f>
        <v>0</v>
      </c>
    </row>
    <row r="401" spans="2:65" s="1" customFormat="1" ht="24.15" customHeight="1">
      <c r="B401" s="119"/>
      <c r="C401" s="120" t="s">
        <v>684</v>
      </c>
      <c r="D401" s="120" t="s">
        <v>137</v>
      </c>
      <c r="E401" s="121" t="s">
        <v>685</v>
      </c>
      <c r="F401" s="122" t="s">
        <v>686</v>
      </c>
      <c r="G401" s="123" t="s">
        <v>152</v>
      </c>
      <c r="H401" s="124">
        <v>12</v>
      </c>
      <c r="I401" s="125">
        <v>0</v>
      </c>
      <c r="J401" s="125">
        <f>ROUND(I401*H401,2)</f>
        <v>0</v>
      </c>
      <c r="K401" s="122" t="s">
        <v>141</v>
      </c>
      <c r="L401" s="26"/>
      <c r="M401" s="126" t="s">
        <v>1</v>
      </c>
      <c r="N401" s="127" t="s">
        <v>46</v>
      </c>
      <c r="O401" s="128">
        <v>0</v>
      </c>
      <c r="P401" s="128">
        <f>O401*H401</f>
        <v>0</v>
      </c>
      <c r="Q401" s="128">
        <v>0</v>
      </c>
      <c r="R401" s="128">
        <f>Q401*H401</f>
        <v>0</v>
      </c>
      <c r="S401" s="128">
        <v>0</v>
      </c>
      <c r="T401" s="129">
        <f>S401*H401</f>
        <v>0</v>
      </c>
      <c r="AR401" s="130" t="s">
        <v>135</v>
      </c>
      <c r="AT401" s="130" t="s">
        <v>137</v>
      </c>
      <c r="AU401" s="130" t="s">
        <v>19</v>
      </c>
      <c r="AY401" s="14" t="s">
        <v>136</v>
      </c>
      <c r="BE401" s="131">
        <f>IF(N401="základní",J401,0)</f>
        <v>0</v>
      </c>
      <c r="BF401" s="131">
        <f>IF(N401="snížená",J401,0)</f>
        <v>0</v>
      </c>
      <c r="BG401" s="131">
        <f>IF(N401="zákl. přenesená",J401,0)</f>
        <v>0</v>
      </c>
      <c r="BH401" s="131">
        <f>IF(N401="sníž. přenesená",J401,0)</f>
        <v>0</v>
      </c>
      <c r="BI401" s="131">
        <f>IF(N401="nulová",J401,0)</f>
        <v>0</v>
      </c>
      <c r="BJ401" s="14" t="s">
        <v>19</v>
      </c>
      <c r="BK401" s="131">
        <f>ROUND(I401*H401,2)</f>
        <v>0</v>
      </c>
      <c r="BL401" s="14" t="s">
        <v>135</v>
      </c>
      <c r="BM401" s="130" t="s">
        <v>687</v>
      </c>
    </row>
    <row r="402" spans="2:65" s="1" customFormat="1">
      <c r="B402" s="26"/>
      <c r="D402" s="132" t="s">
        <v>143</v>
      </c>
      <c r="F402" s="133" t="s">
        <v>686</v>
      </c>
      <c r="L402" s="26"/>
      <c r="M402" s="134"/>
      <c r="T402" s="50"/>
      <c r="AT402" s="14" t="s">
        <v>143</v>
      </c>
      <c r="AU402" s="14" t="s">
        <v>19</v>
      </c>
    </row>
    <row r="403" spans="2:65" s="1" customFormat="1" ht="67.2">
      <c r="B403" s="26"/>
      <c r="D403" s="132" t="s">
        <v>145</v>
      </c>
      <c r="F403" s="135" t="s">
        <v>688</v>
      </c>
      <c r="L403" s="26"/>
      <c r="M403" s="134"/>
      <c r="T403" s="50"/>
      <c r="AT403" s="14" t="s">
        <v>145</v>
      </c>
      <c r="AU403" s="14" t="s">
        <v>19</v>
      </c>
    </row>
    <row r="404" spans="2:65" s="11" customFormat="1">
      <c r="B404" s="136"/>
      <c r="D404" s="132" t="s">
        <v>147</v>
      </c>
      <c r="E404" s="137" t="s">
        <v>689</v>
      </c>
      <c r="F404" s="138" t="s">
        <v>690</v>
      </c>
      <c r="H404" s="139">
        <v>12</v>
      </c>
      <c r="L404" s="136"/>
      <c r="M404" s="140"/>
      <c r="T404" s="141"/>
      <c r="AT404" s="137" t="s">
        <v>147</v>
      </c>
      <c r="AU404" s="137" t="s">
        <v>19</v>
      </c>
      <c r="AV404" s="11" t="s">
        <v>149</v>
      </c>
      <c r="AW404" s="11" t="s">
        <v>39</v>
      </c>
      <c r="AX404" s="11" t="s">
        <v>19</v>
      </c>
      <c r="AY404" s="137" t="s">
        <v>136</v>
      </c>
    </row>
    <row r="405" spans="2:65" s="1" customFormat="1" ht="16.5" customHeight="1">
      <c r="B405" s="119"/>
      <c r="C405" s="120" t="s">
        <v>691</v>
      </c>
      <c r="D405" s="120" t="s">
        <v>137</v>
      </c>
      <c r="E405" s="121" t="s">
        <v>692</v>
      </c>
      <c r="F405" s="122" t="s">
        <v>693</v>
      </c>
      <c r="G405" s="123" t="s">
        <v>152</v>
      </c>
      <c r="H405" s="124">
        <v>18</v>
      </c>
      <c r="I405" s="125">
        <v>0</v>
      </c>
      <c r="J405" s="125">
        <f>ROUND(I405*H405,2)</f>
        <v>0</v>
      </c>
      <c r="K405" s="122" t="s">
        <v>141</v>
      </c>
      <c r="L405" s="26"/>
      <c r="M405" s="126" t="s">
        <v>1</v>
      </c>
      <c r="N405" s="127" t="s">
        <v>46</v>
      </c>
      <c r="O405" s="128">
        <v>0</v>
      </c>
      <c r="P405" s="128">
        <f>O405*H405</f>
        <v>0</v>
      </c>
      <c r="Q405" s="128">
        <v>0</v>
      </c>
      <c r="R405" s="128">
        <f>Q405*H405</f>
        <v>0</v>
      </c>
      <c r="S405" s="128">
        <v>0</v>
      </c>
      <c r="T405" s="129">
        <f>S405*H405</f>
        <v>0</v>
      </c>
      <c r="AR405" s="130" t="s">
        <v>135</v>
      </c>
      <c r="AT405" s="130" t="s">
        <v>137</v>
      </c>
      <c r="AU405" s="130" t="s">
        <v>19</v>
      </c>
      <c r="AY405" s="14" t="s">
        <v>136</v>
      </c>
      <c r="BE405" s="131">
        <f>IF(N405="základní",J405,0)</f>
        <v>0</v>
      </c>
      <c r="BF405" s="131">
        <f>IF(N405="snížená",J405,0)</f>
        <v>0</v>
      </c>
      <c r="BG405" s="131">
        <f>IF(N405="zákl. přenesená",J405,0)</f>
        <v>0</v>
      </c>
      <c r="BH405" s="131">
        <f>IF(N405="sníž. přenesená",J405,0)</f>
        <v>0</v>
      </c>
      <c r="BI405" s="131">
        <f>IF(N405="nulová",J405,0)</f>
        <v>0</v>
      </c>
      <c r="BJ405" s="14" t="s">
        <v>19</v>
      </c>
      <c r="BK405" s="131">
        <f>ROUND(I405*H405,2)</f>
        <v>0</v>
      </c>
      <c r="BL405" s="14" t="s">
        <v>135</v>
      </c>
      <c r="BM405" s="130" t="s">
        <v>694</v>
      </c>
    </row>
    <row r="406" spans="2:65" s="1" customFormat="1">
      <c r="B406" s="26"/>
      <c r="D406" s="132" t="s">
        <v>143</v>
      </c>
      <c r="F406" s="133" t="s">
        <v>693</v>
      </c>
      <c r="L406" s="26"/>
      <c r="M406" s="134"/>
      <c r="T406" s="50"/>
      <c r="AT406" s="14" t="s">
        <v>143</v>
      </c>
      <c r="AU406" s="14" t="s">
        <v>19</v>
      </c>
    </row>
    <row r="407" spans="2:65" s="1" customFormat="1" ht="48">
      <c r="B407" s="26"/>
      <c r="D407" s="132" t="s">
        <v>145</v>
      </c>
      <c r="F407" s="135" t="s">
        <v>695</v>
      </c>
      <c r="L407" s="26"/>
      <c r="M407" s="134"/>
      <c r="T407" s="50"/>
      <c r="AT407" s="14" t="s">
        <v>145</v>
      </c>
      <c r="AU407" s="14" t="s">
        <v>19</v>
      </c>
    </row>
    <row r="408" spans="2:65" s="11" customFormat="1">
      <c r="B408" s="136"/>
      <c r="D408" s="132" t="s">
        <v>147</v>
      </c>
      <c r="E408" s="137" t="s">
        <v>696</v>
      </c>
      <c r="F408" s="138" t="s">
        <v>697</v>
      </c>
      <c r="H408" s="139">
        <v>18</v>
      </c>
      <c r="L408" s="136"/>
      <c r="M408" s="140"/>
      <c r="T408" s="141"/>
      <c r="AT408" s="137" t="s">
        <v>147</v>
      </c>
      <c r="AU408" s="137" t="s">
        <v>19</v>
      </c>
      <c r="AV408" s="11" t="s">
        <v>149</v>
      </c>
      <c r="AW408" s="11" t="s">
        <v>39</v>
      </c>
      <c r="AX408" s="11" t="s">
        <v>19</v>
      </c>
      <c r="AY408" s="137" t="s">
        <v>136</v>
      </c>
    </row>
    <row r="409" spans="2:65" s="10" customFormat="1" ht="25.95" customHeight="1">
      <c r="B409" s="110"/>
      <c r="D409" s="111" t="s">
        <v>80</v>
      </c>
      <c r="E409" s="112" t="s">
        <v>197</v>
      </c>
      <c r="F409" s="112" t="s">
        <v>698</v>
      </c>
      <c r="J409" s="113">
        <f>BK409</f>
        <v>0</v>
      </c>
      <c r="L409" s="110"/>
      <c r="M409" s="114"/>
      <c r="P409" s="115">
        <f>SUM(P410:P514)</f>
        <v>0</v>
      </c>
      <c r="R409" s="115">
        <f>SUM(R410:R514)</f>
        <v>0</v>
      </c>
      <c r="T409" s="116">
        <f>SUM(T410:T514)</f>
        <v>0</v>
      </c>
      <c r="AR409" s="111" t="s">
        <v>135</v>
      </c>
      <c r="AT409" s="117" t="s">
        <v>80</v>
      </c>
      <c r="AU409" s="117" t="s">
        <v>81</v>
      </c>
      <c r="AY409" s="111" t="s">
        <v>136</v>
      </c>
      <c r="BK409" s="118">
        <f>SUM(BK410:BK514)</f>
        <v>0</v>
      </c>
    </row>
    <row r="410" spans="2:65" s="1" customFormat="1" ht="24.15" customHeight="1">
      <c r="B410" s="119"/>
      <c r="C410" s="120" t="s">
        <v>699</v>
      </c>
      <c r="D410" s="120" t="s">
        <v>137</v>
      </c>
      <c r="E410" s="121" t="s">
        <v>700</v>
      </c>
      <c r="F410" s="122" t="s">
        <v>701</v>
      </c>
      <c r="G410" s="123" t="s">
        <v>312</v>
      </c>
      <c r="H410" s="124">
        <v>515</v>
      </c>
      <c r="I410" s="125">
        <v>0</v>
      </c>
      <c r="J410" s="125">
        <f>ROUND(I410*H410,2)</f>
        <v>0</v>
      </c>
      <c r="K410" s="122" t="s">
        <v>141</v>
      </c>
      <c r="L410" s="26"/>
      <c r="M410" s="126" t="s">
        <v>1</v>
      </c>
      <c r="N410" s="127" t="s">
        <v>46</v>
      </c>
      <c r="O410" s="128">
        <v>0</v>
      </c>
      <c r="P410" s="128">
        <f>O410*H410</f>
        <v>0</v>
      </c>
      <c r="Q410" s="128">
        <v>0</v>
      </c>
      <c r="R410" s="128">
        <f>Q410*H410</f>
        <v>0</v>
      </c>
      <c r="S410" s="128">
        <v>0</v>
      </c>
      <c r="T410" s="129">
        <f>S410*H410</f>
        <v>0</v>
      </c>
      <c r="AR410" s="130" t="s">
        <v>135</v>
      </c>
      <c r="AT410" s="130" t="s">
        <v>137</v>
      </c>
      <c r="AU410" s="130" t="s">
        <v>19</v>
      </c>
      <c r="AY410" s="14" t="s">
        <v>136</v>
      </c>
      <c r="BE410" s="131">
        <f>IF(N410="základní",J410,0)</f>
        <v>0</v>
      </c>
      <c r="BF410" s="131">
        <f>IF(N410="snížená",J410,0)</f>
        <v>0</v>
      </c>
      <c r="BG410" s="131">
        <f>IF(N410="zákl. přenesená",J410,0)</f>
        <v>0</v>
      </c>
      <c r="BH410" s="131">
        <f>IF(N410="sníž. přenesená",J410,0)</f>
        <v>0</v>
      </c>
      <c r="BI410" s="131">
        <f>IF(N410="nulová",J410,0)</f>
        <v>0</v>
      </c>
      <c r="BJ410" s="14" t="s">
        <v>19</v>
      </c>
      <c r="BK410" s="131">
        <f>ROUND(I410*H410,2)</f>
        <v>0</v>
      </c>
      <c r="BL410" s="14" t="s">
        <v>135</v>
      </c>
      <c r="BM410" s="130" t="s">
        <v>702</v>
      </c>
    </row>
    <row r="411" spans="2:65" s="1" customFormat="1">
      <c r="B411" s="26"/>
      <c r="D411" s="132" t="s">
        <v>143</v>
      </c>
      <c r="F411" s="133" t="s">
        <v>703</v>
      </c>
      <c r="L411" s="26"/>
      <c r="M411" s="134"/>
      <c r="T411" s="50"/>
      <c r="AT411" s="14" t="s">
        <v>143</v>
      </c>
      <c r="AU411" s="14" t="s">
        <v>19</v>
      </c>
    </row>
    <row r="412" spans="2:65" s="1" customFormat="1" ht="48">
      <c r="B412" s="26"/>
      <c r="D412" s="132" t="s">
        <v>145</v>
      </c>
      <c r="F412" s="135" t="s">
        <v>704</v>
      </c>
      <c r="L412" s="26"/>
      <c r="M412" s="134"/>
      <c r="T412" s="50"/>
      <c r="AT412" s="14" t="s">
        <v>145</v>
      </c>
      <c r="AU412" s="14" t="s">
        <v>19</v>
      </c>
    </row>
    <row r="413" spans="2:65" s="11" customFormat="1">
      <c r="B413" s="136"/>
      <c r="D413" s="132" t="s">
        <v>147</v>
      </c>
      <c r="E413" s="137" t="s">
        <v>705</v>
      </c>
      <c r="F413" s="138" t="s">
        <v>706</v>
      </c>
      <c r="H413" s="139">
        <v>305</v>
      </c>
      <c r="L413" s="136"/>
      <c r="M413" s="140"/>
      <c r="T413" s="141"/>
      <c r="AT413" s="137" t="s">
        <v>147</v>
      </c>
      <c r="AU413" s="137" t="s">
        <v>19</v>
      </c>
      <c r="AV413" s="11" t="s">
        <v>149</v>
      </c>
      <c r="AW413" s="11" t="s">
        <v>39</v>
      </c>
      <c r="AX413" s="11" t="s">
        <v>81</v>
      </c>
      <c r="AY413" s="137" t="s">
        <v>136</v>
      </c>
    </row>
    <row r="414" spans="2:65" s="11" customFormat="1">
      <c r="B414" s="136"/>
      <c r="D414" s="132" t="s">
        <v>147</v>
      </c>
      <c r="E414" s="137" t="s">
        <v>707</v>
      </c>
      <c r="F414" s="138" t="s">
        <v>547</v>
      </c>
      <c r="H414" s="139">
        <v>38</v>
      </c>
      <c r="L414" s="136"/>
      <c r="M414" s="140"/>
      <c r="T414" s="141"/>
      <c r="AT414" s="137" t="s">
        <v>147</v>
      </c>
      <c r="AU414" s="137" t="s">
        <v>19</v>
      </c>
      <c r="AV414" s="11" t="s">
        <v>149</v>
      </c>
      <c r="AW414" s="11" t="s">
        <v>39</v>
      </c>
      <c r="AX414" s="11" t="s">
        <v>81</v>
      </c>
      <c r="AY414" s="137" t="s">
        <v>136</v>
      </c>
    </row>
    <row r="415" spans="2:65" s="11" customFormat="1">
      <c r="B415" s="136"/>
      <c r="D415" s="132" t="s">
        <v>147</v>
      </c>
      <c r="E415" s="137" t="s">
        <v>708</v>
      </c>
      <c r="F415" s="138" t="s">
        <v>709</v>
      </c>
      <c r="H415" s="139">
        <v>172</v>
      </c>
      <c r="L415" s="136"/>
      <c r="M415" s="140"/>
      <c r="T415" s="141"/>
      <c r="AT415" s="137" t="s">
        <v>147</v>
      </c>
      <c r="AU415" s="137" t="s">
        <v>19</v>
      </c>
      <c r="AV415" s="11" t="s">
        <v>149</v>
      </c>
      <c r="AW415" s="11" t="s">
        <v>39</v>
      </c>
      <c r="AX415" s="11" t="s">
        <v>81</v>
      </c>
      <c r="AY415" s="137" t="s">
        <v>136</v>
      </c>
    </row>
    <row r="416" spans="2:65" s="11" customFormat="1">
      <c r="B416" s="136"/>
      <c r="D416" s="132" t="s">
        <v>147</v>
      </c>
      <c r="E416" s="137" t="s">
        <v>710</v>
      </c>
      <c r="F416" s="138" t="s">
        <v>711</v>
      </c>
      <c r="H416" s="139">
        <v>515</v>
      </c>
      <c r="L416" s="136"/>
      <c r="M416" s="140"/>
      <c r="T416" s="141"/>
      <c r="AT416" s="137" t="s">
        <v>147</v>
      </c>
      <c r="AU416" s="137" t="s">
        <v>19</v>
      </c>
      <c r="AV416" s="11" t="s">
        <v>149</v>
      </c>
      <c r="AW416" s="11" t="s">
        <v>39</v>
      </c>
      <c r="AX416" s="11" t="s">
        <v>19</v>
      </c>
      <c r="AY416" s="137" t="s">
        <v>136</v>
      </c>
    </row>
    <row r="417" spans="2:65" s="1" customFormat="1" ht="24.15" customHeight="1">
      <c r="B417" s="119"/>
      <c r="C417" s="120" t="s">
        <v>712</v>
      </c>
      <c r="D417" s="120" t="s">
        <v>137</v>
      </c>
      <c r="E417" s="121" t="s">
        <v>713</v>
      </c>
      <c r="F417" s="122" t="s">
        <v>714</v>
      </c>
      <c r="G417" s="123" t="s">
        <v>312</v>
      </c>
      <c r="H417" s="124">
        <v>544</v>
      </c>
      <c r="I417" s="125">
        <v>0</v>
      </c>
      <c r="J417" s="125">
        <f>ROUND(I417*H417,2)</f>
        <v>0</v>
      </c>
      <c r="K417" s="122" t="s">
        <v>141</v>
      </c>
      <c r="L417" s="26"/>
      <c r="M417" s="126" t="s">
        <v>1</v>
      </c>
      <c r="N417" s="127" t="s">
        <v>46</v>
      </c>
      <c r="O417" s="128">
        <v>0</v>
      </c>
      <c r="P417" s="128">
        <f>O417*H417</f>
        <v>0</v>
      </c>
      <c r="Q417" s="128">
        <v>0</v>
      </c>
      <c r="R417" s="128">
        <f>Q417*H417</f>
        <v>0</v>
      </c>
      <c r="S417" s="128">
        <v>0</v>
      </c>
      <c r="T417" s="129">
        <f>S417*H417</f>
        <v>0</v>
      </c>
      <c r="AR417" s="130" t="s">
        <v>135</v>
      </c>
      <c r="AT417" s="130" t="s">
        <v>137</v>
      </c>
      <c r="AU417" s="130" t="s">
        <v>19</v>
      </c>
      <c r="AY417" s="14" t="s">
        <v>136</v>
      </c>
      <c r="BE417" s="131">
        <f>IF(N417="základní",J417,0)</f>
        <v>0</v>
      </c>
      <c r="BF417" s="131">
        <f>IF(N417="snížená",J417,0)</f>
        <v>0</v>
      </c>
      <c r="BG417" s="131">
        <f>IF(N417="zákl. přenesená",J417,0)</f>
        <v>0</v>
      </c>
      <c r="BH417" s="131">
        <f>IF(N417="sníž. přenesená",J417,0)</f>
        <v>0</v>
      </c>
      <c r="BI417" s="131">
        <f>IF(N417="nulová",J417,0)</f>
        <v>0</v>
      </c>
      <c r="BJ417" s="14" t="s">
        <v>19</v>
      </c>
      <c r="BK417" s="131">
        <f>ROUND(I417*H417,2)</f>
        <v>0</v>
      </c>
      <c r="BL417" s="14" t="s">
        <v>135</v>
      </c>
      <c r="BM417" s="130" t="s">
        <v>715</v>
      </c>
    </row>
    <row r="418" spans="2:65" s="1" customFormat="1" ht="19.2">
      <c r="B418" s="26"/>
      <c r="D418" s="132" t="s">
        <v>143</v>
      </c>
      <c r="F418" s="133" t="s">
        <v>714</v>
      </c>
      <c r="L418" s="26"/>
      <c r="M418" s="134"/>
      <c r="T418" s="50"/>
      <c r="AT418" s="14" t="s">
        <v>143</v>
      </c>
      <c r="AU418" s="14" t="s">
        <v>19</v>
      </c>
    </row>
    <row r="419" spans="2:65" s="1" customFormat="1" ht="134.4">
      <c r="B419" s="26"/>
      <c r="D419" s="132" t="s">
        <v>145</v>
      </c>
      <c r="F419" s="135" t="s">
        <v>716</v>
      </c>
      <c r="L419" s="26"/>
      <c r="M419" s="134"/>
      <c r="T419" s="50"/>
      <c r="AT419" s="14" t="s">
        <v>145</v>
      </c>
      <c r="AU419" s="14" t="s">
        <v>19</v>
      </c>
    </row>
    <row r="420" spans="2:65" s="11" customFormat="1">
      <c r="B420" s="136"/>
      <c r="D420" s="132" t="s">
        <v>147</v>
      </c>
      <c r="E420" s="137" t="s">
        <v>717</v>
      </c>
      <c r="F420" s="138" t="s">
        <v>718</v>
      </c>
      <c r="H420" s="139">
        <v>308</v>
      </c>
      <c r="L420" s="136"/>
      <c r="M420" s="140"/>
      <c r="T420" s="141"/>
      <c r="AT420" s="137" t="s">
        <v>147</v>
      </c>
      <c r="AU420" s="137" t="s">
        <v>19</v>
      </c>
      <c r="AV420" s="11" t="s">
        <v>149</v>
      </c>
      <c r="AW420" s="11" t="s">
        <v>39</v>
      </c>
      <c r="AX420" s="11" t="s">
        <v>81</v>
      </c>
      <c r="AY420" s="137" t="s">
        <v>136</v>
      </c>
    </row>
    <row r="421" spans="2:65" s="11" customFormat="1">
      <c r="B421" s="136"/>
      <c r="D421" s="132" t="s">
        <v>147</v>
      </c>
      <c r="E421" s="137" t="s">
        <v>719</v>
      </c>
      <c r="F421" s="138" t="s">
        <v>720</v>
      </c>
      <c r="H421" s="139">
        <v>64</v>
      </c>
      <c r="L421" s="136"/>
      <c r="M421" s="140"/>
      <c r="T421" s="141"/>
      <c r="AT421" s="137" t="s">
        <v>147</v>
      </c>
      <c r="AU421" s="137" t="s">
        <v>19</v>
      </c>
      <c r="AV421" s="11" t="s">
        <v>149</v>
      </c>
      <c r="AW421" s="11" t="s">
        <v>39</v>
      </c>
      <c r="AX421" s="11" t="s">
        <v>81</v>
      </c>
      <c r="AY421" s="137" t="s">
        <v>136</v>
      </c>
    </row>
    <row r="422" spans="2:65" s="11" customFormat="1">
      <c r="B422" s="136"/>
      <c r="D422" s="132" t="s">
        <v>147</v>
      </c>
      <c r="E422" s="137" t="s">
        <v>721</v>
      </c>
      <c r="F422" s="138" t="s">
        <v>722</v>
      </c>
      <c r="H422" s="139">
        <v>172</v>
      </c>
      <c r="L422" s="136"/>
      <c r="M422" s="140"/>
      <c r="T422" s="141"/>
      <c r="AT422" s="137" t="s">
        <v>147</v>
      </c>
      <c r="AU422" s="137" t="s">
        <v>19</v>
      </c>
      <c r="AV422" s="11" t="s">
        <v>149</v>
      </c>
      <c r="AW422" s="11" t="s">
        <v>39</v>
      </c>
      <c r="AX422" s="11" t="s">
        <v>81</v>
      </c>
      <c r="AY422" s="137" t="s">
        <v>136</v>
      </c>
    </row>
    <row r="423" spans="2:65" s="11" customFormat="1">
      <c r="B423" s="136"/>
      <c r="D423" s="132" t="s">
        <v>147</v>
      </c>
      <c r="E423" s="137" t="s">
        <v>723</v>
      </c>
      <c r="F423" s="138" t="s">
        <v>724</v>
      </c>
      <c r="H423" s="139">
        <v>544</v>
      </c>
      <c r="L423" s="136"/>
      <c r="M423" s="140"/>
      <c r="T423" s="141"/>
      <c r="AT423" s="137" t="s">
        <v>147</v>
      </c>
      <c r="AU423" s="137" t="s">
        <v>19</v>
      </c>
      <c r="AV423" s="11" t="s">
        <v>149</v>
      </c>
      <c r="AW423" s="11" t="s">
        <v>39</v>
      </c>
      <c r="AX423" s="11" t="s">
        <v>19</v>
      </c>
      <c r="AY423" s="137" t="s">
        <v>136</v>
      </c>
    </row>
    <row r="424" spans="2:65" s="1" customFormat="1" ht="24.15" customHeight="1">
      <c r="B424" s="119"/>
      <c r="C424" s="120" t="s">
        <v>725</v>
      </c>
      <c r="D424" s="120" t="s">
        <v>137</v>
      </c>
      <c r="E424" s="121" t="s">
        <v>726</v>
      </c>
      <c r="F424" s="122" t="s">
        <v>727</v>
      </c>
      <c r="G424" s="123" t="s">
        <v>312</v>
      </c>
      <c r="H424" s="124">
        <v>1677</v>
      </c>
      <c r="I424" s="125">
        <v>0</v>
      </c>
      <c r="J424" s="125">
        <f>ROUND(I424*H424,2)</f>
        <v>0</v>
      </c>
      <c r="K424" s="122" t="s">
        <v>141</v>
      </c>
      <c r="L424" s="26"/>
      <c r="M424" s="126" t="s">
        <v>1</v>
      </c>
      <c r="N424" s="127" t="s">
        <v>46</v>
      </c>
      <c r="O424" s="128">
        <v>0</v>
      </c>
      <c r="P424" s="128">
        <f>O424*H424</f>
        <v>0</v>
      </c>
      <c r="Q424" s="128">
        <v>0</v>
      </c>
      <c r="R424" s="128">
        <f>Q424*H424</f>
        <v>0</v>
      </c>
      <c r="S424" s="128">
        <v>0</v>
      </c>
      <c r="T424" s="129">
        <f>S424*H424</f>
        <v>0</v>
      </c>
      <c r="AR424" s="130" t="s">
        <v>135</v>
      </c>
      <c r="AT424" s="130" t="s">
        <v>137</v>
      </c>
      <c r="AU424" s="130" t="s">
        <v>19</v>
      </c>
      <c r="AY424" s="14" t="s">
        <v>136</v>
      </c>
      <c r="BE424" s="131">
        <f>IF(N424="základní",J424,0)</f>
        <v>0</v>
      </c>
      <c r="BF424" s="131">
        <f>IF(N424="snížená",J424,0)</f>
        <v>0</v>
      </c>
      <c r="BG424" s="131">
        <f>IF(N424="zákl. přenesená",J424,0)</f>
        <v>0</v>
      </c>
      <c r="BH424" s="131">
        <f>IF(N424="sníž. přenesená",J424,0)</f>
        <v>0</v>
      </c>
      <c r="BI424" s="131">
        <f>IF(N424="nulová",J424,0)</f>
        <v>0</v>
      </c>
      <c r="BJ424" s="14" t="s">
        <v>19</v>
      </c>
      <c r="BK424" s="131">
        <f>ROUND(I424*H424,2)</f>
        <v>0</v>
      </c>
      <c r="BL424" s="14" t="s">
        <v>135</v>
      </c>
      <c r="BM424" s="130" t="s">
        <v>728</v>
      </c>
    </row>
    <row r="425" spans="2:65" s="1" customFormat="1">
      <c r="B425" s="26"/>
      <c r="D425" s="132" t="s">
        <v>143</v>
      </c>
      <c r="F425" s="133" t="s">
        <v>729</v>
      </c>
      <c r="L425" s="26"/>
      <c r="M425" s="134"/>
      <c r="T425" s="50"/>
      <c r="AT425" s="14" t="s">
        <v>143</v>
      </c>
      <c r="AU425" s="14" t="s">
        <v>19</v>
      </c>
    </row>
    <row r="426" spans="2:65" s="1" customFormat="1" ht="48">
      <c r="B426" s="26"/>
      <c r="D426" s="132" t="s">
        <v>145</v>
      </c>
      <c r="F426" s="135" t="s">
        <v>704</v>
      </c>
      <c r="L426" s="26"/>
      <c r="M426" s="134"/>
      <c r="T426" s="50"/>
      <c r="AT426" s="14" t="s">
        <v>145</v>
      </c>
      <c r="AU426" s="14" t="s">
        <v>19</v>
      </c>
    </row>
    <row r="427" spans="2:65" s="11" customFormat="1">
      <c r="B427" s="136"/>
      <c r="D427" s="132" t="s">
        <v>147</v>
      </c>
      <c r="E427" s="137" t="s">
        <v>730</v>
      </c>
      <c r="F427" s="138" t="s">
        <v>731</v>
      </c>
      <c r="H427" s="139">
        <v>1435</v>
      </c>
      <c r="L427" s="136"/>
      <c r="M427" s="140"/>
      <c r="T427" s="141"/>
      <c r="AT427" s="137" t="s">
        <v>147</v>
      </c>
      <c r="AU427" s="137" t="s">
        <v>19</v>
      </c>
      <c r="AV427" s="11" t="s">
        <v>149</v>
      </c>
      <c r="AW427" s="11" t="s">
        <v>39</v>
      </c>
      <c r="AX427" s="11" t="s">
        <v>81</v>
      </c>
      <c r="AY427" s="137" t="s">
        <v>136</v>
      </c>
    </row>
    <row r="428" spans="2:65" s="11" customFormat="1">
      <c r="B428" s="136"/>
      <c r="D428" s="132" t="s">
        <v>147</v>
      </c>
      <c r="E428" s="137" t="s">
        <v>732</v>
      </c>
      <c r="F428" s="138" t="s">
        <v>733</v>
      </c>
      <c r="H428" s="139">
        <v>182</v>
      </c>
      <c r="L428" s="136"/>
      <c r="M428" s="140"/>
      <c r="T428" s="141"/>
      <c r="AT428" s="137" t="s">
        <v>147</v>
      </c>
      <c r="AU428" s="137" t="s">
        <v>19</v>
      </c>
      <c r="AV428" s="11" t="s">
        <v>149</v>
      </c>
      <c r="AW428" s="11" t="s">
        <v>39</v>
      </c>
      <c r="AX428" s="11" t="s">
        <v>81</v>
      </c>
      <c r="AY428" s="137" t="s">
        <v>136</v>
      </c>
    </row>
    <row r="429" spans="2:65" s="11" customFormat="1">
      <c r="B429" s="136"/>
      <c r="D429" s="132" t="s">
        <v>147</v>
      </c>
      <c r="E429" s="137" t="s">
        <v>734</v>
      </c>
      <c r="F429" s="138" t="s">
        <v>735</v>
      </c>
      <c r="H429" s="139">
        <v>60</v>
      </c>
      <c r="L429" s="136"/>
      <c r="M429" s="140"/>
      <c r="T429" s="141"/>
      <c r="AT429" s="137" t="s">
        <v>147</v>
      </c>
      <c r="AU429" s="137" t="s">
        <v>19</v>
      </c>
      <c r="AV429" s="11" t="s">
        <v>149</v>
      </c>
      <c r="AW429" s="11" t="s">
        <v>39</v>
      </c>
      <c r="AX429" s="11" t="s">
        <v>81</v>
      </c>
      <c r="AY429" s="137" t="s">
        <v>136</v>
      </c>
    </row>
    <row r="430" spans="2:65" s="11" customFormat="1">
      <c r="B430" s="136"/>
      <c r="D430" s="132" t="s">
        <v>147</v>
      </c>
      <c r="E430" s="137" t="s">
        <v>736</v>
      </c>
      <c r="F430" s="138" t="s">
        <v>737</v>
      </c>
      <c r="H430" s="139">
        <v>1677</v>
      </c>
      <c r="L430" s="136"/>
      <c r="M430" s="140"/>
      <c r="T430" s="141"/>
      <c r="AT430" s="137" t="s">
        <v>147</v>
      </c>
      <c r="AU430" s="137" t="s">
        <v>19</v>
      </c>
      <c r="AV430" s="11" t="s">
        <v>149</v>
      </c>
      <c r="AW430" s="11" t="s">
        <v>39</v>
      </c>
      <c r="AX430" s="11" t="s">
        <v>19</v>
      </c>
      <c r="AY430" s="137" t="s">
        <v>136</v>
      </c>
    </row>
    <row r="431" spans="2:65" s="1" customFormat="1" ht="24.15" customHeight="1">
      <c r="B431" s="119"/>
      <c r="C431" s="120" t="s">
        <v>738</v>
      </c>
      <c r="D431" s="120" t="s">
        <v>137</v>
      </c>
      <c r="E431" s="121" t="s">
        <v>739</v>
      </c>
      <c r="F431" s="122" t="s">
        <v>740</v>
      </c>
      <c r="G431" s="123" t="s">
        <v>312</v>
      </c>
      <c r="H431" s="124">
        <v>1683</v>
      </c>
      <c r="I431" s="125">
        <v>0</v>
      </c>
      <c r="J431" s="125">
        <f>ROUND(I431*H431,2)</f>
        <v>0</v>
      </c>
      <c r="K431" s="122" t="s">
        <v>141</v>
      </c>
      <c r="L431" s="26"/>
      <c r="M431" s="126" t="s">
        <v>1</v>
      </c>
      <c r="N431" s="127" t="s">
        <v>46</v>
      </c>
      <c r="O431" s="128">
        <v>0</v>
      </c>
      <c r="P431" s="128">
        <f>O431*H431</f>
        <v>0</v>
      </c>
      <c r="Q431" s="128">
        <v>0</v>
      </c>
      <c r="R431" s="128">
        <f>Q431*H431</f>
        <v>0</v>
      </c>
      <c r="S431" s="128">
        <v>0</v>
      </c>
      <c r="T431" s="129">
        <f>S431*H431</f>
        <v>0</v>
      </c>
      <c r="AR431" s="130" t="s">
        <v>135</v>
      </c>
      <c r="AT431" s="130" t="s">
        <v>137</v>
      </c>
      <c r="AU431" s="130" t="s">
        <v>19</v>
      </c>
      <c r="AY431" s="14" t="s">
        <v>136</v>
      </c>
      <c r="BE431" s="131">
        <f>IF(N431="základní",J431,0)</f>
        <v>0</v>
      </c>
      <c r="BF431" s="131">
        <f>IF(N431="snížená",J431,0)</f>
        <v>0</v>
      </c>
      <c r="BG431" s="131">
        <f>IF(N431="zákl. přenesená",J431,0)</f>
        <v>0</v>
      </c>
      <c r="BH431" s="131">
        <f>IF(N431="sníž. přenesená",J431,0)</f>
        <v>0</v>
      </c>
      <c r="BI431" s="131">
        <f>IF(N431="nulová",J431,0)</f>
        <v>0</v>
      </c>
      <c r="BJ431" s="14" t="s">
        <v>19</v>
      </c>
      <c r="BK431" s="131">
        <f>ROUND(I431*H431,2)</f>
        <v>0</v>
      </c>
      <c r="BL431" s="14" t="s">
        <v>135</v>
      </c>
      <c r="BM431" s="130" t="s">
        <v>741</v>
      </c>
    </row>
    <row r="432" spans="2:65" s="1" customFormat="1" ht="19.2">
      <c r="B432" s="26"/>
      <c r="D432" s="132" t="s">
        <v>143</v>
      </c>
      <c r="F432" s="133" t="s">
        <v>740</v>
      </c>
      <c r="L432" s="26"/>
      <c r="M432" s="134"/>
      <c r="T432" s="50"/>
      <c r="AT432" s="14" t="s">
        <v>143</v>
      </c>
      <c r="AU432" s="14" t="s">
        <v>19</v>
      </c>
    </row>
    <row r="433" spans="2:65" s="1" customFormat="1" ht="134.4">
      <c r="B433" s="26"/>
      <c r="D433" s="132" t="s">
        <v>145</v>
      </c>
      <c r="F433" s="135" t="s">
        <v>716</v>
      </c>
      <c r="L433" s="26"/>
      <c r="M433" s="134"/>
      <c r="T433" s="50"/>
      <c r="AT433" s="14" t="s">
        <v>145</v>
      </c>
      <c r="AU433" s="14" t="s">
        <v>19</v>
      </c>
    </row>
    <row r="434" spans="2:65" s="11" customFormat="1">
      <c r="B434" s="136"/>
      <c r="D434" s="132" t="s">
        <v>147</v>
      </c>
      <c r="E434" s="137" t="s">
        <v>742</v>
      </c>
      <c r="F434" s="138" t="s">
        <v>731</v>
      </c>
      <c r="H434" s="139">
        <v>1435</v>
      </c>
      <c r="L434" s="136"/>
      <c r="M434" s="140"/>
      <c r="T434" s="141"/>
      <c r="AT434" s="137" t="s">
        <v>147</v>
      </c>
      <c r="AU434" s="137" t="s">
        <v>19</v>
      </c>
      <c r="AV434" s="11" t="s">
        <v>149</v>
      </c>
      <c r="AW434" s="11" t="s">
        <v>39</v>
      </c>
      <c r="AX434" s="11" t="s">
        <v>81</v>
      </c>
      <c r="AY434" s="137" t="s">
        <v>136</v>
      </c>
    </row>
    <row r="435" spans="2:65" s="11" customFormat="1">
      <c r="B435" s="136"/>
      <c r="D435" s="132" t="s">
        <v>147</v>
      </c>
      <c r="E435" s="137" t="s">
        <v>743</v>
      </c>
      <c r="F435" s="138" t="s">
        <v>733</v>
      </c>
      <c r="H435" s="139">
        <v>182</v>
      </c>
      <c r="L435" s="136"/>
      <c r="M435" s="140"/>
      <c r="T435" s="141"/>
      <c r="AT435" s="137" t="s">
        <v>147</v>
      </c>
      <c r="AU435" s="137" t="s">
        <v>19</v>
      </c>
      <c r="AV435" s="11" t="s">
        <v>149</v>
      </c>
      <c r="AW435" s="11" t="s">
        <v>39</v>
      </c>
      <c r="AX435" s="11" t="s">
        <v>81</v>
      </c>
      <c r="AY435" s="137" t="s">
        <v>136</v>
      </c>
    </row>
    <row r="436" spans="2:65" s="11" customFormat="1">
      <c r="B436" s="136"/>
      <c r="D436" s="132" t="s">
        <v>147</v>
      </c>
      <c r="E436" s="137" t="s">
        <v>744</v>
      </c>
      <c r="F436" s="138" t="s">
        <v>745</v>
      </c>
      <c r="H436" s="139">
        <v>66</v>
      </c>
      <c r="L436" s="136"/>
      <c r="M436" s="140"/>
      <c r="T436" s="141"/>
      <c r="AT436" s="137" t="s">
        <v>147</v>
      </c>
      <c r="AU436" s="137" t="s">
        <v>19</v>
      </c>
      <c r="AV436" s="11" t="s">
        <v>149</v>
      </c>
      <c r="AW436" s="11" t="s">
        <v>39</v>
      </c>
      <c r="AX436" s="11" t="s">
        <v>81</v>
      </c>
      <c r="AY436" s="137" t="s">
        <v>136</v>
      </c>
    </row>
    <row r="437" spans="2:65" s="11" customFormat="1">
      <c r="B437" s="136"/>
      <c r="D437" s="132" t="s">
        <v>147</v>
      </c>
      <c r="E437" s="137" t="s">
        <v>746</v>
      </c>
      <c r="F437" s="138" t="s">
        <v>747</v>
      </c>
      <c r="H437" s="139">
        <v>1683</v>
      </c>
      <c r="L437" s="136"/>
      <c r="M437" s="140"/>
      <c r="T437" s="141"/>
      <c r="AT437" s="137" t="s">
        <v>147</v>
      </c>
      <c r="AU437" s="137" t="s">
        <v>19</v>
      </c>
      <c r="AV437" s="11" t="s">
        <v>149</v>
      </c>
      <c r="AW437" s="11" t="s">
        <v>39</v>
      </c>
      <c r="AX437" s="11" t="s">
        <v>19</v>
      </c>
      <c r="AY437" s="137" t="s">
        <v>136</v>
      </c>
    </row>
    <row r="438" spans="2:65" s="1" customFormat="1" ht="24.15" customHeight="1">
      <c r="B438" s="119"/>
      <c r="C438" s="120" t="s">
        <v>735</v>
      </c>
      <c r="D438" s="120" t="s">
        <v>137</v>
      </c>
      <c r="E438" s="121" t="s">
        <v>748</v>
      </c>
      <c r="F438" s="122" t="s">
        <v>749</v>
      </c>
      <c r="G438" s="123" t="s">
        <v>152</v>
      </c>
      <c r="H438" s="124">
        <v>4</v>
      </c>
      <c r="I438" s="125">
        <v>0</v>
      </c>
      <c r="J438" s="125">
        <f>ROUND(I438*H438,2)</f>
        <v>0</v>
      </c>
      <c r="K438" s="122" t="s">
        <v>141</v>
      </c>
      <c r="L438" s="26"/>
      <c r="M438" s="126" t="s">
        <v>1</v>
      </c>
      <c r="N438" s="127" t="s">
        <v>46</v>
      </c>
      <c r="O438" s="128">
        <v>0</v>
      </c>
      <c r="P438" s="128">
        <f>O438*H438</f>
        <v>0</v>
      </c>
      <c r="Q438" s="128">
        <v>0</v>
      </c>
      <c r="R438" s="128">
        <f>Q438*H438</f>
        <v>0</v>
      </c>
      <c r="S438" s="128">
        <v>0</v>
      </c>
      <c r="T438" s="129">
        <f>S438*H438</f>
        <v>0</v>
      </c>
      <c r="AR438" s="130" t="s">
        <v>135</v>
      </c>
      <c r="AT438" s="130" t="s">
        <v>137</v>
      </c>
      <c r="AU438" s="130" t="s">
        <v>19</v>
      </c>
      <c r="AY438" s="14" t="s">
        <v>136</v>
      </c>
      <c r="BE438" s="131">
        <f>IF(N438="základní",J438,0)</f>
        <v>0</v>
      </c>
      <c r="BF438" s="131">
        <f>IF(N438="snížená",J438,0)</f>
        <v>0</v>
      </c>
      <c r="BG438" s="131">
        <f>IF(N438="zákl. přenesená",J438,0)</f>
        <v>0</v>
      </c>
      <c r="BH438" s="131">
        <f>IF(N438="sníž. přenesená",J438,0)</f>
        <v>0</v>
      </c>
      <c r="BI438" s="131">
        <f>IF(N438="nulová",J438,0)</f>
        <v>0</v>
      </c>
      <c r="BJ438" s="14" t="s">
        <v>19</v>
      </c>
      <c r="BK438" s="131">
        <f>ROUND(I438*H438,2)</f>
        <v>0</v>
      </c>
      <c r="BL438" s="14" t="s">
        <v>135</v>
      </c>
      <c r="BM438" s="130" t="s">
        <v>750</v>
      </c>
    </row>
    <row r="439" spans="2:65" s="1" customFormat="1" ht="19.2">
      <c r="B439" s="26"/>
      <c r="D439" s="132" t="s">
        <v>143</v>
      </c>
      <c r="F439" s="133" t="s">
        <v>749</v>
      </c>
      <c r="L439" s="26"/>
      <c r="M439" s="134"/>
      <c r="T439" s="50"/>
      <c r="AT439" s="14" t="s">
        <v>143</v>
      </c>
      <c r="AU439" s="14" t="s">
        <v>19</v>
      </c>
    </row>
    <row r="440" spans="2:65" s="1" customFormat="1" ht="48">
      <c r="B440" s="26"/>
      <c r="D440" s="132" t="s">
        <v>145</v>
      </c>
      <c r="F440" s="135" t="s">
        <v>751</v>
      </c>
      <c r="L440" s="26"/>
      <c r="M440" s="134"/>
      <c r="T440" s="50"/>
      <c r="AT440" s="14" t="s">
        <v>145</v>
      </c>
      <c r="AU440" s="14" t="s">
        <v>19</v>
      </c>
    </row>
    <row r="441" spans="2:65" s="11" customFormat="1" ht="20.399999999999999">
      <c r="B441" s="136"/>
      <c r="D441" s="132" t="s">
        <v>147</v>
      </c>
      <c r="E441" s="137" t="s">
        <v>752</v>
      </c>
      <c r="F441" s="138" t="s">
        <v>753</v>
      </c>
      <c r="H441" s="139">
        <v>3.8000000000000003</v>
      </c>
      <c r="L441" s="136"/>
      <c r="M441" s="140"/>
      <c r="T441" s="141"/>
      <c r="AT441" s="137" t="s">
        <v>147</v>
      </c>
      <c r="AU441" s="137" t="s">
        <v>19</v>
      </c>
      <c r="AV441" s="11" t="s">
        <v>149</v>
      </c>
      <c r="AW441" s="11" t="s">
        <v>39</v>
      </c>
      <c r="AX441" s="11" t="s">
        <v>81</v>
      </c>
      <c r="AY441" s="137" t="s">
        <v>136</v>
      </c>
    </row>
    <row r="442" spans="2:65" s="11" customFormat="1">
      <c r="B442" s="136"/>
      <c r="D442" s="132" t="s">
        <v>147</v>
      </c>
      <c r="E442" s="137" t="s">
        <v>754</v>
      </c>
      <c r="F442" s="138" t="s">
        <v>755</v>
      </c>
      <c r="H442" s="139">
        <v>0.2</v>
      </c>
      <c r="L442" s="136"/>
      <c r="M442" s="140"/>
      <c r="T442" s="141"/>
      <c r="AT442" s="137" t="s">
        <v>147</v>
      </c>
      <c r="AU442" s="137" t="s">
        <v>19</v>
      </c>
      <c r="AV442" s="11" t="s">
        <v>149</v>
      </c>
      <c r="AW442" s="11" t="s">
        <v>39</v>
      </c>
      <c r="AX442" s="11" t="s">
        <v>81</v>
      </c>
      <c r="AY442" s="137" t="s">
        <v>136</v>
      </c>
    </row>
    <row r="443" spans="2:65" s="11" customFormat="1">
      <c r="B443" s="136"/>
      <c r="D443" s="132" t="s">
        <v>147</v>
      </c>
      <c r="E443" s="137" t="s">
        <v>756</v>
      </c>
      <c r="F443" s="138" t="s">
        <v>757</v>
      </c>
      <c r="H443" s="139">
        <v>4</v>
      </c>
      <c r="L443" s="136"/>
      <c r="M443" s="140"/>
      <c r="T443" s="141"/>
      <c r="AT443" s="137" t="s">
        <v>147</v>
      </c>
      <c r="AU443" s="137" t="s">
        <v>19</v>
      </c>
      <c r="AV443" s="11" t="s">
        <v>149</v>
      </c>
      <c r="AW443" s="11" t="s">
        <v>39</v>
      </c>
      <c r="AX443" s="11" t="s">
        <v>19</v>
      </c>
      <c r="AY443" s="137" t="s">
        <v>136</v>
      </c>
    </row>
    <row r="444" spans="2:65" s="1" customFormat="1" ht="24.15" customHeight="1">
      <c r="B444" s="119"/>
      <c r="C444" s="120" t="s">
        <v>758</v>
      </c>
      <c r="D444" s="120" t="s">
        <v>137</v>
      </c>
      <c r="E444" s="121" t="s">
        <v>759</v>
      </c>
      <c r="F444" s="122" t="s">
        <v>760</v>
      </c>
      <c r="G444" s="123" t="s">
        <v>152</v>
      </c>
      <c r="H444" s="124">
        <v>38</v>
      </c>
      <c r="I444" s="125">
        <v>0</v>
      </c>
      <c r="J444" s="125">
        <f>ROUND(I444*H444,2)</f>
        <v>0</v>
      </c>
      <c r="K444" s="122" t="s">
        <v>141</v>
      </c>
      <c r="L444" s="26"/>
      <c r="M444" s="126" t="s">
        <v>1</v>
      </c>
      <c r="N444" s="127" t="s">
        <v>46</v>
      </c>
      <c r="O444" s="128">
        <v>0</v>
      </c>
      <c r="P444" s="128">
        <f>O444*H444</f>
        <v>0</v>
      </c>
      <c r="Q444" s="128">
        <v>0</v>
      </c>
      <c r="R444" s="128">
        <f>Q444*H444</f>
        <v>0</v>
      </c>
      <c r="S444" s="128">
        <v>0</v>
      </c>
      <c r="T444" s="129">
        <f>S444*H444</f>
        <v>0</v>
      </c>
      <c r="AR444" s="130" t="s">
        <v>135</v>
      </c>
      <c r="AT444" s="130" t="s">
        <v>137</v>
      </c>
      <c r="AU444" s="130" t="s">
        <v>19</v>
      </c>
      <c r="AY444" s="14" t="s">
        <v>136</v>
      </c>
      <c r="BE444" s="131">
        <f>IF(N444="základní",J444,0)</f>
        <v>0</v>
      </c>
      <c r="BF444" s="131">
        <f>IF(N444="snížená",J444,0)</f>
        <v>0</v>
      </c>
      <c r="BG444" s="131">
        <f>IF(N444="zákl. přenesená",J444,0)</f>
        <v>0</v>
      </c>
      <c r="BH444" s="131">
        <f>IF(N444="sníž. přenesená",J444,0)</f>
        <v>0</v>
      </c>
      <c r="BI444" s="131">
        <f>IF(N444="nulová",J444,0)</f>
        <v>0</v>
      </c>
      <c r="BJ444" s="14" t="s">
        <v>19</v>
      </c>
      <c r="BK444" s="131">
        <f>ROUND(I444*H444,2)</f>
        <v>0</v>
      </c>
      <c r="BL444" s="14" t="s">
        <v>135</v>
      </c>
      <c r="BM444" s="130" t="s">
        <v>761</v>
      </c>
    </row>
    <row r="445" spans="2:65" s="1" customFormat="1" ht="19.2">
      <c r="B445" s="26"/>
      <c r="D445" s="132" t="s">
        <v>143</v>
      </c>
      <c r="F445" s="133" t="s">
        <v>760</v>
      </c>
      <c r="L445" s="26"/>
      <c r="M445" s="134"/>
      <c r="T445" s="50"/>
      <c r="AT445" s="14" t="s">
        <v>143</v>
      </c>
      <c r="AU445" s="14" t="s">
        <v>19</v>
      </c>
    </row>
    <row r="446" spans="2:65" s="1" customFormat="1" ht="38.4">
      <c r="B446" s="26"/>
      <c r="D446" s="132" t="s">
        <v>145</v>
      </c>
      <c r="F446" s="135" t="s">
        <v>762</v>
      </c>
      <c r="L446" s="26"/>
      <c r="M446" s="134"/>
      <c r="T446" s="50"/>
      <c r="AT446" s="14" t="s">
        <v>145</v>
      </c>
      <c r="AU446" s="14" t="s">
        <v>19</v>
      </c>
    </row>
    <row r="447" spans="2:65" s="11" customFormat="1">
      <c r="B447" s="136"/>
      <c r="D447" s="132" t="s">
        <v>147</v>
      </c>
      <c r="E447" s="137" t="s">
        <v>763</v>
      </c>
      <c r="F447" s="138" t="s">
        <v>764</v>
      </c>
      <c r="H447" s="139">
        <v>37.274999999999999</v>
      </c>
      <c r="L447" s="136"/>
      <c r="M447" s="140"/>
      <c r="T447" s="141"/>
      <c r="AT447" s="137" t="s">
        <v>147</v>
      </c>
      <c r="AU447" s="137" t="s">
        <v>19</v>
      </c>
      <c r="AV447" s="11" t="s">
        <v>149</v>
      </c>
      <c r="AW447" s="11" t="s">
        <v>39</v>
      </c>
      <c r="AX447" s="11" t="s">
        <v>81</v>
      </c>
      <c r="AY447" s="137" t="s">
        <v>136</v>
      </c>
    </row>
    <row r="448" spans="2:65" s="11" customFormat="1">
      <c r="B448" s="136"/>
      <c r="D448" s="132" t="s">
        <v>147</v>
      </c>
      <c r="E448" s="137" t="s">
        <v>765</v>
      </c>
      <c r="F448" s="138" t="s">
        <v>766</v>
      </c>
      <c r="H448" s="139">
        <v>0.72499999999999998</v>
      </c>
      <c r="L448" s="136"/>
      <c r="M448" s="140"/>
      <c r="T448" s="141"/>
      <c r="AT448" s="137" t="s">
        <v>147</v>
      </c>
      <c r="AU448" s="137" t="s">
        <v>19</v>
      </c>
      <c r="AV448" s="11" t="s">
        <v>149</v>
      </c>
      <c r="AW448" s="11" t="s">
        <v>39</v>
      </c>
      <c r="AX448" s="11" t="s">
        <v>81</v>
      </c>
      <c r="AY448" s="137" t="s">
        <v>136</v>
      </c>
    </row>
    <row r="449" spans="2:65" s="11" customFormat="1">
      <c r="B449" s="136"/>
      <c r="D449" s="132" t="s">
        <v>147</v>
      </c>
      <c r="E449" s="137" t="s">
        <v>767</v>
      </c>
      <c r="F449" s="138" t="s">
        <v>768</v>
      </c>
      <c r="H449" s="139">
        <v>38</v>
      </c>
      <c r="L449" s="136"/>
      <c r="M449" s="140"/>
      <c r="T449" s="141"/>
      <c r="AT449" s="137" t="s">
        <v>147</v>
      </c>
      <c r="AU449" s="137" t="s">
        <v>19</v>
      </c>
      <c r="AV449" s="11" t="s">
        <v>149</v>
      </c>
      <c r="AW449" s="11" t="s">
        <v>39</v>
      </c>
      <c r="AX449" s="11" t="s">
        <v>19</v>
      </c>
      <c r="AY449" s="137" t="s">
        <v>136</v>
      </c>
    </row>
    <row r="450" spans="2:65" s="1" customFormat="1" ht="37.950000000000003" customHeight="1">
      <c r="B450" s="119"/>
      <c r="C450" s="120" t="s">
        <v>769</v>
      </c>
      <c r="D450" s="120" t="s">
        <v>137</v>
      </c>
      <c r="E450" s="121" t="s">
        <v>770</v>
      </c>
      <c r="F450" s="122" t="s">
        <v>771</v>
      </c>
      <c r="G450" s="123" t="s">
        <v>152</v>
      </c>
      <c r="H450" s="124">
        <v>98</v>
      </c>
      <c r="I450" s="125">
        <v>0</v>
      </c>
      <c r="J450" s="125">
        <f>ROUND(I450*H450,2)</f>
        <v>0</v>
      </c>
      <c r="K450" s="122" t="s">
        <v>1</v>
      </c>
      <c r="L450" s="26"/>
      <c r="M450" s="126" t="s">
        <v>1</v>
      </c>
      <c r="N450" s="127" t="s">
        <v>46</v>
      </c>
      <c r="O450" s="128">
        <v>0</v>
      </c>
      <c r="P450" s="128">
        <f>O450*H450</f>
        <v>0</v>
      </c>
      <c r="Q450" s="128">
        <v>0</v>
      </c>
      <c r="R450" s="128">
        <f>Q450*H450</f>
        <v>0</v>
      </c>
      <c r="S450" s="128">
        <v>0</v>
      </c>
      <c r="T450" s="129">
        <f>S450*H450</f>
        <v>0</v>
      </c>
      <c r="AR450" s="130" t="s">
        <v>135</v>
      </c>
      <c r="AT450" s="130" t="s">
        <v>137</v>
      </c>
      <c r="AU450" s="130" t="s">
        <v>19</v>
      </c>
      <c r="AY450" s="14" t="s">
        <v>136</v>
      </c>
      <c r="BE450" s="131">
        <f>IF(N450="základní",J450,0)</f>
        <v>0</v>
      </c>
      <c r="BF450" s="131">
        <f>IF(N450="snížená",J450,0)</f>
        <v>0</v>
      </c>
      <c r="BG450" s="131">
        <f>IF(N450="zákl. přenesená",J450,0)</f>
        <v>0</v>
      </c>
      <c r="BH450" s="131">
        <f>IF(N450="sníž. přenesená",J450,0)</f>
        <v>0</v>
      </c>
      <c r="BI450" s="131">
        <f>IF(N450="nulová",J450,0)</f>
        <v>0</v>
      </c>
      <c r="BJ450" s="14" t="s">
        <v>19</v>
      </c>
      <c r="BK450" s="131">
        <f>ROUND(I450*H450,2)</f>
        <v>0</v>
      </c>
      <c r="BL450" s="14" t="s">
        <v>135</v>
      </c>
      <c r="BM450" s="130" t="s">
        <v>772</v>
      </c>
    </row>
    <row r="451" spans="2:65" s="1" customFormat="1" ht="28.8">
      <c r="B451" s="26"/>
      <c r="D451" s="132" t="s">
        <v>143</v>
      </c>
      <c r="F451" s="133" t="s">
        <v>773</v>
      </c>
      <c r="L451" s="26"/>
      <c r="M451" s="134"/>
      <c r="T451" s="50"/>
      <c r="AT451" s="14" t="s">
        <v>143</v>
      </c>
      <c r="AU451" s="14" t="s">
        <v>19</v>
      </c>
    </row>
    <row r="452" spans="2:65" s="1" customFormat="1" ht="48">
      <c r="B452" s="26"/>
      <c r="D452" s="132" t="s">
        <v>145</v>
      </c>
      <c r="F452" s="135" t="s">
        <v>751</v>
      </c>
      <c r="L452" s="26"/>
      <c r="M452" s="134"/>
      <c r="T452" s="50"/>
      <c r="AT452" s="14" t="s">
        <v>145</v>
      </c>
      <c r="AU452" s="14" t="s">
        <v>19</v>
      </c>
    </row>
    <row r="453" spans="2:65" s="11" customFormat="1">
      <c r="B453" s="136"/>
      <c r="D453" s="132" t="s">
        <v>147</v>
      </c>
      <c r="E453" s="137" t="s">
        <v>774</v>
      </c>
      <c r="F453" s="138" t="s">
        <v>775</v>
      </c>
      <c r="H453" s="139">
        <v>84.15</v>
      </c>
      <c r="L453" s="136"/>
      <c r="M453" s="140"/>
      <c r="T453" s="141"/>
      <c r="AT453" s="137" t="s">
        <v>147</v>
      </c>
      <c r="AU453" s="137" t="s">
        <v>19</v>
      </c>
      <c r="AV453" s="11" t="s">
        <v>149</v>
      </c>
      <c r="AW453" s="11" t="s">
        <v>39</v>
      </c>
      <c r="AX453" s="11" t="s">
        <v>81</v>
      </c>
      <c r="AY453" s="137" t="s">
        <v>136</v>
      </c>
    </row>
    <row r="454" spans="2:65" s="11" customFormat="1">
      <c r="B454" s="136"/>
      <c r="D454" s="132" t="s">
        <v>147</v>
      </c>
      <c r="E454" s="137" t="s">
        <v>776</v>
      </c>
      <c r="F454" s="138" t="s">
        <v>777</v>
      </c>
      <c r="H454" s="139">
        <v>9.3000000000000007</v>
      </c>
      <c r="L454" s="136"/>
      <c r="M454" s="140"/>
      <c r="T454" s="141"/>
      <c r="AT454" s="137" t="s">
        <v>147</v>
      </c>
      <c r="AU454" s="137" t="s">
        <v>19</v>
      </c>
      <c r="AV454" s="11" t="s">
        <v>149</v>
      </c>
      <c r="AW454" s="11" t="s">
        <v>39</v>
      </c>
      <c r="AX454" s="11" t="s">
        <v>81</v>
      </c>
      <c r="AY454" s="137" t="s">
        <v>136</v>
      </c>
    </row>
    <row r="455" spans="2:65" s="11" customFormat="1">
      <c r="B455" s="136"/>
      <c r="D455" s="132" t="s">
        <v>147</v>
      </c>
      <c r="E455" s="137" t="s">
        <v>778</v>
      </c>
      <c r="F455" s="138" t="s">
        <v>779</v>
      </c>
      <c r="H455" s="139">
        <v>4.3</v>
      </c>
      <c r="L455" s="136"/>
      <c r="M455" s="140"/>
      <c r="T455" s="141"/>
      <c r="AT455" s="137" t="s">
        <v>147</v>
      </c>
      <c r="AU455" s="137" t="s">
        <v>19</v>
      </c>
      <c r="AV455" s="11" t="s">
        <v>149</v>
      </c>
      <c r="AW455" s="11" t="s">
        <v>39</v>
      </c>
      <c r="AX455" s="11" t="s">
        <v>81</v>
      </c>
      <c r="AY455" s="137" t="s">
        <v>136</v>
      </c>
    </row>
    <row r="456" spans="2:65" s="11" customFormat="1">
      <c r="B456" s="136"/>
      <c r="D456" s="132" t="s">
        <v>147</v>
      </c>
      <c r="E456" s="137" t="s">
        <v>780</v>
      </c>
      <c r="F456" s="138" t="s">
        <v>781</v>
      </c>
      <c r="H456" s="139">
        <v>0.25</v>
      </c>
      <c r="L456" s="136"/>
      <c r="M456" s="140"/>
      <c r="T456" s="141"/>
      <c r="AT456" s="137" t="s">
        <v>147</v>
      </c>
      <c r="AU456" s="137" t="s">
        <v>19</v>
      </c>
      <c r="AV456" s="11" t="s">
        <v>149</v>
      </c>
      <c r="AW456" s="11" t="s">
        <v>39</v>
      </c>
      <c r="AX456" s="11" t="s">
        <v>81</v>
      </c>
      <c r="AY456" s="137" t="s">
        <v>136</v>
      </c>
    </row>
    <row r="457" spans="2:65" s="11" customFormat="1">
      <c r="B457" s="136"/>
      <c r="D457" s="132" t="s">
        <v>147</v>
      </c>
      <c r="E457" s="137" t="s">
        <v>782</v>
      </c>
      <c r="F457" s="138" t="s">
        <v>783</v>
      </c>
      <c r="H457" s="139">
        <v>98</v>
      </c>
      <c r="L457" s="136"/>
      <c r="M457" s="140"/>
      <c r="T457" s="141"/>
      <c r="AT457" s="137" t="s">
        <v>147</v>
      </c>
      <c r="AU457" s="137" t="s">
        <v>19</v>
      </c>
      <c r="AV457" s="11" t="s">
        <v>149</v>
      </c>
      <c r="AW457" s="11" t="s">
        <v>39</v>
      </c>
      <c r="AX457" s="11" t="s">
        <v>19</v>
      </c>
      <c r="AY457" s="137" t="s">
        <v>136</v>
      </c>
    </row>
    <row r="458" spans="2:65" s="1" customFormat="1" ht="16.5" customHeight="1">
      <c r="B458" s="119"/>
      <c r="C458" s="120" t="s">
        <v>784</v>
      </c>
      <c r="D458" s="120" t="s">
        <v>137</v>
      </c>
      <c r="E458" s="121" t="s">
        <v>785</v>
      </c>
      <c r="F458" s="122" t="s">
        <v>786</v>
      </c>
      <c r="G458" s="123" t="s">
        <v>152</v>
      </c>
      <c r="H458" s="124">
        <v>90</v>
      </c>
      <c r="I458" s="125">
        <v>0</v>
      </c>
      <c r="J458" s="125">
        <f>ROUND(I458*H458,2)</f>
        <v>0</v>
      </c>
      <c r="K458" s="122" t="s">
        <v>1</v>
      </c>
      <c r="L458" s="26"/>
      <c r="M458" s="126" t="s">
        <v>1</v>
      </c>
      <c r="N458" s="127" t="s">
        <v>46</v>
      </c>
      <c r="O458" s="128">
        <v>0</v>
      </c>
      <c r="P458" s="128">
        <f>O458*H458</f>
        <v>0</v>
      </c>
      <c r="Q458" s="128">
        <v>0</v>
      </c>
      <c r="R458" s="128">
        <f>Q458*H458</f>
        <v>0</v>
      </c>
      <c r="S458" s="128">
        <v>0</v>
      </c>
      <c r="T458" s="129">
        <f>S458*H458</f>
        <v>0</v>
      </c>
      <c r="AR458" s="130" t="s">
        <v>135</v>
      </c>
      <c r="AT458" s="130" t="s">
        <v>137</v>
      </c>
      <c r="AU458" s="130" t="s">
        <v>19</v>
      </c>
      <c r="AY458" s="14" t="s">
        <v>136</v>
      </c>
      <c r="BE458" s="131">
        <f>IF(N458="základní",J458,0)</f>
        <v>0</v>
      </c>
      <c r="BF458" s="131">
        <f>IF(N458="snížená",J458,0)</f>
        <v>0</v>
      </c>
      <c r="BG458" s="131">
        <f>IF(N458="zákl. přenesená",J458,0)</f>
        <v>0</v>
      </c>
      <c r="BH458" s="131">
        <f>IF(N458="sníž. přenesená",J458,0)</f>
        <v>0</v>
      </c>
      <c r="BI458" s="131">
        <f>IF(N458="nulová",J458,0)</f>
        <v>0</v>
      </c>
      <c r="BJ458" s="14" t="s">
        <v>19</v>
      </c>
      <c r="BK458" s="131">
        <f>ROUND(I458*H458,2)</f>
        <v>0</v>
      </c>
      <c r="BL458" s="14" t="s">
        <v>135</v>
      </c>
      <c r="BM458" s="130" t="s">
        <v>787</v>
      </c>
    </row>
    <row r="459" spans="2:65" s="1" customFormat="1">
      <c r="B459" s="26"/>
      <c r="D459" s="132" t="s">
        <v>143</v>
      </c>
      <c r="F459" s="133" t="s">
        <v>788</v>
      </c>
      <c r="L459" s="26"/>
      <c r="M459" s="134"/>
      <c r="T459" s="50"/>
      <c r="AT459" s="14" t="s">
        <v>143</v>
      </c>
      <c r="AU459" s="14" t="s">
        <v>19</v>
      </c>
    </row>
    <row r="460" spans="2:65" s="1" customFormat="1" ht="48">
      <c r="B460" s="26"/>
      <c r="D460" s="132" t="s">
        <v>145</v>
      </c>
      <c r="F460" s="135" t="s">
        <v>789</v>
      </c>
      <c r="L460" s="26"/>
      <c r="M460" s="134"/>
      <c r="T460" s="50"/>
      <c r="AT460" s="14" t="s">
        <v>145</v>
      </c>
      <c r="AU460" s="14" t="s">
        <v>19</v>
      </c>
    </row>
    <row r="461" spans="2:65" s="11" customFormat="1">
      <c r="B461" s="136"/>
      <c r="D461" s="132" t="s">
        <v>147</v>
      </c>
      <c r="E461" s="137" t="s">
        <v>790</v>
      </c>
      <c r="F461" s="138" t="s">
        <v>791</v>
      </c>
      <c r="H461" s="139">
        <v>90</v>
      </c>
      <c r="L461" s="136"/>
      <c r="M461" s="140"/>
      <c r="T461" s="141"/>
      <c r="AT461" s="137" t="s">
        <v>147</v>
      </c>
      <c r="AU461" s="137" t="s">
        <v>19</v>
      </c>
      <c r="AV461" s="11" t="s">
        <v>149</v>
      </c>
      <c r="AW461" s="11" t="s">
        <v>39</v>
      </c>
      <c r="AX461" s="11" t="s">
        <v>19</v>
      </c>
      <c r="AY461" s="137" t="s">
        <v>136</v>
      </c>
    </row>
    <row r="462" spans="2:65" s="1" customFormat="1" ht="24.15" customHeight="1">
      <c r="B462" s="119"/>
      <c r="C462" s="120" t="s">
        <v>720</v>
      </c>
      <c r="D462" s="120" t="s">
        <v>137</v>
      </c>
      <c r="E462" s="121" t="s">
        <v>792</v>
      </c>
      <c r="F462" s="122" t="s">
        <v>793</v>
      </c>
      <c r="G462" s="123" t="s">
        <v>312</v>
      </c>
      <c r="H462" s="124">
        <v>141</v>
      </c>
      <c r="I462" s="125">
        <v>0</v>
      </c>
      <c r="J462" s="125">
        <f>ROUND(I462*H462,2)</f>
        <v>0</v>
      </c>
      <c r="K462" s="122" t="s">
        <v>141</v>
      </c>
      <c r="L462" s="26"/>
      <c r="M462" s="126" t="s">
        <v>1</v>
      </c>
      <c r="N462" s="127" t="s">
        <v>46</v>
      </c>
      <c r="O462" s="128">
        <v>0</v>
      </c>
      <c r="P462" s="128">
        <f>O462*H462</f>
        <v>0</v>
      </c>
      <c r="Q462" s="128">
        <v>0</v>
      </c>
      <c r="R462" s="128">
        <f>Q462*H462</f>
        <v>0</v>
      </c>
      <c r="S462" s="128">
        <v>0</v>
      </c>
      <c r="T462" s="129">
        <f>S462*H462</f>
        <v>0</v>
      </c>
      <c r="AR462" s="130" t="s">
        <v>135</v>
      </c>
      <c r="AT462" s="130" t="s">
        <v>137</v>
      </c>
      <c r="AU462" s="130" t="s">
        <v>19</v>
      </c>
      <c r="AY462" s="14" t="s">
        <v>136</v>
      </c>
      <c r="BE462" s="131">
        <f>IF(N462="základní",J462,0)</f>
        <v>0</v>
      </c>
      <c r="BF462" s="131">
        <f>IF(N462="snížená",J462,0)</f>
        <v>0</v>
      </c>
      <c r="BG462" s="131">
        <f>IF(N462="zákl. přenesená",J462,0)</f>
        <v>0</v>
      </c>
      <c r="BH462" s="131">
        <f>IF(N462="sníž. přenesená",J462,0)</f>
        <v>0</v>
      </c>
      <c r="BI462" s="131">
        <f>IF(N462="nulová",J462,0)</f>
        <v>0</v>
      </c>
      <c r="BJ462" s="14" t="s">
        <v>19</v>
      </c>
      <c r="BK462" s="131">
        <f>ROUND(I462*H462,2)</f>
        <v>0</v>
      </c>
      <c r="BL462" s="14" t="s">
        <v>135</v>
      </c>
      <c r="BM462" s="130" t="s">
        <v>794</v>
      </c>
    </row>
    <row r="463" spans="2:65" s="1" customFormat="1" ht="19.2">
      <c r="B463" s="26"/>
      <c r="D463" s="132" t="s">
        <v>143</v>
      </c>
      <c r="F463" s="133" t="s">
        <v>793</v>
      </c>
      <c r="L463" s="26"/>
      <c r="M463" s="134"/>
      <c r="T463" s="50"/>
      <c r="AT463" s="14" t="s">
        <v>143</v>
      </c>
      <c r="AU463" s="14" t="s">
        <v>19</v>
      </c>
    </row>
    <row r="464" spans="2:65" s="1" customFormat="1" ht="48">
      <c r="B464" s="26"/>
      <c r="D464" s="132" t="s">
        <v>145</v>
      </c>
      <c r="F464" s="135" t="s">
        <v>795</v>
      </c>
      <c r="L464" s="26"/>
      <c r="M464" s="134"/>
      <c r="T464" s="50"/>
      <c r="AT464" s="14" t="s">
        <v>145</v>
      </c>
      <c r="AU464" s="14" t="s">
        <v>19</v>
      </c>
    </row>
    <row r="465" spans="2:65" s="11" customFormat="1">
      <c r="B465" s="136"/>
      <c r="D465" s="132" t="s">
        <v>147</v>
      </c>
      <c r="E465" s="137" t="s">
        <v>796</v>
      </c>
      <c r="F465" s="138" t="s">
        <v>797</v>
      </c>
      <c r="H465" s="139">
        <v>97</v>
      </c>
      <c r="L465" s="136"/>
      <c r="M465" s="140"/>
      <c r="T465" s="141"/>
      <c r="AT465" s="137" t="s">
        <v>147</v>
      </c>
      <c r="AU465" s="137" t="s">
        <v>19</v>
      </c>
      <c r="AV465" s="11" t="s">
        <v>149</v>
      </c>
      <c r="AW465" s="11" t="s">
        <v>39</v>
      </c>
      <c r="AX465" s="11" t="s">
        <v>81</v>
      </c>
      <c r="AY465" s="137" t="s">
        <v>136</v>
      </c>
    </row>
    <row r="466" spans="2:65" s="11" customFormat="1">
      <c r="B466" s="136"/>
      <c r="D466" s="132" t="s">
        <v>147</v>
      </c>
      <c r="E466" s="137" t="s">
        <v>798</v>
      </c>
      <c r="F466" s="138" t="s">
        <v>799</v>
      </c>
      <c r="H466" s="139">
        <v>44</v>
      </c>
      <c r="L466" s="136"/>
      <c r="M466" s="140"/>
      <c r="T466" s="141"/>
      <c r="AT466" s="137" t="s">
        <v>147</v>
      </c>
      <c r="AU466" s="137" t="s">
        <v>19</v>
      </c>
      <c r="AV466" s="11" t="s">
        <v>149</v>
      </c>
      <c r="AW466" s="11" t="s">
        <v>39</v>
      </c>
      <c r="AX466" s="11" t="s">
        <v>81</v>
      </c>
      <c r="AY466" s="137" t="s">
        <v>136</v>
      </c>
    </row>
    <row r="467" spans="2:65" s="11" customFormat="1">
      <c r="B467" s="136"/>
      <c r="D467" s="132" t="s">
        <v>147</v>
      </c>
      <c r="E467" s="137" t="s">
        <v>800</v>
      </c>
      <c r="F467" s="138" t="s">
        <v>801</v>
      </c>
      <c r="H467" s="139">
        <v>141</v>
      </c>
      <c r="L467" s="136"/>
      <c r="M467" s="140"/>
      <c r="T467" s="141"/>
      <c r="AT467" s="137" t="s">
        <v>147</v>
      </c>
      <c r="AU467" s="137" t="s">
        <v>19</v>
      </c>
      <c r="AV467" s="11" t="s">
        <v>149</v>
      </c>
      <c r="AW467" s="11" t="s">
        <v>39</v>
      </c>
      <c r="AX467" s="11" t="s">
        <v>19</v>
      </c>
      <c r="AY467" s="137" t="s">
        <v>136</v>
      </c>
    </row>
    <row r="468" spans="2:65" s="1" customFormat="1" ht="24.15" customHeight="1">
      <c r="B468" s="119"/>
      <c r="C468" s="120" t="s">
        <v>802</v>
      </c>
      <c r="D468" s="120" t="s">
        <v>137</v>
      </c>
      <c r="E468" s="121" t="s">
        <v>803</v>
      </c>
      <c r="F468" s="122" t="s">
        <v>804</v>
      </c>
      <c r="G468" s="123" t="s">
        <v>312</v>
      </c>
      <c r="H468" s="124">
        <v>507.6</v>
      </c>
      <c r="I468" s="125">
        <v>0</v>
      </c>
      <c r="J468" s="125">
        <f>ROUND(I468*H468,2)</f>
        <v>0</v>
      </c>
      <c r="K468" s="122" t="s">
        <v>141</v>
      </c>
      <c r="L468" s="26"/>
      <c r="M468" s="126" t="s">
        <v>1</v>
      </c>
      <c r="N468" s="127" t="s">
        <v>46</v>
      </c>
      <c r="O468" s="128">
        <v>0</v>
      </c>
      <c r="P468" s="128">
        <f>O468*H468</f>
        <v>0</v>
      </c>
      <c r="Q468" s="128">
        <v>0</v>
      </c>
      <c r="R468" s="128">
        <f>Q468*H468</f>
        <v>0</v>
      </c>
      <c r="S468" s="128">
        <v>0</v>
      </c>
      <c r="T468" s="129">
        <f>S468*H468</f>
        <v>0</v>
      </c>
      <c r="AR468" s="130" t="s">
        <v>135</v>
      </c>
      <c r="AT468" s="130" t="s">
        <v>137</v>
      </c>
      <c r="AU468" s="130" t="s">
        <v>19</v>
      </c>
      <c r="AY468" s="14" t="s">
        <v>136</v>
      </c>
      <c r="BE468" s="131">
        <f>IF(N468="základní",J468,0)</f>
        <v>0</v>
      </c>
      <c r="BF468" s="131">
        <f>IF(N468="snížená",J468,0)</f>
        <v>0</v>
      </c>
      <c r="BG468" s="131">
        <f>IF(N468="zákl. přenesená",J468,0)</f>
        <v>0</v>
      </c>
      <c r="BH468" s="131">
        <f>IF(N468="sníž. přenesená",J468,0)</f>
        <v>0</v>
      </c>
      <c r="BI468" s="131">
        <f>IF(N468="nulová",J468,0)</f>
        <v>0</v>
      </c>
      <c r="BJ468" s="14" t="s">
        <v>19</v>
      </c>
      <c r="BK468" s="131">
        <f>ROUND(I468*H468,2)</f>
        <v>0</v>
      </c>
      <c r="BL468" s="14" t="s">
        <v>135</v>
      </c>
      <c r="BM468" s="130" t="s">
        <v>805</v>
      </c>
    </row>
    <row r="469" spans="2:65" s="1" customFormat="1">
      <c r="B469" s="26"/>
      <c r="D469" s="132" t="s">
        <v>143</v>
      </c>
      <c r="F469" s="133" t="s">
        <v>804</v>
      </c>
      <c r="L469" s="26"/>
      <c r="M469" s="134"/>
      <c r="T469" s="50"/>
      <c r="AT469" s="14" t="s">
        <v>143</v>
      </c>
      <c r="AU469" s="14" t="s">
        <v>19</v>
      </c>
    </row>
    <row r="470" spans="2:65" s="1" customFormat="1" ht="28.8">
      <c r="B470" s="26"/>
      <c r="D470" s="132" t="s">
        <v>145</v>
      </c>
      <c r="F470" s="135" t="s">
        <v>806</v>
      </c>
      <c r="L470" s="26"/>
      <c r="M470" s="134"/>
      <c r="T470" s="50"/>
      <c r="AT470" s="14" t="s">
        <v>145</v>
      </c>
      <c r="AU470" s="14" t="s">
        <v>19</v>
      </c>
    </row>
    <row r="471" spans="2:65" s="11" customFormat="1">
      <c r="B471" s="136"/>
      <c r="D471" s="132" t="s">
        <v>147</v>
      </c>
      <c r="E471" s="137" t="s">
        <v>807</v>
      </c>
      <c r="F471" s="138" t="s">
        <v>808</v>
      </c>
      <c r="H471" s="139">
        <v>21</v>
      </c>
      <c r="L471" s="136"/>
      <c r="M471" s="140"/>
      <c r="T471" s="141"/>
      <c r="AT471" s="137" t="s">
        <v>147</v>
      </c>
      <c r="AU471" s="137" t="s">
        <v>19</v>
      </c>
      <c r="AV471" s="11" t="s">
        <v>149</v>
      </c>
      <c r="AW471" s="11" t="s">
        <v>39</v>
      </c>
      <c r="AX471" s="11" t="s">
        <v>81</v>
      </c>
      <c r="AY471" s="137" t="s">
        <v>136</v>
      </c>
    </row>
    <row r="472" spans="2:65" s="11" customFormat="1">
      <c r="B472" s="136"/>
      <c r="D472" s="132" t="s">
        <v>147</v>
      </c>
      <c r="E472" s="137" t="s">
        <v>809</v>
      </c>
      <c r="F472" s="138" t="s">
        <v>810</v>
      </c>
      <c r="H472" s="139">
        <v>141</v>
      </c>
      <c r="L472" s="136"/>
      <c r="M472" s="140"/>
      <c r="T472" s="141"/>
      <c r="AT472" s="137" t="s">
        <v>147</v>
      </c>
      <c r="AU472" s="137" t="s">
        <v>19</v>
      </c>
      <c r="AV472" s="11" t="s">
        <v>149</v>
      </c>
      <c r="AW472" s="11" t="s">
        <v>39</v>
      </c>
      <c r="AX472" s="11" t="s">
        <v>81</v>
      </c>
      <c r="AY472" s="137" t="s">
        <v>136</v>
      </c>
    </row>
    <row r="473" spans="2:65" s="11" customFormat="1">
      <c r="B473" s="136"/>
      <c r="D473" s="132" t="s">
        <v>147</v>
      </c>
      <c r="E473" s="137" t="s">
        <v>811</v>
      </c>
      <c r="F473" s="138" t="s">
        <v>812</v>
      </c>
      <c r="H473" s="139">
        <v>9.6</v>
      </c>
      <c r="L473" s="136"/>
      <c r="M473" s="140"/>
      <c r="T473" s="141"/>
      <c r="AT473" s="137" t="s">
        <v>147</v>
      </c>
      <c r="AU473" s="137" t="s">
        <v>19</v>
      </c>
      <c r="AV473" s="11" t="s">
        <v>149</v>
      </c>
      <c r="AW473" s="11" t="s">
        <v>39</v>
      </c>
      <c r="AX473" s="11" t="s">
        <v>81</v>
      </c>
      <c r="AY473" s="137" t="s">
        <v>136</v>
      </c>
    </row>
    <row r="474" spans="2:65" s="11" customFormat="1">
      <c r="B474" s="136"/>
      <c r="D474" s="132" t="s">
        <v>147</v>
      </c>
      <c r="E474" s="137" t="s">
        <v>813</v>
      </c>
      <c r="F474" s="138" t="s">
        <v>814</v>
      </c>
      <c r="H474" s="139">
        <v>336</v>
      </c>
      <c r="L474" s="136"/>
      <c r="M474" s="140"/>
      <c r="T474" s="141"/>
      <c r="AT474" s="137" t="s">
        <v>147</v>
      </c>
      <c r="AU474" s="137" t="s">
        <v>19</v>
      </c>
      <c r="AV474" s="11" t="s">
        <v>149</v>
      </c>
      <c r="AW474" s="11" t="s">
        <v>39</v>
      </c>
      <c r="AX474" s="11" t="s">
        <v>81</v>
      </c>
      <c r="AY474" s="137" t="s">
        <v>136</v>
      </c>
    </row>
    <row r="475" spans="2:65" s="11" customFormat="1">
      <c r="B475" s="136"/>
      <c r="D475" s="132" t="s">
        <v>147</v>
      </c>
      <c r="E475" s="137" t="s">
        <v>815</v>
      </c>
      <c r="F475" s="138" t="s">
        <v>816</v>
      </c>
      <c r="H475" s="139">
        <v>507.6</v>
      </c>
      <c r="L475" s="136"/>
      <c r="M475" s="140"/>
      <c r="T475" s="141"/>
      <c r="AT475" s="137" t="s">
        <v>147</v>
      </c>
      <c r="AU475" s="137" t="s">
        <v>19</v>
      </c>
      <c r="AV475" s="11" t="s">
        <v>149</v>
      </c>
      <c r="AW475" s="11" t="s">
        <v>39</v>
      </c>
      <c r="AX475" s="11" t="s">
        <v>19</v>
      </c>
      <c r="AY475" s="137" t="s">
        <v>136</v>
      </c>
    </row>
    <row r="476" spans="2:65" s="1" customFormat="1" ht="24.15" customHeight="1">
      <c r="B476" s="119"/>
      <c r="C476" s="120" t="s">
        <v>745</v>
      </c>
      <c r="D476" s="120" t="s">
        <v>137</v>
      </c>
      <c r="E476" s="121" t="s">
        <v>817</v>
      </c>
      <c r="F476" s="122" t="s">
        <v>818</v>
      </c>
      <c r="G476" s="123" t="s">
        <v>312</v>
      </c>
      <c r="H476" s="124">
        <v>507.6</v>
      </c>
      <c r="I476" s="125">
        <v>0</v>
      </c>
      <c r="J476" s="125">
        <f>ROUND(I476*H476,2)</f>
        <v>0</v>
      </c>
      <c r="K476" s="122" t="s">
        <v>141</v>
      </c>
      <c r="L476" s="26"/>
      <c r="M476" s="126" t="s">
        <v>1</v>
      </c>
      <c r="N476" s="127" t="s">
        <v>46</v>
      </c>
      <c r="O476" s="128">
        <v>0</v>
      </c>
      <c r="P476" s="128">
        <f>O476*H476</f>
        <v>0</v>
      </c>
      <c r="Q476" s="128">
        <v>0</v>
      </c>
      <c r="R476" s="128">
        <f>Q476*H476</f>
        <v>0</v>
      </c>
      <c r="S476" s="128">
        <v>0</v>
      </c>
      <c r="T476" s="129">
        <f>S476*H476</f>
        <v>0</v>
      </c>
      <c r="AR476" s="130" t="s">
        <v>135</v>
      </c>
      <c r="AT476" s="130" t="s">
        <v>137</v>
      </c>
      <c r="AU476" s="130" t="s">
        <v>19</v>
      </c>
      <c r="AY476" s="14" t="s">
        <v>136</v>
      </c>
      <c r="BE476" s="131">
        <f>IF(N476="základní",J476,0)</f>
        <v>0</v>
      </c>
      <c r="BF476" s="131">
        <f>IF(N476="snížená",J476,0)</f>
        <v>0</v>
      </c>
      <c r="BG476" s="131">
        <f>IF(N476="zákl. přenesená",J476,0)</f>
        <v>0</v>
      </c>
      <c r="BH476" s="131">
        <f>IF(N476="sníž. přenesená",J476,0)</f>
        <v>0</v>
      </c>
      <c r="BI476" s="131">
        <f>IF(N476="nulová",J476,0)</f>
        <v>0</v>
      </c>
      <c r="BJ476" s="14" t="s">
        <v>19</v>
      </c>
      <c r="BK476" s="131">
        <f>ROUND(I476*H476,2)</f>
        <v>0</v>
      </c>
      <c r="BL476" s="14" t="s">
        <v>135</v>
      </c>
      <c r="BM476" s="130" t="s">
        <v>819</v>
      </c>
    </row>
    <row r="477" spans="2:65" s="1" customFormat="1" ht="19.2">
      <c r="B477" s="26"/>
      <c r="D477" s="132" t="s">
        <v>143</v>
      </c>
      <c r="F477" s="133" t="s">
        <v>818</v>
      </c>
      <c r="L477" s="26"/>
      <c r="M477" s="134"/>
      <c r="T477" s="50"/>
      <c r="AT477" s="14" t="s">
        <v>143</v>
      </c>
      <c r="AU477" s="14" t="s">
        <v>19</v>
      </c>
    </row>
    <row r="478" spans="2:65" s="1" customFormat="1" ht="38.4">
      <c r="B478" s="26"/>
      <c r="D478" s="132" t="s">
        <v>145</v>
      </c>
      <c r="F478" s="135" t="s">
        <v>820</v>
      </c>
      <c r="L478" s="26"/>
      <c r="M478" s="134"/>
      <c r="T478" s="50"/>
      <c r="AT478" s="14" t="s">
        <v>145</v>
      </c>
      <c r="AU478" s="14" t="s">
        <v>19</v>
      </c>
    </row>
    <row r="479" spans="2:65" s="11" customFormat="1">
      <c r="B479" s="136"/>
      <c r="D479" s="132" t="s">
        <v>147</v>
      </c>
      <c r="E479" s="137" t="s">
        <v>821</v>
      </c>
      <c r="F479" s="138" t="s">
        <v>822</v>
      </c>
      <c r="H479" s="139">
        <v>507.6</v>
      </c>
      <c r="L479" s="136"/>
      <c r="M479" s="140"/>
      <c r="T479" s="141"/>
      <c r="AT479" s="137" t="s">
        <v>147</v>
      </c>
      <c r="AU479" s="137" t="s">
        <v>19</v>
      </c>
      <c r="AV479" s="11" t="s">
        <v>149</v>
      </c>
      <c r="AW479" s="11" t="s">
        <v>39</v>
      </c>
      <c r="AX479" s="11" t="s">
        <v>19</v>
      </c>
      <c r="AY479" s="137" t="s">
        <v>136</v>
      </c>
    </row>
    <row r="480" spans="2:65" s="1" customFormat="1" ht="24.15" customHeight="1">
      <c r="B480" s="119"/>
      <c r="C480" s="120" t="s">
        <v>823</v>
      </c>
      <c r="D480" s="120" t="s">
        <v>137</v>
      </c>
      <c r="E480" s="121" t="s">
        <v>824</v>
      </c>
      <c r="F480" s="122" t="s">
        <v>825</v>
      </c>
      <c r="G480" s="123" t="s">
        <v>312</v>
      </c>
      <c r="H480" s="124">
        <v>1330</v>
      </c>
      <c r="I480" s="125">
        <v>0</v>
      </c>
      <c r="J480" s="125">
        <f>ROUND(I480*H480,2)</f>
        <v>0</v>
      </c>
      <c r="K480" s="122" t="s">
        <v>141</v>
      </c>
      <c r="L480" s="26"/>
      <c r="M480" s="126" t="s">
        <v>1</v>
      </c>
      <c r="N480" s="127" t="s">
        <v>46</v>
      </c>
      <c r="O480" s="128">
        <v>0</v>
      </c>
      <c r="P480" s="128">
        <f>O480*H480</f>
        <v>0</v>
      </c>
      <c r="Q480" s="128">
        <v>0</v>
      </c>
      <c r="R480" s="128">
        <f>Q480*H480</f>
        <v>0</v>
      </c>
      <c r="S480" s="128">
        <v>0</v>
      </c>
      <c r="T480" s="129">
        <f>S480*H480</f>
        <v>0</v>
      </c>
      <c r="AR480" s="130" t="s">
        <v>135</v>
      </c>
      <c r="AT480" s="130" t="s">
        <v>137</v>
      </c>
      <c r="AU480" s="130" t="s">
        <v>19</v>
      </c>
      <c r="AY480" s="14" t="s">
        <v>136</v>
      </c>
      <c r="BE480" s="131">
        <f>IF(N480="základní",J480,0)</f>
        <v>0</v>
      </c>
      <c r="BF480" s="131">
        <f>IF(N480="snížená",J480,0)</f>
        <v>0</v>
      </c>
      <c r="BG480" s="131">
        <f>IF(N480="zákl. přenesená",J480,0)</f>
        <v>0</v>
      </c>
      <c r="BH480" s="131">
        <f>IF(N480="sníž. přenesená",J480,0)</f>
        <v>0</v>
      </c>
      <c r="BI480" s="131">
        <f>IF(N480="nulová",J480,0)</f>
        <v>0</v>
      </c>
      <c r="BJ480" s="14" t="s">
        <v>19</v>
      </c>
      <c r="BK480" s="131">
        <f>ROUND(I480*H480,2)</f>
        <v>0</v>
      </c>
      <c r="BL480" s="14" t="s">
        <v>135</v>
      </c>
      <c r="BM480" s="130" t="s">
        <v>826</v>
      </c>
    </row>
    <row r="481" spans="2:65" s="1" customFormat="1" ht="19.2">
      <c r="B481" s="26"/>
      <c r="D481" s="132" t="s">
        <v>143</v>
      </c>
      <c r="F481" s="133" t="s">
        <v>827</v>
      </c>
      <c r="L481" s="26"/>
      <c r="M481" s="134"/>
      <c r="T481" s="50"/>
      <c r="AT481" s="14" t="s">
        <v>143</v>
      </c>
      <c r="AU481" s="14" t="s">
        <v>19</v>
      </c>
    </row>
    <row r="482" spans="2:65" s="1" customFormat="1" ht="76.8">
      <c r="B482" s="26"/>
      <c r="D482" s="132" t="s">
        <v>145</v>
      </c>
      <c r="F482" s="135" t="s">
        <v>828</v>
      </c>
      <c r="L482" s="26"/>
      <c r="M482" s="134"/>
      <c r="T482" s="50"/>
      <c r="AT482" s="14" t="s">
        <v>145</v>
      </c>
      <c r="AU482" s="14" t="s">
        <v>19</v>
      </c>
    </row>
    <row r="483" spans="2:65" s="11" customFormat="1">
      <c r="B483" s="136"/>
      <c r="D483" s="132" t="s">
        <v>147</v>
      </c>
      <c r="E483" s="137" t="s">
        <v>829</v>
      </c>
      <c r="F483" s="138" t="s">
        <v>830</v>
      </c>
      <c r="H483" s="139">
        <v>15</v>
      </c>
      <c r="L483" s="136"/>
      <c r="M483" s="140"/>
      <c r="T483" s="141"/>
      <c r="AT483" s="137" t="s">
        <v>147</v>
      </c>
      <c r="AU483" s="137" t="s">
        <v>19</v>
      </c>
      <c r="AV483" s="11" t="s">
        <v>149</v>
      </c>
      <c r="AW483" s="11" t="s">
        <v>39</v>
      </c>
      <c r="AX483" s="11" t="s">
        <v>81</v>
      </c>
      <c r="AY483" s="137" t="s">
        <v>136</v>
      </c>
    </row>
    <row r="484" spans="2:65" s="11" customFormat="1">
      <c r="B484" s="136"/>
      <c r="D484" s="132" t="s">
        <v>147</v>
      </c>
      <c r="E484" s="137" t="s">
        <v>831</v>
      </c>
      <c r="F484" s="138" t="s">
        <v>345</v>
      </c>
      <c r="H484" s="139">
        <v>1315</v>
      </c>
      <c r="L484" s="136"/>
      <c r="M484" s="140"/>
      <c r="T484" s="141"/>
      <c r="AT484" s="137" t="s">
        <v>147</v>
      </c>
      <c r="AU484" s="137" t="s">
        <v>19</v>
      </c>
      <c r="AV484" s="11" t="s">
        <v>149</v>
      </c>
      <c r="AW484" s="11" t="s">
        <v>39</v>
      </c>
      <c r="AX484" s="11" t="s">
        <v>81</v>
      </c>
      <c r="AY484" s="137" t="s">
        <v>136</v>
      </c>
    </row>
    <row r="485" spans="2:65" s="11" customFormat="1">
      <c r="B485" s="136"/>
      <c r="D485" s="132" t="s">
        <v>147</v>
      </c>
      <c r="E485" s="137" t="s">
        <v>832</v>
      </c>
      <c r="F485" s="138" t="s">
        <v>833</v>
      </c>
      <c r="H485" s="139">
        <v>1330</v>
      </c>
      <c r="L485" s="136"/>
      <c r="M485" s="140"/>
      <c r="T485" s="141"/>
      <c r="AT485" s="137" t="s">
        <v>147</v>
      </c>
      <c r="AU485" s="137" t="s">
        <v>19</v>
      </c>
      <c r="AV485" s="11" t="s">
        <v>149</v>
      </c>
      <c r="AW485" s="11" t="s">
        <v>39</v>
      </c>
      <c r="AX485" s="11" t="s">
        <v>19</v>
      </c>
      <c r="AY485" s="137" t="s">
        <v>136</v>
      </c>
    </row>
    <row r="486" spans="2:65" s="1" customFormat="1" ht="24.15" customHeight="1">
      <c r="B486" s="119"/>
      <c r="C486" s="120" t="s">
        <v>834</v>
      </c>
      <c r="D486" s="120" t="s">
        <v>137</v>
      </c>
      <c r="E486" s="121" t="s">
        <v>835</v>
      </c>
      <c r="F486" s="122" t="s">
        <v>825</v>
      </c>
      <c r="G486" s="123" t="s">
        <v>312</v>
      </c>
      <c r="H486" s="124">
        <v>15</v>
      </c>
      <c r="I486" s="125">
        <v>0</v>
      </c>
      <c r="J486" s="125">
        <f>ROUND(I486*H486,2)</f>
        <v>0</v>
      </c>
      <c r="K486" s="122" t="s">
        <v>141</v>
      </c>
      <c r="L486" s="26"/>
      <c r="M486" s="126" t="s">
        <v>1</v>
      </c>
      <c r="N486" s="127" t="s">
        <v>46</v>
      </c>
      <c r="O486" s="128">
        <v>0</v>
      </c>
      <c r="P486" s="128">
        <f>O486*H486</f>
        <v>0</v>
      </c>
      <c r="Q486" s="128">
        <v>0</v>
      </c>
      <c r="R486" s="128">
        <f>Q486*H486</f>
        <v>0</v>
      </c>
      <c r="S486" s="128">
        <v>0</v>
      </c>
      <c r="T486" s="129">
        <f>S486*H486</f>
        <v>0</v>
      </c>
      <c r="AR486" s="130" t="s">
        <v>135</v>
      </c>
      <c r="AT486" s="130" t="s">
        <v>137</v>
      </c>
      <c r="AU486" s="130" t="s">
        <v>19</v>
      </c>
      <c r="AY486" s="14" t="s">
        <v>136</v>
      </c>
      <c r="BE486" s="131">
        <f>IF(N486="základní",J486,0)</f>
        <v>0</v>
      </c>
      <c r="BF486" s="131">
        <f>IF(N486="snížená",J486,0)</f>
        <v>0</v>
      </c>
      <c r="BG486" s="131">
        <f>IF(N486="zákl. přenesená",J486,0)</f>
        <v>0</v>
      </c>
      <c r="BH486" s="131">
        <f>IF(N486="sníž. přenesená",J486,0)</f>
        <v>0</v>
      </c>
      <c r="BI486" s="131">
        <f>IF(N486="nulová",J486,0)</f>
        <v>0</v>
      </c>
      <c r="BJ486" s="14" t="s">
        <v>19</v>
      </c>
      <c r="BK486" s="131">
        <f>ROUND(I486*H486,2)</f>
        <v>0</v>
      </c>
      <c r="BL486" s="14" t="s">
        <v>135</v>
      </c>
      <c r="BM486" s="130" t="s">
        <v>836</v>
      </c>
    </row>
    <row r="487" spans="2:65" s="1" customFormat="1" ht="19.2">
      <c r="B487" s="26"/>
      <c r="D487" s="132" t="s">
        <v>143</v>
      </c>
      <c r="F487" s="133" t="s">
        <v>825</v>
      </c>
      <c r="L487" s="26"/>
      <c r="M487" s="134"/>
      <c r="T487" s="50"/>
      <c r="AT487" s="14" t="s">
        <v>143</v>
      </c>
      <c r="AU487" s="14" t="s">
        <v>19</v>
      </c>
    </row>
    <row r="488" spans="2:65" s="1" customFormat="1" ht="76.8">
      <c r="B488" s="26"/>
      <c r="D488" s="132" t="s">
        <v>145</v>
      </c>
      <c r="F488" s="135" t="s">
        <v>828</v>
      </c>
      <c r="L488" s="26"/>
      <c r="M488" s="134"/>
      <c r="T488" s="50"/>
      <c r="AT488" s="14" t="s">
        <v>145</v>
      </c>
      <c r="AU488" s="14" t="s">
        <v>19</v>
      </c>
    </row>
    <row r="489" spans="2:65" s="11" customFormat="1">
      <c r="B489" s="136"/>
      <c r="D489" s="132" t="s">
        <v>147</v>
      </c>
      <c r="E489" s="137" t="s">
        <v>837</v>
      </c>
      <c r="F489" s="138" t="s">
        <v>349</v>
      </c>
      <c r="H489" s="139">
        <v>15</v>
      </c>
      <c r="L489" s="136"/>
      <c r="M489" s="140"/>
      <c r="T489" s="141"/>
      <c r="AT489" s="137" t="s">
        <v>147</v>
      </c>
      <c r="AU489" s="137" t="s">
        <v>19</v>
      </c>
      <c r="AV489" s="11" t="s">
        <v>149</v>
      </c>
      <c r="AW489" s="11" t="s">
        <v>39</v>
      </c>
      <c r="AX489" s="11" t="s">
        <v>19</v>
      </c>
      <c r="AY489" s="137" t="s">
        <v>136</v>
      </c>
    </row>
    <row r="490" spans="2:65" s="1" customFormat="1" ht="16.5" customHeight="1">
      <c r="B490" s="119"/>
      <c r="C490" s="120" t="s">
        <v>838</v>
      </c>
      <c r="D490" s="120" t="s">
        <v>137</v>
      </c>
      <c r="E490" s="121" t="s">
        <v>839</v>
      </c>
      <c r="F490" s="122" t="s">
        <v>840</v>
      </c>
      <c r="G490" s="123" t="s">
        <v>216</v>
      </c>
      <c r="H490" s="124">
        <v>1</v>
      </c>
      <c r="I490" s="125">
        <v>0</v>
      </c>
      <c r="J490" s="125">
        <f>ROUND(I490*H490,2)</f>
        <v>0</v>
      </c>
      <c r="K490" s="122" t="s">
        <v>141</v>
      </c>
      <c r="L490" s="26"/>
      <c r="M490" s="126" t="s">
        <v>1</v>
      </c>
      <c r="N490" s="127" t="s">
        <v>46</v>
      </c>
      <c r="O490" s="128">
        <v>0</v>
      </c>
      <c r="P490" s="128">
        <f>O490*H490</f>
        <v>0</v>
      </c>
      <c r="Q490" s="128">
        <v>0</v>
      </c>
      <c r="R490" s="128">
        <f>Q490*H490</f>
        <v>0</v>
      </c>
      <c r="S490" s="128">
        <v>0</v>
      </c>
      <c r="T490" s="129">
        <f>S490*H490</f>
        <v>0</v>
      </c>
      <c r="AR490" s="130" t="s">
        <v>135</v>
      </c>
      <c r="AT490" s="130" t="s">
        <v>137</v>
      </c>
      <c r="AU490" s="130" t="s">
        <v>19</v>
      </c>
      <c r="AY490" s="14" t="s">
        <v>136</v>
      </c>
      <c r="BE490" s="131">
        <f>IF(N490="základní",J490,0)</f>
        <v>0</v>
      </c>
      <c r="BF490" s="131">
        <f>IF(N490="snížená",J490,0)</f>
        <v>0</v>
      </c>
      <c r="BG490" s="131">
        <f>IF(N490="zákl. přenesená",J490,0)</f>
        <v>0</v>
      </c>
      <c r="BH490" s="131">
        <f>IF(N490="sníž. přenesená",J490,0)</f>
        <v>0</v>
      </c>
      <c r="BI490" s="131">
        <f>IF(N490="nulová",J490,0)</f>
        <v>0</v>
      </c>
      <c r="BJ490" s="14" t="s">
        <v>19</v>
      </c>
      <c r="BK490" s="131">
        <f>ROUND(I490*H490,2)</f>
        <v>0</v>
      </c>
      <c r="BL490" s="14" t="s">
        <v>135</v>
      </c>
      <c r="BM490" s="130" t="s">
        <v>841</v>
      </c>
    </row>
    <row r="491" spans="2:65" s="1" customFormat="1">
      <c r="B491" s="26"/>
      <c r="D491" s="132" t="s">
        <v>143</v>
      </c>
      <c r="F491" s="133" t="s">
        <v>840</v>
      </c>
      <c r="L491" s="26"/>
      <c r="M491" s="134"/>
      <c r="T491" s="50"/>
      <c r="AT491" s="14" t="s">
        <v>143</v>
      </c>
      <c r="AU491" s="14" t="s">
        <v>19</v>
      </c>
    </row>
    <row r="492" spans="2:65" s="1" customFormat="1" ht="48">
      <c r="B492" s="26"/>
      <c r="D492" s="132" t="s">
        <v>145</v>
      </c>
      <c r="F492" s="135" t="s">
        <v>842</v>
      </c>
      <c r="L492" s="26"/>
      <c r="M492" s="134"/>
      <c r="T492" s="50"/>
      <c r="AT492" s="14" t="s">
        <v>145</v>
      </c>
      <c r="AU492" s="14" t="s">
        <v>19</v>
      </c>
    </row>
    <row r="493" spans="2:65" s="11" customFormat="1">
      <c r="B493" s="136"/>
      <c r="D493" s="132" t="s">
        <v>147</v>
      </c>
      <c r="E493" s="137" t="s">
        <v>843</v>
      </c>
      <c r="F493" s="138" t="s">
        <v>844</v>
      </c>
      <c r="H493" s="139">
        <v>1</v>
      </c>
      <c r="L493" s="136"/>
      <c r="M493" s="140"/>
      <c r="T493" s="141"/>
      <c r="AT493" s="137" t="s">
        <v>147</v>
      </c>
      <c r="AU493" s="137" t="s">
        <v>19</v>
      </c>
      <c r="AV493" s="11" t="s">
        <v>149</v>
      </c>
      <c r="AW493" s="11" t="s">
        <v>39</v>
      </c>
      <c r="AX493" s="11" t="s">
        <v>19</v>
      </c>
      <c r="AY493" s="137" t="s">
        <v>136</v>
      </c>
    </row>
    <row r="494" spans="2:65" s="1" customFormat="1" ht="16.5" customHeight="1">
      <c r="B494" s="119"/>
      <c r="C494" s="120" t="s">
        <v>845</v>
      </c>
      <c r="D494" s="120" t="s">
        <v>137</v>
      </c>
      <c r="E494" s="121" t="s">
        <v>846</v>
      </c>
      <c r="F494" s="122" t="s">
        <v>847</v>
      </c>
      <c r="G494" s="123" t="s">
        <v>260</v>
      </c>
      <c r="H494" s="124">
        <v>17582</v>
      </c>
      <c r="I494" s="125">
        <v>0</v>
      </c>
      <c r="J494" s="125">
        <f>ROUND(I494*H494,2)</f>
        <v>0</v>
      </c>
      <c r="K494" s="122" t="s">
        <v>141</v>
      </c>
      <c r="L494" s="26"/>
      <c r="M494" s="126" t="s">
        <v>1</v>
      </c>
      <c r="N494" s="127" t="s">
        <v>46</v>
      </c>
      <c r="O494" s="128">
        <v>0</v>
      </c>
      <c r="P494" s="128">
        <f>O494*H494</f>
        <v>0</v>
      </c>
      <c r="Q494" s="128">
        <v>0</v>
      </c>
      <c r="R494" s="128">
        <f>Q494*H494</f>
        <v>0</v>
      </c>
      <c r="S494" s="128">
        <v>0</v>
      </c>
      <c r="T494" s="129">
        <f>S494*H494</f>
        <v>0</v>
      </c>
      <c r="AR494" s="130" t="s">
        <v>135</v>
      </c>
      <c r="AT494" s="130" t="s">
        <v>137</v>
      </c>
      <c r="AU494" s="130" t="s">
        <v>19</v>
      </c>
      <c r="AY494" s="14" t="s">
        <v>136</v>
      </c>
      <c r="BE494" s="131">
        <f>IF(N494="základní",J494,0)</f>
        <v>0</v>
      </c>
      <c r="BF494" s="131">
        <f>IF(N494="snížená",J494,0)</f>
        <v>0</v>
      </c>
      <c r="BG494" s="131">
        <f>IF(N494="zákl. přenesená",J494,0)</f>
        <v>0</v>
      </c>
      <c r="BH494" s="131">
        <f>IF(N494="sníž. přenesená",J494,0)</f>
        <v>0</v>
      </c>
      <c r="BI494" s="131">
        <f>IF(N494="nulová",J494,0)</f>
        <v>0</v>
      </c>
      <c r="BJ494" s="14" t="s">
        <v>19</v>
      </c>
      <c r="BK494" s="131">
        <f>ROUND(I494*H494,2)</f>
        <v>0</v>
      </c>
      <c r="BL494" s="14" t="s">
        <v>135</v>
      </c>
      <c r="BM494" s="130" t="s">
        <v>848</v>
      </c>
    </row>
    <row r="495" spans="2:65" s="1" customFormat="1">
      <c r="B495" s="26"/>
      <c r="D495" s="132" t="s">
        <v>143</v>
      </c>
      <c r="F495" s="133" t="s">
        <v>847</v>
      </c>
      <c r="L495" s="26"/>
      <c r="M495" s="134"/>
      <c r="T495" s="50"/>
      <c r="AT495" s="14" t="s">
        <v>143</v>
      </c>
      <c r="AU495" s="14" t="s">
        <v>19</v>
      </c>
    </row>
    <row r="496" spans="2:65" s="1" customFormat="1" ht="28.8">
      <c r="B496" s="26"/>
      <c r="D496" s="132" t="s">
        <v>145</v>
      </c>
      <c r="F496" s="135" t="s">
        <v>849</v>
      </c>
      <c r="L496" s="26"/>
      <c r="M496" s="134"/>
      <c r="T496" s="50"/>
      <c r="AT496" s="14" t="s">
        <v>145</v>
      </c>
      <c r="AU496" s="14" t="s">
        <v>19</v>
      </c>
    </row>
    <row r="497" spans="2:65" s="11" customFormat="1">
      <c r="B497" s="136"/>
      <c r="D497" s="132" t="s">
        <v>147</v>
      </c>
      <c r="E497" s="137" t="s">
        <v>850</v>
      </c>
      <c r="F497" s="138" t="s">
        <v>851</v>
      </c>
      <c r="H497" s="139">
        <v>17059</v>
      </c>
      <c r="L497" s="136"/>
      <c r="M497" s="140"/>
      <c r="T497" s="141"/>
      <c r="AT497" s="137" t="s">
        <v>147</v>
      </c>
      <c r="AU497" s="137" t="s">
        <v>19</v>
      </c>
      <c r="AV497" s="11" t="s">
        <v>149</v>
      </c>
      <c r="AW497" s="11" t="s">
        <v>39</v>
      </c>
      <c r="AX497" s="11" t="s">
        <v>81</v>
      </c>
      <c r="AY497" s="137" t="s">
        <v>136</v>
      </c>
    </row>
    <row r="498" spans="2:65" s="11" customFormat="1">
      <c r="B498" s="136"/>
      <c r="D498" s="132" t="s">
        <v>147</v>
      </c>
      <c r="E498" s="137" t="s">
        <v>852</v>
      </c>
      <c r="F498" s="138" t="s">
        <v>853</v>
      </c>
      <c r="H498" s="139">
        <v>47</v>
      </c>
      <c r="L498" s="136"/>
      <c r="M498" s="140"/>
      <c r="T498" s="141"/>
      <c r="AT498" s="137" t="s">
        <v>147</v>
      </c>
      <c r="AU498" s="137" t="s">
        <v>19</v>
      </c>
      <c r="AV498" s="11" t="s">
        <v>149</v>
      </c>
      <c r="AW498" s="11" t="s">
        <v>39</v>
      </c>
      <c r="AX498" s="11" t="s">
        <v>81</v>
      </c>
      <c r="AY498" s="137" t="s">
        <v>136</v>
      </c>
    </row>
    <row r="499" spans="2:65" s="11" customFormat="1">
      <c r="B499" s="136"/>
      <c r="D499" s="132" t="s">
        <v>147</v>
      </c>
      <c r="E499" s="137" t="s">
        <v>854</v>
      </c>
      <c r="F499" s="138" t="s">
        <v>855</v>
      </c>
      <c r="H499" s="139">
        <v>476</v>
      </c>
      <c r="L499" s="136"/>
      <c r="M499" s="140"/>
      <c r="T499" s="141"/>
      <c r="AT499" s="137" t="s">
        <v>147</v>
      </c>
      <c r="AU499" s="137" t="s">
        <v>19</v>
      </c>
      <c r="AV499" s="11" t="s">
        <v>149</v>
      </c>
      <c r="AW499" s="11" t="s">
        <v>39</v>
      </c>
      <c r="AX499" s="11" t="s">
        <v>81</v>
      </c>
      <c r="AY499" s="137" t="s">
        <v>136</v>
      </c>
    </row>
    <row r="500" spans="2:65" s="11" customFormat="1">
      <c r="B500" s="136"/>
      <c r="D500" s="132" t="s">
        <v>147</v>
      </c>
      <c r="E500" s="137" t="s">
        <v>856</v>
      </c>
      <c r="F500" s="138" t="s">
        <v>857</v>
      </c>
      <c r="H500" s="139">
        <v>17582</v>
      </c>
      <c r="L500" s="136"/>
      <c r="M500" s="140"/>
      <c r="T500" s="141"/>
      <c r="AT500" s="137" t="s">
        <v>147</v>
      </c>
      <c r="AU500" s="137" t="s">
        <v>19</v>
      </c>
      <c r="AV500" s="11" t="s">
        <v>149</v>
      </c>
      <c r="AW500" s="11" t="s">
        <v>39</v>
      </c>
      <c r="AX500" s="11" t="s">
        <v>19</v>
      </c>
      <c r="AY500" s="137" t="s">
        <v>136</v>
      </c>
    </row>
    <row r="501" spans="2:65" s="1" customFormat="1" ht="16.5" customHeight="1">
      <c r="B501" s="119"/>
      <c r="C501" s="120" t="s">
        <v>858</v>
      </c>
      <c r="D501" s="120" t="s">
        <v>137</v>
      </c>
      <c r="E501" s="121" t="s">
        <v>859</v>
      </c>
      <c r="F501" s="122" t="s">
        <v>860</v>
      </c>
      <c r="G501" s="123" t="s">
        <v>152</v>
      </c>
      <c r="H501" s="124">
        <v>4</v>
      </c>
      <c r="I501" s="125">
        <v>0</v>
      </c>
      <c r="J501" s="125">
        <f>ROUND(I501*H501,2)</f>
        <v>0</v>
      </c>
      <c r="K501" s="122" t="s">
        <v>141</v>
      </c>
      <c r="L501" s="26"/>
      <c r="M501" s="126" t="s">
        <v>1</v>
      </c>
      <c r="N501" s="127" t="s">
        <v>46</v>
      </c>
      <c r="O501" s="128">
        <v>0</v>
      </c>
      <c r="P501" s="128">
        <f>O501*H501</f>
        <v>0</v>
      </c>
      <c r="Q501" s="128">
        <v>0</v>
      </c>
      <c r="R501" s="128">
        <f>Q501*H501</f>
        <v>0</v>
      </c>
      <c r="S501" s="128">
        <v>0</v>
      </c>
      <c r="T501" s="129">
        <f>S501*H501</f>
        <v>0</v>
      </c>
      <c r="AR501" s="130" t="s">
        <v>135</v>
      </c>
      <c r="AT501" s="130" t="s">
        <v>137</v>
      </c>
      <c r="AU501" s="130" t="s">
        <v>19</v>
      </c>
      <c r="AY501" s="14" t="s">
        <v>136</v>
      </c>
      <c r="BE501" s="131">
        <f>IF(N501="základní",J501,0)</f>
        <v>0</v>
      </c>
      <c r="BF501" s="131">
        <f>IF(N501="snížená",J501,0)</f>
        <v>0</v>
      </c>
      <c r="BG501" s="131">
        <f>IF(N501="zákl. přenesená",J501,0)</f>
        <v>0</v>
      </c>
      <c r="BH501" s="131">
        <f>IF(N501="sníž. přenesená",J501,0)</f>
        <v>0</v>
      </c>
      <c r="BI501" s="131">
        <f>IF(N501="nulová",J501,0)</f>
        <v>0</v>
      </c>
      <c r="BJ501" s="14" t="s">
        <v>19</v>
      </c>
      <c r="BK501" s="131">
        <f>ROUND(I501*H501,2)</f>
        <v>0</v>
      </c>
      <c r="BL501" s="14" t="s">
        <v>135</v>
      </c>
      <c r="BM501" s="130" t="s">
        <v>861</v>
      </c>
    </row>
    <row r="502" spans="2:65" s="1" customFormat="1">
      <c r="B502" s="26"/>
      <c r="D502" s="132" t="s">
        <v>143</v>
      </c>
      <c r="F502" s="133" t="s">
        <v>860</v>
      </c>
      <c r="L502" s="26"/>
      <c r="M502" s="134"/>
      <c r="T502" s="50"/>
      <c r="AT502" s="14" t="s">
        <v>143</v>
      </c>
      <c r="AU502" s="14" t="s">
        <v>19</v>
      </c>
    </row>
    <row r="503" spans="2:65" s="1" customFormat="1" ht="96">
      <c r="B503" s="26"/>
      <c r="D503" s="132" t="s">
        <v>145</v>
      </c>
      <c r="F503" s="135" t="s">
        <v>862</v>
      </c>
      <c r="L503" s="26"/>
      <c r="M503" s="134"/>
      <c r="T503" s="50"/>
      <c r="AT503" s="14" t="s">
        <v>145</v>
      </c>
      <c r="AU503" s="14" t="s">
        <v>19</v>
      </c>
    </row>
    <row r="504" spans="2:65" s="11" customFormat="1">
      <c r="B504" s="136"/>
      <c r="D504" s="132" t="s">
        <v>147</v>
      </c>
      <c r="E504" s="137" t="s">
        <v>863</v>
      </c>
      <c r="F504" s="138" t="s">
        <v>135</v>
      </c>
      <c r="H504" s="139">
        <v>4</v>
      </c>
      <c r="L504" s="136"/>
      <c r="M504" s="140"/>
      <c r="T504" s="141"/>
      <c r="AT504" s="137" t="s">
        <v>147</v>
      </c>
      <c r="AU504" s="137" t="s">
        <v>19</v>
      </c>
      <c r="AV504" s="11" t="s">
        <v>149</v>
      </c>
      <c r="AW504" s="11" t="s">
        <v>39</v>
      </c>
      <c r="AX504" s="11" t="s">
        <v>19</v>
      </c>
      <c r="AY504" s="137" t="s">
        <v>136</v>
      </c>
    </row>
    <row r="505" spans="2:65" s="1" customFormat="1" ht="21.75" customHeight="1">
      <c r="B505" s="119"/>
      <c r="C505" s="120" t="s">
        <v>864</v>
      </c>
      <c r="D505" s="120" t="s">
        <v>137</v>
      </c>
      <c r="E505" s="121" t="s">
        <v>865</v>
      </c>
      <c r="F505" s="122" t="s">
        <v>866</v>
      </c>
      <c r="G505" s="123" t="s">
        <v>216</v>
      </c>
      <c r="H505" s="124">
        <v>2.25</v>
      </c>
      <c r="I505" s="125">
        <v>0</v>
      </c>
      <c r="J505" s="125">
        <f>ROUND(I505*H505,2)</f>
        <v>0</v>
      </c>
      <c r="K505" s="122" t="s">
        <v>141</v>
      </c>
      <c r="L505" s="26"/>
      <c r="M505" s="126" t="s">
        <v>1</v>
      </c>
      <c r="N505" s="127" t="s">
        <v>46</v>
      </c>
      <c r="O505" s="128">
        <v>0</v>
      </c>
      <c r="P505" s="128">
        <f>O505*H505</f>
        <v>0</v>
      </c>
      <c r="Q505" s="128">
        <v>0</v>
      </c>
      <c r="R505" s="128">
        <f>Q505*H505</f>
        <v>0</v>
      </c>
      <c r="S505" s="128">
        <v>0</v>
      </c>
      <c r="T505" s="129">
        <f>S505*H505</f>
        <v>0</v>
      </c>
      <c r="AR505" s="130" t="s">
        <v>135</v>
      </c>
      <c r="AT505" s="130" t="s">
        <v>137</v>
      </c>
      <c r="AU505" s="130" t="s">
        <v>19</v>
      </c>
      <c r="AY505" s="14" t="s">
        <v>136</v>
      </c>
      <c r="BE505" s="131">
        <f>IF(N505="základní",J505,0)</f>
        <v>0</v>
      </c>
      <c r="BF505" s="131">
        <f>IF(N505="snížená",J505,0)</f>
        <v>0</v>
      </c>
      <c r="BG505" s="131">
        <f>IF(N505="zákl. přenesená",J505,0)</f>
        <v>0</v>
      </c>
      <c r="BH505" s="131">
        <f>IF(N505="sníž. přenesená",J505,0)</f>
        <v>0</v>
      </c>
      <c r="BI505" s="131">
        <f>IF(N505="nulová",J505,0)</f>
        <v>0</v>
      </c>
      <c r="BJ505" s="14" t="s">
        <v>19</v>
      </c>
      <c r="BK505" s="131">
        <f>ROUND(I505*H505,2)</f>
        <v>0</v>
      </c>
      <c r="BL505" s="14" t="s">
        <v>135</v>
      </c>
      <c r="BM505" s="130" t="s">
        <v>867</v>
      </c>
    </row>
    <row r="506" spans="2:65" s="1" customFormat="1">
      <c r="B506" s="26"/>
      <c r="D506" s="132" t="s">
        <v>143</v>
      </c>
      <c r="F506" s="133" t="s">
        <v>866</v>
      </c>
      <c r="L506" s="26"/>
      <c r="M506" s="134"/>
      <c r="T506" s="50"/>
      <c r="AT506" s="14" t="s">
        <v>143</v>
      </c>
      <c r="AU506" s="14" t="s">
        <v>19</v>
      </c>
    </row>
    <row r="507" spans="2:65" s="1" customFormat="1" ht="86.4">
      <c r="B507" s="26"/>
      <c r="D507" s="132" t="s">
        <v>145</v>
      </c>
      <c r="F507" s="135" t="s">
        <v>868</v>
      </c>
      <c r="L507" s="26"/>
      <c r="M507" s="134"/>
      <c r="T507" s="50"/>
      <c r="AT507" s="14" t="s">
        <v>145</v>
      </c>
      <c r="AU507" s="14" t="s">
        <v>19</v>
      </c>
    </row>
    <row r="508" spans="2:65" s="11" customFormat="1">
      <c r="B508" s="136"/>
      <c r="D508" s="132" t="s">
        <v>147</v>
      </c>
      <c r="E508" s="137" t="s">
        <v>869</v>
      </c>
      <c r="F508" s="138" t="s">
        <v>870</v>
      </c>
      <c r="H508" s="139">
        <v>2.25</v>
      </c>
      <c r="L508" s="136"/>
      <c r="M508" s="140"/>
      <c r="T508" s="141"/>
      <c r="AT508" s="137" t="s">
        <v>147</v>
      </c>
      <c r="AU508" s="137" t="s">
        <v>19</v>
      </c>
      <c r="AV508" s="11" t="s">
        <v>149</v>
      </c>
      <c r="AW508" s="11" t="s">
        <v>39</v>
      </c>
      <c r="AX508" s="11" t="s">
        <v>19</v>
      </c>
      <c r="AY508" s="137" t="s">
        <v>136</v>
      </c>
    </row>
    <row r="509" spans="2:65" s="1" customFormat="1" ht="21.75" customHeight="1">
      <c r="B509" s="119"/>
      <c r="C509" s="120" t="s">
        <v>871</v>
      </c>
      <c r="D509" s="120" t="s">
        <v>137</v>
      </c>
      <c r="E509" s="121" t="s">
        <v>872</v>
      </c>
      <c r="F509" s="122" t="s">
        <v>873</v>
      </c>
      <c r="G509" s="123" t="s">
        <v>312</v>
      </c>
      <c r="H509" s="124">
        <v>446</v>
      </c>
      <c r="I509" s="125">
        <v>0</v>
      </c>
      <c r="J509" s="125">
        <f>ROUND(I509*H509,2)</f>
        <v>0</v>
      </c>
      <c r="K509" s="122" t="s">
        <v>141</v>
      </c>
      <c r="L509" s="26"/>
      <c r="M509" s="126" t="s">
        <v>1</v>
      </c>
      <c r="N509" s="127" t="s">
        <v>46</v>
      </c>
      <c r="O509" s="128">
        <v>0</v>
      </c>
      <c r="P509" s="128">
        <f>O509*H509</f>
        <v>0</v>
      </c>
      <c r="Q509" s="128">
        <v>0</v>
      </c>
      <c r="R509" s="128">
        <f>Q509*H509</f>
        <v>0</v>
      </c>
      <c r="S509" s="128">
        <v>0</v>
      </c>
      <c r="T509" s="129">
        <f>S509*H509</f>
        <v>0</v>
      </c>
      <c r="AR509" s="130" t="s">
        <v>135</v>
      </c>
      <c r="AT509" s="130" t="s">
        <v>137</v>
      </c>
      <c r="AU509" s="130" t="s">
        <v>19</v>
      </c>
      <c r="AY509" s="14" t="s">
        <v>136</v>
      </c>
      <c r="BE509" s="131">
        <f>IF(N509="základní",J509,0)</f>
        <v>0</v>
      </c>
      <c r="BF509" s="131">
        <f>IF(N509="snížená",J509,0)</f>
        <v>0</v>
      </c>
      <c r="BG509" s="131">
        <f>IF(N509="zákl. přenesená",J509,0)</f>
        <v>0</v>
      </c>
      <c r="BH509" s="131">
        <f>IF(N509="sníž. přenesená",J509,0)</f>
        <v>0</v>
      </c>
      <c r="BI509" s="131">
        <f>IF(N509="nulová",J509,0)</f>
        <v>0</v>
      </c>
      <c r="BJ509" s="14" t="s">
        <v>19</v>
      </c>
      <c r="BK509" s="131">
        <f>ROUND(I509*H509,2)</f>
        <v>0</v>
      </c>
      <c r="BL509" s="14" t="s">
        <v>135</v>
      </c>
      <c r="BM509" s="130" t="s">
        <v>874</v>
      </c>
    </row>
    <row r="510" spans="2:65" s="1" customFormat="1">
      <c r="B510" s="26"/>
      <c r="D510" s="132" t="s">
        <v>143</v>
      </c>
      <c r="F510" s="133" t="s">
        <v>873</v>
      </c>
      <c r="L510" s="26"/>
      <c r="M510" s="134"/>
      <c r="T510" s="50"/>
      <c r="AT510" s="14" t="s">
        <v>143</v>
      </c>
      <c r="AU510" s="14" t="s">
        <v>19</v>
      </c>
    </row>
    <row r="511" spans="2:65" s="1" customFormat="1" ht="86.4">
      <c r="B511" s="26"/>
      <c r="D511" s="132" t="s">
        <v>145</v>
      </c>
      <c r="F511" s="135" t="s">
        <v>875</v>
      </c>
      <c r="L511" s="26"/>
      <c r="M511" s="134"/>
      <c r="T511" s="50"/>
      <c r="AT511" s="14" t="s">
        <v>145</v>
      </c>
      <c r="AU511" s="14" t="s">
        <v>19</v>
      </c>
    </row>
    <row r="512" spans="2:65" s="11" customFormat="1">
      <c r="B512" s="136"/>
      <c r="D512" s="132" t="s">
        <v>147</v>
      </c>
      <c r="E512" s="137" t="s">
        <v>876</v>
      </c>
      <c r="F512" s="138" t="s">
        <v>877</v>
      </c>
      <c r="H512" s="139">
        <v>223</v>
      </c>
      <c r="L512" s="136"/>
      <c r="M512" s="140"/>
      <c r="T512" s="141"/>
      <c r="AT512" s="137" t="s">
        <v>147</v>
      </c>
      <c r="AU512" s="137" t="s">
        <v>19</v>
      </c>
      <c r="AV512" s="11" t="s">
        <v>149</v>
      </c>
      <c r="AW512" s="11" t="s">
        <v>39</v>
      </c>
      <c r="AX512" s="11" t="s">
        <v>81</v>
      </c>
      <c r="AY512" s="137" t="s">
        <v>136</v>
      </c>
    </row>
    <row r="513" spans="2:51" s="11" customFormat="1">
      <c r="B513" s="136"/>
      <c r="D513" s="132" t="s">
        <v>147</v>
      </c>
      <c r="E513" s="137" t="s">
        <v>878</v>
      </c>
      <c r="F513" s="138" t="s">
        <v>879</v>
      </c>
      <c r="H513" s="139">
        <v>223</v>
      </c>
      <c r="L513" s="136"/>
      <c r="M513" s="140"/>
      <c r="T513" s="141"/>
      <c r="AT513" s="137" t="s">
        <v>147</v>
      </c>
      <c r="AU513" s="137" t="s">
        <v>19</v>
      </c>
      <c r="AV513" s="11" t="s">
        <v>149</v>
      </c>
      <c r="AW513" s="11" t="s">
        <v>39</v>
      </c>
      <c r="AX513" s="11" t="s">
        <v>81</v>
      </c>
      <c r="AY513" s="137" t="s">
        <v>136</v>
      </c>
    </row>
    <row r="514" spans="2:51" s="11" customFormat="1">
      <c r="B514" s="136"/>
      <c r="D514" s="132" t="s">
        <v>147</v>
      </c>
      <c r="E514" s="137" t="s">
        <v>880</v>
      </c>
      <c r="F514" s="138" t="s">
        <v>881</v>
      </c>
      <c r="H514" s="139">
        <v>446</v>
      </c>
      <c r="L514" s="136"/>
      <c r="M514" s="142"/>
      <c r="N514" s="143"/>
      <c r="O514" s="143"/>
      <c r="P514" s="143"/>
      <c r="Q514" s="143"/>
      <c r="R514" s="143"/>
      <c r="S514" s="143"/>
      <c r="T514" s="144"/>
      <c r="AT514" s="137" t="s">
        <v>147</v>
      </c>
      <c r="AU514" s="137" t="s">
        <v>19</v>
      </c>
      <c r="AV514" s="11" t="s">
        <v>149</v>
      </c>
      <c r="AW514" s="11" t="s">
        <v>39</v>
      </c>
      <c r="AX514" s="11" t="s">
        <v>19</v>
      </c>
      <c r="AY514" s="137" t="s">
        <v>136</v>
      </c>
    </row>
    <row r="515" spans="2:51" s="1" customFormat="1" ht="6.9" customHeight="1">
      <c r="B515" s="38"/>
      <c r="C515" s="39"/>
      <c r="D515" s="39"/>
      <c r="E515" s="39"/>
      <c r="F515" s="39"/>
      <c r="G515" s="39"/>
      <c r="H515" s="39"/>
      <c r="I515" s="39"/>
      <c r="J515" s="39"/>
      <c r="K515" s="39"/>
      <c r="L515" s="26"/>
    </row>
  </sheetData>
  <autoFilter ref="C124:K514" xr:uid="{00000000-0009-0000-0000-000002000000}"/>
  <mergeCells count="9">
    <mergeCell ref="E87:H87"/>
    <mergeCell ref="E115:H115"/>
    <mergeCell ref="E117:H117"/>
    <mergeCell ref="L2:V2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BM625"/>
  <sheetViews>
    <sheetView showGridLines="0" workbookViewId="0"/>
  </sheetViews>
  <sheetFormatPr defaultRowHeight="10.199999999999999"/>
  <cols>
    <col min="1" max="1" width="8.28515625" customWidth="1"/>
    <col min="2" max="2" width="1.140625" customWidth="1"/>
    <col min="3" max="3" width="4.140625" customWidth="1"/>
    <col min="4" max="4" width="4.28515625" customWidth="1"/>
    <col min="5" max="5" width="17.140625" customWidth="1"/>
    <col min="6" max="6" width="50.85546875" customWidth="1"/>
    <col min="7" max="7" width="7.42578125" customWidth="1"/>
    <col min="8" max="8" width="14" customWidth="1"/>
    <col min="9" max="9" width="15.85546875" customWidth="1"/>
    <col min="10" max="11" width="22.28515625" customWidth="1"/>
    <col min="12" max="12" width="9.28515625" customWidth="1"/>
    <col min="13" max="13" width="10.85546875" hidden="1" customWidth="1"/>
    <col min="14" max="14" width="9.28515625" hidden="1"/>
    <col min="15" max="20" width="14.140625" hidden="1" customWidth="1"/>
    <col min="21" max="21" width="16.28515625" hidden="1" customWidth="1"/>
    <col min="22" max="22" width="12.28515625" customWidth="1"/>
    <col min="23" max="23" width="16.28515625" customWidth="1"/>
    <col min="24" max="24" width="12.28515625" customWidth="1"/>
    <col min="25" max="25" width="15" customWidth="1"/>
    <col min="26" max="26" width="11" customWidth="1"/>
    <col min="27" max="27" width="15" customWidth="1"/>
    <col min="28" max="28" width="16.28515625" customWidth="1"/>
    <col min="29" max="29" width="11" customWidth="1"/>
    <col min="30" max="30" width="15" customWidth="1"/>
    <col min="31" max="31" width="16.28515625" customWidth="1"/>
    <col min="44" max="65" width="9.28515625" hidden="1"/>
  </cols>
  <sheetData>
    <row r="2" spans="2:56" ht="36.9" customHeight="1">
      <c r="L2" s="197" t="s">
        <v>5</v>
      </c>
      <c r="M2" s="191"/>
      <c r="N2" s="191"/>
      <c r="O2" s="191"/>
      <c r="P2" s="191"/>
      <c r="Q2" s="191"/>
      <c r="R2" s="191"/>
      <c r="S2" s="191"/>
      <c r="T2" s="191"/>
      <c r="U2" s="191"/>
      <c r="V2" s="191"/>
      <c r="AT2" s="14" t="s">
        <v>96</v>
      </c>
      <c r="AZ2" s="145" t="s">
        <v>882</v>
      </c>
      <c r="BA2" s="145" t="s">
        <v>882</v>
      </c>
      <c r="BB2" s="145" t="s">
        <v>1</v>
      </c>
      <c r="BC2" s="145" t="s">
        <v>149</v>
      </c>
      <c r="BD2" s="145" t="s">
        <v>149</v>
      </c>
    </row>
    <row r="3" spans="2:56" ht="6.9" hidden="1" customHeight="1">
      <c r="B3" s="15"/>
      <c r="C3" s="16"/>
      <c r="D3" s="16"/>
      <c r="E3" s="16"/>
      <c r="F3" s="16"/>
      <c r="G3" s="16"/>
      <c r="H3" s="16"/>
      <c r="I3" s="16"/>
      <c r="J3" s="16"/>
      <c r="K3" s="16"/>
      <c r="L3" s="17"/>
      <c r="AT3" s="14" t="s">
        <v>90</v>
      </c>
    </row>
    <row r="4" spans="2:56" ht="24.9" hidden="1" customHeight="1">
      <c r="B4" s="17"/>
      <c r="D4" s="18" t="s">
        <v>112</v>
      </c>
      <c r="L4" s="17"/>
      <c r="M4" s="82" t="s">
        <v>10</v>
      </c>
      <c r="AT4" s="14" t="s">
        <v>3</v>
      </c>
    </row>
    <row r="5" spans="2:56" ht="6.9" hidden="1" customHeight="1">
      <c r="B5" s="17"/>
      <c r="L5" s="17"/>
    </row>
    <row r="6" spans="2:56" ht="12" hidden="1" customHeight="1">
      <c r="B6" s="17"/>
      <c r="D6" s="23" t="s">
        <v>14</v>
      </c>
      <c r="L6" s="17"/>
    </row>
    <row r="7" spans="2:56" ht="16.5" hidden="1" customHeight="1">
      <c r="B7" s="17"/>
      <c r="E7" s="203" t="str">
        <f>'Rekapitulace stavby'!K6</f>
        <v>I/26 Kyšice - Plzeň, Hřbitovní</v>
      </c>
      <c r="F7" s="204"/>
      <c r="G7" s="204"/>
      <c r="H7" s="204"/>
      <c r="L7" s="17"/>
    </row>
    <row r="8" spans="2:56" s="1" customFormat="1" ht="12" hidden="1" customHeight="1">
      <c r="B8" s="26"/>
      <c r="D8" s="23" t="s">
        <v>113</v>
      </c>
      <c r="L8" s="26"/>
    </row>
    <row r="9" spans="2:56" s="1" customFormat="1" ht="16.5" hidden="1" customHeight="1">
      <c r="B9" s="26"/>
      <c r="E9" s="168" t="s">
        <v>883</v>
      </c>
      <c r="F9" s="202"/>
      <c r="G9" s="202"/>
      <c r="H9" s="202"/>
      <c r="L9" s="26"/>
    </row>
    <row r="10" spans="2:56" s="1" customFormat="1" hidden="1">
      <c r="B10" s="26"/>
      <c r="L10" s="26"/>
    </row>
    <row r="11" spans="2:56" s="1" customFormat="1" ht="12" hidden="1" customHeight="1">
      <c r="B11" s="26"/>
      <c r="D11" s="23" t="s">
        <v>17</v>
      </c>
      <c r="F11" s="21" t="s">
        <v>1</v>
      </c>
      <c r="I11" s="23" t="s">
        <v>18</v>
      </c>
      <c r="J11" s="21" t="s">
        <v>1</v>
      </c>
      <c r="L11" s="26"/>
    </row>
    <row r="12" spans="2:56" s="1" customFormat="1" ht="12" hidden="1" customHeight="1">
      <c r="B12" s="26"/>
      <c r="D12" s="23" t="s">
        <v>20</v>
      </c>
      <c r="F12" s="21" t="s">
        <v>21</v>
      </c>
      <c r="I12" s="23" t="s">
        <v>22</v>
      </c>
      <c r="J12" s="46" t="str">
        <f>'Rekapitulace stavby'!AN8</f>
        <v>20. 1. 2026</v>
      </c>
      <c r="L12" s="26"/>
    </row>
    <row r="13" spans="2:56" s="1" customFormat="1" ht="10.95" hidden="1" customHeight="1">
      <c r="B13" s="26"/>
      <c r="L13" s="26"/>
    </row>
    <row r="14" spans="2:56" s="1" customFormat="1" ht="12" hidden="1" customHeight="1">
      <c r="B14" s="26"/>
      <c r="D14" s="23" t="s">
        <v>26</v>
      </c>
      <c r="I14" s="23" t="s">
        <v>27</v>
      </c>
      <c r="J14" s="21" t="s">
        <v>28</v>
      </c>
      <c r="L14" s="26"/>
    </row>
    <row r="15" spans="2:56" s="1" customFormat="1" ht="18" hidden="1" customHeight="1">
      <c r="B15" s="26"/>
      <c r="E15" s="21" t="s">
        <v>29</v>
      </c>
      <c r="I15" s="23" t="s">
        <v>30</v>
      </c>
      <c r="J15" s="21" t="s">
        <v>31</v>
      </c>
      <c r="L15" s="26"/>
    </row>
    <row r="16" spans="2:56" s="1" customFormat="1" ht="6.9" hidden="1" customHeight="1">
      <c r="B16" s="26"/>
      <c r="L16" s="26"/>
    </row>
    <row r="17" spans="2:12" s="1" customFormat="1" ht="12" hidden="1" customHeight="1">
      <c r="B17" s="26"/>
      <c r="D17" s="23" t="s">
        <v>32</v>
      </c>
      <c r="I17" s="23" t="s">
        <v>27</v>
      </c>
      <c r="J17" s="21" t="str">
        <f>'Rekapitulace stavby'!AN13</f>
        <v/>
      </c>
      <c r="L17" s="26"/>
    </row>
    <row r="18" spans="2:12" s="1" customFormat="1" ht="18" hidden="1" customHeight="1">
      <c r="B18" s="26"/>
      <c r="E18" s="190" t="str">
        <f>'Rekapitulace stavby'!E14</f>
        <v xml:space="preserve"> </v>
      </c>
      <c r="F18" s="190"/>
      <c r="G18" s="190"/>
      <c r="H18" s="190"/>
      <c r="I18" s="23" t="s">
        <v>30</v>
      </c>
      <c r="J18" s="21" t="str">
        <f>'Rekapitulace stavby'!AN14</f>
        <v/>
      </c>
      <c r="L18" s="26"/>
    </row>
    <row r="19" spans="2:12" s="1" customFormat="1" ht="6.9" hidden="1" customHeight="1">
      <c r="B19" s="26"/>
      <c r="L19" s="26"/>
    </row>
    <row r="20" spans="2:12" s="1" customFormat="1" ht="12" hidden="1" customHeight="1">
      <c r="B20" s="26"/>
      <c r="D20" s="23" t="s">
        <v>33</v>
      </c>
      <c r="I20" s="23" t="s">
        <v>27</v>
      </c>
      <c r="J20" s="21" t="s">
        <v>34</v>
      </c>
      <c r="L20" s="26"/>
    </row>
    <row r="21" spans="2:12" s="1" customFormat="1" ht="18" hidden="1" customHeight="1">
      <c r="B21" s="26"/>
      <c r="E21" s="21" t="s">
        <v>35</v>
      </c>
      <c r="I21" s="23" t="s">
        <v>30</v>
      </c>
      <c r="J21" s="21" t="s">
        <v>36</v>
      </c>
      <c r="L21" s="26"/>
    </row>
    <row r="22" spans="2:12" s="1" customFormat="1" ht="6.9" hidden="1" customHeight="1">
      <c r="B22" s="26"/>
      <c r="L22" s="26"/>
    </row>
    <row r="23" spans="2:12" s="1" customFormat="1" ht="12" hidden="1" customHeight="1">
      <c r="B23" s="26"/>
      <c r="D23" s="23" t="s">
        <v>37</v>
      </c>
      <c r="I23" s="23" t="s">
        <v>27</v>
      </c>
      <c r="J23" s="21" t="str">
        <f>IF('Rekapitulace stavby'!AN19="","",'Rekapitulace stavby'!AN19)</f>
        <v/>
      </c>
      <c r="L23" s="26"/>
    </row>
    <row r="24" spans="2:12" s="1" customFormat="1" ht="18" hidden="1" customHeight="1">
      <c r="B24" s="26"/>
      <c r="E24" s="21" t="str">
        <f>IF('Rekapitulace stavby'!E20="","",'Rekapitulace stavby'!E20)</f>
        <v>Pavel Vachtl</v>
      </c>
      <c r="I24" s="23" t="s">
        <v>30</v>
      </c>
      <c r="J24" s="21" t="str">
        <f>IF('Rekapitulace stavby'!AN20="","",'Rekapitulace stavby'!AN20)</f>
        <v/>
      </c>
      <c r="L24" s="26"/>
    </row>
    <row r="25" spans="2:12" s="1" customFormat="1" ht="6.9" hidden="1" customHeight="1">
      <c r="B25" s="26"/>
      <c r="L25" s="26"/>
    </row>
    <row r="26" spans="2:12" s="1" customFormat="1" ht="12" hidden="1" customHeight="1">
      <c r="B26" s="26"/>
      <c r="D26" s="23" t="s">
        <v>40</v>
      </c>
      <c r="L26" s="26"/>
    </row>
    <row r="27" spans="2:12" s="7" customFormat="1" ht="16.5" hidden="1" customHeight="1">
      <c r="B27" s="83"/>
      <c r="E27" s="193" t="s">
        <v>1</v>
      </c>
      <c r="F27" s="193"/>
      <c r="G27" s="193"/>
      <c r="H27" s="193"/>
      <c r="L27" s="83"/>
    </row>
    <row r="28" spans="2:12" s="1" customFormat="1" ht="6.9" hidden="1" customHeight="1">
      <c r="B28" s="26"/>
      <c r="L28" s="26"/>
    </row>
    <row r="29" spans="2:12" s="1" customFormat="1" ht="6.9" hidden="1" customHeight="1">
      <c r="B29" s="26"/>
      <c r="D29" s="47"/>
      <c r="E29" s="47"/>
      <c r="F29" s="47"/>
      <c r="G29" s="47"/>
      <c r="H29" s="47"/>
      <c r="I29" s="47"/>
      <c r="J29" s="47"/>
      <c r="K29" s="47"/>
      <c r="L29" s="26"/>
    </row>
    <row r="30" spans="2:12" s="1" customFormat="1" ht="25.35" hidden="1" customHeight="1">
      <c r="B30" s="26"/>
      <c r="D30" s="84" t="s">
        <v>41</v>
      </c>
      <c r="J30" s="60">
        <f>ROUND(J124, 2)</f>
        <v>0</v>
      </c>
      <c r="L30" s="26"/>
    </row>
    <row r="31" spans="2:12" s="1" customFormat="1" ht="6.9" hidden="1" customHeight="1">
      <c r="B31" s="26"/>
      <c r="D31" s="47"/>
      <c r="E31" s="47"/>
      <c r="F31" s="47"/>
      <c r="G31" s="47"/>
      <c r="H31" s="47"/>
      <c r="I31" s="47"/>
      <c r="J31" s="47"/>
      <c r="K31" s="47"/>
      <c r="L31" s="26"/>
    </row>
    <row r="32" spans="2:12" s="1" customFormat="1" ht="14.4" hidden="1" customHeight="1">
      <c r="B32" s="26"/>
      <c r="F32" s="29" t="s">
        <v>43</v>
      </c>
      <c r="I32" s="29" t="s">
        <v>42</v>
      </c>
      <c r="J32" s="29" t="s">
        <v>44</v>
      </c>
      <c r="L32" s="26"/>
    </row>
    <row r="33" spans="2:12" s="1" customFormat="1" ht="14.4" hidden="1" customHeight="1">
      <c r="B33" s="26"/>
      <c r="D33" s="49" t="s">
        <v>45</v>
      </c>
      <c r="E33" s="23" t="s">
        <v>46</v>
      </c>
      <c r="F33" s="85">
        <f>ROUND((SUM(BE124:BE624)),  2)</f>
        <v>0</v>
      </c>
      <c r="I33" s="86">
        <v>0.21</v>
      </c>
      <c r="J33" s="85">
        <f>ROUND(((SUM(BE124:BE624))*I33),  2)</f>
        <v>0</v>
      </c>
      <c r="L33" s="26"/>
    </row>
    <row r="34" spans="2:12" s="1" customFormat="1" ht="14.4" hidden="1" customHeight="1">
      <c r="B34" s="26"/>
      <c r="E34" s="23" t="s">
        <v>47</v>
      </c>
      <c r="F34" s="85">
        <f>ROUND((SUM(BF124:BF624)),  2)</f>
        <v>0</v>
      </c>
      <c r="I34" s="86">
        <v>0.15</v>
      </c>
      <c r="J34" s="85">
        <f>ROUND(((SUM(BF124:BF624))*I34),  2)</f>
        <v>0</v>
      </c>
      <c r="L34" s="26"/>
    </row>
    <row r="35" spans="2:12" s="1" customFormat="1" ht="14.4" hidden="1" customHeight="1">
      <c r="B35" s="26"/>
      <c r="E35" s="23" t="s">
        <v>48</v>
      </c>
      <c r="F35" s="85">
        <f>ROUND((SUM(BG124:BG624)),  2)</f>
        <v>0</v>
      </c>
      <c r="I35" s="86">
        <v>0.21</v>
      </c>
      <c r="J35" s="85">
        <f>0</f>
        <v>0</v>
      </c>
      <c r="L35" s="26"/>
    </row>
    <row r="36" spans="2:12" s="1" customFormat="1" ht="14.4" hidden="1" customHeight="1">
      <c r="B36" s="26"/>
      <c r="E36" s="23" t="s">
        <v>49</v>
      </c>
      <c r="F36" s="85">
        <f>ROUND((SUM(BH124:BH624)),  2)</f>
        <v>0</v>
      </c>
      <c r="I36" s="86">
        <v>0.15</v>
      </c>
      <c r="J36" s="85">
        <f>0</f>
        <v>0</v>
      </c>
      <c r="L36" s="26"/>
    </row>
    <row r="37" spans="2:12" s="1" customFormat="1" ht="14.4" hidden="1" customHeight="1">
      <c r="B37" s="26"/>
      <c r="E37" s="23" t="s">
        <v>50</v>
      </c>
      <c r="F37" s="85">
        <f>ROUND((SUM(BI124:BI624)),  2)</f>
        <v>0</v>
      </c>
      <c r="I37" s="86">
        <v>0</v>
      </c>
      <c r="J37" s="85">
        <f>0</f>
        <v>0</v>
      </c>
      <c r="L37" s="26"/>
    </row>
    <row r="38" spans="2:12" s="1" customFormat="1" ht="6.9" hidden="1" customHeight="1">
      <c r="B38" s="26"/>
      <c r="L38" s="26"/>
    </row>
    <row r="39" spans="2:12" s="1" customFormat="1" ht="25.35" hidden="1" customHeight="1">
      <c r="B39" s="26"/>
      <c r="C39" s="87"/>
      <c r="D39" s="88" t="s">
        <v>51</v>
      </c>
      <c r="E39" s="51"/>
      <c r="F39" s="51"/>
      <c r="G39" s="89" t="s">
        <v>52</v>
      </c>
      <c r="H39" s="90" t="s">
        <v>53</v>
      </c>
      <c r="I39" s="51"/>
      <c r="J39" s="91">
        <f>SUM(J30:J37)</f>
        <v>0</v>
      </c>
      <c r="K39" s="92"/>
      <c r="L39" s="26"/>
    </row>
    <row r="40" spans="2:12" s="1" customFormat="1" ht="14.4" hidden="1" customHeight="1">
      <c r="B40" s="26"/>
      <c r="L40" s="26"/>
    </row>
    <row r="41" spans="2:12" ht="14.4" hidden="1" customHeight="1">
      <c r="B41" s="17"/>
      <c r="L41" s="17"/>
    </row>
    <row r="42" spans="2:12" ht="14.4" hidden="1" customHeight="1">
      <c r="B42" s="17"/>
      <c r="L42" s="17"/>
    </row>
    <row r="43" spans="2:12" ht="14.4" hidden="1" customHeight="1">
      <c r="B43" s="17"/>
      <c r="L43" s="17"/>
    </row>
    <row r="44" spans="2:12" ht="14.4" hidden="1" customHeight="1">
      <c r="B44" s="17"/>
      <c r="L44" s="17"/>
    </row>
    <row r="45" spans="2:12" ht="14.4" hidden="1" customHeight="1">
      <c r="B45" s="17"/>
      <c r="L45" s="17"/>
    </row>
    <row r="46" spans="2:12" ht="14.4" hidden="1" customHeight="1">
      <c r="B46" s="17"/>
      <c r="L46" s="17"/>
    </row>
    <row r="47" spans="2:12" ht="14.4" hidden="1" customHeight="1">
      <c r="B47" s="17"/>
      <c r="L47" s="17"/>
    </row>
    <row r="48" spans="2:12" ht="14.4" hidden="1" customHeight="1">
      <c r="B48" s="17"/>
      <c r="L48" s="17"/>
    </row>
    <row r="49" spans="2:12" ht="14.4" hidden="1" customHeight="1">
      <c r="B49" s="17"/>
      <c r="L49" s="17"/>
    </row>
    <row r="50" spans="2:12" s="1" customFormat="1" ht="14.4" hidden="1" customHeight="1">
      <c r="B50" s="26"/>
      <c r="D50" s="35" t="s">
        <v>54</v>
      </c>
      <c r="E50" s="36"/>
      <c r="F50" s="36"/>
      <c r="G50" s="35" t="s">
        <v>55</v>
      </c>
      <c r="H50" s="36"/>
      <c r="I50" s="36"/>
      <c r="J50" s="36"/>
      <c r="K50" s="36"/>
      <c r="L50" s="26"/>
    </row>
    <row r="51" spans="2:12" hidden="1">
      <c r="B51" s="17"/>
      <c r="L51" s="17"/>
    </row>
    <row r="52" spans="2:12" hidden="1">
      <c r="B52" s="17"/>
      <c r="L52" s="17"/>
    </row>
    <row r="53" spans="2:12" hidden="1">
      <c r="B53" s="17"/>
      <c r="L53" s="17"/>
    </row>
    <row r="54" spans="2:12" hidden="1">
      <c r="B54" s="17"/>
      <c r="L54" s="17"/>
    </row>
    <row r="55" spans="2:12" hidden="1">
      <c r="B55" s="17"/>
      <c r="L55" s="17"/>
    </row>
    <row r="56" spans="2:12" hidden="1">
      <c r="B56" s="17"/>
      <c r="L56" s="17"/>
    </row>
    <row r="57" spans="2:12" hidden="1">
      <c r="B57" s="17"/>
      <c r="L57" s="17"/>
    </row>
    <row r="58" spans="2:12" hidden="1">
      <c r="B58" s="17"/>
      <c r="L58" s="17"/>
    </row>
    <row r="59" spans="2:12" hidden="1">
      <c r="B59" s="17"/>
      <c r="L59" s="17"/>
    </row>
    <row r="60" spans="2:12" hidden="1">
      <c r="B60" s="17"/>
      <c r="L60" s="17"/>
    </row>
    <row r="61" spans="2:12" s="1" customFormat="1" ht="13.2" hidden="1">
      <c r="B61" s="26"/>
      <c r="D61" s="37" t="s">
        <v>56</v>
      </c>
      <c r="E61" s="28"/>
      <c r="F61" s="93" t="s">
        <v>57</v>
      </c>
      <c r="G61" s="37" t="s">
        <v>56</v>
      </c>
      <c r="H61" s="28"/>
      <c r="I61" s="28"/>
      <c r="J61" s="94" t="s">
        <v>57</v>
      </c>
      <c r="K61" s="28"/>
      <c r="L61" s="26"/>
    </row>
    <row r="62" spans="2:12" hidden="1">
      <c r="B62" s="17"/>
      <c r="L62" s="17"/>
    </row>
    <row r="63" spans="2:12" hidden="1">
      <c r="B63" s="17"/>
      <c r="L63" s="17"/>
    </row>
    <row r="64" spans="2:12" hidden="1">
      <c r="B64" s="17"/>
      <c r="L64" s="17"/>
    </row>
    <row r="65" spans="2:12" s="1" customFormat="1" ht="13.2" hidden="1">
      <c r="B65" s="26"/>
      <c r="D65" s="35" t="s">
        <v>58</v>
      </c>
      <c r="E65" s="36"/>
      <c r="F65" s="36"/>
      <c r="G65" s="35" t="s">
        <v>59</v>
      </c>
      <c r="H65" s="36"/>
      <c r="I65" s="36"/>
      <c r="J65" s="36"/>
      <c r="K65" s="36"/>
      <c r="L65" s="26"/>
    </row>
    <row r="66" spans="2:12" hidden="1">
      <c r="B66" s="17"/>
      <c r="L66" s="17"/>
    </row>
    <row r="67" spans="2:12" hidden="1">
      <c r="B67" s="17"/>
      <c r="L67" s="17"/>
    </row>
    <row r="68" spans="2:12" hidden="1">
      <c r="B68" s="17"/>
      <c r="L68" s="17"/>
    </row>
    <row r="69" spans="2:12" hidden="1">
      <c r="B69" s="17"/>
      <c r="L69" s="17"/>
    </row>
    <row r="70" spans="2:12" hidden="1">
      <c r="B70" s="17"/>
      <c r="L70" s="17"/>
    </row>
    <row r="71" spans="2:12" hidden="1">
      <c r="B71" s="17"/>
      <c r="L71" s="17"/>
    </row>
    <row r="72" spans="2:12" hidden="1">
      <c r="B72" s="17"/>
      <c r="L72" s="17"/>
    </row>
    <row r="73" spans="2:12" hidden="1">
      <c r="B73" s="17"/>
      <c r="L73" s="17"/>
    </row>
    <row r="74" spans="2:12" hidden="1">
      <c r="B74" s="17"/>
      <c r="L74" s="17"/>
    </row>
    <row r="75" spans="2:12" hidden="1">
      <c r="B75" s="17"/>
      <c r="L75" s="17"/>
    </row>
    <row r="76" spans="2:12" s="1" customFormat="1" ht="13.2" hidden="1">
      <c r="B76" s="26"/>
      <c r="D76" s="37" t="s">
        <v>56</v>
      </c>
      <c r="E76" s="28"/>
      <c r="F76" s="93" t="s">
        <v>57</v>
      </c>
      <c r="G76" s="37" t="s">
        <v>56</v>
      </c>
      <c r="H76" s="28"/>
      <c r="I76" s="28"/>
      <c r="J76" s="94" t="s">
        <v>57</v>
      </c>
      <c r="K76" s="28"/>
      <c r="L76" s="26"/>
    </row>
    <row r="77" spans="2:12" s="1" customFormat="1" ht="14.4" hidden="1" customHeight="1">
      <c r="B77" s="38"/>
      <c r="C77" s="39"/>
      <c r="D77" s="39"/>
      <c r="E77" s="39"/>
      <c r="F77" s="39"/>
      <c r="G77" s="39"/>
      <c r="H77" s="39"/>
      <c r="I77" s="39"/>
      <c r="J77" s="39"/>
      <c r="K77" s="39"/>
      <c r="L77" s="26"/>
    </row>
    <row r="78" spans="2:12" hidden="1"/>
    <row r="79" spans="2:12" hidden="1"/>
    <row r="80" spans="2:12" hidden="1"/>
    <row r="81" spans="2:47" s="1" customFormat="1" ht="6.9" customHeight="1">
      <c r="B81" s="40"/>
      <c r="C81" s="41"/>
      <c r="D81" s="41"/>
      <c r="E81" s="41"/>
      <c r="F81" s="41"/>
      <c r="G81" s="41"/>
      <c r="H81" s="41"/>
      <c r="I81" s="41"/>
      <c r="J81" s="41"/>
      <c r="K81" s="41"/>
      <c r="L81" s="26"/>
    </row>
    <row r="82" spans="2:47" s="1" customFormat="1" ht="24.9" customHeight="1">
      <c r="B82" s="26"/>
      <c r="C82" s="18" t="s">
        <v>115</v>
      </c>
      <c r="L82" s="26"/>
    </row>
    <row r="83" spans="2:47" s="1" customFormat="1" ht="6.9" customHeight="1">
      <c r="B83" s="26"/>
      <c r="L83" s="26"/>
    </row>
    <row r="84" spans="2:47" s="1" customFormat="1" ht="12" customHeight="1">
      <c r="B84" s="26"/>
      <c r="C84" s="23" t="s">
        <v>14</v>
      </c>
      <c r="L84" s="26"/>
    </row>
    <row r="85" spans="2:47" s="1" customFormat="1" ht="16.5" customHeight="1">
      <c r="B85" s="26"/>
      <c r="E85" s="203" t="str">
        <f>E7</f>
        <v>I/26 Kyšice - Plzeň, Hřbitovní</v>
      </c>
      <c r="F85" s="204"/>
      <c r="G85" s="204"/>
      <c r="H85" s="204"/>
      <c r="L85" s="26"/>
    </row>
    <row r="86" spans="2:47" s="1" customFormat="1" ht="12" customHeight="1">
      <c r="B86" s="26"/>
      <c r="C86" s="23" t="s">
        <v>113</v>
      </c>
      <c r="L86" s="26"/>
    </row>
    <row r="87" spans="2:47" s="1" customFormat="1" ht="16.5" customHeight="1">
      <c r="B87" s="26"/>
      <c r="E87" s="168" t="str">
        <f>E9</f>
        <v>102 - Oprava vozovky (km 4,84-5,94)</v>
      </c>
      <c r="F87" s="202"/>
      <c r="G87" s="202"/>
      <c r="H87" s="202"/>
      <c r="L87" s="26"/>
    </row>
    <row r="88" spans="2:47" s="1" customFormat="1" ht="6.9" customHeight="1">
      <c r="B88" s="26"/>
      <c r="L88" s="26"/>
    </row>
    <row r="89" spans="2:47" s="1" customFormat="1" ht="12" customHeight="1">
      <c r="B89" s="26"/>
      <c r="C89" s="23" t="s">
        <v>20</v>
      </c>
      <c r="F89" s="21" t="str">
        <f>F12</f>
        <v xml:space="preserve"> </v>
      </c>
      <c r="I89" s="23" t="s">
        <v>22</v>
      </c>
      <c r="J89" s="46" t="str">
        <f>IF(J12="","",J12)</f>
        <v>20. 1. 2026</v>
      </c>
      <c r="L89" s="26"/>
    </row>
    <row r="90" spans="2:47" s="1" customFormat="1" ht="6.9" customHeight="1">
      <c r="B90" s="26"/>
      <c r="L90" s="26"/>
    </row>
    <row r="91" spans="2:47" s="1" customFormat="1" ht="15.15" customHeight="1">
      <c r="B91" s="26"/>
      <c r="C91" s="23" t="s">
        <v>26</v>
      </c>
      <c r="F91" s="21" t="str">
        <f>E15</f>
        <v>Ředitelství silnic a dálnic s.p.</v>
      </c>
      <c r="I91" s="23" t="s">
        <v>33</v>
      </c>
      <c r="J91" s="24" t="str">
        <f>E21</f>
        <v>Woring s.r.o.</v>
      </c>
      <c r="L91" s="26"/>
    </row>
    <row r="92" spans="2:47" s="1" customFormat="1" ht="15.15" customHeight="1">
      <c r="B92" s="26"/>
      <c r="C92" s="23" t="s">
        <v>32</v>
      </c>
      <c r="F92" s="21" t="str">
        <f>IF(E18="","",E18)</f>
        <v xml:space="preserve"> </v>
      </c>
      <c r="I92" s="23" t="s">
        <v>37</v>
      </c>
      <c r="J92" s="24" t="str">
        <f>E24</f>
        <v>Pavel Vachtl</v>
      </c>
      <c r="L92" s="26"/>
    </row>
    <row r="93" spans="2:47" s="1" customFormat="1" ht="10.35" customHeight="1">
      <c r="B93" s="26"/>
      <c r="L93" s="26"/>
    </row>
    <row r="94" spans="2:47" s="1" customFormat="1" ht="29.25" customHeight="1">
      <c r="B94" s="26"/>
      <c r="C94" s="95" t="s">
        <v>116</v>
      </c>
      <c r="D94" s="87"/>
      <c r="E94" s="87"/>
      <c r="F94" s="87"/>
      <c r="G94" s="87"/>
      <c r="H94" s="87"/>
      <c r="I94" s="87"/>
      <c r="J94" s="96" t="s">
        <v>117</v>
      </c>
      <c r="K94" s="87"/>
      <c r="L94" s="26"/>
    </row>
    <row r="95" spans="2:47" s="1" customFormat="1" ht="10.35" customHeight="1">
      <c r="B95" s="26"/>
      <c r="L95" s="26"/>
    </row>
    <row r="96" spans="2:47" s="1" customFormat="1" ht="22.95" customHeight="1">
      <c r="B96" s="26"/>
      <c r="C96" s="97" t="s">
        <v>118</v>
      </c>
      <c r="J96" s="60">
        <f>J124</f>
        <v>0</v>
      </c>
      <c r="L96" s="26"/>
      <c r="AU96" s="14" t="s">
        <v>90</v>
      </c>
    </row>
    <row r="97" spans="2:12" s="8" customFormat="1" ht="24.9" customHeight="1">
      <c r="B97" s="98"/>
      <c r="D97" s="99" t="s">
        <v>119</v>
      </c>
      <c r="E97" s="100"/>
      <c r="F97" s="100"/>
      <c r="G97" s="100"/>
      <c r="H97" s="100"/>
      <c r="I97" s="100"/>
      <c r="J97" s="101">
        <f>J125</f>
        <v>0</v>
      </c>
      <c r="L97" s="98"/>
    </row>
    <row r="98" spans="2:12" s="8" customFormat="1" ht="24.9" customHeight="1">
      <c r="B98" s="98"/>
      <c r="D98" s="99" t="s">
        <v>120</v>
      </c>
      <c r="E98" s="100"/>
      <c r="F98" s="100"/>
      <c r="G98" s="100"/>
      <c r="H98" s="100"/>
      <c r="I98" s="100"/>
      <c r="J98" s="101">
        <f>J150</f>
        <v>0</v>
      </c>
      <c r="L98" s="98"/>
    </row>
    <row r="99" spans="2:12" s="8" customFormat="1" ht="24.9" customHeight="1">
      <c r="B99" s="98"/>
      <c r="D99" s="99" t="s">
        <v>207</v>
      </c>
      <c r="E99" s="100"/>
      <c r="F99" s="100"/>
      <c r="G99" s="100"/>
      <c r="H99" s="100"/>
      <c r="I99" s="100"/>
      <c r="J99" s="101">
        <f>J306</f>
        <v>0</v>
      </c>
      <c r="L99" s="98"/>
    </row>
    <row r="100" spans="2:12" s="8" customFormat="1" ht="24.9" customHeight="1">
      <c r="B100" s="98"/>
      <c r="D100" s="99" t="s">
        <v>209</v>
      </c>
      <c r="E100" s="100"/>
      <c r="F100" s="100"/>
      <c r="G100" s="100"/>
      <c r="H100" s="100"/>
      <c r="I100" s="100"/>
      <c r="J100" s="101">
        <f>J327</f>
        <v>0</v>
      </c>
      <c r="L100" s="98"/>
    </row>
    <row r="101" spans="2:12" s="8" customFormat="1" ht="24.9" customHeight="1">
      <c r="B101" s="98"/>
      <c r="D101" s="99" t="s">
        <v>210</v>
      </c>
      <c r="E101" s="100"/>
      <c r="F101" s="100"/>
      <c r="G101" s="100"/>
      <c r="H101" s="100"/>
      <c r="I101" s="100"/>
      <c r="J101" s="101">
        <f>J354</f>
        <v>0</v>
      </c>
      <c r="L101" s="98"/>
    </row>
    <row r="102" spans="2:12" s="8" customFormat="1" ht="24.9" customHeight="1">
      <c r="B102" s="98"/>
      <c r="D102" s="99" t="s">
        <v>211</v>
      </c>
      <c r="E102" s="100"/>
      <c r="F102" s="100"/>
      <c r="G102" s="100"/>
      <c r="H102" s="100"/>
      <c r="I102" s="100"/>
      <c r="J102" s="101">
        <f>J462</f>
        <v>0</v>
      </c>
      <c r="L102" s="98"/>
    </row>
    <row r="103" spans="2:12" s="8" customFormat="1" ht="24.9" customHeight="1">
      <c r="B103" s="98"/>
      <c r="D103" s="99" t="s">
        <v>212</v>
      </c>
      <c r="E103" s="100"/>
      <c r="F103" s="100"/>
      <c r="G103" s="100"/>
      <c r="H103" s="100"/>
      <c r="I103" s="100"/>
      <c r="J103" s="101">
        <f>J475</f>
        <v>0</v>
      </c>
      <c r="L103" s="98"/>
    </row>
    <row r="104" spans="2:12" s="8" customFormat="1" ht="24.9" customHeight="1">
      <c r="B104" s="98"/>
      <c r="D104" s="99" t="s">
        <v>213</v>
      </c>
      <c r="E104" s="100"/>
      <c r="F104" s="100"/>
      <c r="G104" s="100"/>
      <c r="H104" s="100"/>
      <c r="I104" s="100"/>
      <c r="J104" s="101">
        <f>J535</f>
        <v>0</v>
      </c>
      <c r="L104" s="98"/>
    </row>
    <row r="105" spans="2:12" s="1" customFormat="1" ht="21.75" customHeight="1">
      <c r="B105" s="26"/>
      <c r="L105" s="26"/>
    </row>
    <row r="106" spans="2:12" s="1" customFormat="1" ht="6.9" customHeight="1">
      <c r="B106" s="38"/>
      <c r="C106" s="39"/>
      <c r="D106" s="39"/>
      <c r="E106" s="39"/>
      <c r="F106" s="39"/>
      <c r="G106" s="39"/>
      <c r="H106" s="39"/>
      <c r="I106" s="39"/>
      <c r="J106" s="39"/>
      <c r="K106" s="39"/>
      <c r="L106" s="26"/>
    </row>
    <row r="110" spans="2:12" s="1" customFormat="1" ht="6.9" customHeight="1">
      <c r="B110" s="40"/>
      <c r="C110" s="41"/>
      <c r="D110" s="41"/>
      <c r="E110" s="41"/>
      <c r="F110" s="41"/>
      <c r="G110" s="41"/>
      <c r="H110" s="41"/>
      <c r="I110" s="41"/>
      <c r="J110" s="41"/>
      <c r="K110" s="41"/>
      <c r="L110" s="26"/>
    </row>
    <row r="111" spans="2:12" s="1" customFormat="1" ht="24.9" customHeight="1">
      <c r="B111" s="26"/>
      <c r="C111" s="18" t="s">
        <v>121</v>
      </c>
      <c r="L111" s="26"/>
    </row>
    <row r="112" spans="2:12" s="1" customFormat="1" ht="6.9" customHeight="1">
      <c r="B112" s="26"/>
      <c r="L112" s="26"/>
    </row>
    <row r="113" spans="2:65" s="1" customFormat="1" ht="12" customHeight="1">
      <c r="B113" s="26"/>
      <c r="C113" s="23" t="s">
        <v>14</v>
      </c>
      <c r="L113" s="26"/>
    </row>
    <row r="114" spans="2:65" s="1" customFormat="1" ht="16.5" customHeight="1">
      <c r="B114" s="26"/>
      <c r="E114" s="203" t="str">
        <f>E7</f>
        <v>I/26 Kyšice - Plzeň, Hřbitovní</v>
      </c>
      <c r="F114" s="204"/>
      <c r="G114" s="204"/>
      <c r="H114" s="204"/>
      <c r="L114" s="26"/>
    </row>
    <row r="115" spans="2:65" s="1" customFormat="1" ht="12" customHeight="1">
      <c r="B115" s="26"/>
      <c r="C115" s="23" t="s">
        <v>113</v>
      </c>
      <c r="L115" s="26"/>
    </row>
    <row r="116" spans="2:65" s="1" customFormat="1" ht="16.5" customHeight="1">
      <c r="B116" s="26"/>
      <c r="E116" s="168" t="str">
        <f>E9</f>
        <v>102 - Oprava vozovky (km 4,84-5,94)</v>
      </c>
      <c r="F116" s="202"/>
      <c r="G116" s="202"/>
      <c r="H116" s="202"/>
      <c r="L116" s="26"/>
    </row>
    <row r="117" spans="2:65" s="1" customFormat="1" ht="6.9" customHeight="1">
      <c r="B117" s="26"/>
      <c r="L117" s="26"/>
    </row>
    <row r="118" spans="2:65" s="1" customFormat="1" ht="12" customHeight="1">
      <c r="B118" s="26"/>
      <c r="C118" s="23" t="s">
        <v>20</v>
      </c>
      <c r="F118" s="21" t="str">
        <f>F12</f>
        <v xml:space="preserve"> </v>
      </c>
      <c r="I118" s="23" t="s">
        <v>22</v>
      </c>
      <c r="J118" s="46" t="str">
        <f>IF(J12="","",J12)</f>
        <v>20. 1. 2026</v>
      </c>
      <c r="L118" s="26"/>
    </row>
    <row r="119" spans="2:65" s="1" customFormat="1" ht="6.9" customHeight="1">
      <c r="B119" s="26"/>
      <c r="L119" s="26"/>
    </row>
    <row r="120" spans="2:65" s="1" customFormat="1" ht="15.15" customHeight="1">
      <c r="B120" s="26"/>
      <c r="C120" s="23" t="s">
        <v>26</v>
      </c>
      <c r="F120" s="21" t="str">
        <f>E15</f>
        <v>Ředitelství silnic a dálnic s.p.</v>
      </c>
      <c r="I120" s="23" t="s">
        <v>33</v>
      </c>
      <c r="J120" s="24" t="str">
        <f>E21</f>
        <v>Woring s.r.o.</v>
      </c>
      <c r="L120" s="26"/>
    </row>
    <row r="121" spans="2:65" s="1" customFormat="1" ht="15.15" customHeight="1">
      <c r="B121" s="26"/>
      <c r="C121" s="23" t="s">
        <v>32</v>
      </c>
      <c r="F121" s="21" t="str">
        <f>IF(E18="","",E18)</f>
        <v xml:space="preserve"> </v>
      </c>
      <c r="I121" s="23" t="s">
        <v>37</v>
      </c>
      <c r="J121" s="24" t="str">
        <f>E24</f>
        <v>Pavel Vachtl</v>
      </c>
      <c r="L121" s="26"/>
    </row>
    <row r="122" spans="2:65" s="1" customFormat="1" ht="10.35" customHeight="1">
      <c r="B122" s="26"/>
      <c r="L122" s="26"/>
    </row>
    <row r="123" spans="2:65" s="9" customFormat="1" ht="29.25" customHeight="1">
      <c r="B123" s="102"/>
      <c r="C123" s="103" t="s">
        <v>122</v>
      </c>
      <c r="D123" s="104" t="s">
        <v>66</v>
      </c>
      <c r="E123" s="104" t="s">
        <v>62</v>
      </c>
      <c r="F123" s="104" t="s">
        <v>63</v>
      </c>
      <c r="G123" s="104" t="s">
        <v>123</v>
      </c>
      <c r="H123" s="104" t="s">
        <v>124</v>
      </c>
      <c r="I123" s="104" t="s">
        <v>125</v>
      </c>
      <c r="J123" s="104" t="s">
        <v>117</v>
      </c>
      <c r="K123" s="105" t="s">
        <v>126</v>
      </c>
      <c r="L123" s="102"/>
      <c r="M123" s="53" t="s">
        <v>1</v>
      </c>
      <c r="N123" s="54" t="s">
        <v>45</v>
      </c>
      <c r="O123" s="54" t="s">
        <v>127</v>
      </c>
      <c r="P123" s="54" t="s">
        <v>128</v>
      </c>
      <c r="Q123" s="54" t="s">
        <v>129</v>
      </c>
      <c r="R123" s="54" t="s">
        <v>130</v>
      </c>
      <c r="S123" s="54" t="s">
        <v>131</v>
      </c>
      <c r="T123" s="55" t="s">
        <v>132</v>
      </c>
    </row>
    <row r="124" spans="2:65" s="1" customFormat="1" ht="22.95" customHeight="1">
      <c r="B124" s="26"/>
      <c r="C124" s="58" t="s">
        <v>133</v>
      </c>
      <c r="J124" s="106">
        <f>BK124</f>
        <v>0</v>
      </c>
      <c r="L124" s="26"/>
      <c r="M124" s="56"/>
      <c r="N124" s="47"/>
      <c r="O124" s="47"/>
      <c r="P124" s="107">
        <f>P125+P150+P306+P327+P354+P462+P475+P535</f>
        <v>0</v>
      </c>
      <c r="Q124" s="47"/>
      <c r="R124" s="107">
        <f>R125+R150+R306+R327+R354+R462+R475+R535</f>
        <v>0</v>
      </c>
      <c r="S124" s="47"/>
      <c r="T124" s="108">
        <f>T125+T150+T306+T327+T354+T462+T475+T535</f>
        <v>0</v>
      </c>
      <c r="AT124" s="14" t="s">
        <v>80</v>
      </c>
      <c r="AU124" s="14" t="s">
        <v>90</v>
      </c>
      <c r="BK124" s="109">
        <f>BK125+BK150+BK306+BK327+BK354+BK462+BK475+BK535</f>
        <v>0</v>
      </c>
    </row>
    <row r="125" spans="2:65" s="10" customFormat="1" ht="25.95" customHeight="1">
      <c r="B125" s="110"/>
      <c r="D125" s="111" t="s">
        <v>80</v>
      </c>
      <c r="E125" s="112" t="s">
        <v>81</v>
      </c>
      <c r="F125" s="112" t="s">
        <v>134</v>
      </c>
      <c r="J125" s="113">
        <f>BK125</f>
        <v>0</v>
      </c>
      <c r="L125" s="110"/>
      <c r="M125" s="114"/>
      <c r="P125" s="115">
        <f>SUM(P126:P149)</f>
        <v>0</v>
      </c>
      <c r="R125" s="115">
        <f>SUM(R126:R149)</f>
        <v>0</v>
      </c>
      <c r="T125" s="116">
        <f>SUM(T126:T149)</f>
        <v>0</v>
      </c>
      <c r="AR125" s="111" t="s">
        <v>135</v>
      </c>
      <c r="AT125" s="117" t="s">
        <v>80</v>
      </c>
      <c r="AU125" s="117" t="s">
        <v>81</v>
      </c>
      <c r="AY125" s="111" t="s">
        <v>136</v>
      </c>
      <c r="BK125" s="118">
        <f>SUM(BK126:BK149)</f>
        <v>0</v>
      </c>
    </row>
    <row r="126" spans="2:65" s="1" customFormat="1" ht="16.5" customHeight="1">
      <c r="B126" s="119"/>
      <c r="C126" s="120" t="s">
        <v>19</v>
      </c>
      <c r="D126" s="120" t="s">
        <v>137</v>
      </c>
      <c r="E126" s="121" t="s">
        <v>214</v>
      </c>
      <c r="F126" s="122" t="s">
        <v>215</v>
      </c>
      <c r="G126" s="123" t="s">
        <v>216</v>
      </c>
      <c r="H126" s="124">
        <v>2911.4580000000001</v>
      </c>
      <c r="I126" s="125">
        <v>0</v>
      </c>
      <c r="J126" s="125">
        <f>ROUND(I126*H126,2)</f>
        <v>0</v>
      </c>
      <c r="K126" s="122" t="s">
        <v>141</v>
      </c>
      <c r="L126" s="26"/>
      <c r="M126" s="126" t="s">
        <v>1</v>
      </c>
      <c r="N126" s="127" t="s">
        <v>46</v>
      </c>
      <c r="O126" s="128">
        <v>0</v>
      </c>
      <c r="P126" s="128">
        <f>O126*H126</f>
        <v>0</v>
      </c>
      <c r="Q126" s="128">
        <v>0</v>
      </c>
      <c r="R126" s="128">
        <f>Q126*H126</f>
        <v>0</v>
      </c>
      <c r="S126" s="128">
        <v>0</v>
      </c>
      <c r="T126" s="129">
        <f>S126*H126</f>
        <v>0</v>
      </c>
      <c r="AR126" s="130" t="s">
        <v>135</v>
      </c>
      <c r="AT126" s="130" t="s">
        <v>137</v>
      </c>
      <c r="AU126" s="130" t="s">
        <v>19</v>
      </c>
      <c r="AY126" s="14" t="s">
        <v>136</v>
      </c>
      <c r="BE126" s="131">
        <f>IF(N126="základní",J126,0)</f>
        <v>0</v>
      </c>
      <c r="BF126" s="131">
        <f>IF(N126="snížená",J126,0)</f>
        <v>0</v>
      </c>
      <c r="BG126" s="131">
        <f>IF(N126="zákl. přenesená",J126,0)</f>
        <v>0</v>
      </c>
      <c r="BH126" s="131">
        <f>IF(N126="sníž. přenesená",J126,0)</f>
        <v>0</v>
      </c>
      <c r="BI126" s="131">
        <f>IF(N126="nulová",J126,0)</f>
        <v>0</v>
      </c>
      <c r="BJ126" s="14" t="s">
        <v>19</v>
      </c>
      <c r="BK126" s="131">
        <f>ROUND(I126*H126,2)</f>
        <v>0</v>
      </c>
      <c r="BL126" s="14" t="s">
        <v>135</v>
      </c>
      <c r="BM126" s="130" t="s">
        <v>884</v>
      </c>
    </row>
    <row r="127" spans="2:65" s="1" customFormat="1">
      <c r="B127" s="26"/>
      <c r="D127" s="132" t="s">
        <v>143</v>
      </c>
      <c r="F127" s="133" t="s">
        <v>215</v>
      </c>
      <c r="L127" s="26"/>
      <c r="M127" s="134"/>
      <c r="T127" s="50"/>
      <c r="AT127" s="14" t="s">
        <v>143</v>
      </c>
      <c r="AU127" s="14" t="s">
        <v>19</v>
      </c>
    </row>
    <row r="128" spans="2:65" s="1" customFormat="1" ht="38.4">
      <c r="B128" s="26"/>
      <c r="D128" s="132" t="s">
        <v>145</v>
      </c>
      <c r="F128" s="135" t="s">
        <v>218</v>
      </c>
      <c r="L128" s="26"/>
      <c r="M128" s="134"/>
      <c r="T128" s="50"/>
      <c r="AT128" s="14" t="s">
        <v>145</v>
      </c>
      <c r="AU128" s="14" t="s">
        <v>19</v>
      </c>
    </row>
    <row r="129" spans="2:51" s="11" customFormat="1">
      <c r="B129" s="136"/>
      <c r="D129" s="132" t="s">
        <v>147</v>
      </c>
      <c r="E129" s="137" t="s">
        <v>885</v>
      </c>
      <c r="F129" s="138" t="s">
        <v>886</v>
      </c>
      <c r="H129" s="139">
        <v>433.95</v>
      </c>
      <c r="L129" s="136"/>
      <c r="M129" s="140"/>
      <c r="T129" s="141"/>
      <c r="AT129" s="137" t="s">
        <v>147</v>
      </c>
      <c r="AU129" s="137" t="s">
        <v>19</v>
      </c>
      <c r="AV129" s="11" t="s">
        <v>149</v>
      </c>
      <c r="AW129" s="11" t="s">
        <v>39</v>
      </c>
      <c r="AX129" s="11" t="s">
        <v>81</v>
      </c>
      <c r="AY129" s="137" t="s">
        <v>136</v>
      </c>
    </row>
    <row r="130" spans="2:51" s="11" customFormat="1">
      <c r="B130" s="136"/>
      <c r="D130" s="132" t="s">
        <v>147</v>
      </c>
      <c r="E130" s="137" t="s">
        <v>887</v>
      </c>
      <c r="F130" s="138" t="s">
        <v>888</v>
      </c>
      <c r="H130" s="139">
        <v>17.8</v>
      </c>
      <c r="L130" s="136"/>
      <c r="M130" s="140"/>
      <c r="T130" s="141"/>
      <c r="AT130" s="137" t="s">
        <v>147</v>
      </c>
      <c r="AU130" s="137" t="s">
        <v>19</v>
      </c>
      <c r="AV130" s="11" t="s">
        <v>149</v>
      </c>
      <c r="AW130" s="11" t="s">
        <v>39</v>
      </c>
      <c r="AX130" s="11" t="s">
        <v>81</v>
      </c>
      <c r="AY130" s="137" t="s">
        <v>136</v>
      </c>
    </row>
    <row r="131" spans="2:51" s="11" customFormat="1">
      <c r="B131" s="136"/>
      <c r="D131" s="132" t="s">
        <v>147</v>
      </c>
      <c r="E131" s="137" t="s">
        <v>889</v>
      </c>
      <c r="F131" s="138" t="s">
        <v>890</v>
      </c>
      <c r="H131" s="139">
        <v>1.17</v>
      </c>
      <c r="L131" s="136"/>
      <c r="M131" s="140"/>
      <c r="T131" s="141"/>
      <c r="AT131" s="137" t="s">
        <v>147</v>
      </c>
      <c r="AU131" s="137" t="s">
        <v>19</v>
      </c>
      <c r="AV131" s="11" t="s">
        <v>149</v>
      </c>
      <c r="AW131" s="11" t="s">
        <v>39</v>
      </c>
      <c r="AX131" s="11" t="s">
        <v>81</v>
      </c>
      <c r="AY131" s="137" t="s">
        <v>136</v>
      </c>
    </row>
    <row r="132" spans="2:51" s="11" customFormat="1">
      <c r="B132" s="136"/>
      <c r="D132" s="132" t="s">
        <v>147</v>
      </c>
      <c r="E132" s="137" t="s">
        <v>891</v>
      </c>
      <c r="F132" s="138" t="s">
        <v>892</v>
      </c>
      <c r="H132" s="139">
        <v>37.6</v>
      </c>
      <c r="L132" s="136"/>
      <c r="M132" s="140"/>
      <c r="T132" s="141"/>
      <c r="AT132" s="137" t="s">
        <v>147</v>
      </c>
      <c r="AU132" s="137" t="s">
        <v>19</v>
      </c>
      <c r="AV132" s="11" t="s">
        <v>149</v>
      </c>
      <c r="AW132" s="11" t="s">
        <v>39</v>
      </c>
      <c r="AX132" s="11" t="s">
        <v>81</v>
      </c>
      <c r="AY132" s="137" t="s">
        <v>136</v>
      </c>
    </row>
    <row r="133" spans="2:51" s="11" customFormat="1">
      <c r="B133" s="136"/>
      <c r="D133" s="132" t="s">
        <v>147</v>
      </c>
      <c r="E133" s="137" t="s">
        <v>893</v>
      </c>
      <c r="F133" s="138" t="s">
        <v>894</v>
      </c>
      <c r="H133" s="139">
        <v>79.75</v>
      </c>
      <c r="L133" s="136"/>
      <c r="M133" s="140"/>
      <c r="T133" s="141"/>
      <c r="AT133" s="137" t="s">
        <v>147</v>
      </c>
      <c r="AU133" s="137" t="s">
        <v>19</v>
      </c>
      <c r="AV133" s="11" t="s">
        <v>149</v>
      </c>
      <c r="AW133" s="11" t="s">
        <v>39</v>
      </c>
      <c r="AX133" s="11" t="s">
        <v>81</v>
      </c>
      <c r="AY133" s="137" t="s">
        <v>136</v>
      </c>
    </row>
    <row r="134" spans="2:51" s="11" customFormat="1">
      <c r="B134" s="136"/>
      <c r="D134" s="132" t="s">
        <v>147</v>
      </c>
      <c r="E134" s="137" t="s">
        <v>895</v>
      </c>
      <c r="F134" s="138" t="s">
        <v>896</v>
      </c>
      <c r="H134" s="139">
        <v>395.88</v>
      </c>
      <c r="L134" s="136"/>
      <c r="M134" s="140"/>
      <c r="T134" s="141"/>
      <c r="AT134" s="137" t="s">
        <v>147</v>
      </c>
      <c r="AU134" s="137" t="s">
        <v>19</v>
      </c>
      <c r="AV134" s="11" t="s">
        <v>149</v>
      </c>
      <c r="AW134" s="11" t="s">
        <v>39</v>
      </c>
      <c r="AX134" s="11" t="s">
        <v>81</v>
      </c>
      <c r="AY134" s="137" t="s">
        <v>136</v>
      </c>
    </row>
    <row r="135" spans="2:51" s="11" customFormat="1">
      <c r="B135" s="136"/>
      <c r="D135" s="132" t="s">
        <v>147</v>
      </c>
      <c r="E135" s="137" t="s">
        <v>897</v>
      </c>
      <c r="F135" s="138" t="s">
        <v>898</v>
      </c>
      <c r="H135" s="139">
        <v>57.12</v>
      </c>
      <c r="L135" s="136"/>
      <c r="M135" s="140"/>
      <c r="T135" s="141"/>
      <c r="AT135" s="137" t="s">
        <v>147</v>
      </c>
      <c r="AU135" s="137" t="s">
        <v>19</v>
      </c>
      <c r="AV135" s="11" t="s">
        <v>149</v>
      </c>
      <c r="AW135" s="11" t="s">
        <v>39</v>
      </c>
      <c r="AX135" s="11" t="s">
        <v>81</v>
      </c>
      <c r="AY135" s="137" t="s">
        <v>136</v>
      </c>
    </row>
    <row r="136" spans="2:51" s="11" customFormat="1">
      <c r="B136" s="136"/>
      <c r="D136" s="132" t="s">
        <v>147</v>
      </c>
      <c r="E136" s="137" t="s">
        <v>899</v>
      </c>
      <c r="F136" s="138" t="s">
        <v>900</v>
      </c>
      <c r="H136" s="139">
        <v>296.8</v>
      </c>
      <c r="L136" s="136"/>
      <c r="M136" s="140"/>
      <c r="T136" s="141"/>
      <c r="AT136" s="137" t="s">
        <v>147</v>
      </c>
      <c r="AU136" s="137" t="s">
        <v>19</v>
      </c>
      <c r="AV136" s="11" t="s">
        <v>149</v>
      </c>
      <c r="AW136" s="11" t="s">
        <v>39</v>
      </c>
      <c r="AX136" s="11" t="s">
        <v>81</v>
      </c>
      <c r="AY136" s="137" t="s">
        <v>136</v>
      </c>
    </row>
    <row r="137" spans="2:51" s="11" customFormat="1">
      <c r="B137" s="136"/>
      <c r="D137" s="132" t="s">
        <v>147</v>
      </c>
      <c r="E137" s="137" t="s">
        <v>901</v>
      </c>
      <c r="F137" s="138" t="s">
        <v>902</v>
      </c>
      <c r="H137" s="139">
        <v>20.7075</v>
      </c>
      <c r="L137" s="136"/>
      <c r="M137" s="140"/>
      <c r="T137" s="141"/>
      <c r="AT137" s="137" t="s">
        <v>147</v>
      </c>
      <c r="AU137" s="137" t="s">
        <v>19</v>
      </c>
      <c r="AV137" s="11" t="s">
        <v>149</v>
      </c>
      <c r="AW137" s="11" t="s">
        <v>39</v>
      </c>
      <c r="AX137" s="11" t="s">
        <v>81</v>
      </c>
      <c r="AY137" s="137" t="s">
        <v>136</v>
      </c>
    </row>
    <row r="138" spans="2:51" s="11" customFormat="1">
      <c r="B138" s="136"/>
      <c r="D138" s="132" t="s">
        <v>147</v>
      </c>
      <c r="E138" s="137" t="s">
        <v>903</v>
      </c>
      <c r="F138" s="138" t="s">
        <v>904</v>
      </c>
      <c r="H138" s="139">
        <v>1321.28</v>
      </c>
      <c r="L138" s="136"/>
      <c r="M138" s="140"/>
      <c r="T138" s="141"/>
      <c r="AT138" s="137" t="s">
        <v>147</v>
      </c>
      <c r="AU138" s="137" t="s">
        <v>19</v>
      </c>
      <c r="AV138" s="11" t="s">
        <v>149</v>
      </c>
      <c r="AW138" s="11" t="s">
        <v>39</v>
      </c>
      <c r="AX138" s="11" t="s">
        <v>81</v>
      </c>
      <c r="AY138" s="137" t="s">
        <v>136</v>
      </c>
    </row>
    <row r="139" spans="2:51" s="11" customFormat="1">
      <c r="B139" s="136"/>
      <c r="D139" s="132" t="s">
        <v>147</v>
      </c>
      <c r="E139" s="137" t="s">
        <v>905</v>
      </c>
      <c r="F139" s="138" t="s">
        <v>906</v>
      </c>
      <c r="H139" s="139">
        <v>123.75</v>
      </c>
      <c r="L139" s="136"/>
      <c r="M139" s="140"/>
      <c r="T139" s="141"/>
      <c r="AT139" s="137" t="s">
        <v>147</v>
      </c>
      <c r="AU139" s="137" t="s">
        <v>19</v>
      </c>
      <c r="AV139" s="11" t="s">
        <v>149</v>
      </c>
      <c r="AW139" s="11" t="s">
        <v>39</v>
      </c>
      <c r="AX139" s="11" t="s">
        <v>81</v>
      </c>
      <c r="AY139" s="137" t="s">
        <v>136</v>
      </c>
    </row>
    <row r="140" spans="2:51" s="11" customFormat="1">
      <c r="B140" s="136"/>
      <c r="D140" s="132" t="s">
        <v>147</v>
      </c>
      <c r="E140" s="137" t="s">
        <v>907</v>
      </c>
      <c r="F140" s="138" t="s">
        <v>908</v>
      </c>
      <c r="H140" s="139">
        <v>44.6</v>
      </c>
      <c r="L140" s="136"/>
      <c r="M140" s="140"/>
      <c r="T140" s="141"/>
      <c r="AT140" s="137" t="s">
        <v>147</v>
      </c>
      <c r="AU140" s="137" t="s">
        <v>19</v>
      </c>
      <c r="AV140" s="11" t="s">
        <v>149</v>
      </c>
      <c r="AW140" s="11" t="s">
        <v>39</v>
      </c>
      <c r="AX140" s="11" t="s">
        <v>81</v>
      </c>
      <c r="AY140" s="137" t="s">
        <v>136</v>
      </c>
    </row>
    <row r="141" spans="2:51" s="11" customFormat="1">
      <c r="B141" s="136"/>
      <c r="D141" s="132" t="s">
        <v>147</v>
      </c>
      <c r="E141" s="137" t="s">
        <v>260</v>
      </c>
      <c r="F141" s="138" t="s">
        <v>909</v>
      </c>
      <c r="H141" s="139">
        <v>2.5</v>
      </c>
      <c r="L141" s="136"/>
      <c r="M141" s="140"/>
      <c r="T141" s="141"/>
      <c r="AT141" s="137" t="s">
        <v>147</v>
      </c>
      <c r="AU141" s="137" t="s">
        <v>19</v>
      </c>
      <c r="AV141" s="11" t="s">
        <v>149</v>
      </c>
      <c r="AW141" s="11" t="s">
        <v>39</v>
      </c>
      <c r="AX141" s="11" t="s">
        <v>81</v>
      </c>
      <c r="AY141" s="137" t="s">
        <v>136</v>
      </c>
    </row>
    <row r="142" spans="2:51" s="11" customFormat="1">
      <c r="B142" s="136"/>
      <c r="D142" s="132" t="s">
        <v>147</v>
      </c>
      <c r="E142" s="137" t="s">
        <v>910</v>
      </c>
      <c r="F142" s="138" t="s">
        <v>911</v>
      </c>
      <c r="H142" s="139">
        <v>11.5</v>
      </c>
      <c r="L142" s="136"/>
      <c r="M142" s="140"/>
      <c r="T142" s="141"/>
      <c r="AT142" s="137" t="s">
        <v>147</v>
      </c>
      <c r="AU142" s="137" t="s">
        <v>19</v>
      </c>
      <c r="AV142" s="11" t="s">
        <v>149</v>
      </c>
      <c r="AW142" s="11" t="s">
        <v>39</v>
      </c>
      <c r="AX142" s="11" t="s">
        <v>81</v>
      </c>
      <c r="AY142" s="137" t="s">
        <v>136</v>
      </c>
    </row>
    <row r="143" spans="2:51" s="11" customFormat="1">
      <c r="B143" s="136"/>
      <c r="D143" s="132" t="s">
        <v>147</v>
      </c>
      <c r="E143" s="137" t="s">
        <v>912</v>
      </c>
      <c r="F143" s="138" t="s">
        <v>913</v>
      </c>
      <c r="H143" s="139">
        <v>0.65</v>
      </c>
      <c r="L143" s="136"/>
      <c r="M143" s="140"/>
      <c r="T143" s="141"/>
      <c r="AT143" s="137" t="s">
        <v>147</v>
      </c>
      <c r="AU143" s="137" t="s">
        <v>19</v>
      </c>
      <c r="AV143" s="11" t="s">
        <v>149</v>
      </c>
      <c r="AW143" s="11" t="s">
        <v>39</v>
      </c>
      <c r="AX143" s="11" t="s">
        <v>81</v>
      </c>
      <c r="AY143" s="137" t="s">
        <v>136</v>
      </c>
    </row>
    <row r="144" spans="2:51" s="11" customFormat="1">
      <c r="B144" s="136"/>
      <c r="D144" s="132" t="s">
        <v>147</v>
      </c>
      <c r="E144" s="137" t="s">
        <v>914</v>
      </c>
      <c r="F144" s="138" t="s">
        <v>915</v>
      </c>
      <c r="H144" s="139">
        <v>66.400000000000006</v>
      </c>
      <c r="L144" s="136"/>
      <c r="M144" s="140"/>
      <c r="T144" s="141"/>
      <c r="AT144" s="137" t="s">
        <v>147</v>
      </c>
      <c r="AU144" s="137" t="s">
        <v>19</v>
      </c>
      <c r="AV144" s="11" t="s">
        <v>149</v>
      </c>
      <c r="AW144" s="11" t="s">
        <v>39</v>
      </c>
      <c r="AX144" s="11" t="s">
        <v>81</v>
      </c>
      <c r="AY144" s="137" t="s">
        <v>136</v>
      </c>
    </row>
    <row r="145" spans="2:65" s="11" customFormat="1">
      <c r="B145" s="136"/>
      <c r="D145" s="132" t="s">
        <v>147</v>
      </c>
      <c r="E145" s="137" t="s">
        <v>916</v>
      </c>
      <c r="F145" s="138" t="s">
        <v>917</v>
      </c>
      <c r="H145" s="139">
        <v>2911.4580000000001</v>
      </c>
      <c r="L145" s="136"/>
      <c r="M145" s="140"/>
      <c r="T145" s="141"/>
      <c r="AT145" s="137" t="s">
        <v>147</v>
      </c>
      <c r="AU145" s="137" t="s">
        <v>19</v>
      </c>
      <c r="AV145" s="11" t="s">
        <v>149</v>
      </c>
      <c r="AW145" s="11" t="s">
        <v>39</v>
      </c>
      <c r="AX145" s="11" t="s">
        <v>19</v>
      </c>
      <c r="AY145" s="137" t="s">
        <v>136</v>
      </c>
    </row>
    <row r="146" spans="2:65" s="1" customFormat="1" ht="16.5" customHeight="1">
      <c r="B146" s="119"/>
      <c r="C146" s="120" t="s">
        <v>149</v>
      </c>
      <c r="D146" s="120" t="s">
        <v>137</v>
      </c>
      <c r="E146" s="121" t="s">
        <v>252</v>
      </c>
      <c r="F146" s="122" t="s">
        <v>253</v>
      </c>
      <c r="G146" s="123" t="s">
        <v>216</v>
      </c>
      <c r="H146" s="124">
        <v>608.78399999999999</v>
      </c>
      <c r="I146" s="125">
        <v>0</v>
      </c>
      <c r="J146" s="125">
        <f>ROUND(I146*H146,2)</f>
        <v>0</v>
      </c>
      <c r="K146" s="122" t="s">
        <v>141</v>
      </c>
      <c r="L146" s="26"/>
      <c r="M146" s="126" t="s">
        <v>1</v>
      </c>
      <c r="N146" s="127" t="s">
        <v>46</v>
      </c>
      <c r="O146" s="128">
        <v>0</v>
      </c>
      <c r="P146" s="128">
        <f>O146*H146</f>
        <v>0</v>
      </c>
      <c r="Q146" s="128">
        <v>0</v>
      </c>
      <c r="R146" s="128">
        <f>Q146*H146</f>
        <v>0</v>
      </c>
      <c r="S146" s="128">
        <v>0</v>
      </c>
      <c r="T146" s="129">
        <f>S146*H146</f>
        <v>0</v>
      </c>
      <c r="AR146" s="130" t="s">
        <v>135</v>
      </c>
      <c r="AT146" s="130" t="s">
        <v>137</v>
      </c>
      <c r="AU146" s="130" t="s">
        <v>19</v>
      </c>
      <c r="AY146" s="14" t="s">
        <v>136</v>
      </c>
      <c r="BE146" s="131">
        <f>IF(N146="základní",J146,0)</f>
        <v>0</v>
      </c>
      <c r="BF146" s="131">
        <f>IF(N146="snížená",J146,0)</f>
        <v>0</v>
      </c>
      <c r="BG146" s="131">
        <f>IF(N146="zákl. přenesená",J146,0)</f>
        <v>0</v>
      </c>
      <c r="BH146" s="131">
        <f>IF(N146="sníž. přenesená",J146,0)</f>
        <v>0</v>
      </c>
      <c r="BI146" s="131">
        <f>IF(N146="nulová",J146,0)</f>
        <v>0</v>
      </c>
      <c r="BJ146" s="14" t="s">
        <v>19</v>
      </c>
      <c r="BK146" s="131">
        <f>ROUND(I146*H146,2)</f>
        <v>0</v>
      </c>
      <c r="BL146" s="14" t="s">
        <v>135</v>
      </c>
      <c r="BM146" s="130" t="s">
        <v>918</v>
      </c>
    </row>
    <row r="147" spans="2:65" s="1" customFormat="1">
      <c r="B147" s="26"/>
      <c r="D147" s="132" t="s">
        <v>143</v>
      </c>
      <c r="F147" s="133" t="s">
        <v>253</v>
      </c>
      <c r="L147" s="26"/>
      <c r="M147" s="134"/>
      <c r="T147" s="50"/>
      <c r="AT147" s="14" t="s">
        <v>143</v>
      </c>
      <c r="AU147" s="14" t="s">
        <v>19</v>
      </c>
    </row>
    <row r="148" spans="2:65" s="1" customFormat="1" ht="38.4">
      <c r="B148" s="26"/>
      <c r="D148" s="132" t="s">
        <v>145</v>
      </c>
      <c r="F148" s="135" t="s">
        <v>255</v>
      </c>
      <c r="L148" s="26"/>
      <c r="M148" s="134"/>
      <c r="T148" s="50"/>
      <c r="AT148" s="14" t="s">
        <v>145</v>
      </c>
      <c r="AU148" s="14" t="s">
        <v>19</v>
      </c>
    </row>
    <row r="149" spans="2:65" s="11" customFormat="1">
      <c r="B149" s="136"/>
      <c r="D149" s="132" t="s">
        <v>147</v>
      </c>
      <c r="E149" s="137" t="s">
        <v>919</v>
      </c>
      <c r="F149" s="138" t="s">
        <v>920</v>
      </c>
      <c r="H149" s="139">
        <v>608.78399999999999</v>
      </c>
      <c r="L149" s="136"/>
      <c r="M149" s="140"/>
      <c r="T149" s="141"/>
      <c r="AT149" s="137" t="s">
        <v>147</v>
      </c>
      <c r="AU149" s="137" t="s">
        <v>19</v>
      </c>
      <c r="AV149" s="11" t="s">
        <v>149</v>
      </c>
      <c r="AW149" s="11" t="s">
        <v>39</v>
      </c>
      <c r="AX149" s="11" t="s">
        <v>19</v>
      </c>
      <c r="AY149" s="137" t="s">
        <v>136</v>
      </c>
    </row>
    <row r="150" spans="2:65" s="10" customFormat="1" ht="25.95" customHeight="1">
      <c r="B150" s="110"/>
      <c r="D150" s="111" t="s">
        <v>80</v>
      </c>
      <c r="E150" s="112" t="s">
        <v>19</v>
      </c>
      <c r="F150" s="112" t="s">
        <v>196</v>
      </c>
      <c r="J150" s="113">
        <f>BK150</f>
        <v>0</v>
      </c>
      <c r="L150" s="110"/>
      <c r="M150" s="114"/>
      <c r="P150" s="115">
        <f>SUM(P151:P305)</f>
        <v>0</v>
      </c>
      <c r="R150" s="115">
        <f>SUM(R151:R305)</f>
        <v>0</v>
      </c>
      <c r="T150" s="116">
        <f>SUM(T151:T305)</f>
        <v>0</v>
      </c>
      <c r="AR150" s="111" t="s">
        <v>135</v>
      </c>
      <c r="AT150" s="117" t="s">
        <v>80</v>
      </c>
      <c r="AU150" s="117" t="s">
        <v>81</v>
      </c>
      <c r="AY150" s="111" t="s">
        <v>136</v>
      </c>
      <c r="BK150" s="118">
        <f>SUM(BK151:BK305)</f>
        <v>0</v>
      </c>
    </row>
    <row r="151" spans="2:65" s="1" customFormat="1" ht="16.5" customHeight="1">
      <c r="B151" s="119"/>
      <c r="C151" s="120" t="s">
        <v>157</v>
      </c>
      <c r="D151" s="120" t="s">
        <v>137</v>
      </c>
      <c r="E151" s="121" t="s">
        <v>258</v>
      </c>
      <c r="F151" s="122" t="s">
        <v>259</v>
      </c>
      <c r="G151" s="123" t="s">
        <v>260</v>
      </c>
      <c r="H151" s="124">
        <v>956</v>
      </c>
      <c r="I151" s="125">
        <v>0</v>
      </c>
      <c r="J151" s="125">
        <f>ROUND(I151*H151,2)</f>
        <v>0</v>
      </c>
      <c r="K151" s="122" t="s">
        <v>141</v>
      </c>
      <c r="L151" s="26"/>
      <c r="M151" s="126" t="s">
        <v>1</v>
      </c>
      <c r="N151" s="127" t="s">
        <v>46</v>
      </c>
      <c r="O151" s="128">
        <v>0</v>
      </c>
      <c r="P151" s="128">
        <f>O151*H151</f>
        <v>0</v>
      </c>
      <c r="Q151" s="128">
        <v>0</v>
      </c>
      <c r="R151" s="128">
        <f>Q151*H151</f>
        <v>0</v>
      </c>
      <c r="S151" s="128">
        <v>0</v>
      </c>
      <c r="T151" s="129">
        <f>S151*H151</f>
        <v>0</v>
      </c>
      <c r="AR151" s="130" t="s">
        <v>135</v>
      </c>
      <c r="AT151" s="130" t="s">
        <v>137</v>
      </c>
      <c r="AU151" s="130" t="s">
        <v>19</v>
      </c>
      <c r="AY151" s="14" t="s">
        <v>136</v>
      </c>
      <c r="BE151" s="131">
        <f>IF(N151="základní",J151,0)</f>
        <v>0</v>
      </c>
      <c r="BF151" s="131">
        <f>IF(N151="snížená",J151,0)</f>
        <v>0</v>
      </c>
      <c r="BG151" s="131">
        <f>IF(N151="zákl. přenesená",J151,0)</f>
        <v>0</v>
      </c>
      <c r="BH151" s="131">
        <f>IF(N151="sníž. přenesená",J151,0)</f>
        <v>0</v>
      </c>
      <c r="BI151" s="131">
        <f>IF(N151="nulová",J151,0)</f>
        <v>0</v>
      </c>
      <c r="BJ151" s="14" t="s">
        <v>19</v>
      </c>
      <c r="BK151" s="131">
        <f>ROUND(I151*H151,2)</f>
        <v>0</v>
      </c>
      <c r="BL151" s="14" t="s">
        <v>135</v>
      </c>
      <c r="BM151" s="130" t="s">
        <v>921</v>
      </c>
    </row>
    <row r="152" spans="2:65" s="1" customFormat="1">
      <c r="B152" s="26"/>
      <c r="D152" s="132" t="s">
        <v>143</v>
      </c>
      <c r="F152" s="133" t="s">
        <v>922</v>
      </c>
      <c r="L152" s="26"/>
      <c r="M152" s="134"/>
      <c r="T152" s="50"/>
      <c r="AT152" s="14" t="s">
        <v>143</v>
      </c>
      <c r="AU152" s="14" t="s">
        <v>19</v>
      </c>
    </row>
    <row r="153" spans="2:65" s="1" customFormat="1" ht="38.4">
      <c r="B153" s="26"/>
      <c r="D153" s="132" t="s">
        <v>145</v>
      </c>
      <c r="F153" s="135" t="s">
        <v>262</v>
      </c>
      <c r="L153" s="26"/>
      <c r="M153" s="134"/>
      <c r="T153" s="50"/>
      <c r="AT153" s="14" t="s">
        <v>145</v>
      </c>
      <c r="AU153" s="14" t="s">
        <v>19</v>
      </c>
    </row>
    <row r="154" spans="2:65" s="11" customFormat="1">
      <c r="B154" s="136"/>
      <c r="D154" s="132" t="s">
        <v>147</v>
      </c>
      <c r="E154" s="137" t="s">
        <v>923</v>
      </c>
      <c r="F154" s="138" t="s">
        <v>924</v>
      </c>
      <c r="H154" s="139">
        <v>204</v>
      </c>
      <c r="L154" s="136"/>
      <c r="M154" s="140"/>
      <c r="T154" s="141"/>
      <c r="AT154" s="137" t="s">
        <v>147</v>
      </c>
      <c r="AU154" s="137" t="s">
        <v>19</v>
      </c>
      <c r="AV154" s="11" t="s">
        <v>149</v>
      </c>
      <c r="AW154" s="11" t="s">
        <v>39</v>
      </c>
      <c r="AX154" s="11" t="s">
        <v>81</v>
      </c>
      <c r="AY154" s="137" t="s">
        <v>136</v>
      </c>
    </row>
    <row r="155" spans="2:65" s="11" customFormat="1">
      <c r="B155" s="136"/>
      <c r="D155" s="132" t="s">
        <v>147</v>
      </c>
      <c r="E155" s="137" t="s">
        <v>925</v>
      </c>
      <c r="F155" s="138" t="s">
        <v>926</v>
      </c>
      <c r="H155" s="139">
        <v>490</v>
      </c>
      <c r="L155" s="136"/>
      <c r="M155" s="140"/>
      <c r="T155" s="141"/>
      <c r="AT155" s="137" t="s">
        <v>147</v>
      </c>
      <c r="AU155" s="137" t="s">
        <v>19</v>
      </c>
      <c r="AV155" s="11" t="s">
        <v>149</v>
      </c>
      <c r="AW155" s="11" t="s">
        <v>39</v>
      </c>
      <c r="AX155" s="11" t="s">
        <v>81</v>
      </c>
      <c r="AY155" s="137" t="s">
        <v>136</v>
      </c>
    </row>
    <row r="156" spans="2:65" s="11" customFormat="1">
      <c r="B156" s="136"/>
      <c r="D156" s="132" t="s">
        <v>147</v>
      </c>
      <c r="E156" s="137" t="s">
        <v>927</v>
      </c>
      <c r="F156" s="138" t="s">
        <v>928</v>
      </c>
      <c r="H156" s="139">
        <v>262</v>
      </c>
      <c r="L156" s="136"/>
      <c r="M156" s="140"/>
      <c r="T156" s="141"/>
      <c r="AT156" s="137" t="s">
        <v>147</v>
      </c>
      <c r="AU156" s="137" t="s">
        <v>19</v>
      </c>
      <c r="AV156" s="11" t="s">
        <v>149</v>
      </c>
      <c r="AW156" s="11" t="s">
        <v>39</v>
      </c>
      <c r="AX156" s="11" t="s">
        <v>81</v>
      </c>
      <c r="AY156" s="137" t="s">
        <v>136</v>
      </c>
    </row>
    <row r="157" spans="2:65" s="11" customFormat="1">
      <c r="B157" s="136"/>
      <c r="D157" s="132" t="s">
        <v>147</v>
      </c>
      <c r="E157" s="137" t="s">
        <v>929</v>
      </c>
      <c r="F157" s="138" t="s">
        <v>930</v>
      </c>
      <c r="H157" s="139">
        <v>956</v>
      </c>
      <c r="L157" s="136"/>
      <c r="M157" s="140"/>
      <c r="T157" s="141"/>
      <c r="AT157" s="137" t="s">
        <v>147</v>
      </c>
      <c r="AU157" s="137" t="s">
        <v>19</v>
      </c>
      <c r="AV157" s="11" t="s">
        <v>149</v>
      </c>
      <c r="AW157" s="11" t="s">
        <v>39</v>
      </c>
      <c r="AX157" s="11" t="s">
        <v>19</v>
      </c>
      <c r="AY157" s="137" t="s">
        <v>136</v>
      </c>
    </row>
    <row r="158" spans="2:65" s="1" customFormat="1" ht="16.5" customHeight="1">
      <c r="B158" s="119"/>
      <c r="C158" s="120" t="s">
        <v>135</v>
      </c>
      <c r="D158" s="120" t="s">
        <v>137</v>
      </c>
      <c r="E158" s="121" t="s">
        <v>269</v>
      </c>
      <c r="F158" s="122" t="s">
        <v>270</v>
      </c>
      <c r="G158" s="123" t="s">
        <v>260</v>
      </c>
      <c r="H158" s="124">
        <v>2893</v>
      </c>
      <c r="I158" s="125">
        <v>0</v>
      </c>
      <c r="J158" s="125">
        <f>ROUND(I158*H158,2)</f>
        <v>0</v>
      </c>
      <c r="K158" s="122" t="s">
        <v>141</v>
      </c>
      <c r="L158" s="26"/>
      <c r="M158" s="126" t="s">
        <v>1</v>
      </c>
      <c r="N158" s="127" t="s">
        <v>46</v>
      </c>
      <c r="O158" s="128">
        <v>0</v>
      </c>
      <c r="P158" s="128">
        <f>O158*H158</f>
        <v>0</v>
      </c>
      <c r="Q158" s="128">
        <v>0</v>
      </c>
      <c r="R158" s="128">
        <f>Q158*H158</f>
        <v>0</v>
      </c>
      <c r="S158" s="128">
        <v>0</v>
      </c>
      <c r="T158" s="129">
        <f>S158*H158</f>
        <v>0</v>
      </c>
      <c r="AR158" s="130" t="s">
        <v>135</v>
      </c>
      <c r="AT158" s="130" t="s">
        <v>137</v>
      </c>
      <c r="AU158" s="130" t="s">
        <v>19</v>
      </c>
      <c r="AY158" s="14" t="s">
        <v>136</v>
      </c>
      <c r="BE158" s="131">
        <f>IF(N158="základní",J158,0)</f>
        <v>0</v>
      </c>
      <c r="BF158" s="131">
        <f>IF(N158="snížená",J158,0)</f>
        <v>0</v>
      </c>
      <c r="BG158" s="131">
        <f>IF(N158="zákl. přenesená",J158,0)</f>
        <v>0</v>
      </c>
      <c r="BH158" s="131">
        <f>IF(N158="sníž. přenesená",J158,0)</f>
        <v>0</v>
      </c>
      <c r="BI158" s="131">
        <f>IF(N158="nulová",J158,0)</f>
        <v>0</v>
      </c>
      <c r="BJ158" s="14" t="s">
        <v>19</v>
      </c>
      <c r="BK158" s="131">
        <f>ROUND(I158*H158,2)</f>
        <v>0</v>
      </c>
      <c r="BL158" s="14" t="s">
        <v>135</v>
      </c>
      <c r="BM158" s="130" t="s">
        <v>931</v>
      </c>
    </row>
    <row r="159" spans="2:65" s="1" customFormat="1">
      <c r="B159" s="26"/>
      <c r="D159" s="132" t="s">
        <v>143</v>
      </c>
      <c r="F159" s="133" t="s">
        <v>270</v>
      </c>
      <c r="L159" s="26"/>
      <c r="M159" s="134"/>
      <c r="T159" s="50"/>
      <c r="AT159" s="14" t="s">
        <v>143</v>
      </c>
      <c r="AU159" s="14" t="s">
        <v>19</v>
      </c>
    </row>
    <row r="160" spans="2:65" s="1" customFormat="1" ht="28.8">
      <c r="B160" s="26"/>
      <c r="D160" s="132" t="s">
        <v>145</v>
      </c>
      <c r="F160" s="135" t="s">
        <v>272</v>
      </c>
      <c r="L160" s="26"/>
      <c r="M160" s="134"/>
      <c r="T160" s="50"/>
      <c r="AT160" s="14" t="s">
        <v>145</v>
      </c>
      <c r="AU160" s="14" t="s">
        <v>19</v>
      </c>
    </row>
    <row r="161" spans="2:65" s="11" customFormat="1">
      <c r="B161" s="136"/>
      <c r="D161" s="132" t="s">
        <v>147</v>
      </c>
      <c r="E161" s="137" t="s">
        <v>932</v>
      </c>
      <c r="F161" s="138" t="s">
        <v>933</v>
      </c>
      <c r="H161" s="139">
        <v>2893</v>
      </c>
      <c r="L161" s="136"/>
      <c r="M161" s="140"/>
      <c r="T161" s="141"/>
      <c r="AT161" s="137" t="s">
        <v>147</v>
      </c>
      <c r="AU161" s="137" t="s">
        <v>19</v>
      </c>
      <c r="AV161" s="11" t="s">
        <v>149</v>
      </c>
      <c r="AW161" s="11" t="s">
        <v>39</v>
      </c>
      <c r="AX161" s="11" t="s">
        <v>19</v>
      </c>
      <c r="AY161" s="137" t="s">
        <v>136</v>
      </c>
    </row>
    <row r="162" spans="2:65" s="1" customFormat="1" ht="16.5" customHeight="1">
      <c r="B162" s="119"/>
      <c r="C162" s="120" t="s">
        <v>169</v>
      </c>
      <c r="D162" s="120" t="s">
        <v>137</v>
      </c>
      <c r="E162" s="121" t="s">
        <v>934</v>
      </c>
      <c r="F162" s="122" t="s">
        <v>935</v>
      </c>
      <c r="G162" s="123" t="s">
        <v>152</v>
      </c>
      <c r="H162" s="124">
        <v>4</v>
      </c>
      <c r="I162" s="125">
        <v>0</v>
      </c>
      <c r="J162" s="125">
        <f>ROUND(I162*H162,2)</f>
        <v>0</v>
      </c>
      <c r="K162" s="122" t="s">
        <v>141</v>
      </c>
      <c r="L162" s="26"/>
      <c r="M162" s="126" t="s">
        <v>1</v>
      </c>
      <c r="N162" s="127" t="s">
        <v>46</v>
      </c>
      <c r="O162" s="128">
        <v>0</v>
      </c>
      <c r="P162" s="128">
        <f>O162*H162</f>
        <v>0</v>
      </c>
      <c r="Q162" s="128">
        <v>0</v>
      </c>
      <c r="R162" s="128">
        <f>Q162*H162</f>
        <v>0</v>
      </c>
      <c r="S162" s="128">
        <v>0</v>
      </c>
      <c r="T162" s="129">
        <f>S162*H162</f>
        <v>0</v>
      </c>
      <c r="AR162" s="130" t="s">
        <v>135</v>
      </c>
      <c r="AT162" s="130" t="s">
        <v>137</v>
      </c>
      <c r="AU162" s="130" t="s">
        <v>19</v>
      </c>
      <c r="AY162" s="14" t="s">
        <v>136</v>
      </c>
      <c r="BE162" s="131">
        <f>IF(N162="základní",J162,0)</f>
        <v>0</v>
      </c>
      <c r="BF162" s="131">
        <f>IF(N162="snížená",J162,0)</f>
        <v>0</v>
      </c>
      <c r="BG162" s="131">
        <f>IF(N162="zákl. přenesená",J162,0)</f>
        <v>0</v>
      </c>
      <c r="BH162" s="131">
        <f>IF(N162="sníž. přenesená",J162,0)</f>
        <v>0</v>
      </c>
      <c r="BI162" s="131">
        <f>IF(N162="nulová",J162,0)</f>
        <v>0</v>
      </c>
      <c r="BJ162" s="14" t="s">
        <v>19</v>
      </c>
      <c r="BK162" s="131">
        <f>ROUND(I162*H162,2)</f>
        <v>0</v>
      </c>
      <c r="BL162" s="14" t="s">
        <v>135</v>
      </c>
      <c r="BM162" s="130" t="s">
        <v>936</v>
      </c>
    </row>
    <row r="163" spans="2:65" s="1" customFormat="1">
      <c r="B163" s="26"/>
      <c r="D163" s="132" t="s">
        <v>143</v>
      </c>
      <c r="F163" s="133" t="s">
        <v>935</v>
      </c>
      <c r="L163" s="26"/>
      <c r="M163" s="134"/>
      <c r="T163" s="50"/>
      <c r="AT163" s="14" t="s">
        <v>143</v>
      </c>
      <c r="AU163" s="14" t="s">
        <v>19</v>
      </c>
    </row>
    <row r="164" spans="2:65" s="1" customFormat="1" ht="86.4">
      <c r="B164" s="26"/>
      <c r="D164" s="132" t="s">
        <v>145</v>
      </c>
      <c r="F164" s="135" t="s">
        <v>937</v>
      </c>
      <c r="L164" s="26"/>
      <c r="M164" s="134"/>
      <c r="T164" s="50"/>
      <c r="AT164" s="14" t="s">
        <v>145</v>
      </c>
      <c r="AU164" s="14" t="s">
        <v>19</v>
      </c>
    </row>
    <row r="165" spans="2:65" s="11" customFormat="1">
      <c r="B165" s="136"/>
      <c r="D165" s="132" t="s">
        <v>147</v>
      </c>
      <c r="E165" s="137" t="s">
        <v>938</v>
      </c>
      <c r="F165" s="138" t="s">
        <v>939</v>
      </c>
      <c r="H165" s="139">
        <v>4</v>
      </c>
      <c r="L165" s="136"/>
      <c r="M165" s="140"/>
      <c r="T165" s="141"/>
      <c r="AT165" s="137" t="s">
        <v>147</v>
      </c>
      <c r="AU165" s="137" t="s">
        <v>19</v>
      </c>
      <c r="AV165" s="11" t="s">
        <v>149</v>
      </c>
      <c r="AW165" s="11" t="s">
        <v>39</v>
      </c>
      <c r="AX165" s="11" t="s">
        <v>19</v>
      </c>
      <c r="AY165" s="137" t="s">
        <v>136</v>
      </c>
    </row>
    <row r="166" spans="2:65" s="1" customFormat="1" ht="24.15" customHeight="1">
      <c r="B166" s="119"/>
      <c r="C166" s="120" t="s">
        <v>176</v>
      </c>
      <c r="D166" s="120" t="s">
        <v>137</v>
      </c>
      <c r="E166" s="121" t="s">
        <v>285</v>
      </c>
      <c r="F166" s="122" t="s">
        <v>286</v>
      </c>
      <c r="G166" s="123" t="s">
        <v>216</v>
      </c>
      <c r="H166" s="124">
        <v>17.8</v>
      </c>
      <c r="I166" s="125">
        <v>0</v>
      </c>
      <c r="J166" s="125">
        <f>ROUND(I166*H166,2)</f>
        <v>0</v>
      </c>
      <c r="K166" s="122" t="s">
        <v>141</v>
      </c>
      <c r="L166" s="26"/>
      <c r="M166" s="126" t="s">
        <v>1</v>
      </c>
      <c r="N166" s="127" t="s">
        <v>46</v>
      </c>
      <c r="O166" s="128">
        <v>0</v>
      </c>
      <c r="P166" s="128">
        <f>O166*H166</f>
        <v>0</v>
      </c>
      <c r="Q166" s="128">
        <v>0</v>
      </c>
      <c r="R166" s="128">
        <f>Q166*H166</f>
        <v>0</v>
      </c>
      <c r="S166" s="128">
        <v>0</v>
      </c>
      <c r="T166" s="129">
        <f>S166*H166</f>
        <v>0</v>
      </c>
      <c r="AR166" s="130" t="s">
        <v>135</v>
      </c>
      <c r="AT166" s="130" t="s">
        <v>137</v>
      </c>
      <c r="AU166" s="130" t="s">
        <v>19</v>
      </c>
      <c r="AY166" s="14" t="s">
        <v>136</v>
      </c>
      <c r="BE166" s="131">
        <f>IF(N166="základní",J166,0)</f>
        <v>0</v>
      </c>
      <c r="BF166" s="131">
        <f>IF(N166="snížená",J166,0)</f>
        <v>0</v>
      </c>
      <c r="BG166" s="131">
        <f>IF(N166="zákl. přenesená",J166,0)</f>
        <v>0</v>
      </c>
      <c r="BH166" s="131">
        <f>IF(N166="sníž. přenesená",J166,0)</f>
        <v>0</v>
      </c>
      <c r="BI166" s="131">
        <f>IF(N166="nulová",J166,0)</f>
        <v>0</v>
      </c>
      <c r="BJ166" s="14" t="s">
        <v>19</v>
      </c>
      <c r="BK166" s="131">
        <f>ROUND(I166*H166,2)</f>
        <v>0</v>
      </c>
      <c r="BL166" s="14" t="s">
        <v>135</v>
      </c>
      <c r="BM166" s="130" t="s">
        <v>940</v>
      </c>
    </row>
    <row r="167" spans="2:65" s="1" customFormat="1" ht="19.2">
      <c r="B167" s="26"/>
      <c r="D167" s="132" t="s">
        <v>143</v>
      </c>
      <c r="F167" s="133" t="s">
        <v>286</v>
      </c>
      <c r="L167" s="26"/>
      <c r="M167" s="134"/>
      <c r="T167" s="50"/>
      <c r="AT167" s="14" t="s">
        <v>143</v>
      </c>
      <c r="AU167" s="14" t="s">
        <v>19</v>
      </c>
    </row>
    <row r="168" spans="2:65" s="1" customFormat="1" ht="76.8">
      <c r="B168" s="26"/>
      <c r="D168" s="132" t="s">
        <v>145</v>
      </c>
      <c r="F168" s="135" t="s">
        <v>289</v>
      </c>
      <c r="L168" s="26"/>
      <c r="M168" s="134"/>
      <c r="T168" s="50"/>
      <c r="AT168" s="14" t="s">
        <v>145</v>
      </c>
      <c r="AU168" s="14" t="s">
        <v>19</v>
      </c>
    </row>
    <row r="169" spans="2:65" s="11" customFormat="1">
      <c r="B169" s="136"/>
      <c r="D169" s="132" t="s">
        <v>147</v>
      </c>
      <c r="E169" s="137" t="s">
        <v>941</v>
      </c>
      <c r="F169" s="138" t="s">
        <v>942</v>
      </c>
      <c r="H169" s="139">
        <v>17.8</v>
      </c>
      <c r="L169" s="136"/>
      <c r="M169" s="140"/>
      <c r="T169" s="141"/>
      <c r="AT169" s="137" t="s">
        <v>147</v>
      </c>
      <c r="AU169" s="137" t="s">
        <v>19</v>
      </c>
      <c r="AV169" s="11" t="s">
        <v>149</v>
      </c>
      <c r="AW169" s="11" t="s">
        <v>39</v>
      </c>
      <c r="AX169" s="11" t="s">
        <v>19</v>
      </c>
      <c r="AY169" s="137" t="s">
        <v>136</v>
      </c>
    </row>
    <row r="170" spans="2:65" s="1" customFormat="1" ht="24.15" customHeight="1">
      <c r="B170" s="119"/>
      <c r="C170" s="120" t="s">
        <v>182</v>
      </c>
      <c r="D170" s="120" t="s">
        <v>137</v>
      </c>
      <c r="E170" s="121" t="s">
        <v>292</v>
      </c>
      <c r="F170" s="122" t="s">
        <v>293</v>
      </c>
      <c r="G170" s="123" t="s">
        <v>216</v>
      </c>
      <c r="H170" s="124">
        <v>1.17</v>
      </c>
      <c r="I170" s="125">
        <v>0</v>
      </c>
      <c r="J170" s="125">
        <f>ROUND(I170*H170,2)</f>
        <v>0</v>
      </c>
      <c r="K170" s="122" t="s">
        <v>141</v>
      </c>
      <c r="L170" s="26"/>
      <c r="M170" s="126" t="s">
        <v>1</v>
      </c>
      <c r="N170" s="127" t="s">
        <v>46</v>
      </c>
      <c r="O170" s="128">
        <v>0</v>
      </c>
      <c r="P170" s="128">
        <f>O170*H170</f>
        <v>0</v>
      </c>
      <c r="Q170" s="128">
        <v>0</v>
      </c>
      <c r="R170" s="128">
        <f>Q170*H170</f>
        <v>0</v>
      </c>
      <c r="S170" s="128">
        <v>0</v>
      </c>
      <c r="T170" s="129">
        <f>S170*H170</f>
        <v>0</v>
      </c>
      <c r="AR170" s="130" t="s">
        <v>135</v>
      </c>
      <c r="AT170" s="130" t="s">
        <v>137</v>
      </c>
      <c r="AU170" s="130" t="s">
        <v>19</v>
      </c>
      <c r="AY170" s="14" t="s">
        <v>136</v>
      </c>
      <c r="BE170" s="131">
        <f>IF(N170="základní",J170,0)</f>
        <v>0</v>
      </c>
      <c r="BF170" s="131">
        <f>IF(N170="snížená",J170,0)</f>
        <v>0</v>
      </c>
      <c r="BG170" s="131">
        <f>IF(N170="zákl. přenesená",J170,0)</f>
        <v>0</v>
      </c>
      <c r="BH170" s="131">
        <f>IF(N170="sníž. přenesená",J170,0)</f>
        <v>0</v>
      </c>
      <c r="BI170" s="131">
        <f>IF(N170="nulová",J170,0)</f>
        <v>0</v>
      </c>
      <c r="BJ170" s="14" t="s">
        <v>19</v>
      </c>
      <c r="BK170" s="131">
        <f>ROUND(I170*H170,2)</f>
        <v>0</v>
      </c>
      <c r="BL170" s="14" t="s">
        <v>135</v>
      </c>
      <c r="BM170" s="130" t="s">
        <v>943</v>
      </c>
    </row>
    <row r="171" spans="2:65" s="1" customFormat="1">
      <c r="B171" s="26"/>
      <c r="D171" s="132" t="s">
        <v>143</v>
      </c>
      <c r="F171" s="133" t="s">
        <v>293</v>
      </c>
      <c r="L171" s="26"/>
      <c r="M171" s="134"/>
      <c r="T171" s="50"/>
      <c r="AT171" s="14" t="s">
        <v>143</v>
      </c>
      <c r="AU171" s="14" t="s">
        <v>19</v>
      </c>
    </row>
    <row r="172" spans="2:65" s="1" customFormat="1" ht="86.4">
      <c r="B172" s="26"/>
      <c r="D172" s="132" t="s">
        <v>145</v>
      </c>
      <c r="F172" s="135" t="s">
        <v>295</v>
      </c>
      <c r="L172" s="26"/>
      <c r="M172" s="134"/>
      <c r="T172" s="50"/>
      <c r="AT172" s="14" t="s">
        <v>145</v>
      </c>
      <c r="AU172" s="14" t="s">
        <v>19</v>
      </c>
    </row>
    <row r="173" spans="2:65" s="11" customFormat="1">
      <c r="B173" s="136"/>
      <c r="D173" s="132" t="s">
        <v>147</v>
      </c>
      <c r="E173" s="137" t="s">
        <v>944</v>
      </c>
      <c r="F173" s="138" t="s">
        <v>945</v>
      </c>
      <c r="H173" s="139">
        <v>1.17</v>
      </c>
      <c r="L173" s="136"/>
      <c r="M173" s="140"/>
      <c r="T173" s="141"/>
      <c r="AT173" s="137" t="s">
        <v>147</v>
      </c>
      <c r="AU173" s="137" t="s">
        <v>19</v>
      </c>
      <c r="AV173" s="11" t="s">
        <v>149</v>
      </c>
      <c r="AW173" s="11" t="s">
        <v>39</v>
      </c>
      <c r="AX173" s="11" t="s">
        <v>19</v>
      </c>
      <c r="AY173" s="137" t="s">
        <v>136</v>
      </c>
    </row>
    <row r="174" spans="2:65" s="1" customFormat="1" ht="24.15" customHeight="1">
      <c r="B174" s="119"/>
      <c r="C174" s="120" t="s">
        <v>189</v>
      </c>
      <c r="D174" s="120" t="s">
        <v>137</v>
      </c>
      <c r="E174" s="121" t="s">
        <v>298</v>
      </c>
      <c r="F174" s="122" t="s">
        <v>299</v>
      </c>
      <c r="G174" s="123" t="s">
        <v>260</v>
      </c>
      <c r="H174" s="124">
        <v>235</v>
      </c>
      <c r="I174" s="125">
        <v>0</v>
      </c>
      <c r="J174" s="125">
        <f>ROUND(I174*H174,2)</f>
        <v>0</v>
      </c>
      <c r="K174" s="122" t="s">
        <v>141</v>
      </c>
      <c r="L174" s="26"/>
      <c r="M174" s="126" t="s">
        <v>1</v>
      </c>
      <c r="N174" s="127" t="s">
        <v>46</v>
      </c>
      <c r="O174" s="128">
        <v>0</v>
      </c>
      <c r="P174" s="128">
        <f>O174*H174</f>
        <v>0</v>
      </c>
      <c r="Q174" s="128">
        <v>0</v>
      </c>
      <c r="R174" s="128">
        <f>Q174*H174</f>
        <v>0</v>
      </c>
      <c r="S174" s="128">
        <v>0</v>
      </c>
      <c r="T174" s="129">
        <f>S174*H174</f>
        <v>0</v>
      </c>
      <c r="AR174" s="130" t="s">
        <v>135</v>
      </c>
      <c r="AT174" s="130" t="s">
        <v>137</v>
      </c>
      <c r="AU174" s="130" t="s">
        <v>19</v>
      </c>
      <c r="AY174" s="14" t="s">
        <v>136</v>
      </c>
      <c r="BE174" s="131">
        <f>IF(N174="základní",J174,0)</f>
        <v>0</v>
      </c>
      <c r="BF174" s="131">
        <f>IF(N174="snížená",J174,0)</f>
        <v>0</v>
      </c>
      <c r="BG174" s="131">
        <f>IF(N174="zákl. přenesená",J174,0)</f>
        <v>0</v>
      </c>
      <c r="BH174" s="131">
        <f>IF(N174="sníž. přenesená",J174,0)</f>
        <v>0</v>
      </c>
      <c r="BI174" s="131">
        <f>IF(N174="nulová",J174,0)</f>
        <v>0</v>
      </c>
      <c r="BJ174" s="14" t="s">
        <v>19</v>
      </c>
      <c r="BK174" s="131">
        <f>ROUND(I174*H174,2)</f>
        <v>0</v>
      </c>
      <c r="BL174" s="14" t="s">
        <v>135</v>
      </c>
      <c r="BM174" s="130" t="s">
        <v>946</v>
      </c>
    </row>
    <row r="175" spans="2:65" s="1" customFormat="1" ht="19.2">
      <c r="B175" s="26"/>
      <c r="D175" s="132" t="s">
        <v>143</v>
      </c>
      <c r="F175" s="133" t="s">
        <v>299</v>
      </c>
      <c r="L175" s="26"/>
      <c r="M175" s="134"/>
      <c r="T175" s="50"/>
      <c r="AT175" s="14" t="s">
        <v>143</v>
      </c>
      <c r="AU175" s="14" t="s">
        <v>19</v>
      </c>
    </row>
    <row r="176" spans="2:65" s="1" customFormat="1" ht="96">
      <c r="B176" s="26"/>
      <c r="D176" s="132" t="s">
        <v>145</v>
      </c>
      <c r="F176" s="135" t="s">
        <v>301</v>
      </c>
      <c r="L176" s="26"/>
      <c r="M176" s="134"/>
      <c r="T176" s="50"/>
      <c r="AT176" s="14" t="s">
        <v>145</v>
      </c>
      <c r="AU176" s="14" t="s">
        <v>19</v>
      </c>
    </row>
    <row r="177" spans="2:65" s="11" customFormat="1">
      <c r="B177" s="136"/>
      <c r="D177" s="132" t="s">
        <v>147</v>
      </c>
      <c r="E177" s="137" t="s">
        <v>947</v>
      </c>
      <c r="F177" s="138" t="s">
        <v>948</v>
      </c>
      <c r="H177" s="139">
        <v>235</v>
      </c>
      <c r="L177" s="136"/>
      <c r="M177" s="140"/>
      <c r="T177" s="141"/>
      <c r="AT177" s="137" t="s">
        <v>147</v>
      </c>
      <c r="AU177" s="137" t="s">
        <v>19</v>
      </c>
      <c r="AV177" s="11" t="s">
        <v>149</v>
      </c>
      <c r="AW177" s="11" t="s">
        <v>39</v>
      </c>
      <c r="AX177" s="11" t="s">
        <v>19</v>
      </c>
      <c r="AY177" s="137" t="s">
        <v>136</v>
      </c>
    </row>
    <row r="178" spans="2:65" s="1" customFormat="1" ht="24.15" customHeight="1">
      <c r="B178" s="119"/>
      <c r="C178" s="120" t="s">
        <v>197</v>
      </c>
      <c r="D178" s="120" t="s">
        <v>137</v>
      </c>
      <c r="E178" s="121" t="s">
        <v>949</v>
      </c>
      <c r="F178" s="122" t="s">
        <v>950</v>
      </c>
      <c r="G178" s="123" t="s">
        <v>216</v>
      </c>
      <c r="H178" s="124">
        <v>79.75</v>
      </c>
      <c r="I178" s="125">
        <v>0</v>
      </c>
      <c r="J178" s="125">
        <f>ROUND(I178*H178,2)</f>
        <v>0</v>
      </c>
      <c r="K178" s="122" t="s">
        <v>141</v>
      </c>
      <c r="L178" s="26"/>
      <c r="M178" s="126" t="s">
        <v>1</v>
      </c>
      <c r="N178" s="127" t="s">
        <v>46</v>
      </c>
      <c r="O178" s="128">
        <v>0</v>
      </c>
      <c r="P178" s="128">
        <f>O178*H178</f>
        <v>0</v>
      </c>
      <c r="Q178" s="128">
        <v>0</v>
      </c>
      <c r="R178" s="128">
        <f>Q178*H178</f>
        <v>0</v>
      </c>
      <c r="S178" s="128">
        <v>0</v>
      </c>
      <c r="T178" s="129">
        <f>S178*H178</f>
        <v>0</v>
      </c>
      <c r="AR178" s="130" t="s">
        <v>135</v>
      </c>
      <c r="AT178" s="130" t="s">
        <v>137</v>
      </c>
      <c r="AU178" s="130" t="s">
        <v>19</v>
      </c>
      <c r="AY178" s="14" t="s">
        <v>136</v>
      </c>
      <c r="BE178" s="131">
        <f>IF(N178="základní",J178,0)</f>
        <v>0</v>
      </c>
      <c r="BF178" s="131">
        <f>IF(N178="snížená",J178,0)</f>
        <v>0</v>
      </c>
      <c r="BG178" s="131">
        <f>IF(N178="zákl. přenesená",J178,0)</f>
        <v>0</v>
      </c>
      <c r="BH178" s="131">
        <f>IF(N178="sníž. přenesená",J178,0)</f>
        <v>0</v>
      </c>
      <c r="BI178" s="131">
        <f>IF(N178="nulová",J178,0)</f>
        <v>0</v>
      </c>
      <c r="BJ178" s="14" t="s">
        <v>19</v>
      </c>
      <c r="BK178" s="131">
        <f>ROUND(I178*H178,2)</f>
        <v>0</v>
      </c>
      <c r="BL178" s="14" t="s">
        <v>135</v>
      </c>
      <c r="BM178" s="130" t="s">
        <v>951</v>
      </c>
    </row>
    <row r="179" spans="2:65" s="1" customFormat="1">
      <c r="B179" s="26"/>
      <c r="D179" s="132" t="s">
        <v>143</v>
      </c>
      <c r="F179" s="133" t="s">
        <v>952</v>
      </c>
      <c r="L179" s="26"/>
      <c r="M179" s="134"/>
      <c r="T179" s="50"/>
      <c r="AT179" s="14" t="s">
        <v>143</v>
      </c>
      <c r="AU179" s="14" t="s">
        <v>19</v>
      </c>
    </row>
    <row r="180" spans="2:65" s="1" customFormat="1" ht="76.8">
      <c r="B180" s="26"/>
      <c r="D180" s="132" t="s">
        <v>145</v>
      </c>
      <c r="F180" s="135" t="s">
        <v>289</v>
      </c>
      <c r="L180" s="26"/>
      <c r="M180" s="134"/>
      <c r="T180" s="50"/>
      <c r="AT180" s="14" t="s">
        <v>145</v>
      </c>
      <c r="AU180" s="14" t="s">
        <v>19</v>
      </c>
    </row>
    <row r="181" spans="2:65" s="11" customFormat="1">
      <c r="B181" s="136"/>
      <c r="D181" s="132" t="s">
        <v>147</v>
      </c>
      <c r="E181" s="137" t="s">
        <v>953</v>
      </c>
      <c r="F181" s="138" t="s">
        <v>954</v>
      </c>
      <c r="H181" s="139">
        <v>79.75</v>
      </c>
      <c r="L181" s="136"/>
      <c r="M181" s="140"/>
      <c r="T181" s="141"/>
      <c r="AT181" s="137" t="s">
        <v>147</v>
      </c>
      <c r="AU181" s="137" t="s">
        <v>19</v>
      </c>
      <c r="AV181" s="11" t="s">
        <v>149</v>
      </c>
      <c r="AW181" s="11" t="s">
        <v>39</v>
      </c>
      <c r="AX181" s="11" t="s">
        <v>19</v>
      </c>
      <c r="AY181" s="137" t="s">
        <v>136</v>
      </c>
    </row>
    <row r="182" spans="2:65" s="1" customFormat="1" ht="24.15" customHeight="1">
      <c r="B182" s="119"/>
      <c r="C182" s="120" t="s">
        <v>24</v>
      </c>
      <c r="D182" s="120" t="s">
        <v>137</v>
      </c>
      <c r="E182" s="121" t="s">
        <v>955</v>
      </c>
      <c r="F182" s="122" t="s">
        <v>956</v>
      </c>
      <c r="G182" s="123" t="s">
        <v>216</v>
      </c>
      <c r="H182" s="124">
        <v>322.08</v>
      </c>
      <c r="I182" s="125">
        <v>0</v>
      </c>
      <c r="J182" s="125">
        <f>ROUND(I182*H182,2)</f>
        <v>0</v>
      </c>
      <c r="K182" s="122" t="s">
        <v>141</v>
      </c>
      <c r="L182" s="26"/>
      <c r="M182" s="126" t="s">
        <v>1</v>
      </c>
      <c r="N182" s="127" t="s">
        <v>46</v>
      </c>
      <c r="O182" s="128">
        <v>0</v>
      </c>
      <c r="P182" s="128">
        <f>O182*H182</f>
        <v>0</v>
      </c>
      <c r="Q182" s="128">
        <v>0</v>
      </c>
      <c r="R182" s="128">
        <f>Q182*H182</f>
        <v>0</v>
      </c>
      <c r="S182" s="128">
        <v>0</v>
      </c>
      <c r="T182" s="129">
        <f>S182*H182</f>
        <v>0</v>
      </c>
      <c r="AR182" s="130" t="s">
        <v>135</v>
      </c>
      <c r="AT182" s="130" t="s">
        <v>137</v>
      </c>
      <c r="AU182" s="130" t="s">
        <v>19</v>
      </c>
      <c r="AY182" s="14" t="s">
        <v>136</v>
      </c>
      <c r="BE182" s="131">
        <f>IF(N182="základní",J182,0)</f>
        <v>0</v>
      </c>
      <c r="BF182" s="131">
        <f>IF(N182="snížená",J182,0)</f>
        <v>0</v>
      </c>
      <c r="BG182" s="131">
        <f>IF(N182="zákl. přenesená",J182,0)</f>
        <v>0</v>
      </c>
      <c r="BH182" s="131">
        <f>IF(N182="sníž. přenesená",J182,0)</f>
        <v>0</v>
      </c>
      <c r="BI182" s="131">
        <f>IF(N182="nulová",J182,0)</f>
        <v>0</v>
      </c>
      <c r="BJ182" s="14" t="s">
        <v>19</v>
      </c>
      <c r="BK182" s="131">
        <f>ROUND(I182*H182,2)</f>
        <v>0</v>
      </c>
      <c r="BL182" s="14" t="s">
        <v>135</v>
      </c>
      <c r="BM182" s="130" t="s">
        <v>957</v>
      </c>
    </row>
    <row r="183" spans="2:65" s="1" customFormat="1" ht="19.2">
      <c r="B183" s="26"/>
      <c r="D183" s="132" t="s">
        <v>143</v>
      </c>
      <c r="F183" s="133" t="s">
        <v>956</v>
      </c>
      <c r="L183" s="26"/>
      <c r="M183" s="134"/>
      <c r="T183" s="50"/>
      <c r="AT183" s="14" t="s">
        <v>143</v>
      </c>
      <c r="AU183" s="14" t="s">
        <v>19</v>
      </c>
    </row>
    <row r="184" spans="2:65" s="1" customFormat="1" ht="76.8">
      <c r="B184" s="26"/>
      <c r="D184" s="132" t="s">
        <v>145</v>
      </c>
      <c r="F184" s="135" t="s">
        <v>289</v>
      </c>
      <c r="L184" s="26"/>
      <c r="M184" s="134"/>
      <c r="T184" s="50"/>
      <c r="AT184" s="14" t="s">
        <v>145</v>
      </c>
      <c r="AU184" s="14" t="s">
        <v>19</v>
      </c>
    </row>
    <row r="185" spans="2:65" s="11" customFormat="1">
      <c r="B185" s="136"/>
      <c r="D185" s="132" t="s">
        <v>147</v>
      </c>
      <c r="E185" s="137" t="s">
        <v>958</v>
      </c>
      <c r="F185" s="138" t="s">
        <v>959</v>
      </c>
      <c r="H185" s="139">
        <v>322.08</v>
      </c>
      <c r="L185" s="136"/>
      <c r="M185" s="140"/>
      <c r="T185" s="141"/>
      <c r="AT185" s="137" t="s">
        <v>147</v>
      </c>
      <c r="AU185" s="137" t="s">
        <v>19</v>
      </c>
      <c r="AV185" s="11" t="s">
        <v>149</v>
      </c>
      <c r="AW185" s="11" t="s">
        <v>39</v>
      </c>
      <c r="AX185" s="11" t="s">
        <v>81</v>
      </c>
      <c r="AY185" s="137" t="s">
        <v>136</v>
      </c>
    </row>
    <row r="186" spans="2:65" s="11" customFormat="1">
      <c r="B186" s="136"/>
      <c r="D186" s="132" t="s">
        <v>147</v>
      </c>
      <c r="E186" s="137" t="s">
        <v>960</v>
      </c>
      <c r="F186" s="138" t="s">
        <v>961</v>
      </c>
      <c r="H186" s="139">
        <v>322.08</v>
      </c>
      <c r="L186" s="136"/>
      <c r="M186" s="140"/>
      <c r="T186" s="141"/>
      <c r="AT186" s="137" t="s">
        <v>147</v>
      </c>
      <c r="AU186" s="137" t="s">
        <v>19</v>
      </c>
      <c r="AV186" s="11" t="s">
        <v>149</v>
      </c>
      <c r="AW186" s="11" t="s">
        <v>39</v>
      </c>
      <c r="AX186" s="11" t="s">
        <v>19</v>
      </c>
      <c r="AY186" s="137" t="s">
        <v>136</v>
      </c>
    </row>
    <row r="187" spans="2:65" s="1" customFormat="1" ht="24.15" customHeight="1">
      <c r="B187" s="119"/>
      <c r="C187" s="120" t="s">
        <v>320</v>
      </c>
      <c r="D187" s="120" t="s">
        <v>137</v>
      </c>
      <c r="E187" s="121" t="s">
        <v>962</v>
      </c>
      <c r="F187" s="122" t="s">
        <v>963</v>
      </c>
      <c r="G187" s="123" t="s">
        <v>216</v>
      </c>
      <c r="H187" s="124">
        <v>57.12</v>
      </c>
      <c r="I187" s="125">
        <v>0</v>
      </c>
      <c r="J187" s="125">
        <f>ROUND(I187*H187,2)</f>
        <v>0</v>
      </c>
      <c r="K187" s="122" t="s">
        <v>141</v>
      </c>
      <c r="L187" s="26"/>
      <c r="M187" s="126" t="s">
        <v>1</v>
      </c>
      <c r="N187" s="127" t="s">
        <v>46</v>
      </c>
      <c r="O187" s="128">
        <v>0</v>
      </c>
      <c r="P187" s="128">
        <f>O187*H187</f>
        <v>0</v>
      </c>
      <c r="Q187" s="128">
        <v>0</v>
      </c>
      <c r="R187" s="128">
        <f>Q187*H187</f>
        <v>0</v>
      </c>
      <c r="S187" s="128">
        <v>0</v>
      </c>
      <c r="T187" s="129">
        <f>S187*H187</f>
        <v>0</v>
      </c>
      <c r="AR187" s="130" t="s">
        <v>135</v>
      </c>
      <c r="AT187" s="130" t="s">
        <v>137</v>
      </c>
      <c r="AU187" s="130" t="s">
        <v>19</v>
      </c>
      <c r="AY187" s="14" t="s">
        <v>136</v>
      </c>
      <c r="BE187" s="131">
        <f>IF(N187="základní",J187,0)</f>
        <v>0</v>
      </c>
      <c r="BF187" s="131">
        <f>IF(N187="snížená",J187,0)</f>
        <v>0</v>
      </c>
      <c r="BG187" s="131">
        <f>IF(N187="zákl. přenesená",J187,0)</f>
        <v>0</v>
      </c>
      <c r="BH187" s="131">
        <f>IF(N187="sníž. přenesená",J187,0)</f>
        <v>0</v>
      </c>
      <c r="BI187" s="131">
        <f>IF(N187="nulová",J187,0)</f>
        <v>0</v>
      </c>
      <c r="BJ187" s="14" t="s">
        <v>19</v>
      </c>
      <c r="BK187" s="131">
        <f>ROUND(I187*H187,2)</f>
        <v>0</v>
      </c>
      <c r="BL187" s="14" t="s">
        <v>135</v>
      </c>
      <c r="BM187" s="130" t="s">
        <v>964</v>
      </c>
    </row>
    <row r="188" spans="2:65" s="1" customFormat="1">
      <c r="B188" s="26"/>
      <c r="D188" s="132" t="s">
        <v>143</v>
      </c>
      <c r="F188" s="133" t="s">
        <v>965</v>
      </c>
      <c r="L188" s="26"/>
      <c r="M188" s="134"/>
      <c r="T188" s="50"/>
      <c r="AT188" s="14" t="s">
        <v>143</v>
      </c>
      <c r="AU188" s="14" t="s">
        <v>19</v>
      </c>
    </row>
    <row r="189" spans="2:65" s="1" customFormat="1" ht="76.8">
      <c r="B189" s="26"/>
      <c r="D189" s="132" t="s">
        <v>145</v>
      </c>
      <c r="F189" s="135" t="s">
        <v>289</v>
      </c>
      <c r="L189" s="26"/>
      <c r="M189" s="134"/>
      <c r="T189" s="50"/>
      <c r="AT189" s="14" t="s">
        <v>145</v>
      </c>
      <c r="AU189" s="14" t="s">
        <v>19</v>
      </c>
    </row>
    <row r="190" spans="2:65" s="11" customFormat="1">
      <c r="B190" s="136"/>
      <c r="D190" s="132" t="s">
        <v>147</v>
      </c>
      <c r="E190" s="137" t="s">
        <v>966</v>
      </c>
      <c r="F190" s="138" t="s">
        <v>967</v>
      </c>
      <c r="H190" s="139">
        <v>20.16</v>
      </c>
      <c r="L190" s="136"/>
      <c r="M190" s="140"/>
      <c r="T190" s="141"/>
      <c r="AT190" s="137" t="s">
        <v>147</v>
      </c>
      <c r="AU190" s="137" t="s">
        <v>19</v>
      </c>
      <c r="AV190" s="11" t="s">
        <v>149</v>
      </c>
      <c r="AW190" s="11" t="s">
        <v>39</v>
      </c>
      <c r="AX190" s="11" t="s">
        <v>81</v>
      </c>
      <c r="AY190" s="137" t="s">
        <v>136</v>
      </c>
    </row>
    <row r="191" spans="2:65" s="11" customFormat="1">
      <c r="B191" s="136"/>
      <c r="D191" s="132" t="s">
        <v>147</v>
      </c>
      <c r="E191" s="137" t="s">
        <v>968</v>
      </c>
      <c r="F191" s="138" t="s">
        <v>969</v>
      </c>
      <c r="H191" s="139">
        <v>36.96</v>
      </c>
      <c r="L191" s="136"/>
      <c r="M191" s="140"/>
      <c r="T191" s="141"/>
      <c r="AT191" s="137" t="s">
        <v>147</v>
      </c>
      <c r="AU191" s="137" t="s">
        <v>19</v>
      </c>
      <c r="AV191" s="11" t="s">
        <v>149</v>
      </c>
      <c r="AW191" s="11" t="s">
        <v>39</v>
      </c>
      <c r="AX191" s="11" t="s">
        <v>81</v>
      </c>
      <c r="AY191" s="137" t="s">
        <v>136</v>
      </c>
    </row>
    <row r="192" spans="2:65" s="11" customFormat="1">
      <c r="B192" s="136"/>
      <c r="D192" s="132" t="s">
        <v>147</v>
      </c>
      <c r="E192" s="137" t="s">
        <v>970</v>
      </c>
      <c r="F192" s="138" t="s">
        <v>971</v>
      </c>
      <c r="H192" s="139">
        <v>57.12</v>
      </c>
      <c r="L192" s="136"/>
      <c r="M192" s="140"/>
      <c r="T192" s="141"/>
      <c r="AT192" s="137" t="s">
        <v>147</v>
      </c>
      <c r="AU192" s="137" t="s">
        <v>19</v>
      </c>
      <c r="AV192" s="11" t="s">
        <v>149</v>
      </c>
      <c r="AW192" s="11" t="s">
        <v>39</v>
      </c>
      <c r="AX192" s="11" t="s">
        <v>19</v>
      </c>
      <c r="AY192" s="137" t="s">
        <v>136</v>
      </c>
    </row>
    <row r="193" spans="2:65" s="1" customFormat="1" ht="24.15" customHeight="1">
      <c r="B193" s="119"/>
      <c r="C193" s="120" t="s">
        <v>327</v>
      </c>
      <c r="D193" s="120" t="s">
        <v>137</v>
      </c>
      <c r="E193" s="121" t="s">
        <v>310</v>
      </c>
      <c r="F193" s="122" t="s">
        <v>311</v>
      </c>
      <c r="G193" s="123" t="s">
        <v>312</v>
      </c>
      <c r="H193" s="124">
        <v>3032</v>
      </c>
      <c r="I193" s="125">
        <v>0</v>
      </c>
      <c r="J193" s="125">
        <f>ROUND(I193*H193,2)</f>
        <v>0</v>
      </c>
      <c r="K193" s="122" t="s">
        <v>141</v>
      </c>
      <c r="L193" s="26"/>
      <c r="M193" s="126" t="s">
        <v>1</v>
      </c>
      <c r="N193" s="127" t="s">
        <v>46</v>
      </c>
      <c r="O193" s="128">
        <v>0</v>
      </c>
      <c r="P193" s="128">
        <f>O193*H193</f>
        <v>0</v>
      </c>
      <c r="Q193" s="128">
        <v>0</v>
      </c>
      <c r="R193" s="128">
        <f>Q193*H193</f>
        <v>0</v>
      </c>
      <c r="S193" s="128">
        <v>0</v>
      </c>
      <c r="T193" s="129">
        <f>S193*H193</f>
        <v>0</v>
      </c>
      <c r="AR193" s="130" t="s">
        <v>135</v>
      </c>
      <c r="AT193" s="130" t="s">
        <v>137</v>
      </c>
      <c r="AU193" s="130" t="s">
        <v>19</v>
      </c>
      <c r="AY193" s="14" t="s">
        <v>136</v>
      </c>
      <c r="BE193" s="131">
        <f>IF(N193="základní",J193,0)</f>
        <v>0</v>
      </c>
      <c r="BF193" s="131">
        <f>IF(N193="snížená",J193,0)</f>
        <v>0</v>
      </c>
      <c r="BG193" s="131">
        <f>IF(N193="zákl. přenesená",J193,0)</f>
        <v>0</v>
      </c>
      <c r="BH193" s="131">
        <f>IF(N193="sníž. přenesená",J193,0)</f>
        <v>0</v>
      </c>
      <c r="BI193" s="131">
        <f>IF(N193="nulová",J193,0)</f>
        <v>0</v>
      </c>
      <c r="BJ193" s="14" t="s">
        <v>19</v>
      </c>
      <c r="BK193" s="131">
        <f>ROUND(I193*H193,2)</f>
        <v>0</v>
      </c>
      <c r="BL193" s="14" t="s">
        <v>135</v>
      </c>
      <c r="BM193" s="130" t="s">
        <v>972</v>
      </c>
    </row>
    <row r="194" spans="2:65" s="1" customFormat="1" ht="19.2">
      <c r="B194" s="26"/>
      <c r="D194" s="132" t="s">
        <v>143</v>
      </c>
      <c r="F194" s="133" t="s">
        <v>311</v>
      </c>
      <c r="L194" s="26"/>
      <c r="M194" s="134"/>
      <c r="T194" s="50"/>
      <c r="AT194" s="14" t="s">
        <v>143</v>
      </c>
      <c r="AU194" s="14" t="s">
        <v>19</v>
      </c>
    </row>
    <row r="195" spans="2:65" s="1" customFormat="1" ht="76.8">
      <c r="B195" s="26"/>
      <c r="D195" s="132" t="s">
        <v>145</v>
      </c>
      <c r="F195" s="135" t="s">
        <v>289</v>
      </c>
      <c r="L195" s="26"/>
      <c r="M195" s="134"/>
      <c r="T195" s="50"/>
      <c r="AT195" s="14" t="s">
        <v>145</v>
      </c>
      <c r="AU195" s="14" t="s">
        <v>19</v>
      </c>
    </row>
    <row r="196" spans="2:65" s="11" customFormat="1">
      <c r="B196" s="136"/>
      <c r="D196" s="132" t="s">
        <v>147</v>
      </c>
      <c r="E196" s="137" t="s">
        <v>973</v>
      </c>
      <c r="F196" s="138" t="s">
        <v>974</v>
      </c>
      <c r="H196" s="139">
        <v>2695</v>
      </c>
      <c r="L196" s="136"/>
      <c r="M196" s="140"/>
      <c r="T196" s="141"/>
      <c r="AT196" s="137" t="s">
        <v>147</v>
      </c>
      <c r="AU196" s="137" t="s">
        <v>19</v>
      </c>
      <c r="AV196" s="11" t="s">
        <v>149</v>
      </c>
      <c r="AW196" s="11" t="s">
        <v>39</v>
      </c>
      <c r="AX196" s="11" t="s">
        <v>81</v>
      </c>
      <c r="AY196" s="137" t="s">
        <v>136</v>
      </c>
    </row>
    <row r="197" spans="2:65" s="11" customFormat="1">
      <c r="B197" s="136"/>
      <c r="D197" s="132" t="s">
        <v>147</v>
      </c>
      <c r="E197" s="137" t="s">
        <v>975</v>
      </c>
      <c r="F197" s="138" t="s">
        <v>976</v>
      </c>
      <c r="H197" s="139">
        <v>209</v>
      </c>
      <c r="L197" s="136"/>
      <c r="M197" s="140"/>
      <c r="T197" s="141"/>
      <c r="AT197" s="137" t="s">
        <v>147</v>
      </c>
      <c r="AU197" s="137" t="s">
        <v>19</v>
      </c>
      <c r="AV197" s="11" t="s">
        <v>149</v>
      </c>
      <c r="AW197" s="11" t="s">
        <v>39</v>
      </c>
      <c r="AX197" s="11" t="s">
        <v>81</v>
      </c>
      <c r="AY197" s="137" t="s">
        <v>136</v>
      </c>
    </row>
    <row r="198" spans="2:65" s="11" customFormat="1">
      <c r="B198" s="136"/>
      <c r="D198" s="132" t="s">
        <v>147</v>
      </c>
      <c r="E198" s="137" t="s">
        <v>977</v>
      </c>
      <c r="F198" s="138" t="s">
        <v>978</v>
      </c>
      <c r="H198" s="139">
        <v>128</v>
      </c>
      <c r="L198" s="136"/>
      <c r="M198" s="140"/>
      <c r="T198" s="141"/>
      <c r="AT198" s="137" t="s">
        <v>147</v>
      </c>
      <c r="AU198" s="137" t="s">
        <v>19</v>
      </c>
      <c r="AV198" s="11" t="s">
        <v>149</v>
      </c>
      <c r="AW198" s="11" t="s">
        <v>39</v>
      </c>
      <c r="AX198" s="11" t="s">
        <v>81</v>
      </c>
      <c r="AY198" s="137" t="s">
        <v>136</v>
      </c>
    </row>
    <row r="199" spans="2:65" s="11" customFormat="1">
      <c r="B199" s="136"/>
      <c r="D199" s="132" t="s">
        <v>147</v>
      </c>
      <c r="E199" s="137" t="s">
        <v>979</v>
      </c>
      <c r="F199" s="138" t="s">
        <v>980</v>
      </c>
      <c r="H199" s="139">
        <v>3032</v>
      </c>
      <c r="L199" s="136"/>
      <c r="M199" s="140"/>
      <c r="T199" s="141"/>
      <c r="AT199" s="137" t="s">
        <v>147</v>
      </c>
      <c r="AU199" s="137" t="s">
        <v>19</v>
      </c>
      <c r="AV199" s="11" t="s">
        <v>149</v>
      </c>
      <c r="AW199" s="11" t="s">
        <v>39</v>
      </c>
      <c r="AX199" s="11" t="s">
        <v>19</v>
      </c>
      <c r="AY199" s="137" t="s">
        <v>136</v>
      </c>
    </row>
    <row r="200" spans="2:65" s="1" customFormat="1" ht="24.15" customHeight="1">
      <c r="B200" s="119"/>
      <c r="C200" s="120" t="s">
        <v>334</v>
      </c>
      <c r="D200" s="120" t="s">
        <v>137</v>
      </c>
      <c r="E200" s="121" t="s">
        <v>981</v>
      </c>
      <c r="F200" s="122" t="s">
        <v>982</v>
      </c>
      <c r="G200" s="123" t="s">
        <v>312</v>
      </c>
      <c r="H200" s="124">
        <v>1255</v>
      </c>
      <c r="I200" s="125">
        <v>0</v>
      </c>
      <c r="J200" s="125">
        <f>ROUND(I200*H200,2)</f>
        <v>0</v>
      </c>
      <c r="K200" s="122" t="s">
        <v>141</v>
      </c>
      <c r="L200" s="26"/>
      <c r="M200" s="126" t="s">
        <v>1</v>
      </c>
      <c r="N200" s="127" t="s">
        <v>46</v>
      </c>
      <c r="O200" s="128">
        <v>0</v>
      </c>
      <c r="P200" s="128">
        <f>O200*H200</f>
        <v>0</v>
      </c>
      <c r="Q200" s="128">
        <v>0</v>
      </c>
      <c r="R200" s="128">
        <f>Q200*H200</f>
        <v>0</v>
      </c>
      <c r="S200" s="128">
        <v>0</v>
      </c>
      <c r="T200" s="129">
        <f>S200*H200</f>
        <v>0</v>
      </c>
      <c r="AR200" s="130" t="s">
        <v>135</v>
      </c>
      <c r="AT200" s="130" t="s">
        <v>137</v>
      </c>
      <c r="AU200" s="130" t="s">
        <v>19</v>
      </c>
      <c r="AY200" s="14" t="s">
        <v>136</v>
      </c>
      <c r="BE200" s="131">
        <f>IF(N200="základní",J200,0)</f>
        <v>0</v>
      </c>
      <c r="BF200" s="131">
        <f>IF(N200="snížená",J200,0)</f>
        <v>0</v>
      </c>
      <c r="BG200" s="131">
        <f>IF(N200="zákl. přenesená",J200,0)</f>
        <v>0</v>
      </c>
      <c r="BH200" s="131">
        <f>IF(N200="sníž. přenesená",J200,0)</f>
        <v>0</v>
      </c>
      <c r="BI200" s="131">
        <f>IF(N200="nulová",J200,0)</f>
        <v>0</v>
      </c>
      <c r="BJ200" s="14" t="s">
        <v>19</v>
      </c>
      <c r="BK200" s="131">
        <f>ROUND(I200*H200,2)</f>
        <v>0</v>
      </c>
      <c r="BL200" s="14" t="s">
        <v>135</v>
      </c>
      <c r="BM200" s="130" t="s">
        <v>983</v>
      </c>
    </row>
    <row r="201" spans="2:65" s="1" customFormat="1">
      <c r="B201" s="26"/>
      <c r="D201" s="132" t="s">
        <v>143</v>
      </c>
      <c r="F201" s="133" t="s">
        <v>984</v>
      </c>
      <c r="L201" s="26"/>
      <c r="M201" s="134"/>
      <c r="T201" s="50"/>
      <c r="AT201" s="14" t="s">
        <v>143</v>
      </c>
      <c r="AU201" s="14" t="s">
        <v>19</v>
      </c>
    </row>
    <row r="202" spans="2:65" s="1" customFormat="1" ht="76.8">
      <c r="B202" s="26"/>
      <c r="D202" s="132" t="s">
        <v>145</v>
      </c>
      <c r="F202" s="135" t="s">
        <v>289</v>
      </c>
      <c r="L202" s="26"/>
      <c r="M202" s="134"/>
      <c r="T202" s="50"/>
      <c r="AT202" s="14" t="s">
        <v>145</v>
      </c>
      <c r="AU202" s="14" t="s">
        <v>19</v>
      </c>
    </row>
    <row r="203" spans="2:65" s="11" customFormat="1">
      <c r="B203" s="136"/>
      <c r="D203" s="132" t="s">
        <v>147</v>
      </c>
      <c r="E203" s="137" t="s">
        <v>985</v>
      </c>
      <c r="F203" s="138" t="s">
        <v>986</v>
      </c>
      <c r="H203" s="139">
        <v>1255</v>
      </c>
      <c r="L203" s="136"/>
      <c r="M203" s="140"/>
      <c r="T203" s="141"/>
      <c r="AT203" s="137" t="s">
        <v>147</v>
      </c>
      <c r="AU203" s="137" t="s">
        <v>19</v>
      </c>
      <c r="AV203" s="11" t="s">
        <v>149</v>
      </c>
      <c r="AW203" s="11" t="s">
        <v>39</v>
      </c>
      <c r="AX203" s="11" t="s">
        <v>19</v>
      </c>
      <c r="AY203" s="137" t="s">
        <v>136</v>
      </c>
    </row>
    <row r="204" spans="2:65" s="1" customFormat="1" ht="21.75" customHeight="1">
      <c r="B204" s="119"/>
      <c r="C204" s="120" t="s">
        <v>340</v>
      </c>
      <c r="D204" s="120" t="s">
        <v>137</v>
      </c>
      <c r="E204" s="121" t="s">
        <v>321</v>
      </c>
      <c r="F204" s="122" t="s">
        <v>322</v>
      </c>
      <c r="G204" s="123" t="s">
        <v>216</v>
      </c>
      <c r="H204" s="124">
        <v>1321.28</v>
      </c>
      <c r="I204" s="125">
        <v>0</v>
      </c>
      <c r="J204" s="125">
        <f>ROUND(I204*H204,2)</f>
        <v>0</v>
      </c>
      <c r="K204" s="122" t="s">
        <v>141</v>
      </c>
      <c r="L204" s="26"/>
      <c r="M204" s="126" t="s">
        <v>1</v>
      </c>
      <c r="N204" s="127" t="s">
        <v>46</v>
      </c>
      <c r="O204" s="128">
        <v>0</v>
      </c>
      <c r="P204" s="128">
        <f>O204*H204</f>
        <v>0</v>
      </c>
      <c r="Q204" s="128">
        <v>0</v>
      </c>
      <c r="R204" s="128">
        <f>Q204*H204</f>
        <v>0</v>
      </c>
      <c r="S204" s="128">
        <v>0</v>
      </c>
      <c r="T204" s="129">
        <f>S204*H204</f>
        <v>0</v>
      </c>
      <c r="AR204" s="130" t="s">
        <v>135</v>
      </c>
      <c r="AT204" s="130" t="s">
        <v>137</v>
      </c>
      <c r="AU204" s="130" t="s">
        <v>19</v>
      </c>
      <c r="AY204" s="14" t="s">
        <v>136</v>
      </c>
      <c r="BE204" s="131">
        <f>IF(N204="základní",J204,0)</f>
        <v>0</v>
      </c>
      <c r="BF204" s="131">
        <f>IF(N204="snížená",J204,0)</f>
        <v>0</v>
      </c>
      <c r="BG204" s="131">
        <f>IF(N204="zákl. přenesená",J204,0)</f>
        <v>0</v>
      </c>
      <c r="BH204" s="131">
        <f>IF(N204="sníž. přenesená",J204,0)</f>
        <v>0</v>
      </c>
      <c r="BI204" s="131">
        <f>IF(N204="nulová",J204,0)</f>
        <v>0</v>
      </c>
      <c r="BJ204" s="14" t="s">
        <v>19</v>
      </c>
      <c r="BK204" s="131">
        <f>ROUND(I204*H204,2)</f>
        <v>0</v>
      </c>
      <c r="BL204" s="14" t="s">
        <v>135</v>
      </c>
      <c r="BM204" s="130" t="s">
        <v>987</v>
      </c>
    </row>
    <row r="205" spans="2:65" s="1" customFormat="1" ht="19.2">
      <c r="B205" s="26"/>
      <c r="D205" s="132" t="s">
        <v>143</v>
      </c>
      <c r="F205" s="133" t="s">
        <v>988</v>
      </c>
      <c r="L205" s="26"/>
      <c r="M205" s="134"/>
      <c r="T205" s="50"/>
      <c r="AT205" s="14" t="s">
        <v>143</v>
      </c>
      <c r="AU205" s="14" t="s">
        <v>19</v>
      </c>
    </row>
    <row r="206" spans="2:65" s="1" customFormat="1" ht="76.8">
      <c r="B206" s="26"/>
      <c r="D206" s="132" t="s">
        <v>145</v>
      </c>
      <c r="F206" s="135" t="s">
        <v>289</v>
      </c>
      <c r="L206" s="26"/>
      <c r="M206" s="134"/>
      <c r="T206" s="50"/>
      <c r="AT206" s="14" t="s">
        <v>145</v>
      </c>
      <c r="AU206" s="14" t="s">
        <v>19</v>
      </c>
    </row>
    <row r="207" spans="2:65" s="11" customFormat="1">
      <c r="B207" s="136"/>
      <c r="D207" s="132" t="s">
        <v>147</v>
      </c>
      <c r="E207" s="137" t="s">
        <v>989</v>
      </c>
      <c r="F207" s="138" t="s">
        <v>990</v>
      </c>
      <c r="H207" s="139">
        <v>1110.08</v>
      </c>
      <c r="L207" s="136"/>
      <c r="M207" s="140"/>
      <c r="T207" s="141"/>
      <c r="AT207" s="137" t="s">
        <v>147</v>
      </c>
      <c r="AU207" s="137" t="s">
        <v>19</v>
      </c>
      <c r="AV207" s="11" t="s">
        <v>149</v>
      </c>
      <c r="AW207" s="11" t="s">
        <v>39</v>
      </c>
      <c r="AX207" s="11" t="s">
        <v>81</v>
      </c>
      <c r="AY207" s="137" t="s">
        <v>136</v>
      </c>
    </row>
    <row r="208" spans="2:65" s="11" customFormat="1">
      <c r="B208" s="136"/>
      <c r="D208" s="132" t="s">
        <v>147</v>
      </c>
      <c r="E208" s="137" t="s">
        <v>991</v>
      </c>
      <c r="F208" s="138" t="s">
        <v>992</v>
      </c>
      <c r="H208" s="139">
        <v>211.2</v>
      </c>
      <c r="L208" s="136"/>
      <c r="M208" s="140"/>
      <c r="T208" s="141"/>
      <c r="AT208" s="137" t="s">
        <v>147</v>
      </c>
      <c r="AU208" s="137" t="s">
        <v>19</v>
      </c>
      <c r="AV208" s="11" t="s">
        <v>149</v>
      </c>
      <c r="AW208" s="11" t="s">
        <v>39</v>
      </c>
      <c r="AX208" s="11" t="s">
        <v>81</v>
      </c>
      <c r="AY208" s="137" t="s">
        <v>136</v>
      </c>
    </row>
    <row r="209" spans="2:65" s="11" customFormat="1">
      <c r="B209" s="136"/>
      <c r="D209" s="132" t="s">
        <v>147</v>
      </c>
      <c r="E209" s="137" t="s">
        <v>993</v>
      </c>
      <c r="F209" s="138" t="s">
        <v>994</v>
      </c>
      <c r="H209" s="139">
        <v>1321.28</v>
      </c>
      <c r="L209" s="136"/>
      <c r="M209" s="140"/>
      <c r="T209" s="141"/>
      <c r="AT209" s="137" t="s">
        <v>147</v>
      </c>
      <c r="AU209" s="137" t="s">
        <v>19</v>
      </c>
      <c r="AV209" s="11" t="s">
        <v>149</v>
      </c>
      <c r="AW209" s="11" t="s">
        <v>39</v>
      </c>
      <c r="AX209" s="11" t="s">
        <v>19</v>
      </c>
      <c r="AY209" s="137" t="s">
        <v>136</v>
      </c>
    </row>
    <row r="210" spans="2:65" s="1" customFormat="1" ht="21.75" customHeight="1">
      <c r="B210" s="119"/>
      <c r="C210" s="120" t="s">
        <v>8</v>
      </c>
      <c r="D210" s="120" t="s">
        <v>137</v>
      </c>
      <c r="E210" s="121" t="s">
        <v>995</v>
      </c>
      <c r="F210" s="122" t="s">
        <v>996</v>
      </c>
      <c r="G210" s="123" t="s">
        <v>216</v>
      </c>
      <c r="H210" s="124">
        <v>298</v>
      </c>
      <c r="I210" s="125">
        <v>0</v>
      </c>
      <c r="J210" s="125">
        <f>ROUND(I210*H210,2)</f>
        <v>0</v>
      </c>
      <c r="K210" s="122" t="s">
        <v>141</v>
      </c>
      <c r="L210" s="26"/>
      <c r="M210" s="126" t="s">
        <v>1</v>
      </c>
      <c r="N210" s="127" t="s">
        <v>46</v>
      </c>
      <c r="O210" s="128">
        <v>0</v>
      </c>
      <c r="P210" s="128">
        <f>O210*H210</f>
        <v>0</v>
      </c>
      <c r="Q210" s="128">
        <v>0</v>
      </c>
      <c r="R210" s="128">
        <f>Q210*H210</f>
        <v>0</v>
      </c>
      <c r="S210" s="128">
        <v>0</v>
      </c>
      <c r="T210" s="129">
        <f>S210*H210</f>
        <v>0</v>
      </c>
      <c r="AR210" s="130" t="s">
        <v>135</v>
      </c>
      <c r="AT210" s="130" t="s">
        <v>137</v>
      </c>
      <c r="AU210" s="130" t="s">
        <v>19</v>
      </c>
      <c r="AY210" s="14" t="s">
        <v>136</v>
      </c>
      <c r="BE210" s="131">
        <f>IF(N210="základní",J210,0)</f>
        <v>0</v>
      </c>
      <c r="BF210" s="131">
        <f>IF(N210="snížená",J210,0)</f>
        <v>0</v>
      </c>
      <c r="BG210" s="131">
        <f>IF(N210="zákl. přenesená",J210,0)</f>
        <v>0</v>
      </c>
      <c r="BH210" s="131">
        <f>IF(N210="sníž. přenesená",J210,0)</f>
        <v>0</v>
      </c>
      <c r="BI210" s="131">
        <f>IF(N210="nulová",J210,0)</f>
        <v>0</v>
      </c>
      <c r="BJ210" s="14" t="s">
        <v>19</v>
      </c>
      <c r="BK210" s="131">
        <f>ROUND(I210*H210,2)</f>
        <v>0</v>
      </c>
      <c r="BL210" s="14" t="s">
        <v>135</v>
      </c>
      <c r="BM210" s="130" t="s">
        <v>997</v>
      </c>
    </row>
    <row r="211" spans="2:65" s="1" customFormat="1">
      <c r="B211" s="26"/>
      <c r="D211" s="132" t="s">
        <v>143</v>
      </c>
      <c r="F211" s="133" t="s">
        <v>996</v>
      </c>
      <c r="L211" s="26"/>
      <c r="M211" s="134"/>
      <c r="T211" s="50"/>
      <c r="AT211" s="14" t="s">
        <v>143</v>
      </c>
      <c r="AU211" s="14" t="s">
        <v>19</v>
      </c>
    </row>
    <row r="212" spans="2:65" s="1" customFormat="1" ht="278.39999999999998">
      <c r="B212" s="26"/>
      <c r="D212" s="132" t="s">
        <v>145</v>
      </c>
      <c r="F212" s="135" t="s">
        <v>998</v>
      </c>
      <c r="L212" s="26"/>
      <c r="M212" s="134"/>
      <c r="T212" s="50"/>
      <c r="AT212" s="14" t="s">
        <v>145</v>
      </c>
      <c r="AU212" s="14" t="s">
        <v>19</v>
      </c>
    </row>
    <row r="213" spans="2:65" s="11" customFormat="1">
      <c r="B213" s="136"/>
      <c r="D213" s="132" t="s">
        <v>147</v>
      </c>
      <c r="E213" s="137" t="s">
        <v>999</v>
      </c>
      <c r="F213" s="138" t="s">
        <v>1000</v>
      </c>
      <c r="H213" s="139">
        <v>72.5</v>
      </c>
      <c r="L213" s="136"/>
      <c r="M213" s="140"/>
      <c r="T213" s="141"/>
      <c r="AT213" s="137" t="s">
        <v>147</v>
      </c>
      <c r="AU213" s="137" t="s">
        <v>19</v>
      </c>
      <c r="AV213" s="11" t="s">
        <v>149</v>
      </c>
      <c r="AW213" s="11" t="s">
        <v>39</v>
      </c>
      <c r="AX213" s="11" t="s">
        <v>81</v>
      </c>
      <c r="AY213" s="137" t="s">
        <v>136</v>
      </c>
    </row>
    <row r="214" spans="2:65" s="11" customFormat="1">
      <c r="B214" s="136"/>
      <c r="D214" s="132" t="s">
        <v>147</v>
      </c>
      <c r="E214" s="137" t="s">
        <v>1001</v>
      </c>
      <c r="F214" s="138" t="s">
        <v>1002</v>
      </c>
      <c r="H214" s="139">
        <v>123</v>
      </c>
      <c r="L214" s="136"/>
      <c r="M214" s="140"/>
      <c r="T214" s="141"/>
      <c r="AT214" s="137" t="s">
        <v>147</v>
      </c>
      <c r="AU214" s="137" t="s">
        <v>19</v>
      </c>
      <c r="AV214" s="11" t="s">
        <v>149</v>
      </c>
      <c r="AW214" s="11" t="s">
        <v>39</v>
      </c>
      <c r="AX214" s="11" t="s">
        <v>81</v>
      </c>
      <c r="AY214" s="137" t="s">
        <v>136</v>
      </c>
    </row>
    <row r="215" spans="2:65" s="11" customFormat="1">
      <c r="B215" s="136"/>
      <c r="D215" s="132" t="s">
        <v>147</v>
      </c>
      <c r="E215" s="137" t="s">
        <v>1003</v>
      </c>
      <c r="F215" s="138" t="s">
        <v>1004</v>
      </c>
      <c r="H215" s="139">
        <v>102.5</v>
      </c>
      <c r="L215" s="136"/>
      <c r="M215" s="140"/>
      <c r="T215" s="141"/>
      <c r="AT215" s="137" t="s">
        <v>147</v>
      </c>
      <c r="AU215" s="137" t="s">
        <v>19</v>
      </c>
      <c r="AV215" s="11" t="s">
        <v>149</v>
      </c>
      <c r="AW215" s="11" t="s">
        <v>39</v>
      </c>
      <c r="AX215" s="11" t="s">
        <v>81</v>
      </c>
      <c r="AY215" s="137" t="s">
        <v>136</v>
      </c>
    </row>
    <row r="216" spans="2:65" s="11" customFormat="1">
      <c r="B216" s="136"/>
      <c r="D216" s="132" t="s">
        <v>147</v>
      </c>
      <c r="E216" s="137" t="s">
        <v>1005</v>
      </c>
      <c r="F216" s="138" t="s">
        <v>1006</v>
      </c>
      <c r="H216" s="139">
        <v>298</v>
      </c>
      <c r="L216" s="136"/>
      <c r="M216" s="140"/>
      <c r="T216" s="141"/>
      <c r="AT216" s="137" t="s">
        <v>147</v>
      </c>
      <c r="AU216" s="137" t="s">
        <v>19</v>
      </c>
      <c r="AV216" s="11" t="s">
        <v>149</v>
      </c>
      <c r="AW216" s="11" t="s">
        <v>39</v>
      </c>
      <c r="AX216" s="11" t="s">
        <v>19</v>
      </c>
      <c r="AY216" s="137" t="s">
        <v>136</v>
      </c>
    </row>
    <row r="217" spans="2:65" s="1" customFormat="1" ht="16.5" customHeight="1">
      <c r="B217" s="119"/>
      <c r="C217" s="120" t="s">
        <v>357</v>
      </c>
      <c r="D217" s="120" t="s">
        <v>137</v>
      </c>
      <c r="E217" s="121" t="s">
        <v>1007</v>
      </c>
      <c r="F217" s="122" t="s">
        <v>1008</v>
      </c>
      <c r="G217" s="123" t="s">
        <v>216</v>
      </c>
      <c r="H217" s="124">
        <v>44.6</v>
      </c>
      <c r="I217" s="125">
        <v>0</v>
      </c>
      <c r="J217" s="125">
        <f>ROUND(I217*H217,2)</f>
        <v>0</v>
      </c>
      <c r="K217" s="122" t="s">
        <v>141</v>
      </c>
      <c r="L217" s="26"/>
      <c r="M217" s="126" t="s">
        <v>1</v>
      </c>
      <c r="N217" s="127" t="s">
        <v>46</v>
      </c>
      <c r="O217" s="128">
        <v>0</v>
      </c>
      <c r="P217" s="128">
        <f>O217*H217</f>
        <v>0</v>
      </c>
      <c r="Q217" s="128">
        <v>0</v>
      </c>
      <c r="R217" s="128">
        <f>Q217*H217</f>
        <v>0</v>
      </c>
      <c r="S217" s="128">
        <v>0</v>
      </c>
      <c r="T217" s="129">
        <f>S217*H217</f>
        <v>0</v>
      </c>
      <c r="AR217" s="130" t="s">
        <v>135</v>
      </c>
      <c r="AT217" s="130" t="s">
        <v>137</v>
      </c>
      <c r="AU217" s="130" t="s">
        <v>19</v>
      </c>
      <c r="AY217" s="14" t="s">
        <v>136</v>
      </c>
      <c r="BE217" s="131">
        <f>IF(N217="základní",J217,0)</f>
        <v>0</v>
      </c>
      <c r="BF217" s="131">
        <f>IF(N217="snížená",J217,0)</f>
        <v>0</v>
      </c>
      <c r="BG217" s="131">
        <f>IF(N217="zákl. přenesená",J217,0)</f>
        <v>0</v>
      </c>
      <c r="BH217" s="131">
        <f>IF(N217="sníž. přenesená",J217,0)</f>
        <v>0</v>
      </c>
      <c r="BI217" s="131">
        <f>IF(N217="nulová",J217,0)</f>
        <v>0</v>
      </c>
      <c r="BJ217" s="14" t="s">
        <v>19</v>
      </c>
      <c r="BK217" s="131">
        <f>ROUND(I217*H217,2)</f>
        <v>0</v>
      </c>
      <c r="BL217" s="14" t="s">
        <v>135</v>
      </c>
      <c r="BM217" s="130" t="s">
        <v>1009</v>
      </c>
    </row>
    <row r="218" spans="2:65" s="1" customFormat="1">
      <c r="B218" s="26"/>
      <c r="D218" s="132" t="s">
        <v>143</v>
      </c>
      <c r="F218" s="133" t="s">
        <v>1008</v>
      </c>
      <c r="L218" s="26"/>
      <c r="M218" s="134"/>
      <c r="T218" s="50"/>
      <c r="AT218" s="14" t="s">
        <v>143</v>
      </c>
      <c r="AU218" s="14" t="s">
        <v>19</v>
      </c>
    </row>
    <row r="219" spans="2:65" s="1" customFormat="1" ht="76.8">
      <c r="B219" s="26"/>
      <c r="D219" s="132" t="s">
        <v>145</v>
      </c>
      <c r="F219" s="135" t="s">
        <v>202</v>
      </c>
      <c r="L219" s="26"/>
      <c r="M219" s="134"/>
      <c r="T219" s="50"/>
      <c r="AT219" s="14" t="s">
        <v>145</v>
      </c>
      <c r="AU219" s="14" t="s">
        <v>19</v>
      </c>
    </row>
    <row r="220" spans="2:65" s="11" customFormat="1">
      <c r="B220" s="136"/>
      <c r="D220" s="132" t="s">
        <v>147</v>
      </c>
      <c r="E220" s="137" t="s">
        <v>1010</v>
      </c>
      <c r="F220" s="138" t="s">
        <v>1011</v>
      </c>
      <c r="H220" s="139">
        <v>44.6</v>
      </c>
      <c r="L220" s="136"/>
      <c r="M220" s="140"/>
      <c r="T220" s="141"/>
      <c r="AT220" s="137" t="s">
        <v>147</v>
      </c>
      <c r="AU220" s="137" t="s">
        <v>19</v>
      </c>
      <c r="AV220" s="11" t="s">
        <v>149</v>
      </c>
      <c r="AW220" s="11" t="s">
        <v>39</v>
      </c>
      <c r="AX220" s="11" t="s">
        <v>19</v>
      </c>
      <c r="AY220" s="137" t="s">
        <v>136</v>
      </c>
    </row>
    <row r="221" spans="2:65" s="1" customFormat="1" ht="16.5" customHeight="1">
      <c r="B221" s="119"/>
      <c r="C221" s="120" t="s">
        <v>363</v>
      </c>
      <c r="D221" s="120" t="s">
        <v>137</v>
      </c>
      <c r="E221" s="121" t="s">
        <v>1012</v>
      </c>
      <c r="F221" s="122" t="s">
        <v>1013</v>
      </c>
      <c r="G221" s="123" t="s">
        <v>216</v>
      </c>
      <c r="H221" s="124">
        <v>2.5</v>
      </c>
      <c r="I221" s="125">
        <v>0</v>
      </c>
      <c r="J221" s="125">
        <f>ROUND(I221*H221,2)</f>
        <v>0</v>
      </c>
      <c r="K221" s="122" t="s">
        <v>141</v>
      </c>
      <c r="L221" s="26"/>
      <c r="M221" s="126" t="s">
        <v>1</v>
      </c>
      <c r="N221" s="127" t="s">
        <v>46</v>
      </c>
      <c r="O221" s="128">
        <v>0</v>
      </c>
      <c r="P221" s="128">
        <f>O221*H221</f>
        <v>0</v>
      </c>
      <c r="Q221" s="128">
        <v>0</v>
      </c>
      <c r="R221" s="128">
        <f>Q221*H221</f>
        <v>0</v>
      </c>
      <c r="S221" s="128">
        <v>0</v>
      </c>
      <c r="T221" s="129">
        <f>S221*H221</f>
        <v>0</v>
      </c>
      <c r="AR221" s="130" t="s">
        <v>135</v>
      </c>
      <c r="AT221" s="130" t="s">
        <v>137</v>
      </c>
      <c r="AU221" s="130" t="s">
        <v>19</v>
      </c>
      <c r="AY221" s="14" t="s">
        <v>136</v>
      </c>
      <c r="BE221" s="131">
        <f>IF(N221="základní",J221,0)</f>
        <v>0</v>
      </c>
      <c r="BF221" s="131">
        <f>IF(N221="snížená",J221,0)</f>
        <v>0</v>
      </c>
      <c r="BG221" s="131">
        <f>IF(N221="zákl. přenesená",J221,0)</f>
        <v>0</v>
      </c>
      <c r="BH221" s="131">
        <f>IF(N221="sníž. přenesená",J221,0)</f>
        <v>0</v>
      </c>
      <c r="BI221" s="131">
        <f>IF(N221="nulová",J221,0)</f>
        <v>0</v>
      </c>
      <c r="BJ221" s="14" t="s">
        <v>19</v>
      </c>
      <c r="BK221" s="131">
        <f>ROUND(I221*H221,2)</f>
        <v>0</v>
      </c>
      <c r="BL221" s="14" t="s">
        <v>135</v>
      </c>
      <c r="BM221" s="130" t="s">
        <v>1014</v>
      </c>
    </row>
    <row r="222" spans="2:65" s="1" customFormat="1">
      <c r="B222" s="26"/>
      <c r="D222" s="132" t="s">
        <v>143</v>
      </c>
      <c r="F222" s="133" t="s">
        <v>1013</v>
      </c>
      <c r="L222" s="26"/>
      <c r="M222" s="134"/>
      <c r="T222" s="50"/>
      <c r="AT222" s="14" t="s">
        <v>143</v>
      </c>
      <c r="AU222" s="14" t="s">
        <v>19</v>
      </c>
    </row>
    <row r="223" spans="2:65" s="1" customFormat="1" ht="76.8">
      <c r="B223" s="26"/>
      <c r="D223" s="132" t="s">
        <v>145</v>
      </c>
      <c r="F223" s="135" t="s">
        <v>202</v>
      </c>
      <c r="L223" s="26"/>
      <c r="M223" s="134"/>
      <c r="T223" s="50"/>
      <c r="AT223" s="14" t="s">
        <v>145</v>
      </c>
      <c r="AU223" s="14" t="s">
        <v>19</v>
      </c>
    </row>
    <row r="224" spans="2:65" s="11" customFormat="1">
      <c r="B224" s="136"/>
      <c r="D224" s="132" t="s">
        <v>147</v>
      </c>
      <c r="E224" s="137" t="s">
        <v>1015</v>
      </c>
      <c r="F224" s="138" t="s">
        <v>1016</v>
      </c>
      <c r="H224" s="139">
        <v>2.5</v>
      </c>
      <c r="L224" s="136"/>
      <c r="M224" s="140"/>
      <c r="T224" s="141"/>
      <c r="AT224" s="137" t="s">
        <v>147</v>
      </c>
      <c r="AU224" s="137" t="s">
        <v>19</v>
      </c>
      <c r="AV224" s="11" t="s">
        <v>149</v>
      </c>
      <c r="AW224" s="11" t="s">
        <v>39</v>
      </c>
      <c r="AX224" s="11" t="s">
        <v>19</v>
      </c>
      <c r="AY224" s="137" t="s">
        <v>136</v>
      </c>
    </row>
    <row r="225" spans="2:65" s="1" customFormat="1" ht="16.5" customHeight="1">
      <c r="B225" s="119"/>
      <c r="C225" s="120" t="s">
        <v>378</v>
      </c>
      <c r="D225" s="120" t="s">
        <v>137</v>
      </c>
      <c r="E225" s="121" t="s">
        <v>1017</v>
      </c>
      <c r="F225" s="122" t="s">
        <v>1018</v>
      </c>
      <c r="G225" s="123" t="s">
        <v>152</v>
      </c>
      <c r="H225" s="124">
        <v>46</v>
      </c>
      <c r="I225" s="125">
        <v>0</v>
      </c>
      <c r="J225" s="125">
        <f>ROUND(I225*H225,2)</f>
        <v>0</v>
      </c>
      <c r="K225" s="122" t="s">
        <v>141</v>
      </c>
      <c r="L225" s="26"/>
      <c r="M225" s="126" t="s">
        <v>1</v>
      </c>
      <c r="N225" s="127" t="s">
        <v>46</v>
      </c>
      <c r="O225" s="128">
        <v>0</v>
      </c>
      <c r="P225" s="128">
        <f>O225*H225</f>
        <v>0</v>
      </c>
      <c r="Q225" s="128">
        <v>0</v>
      </c>
      <c r="R225" s="128">
        <f>Q225*H225</f>
        <v>0</v>
      </c>
      <c r="S225" s="128">
        <v>0</v>
      </c>
      <c r="T225" s="129">
        <f>S225*H225</f>
        <v>0</v>
      </c>
      <c r="AR225" s="130" t="s">
        <v>135</v>
      </c>
      <c r="AT225" s="130" t="s">
        <v>137</v>
      </c>
      <c r="AU225" s="130" t="s">
        <v>19</v>
      </c>
      <c r="AY225" s="14" t="s">
        <v>136</v>
      </c>
      <c r="BE225" s="131">
        <f>IF(N225="základní",J225,0)</f>
        <v>0</v>
      </c>
      <c r="BF225" s="131">
        <f>IF(N225="snížená",J225,0)</f>
        <v>0</v>
      </c>
      <c r="BG225" s="131">
        <f>IF(N225="zákl. přenesená",J225,0)</f>
        <v>0</v>
      </c>
      <c r="BH225" s="131">
        <f>IF(N225="sníž. přenesená",J225,0)</f>
        <v>0</v>
      </c>
      <c r="BI225" s="131">
        <f>IF(N225="nulová",J225,0)</f>
        <v>0</v>
      </c>
      <c r="BJ225" s="14" t="s">
        <v>19</v>
      </c>
      <c r="BK225" s="131">
        <f>ROUND(I225*H225,2)</f>
        <v>0</v>
      </c>
      <c r="BL225" s="14" t="s">
        <v>135</v>
      </c>
      <c r="BM225" s="130" t="s">
        <v>1019</v>
      </c>
    </row>
    <row r="226" spans="2:65" s="1" customFormat="1">
      <c r="B226" s="26"/>
      <c r="D226" s="132" t="s">
        <v>143</v>
      </c>
      <c r="F226" s="133" t="s">
        <v>1018</v>
      </c>
      <c r="L226" s="26"/>
      <c r="M226" s="134"/>
      <c r="T226" s="50"/>
      <c r="AT226" s="14" t="s">
        <v>143</v>
      </c>
      <c r="AU226" s="14" t="s">
        <v>19</v>
      </c>
    </row>
    <row r="227" spans="2:65" s="1" customFormat="1" ht="76.8">
      <c r="B227" s="26"/>
      <c r="D227" s="132" t="s">
        <v>145</v>
      </c>
      <c r="F227" s="135" t="s">
        <v>202</v>
      </c>
      <c r="L227" s="26"/>
      <c r="M227" s="134"/>
      <c r="T227" s="50"/>
      <c r="AT227" s="14" t="s">
        <v>145</v>
      </c>
      <c r="AU227" s="14" t="s">
        <v>19</v>
      </c>
    </row>
    <row r="228" spans="2:65" s="11" customFormat="1">
      <c r="B228" s="136"/>
      <c r="D228" s="132" t="s">
        <v>147</v>
      </c>
      <c r="E228" s="137" t="s">
        <v>1020</v>
      </c>
      <c r="F228" s="138" t="s">
        <v>1021</v>
      </c>
      <c r="H228" s="139">
        <v>20</v>
      </c>
      <c r="L228" s="136"/>
      <c r="M228" s="140"/>
      <c r="T228" s="141"/>
      <c r="AT228" s="137" t="s">
        <v>147</v>
      </c>
      <c r="AU228" s="137" t="s">
        <v>19</v>
      </c>
      <c r="AV228" s="11" t="s">
        <v>149</v>
      </c>
      <c r="AW228" s="11" t="s">
        <v>39</v>
      </c>
      <c r="AX228" s="11" t="s">
        <v>81</v>
      </c>
      <c r="AY228" s="137" t="s">
        <v>136</v>
      </c>
    </row>
    <row r="229" spans="2:65" s="11" customFormat="1">
      <c r="B229" s="136"/>
      <c r="D229" s="132" t="s">
        <v>147</v>
      </c>
      <c r="E229" s="137" t="s">
        <v>1022</v>
      </c>
      <c r="F229" s="138" t="s">
        <v>1023</v>
      </c>
      <c r="H229" s="139">
        <v>26</v>
      </c>
      <c r="L229" s="136"/>
      <c r="M229" s="140"/>
      <c r="T229" s="141"/>
      <c r="AT229" s="137" t="s">
        <v>147</v>
      </c>
      <c r="AU229" s="137" t="s">
        <v>19</v>
      </c>
      <c r="AV229" s="11" t="s">
        <v>149</v>
      </c>
      <c r="AW229" s="11" t="s">
        <v>39</v>
      </c>
      <c r="AX229" s="11" t="s">
        <v>81</v>
      </c>
      <c r="AY229" s="137" t="s">
        <v>136</v>
      </c>
    </row>
    <row r="230" spans="2:65" s="11" customFormat="1">
      <c r="B230" s="136"/>
      <c r="D230" s="132" t="s">
        <v>147</v>
      </c>
      <c r="E230" s="137" t="s">
        <v>1024</v>
      </c>
      <c r="F230" s="138" t="s">
        <v>1025</v>
      </c>
      <c r="H230" s="139">
        <v>46</v>
      </c>
      <c r="L230" s="136"/>
      <c r="M230" s="140"/>
      <c r="T230" s="141"/>
      <c r="AT230" s="137" t="s">
        <v>147</v>
      </c>
      <c r="AU230" s="137" t="s">
        <v>19</v>
      </c>
      <c r="AV230" s="11" t="s">
        <v>149</v>
      </c>
      <c r="AW230" s="11" t="s">
        <v>39</v>
      </c>
      <c r="AX230" s="11" t="s">
        <v>19</v>
      </c>
      <c r="AY230" s="137" t="s">
        <v>136</v>
      </c>
    </row>
    <row r="231" spans="2:65" s="1" customFormat="1" ht="16.5" customHeight="1">
      <c r="B231" s="119"/>
      <c r="C231" s="120" t="s">
        <v>385</v>
      </c>
      <c r="D231" s="120" t="s">
        <v>137</v>
      </c>
      <c r="E231" s="121" t="s">
        <v>358</v>
      </c>
      <c r="F231" s="122" t="s">
        <v>359</v>
      </c>
      <c r="G231" s="123" t="s">
        <v>312</v>
      </c>
      <c r="H231" s="124">
        <v>65</v>
      </c>
      <c r="I231" s="125">
        <v>0</v>
      </c>
      <c r="J231" s="125">
        <f>ROUND(I231*H231,2)</f>
        <v>0</v>
      </c>
      <c r="K231" s="122" t="s">
        <v>141</v>
      </c>
      <c r="L231" s="26"/>
      <c r="M231" s="126" t="s">
        <v>1</v>
      </c>
      <c r="N231" s="127" t="s">
        <v>46</v>
      </c>
      <c r="O231" s="128">
        <v>0</v>
      </c>
      <c r="P231" s="128">
        <f>O231*H231</f>
        <v>0</v>
      </c>
      <c r="Q231" s="128">
        <v>0</v>
      </c>
      <c r="R231" s="128">
        <f>Q231*H231</f>
        <v>0</v>
      </c>
      <c r="S231" s="128">
        <v>0</v>
      </c>
      <c r="T231" s="129">
        <f>S231*H231</f>
        <v>0</v>
      </c>
      <c r="AR231" s="130" t="s">
        <v>135</v>
      </c>
      <c r="AT231" s="130" t="s">
        <v>137</v>
      </c>
      <c r="AU231" s="130" t="s">
        <v>19</v>
      </c>
      <c r="AY231" s="14" t="s">
        <v>136</v>
      </c>
      <c r="BE231" s="131">
        <f>IF(N231="základní",J231,0)</f>
        <v>0</v>
      </c>
      <c r="BF231" s="131">
        <f>IF(N231="snížená",J231,0)</f>
        <v>0</v>
      </c>
      <c r="BG231" s="131">
        <f>IF(N231="zákl. přenesená",J231,0)</f>
        <v>0</v>
      </c>
      <c r="BH231" s="131">
        <f>IF(N231="sníž. přenesená",J231,0)</f>
        <v>0</v>
      </c>
      <c r="BI231" s="131">
        <f>IF(N231="nulová",J231,0)</f>
        <v>0</v>
      </c>
      <c r="BJ231" s="14" t="s">
        <v>19</v>
      </c>
      <c r="BK231" s="131">
        <f>ROUND(I231*H231,2)</f>
        <v>0</v>
      </c>
      <c r="BL231" s="14" t="s">
        <v>135</v>
      </c>
      <c r="BM231" s="130" t="s">
        <v>1026</v>
      </c>
    </row>
    <row r="232" spans="2:65" s="1" customFormat="1">
      <c r="B232" s="26"/>
      <c r="D232" s="132" t="s">
        <v>143</v>
      </c>
      <c r="F232" s="133" t="s">
        <v>1027</v>
      </c>
      <c r="L232" s="26"/>
      <c r="M232" s="134"/>
      <c r="T232" s="50"/>
      <c r="AT232" s="14" t="s">
        <v>143</v>
      </c>
      <c r="AU232" s="14" t="s">
        <v>19</v>
      </c>
    </row>
    <row r="233" spans="2:65" s="1" customFormat="1" ht="76.8">
      <c r="B233" s="26"/>
      <c r="D233" s="132" t="s">
        <v>145</v>
      </c>
      <c r="F233" s="135" t="s">
        <v>202</v>
      </c>
      <c r="L233" s="26"/>
      <c r="M233" s="134"/>
      <c r="T233" s="50"/>
      <c r="AT233" s="14" t="s">
        <v>145</v>
      </c>
      <c r="AU233" s="14" t="s">
        <v>19</v>
      </c>
    </row>
    <row r="234" spans="2:65" s="11" customFormat="1">
      <c r="B234" s="136"/>
      <c r="D234" s="132" t="s">
        <v>147</v>
      </c>
      <c r="E234" s="137" t="s">
        <v>1028</v>
      </c>
      <c r="F234" s="138" t="s">
        <v>1029</v>
      </c>
      <c r="H234" s="139">
        <v>65</v>
      </c>
      <c r="L234" s="136"/>
      <c r="M234" s="140"/>
      <c r="T234" s="141"/>
      <c r="AT234" s="137" t="s">
        <v>147</v>
      </c>
      <c r="AU234" s="137" t="s">
        <v>19</v>
      </c>
      <c r="AV234" s="11" t="s">
        <v>149</v>
      </c>
      <c r="AW234" s="11" t="s">
        <v>39</v>
      </c>
      <c r="AX234" s="11" t="s">
        <v>19</v>
      </c>
      <c r="AY234" s="137" t="s">
        <v>136</v>
      </c>
    </row>
    <row r="235" spans="2:65" s="1" customFormat="1" ht="16.5" customHeight="1">
      <c r="B235" s="119"/>
      <c r="C235" s="120" t="s">
        <v>392</v>
      </c>
      <c r="D235" s="120" t="s">
        <v>137</v>
      </c>
      <c r="E235" s="121" t="s">
        <v>1030</v>
      </c>
      <c r="F235" s="122" t="s">
        <v>1031</v>
      </c>
      <c r="G235" s="123" t="s">
        <v>312</v>
      </c>
      <c r="H235" s="124">
        <v>324</v>
      </c>
      <c r="I235" s="125">
        <v>0</v>
      </c>
      <c r="J235" s="125">
        <f>ROUND(I235*H235,2)</f>
        <v>0</v>
      </c>
      <c r="K235" s="122" t="s">
        <v>141</v>
      </c>
      <c r="L235" s="26"/>
      <c r="M235" s="126" t="s">
        <v>1</v>
      </c>
      <c r="N235" s="127" t="s">
        <v>46</v>
      </c>
      <c r="O235" s="128">
        <v>0</v>
      </c>
      <c r="P235" s="128">
        <f>O235*H235</f>
        <v>0</v>
      </c>
      <c r="Q235" s="128">
        <v>0</v>
      </c>
      <c r="R235" s="128">
        <f>Q235*H235</f>
        <v>0</v>
      </c>
      <c r="S235" s="128">
        <v>0</v>
      </c>
      <c r="T235" s="129">
        <f>S235*H235</f>
        <v>0</v>
      </c>
      <c r="AR235" s="130" t="s">
        <v>135</v>
      </c>
      <c r="AT235" s="130" t="s">
        <v>137</v>
      </c>
      <c r="AU235" s="130" t="s">
        <v>19</v>
      </c>
      <c r="AY235" s="14" t="s">
        <v>136</v>
      </c>
      <c r="BE235" s="131">
        <f>IF(N235="základní",J235,0)</f>
        <v>0</v>
      </c>
      <c r="BF235" s="131">
        <f>IF(N235="snížená",J235,0)</f>
        <v>0</v>
      </c>
      <c r="BG235" s="131">
        <f>IF(N235="zákl. přenesená",J235,0)</f>
        <v>0</v>
      </c>
      <c r="BH235" s="131">
        <f>IF(N235="sníž. přenesená",J235,0)</f>
        <v>0</v>
      </c>
      <c r="BI235" s="131">
        <f>IF(N235="nulová",J235,0)</f>
        <v>0</v>
      </c>
      <c r="BJ235" s="14" t="s">
        <v>19</v>
      </c>
      <c r="BK235" s="131">
        <f>ROUND(I235*H235,2)</f>
        <v>0</v>
      </c>
      <c r="BL235" s="14" t="s">
        <v>135</v>
      </c>
      <c r="BM235" s="130" t="s">
        <v>1032</v>
      </c>
    </row>
    <row r="236" spans="2:65" s="1" customFormat="1">
      <c r="B236" s="26"/>
      <c r="D236" s="132" t="s">
        <v>143</v>
      </c>
      <c r="F236" s="133" t="s">
        <v>1031</v>
      </c>
      <c r="L236" s="26"/>
      <c r="M236" s="134"/>
      <c r="T236" s="50"/>
      <c r="AT236" s="14" t="s">
        <v>143</v>
      </c>
      <c r="AU236" s="14" t="s">
        <v>19</v>
      </c>
    </row>
    <row r="237" spans="2:65" s="1" customFormat="1" ht="76.8">
      <c r="B237" s="26"/>
      <c r="D237" s="132" t="s">
        <v>145</v>
      </c>
      <c r="F237" s="135" t="s">
        <v>202</v>
      </c>
      <c r="L237" s="26"/>
      <c r="M237" s="134"/>
      <c r="T237" s="50"/>
      <c r="AT237" s="14" t="s">
        <v>145</v>
      </c>
      <c r="AU237" s="14" t="s">
        <v>19</v>
      </c>
    </row>
    <row r="238" spans="2:65" s="11" customFormat="1">
      <c r="B238" s="136"/>
      <c r="D238" s="132" t="s">
        <v>147</v>
      </c>
      <c r="E238" s="137" t="s">
        <v>1033</v>
      </c>
      <c r="F238" s="138" t="s">
        <v>1034</v>
      </c>
      <c r="H238" s="139">
        <v>324</v>
      </c>
      <c r="L238" s="136"/>
      <c r="M238" s="140"/>
      <c r="T238" s="141"/>
      <c r="AT238" s="137" t="s">
        <v>147</v>
      </c>
      <c r="AU238" s="137" t="s">
        <v>19</v>
      </c>
      <c r="AV238" s="11" t="s">
        <v>149</v>
      </c>
      <c r="AW238" s="11" t="s">
        <v>39</v>
      </c>
      <c r="AX238" s="11" t="s">
        <v>19</v>
      </c>
      <c r="AY238" s="137" t="s">
        <v>136</v>
      </c>
    </row>
    <row r="239" spans="2:65" s="1" customFormat="1" ht="21.75" customHeight="1">
      <c r="B239" s="119"/>
      <c r="C239" s="120" t="s">
        <v>7</v>
      </c>
      <c r="D239" s="120" t="s">
        <v>137</v>
      </c>
      <c r="E239" s="121" t="s">
        <v>364</v>
      </c>
      <c r="F239" s="122" t="s">
        <v>365</v>
      </c>
      <c r="G239" s="123" t="s">
        <v>216</v>
      </c>
      <c r="H239" s="124">
        <v>70.36</v>
      </c>
      <c r="I239" s="125">
        <v>0</v>
      </c>
      <c r="J239" s="125">
        <f>ROUND(I239*H239,2)</f>
        <v>0</v>
      </c>
      <c r="K239" s="122" t="s">
        <v>141</v>
      </c>
      <c r="L239" s="26"/>
      <c r="M239" s="126" t="s">
        <v>1</v>
      </c>
      <c r="N239" s="127" t="s">
        <v>46</v>
      </c>
      <c r="O239" s="128">
        <v>0</v>
      </c>
      <c r="P239" s="128">
        <f>O239*H239</f>
        <v>0</v>
      </c>
      <c r="Q239" s="128">
        <v>0</v>
      </c>
      <c r="R239" s="128">
        <f>Q239*H239</f>
        <v>0</v>
      </c>
      <c r="S239" s="128">
        <v>0</v>
      </c>
      <c r="T239" s="129">
        <f>S239*H239</f>
        <v>0</v>
      </c>
      <c r="AR239" s="130" t="s">
        <v>135</v>
      </c>
      <c r="AT239" s="130" t="s">
        <v>137</v>
      </c>
      <c r="AU239" s="130" t="s">
        <v>19</v>
      </c>
      <c r="AY239" s="14" t="s">
        <v>136</v>
      </c>
      <c r="BE239" s="131">
        <f>IF(N239="základní",J239,0)</f>
        <v>0</v>
      </c>
      <c r="BF239" s="131">
        <f>IF(N239="snížená",J239,0)</f>
        <v>0</v>
      </c>
      <c r="BG239" s="131">
        <f>IF(N239="zákl. přenesená",J239,0)</f>
        <v>0</v>
      </c>
      <c r="BH239" s="131">
        <f>IF(N239="sníž. přenesená",J239,0)</f>
        <v>0</v>
      </c>
      <c r="BI239" s="131">
        <f>IF(N239="nulová",J239,0)</f>
        <v>0</v>
      </c>
      <c r="BJ239" s="14" t="s">
        <v>19</v>
      </c>
      <c r="BK239" s="131">
        <f>ROUND(I239*H239,2)</f>
        <v>0</v>
      </c>
      <c r="BL239" s="14" t="s">
        <v>135</v>
      </c>
      <c r="BM239" s="130" t="s">
        <v>1035</v>
      </c>
    </row>
    <row r="240" spans="2:65" s="1" customFormat="1">
      <c r="B240" s="26"/>
      <c r="D240" s="132" t="s">
        <v>143</v>
      </c>
      <c r="F240" s="133" t="s">
        <v>365</v>
      </c>
      <c r="L240" s="26"/>
      <c r="M240" s="134"/>
      <c r="T240" s="50"/>
      <c r="AT240" s="14" t="s">
        <v>143</v>
      </c>
      <c r="AU240" s="14" t="s">
        <v>19</v>
      </c>
    </row>
    <row r="241" spans="2:65" s="1" customFormat="1" ht="249.6">
      <c r="B241" s="26"/>
      <c r="D241" s="132" t="s">
        <v>145</v>
      </c>
      <c r="F241" s="135" t="s">
        <v>367</v>
      </c>
      <c r="L241" s="26"/>
      <c r="M241" s="134"/>
      <c r="T241" s="50"/>
      <c r="AT241" s="14" t="s">
        <v>145</v>
      </c>
      <c r="AU241" s="14" t="s">
        <v>19</v>
      </c>
    </row>
    <row r="242" spans="2:65" s="11" customFormat="1">
      <c r="B242" s="136"/>
      <c r="D242" s="132" t="s">
        <v>147</v>
      </c>
      <c r="E242" s="137" t="s">
        <v>1036</v>
      </c>
      <c r="F242" s="138" t="s">
        <v>1037</v>
      </c>
      <c r="H242" s="139">
        <v>30.4</v>
      </c>
      <c r="L242" s="136"/>
      <c r="M242" s="140"/>
      <c r="T242" s="141"/>
      <c r="AT242" s="137" t="s">
        <v>147</v>
      </c>
      <c r="AU242" s="137" t="s">
        <v>19</v>
      </c>
      <c r="AV242" s="11" t="s">
        <v>149</v>
      </c>
      <c r="AW242" s="11" t="s">
        <v>39</v>
      </c>
      <c r="AX242" s="11" t="s">
        <v>81</v>
      </c>
      <c r="AY242" s="137" t="s">
        <v>136</v>
      </c>
    </row>
    <row r="243" spans="2:65" s="11" customFormat="1">
      <c r="B243" s="136"/>
      <c r="D243" s="132" t="s">
        <v>147</v>
      </c>
      <c r="E243" s="137" t="s">
        <v>1038</v>
      </c>
      <c r="F243" s="138" t="s">
        <v>1039</v>
      </c>
      <c r="H243" s="139">
        <v>3.75</v>
      </c>
      <c r="L243" s="136"/>
      <c r="M243" s="140"/>
      <c r="T243" s="141"/>
      <c r="AT243" s="137" t="s">
        <v>147</v>
      </c>
      <c r="AU243" s="137" t="s">
        <v>19</v>
      </c>
      <c r="AV243" s="11" t="s">
        <v>149</v>
      </c>
      <c r="AW243" s="11" t="s">
        <v>39</v>
      </c>
      <c r="AX243" s="11" t="s">
        <v>81</v>
      </c>
      <c r="AY243" s="137" t="s">
        <v>136</v>
      </c>
    </row>
    <row r="244" spans="2:65" s="11" customFormat="1">
      <c r="B244" s="136"/>
      <c r="D244" s="132" t="s">
        <v>147</v>
      </c>
      <c r="E244" s="137" t="s">
        <v>1040</v>
      </c>
      <c r="F244" s="138" t="s">
        <v>1041</v>
      </c>
      <c r="H244" s="139">
        <v>8.25</v>
      </c>
      <c r="L244" s="136"/>
      <c r="M244" s="140"/>
      <c r="T244" s="141"/>
      <c r="AT244" s="137" t="s">
        <v>147</v>
      </c>
      <c r="AU244" s="137" t="s">
        <v>19</v>
      </c>
      <c r="AV244" s="11" t="s">
        <v>149</v>
      </c>
      <c r="AW244" s="11" t="s">
        <v>39</v>
      </c>
      <c r="AX244" s="11" t="s">
        <v>81</v>
      </c>
      <c r="AY244" s="137" t="s">
        <v>136</v>
      </c>
    </row>
    <row r="245" spans="2:65" s="11" customFormat="1">
      <c r="B245" s="136"/>
      <c r="D245" s="132" t="s">
        <v>147</v>
      </c>
      <c r="E245" s="137" t="s">
        <v>1042</v>
      </c>
      <c r="F245" s="138" t="s">
        <v>1043</v>
      </c>
      <c r="H245" s="139">
        <v>12</v>
      </c>
      <c r="L245" s="136"/>
      <c r="M245" s="140"/>
      <c r="T245" s="141"/>
      <c r="AT245" s="137" t="s">
        <v>147</v>
      </c>
      <c r="AU245" s="137" t="s">
        <v>19</v>
      </c>
      <c r="AV245" s="11" t="s">
        <v>149</v>
      </c>
      <c r="AW245" s="11" t="s">
        <v>39</v>
      </c>
      <c r="AX245" s="11" t="s">
        <v>81</v>
      </c>
      <c r="AY245" s="137" t="s">
        <v>136</v>
      </c>
    </row>
    <row r="246" spans="2:65" s="11" customFormat="1">
      <c r="B246" s="136"/>
      <c r="D246" s="132" t="s">
        <v>147</v>
      </c>
      <c r="E246" s="137" t="s">
        <v>1044</v>
      </c>
      <c r="F246" s="138" t="s">
        <v>1045</v>
      </c>
      <c r="H246" s="139">
        <v>12</v>
      </c>
      <c r="L246" s="136"/>
      <c r="M246" s="140"/>
      <c r="T246" s="141"/>
      <c r="AT246" s="137" t="s">
        <v>147</v>
      </c>
      <c r="AU246" s="137" t="s">
        <v>19</v>
      </c>
      <c r="AV246" s="11" t="s">
        <v>149</v>
      </c>
      <c r="AW246" s="11" t="s">
        <v>39</v>
      </c>
      <c r="AX246" s="11" t="s">
        <v>81</v>
      </c>
      <c r="AY246" s="137" t="s">
        <v>136</v>
      </c>
    </row>
    <row r="247" spans="2:65" s="11" customFormat="1">
      <c r="B247" s="136"/>
      <c r="D247" s="132" t="s">
        <v>147</v>
      </c>
      <c r="E247" s="137" t="s">
        <v>1046</v>
      </c>
      <c r="F247" s="138" t="s">
        <v>1047</v>
      </c>
      <c r="H247" s="139">
        <v>3.96</v>
      </c>
      <c r="L247" s="136"/>
      <c r="M247" s="140"/>
      <c r="T247" s="141"/>
      <c r="AT247" s="137" t="s">
        <v>147</v>
      </c>
      <c r="AU247" s="137" t="s">
        <v>19</v>
      </c>
      <c r="AV247" s="11" t="s">
        <v>149</v>
      </c>
      <c r="AW247" s="11" t="s">
        <v>39</v>
      </c>
      <c r="AX247" s="11" t="s">
        <v>81</v>
      </c>
      <c r="AY247" s="137" t="s">
        <v>136</v>
      </c>
    </row>
    <row r="248" spans="2:65" s="11" customFormat="1">
      <c r="B248" s="136"/>
      <c r="D248" s="132" t="s">
        <v>147</v>
      </c>
      <c r="E248" s="137" t="s">
        <v>1048</v>
      </c>
      <c r="F248" s="138" t="s">
        <v>1049</v>
      </c>
      <c r="H248" s="139">
        <v>70.36</v>
      </c>
      <c r="L248" s="136"/>
      <c r="M248" s="140"/>
      <c r="T248" s="141"/>
      <c r="AT248" s="137" t="s">
        <v>147</v>
      </c>
      <c r="AU248" s="137" t="s">
        <v>19</v>
      </c>
      <c r="AV248" s="11" t="s">
        <v>149</v>
      </c>
      <c r="AW248" s="11" t="s">
        <v>39</v>
      </c>
      <c r="AX248" s="11" t="s">
        <v>19</v>
      </c>
      <c r="AY248" s="137" t="s">
        <v>136</v>
      </c>
    </row>
    <row r="249" spans="2:65" s="1" customFormat="1" ht="24.15" customHeight="1">
      <c r="B249" s="119"/>
      <c r="C249" s="120" t="s">
        <v>411</v>
      </c>
      <c r="D249" s="120" t="s">
        <v>137</v>
      </c>
      <c r="E249" s="121" t="s">
        <v>386</v>
      </c>
      <c r="F249" s="122" t="s">
        <v>387</v>
      </c>
      <c r="G249" s="123" t="s">
        <v>216</v>
      </c>
      <c r="H249" s="124">
        <v>70.36</v>
      </c>
      <c r="I249" s="125">
        <v>0</v>
      </c>
      <c r="J249" s="125">
        <f>ROUND(I249*H249,2)</f>
        <v>0</v>
      </c>
      <c r="K249" s="122" t="s">
        <v>141</v>
      </c>
      <c r="L249" s="26"/>
      <c r="M249" s="126" t="s">
        <v>1</v>
      </c>
      <c r="N249" s="127" t="s">
        <v>46</v>
      </c>
      <c r="O249" s="128">
        <v>0</v>
      </c>
      <c r="P249" s="128">
        <f>O249*H249</f>
        <v>0</v>
      </c>
      <c r="Q249" s="128">
        <v>0</v>
      </c>
      <c r="R249" s="128">
        <f>Q249*H249</f>
        <v>0</v>
      </c>
      <c r="S249" s="128">
        <v>0</v>
      </c>
      <c r="T249" s="129">
        <f>S249*H249</f>
        <v>0</v>
      </c>
      <c r="AR249" s="130" t="s">
        <v>135</v>
      </c>
      <c r="AT249" s="130" t="s">
        <v>137</v>
      </c>
      <c r="AU249" s="130" t="s">
        <v>19</v>
      </c>
      <c r="AY249" s="14" t="s">
        <v>136</v>
      </c>
      <c r="BE249" s="131">
        <f>IF(N249="základní",J249,0)</f>
        <v>0</v>
      </c>
      <c r="BF249" s="131">
        <f>IF(N249="snížená",J249,0)</f>
        <v>0</v>
      </c>
      <c r="BG249" s="131">
        <f>IF(N249="zákl. přenesená",J249,0)</f>
        <v>0</v>
      </c>
      <c r="BH249" s="131">
        <f>IF(N249="sníž. přenesená",J249,0)</f>
        <v>0</v>
      </c>
      <c r="BI249" s="131">
        <f>IF(N249="nulová",J249,0)</f>
        <v>0</v>
      </c>
      <c r="BJ249" s="14" t="s">
        <v>19</v>
      </c>
      <c r="BK249" s="131">
        <f>ROUND(I249*H249,2)</f>
        <v>0</v>
      </c>
      <c r="BL249" s="14" t="s">
        <v>135</v>
      </c>
      <c r="BM249" s="130" t="s">
        <v>1050</v>
      </c>
    </row>
    <row r="250" spans="2:65" s="1" customFormat="1" ht="19.2">
      <c r="B250" s="26"/>
      <c r="D250" s="132" t="s">
        <v>143</v>
      </c>
      <c r="F250" s="133" t="s">
        <v>387</v>
      </c>
      <c r="L250" s="26"/>
      <c r="M250" s="134"/>
      <c r="T250" s="50"/>
      <c r="AT250" s="14" t="s">
        <v>143</v>
      </c>
      <c r="AU250" s="14" t="s">
        <v>19</v>
      </c>
    </row>
    <row r="251" spans="2:65" s="1" customFormat="1" ht="153.6">
      <c r="B251" s="26"/>
      <c r="D251" s="132" t="s">
        <v>145</v>
      </c>
      <c r="F251" s="135" t="s">
        <v>389</v>
      </c>
      <c r="L251" s="26"/>
      <c r="M251" s="134"/>
      <c r="T251" s="50"/>
      <c r="AT251" s="14" t="s">
        <v>145</v>
      </c>
      <c r="AU251" s="14" t="s">
        <v>19</v>
      </c>
    </row>
    <row r="252" spans="2:65" s="11" customFormat="1">
      <c r="B252" s="136"/>
      <c r="D252" s="132" t="s">
        <v>147</v>
      </c>
      <c r="E252" s="137" t="s">
        <v>1051</v>
      </c>
      <c r="F252" s="138" t="s">
        <v>1052</v>
      </c>
      <c r="H252" s="139">
        <v>70.36</v>
      </c>
      <c r="L252" s="136"/>
      <c r="M252" s="140"/>
      <c r="T252" s="141"/>
      <c r="AT252" s="137" t="s">
        <v>147</v>
      </c>
      <c r="AU252" s="137" t="s">
        <v>19</v>
      </c>
      <c r="AV252" s="11" t="s">
        <v>149</v>
      </c>
      <c r="AW252" s="11" t="s">
        <v>39</v>
      </c>
      <c r="AX252" s="11" t="s">
        <v>19</v>
      </c>
      <c r="AY252" s="137" t="s">
        <v>136</v>
      </c>
    </row>
    <row r="253" spans="2:65" s="1" customFormat="1" ht="21.75" customHeight="1">
      <c r="B253" s="119"/>
      <c r="C253" s="120" t="s">
        <v>418</v>
      </c>
      <c r="D253" s="120" t="s">
        <v>137</v>
      </c>
      <c r="E253" s="121" t="s">
        <v>393</v>
      </c>
      <c r="F253" s="122" t="s">
        <v>394</v>
      </c>
      <c r="G253" s="123" t="s">
        <v>216</v>
      </c>
      <c r="H253" s="124">
        <v>29.06</v>
      </c>
      <c r="I253" s="125">
        <v>0</v>
      </c>
      <c r="J253" s="125">
        <f>ROUND(I253*H253,2)</f>
        <v>0</v>
      </c>
      <c r="K253" s="122" t="s">
        <v>141</v>
      </c>
      <c r="L253" s="26"/>
      <c r="M253" s="126" t="s">
        <v>1</v>
      </c>
      <c r="N253" s="127" t="s">
        <v>46</v>
      </c>
      <c r="O253" s="128">
        <v>0</v>
      </c>
      <c r="P253" s="128">
        <f>O253*H253</f>
        <v>0</v>
      </c>
      <c r="Q253" s="128">
        <v>0</v>
      </c>
      <c r="R253" s="128">
        <f>Q253*H253</f>
        <v>0</v>
      </c>
      <c r="S253" s="128">
        <v>0</v>
      </c>
      <c r="T253" s="129">
        <f>S253*H253</f>
        <v>0</v>
      </c>
      <c r="AR253" s="130" t="s">
        <v>135</v>
      </c>
      <c r="AT253" s="130" t="s">
        <v>137</v>
      </c>
      <c r="AU253" s="130" t="s">
        <v>19</v>
      </c>
      <c r="AY253" s="14" t="s">
        <v>136</v>
      </c>
      <c r="BE253" s="131">
        <f>IF(N253="základní",J253,0)</f>
        <v>0</v>
      </c>
      <c r="BF253" s="131">
        <f>IF(N253="snížená",J253,0)</f>
        <v>0</v>
      </c>
      <c r="BG253" s="131">
        <f>IF(N253="zákl. přenesená",J253,0)</f>
        <v>0</v>
      </c>
      <c r="BH253" s="131">
        <f>IF(N253="sníž. přenesená",J253,0)</f>
        <v>0</v>
      </c>
      <c r="BI253" s="131">
        <f>IF(N253="nulová",J253,0)</f>
        <v>0</v>
      </c>
      <c r="BJ253" s="14" t="s">
        <v>19</v>
      </c>
      <c r="BK253" s="131">
        <f>ROUND(I253*H253,2)</f>
        <v>0</v>
      </c>
      <c r="BL253" s="14" t="s">
        <v>135</v>
      </c>
      <c r="BM253" s="130" t="s">
        <v>1053</v>
      </c>
    </row>
    <row r="254" spans="2:65" s="1" customFormat="1">
      <c r="B254" s="26"/>
      <c r="D254" s="132" t="s">
        <v>143</v>
      </c>
      <c r="F254" s="133" t="s">
        <v>1054</v>
      </c>
      <c r="L254" s="26"/>
      <c r="M254" s="134"/>
      <c r="T254" s="50"/>
      <c r="AT254" s="14" t="s">
        <v>143</v>
      </c>
      <c r="AU254" s="14" t="s">
        <v>19</v>
      </c>
    </row>
    <row r="255" spans="2:65" s="1" customFormat="1" ht="192">
      <c r="B255" s="26"/>
      <c r="D255" s="132" t="s">
        <v>145</v>
      </c>
      <c r="F255" s="135" t="s">
        <v>396</v>
      </c>
      <c r="L255" s="26"/>
      <c r="M255" s="134"/>
      <c r="T255" s="50"/>
      <c r="AT255" s="14" t="s">
        <v>145</v>
      </c>
      <c r="AU255" s="14" t="s">
        <v>19</v>
      </c>
    </row>
    <row r="256" spans="2:65" s="11" customFormat="1">
      <c r="B256" s="136"/>
      <c r="D256" s="132" t="s">
        <v>147</v>
      </c>
      <c r="E256" s="137" t="s">
        <v>1055</v>
      </c>
      <c r="F256" s="138" t="s">
        <v>1056</v>
      </c>
      <c r="H256" s="139">
        <v>7.6</v>
      </c>
      <c r="L256" s="136"/>
      <c r="M256" s="140"/>
      <c r="T256" s="141"/>
      <c r="AT256" s="137" t="s">
        <v>147</v>
      </c>
      <c r="AU256" s="137" t="s">
        <v>19</v>
      </c>
      <c r="AV256" s="11" t="s">
        <v>149</v>
      </c>
      <c r="AW256" s="11" t="s">
        <v>39</v>
      </c>
      <c r="AX256" s="11" t="s">
        <v>81</v>
      </c>
      <c r="AY256" s="137" t="s">
        <v>136</v>
      </c>
    </row>
    <row r="257" spans="2:65" s="11" customFormat="1">
      <c r="B257" s="136"/>
      <c r="D257" s="132" t="s">
        <v>147</v>
      </c>
      <c r="E257" s="137" t="s">
        <v>1057</v>
      </c>
      <c r="F257" s="138" t="s">
        <v>1058</v>
      </c>
      <c r="H257" s="139">
        <v>2.9</v>
      </c>
      <c r="L257" s="136"/>
      <c r="M257" s="140"/>
      <c r="T257" s="141"/>
      <c r="AT257" s="137" t="s">
        <v>147</v>
      </c>
      <c r="AU257" s="137" t="s">
        <v>19</v>
      </c>
      <c r="AV257" s="11" t="s">
        <v>149</v>
      </c>
      <c r="AW257" s="11" t="s">
        <v>39</v>
      </c>
      <c r="AX257" s="11" t="s">
        <v>81</v>
      </c>
      <c r="AY257" s="137" t="s">
        <v>136</v>
      </c>
    </row>
    <row r="258" spans="2:65" s="11" customFormat="1">
      <c r="B258" s="136"/>
      <c r="D258" s="132" t="s">
        <v>147</v>
      </c>
      <c r="E258" s="137" t="s">
        <v>1059</v>
      </c>
      <c r="F258" s="138" t="s">
        <v>1060</v>
      </c>
      <c r="H258" s="139">
        <v>9.2799999999999994</v>
      </c>
      <c r="L258" s="136"/>
      <c r="M258" s="140"/>
      <c r="T258" s="141"/>
      <c r="AT258" s="137" t="s">
        <v>147</v>
      </c>
      <c r="AU258" s="137" t="s">
        <v>19</v>
      </c>
      <c r="AV258" s="11" t="s">
        <v>149</v>
      </c>
      <c r="AW258" s="11" t="s">
        <v>39</v>
      </c>
      <c r="AX258" s="11" t="s">
        <v>81</v>
      </c>
      <c r="AY258" s="137" t="s">
        <v>136</v>
      </c>
    </row>
    <row r="259" spans="2:65" s="11" customFormat="1">
      <c r="B259" s="136"/>
      <c r="D259" s="132" t="s">
        <v>147</v>
      </c>
      <c r="E259" s="137" t="s">
        <v>1061</v>
      </c>
      <c r="F259" s="138" t="s">
        <v>1062</v>
      </c>
      <c r="H259" s="139">
        <v>9.2799999999999994</v>
      </c>
      <c r="L259" s="136"/>
      <c r="M259" s="140"/>
      <c r="T259" s="141"/>
      <c r="AT259" s="137" t="s">
        <v>147</v>
      </c>
      <c r="AU259" s="137" t="s">
        <v>19</v>
      </c>
      <c r="AV259" s="11" t="s">
        <v>149</v>
      </c>
      <c r="AW259" s="11" t="s">
        <v>39</v>
      </c>
      <c r="AX259" s="11" t="s">
        <v>81</v>
      </c>
      <c r="AY259" s="137" t="s">
        <v>136</v>
      </c>
    </row>
    <row r="260" spans="2:65" s="11" customFormat="1">
      <c r="B260" s="136"/>
      <c r="D260" s="132" t="s">
        <v>147</v>
      </c>
      <c r="E260" s="137" t="s">
        <v>1063</v>
      </c>
      <c r="F260" s="138" t="s">
        <v>1064</v>
      </c>
      <c r="H260" s="139">
        <v>29.06</v>
      </c>
      <c r="L260" s="136"/>
      <c r="M260" s="140"/>
      <c r="T260" s="141"/>
      <c r="AT260" s="137" t="s">
        <v>147</v>
      </c>
      <c r="AU260" s="137" t="s">
        <v>19</v>
      </c>
      <c r="AV260" s="11" t="s">
        <v>149</v>
      </c>
      <c r="AW260" s="11" t="s">
        <v>39</v>
      </c>
      <c r="AX260" s="11" t="s">
        <v>19</v>
      </c>
      <c r="AY260" s="137" t="s">
        <v>136</v>
      </c>
    </row>
    <row r="261" spans="2:65" s="1" customFormat="1" ht="24.15" customHeight="1">
      <c r="B261" s="119"/>
      <c r="C261" s="120" t="s">
        <v>431</v>
      </c>
      <c r="D261" s="120" t="s">
        <v>137</v>
      </c>
      <c r="E261" s="121" t="s">
        <v>405</v>
      </c>
      <c r="F261" s="122" t="s">
        <v>406</v>
      </c>
      <c r="G261" s="123" t="s">
        <v>216</v>
      </c>
      <c r="H261" s="124">
        <v>180.92500000000001</v>
      </c>
      <c r="I261" s="125">
        <v>0</v>
      </c>
      <c r="J261" s="125">
        <f>ROUND(I261*H261,2)</f>
        <v>0</v>
      </c>
      <c r="K261" s="122" t="s">
        <v>141</v>
      </c>
      <c r="L261" s="26"/>
      <c r="M261" s="126" t="s">
        <v>1</v>
      </c>
      <c r="N261" s="127" t="s">
        <v>46</v>
      </c>
      <c r="O261" s="128">
        <v>0</v>
      </c>
      <c r="P261" s="128">
        <f>O261*H261</f>
        <v>0</v>
      </c>
      <c r="Q261" s="128">
        <v>0</v>
      </c>
      <c r="R261" s="128">
        <f>Q261*H261</f>
        <v>0</v>
      </c>
      <c r="S261" s="128">
        <v>0</v>
      </c>
      <c r="T261" s="129">
        <f>S261*H261</f>
        <v>0</v>
      </c>
      <c r="AR261" s="130" t="s">
        <v>135</v>
      </c>
      <c r="AT261" s="130" t="s">
        <v>137</v>
      </c>
      <c r="AU261" s="130" t="s">
        <v>19</v>
      </c>
      <c r="AY261" s="14" t="s">
        <v>136</v>
      </c>
      <c r="BE261" s="131">
        <f>IF(N261="základní",J261,0)</f>
        <v>0</v>
      </c>
      <c r="BF261" s="131">
        <f>IF(N261="snížená",J261,0)</f>
        <v>0</v>
      </c>
      <c r="BG261" s="131">
        <f>IF(N261="zákl. přenesená",J261,0)</f>
        <v>0</v>
      </c>
      <c r="BH261" s="131">
        <f>IF(N261="sníž. přenesená",J261,0)</f>
        <v>0</v>
      </c>
      <c r="BI261" s="131">
        <f>IF(N261="nulová",J261,0)</f>
        <v>0</v>
      </c>
      <c r="BJ261" s="14" t="s">
        <v>19</v>
      </c>
      <c r="BK261" s="131">
        <f>ROUND(I261*H261,2)</f>
        <v>0</v>
      </c>
      <c r="BL261" s="14" t="s">
        <v>135</v>
      </c>
      <c r="BM261" s="130" t="s">
        <v>1065</v>
      </c>
    </row>
    <row r="262" spans="2:65" s="1" customFormat="1">
      <c r="B262" s="26"/>
      <c r="D262" s="132" t="s">
        <v>143</v>
      </c>
      <c r="F262" s="133" t="s">
        <v>1066</v>
      </c>
      <c r="L262" s="26"/>
      <c r="M262" s="134"/>
      <c r="T262" s="50"/>
      <c r="AT262" s="14" t="s">
        <v>143</v>
      </c>
      <c r="AU262" s="14" t="s">
        <v>19</v>
      </c>
    </row>
    <row r="263" spans="2:65" s="1" customFormat="1" ht="230.4">
      <c r="B263" s="26"/>
      <c r="D263" s="132" t="s">
        <v>145</v>
      </c>
      <c r="F263" s="135" t="s">
        <v>408</v>
      </c>
      <c r="L263" s="26"/>
      <c r="M263" s="134"/>
      <c r="T263" s="50"/>
      <c r="AT263" s="14" t="s">
        <v>145</v>
      </c>
      <c r="AU263" s="14" t="s">
        <v>19</v>
      </c>
    </row>
    <row r="264" spans="2:65" s="11" customFormat="1">
      <c r="B264" s="136"/>
      <c r="D264" s="132" t="s">
        <v>147</v>
      </c>
      <c r="E264" s="137" t="s">
        <v>1067</v>
      </c>
      <c r="F264" s="138" t="s">
        <v>1068</v>
      </c>
      <c r="H264" s="139">
        <v>27.2</v>
      </c>
      <c r="L264" s="136"/>
      <c r="M264" s="140"/>
      <c r="T264" s="141"/>
      <c r="AT264" s="137" t="s">
        <v>147</v>
      </c>
      <c r="AU264" s="137" t="s">
        <v>19</v>
      </c>
      <c r="AV264" s="11" t="s">
        <v>149</v>
      </c>
      <c r="AW264" s="11" t="s">
        <v>39</v>
      </c>
      <c r="AX264" s="11" t="s">
        <v>81</v>
      </c>
      <c r="AY264" s="137" t="s">
        <v>136</v>
      </c>
    </row>
    <row r="265" spans="2:65" s="11" customFormat="1">
      <c r="B265" s="136"/>
      <c r="D265" s="132" t="s">
        <v>147</v>
      </c>
      <c r="E265" s="137" t="s">
        <v>1069</v>
      </c>
      <c r="F265" s="138" t="s">
        <v>1070</v>
      </c>
      <c r="H265" s="139">
        <v>68</v>
      </c>
      <c r="L265" s="136"/>
      <c r="M265" s="140"/>
      <c r="T265" s="141"/>
      <c r="AT265" s="137" t="s">
        <v>147</v>
      </c>
      <c r="AU265" s="137" t="s">
        <v>19</v>
      </c>
      <c r="AV265" s="11" t="s">
        <v>149</v>
      </c>
      <c r="AW265" s="11" t="s">
        <v>39</v>
      </c>
      <c r="AX265" s="11" t="s">
        <v>81</v>
      </c>
      <c r="AY265" s="137" t="s">
        <v>136</v>
      </c>
    </row>
    <row r="266" spans="2:65" s="11" customFormat="1">
      <c r="B266" s="136"/>
      <c r="D266" s="132" t="s">
        <v>147</v>
      </c>
      <c r="E266" s="137" t="s">
        <v>1071</v>
      </c>
      <c r="F266" s="138" t="s">
        <v>1072</v>
      </c>
      <c r="H266" s="139">
        <v>81.599999999999994</v>
      </c>
      <c r="L266" s="136"/>
      <c r="M266" s="140"/>
      <c r="T266" s="141"/>
      <c r="AT266" s="137" t="s">
        <v>147</v>
      </c>
      <c r="AU266" s="137" t="s">
        <v>19</v>
      </c>
      <c r="AV266" s="11" t="s">
        <v>149</v>
      </c>
      <c r="AW266" s="11" t="s">
        <v>39</v>
      </c>
      <c r="AX266" s="11" t="s">
        <v>81</v>
      </c>
      <c r="AY266" s="137" t="s">
        <v>136</v>
      </c>
    </row>
    <row r="267" spans="2:65" s="11" customFormat="1" ht="20.399999999999999">
      <c r="B267" s="136"/>
      <c r="D267" s="132" t="s">
        <v>147</v>
      </c>
      <c r="E267" s="137" t="s">
        <v>1073</v>
      </c>
      <c r="F267" s="138" t="s">
        <v>1074</v>
      </c>
      <c r="H267" s="139">
        <v>0.625</v>
      </c>
      <c r="L267" s="136"/>
      <c r="M267" s="140"/>
      <c r="T267" s="141"/>
      <c r="AT267" s="137" t="s">
        <v>147</v>
      </c>
      <c r="AU267" s="137" t="s">
        <v>19</v>
      </c>
      <c r="AV267" s="11" t="s">
        <v>149</v>
      </c>
      <c r="AW267" s="11" t="s">
        <v>39</v>
      </c>
      <c r="AX267" s="11" t="s">
        <v>81</v>
      </c>
      <c r="AY267" s="137" t="s">
        <v>136</v>
      </c>
    </row>
    <row r="268" spans="2:65" s="11" customFormat="1">
      <c r="B268" s="136"/>
      <c r="D268" s="132" t="s">
        <v>147</v>
      </c>
      <c r="E268" s="137" t="s">
        <v>1075</v>
      </c>
      <c r="F268" s="138" t="s">
        <v>1076</v>
      </c>
      <c r="H268" s="139">
        <v>2</v>
      </c>
      <c r="L268" s="136"/>
      <c r="M268" s="140"/>
      <c r="T268" s="141"/>
      <c r="AT268" s="137" t="s">
        <v>147</v>
      </c>
      <c r="AU268" s="137" t="s">
        <v>19</v>
      </c>
      <c r="AV268" s="11" t="s">
        <v>149</v>
      </c>
      <c r="AW268" s="11" t="s">
        <v>39</v>
      </c>
      <c r="AX268" s="11" t="s">
        <v>81</v>
      </c>
      <c r="AY268" s="137" t="s">
        <v>136</v>
      </c>
    </row>
    <row r="269" spans="2:65" s="11" customFormat="1">
      <c r="B269" s="136"/>
      <c r="D269" s="132" t="s">
        <v>147</v>
      </c>
      <c r="E269" s="137" t="s">
        <v>1077</v>
      </c>
      <c r="F269" s="138" t="s">
        <v>1078</v>
      </c>
      <c r="H269" s="139">
        <v>1.5</v>
      </c>
      <c r="L269" s="136"/>
      <c r="M269" s="140"/>
      <c r="T269" s="141"/>
      <c r="AT269" s="137" t="s">
        <v>147</v>
      </c>
      <c r="AU269" s="137" t="s">
        <v>19</v>
      </c>
      <c r="AV269" s="11" t="s">
        <v>149</v>
      </c>
      <c r="AW269" s="11" t="s">
        <v>39</v>
      </c>
      <c r="AX269" s="11" t="s">
        <v>81</v>
      </c>
      <c r="AY269" s="137" t="s">
        <v>136</v>
      </c>
    </row>
    <row r="270" spans="2:65" s="11" customFormat="1">
      <c r="B270" s="136"/>
      <c r="D270" s="132" t="s">
        <v>147</v>
      </c>
      <c r="E270" s="137" t="s">
        <v>1079</v>
      </c>
      <c r="F270" s="138" t="s">
        <v>1080</v>
      </c>
      <c r="H270" s="139">
        <v>180.92500000000001</v>
      </c>
      <c r="L270" s="136"/>
      <c r="M270" s="140"/>
      <c r="T270" s="141"/>
      <c r="AT270" s="137" t="s">
        <v>147</v>
      </c>
      <c r="AU270" s="137" t="s">
        <v>19</v>
      </c>
      <c r="AV270" s="11" t="s">
        <v>149</v>
      </c>
      <c r="AW270" s="11" t="s">
        <v>39</v>
      </c>
      <c r="AX270" s="11" t="s">
        <v>19</v>
      </c>
      <c r="AY270" s="137" t="s">
        <v>136</v>
      </c>
    </row>
    <row r="271" spans="2:65" s="1" customFormat="1" ht="21.75" customHeight="1">
      <c r="B271" s="119"/>
      <c r="C271" s="120" t="s">
        <v>438</v>
      </c>
      <c r="D271" s="120" t="s">
        <v>137</v>
      </c>
      <c r="E271" s="121" t="s">
        <v>1081</v>
      </c>
      <c r="F271" s="122" t="s">
        <v>1082</v>
      </c>
      <c r="G271" s="123" t="s">
        <v>216</v>
      </c>
      <c r="H271" s="124">
        <v>8.75</v>
      </c>
      <c r="I271" s="125">
        <v>0</v>
      </c>
      <c r="J271" s="125">
        <f>ROUND(I271*H271,2)</f>
        <v>0</v>
      </c>
      <c r="K271" s="122" t="s">
        <v>141</v>
      </c>
      <c r="L271" s="26"/>
      <c r="M271" s="126" t="s">
        <v>1</v>
      </c>
      <c r="N271" s="127" t="s">
        <v>46</v>
      </c>
      <c r="O271" s="128">
        <v>0</v>
      </c>
      <c r="P271" s="128">
        <f>O271*H271</f>
        <v>0</v>
      </c>
      <c r="Q271" s="128">
        <v>0</v>
      </c>
      <c r="R271" s="128">
        <f>Q271*H271</f>
        <v>0</v>
      </c>
      <c r="S271" s="128">
        <v>0</v>
      </c>
      <c r="T271" s="129">
        <f>S271*H271</f>
        <v>0</v>
      </c>
      <c r="AR271" s="130" t="s">
        <v>135</v>
      </c>
      <c r="AT271" s="130" t="s">
        <v>137</v>
      </c>
      <c r="AU271" s="130" t="s">
        <v>19</v>
      </c>
      <c r="AY271" s="14" t="s">
        <v>136</v>
      </c>
      <c r="BE271" s="131">
        <f>IF(N271="základní",J271,0)</f>
        <v>0</v>
      </c>
      <c r="BF271" s="131">
        <f>IF(N271="snížená",J271,0)</f>
        <v>0</v>
      </c>
      <c r="BG271" s="131">
        <f>IF(N271="zákl. přenesená",J271,0)</f>
        <v>0</v>
      </c>
      <c r="BH271" s="131">
        <f>IF(N271="sníž. přenesená",J271,0)</f>
        <v>0</v>
      </c>
      <c r="BI271" s="131">
        <f>IF(N271="nulová",J271,0)</f>
        <v>0</v>
      </c>
      <c r="BJ271" s="14" t="s">
        <v>19</v>
      </c>
      <c r="BK271" s="131">
        <f>ROUND(I271*H271,2)</f>
        <v>0</v>
      </c>
      <c r="BL271" s="14" t="s">
        <v>135</v>
      </c>
      <c r="BM271" s="130" t="s">
        <v>1083</v>
      </c>
    </row>
    <row r="272" spans="2:65" s="1" customFormat="1" ht="19.2">
      <c r="B272" s="26"/>
      <c r="D272" s="132" t="s">
        <v>143</v>
      </c>
      <c r="F272" s="133" t="s">
        <v>1084</v>
      </c>
      <c r="L272" s="26"/>
      <c r="M272" s="134"/>
      <c r="T272" s="50"/>
      <c r="AT272" s="14" t="s">
        <v>143</v>
      </c>
      <c r="AU272" s="14" t="s">
        <v>19</v>
      </c>
    </row>
    <row r="273" spans="2:65" s="1" customFormat="1" ht="220.8">
      <c r="B273" s="26"/>
      <c r="D273" s="132" t="s">
        <v>145</v>
      </c>
      <c r="F273" s="135" t="s">
        <v>1085</v>
      </c>
      <c r="L273" s="26"/>
      <c r="M273" s="134"/>
      <c r="T273" s="50"/>
      <c r="AT273" s="14" t="s">
        <v>145</v>
      </c>
      <c r="AU273" s="14" t="s">
        <v>19</v>
      </c>
    </row>
    <row r="274" spans="2:65" s="11" customFormat="1">
      <c r="B274" s="136"/>
      <c r="D274" s="132" t="s">
        <v>147</v>
      </c>
      <c r="E274" s="137" t="s">
        <v>1086</v>
      </c>
      <c r="F274" s="138" t="s">
        <v>1087</v>
      </c>
      <c r="H274" s="139">
        <v>8.75</v>
      </c>
      <c r="L274" s="136"/>
      <c r="M274" s="140"/>
      <c r="T274" s="141"/>
      <c r="AT274" s="137" t="s">
        <v>147</v>
      </c>
      <c r="AU274" s="137" t="s">
        <v>19</v>
      </c>
      <c r="AV274" s="11" t="s">
        <v>149</v>
      </c>
      <c r="AW274" s="11" t="s">
        <v>39</v>
      </c>
      <c r="AX274" s="11" t="s">
        <v>19</v>
      </c>
      <c r="AY274" s="137" t="s">
        <v>136</v>
      </c>
    </row>
    <row r="275" spans="2:65" s="1" customFormat="1" ht="21.75" customHeight="1">
      <c r="B275" s="119"/>
      <c r="C275" s="120" t="s">
        <v>445</v>
      </c>
      <c r="D275" s="120" t="s">
        <v>137</v>
      </c>
      <c r="E275" s="121" t="s">
        <v>412</v>
      </c>
      <c r="F275" s="122" t="s">
        <v>413</v>
      </c>
      <c r="G275" s="123" t="s">
        <v>260</v>
      </c>
      <c r="H275" s="124">
        <v>1850</v>
      </c>
      <c r="I275" s="125">
        <v>0</v>
      </c>
      <c r="J275" s="125">
        <f>ROUND(I275*H275,2)</f>
        <v>0</v>
      </c>
      <c r="K275" s="122" t="s">
        <v>141</v>
      </c>
      <c r="L275" s="26"/>
      <c r="M275" s="126" t="s">
        <v>1</v>
      </c>
      <c r="N275" s="127" t="s">
        <v>46</v>
      </c>
      <c r="O275" s="128">
        <v>0</v>
      </c>
      <c r="P275" s="128">
        <f>O275*H275</f>
        <v>0</v>
      </c>
      <c r="Q275" s="128">
        <v>0</v>
      </c>
      <c r="R275" s="128">
        <f>Q275*H275</f>
        <v>0</v>
      </c>
      <c r="S275" s="128">
        <v>0</v>
      </c>
      <c r="T275" s="129">
        <f>S275*H275</f>
        <v>0</v>
      </c>
      <c r="AR275" s="130" t="s">
        <v>135</v>
      </c>
      <c r="AT275" s="130" t="s">
        <v>137</v>
      </c>
      <c r="AU275" s="130" t="s">
        <v>19</v>
      </c>
      <c r="AY275" s="14" t="s">
        <v>136</v>
      </c>
      <c r="BE275" s="131">
        <f>IF(N275="základní",J275,0)</f>
        <v>0</v>
      </c>
      <c r="BF275" s="131">
        <f>IF(N275="snížená",J275,0)</f>
        <v>0</v>
      </c>
      <c r="BG275" s="131">
        <f>IF(N275="zákl. přenesená",J275,0)</f>
        <v>0</v>
      </c>
      <c r="BH275" s="131">
        <f>IF(N275="sníž. přenesená",J275,0)</f>
        <v>0</v>
      </c>
      <c r="BI275" s="131">
        <f>IF(N275="nulová",J275,0)</f>
        <v>0</v>
      </c>
      <c r="BJ275" s="14" t="s">
        <v>19</v>
      </c>
      <c r="BK275" s="131">
        <f>ROUND(I275*H275,2)</f>
        <v>0</v>
      </c>
      <c r="BL275" s="14" t="s">
        <v>135</v>
      </c>
      <c r="BM275" s="130" t="s">
        <v>1088</v>
      </c>
    </row>
    <row r="276" spans="2:65" s="1" customFormat="1">
      <c r="B276" s="26"/>
      <c r="D276" s="132" t="s">
        <v>143</v>
      </c>
      <c r="F276" s="133" t="s">
        <v>413</v>
      </c>
      <c r="L276" s="26"/>
      <c r="M276" s="134"/>
      <c r="T276" s="50"/>
      <c r="AT276" s="14" t="s">
        <v>143</v>
      </c>
      <c r="AU276" s="14" t="s">
        <v>19</v>
      </c>
    </row>
    <row r="277" spans="2:65" s="1" customFormat="1" ht="38.4">
      <c r="B277" s="26"/>
      <c r="D277" s="132" t="s">
        <v>145</v>
      </c>
      <c r="F277" s="135" t="s">
        <v>415</v>
      </c>
      <c r="L277" s="26"/>
      <c r="M277" s="134"/>
      <c r="T277" s="50"/>
      <c r="AT277" s="14" t="s">
        <v>145</v>
      </c>
      <c r="AU277" s="14" t="s">
        <v>19</v>
      </c>
    </row>
    <row r="278" spans="2:65" s="11" customFormat="1">
      <c r="B278" s="136"/>
      <c r="D278" s="132" t="s">
        <v>147</v>
      </c>
      <c r="E278" s="137" t="s">
        <v>1089</v>
      </c>
      <c r="F278" s="138" t="s">
        <v>1090</v>
      </c>
      <c r="H278" s="139">
        <v>145</v>
      </c>
      <c r="L278" s="136"/>
      <c r="M278" s="140"/>
      <c r="T278" s="141"/>
      <c r="AT278" s="137" t="s">
        <v>147</v>
      </c>
      <c r="AU278" s="137" t="s">
        <v>19</v>
      </c>
      <c r="AV278" s="11" t="s">
        <v>149</v>
      </c>
      <c r="AW278" s="11" t="s">
        <v>39</v>
      </c>
      <c r="AX278" s="11" t="s">
        <v>81</v>
      </c>
      <c r="AY278" s="137" t="s">
        <v>136</v>
      </c>
    </row>
    <row r="279" spans="2:65" s="11" customFormat="1">
      <c r="B279" s="136"/>
      <c r="D279" s="132" t="s">
        <v>147</v>
      </c>
      <c r="E279" s="137" t="s">
        <v>1091</v>
      </c>
      <c r="F279" s="138" t="s">
        <v>1092</v>
      </c>
      <c r="H279" s="139">
        <v>1500</v>
      </c>
      <c r="L279" s="136"/>
      <c r="M279" s="140"/>
      <c r="T279" s="141"/>
      <c r="AT279" s="137" t="s">
        <v>147</v>
      </c>
      <c r="AU279" s="137" t="s">
        <v>19</v>
      </c>
      <c r="AV279" s="11" t="s">
        <v>149</v>
      </c>
      <c r="AW279" s="11" t="s">
        <v>39</v>
      </c>
      <c r="AX279" s="11" t="s">
        <v>81</v>
      </c>
      <c r="AY279" s="137" t="s">
        <v>136</v>
      </c>
    </row>
    <row r="280" spans="2:65" s="11" customFormat="1">
      <c r="B280" s="136"/>
      <c r="D280" s="132" t="s">
        <v>147</v>
      </c>
      <c r="E280" s="137" t="s">
        <v>1093</v>
      </c>
      <c r="F280" s="138" t="s">
        <v>1094</v>
      </c>
      <c r="H280" s="139">
        <v>205</v>
      </c>
      <c r="L280" s="136"/>
      <c r="M280" s="140"/>
      <c r="T280" s="141"/>
      <c r="AT280" s="137" t="s">
        <v>147</v>
      </c>
      <c r="AU280" s="137" t="s">
        <v>19</v>
      </c>
      <c r="AV280" s="11" t="s">
        <v>149</v>
      </c>
      <c r="AW280" s="11" t="s">
        <v>39</v>
      </c>
      <c r="AX280" s="11" t="s">
        <v>81</v>
      </c>
      <c r="AY280" s="137" t="s">
        <v>136</v>
      </c>
    </row>
    <row r="281" spans="2:65" s="11" customFormat="1">
      <c r="B281" s="136"/>
      <c r="D281" s="132" t="s">
        <v>147</v>
      </c>
      <c r="E281" s="137" t="s">
        <v>1095</v>
      </c>
      <c r="F281" s="138" t="s">
        <v>1096</v>
      </c>
      <c r="H281" s="139">
        <v>1850</v>
      </c>
      <c r="L281" s="136"/>
      <c r="M281" s="140"/>
      <c r="T281" s="141"/>
      <c r="AT281" s="137" t="s">
        <v>147</v>
      </c>
      <c r="AU281" s="137" t="s">
        <v>19</v>
      </c>
      <c r="AV281" s="11" t="s">
        <v>149</v>
      </c>
      <c r="AW281" s="11" t="s">
        <v>39</v>
      </c>
      <c r="AX281" s="11" t="s">
        <v>19</v>
      </c>
      <c r="AY281" s="137" t="s">
        <v>136</v>
      </c>
    </row>
    <row r="282" spans="2:65" s="1" customFormat="1" ht="16.5" customHeight="1">
      <c r="B282" s="119"/>
      <c r="C282" s="120" t="s">
        <v>452</v>
      </c>
      <c r="D282" s="120" t="s">
        <v>137</v>
      </c>
      <c r="E282" s="121" t="s">
        <v>419</v>
      </c>
      <c r="F282" s="122" t="s">
        <v>420</v>
      </c>
      <c r="G282" s="123" t="s">
        <v>216</v>
      </c>
      <c r="H282" s="124">
        <v>253.8</v>
      </c>
      <c r="I282" s="125">
        <v>0</v>
      </c>
      <c r="J282" s="125">
        <f>ROUND(I282*H282,2)</f>
        <v>0</v>
      </c>
      <c r="K282" s="122" t="s">
        <v>141</v>
      </c>
      <c r="L282" s="26"/>
      <c r="M282" s="126" t="s">
        <v>1</v>
      </c>
      <c r="N282" s="127" t="s">
        <v>46</v>
      </c>
      <c r="O282" s="128">
        <v>0</v>
      </c>
      <c r="P282" s="128">
        <f>O282*H282</f>
        <v>0</v>
      </c>
      <c r="Q282" s="128">
        <v>0</v>
      </c>
      <c r="R282" s="128">
        <f>Q282*H282</f>
        <v>0</v>
      </c>
      <c r="S282" s="128">
        <v>0</v>
      </c>
      <c r="T282" s="129">
        <f>S282*H282</f>
        <v>0</v>
      </c>
      <c r="AR282" s="130" t="s">
        <v>135</v>
      </c>
      <c r="AT282" s="130" t="s">
        <v>137</v>
      </c>
      <c r="AU282" s="130" t="s">
        <v>19</v>
      </c>
      <c r="AY282" s="14" t="s">
        <v>136</v>
      </c>
      <c r="BE282" s="131">
        <f>IF(N282="základní",J282,0)</f>
        <v>0</v>
      </c>
      <c r="BF282" s="131">
        <f>IF(N282="snížená",J282,0)</f>
        <v>0</v>
      </c>
      <c r="BG282" s="131">
        <f>IF(N282="zákl. přenesená",J282,0)</f>
        <v>0</v>
      </c>
      <c r="BH282" s="131">
        <f>IF(N282="sníž. přenesená",J282,0)</f>
        <v>0</v>
      </c>
      <c r="BI282" s="131">
        <f>IF(N282="nulová",J282,0)</f>
        <v>0</v>
      </c>
      <c r="BJ282" s="14" t="s">
        <v>19</v>
      </c>
      <c r="BK282" s="131">
        <f>ROUND(I282*H282,2)</f>
        <v>0</v>
      </c>
      <c r="BL282" s="14" t="s">
        <v>135</v>
      </c>
      <c r="BM282" s="130" t="s">
        <v>1097</v>
      </c>
    </row>
    <row r="283" spans="2:65" s="1" customFormat="1">
      <c r="B283" s="26"/>
      <c r="D283" s="132" t="s">
        <v>143</v>
      </c>
      <c r="F283" s="133" t="s">
        <v>420</v>
      </c>
      <c r="L283" s="26"/>
      <c r="M283" s="134"/>
      <c r="T283" s="50"/>
      <c r="AT283" s="14" t="s">
        <v>143</v>
      </c>
      <c r="AU283" s="14" t="s">
        <v>19</v>
      </c>
    </row>
    <row r="284" spans="2:65" s="1" customFormat="1" ht="28.8">
      <c r="B284" s="26"/>
      <c r="D284" s="132" t="s">
        <v>145</v>
      </c>
      <c r="F284" s="135" t="s">
        <v>422</v>
      </c>
      <c r="L284" s="26"/>
      <c r="M284" s="134"/>
      <c r="T284" s="50"/>
      <c r="AT284" s="14" t="s">
        <v>145</v>
      </c>
      <c r="AU284" s="14" t="s">
        <v>19</v>
      </c>
    </row>
    <row r="285" spans="2:65" s="11" customFormat="1">
      <c r="B285" s="136"/>
      <c r="D285" s="132" t="s">
        <v>147</v>
      </c>
      <c r="E285" s="137" t="s">
        <v>1098</v>
      </c>
      <c r="F285" s="138" t="s">
        <v>1099</v>
      </c>
      <c r="H285" s="139">
        <v>78.600000000000009</v>
      </c>
      <c r="L285" s="136"/>
      <c r="M285" s="140"/>
      <c r="T285" s="141"/>
      <c r="AT285" s="137" t="s">
        <v>147</v>
      </c>
      <c r="AU285" s="137" t="s">
        <v>19</v>
      </c>
      <c r="AV285" s="11" t="s">
        <v>149</v>
      </c>
      <c r="AW285" s="11" t="s">
        <v>39</v>
      </c>
      <c r="AX285" s="11" t="s">
        <v>81</v>
      </c>
      <c r="AY285" s="137" t="s">
        <v>136</v>
      </c>
    </row>
    <row r="286" spans="2:65" s="11" customFormat="1">
      <c r="B286" s="136"/>
      <c r="D286" s="132" t="s">
        <v>147</v>
      </c>
      <c r="E286" s="137" t="s">
        <v>1100</v>
      </c>
      <c r="F286" s="138" t="s">
        <v>1101</v>
      </c>
      <c r="H286" s="139">
        <v>150</v>
      </c>
      <c r="L286" s="136"/>
      <c r="M286" s="140"/>
      <c r="T286" s="141"/>
      <c r="AT286" s="137" t="s">
        <v>147</v>
      </c>
      <c r="AU286" s="137" t="s">
        <v>19</v>
      </c>
      <c r="AV286" s="11" t="s">
        <v>149</v>
      </c>
      <c r="AW286" s="11" t="s">
        <v>39</v>
      </c>
      <c r="AX286" s="11" t="s">
        <v>81</v>
      </c>
      <c r="AY286" s="137" t="s">
        <v>136</v>
      </c>
    </row>
    <row r="287" spans="2:65" s="11" customFormat="1">
      <c r="B287" s="136"/>
      <c r="D287" s="132" t="s">
        <v>147</v>
      </c>
      <c r="E287" s="137" t="s">
        <v>1102</v>
      </c>
      <c r="F287" s="138" t="s">
        <v>1103</v>
      </c>
      <c r="H287" s="139">
        <v>25.200000000000003</v>
      </c>
      <c r="L287" s="136"/>
      <c r="M287" s="140"/>
      <c r="T287" s="141"/>
      <c r="AT287" s="137" t="s">
        <v>147</v>
      </c>
      <c r="AU287" s="137" t="s">
        <v>19</v>
      </c>
      <c r="AV287" s="11" t="s">
        <v>149</v>
      </c>
      <c r="AW287" s="11" t="s">
        <v>39</v>
      </c>
      <c r="AX287" s="11" t="s">
        <v>81</v>
      </c>
      <c r="AY287" s="137" t="s">
        <v>136</v>
      </c>
    </row>
    <row r="288" spans="2:65" s="11" customFormat="1">
      <c r="B288" s="136"/>
      <c r="D288" s="132" t="s">
        <v>147</v>
      </c>
      <c r="E288" s="137" t="s">
        <v>1104</v>
      </c>
      <c r="F288" s="138" t="s">
        <v>1105</v>
      </c>
      <c r="H288" s="139">
        <v>253.8</v>
      </c>
      <c r="L288" s="136"/>
      <c r="M288" s="140"/>
      <c r="T288" s="141"/>
      <c r="AT288" s="137" t="s">
        <v>147</v>
      </c>
      <c r="AU288" s="137" t="s">
        <v>19</v>
      </c>
      <c r="AV288" s="11" t="s">
        <v>149</v>
      </c>
      <c r="AW288" s="11" t="s">
        <v>39</v>
      </c>
      <c r="AX288" s="11" t="s">
        <v>19</v>
      </c>
      <c r="AY288" s="137" t="s">
        <v>136</v>
      </c>
    </row>
    <row r="289" spans="2:65" s="1" customFormat="1" ht="21.75" customHeight="1">
      <c r="B289" s="119"/>
      <c r="C289" s="120" t="s">
        <v>460</v>
      </c>
      <c r="D289" s="120" t="s">
        <v>137</v>
      </c>
      <c r="E289" s="121" t="s">
        <v>432</v>
      </c>
      <c r="F289" s="122" t="s">
        <v>433</v>
      </c>
      <c r="G289" s="123" t="s">
        <v>260</v>
      </c>
      <c r="H289" s="124">
        <v>658.56</v>
      </c>
      <c r="I289" s="125">
        <v>0</v>
      </c>
      <c r="J289" s="125">
        <f>ROUND(I289*H289,2)</f>
        <v>0</v>
      </c>
      <c r="K289" s="122" t="s">
        <v>141</v>
      </c>
      <c r="L289" s="26"/>
      <c r="M289" s="126" t="s">
        <v>1</v>
      </c>
      <c r="N289" s="127" t="s">
        <v>46</v>
      </c>
      <c r="O289" s="128">
        <v>0</v>
      </c>
      <c r="P289" s="128">
        <f>O289*H289</f>
        <v>0</v>
      </c>
      <c r="Q289" s="128">
        <v>0</v>
      </c>
      <c r="R289" s="128">
        <f>Q289*H289</f>
        <v>0</v>
      </c>
      <c r="S289" s="128">
        <v>0</v>
      </c>
      <c r="T289" s="129">
        <f>S289*H289</f>
        <v>0</v>
      </c>
      <c r="AR289" s="130" t="s">
        <v>135</v>
      </c>
      <c r="AT289" s="130" t="s">
        <v>137</v>
      </c>
      <c r="AU289" s="130" t="s">
        <v>19</v>
      </c>
      <c r="AY289" s="14" t="s">
        <v>136</v>
      </c>
      <c r="BE289" s="131">
        <f>IF(N289="základní",J289,0)</f>
        <v>0</v>
      </c>
      <c r="BF289" s="131">
        <f>IF(N289="snížená",J289,0)</f>
        <v>0</v>
      </c>
      <c r="BG289" s="131">
        <f>IF(N289="zákl. přenesená",J289,0)</f>
        <v>0</v>
      </c>
      <c r="BH289" s="131">
        <f>IF(N289="sníž. přenesená",J289,0)</f>
        <v>0</v>
      </c>
      <c r="BI289" s="131">
        <f>IF(N289="nulová",J289,0)</f>
        <v>0</v>
      </c>
      <c r="BJ289" s="14" t="s">
        <v>19</v>
      </c>
      <c r="BK289" s="131">
        <f>ROUND(I289*H289,2)</f>
        <v>0</v>
      </c>
      <c r="BL289" s="14" t="s">
        <v>135</v>
      </c>
      <c r="BM289" s="130" t="s">
        <v>1106</v>
      </c>
    </row>
    <row r="290" spans="2:65" s="1" customFormat="1">
      <c r="B290" s="26"/>
      <c r="D290" s="132" t="s">
        <v>143</v>
      </c>
      <c r="F290" s="133" t="s">
        <v>433</v>
      </c>
      <c r="L290" s="26"/>
      <c r="M290" s="134"/>
      <c r="T290" s="50"/>
      <c r="AT290" s="14" t="s">
        <v>143</v>
      </c>
      <c r="AU290" s="14" t="s">
        <v>19</v>
      </c>
    </row>
    <row r="291" spans="2:65" s="1" customFormat="1" ht="48">
      <c r="B291" s="26"/>
      <c r="D291" s="132" t="s">
        <v>145</v>
      </c>
      <c r="F291" s="135" t="s">
        <v>435</v>
      </c>
      <c r="L291" s="26"/>
      <c r="M291" s="134"/>
      <c r="T291" s="50"/>
      <c r="AT291" s="14" t="s">
        <v>145</v>
      </c>
      <c r="AU291" s="14" t="s">
        <v>19</v>
      </c>
    </row>
    <row r="292" spans="2:65" s="11" customFormat="1">
      <c r="B292" s="136"/>
      <c r="D292" s="132" t="s">
        <v>147</v>
      </c>
      <c r="E292" s="137" t="s">
        <v>1107</v>
      </c>
      <c r="F292" s="138" t="s">
        <v>1108</v>
      </c>
      <c r="H292" s="139">
        <v>658.56000000000006</v>
      </c>
      <c r="L292" s="136"/>
      <c r="M292" s="140"/>
      <c r="T292" s="141"/>
      <c r="AT292" s="137" t="s">
        <v>147</v>
      </c>
      <c r="AU292" s="137" t="s">
        <v>19</v>
      </c>
      <c r="AV292" s="11" t="s">
        <v>149</v>
      </c>
      <c r="AW292" s="11" t="s">
        <v>39</v>
      </c>
      <c r="AX292" s="11" t="s">
        <v>19</v>
      </c>
      <c r="AY292" s="137" t="s">
        <v>136</v>
      </c>
    </row>
    <row r="293" spans="2:65" s="1" customFormat="1" ht="21.75" customHeight="1">
      <c r="B293" s="119"/>
      <c r="C293" s="120" t="s">
        <v>467</v>
      </c>
      <c r="D293" s="120" t="s">
        <v>137</v>
      </c>
      <c r="E293" s="121" t="s">
        <v>439</v>
      </c>
      <c r="F293" s="122" t="s">
        <v>440</v>
      </c>
      <c r="G293" s="123" t="s">
        <v>260</v>
      </c>
      <c r="H293" s="124">
        <v>3195</v>
      </c>
      <c r="I293" s="125">
        <v>0</v>
      </c>
      <c r="J293" s="125">
        <f>ROUND(I293*H293,2)</f>
        <v>0</v>
      </c>
      <c r="K293" s="122" t="s">
        <v>141</v>
      </c>
      <c r="L293" s="26"/>
      <c r="M293" s="126" t="s">
        <v>1</v>
      </c>
      <c r="N293" s="127" t="s">
        <v>46</v>
      </c>
      <c r="O293" s="128">
        <v>0</v>
      </c>
      <c r="P293" s="128">
        <f>O293*H293</f>
        <v>0</v>
      </c>
      <c r="Q293" s="128">
        <v>0</v>
      </c>
      <c r="R293" s="128">
        <f>Q293*H293</f>
        <v>0</v>
      </c>
      <c r="S293" s="128">
        <v>0</v>
      </c>
      <c r="T293" s="129">
        <f>S293*H293</f>
        <v>0</v>
      </c>
      <c r="AR293" s="130" t="s">
        <v>135</v>
      </c>
      <c r="AT293" s="130" t="s">
        <v>137</v>
      </c>
      <c r="AU293" s="130" t="s">
        <v>19</v>
      </c>
      <c r="AY293" s="14" t="s">
        <v>136</v>
      </c>
      <c r="BE293" s="131">
        <f>IF(N293="základní",J293,0)</f>
        <v>0</v>
      </c>
      <c r="BF293" s="131">
        <f>IF(N293="snížená",J293,0)</f>
        <v>0</v>
      </c>
      <c r="BG293" s="131">
        <f>IF(N293="zákl. přenesená",J293,0)</f>
        <v>0</v>
      </c>
      <c r="BH293" s="131">
        <f>IF(N293="sníž. přenesená",J293,0)</f>
        <v>0</v>
      </c>
      <c r="BI293" s="131">
        <f>IF(N293="nulová",J293,0)</f>
        <v>0</v>
      </c>
      <c r="BJ293" s="14" t="s">
        <v>19</v>
      </c>
      <c r="BK293" s="131">
        <f>ROUND(I293*H293,2)</f>
        <v>0</v>
      </c>
      <c r="BL293" s="14" t="s">
        <v>135</v>
      </c>
      <c r="BM293" s="130" t="s">
        <v>1109</v>
      </c>
    </row>
    <row r="294" spans="2:65" s="1" customFormat="1">
      <c r="B294" s="26"/>
      <c r="D294" s="132" t="s">
        <v>143</v>
      </c>
      <c r="F294" s="133" t="s">
        <v>440</v>
      </c>
      <c r="L294" s="26"/>
      <c r="M294" s="134"/>
      <c r="T294" s="50"/>
      <c r="AT294" s="14" t="s">
        <v>143</v>
      </c>
      <c r="AU294" s="14" t="s">
        <v>19</v>
      </c>
    </row>
    <row r="295" spans="2:65" s="1" customFormat="1" ht="48">
      <c r="B295" s="26"/>
      <c r="D295" s="132" t="s">
        <v>145</v>
      </c>
      <c r="F295" s="135" t="s">
        <v>442</v>
      </c>
      <c r="L295" s="26"/>
      <c r="M295" s="134"/>
      <c r="T295" s="50"/>
      <c r="AT295" s="14" t="s">
        <v>145</v>
      </c>
      <c r="AU295" s="14" t="s">
        <v>19</v>
      </c>
    </row>
    <row r="296" spans="2:65" s="11" customFormat="1">
      <c r="B296" s="136"/>
      <c r="D296" s="132" t="s">
        <v>147</v>
      </c>
      <c r="E296" s="137" t="s">
        <v>1110</v>
      </c>
      <c r="F296" s="138" t="s">
        <v>1111</v>
      </c>
      <c r="H296" s="139">
        <v>3195</v>
      </c>
      <c r="L296" s="136"/>
      <c r="M296" s="140"/>
      <c r="T296" s="141"/>
      <c r="AT296" s="137" t="s">
        <v>147</v>
      </c>
      <c r="AU296" s="137" t="s">
        <v>19</v>
      </c>
      <c r="AV296" s="11" t="s">
        <v>149</v>
      </c>
      <c r="AW296" s="11" t="s">
        <v>39</v>
      </c>
      <c r="AX296" s="11" t="s">
        <v>81</v>
      </c>
      <c r="AY296" s="137" t="s">
        <v>136</v>
      </c>
    </row>
    <row r="297" spans="2:65" s="11" customFormat="1">
      <c r="B297" s="136"/>
      <c r="D297" s="132" t="s">
        <v>147</v>
      </c>
      <c r="E297" s="137" t="s">
        <v>1112</v>
      </c>
      <c r="F297" s="138" t="s">
        <v>1113</v>
      </c>
      <c r="H297" s="139">
        <v>3195</v>
      </c>
      <c r="L297" s="136"/>
      <c r="M297" s="140"/>
      <c r="T297" s="141"/>
      <c r="AT297" s="137" t="s">
        <v>147</v>
      </c>
      <c r="AU297" s="137" t="s">
        <v>19</v>
      </c>
      <c r="AV297" s="11" t="s">
        <v>149</v>
      </c>
      <c r="AW297" s="11" t="s">
        <v>39</v>
      </c>
      <c r="AX297" s="11" t="s">
        <v>19</v>
      </c>
      <c r="AY297" s="137" t="s">
        <v>136</v>
      </c>
    </row>
    <row r="298" spans="2:65" s="1" customFormat="1" ht="16.5" customHeight="1">
      <c r="B298" s="119"/>
      <c r="C298" s="120" t="s">
        <v>479</v>
      </c>
      <c r="D298" s="120" t="s">
        <v>137</v>
      </c>
      <c r="E298" s="121" t="s">
        <v>446</v>
      </c>
      <c r="F298" s="122" t="s">
        <v>447</v>
      </c>
      <c r="G298" s="123" t="s">
        <v>260</v>
      </c>
      <c r="H298" s="124">
        <v>3853.56</v>
      </c>
      <c r="I298" s="125">
        <v>0</v>
      </c>
      <c r="J298" s="125">
        <f>ROUND(I298*H298,2)</f>
        <v>0</v>
      </c>
      <c r="K298" s="122" t="s">
        <v>141</v>
      </c>
      <c r="L298" s="26"/>
      <c r="M298" s="126" t="s">
        <v>1</v>
      </c>
      <c r="N298" s="127" t="s">
        <v>46</v>
      </c>
      <c r="O298" s="128">
        <v>0</v>
      </c>
      <c r="P298" s="128">
        <f>O298*H298</f>
        <v>0</v>
      </c>
      <c r="Q298" s="128">
        <v>0</v>
      </c>
      <c r="R298" s="128">
        <f>Q298*H298</f>
        <v>0</v>
      </c>
      <c r="S298" s="128">
        <v>0</v>
      </c>
      <c r="T298" s="129">
        <f>S298*H298</f>
        <v>0</v>
      </c>
      <c r="AR298" s="130" t="s">
        <v>135</v>
      </c>
      <c r="AT298" s="130" t="s">
        <v>137</v>
      </c>
      <c r="AU298" s="130" t="s">
        <v>19</v>
      </c>
      <c r="AY298" s="14" t="s">
        <v>136</v>
      </c>
      <c r="BE298" s="131">
        <f>IF(N298="základní",J298,0)</f>
        <v>0</v>
      </c>
      <c r="BF298" s="131">
        <f>IF(N298="snížená",J298,0)</f>
        <v>0</v>
      </c>
      <c r="BG298" s="131">
        <f>IF(N298="zákl. přenesená",J298,0)</f>
        <v>0</v>
      </c>
      <c r="BH298" s="131">
        <f>IF(N298="sníž. přenesená",J298,0)</f>
        <v>0</v>
      </c>
      <c r="BI298" s="131">
        <f>IF(N298="nulová",J298,0)</f>
        <v>0</v>
      </c>
      <c r="BJ298" s="14" t="s">
        <v>19</v>
      </c>
      <c r="BK298" s="131">
        <f>ROUND(I298*H298,2)</f>
        <v>0</v>
      </c>
      <c r="BL298" s="14" t="s">
        <v>135</v>
      </c>
      <c r="BM298" s="130" t="s">
        <v>1114</v>
      </c>
    </row>
    <row r="299" spans="2:65" s="1" customFormat="1">
      <c r="B299" s="26"/>
      <c r="D299" s="132" t="s">
        <v>143</v>
      </c>
      <c r="F299" s="133" t="s">
        <v>447</v>
      </c>
      <c r="L299" s="26"/>
      <c r="M299" s="134"/>
      <c r="T299" s="50"/>
      <c r="AT299" s="14" t="s">
        <v>143</v>
      </c>
      <c r="AU299" s="14" t="s">
        <v>19</v>
      </c>
    </row>
    <row r="300" spans="2:65" s="1" customFormat="1" ht="38.4">
      <c r="B300" s="26"/>
      <c r="D300" s="132" t="s">
        <v>145</v>
      </c>
      <c r="F300" s="135" t="s">
        <v>449</v>
      </c>
      <c r="L300" s="26"/>
      <c r="M300" s="134"/>
      <c r="T300" s="50"/>
      <c r="AT300" s="14" t="s">
        <v>145</v>
      </c>
      <c r="AU300" s="14" t="s">
        <v>19</v>
      </c>
    </row>
    <row r="301" spans="2:65" s="11" customFormat="1">
      <c r="B301" s="136"/>
      <c r="D301" s="132" t="s">
        <v>147</v>
      </c>
      <c r="E301" s="137" t="s">
        <v>1115</v>
      </c>
      <c r="F301" s="138" t="s">
        <v>1116</v>
      </c>
      <c r="H301" s="139">
        <v>3853.56</v>
      </c>
      <c r="L301" s="136"/>
      <c r="M301" s="140"/>
      <c r="T301" s="141"/>
      <c r="AT301" s="137" t="s">
        <v>147</v>
      </c>
      <c r="AU301" s="137" t="s">
        <v>19</v>
      </c>
      <c r="AV301" s="11" t="s">
        <v>149</v>
      </c>
      <c r="AW301" s="11" t="s">
        <v>39</v>
      </c>
      <c r="AX301" s="11" t="s">
        <v>19</v>
      </c>
      <c r="AY301" s="137" t="s">
        <v>136</v>
      </c>
    </row>
    <row r="302" spans="2:65" s="1" customFormat="1" ht="16.5" customHeight="1">
      <c r="B302" s="119"/>
      <c r="C302" s="120" t="s">
        <v>491</v>
      </c>
      <c r="D302" s="120" t="s">
        <v>137</v>
      </c>
      <c r="E302" s="121" t="s">
        <v>453</v>
      </c>
      <c r="F302" s="122" t="s">
        <v>454</v>
      </c>
      <c r="G302" s="123" t="s">
        <v>260</v>
      </c>
      <c r="H302" s="124">
        <v>3853.56</v>
      </c>
      <c r="I302" s="125">
        <v>0</v>
      </c>
      <c r="J302" s="125">
        <f>ROUND(I302*H302,2)</f>
        <v>0</v>
      </c>
      <c r="K302" s="122" t="s">
        <v>141</v>
      </c>
      <c r="L302" s="26"/>
      <c r="M302" s="126" t="s">
        <v>1</v>
      </c>
      <c r="N302" s="127" t="s">
        <v>46</v>
      </c>
      <c r="O302" s="128">
        <v>0</v>
      </c>
      <c r="P302" s="128">
        <f>O302*H302</f>
        <v>0</v>
      </c>
      <c r="Q302" s="128">
        <v>0</v>
      </c>
      <c r="R302" s="128">
        <f>Q302*H302</f>
        <v>0</v>
      </c>
      <c r="S302" s="128">
        <v>0</v>
      </c>
      <c r="T302" s="129">
        <f>S302*H302</f>
        <v>0</v>
      </c>
      <c r="AR302" s="130" t="s">
        <v>135</v>
      </c>
      <c r="AT302" s="130" t="s">
        <v>137</v>
      </c>
      <c r="AU302" s="130" t="s">
        <v>19</v>
      </c>
      <c r="AY302" s="14" t="s">
        <v>136</v>
      </c>
      <c r="BE302" s="131">
        <f>IF(N302="základní",J302,0)</f>
        <v>0</v>
      </c>
      <c r="BF302" s="131">
        <f>IF(N302="snížená",J302,0)</f>
        <v>0</v>
      </c>
      <c r="BG302" s="131">
        <f>IF(N302="zákl. přenesená",J302,0)</f>
        <v>0</v>
      </c>
      <c r="BH302" s="131">
        <f>IF(N302="sníž. přenesená",J302,0)</f>
        <v>0</v>
      </c>
      <c r="BI302" s="131">
        <f>IF(N302="nulová",J302,0)</f>
        <v>0</v>
      </c>
      <c r="BJ302" s="14" t="s">
        <v>19</v>
      </c>
      <c r="BK302" s="131">
        <f>ROUND(I302*H302,2)</f>
        <v>0</v>
      </c>
      <c r="BL302" s="14" t="s">
        <v>135</v>
      </c>
      <c r="BM302" s="130" t="s">
        <v>1117</v>
      </c>
    </row>
    <row r="303" spans="2:65" s="1" customFormat="1">
      <c r="B303" s="26"/>
      <c r="D303" s="132" t="s">
        <v>143</v>
      </c>
      <c r="F303" s="133" t="s">
        <v>454</v>
      </c>
      <c r="L303" s="26"/>
      <c r="M303" s="134"/>
      <c r="T303" s="50"/>
      <c r="AT303" s="14" t="s">
        <v>143</v>
      </c>
      <c r="AU303" s="14" t="s">
        <v>19</v>
      </c>
    </row>
    <row r="304" spans="2:65" s="1" customFormat="1" ht="48">
      <c r="B304" s="26"/>
      <c r="D304" s="132" t="s">
        <v>145</v>
      </c>
      <c r="F304" s="135" t="s">
        <v>456</v>
      </c>
      <c r="L304" s="26"/>
      <c r="M304" s="134"/>
      <c r="T304" s="50"/>
      <c r="AT304" s="14" t="s">
        <v>145</v>
      </c>
      <c r="AU304" s="14" t="s">
        <v>19</v>
      </c>
    </row>
    <row r="305" spans="2:65" s="11" customFormat="1">
      <c r="B305" s="136"/>
      <c r="D305" s="132" t="s">
        <v>147</v>
      </c>
      <c r="E305" s="137" t="s">
        <v>1118</v>
      </c>
      <c r="F305" s="138" t="s">
        <v>1116</v>
      </c>
      <c r="H305" s="139">
        <v>3853.56</v>
      </c>
      <c r="L305" s="136"/>
      <c r="M305" s="140"/>
      <c r="T305" s="141"/>
      <c r="AT305" s="137" t="s">
        <v>147</v>
      </c>
      <c r="AU305" s="137" t="s">
        <v>19</v>
      </c>
      <c r="AV305" s="11" t="s">
        <v>149</v>
      </c>
      <c r="AW305" s="11" t="s">
        <v>39</v>
      </c>
      <c r="AX305" s="11" t="s">
        <v>19</v>
      </c>
      <c r="AY305" s="137" t="s">
        <v>136</v>
      </c>
    </row>
    <row r="306" spans="2:65" s="10" customFormat="1" ht="25.95" customHeight="1">
      <c r="B306" s="110"/>
      <c r="D306" s="111" t="s">
        <v>80</v>
      </c>
      <c r="E306" s="112" t="s">
        <v>149</v>
      </c>
      <c r="F306" s="112" t="s">
        <v>459</v>
      </c>
      <c r="J306" s="113">
        <f>BK306</f>
        <v>0</v>
      </c>
      <c r="L306" s="110"/>
      <c r="M306" s="114"/>
      <c r="P306" s="115">
        <f>SUM(P307:P326)</f>
        <v>0</v>
      </c>
      <c r="R306" s="115">
        <f>SUM(R307:R326)</f>
        <v>0</v>
      </c>
      <c r="T306" s="116">
        <f>SUM(T307:T326)</f>
        <v>0</v>
      </c>
      <c r="AR306" s="111" t="s">
        <v>135</v>
      </c>
      <c r="AT306" s="117" t="s">
        <v>80</v>
      </c>
      <c r="AU306" s="117" t="s">
        <v>81</v>
      </c>
      <c r="AY306" s="111" t="s">
        <v>136</v>
      </c>
      <c r="BK306" s="118">
        <f>SUM(BK307:BK326)</f>
        <v>0</v>
      </c>
    </row>
    <row r="307" spans="2:65" s="1" customFormat="1" ht="24.15" customHeight="1">
      <c r="B307" s="119"/>
      <c r="C307" s="120" t="s">
        <v>499</v>
      </c>
      <c r="D307" s="120" t="s">
        <v>137</v>
      </c>
      <c r="E307" s="121" t="s">
        <v>461</v>
      </c>
      <c r="F307" s="122" t="s">
        <v>462</v>
      </c>
      <c r="G307" s="123" t="s">
        <v>312</v>
      </c>
      <c r="H307" s="124">
        <v>57</v>
      </c>
      <c r="I307" s="125">
        <v>0</v>
      </c>
      <c r="J307" s="125">
        <f>ROUND(I307*H307,2)</f>
        <v>0</v>
      </c>
      <c r="K307" s="122" t="s">
        <v>141</v>
      </c>
      <c r="L307" s="26"/>
      <c r="M307" s="126" t="s">
        <v>1</v>
      </c>
      <c r="N307" s="127" t="s">
        <v>46</v>
      </c>
      <c r="O307" s="128">
        <v>0</v>
      </c>
      <c r="P307" s="128">
        <f>O307*H307</f>
        <v>0</v>
      </c>
      <c r="Q307" s="128">
        <v>0</v>
      </c>
      <c r="R307" s="128">
        <f>Q307*H307</f>
        <v>0</v>
      </c>
      <c r="S307" s="128">
        <v>0</v>
      </c>
      <c r="T307" s="129">
        <f>S307*H307</f>
        <v>0</v>
      </c>
      <c r="AR307" s="130" t="s">
        <v>135</v>
      </c>
      <c r="AT307" s="130" t="s">
        <v>137</v>
      </c>
      <c r="AU307" s="130" t="s">
        <v>19</v>
      </c>
      <c r="AY307" s="14" t="s">
        <v>136</v>
      </c>
      <c r="BE307" s="131">
        <f>IF(N307="základní",J307,0)</f>
        <v>0</v>
      </c>
      <c r="BF307" s="131">
        <f>IF(N307="snížená",J307,0)</f>
        <v>0</v>
      </c>
      <c r="BG307" s="131">
        <f>IF(N307="zákl. přenesená",J307,0)</f>
        <v>0</v>
      </c>
      <c r="BH307" s="131">
        <f>IF(N307="sníž. přenesená",J307,0)</f>
        <v>0</v>
      </c>
      <c r="BI307" s="131">
        <f>IF(N307="nulová",J307,0)</f>
        <v>0</v>
      </c>
      <c r="BJ307" s="14" t="s">
        <v>19</v>
      </c>
      <c r="BK307" s="131">
        <f>ROUND(I307*H307,2)</f>
        <v>0</v>
      </c>
      <c r="BL307" s="14" t="s">
        <v>135</v>
      </c>
      <c r="BM307" s="130" t="s">
        <v>1119</v>
      </c>
    </row>
    <row r="308" spans="2:65" s="1" customFormat="1">
      <c r="B308" s="26"/>
      <c r="D308" s="132" t="s">
        <v>143</v>
      </c>
      <c r="F308" s="133" t="s">
        <v>1120</v>
      </c>
      <c r="L308" s="26"/>
      <c r="M308" s="134"/>
      <c r="T308" s="50"/>
      <c r="AT308" s="14" t="s">
        <v>143</v>
      </c>
      <c r="AU308" s="14" t="s">
        <v>19</v>
      </c>
    </row>
    <row r="309" spans="2:65" s="1" customFormat="1" ht="124.8">
      <c r="B309" s="26"/>
      <c r="D309" s="132" t="s">
        <v>145</v>
      </c>
      <c r="F309" s="135" t="s">
        <v>464</v>
      </c>
      <c r="L309" s="26"/>
      <c r="M309" s="134"/>
      <c r="T309" s="50"/>
      <c r="AT309" s="14" t="s">
        <v>145</v>
      </c>
      <c r="AU309" s="14" t="s">
        <v>19</v>
      </c>
    </row>
    <row r="310" spans="2:65" s="11" customFormat="1">
      <c r="B310" s="136"/>
      <c r="D310" s="132" t="s">
        <v>147</v>
      </c>
      <c r="E310" s="137" t="s">
        <v>1121</v>
      </c>
      <c r="F310" s="138" t="s">
        <v>1122</v>
      </c>
      <c r="H310" s="139">
        <v>57</v>
      </c>
      <c r="L310" s="136"/>
      <c r="M310" s="140"/>
      <c r="T310" s="141"/>
      <c r="AT310" s="137" t="s">
        <v>147</v>
      </c>
      <c r="AU310" s="137" t="s">
        <v>19</v>
      </c>
      <c r="AV310" s="11" t="s">
        <v>149</v>
      </c>
      <c r="AW310" s="11" t="s">
        <v>39</v>
      </c>
      <c r="AX310" s="11" t="s">
        <v>19</v>
      </c>
      <c r="AY310" s="137" t="s">
        <v>136</v>
      </c>
    </row>
    <row r="311" spans="2:65" s="1" customFormat="1" ht="16.5" customHeight="1">
      <c r="B311" s="119"/>
      <c r="C311" s="120" t="s">
        <v>506</v>
      </c>
      <c r="D311" s="120" t="s">
        <v>137</v>
      </c>
      <c r="E311" s="121" t="s">
        <v>1123</v>
      </c>
      <c r="F311" s="122" t="s">
        <v>1124</v>
      </c>
      <c r="G311" s="123" t="s">
        <v>216</v>
      </c>
      <c r="H311" s="124">
        <v>175</v>
      </c>
      <c r="I311" s="125">
        <v>0</v>
      </c>
      <c r="J311" s="125">
        <f>ROUND(I311*H311,2)</f>
        <v>0</v>
      </c>
      <c r="K311" s="122" t="s">
        <v>141</v>
      </c>
      <c r="L311" s="26"/>
      <c r="M311" s="126" t="s">
        <v>1</v>
      </c>
      <c r="N311" s="127" t="s">
        <v>46</v>
      </c>
      <c r="O311" s="128">
        <v>0</v>
      </c>
      <c r="P311" s="128">
        <f>O311*H311</f>
        <v>0</v>
      </c>
      <c r="Q311" s="128">
        <v>0</v>
      </c>
      <c r="R311" s="128">
        <f>Q311*H311</f>
        <v>0</v>
      </c>
      <c r="S311" s="128">
        <v>0</v>
      </c>
      <c r="T311" s="129">
        <f>S311*H311</f>
        <v>0</v>
      </c>
      <c r="AR311" s="130" t="s">
        <v>135</v>
      </c>
      <c r="AT311" s="130" t="s">
        <v>137</v>
      </c>
      <c r="AU311" s="130" t="s">
        <v>19</v>
      </c>
      <c r="AY311" s="14" t="s">
        <v>136</v>
      </c>
      <c r="BE311" s="131">
        <f>IF(N311="základní",J311,0)</f>
        <v>0</v>
      </c>
      <c r="BF311" s="131">
        <f>IF(N311="snížená",J311,0)</f>
        <v>0</v>
      </c>
      <c r="BG311" s="131">
        <f>IF(N311="zákl. přenesená",J311,0)</f>
        <v>0</v>
      </c>
      <c r="BH311" s="131">
        <f>IF(N311="sníž. přenesená",J311,0)</f>
        <v>0</v>
      </c>
      <c r="BI311" s="131">
        <f>IF(N311="nulová",J311,0)</f>
        <v>0</v>
      </c>
      <c r="BJ311" s="14" t="s">
        <v>19</v>
      </c>
      <c r="BK311" s="131">
        <f>ROUND(I311*H311,2)</f>
        <v>0</v>
      </c>
      <c r="BL311" s="14" t="s">
        <v>135</v>
      </c>
      <c r="BM311" s="130" t="s">
        <v>1125</v>
      </c>
    </row>
    <row r="312" spans="2:65" s="1" customFormat="1" ht="19.2">
      <c r="B312" s="26"/>
      <c r="D312" s="132" t="s">
        <v>143</v>
      </c>
      <c r="F312" s="133" t="s">
        <v>1126</v>
      </c>
      <c r="L312" s="26"/>
      <c r="M312" s="134"/>
      <c r="T312" s="50"/>
      <c r="AT312" s="14" t="s">
        <v>143</v>
      </c>
      <c r="AU312" s="14" t="s">
        <v>19</v>
      </c>
    </row>
    <row r="313" spans="2:65" s="1" customFormat="1" ht="48">
      <c r="B313" s="26"/>
      <c r="D313" s="132" t="s">
        <v>145</v>
      </c>
      <c r="F313" s="135" t="s">
        <v>511</v>
      </c>
      <c r="L313" s="26"/>
      <c r="M313" s="134"/>
      <c r="T313" s="50"/>
      <c r="AT313" s="14" t="s">
        <v>145</v>
      </c>
      <c r="AU313" s="14" t="s">
        <v>19</v>
      </c>
    </row>
    <row r="314" spans="2:65" s="11" customFormat="1">
      <c r="B314" s="136"/>
      <c r="D314" s="132" t="s">
        <v>147</v>
      </c>
      <c r="E314" s="137" t="s">
        <v>1127</v>
      </c>
      <c r="F314" s="138" t="s">
        <v>1128</v>
      </c>
      <c r="H314" s="139">
        <v>72.5</v>
      </c>
      <c r="L314" s="136"/>
      <c r="M314" s="140"/>
      <c r="T314" s="141"/>
      <c r="AT314" s="137" t="s">
        <v>147</v>
      </c>
      <c r="AU314" s="137" t="s">
        <v>19</v>
      </c>
      <c r="AV314" s="11" t="s">
        <v>149</v>
      </c>
      <c r="AW314" s="11" t="s">
        <v>39</v>
      </c>
      <c r="AX314" s="11" t="s">
        <v>81</v>
      </c>
      <c r="AY314" s="137" t="s">
        <v>136</v>
      </c>
    </row>
    <row r="315" spans="2:65" s="11" customFormat="1">
      <c r="B315" s="136"/>
      <c r="D315" s="132" t="s">
        <v>147</v>
      </c>
      <c r="E315" s="137" t="s">
        <v>1129</v>
      </c>
      <c r="F315" s="138" t="s">
        <v>1130</v>
      </c>
      <c r="H315" s="139">
        <v>102.5</v>
      </c>
      <c r="L315" s="136"/>
      <c r="M315" s="140"/>
      <c r="T315" s="141"/>
      <c r="AT315" s="137" t="s">
        <v>147</v>
      </c>
      <c r="AU315" s="137" t="s">
        <v>19</v>
      </c>
      <c r="AV315" s="11" t="s">
        <v>149</v>
      </c>
      <c r="AW315" s="11" t="s">
        <v>39</v>
      </c>
      <c r="AX315" s="11" t="s">
        <v>81</v>
      </c>
      <c r="AY315" s="137" t="s">
        <v>136</v>
      </c>
    </row>
    <row r="316" spans="2:65" s="11" customFormat="1">
      <c r="B316" s="136"/>
      <c r="D316" s="132" t="s">
        <v>147</v>
      </c>
      <c r="E316" s="137" t="s">
        <v>1131</v>
      </c>
      <c r="F316" s="138" t="s">
        <v>1132</v>
      </c>
      <c r="H316" s="139">
        <v>175</v>
      </c>
      <c r="L316" s="136"/>
      <c r="M316" s="140"/>
      <c r="T316" s="141"/>
      <c r="AT316" s="137" t="s">
        <v>147</v>
      </c>
      <c r="AU316" s="137" t="s">
        <v>19</v>
      </c>
      <c r="AV316" s="11" t="s">
        <v>149</v>
      </c>
      <c r="AW316" s="11" t="s">
        <v>39</v>
      </c>
      <c r="AX316" s="11" t="s">
        <v>19</v>
      </c>
      <c r="AY316" s="137" t="s">
        <v>136</v>
      </c>
    </row>
    <row r="317" spans="2:65" s="1" customFormat="1" ht="16.5" customHeight="1">
      <c r="B317" s="119"/>
      <c r="C317" s="120" t="s">
        <v>520</v>
      </c>
      <c r="D317" s="120" t="s">
        <v>137</v>
      </c>
      <c r="E317" s="121" t="s">
        <v>1133</v>
      </c>
      <c r="F317" s="122" t="s">
        <v>1134</v>
      </c>
      <c r="G317" s="123" t="s">
        <v>260</v>
      </c>
      <c r="H317" s="124">
        <v>57</v>
      </c>
      <c r="I317" s="125">
        <v>0</v>
      </c>
      <c r="J317" s="125">
        <f>ROUND(I317*H317,2)</f>
        <v>0</v>
      </c>
      <c r="K317" s="122" t="s">
        <v>141</v>
      </c>
      <c r="L317" s="26"/>
      <c r="M317" s="126" t="s">
        <v>1</v>
      </c>
      <c r="N317" s="127" t="s">
        <v>46</v>
      </c>
      <c r="O317" s="128">
        <v>0</v>
      </c>
      <c r="P317" s="128">
        <f>O317*H317</f>
        <v>0</v>
      </c>
      <c r="Q317" s="128">
        <v>0</v>
      </c>
      <c r="R317" s="128">
        <f>Q317*H317</f>
        <v>0</v>
      </c>
      <c r="S317" s="128">
        <v>0</v>
      </c>
      <c r="T317" s="129">
        <f>S317*H317</f>
        <v>0</v>
      </c>
      <c r="AR317" s="130" t="s">
        <v>135</v>
      </c>
      <c r="AT317" s="130" t="s">
        <v>137</v>
      </c>
      <c r="AU317" s="130" t="s">
        <v>19</v>
      </c>
      <c r="AY317" s="14" t="s">
        <v>136</v>
      </c>
      <c r="BE317" s="131">
        <f>IF(N317="základní",J317,0)</f>
        <v>0</v>
      </c>
      <c r="BF317" s="131">
        <f>IF(N317="snížená",J317,0)</f>
        <v>0</v>
      </c>
      <c r="BG317" s="131">
        <f>IF(N317="zákl. přenesená",J317,0)</f>
        <v>0</v>
      </c>
      <c r="BH317" s="131">
        <f>IF(N317="sníž. přenesená",J317,0)</f>
        <v>0</v>
      </c>
      <c r="BI317" s="131">
        <f>IF(N317="nulová",J317,0)</f>
        <v>0</v>
      </c>
      <c r="BJ317" s="14" t="s">
        <v>19</v>
      </c>
      <c r="BK317" s="131">
        <f>ROUND(I317*H317,2)</f>
        <v>0</v>
      </c>
      <c r="BL317" s="14" t="s">
        <v>135</v>
      </c>
      <c r="BM317" s="130" t="s">
        <v>1135</v>
      </c>
    </row>
    <row r="318" spans="2:65" s="1" customFormat="1">
      <c r="B318" s="26"/>
      <c r="D318" s="132" t="s">
        <v>143</v>
      </c>
      <c r="F318" s="133" t="s">
        <v>1136</v>
      </c>
      <c r="L318" s="26"/>
      <c r="M318" s="134"/>
      <c r="T318" s="50"/>
      <c r="AT318" s="14" t="s">
        <v>143</v>
      </c>
      <c r="AU318" s="14" t="s">
        <v>19</v>
      </c>
    </row>
    <row r="319" spans="2:65" s="1" customFormat="1" ht="67.2">
      <c r="B319" s="26"/>
      <c r="D319" s="132" t="s">
        <v>145</v>
      </c>
      <c r="F319" s="135" t="s">
        <v>1137</v>
      </c>
      <c r="L319" s="26"/>
      <c r="M319" s="134"/>
      <c r="T319" s="50"/>
      <c r="AT319" s="14" t="s">
        <v>145</v>
      </c>
      <c r="AU319" s="14" t="s">
        <v>19</v>
      </c>
    </row>
    <row r="320" spans="2:65" s="11" customFormat="1">
      <c r="B320" s="136"/>
      <c r="D320" s="132" t="s">
        <v>147</v>
      </c>
      <c r="E320" s="137" t="s">
        <v>1138</v>
      </c>
      <c r="F320" s="138" t="s">
        <v>1139</v>
      </c>
      <c r="H320" s="139">
        <v>57</v>
      </c>
      <c r="L320" s="136"/>
      <c r="M320" s="140"/>
      <c r="T320" s="141"/>
      <c r="AT320" s="137" t="s">
        <v>147</v>
      </c>
      <c r="AU320" s="137" t="s">
        <v>19</v>
      </c>
      <c r="AV320" s="11" t="s">
        <v>149</v>
      </c>
      <c r="AW320" s="11" t="s">
        <v>39</v>
      </c>
      <c r="AX320" s="11" t="s">
        <v>19</v>
      </c>
      <c r="AY320" s="137" t="s">
        <v>136</v>
      </c>
    </row>
    <row r="321" spans="2:65" s="1" customFormat="1" ht="16.5" customHeight="1">
      <c r="B321" s="119"/>
      <c r="C321" s="120" t="s">
        <v>526</v>
      </c>
      <c r="D321" s="120" t="s">
        <v>137</v>
      </c>
      <c r="E321" s="121" t="s">
        <v>1140</v>
      </c>
      <c r="F321" s="122" t="s">
        <v>1141</v>
      </c>
      <c r="G321" s="123" t="s">
        <v>260</v>
      </c>
      <c r="H321" s="124">
        <v>350</v>
      </c>
      <c r="I321" s="125">
        <v>0</v>
      </c>
      <c r="J321" s="125">
        <f>ROUND(I321*H321,2)</f>
        <v>0</v>
      </c>
      <c r="K321" s="122" t="s">
        <v>141</v>
      </c>
      <c r="L321" s="26"/>
      <c r="M321" s="126" t="s">
        <v>1</v>
      </c>
      <c r="N321" s="127" t="s">
        <v>46</v>
      </c>
      <c r="O321" s="128">
        <v>0</v>
      </c>
      <c r="P321" s="128">
        <f>O321*H321</f>
        <v>0</v>
      </c>
      <c r="Q321" s="128">
        <v>0</v>
      </c>
      <c r="R321" s="128">
        <f>Q321*H321</f>
        <v>0</v>
      </c>
      <c r="S321" s="128">
        <v>0</v>
      </c>
      <c r="T321" s="129">
        <f>S321*H321</f>
        <v>0</v>
      </c>
      <c r="AR321" s="130" t="s">
        <v>135</v>
      </c>
      <c r="AT321" s="130" t="s">
        <v>137</v>
      </c>
      <c r="AU321" s="130" t="s">
        <v>19</v>
      </c>
      <c r="AY321" s="14" t="s">
        <v>136</v>
      </c>
      <c r="BE321" s="131">
        <f>IF(N321="základní",J321,0)</f>
        <v>0</v>
      </c>
      <c r="BF321" s="131">
        <f>IF(N321="snížená",J321,0)</f>
        <v>0</v>
      </c>
      <c r="BG321" s="131">
        <f>IF(N321="zákl. přenesená",J321,0)</f>
        <v>0</v>
      </c>
      <c r="BH321" s="131">
        <f>IF(N321="sníž. přenesená",J321,0)</f>
        <v>0</v>
      </c>
      <c r="BI321" s="131">
        <f>IF(N321="nulová",J321,0)</f>
        <v>0</v>
      </c>
      <c r="BJ321" s="14" t="s">
        <v>19</v>
      </c>
      <c r="BK321" s="131">
        <f>ROUND(I321*H321,2)</f>
        <v>0</v>
      </c>
      <c r="BL321" s="14" t="s">
        <v>135</v>
      </c>
      <c r="BM321" s="130" t="s">
        <v>1142</v>
      </c>
    </row>
    <row r="322" spans="2:65" s="1" customFormat="1" ht="19.2">
      <c r="B322" s="26"/>
      <c r="D322" s="132" t="s">
        <v>143</v>
      </c>
      <c r="F322" s="133" t="s">
        <v>1143</v>
      </c>
      <c r="L322" s="26"/>
      <c r="M322" s="134"/>
      <c r="T322" s="50"/>
      <c r="AT322" s="14" t="s">
        <v>143</v>
      </c>
      <c r="AU322" s="14" t="s">
        <v>19</v>
      </c>
    </row>
    <row r="323" spans="2:65" s="1" customFormat="1" ht="67.2">
      <c r="B323" s="26"/>
      <c r="D323" s="132" t="s">
        <v>145</v>
      </c>
      <c r="F323" s="135" t="s">
        <v>1137</v>
      </c>
      <c r="L323" s="26"/>
      <c r="M323" s="134"/>
      <c r="T323" s="50"/>
      <c r="AT323" s="14" t="s">
        <v>145</v>
      </c>
      <c r="AU323" s="14" t="s">
        <v>19</v>
      </c>
    </row>
    <row r="324" spans="2:65" s="11" customFormat="1">
      <c r="B324" s="136"/>
      <c r="D324" s="132" t="s">
        <v>147</v>
      </c>
      <c r="E324" s="137" t="s">
        <v>1144</v>
      </c>
      <c r="F324" s="138" t="s">
        <v>1145</v>
      </c>
      <c r="H324" s="139">
        <v>145</v>
      </c>
      <c r="L324" s="136"/>
      <c r="M324" s="140"/>
      <c r="T324" s="141"/>
      <c r="AT324" s="137" t="s">
        <v>147</v>
      </c>
      <c r="AU324" s="137" t="s">
        <v>19</v>
      </c>
      <c r="AV324" s="11" t="s">
        <v>149</v>
      </c>
      <c r="AW324" s="11" t="s">
        <v>39</v>
      </c>
      <c r="AX324" s="11" t="s">
        <v>81</v>
      </c>
      <c r="AY324" s="137" t="s">
        <v>136</v>
      </c>
    </row>
    <row r="325" spans="2:65" s="11" customFormat="1">
      <c r="B325" s="136"/>
      <c r="D325" s="132" t="s">
        <v>147</v>
      </c>
      <c r="E325" s="137" t="s">
        <v>1146</v>
      </c>
      <c r="F325" s="138" t="s">
        <v>1147</v>
      </c>
      <c r="H325" s="139">
        <v>205</v>
      </c>
      <c r="L325" s="136"/>
      <c r="M325" s="140"/>
      <c r="T325" s="141"/>
      <c r="AT325" s="137" t="s">
        <v>147</v>
      </c>
      <c r="AU325" s="137" t="s">
        <v>19</v>
      </c>
      <c r="AV325" s="11" t="s">
        <v>149</v>
      </c>
      <c r="AW325" s="11" t="s">
        <v>39</v>
      </c>
      <c r="AX325" s="11" t="s">
        <v>81</v>
      </c>
      <c r="AY325" s="137" t="s">
        <v>136</v>
      </c>
    </row>
    <row r="326" spans="2:65" s="11" customFormat="1">
      <c r="B326" s="136"/>
      <c r="D326" s="132" t="s">
        <v>147</v>
      </c>
      <c r="E326" s="137" t="s">
        <v>1148</v>
      </c>
      <c r="F326" s="138" t="s">
        <v>1149</v>
      </c>
      <c r="H326" s="139">
        <v>350</v>
      </c>
      <c r="L326" s="136"/>
      <c r="M326" s="140"/>
      <c r="T326" s="141"/>
      <c r="AT326" s="137" t="s">
        <v>147</v>
      </c>
      <c r="AU326" s="137" t="s">
        <v>19</v>
      </c>
      <c r="AV326" s="11" t="s">
        <v>149</v>
      </c>
      <c r="AW326" s="11" t="s">
        <v>39</v>
      </c>
      <c r="AX326" s="11" t="s">
        <v>19</v>
      </c>
      <c r="AY326" s="137" t="s">
        <v>136</v>
      </c>
    </row>
    <row r="327" spans="2:65" s="10" customFormat="1" ht="25.95" customHeight="1">
      <c r="B327" s="110"/>
      <c r="D327" s="111" t="s">
        <v>80</v>
      </c>
      <c r="E327" s="112" t="s">
        <v>135</v>
      </c>
      <c r="F327" s="112" t="s">
        <v>498</v>
      </c>
      <c r="J327" s="113">
        <f>BK327</f>
        <v>0</v>
      </c>
      <c r="L327" s="110"/>
      <c r="M327" s="114"/>
      <c r="P327" s="115">
        <f>SUM(P328:P353)</f>
        <v>0</v>
      </c>
      <c r="R327" s="115">
        <f>SUM(R328:R353)</f>
        <v>0</v>
      </c>
      <c r="T327" s="116">
        <f>SUM(T328:T353)</f>
        <v>0</v>
      </c>
      <c r="AR327" s="111" t="s">
        <v>135</v>
      </c>
      <c r="AT327" s="117" t="s">
        <v>80</v>
      </c>
      <c r="AU327" s="117" t="s">
        <v>81</v>
      </c>
      <c r="AY327" s="111" t="s">
        <v>136</v>
      </c>
      <c r="BK327" s="118">
        <f>SUM(BK328:BK353)</f>
        <v>0</v>
      </c>
    </row>
    <row r="328" spans="2:65" s="1" customFormat="1" ht="16.5" customHeight="1">
      <c r="B328" s="119"/>
      <c r="C328" s="120" t="s">
        <v>532</v>
      </c>
      <c r="D328" s="120" t="s">
        <v>137</v>
      </c>
      <c r="E328" s="121" t="s">
        <v>1150</v>
      </c>
      <c r="F328" s="122" t="s">
        <v>1151</v>
      </c>
      <c r="G328" s="123" t="s">
        <v>216</v>
      </c>
      <c r="H328" s="124">
        <v>2.4500000000000002</v>
      </c>
      <c r="I328" s="125">
        <v>0</v>
      </c>
      <c r="J328" s="125">
        <f>ROUND(I328*H328,2)</f>
        <v>0</v>
      </c>
      <c r="K328" s="122" t="s">
        <v>141</v>
      </c>
      <c r="L328" s="26"/>
      <c r="M328" s="126" t="s">
        <v>1</v>
      </c>
      <c r="N328" s="127" t="s">
        <v>46</v>
      </c>
      <c r="O328" s="128">
        <v>0</v>
      </c>
      <c r="P328" s="128">
        <f>O328*H328</f>
        <v>0</v>
      </c>
      <c r="Q328" s="128">
        <v>0</v>
      </c>
      <c r="R328" s="128">
        <f>Q328*H328</f>
        <v>0</v>
      </c>
      <c r="S328" s="128">
        <v>0</v>
      </c>
      <c r="T328" s="129">
        <f>S328*H328</f>
        <v>0</v>
      </c>
      <c r="AR328" s="130" t="s">
        <v>135</v>
      </c>
      <c r="AT328" s="130" t="s">
        <v>137</v>
      </c>
      <c r="AU328" s="130" t="s">
        <v>19</v>
      </c>
      <c r="AY328" s="14" t="s">
        <v>136</v>
      </c>
      <c r="BE328" s="131">
        <f>IF(N328="základní",J328,0)</f>
        <v>0</v>
      </c>
      <c r="BF328" s="131">
        <f>IF(N328="snížená",J328,0)</f>
        <v>0</v>
      </c>
      <c r="BG328" s="131">
        <f>IF(N328="zákl. přenesená",J328,0)</f>
        <v>0</v>
      </c>
      <c r="BH328" s="131">
        <f>IF(N328="sníž. přenesená",J328,0)</f>
        <v>0</v>
      </c>
      <c r="BI328" s="131">
        <f>IF(N328="nulová",J328,0)</f>
        <v>0</v>
      </c>
      <c r="BJ328" s="14" t="s">
        <v>19</v>
      </c>
      <c r="BK328" s="131">
        <f>ROUND(I328*H328,2)</f>
        <v>0</v>
      </c>
      <c r="BL328" s="14" t="s">
        <v>135</v>
      </c>
      <c r="BM328" s="130" t="s">
        <v>1152</v>
      </c>
    </row>
    <row r="329" spans="2:65" s="1" customFormat="1">
      <c r="B329" s="26"/>
      <c r="D329" s="132" t="s">
        <v>143</v>
      </c>
      <c r="F329" s="133" t="s">
        <v>1151</v>
      </c>
      <c r="L329" s="26"/>
      <c r="M329" s="134"/>
      <c r="T329" s="50"/>
      <c r="AT329" s="14" t="s">
        <v>143</v>
      </c>
      <c r="AU329" s="14" t="s">
        <v>19</v>
      </c>
    </row>
    <row r="330" spans="2:65" s="1" customFormat="1" ht="297.60000000000002">
      <c r="B330" s="26"/>
      <c r="D330" s="132" t="s">
        <v>145</v>
      </c>
      <c r="F330" s="135" t="s">
        <v>503</v>
      </c>
      <c r="L330" s="26"/>
      <c r="M330" s="134"/>
      <c r="T330" s="50"/>
      <c r="AT330" s="14" t="s">
        <v>145</v>
      </c>
      <c r="AU330" s="14" t="s">
        <v>19</v>
      </c>
    </row>
    <row r="331" spans="2:65" s="11" customFormat="1">
      <c r="B331" s="136"/>
      <c r="D331" s="132" t="s">
        <v>147</v>
      </c>
      <c r="E331" s="137" t="s">
        <v>1153</v>
      </c>
      <c r="F331" s="138" t="s">
        <v>1154</v>
      </c>
      <c r="H331" s="139">
        <v>0.60000000000000009</v>
      </c>
      <c r="L331" s="136"/>
      <c r="M331" s="140"/>
      <c r="T331" s="141"/>
      <c r="AT331" s="137" t="s">
        <v>147</v>
      </c>
      <c r="AU331" s="137" t="s">
        <v>19</v>
      </c>
      <c r="AV331" s="11" t="s">
        <v>149</v>
      </c>
      <c r="AW331" s="11" t="s">
        <v>39</v>
      </c>
      <c r="AX331" s="11" t="s">
        <v>81</v>
      </c>
      <c r="AY331" s="137" t="s">
        <v>136</v>
      </c>
    </row>
    <row r="332" spans="2:65" s="11" customFormat="1">
      <c r="B332" s="136"/>
      <c r="D332" s="132" t="s">
        <v>147</v>
      </c>
      <c r="E332" s="137" t="s">
        <v>1155</v>
      </c>
      <c r="F332" s="138" t="s">
        <v>1156</v>
      </c>
      <c r="H332" s="139">
        <v>0.2</v>
      </c>
      <c r="L332" s="136"/>
      <c r="M332" s="140"/>
      <c r="T332" s="141"/>
      <c r="AT332" s="137" t="s">
        <v>147</v>
      </c>
      <c r="AU332" s="137" t="s">
        <v>19</v>
      </c>
      <c r="AV332" s="11" t="s">
        <v>149</v>
      </c>
      <c r="AW332" s="11" t="s">
        <v>39</v>
      </c>
      <c r="AX332" s="11" t="s">
        <v>81</v>
      </c>
      <c r="AY332" s="137" t="s">
        <v>136</v>
      </c>
    </row>
    <row r="333" spans="2:65" s="11" customFormat="1">
      <c r="B333" s="136"/>
      <c r="D333" s="132" t="s">
        <v>147</v>
      </c>
      <c r="E333" s="137" t="s">
        <v>1157</v>
      </c>
      <c r="F333" s="138" t="s">
        <v>1158</v>
      </c>
      <c r="H333" s="139">
        <v>1.6500000000000001</v>
      </c>
      <c r="L333" s="136"/>
      <c r="M333" s="140"/>
      <c r="T333" s="141"/>
      <c r="AT333" s="137" t="s">
        <v>147</v>
      </c>
      <c r="AU333" s="137" t="s">
        <v>19</v>
      </c>
      <c r="AV333" s="11" t="s">
        <v>149</v>
      </c>
      <c r="AW333" s="11" t="s">
        <v>39</v>
      </c>
      <c r="AX333" s="11" t="s">
        <v>81</v>
      </c>
      <c r="AY333" s="137" t="s">
        <v>136</v>
      </c>
    </row>
    <row r="334" spans="2:65" s="11" customFormat="1">
      <c r="B334" s="136"/>
      <c r="D334" s="132" t="s">
        <v>147</v>
      </c>
      <c r="E334" s="137" t="s">
        <v>1159</v>
      </c>
      <c r="F334" s="138" t="s">
        <v>1160</v>
      </c>
      <c r="H334" s="139">
        <v>2.4500000000000002</v>
      </c>
      <c r="L334" s="136"/>
      <c r="M334" s="140"/>
      <c r="T334" s="141"/>
      <c r="AT334" s="137" t="s">
        <v>147</v>
      </c>
      <c r="AU334" s="137" t="s">
        <v>19</v>
      </c>
      <c r="AV334" s="11" t="s">
        <v>149</v>
      </c>
      <c r="AW334" s="11" t="s">
        <v>39</v>
      </c>
      <c r="AX334" s="11" t="s">
        <v>19</v>
      </c>
      <c r="AY334" s="137" t="s">
        <v>136</v>
      </c>
    </row>
    <row r="335" spans="2:65" s="1" customFormat="1" ht="24.15" customHeight="1">
      <c r="B335" s="119"/>
      <c r="C335" s="120" t="s">
        <v>539</v>
      </c>
      <c r="D335" s="120" t="s">
        <v>137</v>
      </c>
      <c r="E335" s="121" t="s">
        <v>507</v>
      </c>
      <c r="F335" s="122" t="s">
        <v>508</v>
      </c>
      <c r="G335" s="123" t="s">
        <v>216</v>
      </c>
      <c r="H335" s="124">
        <v>14.44</v>
      </c>
      <c r="I335" s="125">
        <v>0</v>
      </c>
      <c r="J335" s="125">
        <f>ROUND(I335*H335,2)</f>
        <v>0</v>
      </c>
      <c r="K335" s="122" t="s">
        <v>141</v>
      </c>
      <c r="L335" s="26"/>
      <c r="M335" s="126" t="s">
        <v>1</v>
      </c>
      <c r="N335" s="127" t="s">
        <v>46</v>
      </c>
      <c r="O335" s="128">
        <v>0</v>
      </c>
      <c r="P335" s="128">
        <f>O335*H335</f>
        <v>0</v>
      </c>
      <c r="Q335" s="128">
        <v>0</v>
      </c>
      <c r="R335" s="128">
        <f>Q335*H335</f>
        <v>0</v>
      </c>
      <c r="S335" s="128">
        <v>0</v>
      </c>
      <c r="T335" s="129">
        <f>S335*H335</f>
        <v>0</v>
      </c>
      <c r="AR335" s="130" t="s">
        <v>135</v>
      </c>
      <c r="AT335" s="130" t="s">
        <v>137</v>
      </c>
      <c r="AU335" s="130" t="s">
        <v>19</v>
      </c>
      <c r="AY335" s="14" t="s">
        <v>136</v>
      </c>
      <c r="BE335" s="131">
        <f>IF(N335="základní",J335,0)</f>
        <v>0</v>
      </c>
      <c r="BF335" s="131">
        <f>IF(N335="snížená",J335,0)</f>
        <v>0</v>
      </c>
      <c r="BG335" s="131">
        <f>IF(N335="zákl. přenesená",J335,0)</f>
        <v>0</v>
      </c>
      <c r="BH335" s="131">
        <f>IF(N335="sníž. přenesená",J335,0)</f>
        <v>0</v>
      </c>
      <c r="BI335" s="131">
        <f>IF(N335="nulová",J335,0)</f>
        <v>0</v>
      </c>
      <c r="BJ335" s="14" t="s">
        <v>19</v>
      </c>
      <c r="BK335" s="131">
        <f>ROUND(I335*H335,2)</f>
        <v>0</v>
      </c>
      <c r="BL335" s="14" t="s">
        <v>135</v>
      </c>
      <c r="BM335" s="130" t="s">
        <v>1161</v>
      </c>
    </row>
    <row r="336" spans="2:65" s="1" customFormat="1">
      <c r="B336" s="26"/>
      <c r="D336" s="132" t="s">
        <v>143</v>
      </c>
      <c r="F336" s="133" t="s">
        <v>1162</v>
      </c>
      <c r="L336" s="26"/>
      <c r="M336" s="134"/>
      <c r="T336" s="50"/>
      <c r="AT336" s="14" t="s">
        <v>143</v>
      </c>
      <c r="AU336" s="14" t="s">
        <v>19</v>
      </c>
    </row>
    <row r="337" spans="2:65" s="1" customFormat="1" ht="48">
      <c r="B337" s="26"/>
      <c r="D337" s="132" t="s">
        <v>145</v>
      </c>
      <c r="F337" s="135" t="s">
        <v>511</v>
      </c>
      <c r="L337" s="26"/>
      <c r="M337" s="134"/>
      <c r="T337" s="50"/>
      <c r="AT337" s="14" t="s">
        <v>145</v>
      </c>
      <c r="AU337" s="14" t="s">
        <v>19</v>
      </c>
    </row>
    <row r="338" spans="2:65" s="11" customFormat="1">
      <c r="B338" s="136"/>
      <c r="D338" s="132" t="s">
        <v>147</v>
      </c>
      <c r="E338" s="137" t="s">
        <v>1163</v>
      </c>
      <c r="F338" s="138" t="s">
        <v>1164</v>
      </c>
      <c r="H338" s="139">
        <v>0.4</v>
      </c>
      <c r="L338" s="136"/>
      <c r="M338" s="140"/>
      <c r="T338" s="141"/>
      <c r="AT338" s="137" t="s">
        <v>147</v>
      </c>
      <c r="AU338" s="137" t="s">
        <v>19</v>
      </c>
      <c r="AV338" s="11" t="s">
        <v>149</v>
      </c>
      <c r="AW338" s="11" t="s">
        <v>39</v>
      </c>
      <c r="AX338" s="11" t="s">
        <v>81</v>
      </c>
      <c r="AY338" s="137" t="s">
        <v>136</v>
      </c>
    </row>
    <row r="339" spans="2:65" s="11" customFormat="1">
      <c r="B339" s="136"/>
      <c r="D339" s="132" t="s">
        <v>147</v>
      </c>
      <c r="E339" s="137" t="s">
        <v>1165</v>
      </c>
      <c r="F339" s="138" t="s">
        <v>1166</v>
      </c>
      <c r="H339" s="139">
        <v>1.2000000000000002</v>
      </c>
      <c r="L339" s="136"/>
      <c r="M339" s="140"/>
      <c r="T339" s="141"/>
      <c r="AT339" s="137" t="s">
        <v>147</v>
      </c>
      <c r="AU339" s="137" t="s">
        <v>19</v>
      </c>
      <c r="AV339" s="11" t="s">
        <v>149</v>
      </c>
      <c r="AW339" s="11" t="s">
        <v>39</v>
      </c>
      <c r="AX339" s="11" t="s">
        <v>81</v>
      </c>
      <c r="AY339" s="137" t="s">
        <v>136</v>
      </c>
    </row>
    <row r="340" spans="2:65" s="11" customFormat="1">
      <c r="B340" s="136"/>
      <c r="D340" s="132" t="s">
        <v>147</v>
      </c>
      <c r="E340" s="137" t="s">
        <v>1167</v>
      </c>
      <c r="F340" s="138" t="s">
        <v>1168</v>
      </c>
      <c r="H340" s="139">
        <v>0.25</v>
      </c>
      <c r="L340" s="136"/>
      <c r="M340" s="140"/>
      <c r="T340" s="141"/>
      <c r="AT340" s="137" t="s">
        <v>147</v>
      </c>
      <c r="AU340" s="137" t="s">
        <v>19</v>
      </c>
      <c r="AV340" s="11" t="s">
        <v>149</v>
      </c>
      <c r="AW340" s="11" t="s">
        <v>39</v>
      </c>
      <c r="AX340" s="11" t="s">
        <v>81</v>
      </c>
      <c r="AY340" s="137" t="s">
        <v>136</v>
      </c>
    </row>
    <row r="341" spans="2:65" s="11" customFormat="1">
      <c r="B341" s="136"/>
      <c r="D341" s="132" t="s">
        <v>147</v>
      </c>
      <c r="E341" s="137" t="s">
        <v>1169</v>
      </c>
      <c r="F341" s="138" t="s">
        <v>1170</v>
      </c>
      <c r="H341" s="139">
        <v>0.8</v>
      </c>
      <c r="L341" s="136"/>
      <c r="M341" s="140"/>
      <c r="T341" s="141"/>
      <c r="AT341" s="137" t="s">
        <v>147</v>
      </c>
      <c r="AU341" s="137" t="s">
        <v>19</v>
      </c>
      <c r="AV341" s="11" t="s">
        <v>149</v>
      </c>
      <c r="AW341" s="11" t="s">
        <v>39</v>
      </c>
      <c r="AX341" s="11" t="s">
        <v>81</v>
      </c>
      <c r="AY341" s="137" t="s">
        <v>136</v>
      </c>
    </row>
    <row r="342" spans="2:65" s="11" customFormat="1">
      <c r="B342" s="136"/>
      <c r="D342" s="132" t="s">
        <v>147</v>
      </c>
      <c r="E342" s="137" t="s">
        <v>1171</v>
      </c>
      <c r="F342" s="138" t="s">
        <v>1172</v>
      </c>
      <c r="H342" s="139">
        <v>1.6500000000000001</v>
      </c>
      <c r="L342" s="136"/>
      <c r="M342" s="140"/>
      <c r="T342" s="141"/>
      <c r="AT342" s="137" t="s">
        <v>147</v>
      </c>
      <c r="AU342" s="137" t="s">
        <v>19</v>
      </c>
      <c r="AV342" s="11" t="s">
        <v>149</v>
      </c>
      <c r="AW342" s="11" t="s">
        <v>39</v>
      </c>
      <c r="AX342" s="11" t="s">
        <v>81</v>
      </c>
      <c r="AY342" s="137" t="s">
        <v>136</v>
      </c>
    </row>
    <row r="343" spans="2:65" s="11" customFormat="1">
      <c r="B343" s="136"/>
      <c r="D343" s="132" t="s">
        <v>147</v>
      </c>
      <c r="E343" s="137" t="s">
        <v>1173</v>
      </c>
      <c r="F343" s="138" t="s">
        <v>1174</v>
      </c>
      <c r="H343" s="139">
        <v>6.7</v>
      </c>
      <c r="L343" s="136"/>
      <c r="M343" s="140"/>
      <c r="T343" s="141"/>
      <c r="AT343" s="137" t="s">
        <v>147</v>
      </c>
      <c r="AU343" s="137" t="s">
        <v>19</v>
      </c>
      <c r="AV343" s="11" t="s">
        <v>149</v>
      </c>
      <c r="AW343" s="11" t="s">
        <v>39</v>
      </c>
      <c r="AX343" s="11" t="s">
        <v>81</v>
      </c>
      <c r="AY343" s="137" t="s">
        <v>136</v>
      </c>
    </row>
    <row r="344" spans="2:65" s="11" customFormat="1">
      <c r="B344" s="136"/>
      <c r="D344" s="132" t="s">
        <v>147</v>
      </c>
      <c r="E344" s="137" t="s">
        <v>1175</v>
      </c>
      <c r="F344" s="138" t="s">
        <v>1176</v>
      </c>
      <c r="H344" s="139">
        <v>3.44</v>
      </c>
      <c r="L344" s="136"/>
      <c r="M344" s="140"/>
      <c r="T344" s="141"/>
      <c r="AT344" s="137" t="s">
        <v>147</v>
      </c>
      <c r="AU344" s="137" t="s">
        <v>19</v>
      </c>
      <c r="AV344" s="11" t="s">
        <v>149</v>
      </c>
      <c r="AW344" s="11" t="s">
        <v>39</v>
      </c>
      <c r="AX344" s="11" t="s">
        <v>81</v>
      </c>
      <c r="AY344" s="137" t="s">
        <v>136</v>
      </c>
    </row>
    <row r="345" spans="2:65" s="11" customFormat="1">
      <c r="B345" s="136"/>
      <c r="D345" s="132" t="s">
        <v>147</v>
      </c>
      <c r="E345" s="137" t="s">
        <v>1177</v>
      </c>
      <c r="F345" s="138" t="s">
        <v>1178</v>
      </c>
      <c r="H345" s="139">
        <v>14.44</v>
      </c>
      <c r="L345" s="136"/>
      <c r="M345" s="140"/>
      <c r="T345" s="141"/>
      <c r="AT345" s="137" t="s">
        <v>147</v>
      </c>
      <c r="AU345" s="137" t="s">
        <v>19</v>
      </c>
      <c r="AV345" s="11" t="s">
        <v>149</v>
      </c>
      <c r="AW345" s="11" t="s">
        <v>39</v>
      </c>
      <c r="AX345" s="11" t="s">
        <v>19</v>
      </c>
      <c r="AY345" s="137" t="s">
        <v>136</v>
      </c>
    </row>
    <row r="346" spans="2:65" s="1" customFormat="1" ht="16.5" customHeight="1">
      <c r="B346" s="119"/>
      <c r="C346" s="120" t="s">
        <v>547</v>
      </c>
      <c r="D346" s="120" t="s">
        <v>137</v>
      </c>
      <c r="E346" s="121" t="s">
        <v>1179</v>
      </c>
      <c r="F346" s="122" t="s">
        <v>1180</v>
      </c>
      <c r="G346" s="123" t="s">
        <v>260</v>
      </c>
      <c r="H346" s="124">
        <v>77.400000000000006</v>
      </c>
      <c r="I346" s="125">
        <v>0</v>
      </c>
      <c r="J346" s="125">
        <f>ROUND(I346*H346,2)</f>
        <v>0</v>
      </c>
      <c r="K346" s="122" t="s">
        <v>141</v>
      </c>
      <c r="L346" s="26"/>
      <c r="M346" s="126" t="s">
        <v>1</v>
      </c>
      <c r="N346" s="127" t="s">
        <v>46</v>
      </c>
      <c r="O346" s="128">
        <v>0</v>
      </c>
      <c r="P346" s="128">
        <f>O346*H346</f>
        <v>0</v>
      </c>
      <c r="Q346" s="128">
        <v>0</v>
      </c>
      <c r="R346" s="128">
        <f>Q346*H346</f>
        <v>0</v>
      </c>
      <c r="S346" s="128">
        <v>0</v>
      </c>
      <c r="T346" s="129">
        <f>S346*H346</f>
        <v>0</v>
      </c>
      <c r="AR346" s="130" t="s">
        <v>135</v>
      </c>
      <c r="AT346" s="130" t="s">
        <v>137</v>
      </c>
      <c r="AU346" s="130" t="s">
        <v>19</v>
      </c>
      <c r="AY346" s="14" t="s">
        <v>136</v>
      </c>
      <c r="BE346" s="131">
        <f>IF(N346="základní",J346,0)</f>
        <v>0</v>
      </c>
      <c r="BF346" s="131">
        <f>IF(N346="snížená",J346,0)</f>
        <v>0</v>
      </c>
      <c r="BG346" s="131">
        <f>IF(N346="zákl. přenesená",J346,0)</f>
        <v>0</v>
      </c>
      <c r="BH346" s="131">
        <f>IF(N346="sníž. přenesená",J346,0)</f>
        <v>0</v>
      </c>
      <c r="BI346" s="131">
        <f>IF(N346="nulová",J346,0)</f>
        <v>0</v>
      </c>
      <c r="BJ346" s="14" t="s">
        <v>19</v>
      </c>
      <c r="BK346" s="131">
        <f>ROUND(I346*H346,2)</f>
        <v>0</v>
      </c>
      <c r="BL346" s="14" t="s">
        <v>135</v>
      </c>
      <c r="BM346" s="130" t="s">
        <v>1181</v>
      </c>
    </row>
    <row r="347" spans="2:65" s="1" customFormat="1">
      <c r="B347" s="26"/>
      <c r="D347" s="132" t="s">
        <v>143</v>
      </c>
      <c r="F347" s="133" t="s">
        <v>1180</v>
      </c>
      <c r="L347" s="26"/>
      <c r="M347" s="134"/>
      <c r="T347" s="50"/>
      <c r="AT347" s="14" t="s">
        <v>143</v>
      </c>
      <c r="AU347" s="14" t="s">
        <v>19</v>
      </c>
    </row>
    <row r="348" spans="2:65" s="1" customFormat="1" ht="96">
      <c r="B348" s="26"/>
      <c r="D348" s="132" t="s">
        <v>145</v>
      </c>
      <c r="F348" s="135" t="s">
        <v>1182</v>
      </c>
      <c r="L348" s="26"/>
      <c r="M348" s="134"/>
      <c r="T348" s="50"/>
      <c r="AT348" s="14" t="s">
        <v>145</v>
      </c>
      <c r="AU348" s="14" t="s">
        <v>19</v>
      </c>
    </row>
    <row r="349" spans="2:65" s="11" customFormat="1">
      <c r="B349" s="136"/>
      <c r="D349" s="132" t="s">
        <v>147</v>
      </c>
      <c r="E349" s="137" t="s">
        <v>1183</v>
      </c>
      <c r="F349" s="138" t="s">
        <v>1184</v>
      </c>
      <c r="H349" s="139">
        <v>77.400000000000006</v>
      </c>
      <c r="L349" s="136"/>
      <c r="M349" s="140"/>
      <c r="T349" s="141"/>
      <c r="AT349" s="137" t="s">
        <v>147</v>
      </c>
      <c r="AU349" s="137" t="s">
        <v>19</v>
      </c>
      <c r="AV349" s="11" t="s">
        <v>149</v>
      </c>
      <c r="AW349" s="11" t="s">
        <v>39</v>
      </c>
      <c r="AX349" s="11" t="s">
        <v>19</v>
      </c>
      <c r="AY349" s="137" t="s">
        <v>136</v>
      </c>
    </row>
    <row r="350" spans="2:65" s="1" customFormat="1" ht="24.15" customHeight="1">
      <c r="B350" s="119"/>
      <c r="C350" s="120" t="s">
        <v>554</v>
      </c>
      <c r="D350" s="120" t="s">
        <v>137</v>
      </c>
      <c r="E350" s="121" t="s">
        <v>540</v>
      </c>
      <c r="F350" s="122" t="s">
        <v>541</v>
      </c>
      <c r="G350" s="123" t="s">
        <v>260</v>
      </c>
      <c r="H350" s="124">
        <v>2.4</v>
      </c>
      <c r="I350" s="125">
        <v>0</v>
      </c>
      <c r="J350" s="125">
        <f>ROUND(I350*H350,2)</f>
        <v>0</v>
      </c>
      <c r="K350" s="122" t="s">
        <v>141</v>
      </c>
      <c r="L350" s="26"/>
      <c r="M350" s="126" t="s">
        <v>1</v>
      </c>
      <c r="N350" s="127" t="s">
        <v>46</v>
      </c>
      <c r="O350" s="128">
        <v>0</v>
      </c>
      <c r="P350" s="128">
        <f>O350*H350</f>
        <v>0</v>
      </c>
      <c r="Q350" s="128">
        <v>0</v>
      </c>
      <c r="R350" s="128">
        <f>Q350*H350</f>
        <v>0</v>
      </c>
      <c r="S350" s="128">
        <v>0</v>
      </c>
      <c r="T350" s="129">
        <f>S350*H350</f>
        <v>0</v>
      </c>
      <c r="AR350" s="130" t="s">
        <v>135</v>
      </c>
      <c r="AT350" s="130" t="s">
        <v>137</v>
      </c>
      <c r="AU350" s="130" t="s">
        <v>19</v>
      </c>
      <c r="AY350" s="14" t="s">
        <v>136</v>
      </c>
      <c r="BE350" s="131">
        <f>IF(N350="základní",J350,0)</f>
        <v>0</v>
      </c>
      <c r="BF350" s="131">
        <f>IF(N350="snížená",J350,0)</f>
        <v>0</v>
      </c>
      <c r="BG350" s="131">
        <f>IF(N350="zákl. přenesená",J350,0)</f>
        <v>0</v>
      </c>
      <c r="BH350" s="131">
        <f>IF(N350="sníž. přenesená",J350,0)</f>
        <v>0</v>
      </c>
      <c r="BI350" s="131">
        <f>IF(N350="nulová",J350,0)</f>
        <v>0</v>
      </c>
      <c r="BJ350" s="14" t="s">
        <v>19</v>
      </c>
      <c r="BK350" s="131">
        <f>ROUND(I350*H350,2)</f>
        <v>0</v>
      </c>
      <c r="BL350" s="14" t="s">
        <v>135</v>
      </c>
      <c r="BM350" s="130" t="s">
        <v>1185</v>
      </c>
    </row>
    <row r="351" spans="2:65" s="1" customFormat="1">
      <c r="B351" s="26"/>
      <c r="D351" s="132" t="s">
        <v>143</v>
      </c>
      <c r="F351" s="133" t="s">
        <v>541</v>
      </c>
      <c r="L351" s="26"/>
      <c r="M351" s="134"/>
      <c r="T351" s="50"/>
      <c r="AT351" s="14" t="s">
        <v>143</v>
      </c>
      <c r="AU351" s="14" t="s">
        <v>19</v>
      </c>
    </row>
    <row r="352" spans="2:65" s="1" customFormat="1" ht="105.6">
      <c r="B352" s="26"/>
      <c r="D352" s="132" t="s">
        <v>145</v>
      </c>
      <c r="F352" s="135" t="s">
        <v>543</v>
      </c>
      <c r="L352" s="26"/>
      <c r="M352" s="134"/>
      <c r="T352" s="50"/>
      <c r="AT352" s="14" t="s">
        <v>145</v>
      </c>
      <c r="AU352" s="14" t="s">
        <v>19</v>
      </c>
    </row>
    <row r="353" spans="2:65" s="11" customFormat="1">
      <c r="B353" s="136"/>
      <c r="D353" s="132" t="s">
        <v>147</v>
      </c>
      <c r="E353" s="137" t="s">
        <v>1186</v>
      </c>
      <c r="F353" s="138" t="s">
        <v>1187</v>
      </c>
      <c r="H353" s="139">
        <v>2.4</v>
      </c>
      <c r="L353" s="136"/>
      <c r="M353" s="140"/>
      <c r="T353" s="141"/>
      <c r="AT353" s="137" t="s">
        <v>147</v>
      </c>
      <c r="AU353" s="137" t="s">
        <v>19</v>
      </c>
      <c r="AV353" s="11" t="s">
        <v>149</v>
      </c>
      <c r="AW353" s="11" t="s">
        <v>39</v>
      </c>
      <c r="AX353" s="11" t="s">
        <v>19</v>
      </c>
      <c r="AY353" s="137" t="s">
        <v>136</v>
      </c>
    </row>
    <row r="354" spans="2:65" s="10" customFormat="1" ht="25.95" customHeight="1">
      <c r="B354" s="110"/>
      <c r="D354" s="111" t="s">
        <v>80</v>
      </c>
      <c r="E354" s="112" t="s">
        <v>169</v>
      </c>
      <c r="F354" s="112" t="s">
        <v>546</v>
      </c>
      <c r="J354" s="113">
        <f>BK354</f>
        <v>0</v>
      </c>
      <c r="L354" s="110"/>
      <c r="M354" s="114"/>
      <c r="P354" s="115">
        <f>SUM(P355:P461)</f>
        <v>0</v>
      </c>
      <c r="R354" s="115">
        <f>SUM(R355:R461)</f>
        <v>0</v>
      </c>
      <c r="T354" s="116">
        <f>SUM(T355:T461)</f>
        <v>0</v>
      </c>
      <c r="AR354" s="111" t="s">
        <v>135</v>
      </c>
      <c r="AT354" s="117" t="s">
        <v>80</v>
      </c>
      <c r="AU354" s="117" t="s">
        <v>81</v>
      </c>
      <c r="AY354" s="111" t="s">
        <v>136</v>
      </c>
      <c r="BK354" s="118">
        <f>SUM(BK355:BK461)</f>
        <v>0</v>
      </c>
    </row>
    <row r="355" spans="2:65" s="1" customFormat="1" ht="24.15" customHeight="1">
      <c r="B355" s="119"/>
      <c r="C355" s="120" t="s">
        <v>561</v>
      </c>
      <c r="D355" s="120" t="s">
        <v>137</v>
      </c>
      <c r="E355" s="121" t="s">
        <v>1188</v>
      </c>
      <c r="F355" s="122" t="s">
        <v>1189</v>
      </c>
      <c r="G355" s="123" t="s">
        <v>216</v>
      </c>
      <c r="H355" s="124">
        <v>21.75</v>
      </c>
      <c r="I355" s="125">
        <v>0</v>
      </c>
      <c r="J355" s="125">
        <f>ROUND(I355*H355,2)</f>
        <v>0</v>
      </c>
      <c r="K355" s="122" t="s">
        <v>141</v>
      </c>
      <c r="L355" s="26"/>
      <c r="M355" s="126" t="s">
        <v>1</v>
      </c>
      <c r="N355" s="127" t="s">
        <v>46</v>
      </c>
      <c r="O355" s="128">
        <v>0</v>
      </c>
      <c r="P355" s="128">
        <f>O355*H355</f>
        <v>0</v>
      </c>
      <c r="Q355" s="128">
        <v>0</v>
      </c>
      <c r="R355" s="128">
        <f>Q355*H355</f>
        <v>0</v>
      </c>
      <c r="S355" s="128">
        <v>0</v>
      </c>
      <c r="T355" s="129">
        <f>S355*H355</f>
        <v>0</v>
      </c>
      <c r="AR355" s="130" t="s">
        <v>135</v>
      </c>
      <c r="AT355" s="130" t="s">
        <v>137</v>
      </c>
      <c r="AU355" s="130" t="s">
        <v>19</v>
      </c>
      <c r="AY355" s="14" t="s">
        <v>136</v>
      </c>
      <c r="BE355" s="131">
        <f>IF(N355="základní",J355,0)</f>
        <v>0</v>
      </c>
      <c r="BF355" s="131">
        <f>IF(N355="snížená",J355,0)</f>
        <v>0</v>
      </c>
      <c r="BG355" s="131">
        <f>IF(N355="zákl. přenesená",J355,0)</f>
        <v>0</v>
      </c>
      <c r="BH355" s="131">
        <f>IF(N355="sníž. přenesená",J355,0)</f>
        <v>0</v>
      </c>
      <c r="BI355" s="131">
        <f>IF(N355="nulová",J355,0)</f>
        <v>0</v>
      </c>
      <c r="BJ355" s="14" t="s">
        <v>19</v>
      </c>
      <c r="BK355" s="131">
        <f>ROUND(I355*H355,2)</f>
        <v>0</v>
      </c>
      <c r="BL355" s="14" t="s">
        <v>135</v>
      </c>
      <c r="BM355" s="130" t="s">
        <v>1190</v>
      </c>
    </row>
    <row r="356" spans="2:65" s="1" customFormat="1">
      <c r="B356" s="26"/>
      <c r="D356" s="132" t="s">
        <v>143</v>
      </c>
      <c r="F356" s="133" t="s">
        <v>1191</v>
      </c>
      <c r="L356" s="26"/>
      <c r="M356" s="134"/>
      <c r="T356" s="50"/>
      <c r="AT356" s="14" t="s">
        <v>143</v>
      </c>
      <c r="AU356" s="14" t="s">
        <v>19</v>
      </c>
    </row>
    <row r="357" spans="2:65" s="1" customFormat="1" ht="76.8">
      <c r="B357" s="26"/>
      <c r="D357" s="132" t="s">
        <v>145</v>
      </c>
      <c r="F357" s="135" t="s">
        <v>1192</v>
      </c>
      <c r="L357" s="26"/>
      <c r="M357" s="134"/>
      <c r="T357" s="50"/>
      <c r="AT357" s="14" t="s">
        <v>145</v>
      </c>
      <c r="AU357" s="14" t="s">
        <v>19</v>
      </c>
    </row>
    <row r="358" spans="2:65" s="11" customFormat="1">
      <c r="B358" s="136"/>
      <c r="D358" s="132" t="s">
        <v>147</v>
      </c>
      <c r="E358" s="137" t="s">
        <v>1193</v>
      </c>
      <c r="F358" s="138" t="s">
        <v>1194</v>
      </c>
      <c r="H358" s="139">
        <v>21.75</v>
      </c>
      <c r="L358" s="136"/>
      <c r="M358" s="140"/>
      <c r="T358" s="141"/>
      <c r="AT358" s="137" t="s">
        <v>147</v>
      </c>
      <c r="AU358" s="137" t="s">
        <v>19</v>
      </c>
      <c r="AV358" s="11" t="s">
        <v>149</v>
      </c>
      <c r="AW358" s="11" t="s">
        <v>39</v>
      </c>
      <c r="AX358" s="11" t="s">
        <v>19</v>
      </c>
      <c r="AY358" s="137" t="s">
        <v>136</v>
      </c>
    </row>
    <row r="359" spans="2:65" s="1" customFormat="1" ht="24.15" customHeight="1">
      <c r="B359" s="119"/>
      <c r="C359" s="120" t="s">
        <v>580</v>
      </c>
      <c r="D359" s="120" t="s">
        <v>137</v>
      </c>
      <c r="E359" s="121" t="s">
        <v>1195</v>
      </c>
      <c r="F359" s="122" t="s">
        <v>1196</v>
      </c>
      <c r="G359" s="123" t="s">
        <v>216</v>
      </c>
      <c r="H359" s="124">
        <v>8.6</v>
      </c>
      <c r="I359" s="125">
        <v>0</v>
      </c>
      <c r="J359" s="125">
        <f>ROUND(I359*H359,2)</f>
        <v>0</v>
      </c>
      <c r="K359" s="122" t="s">
        <v>141</v>
      </c>
      <c r="L359" s="26"/>
      <c r="M359" s="126" t="s">
        <v>1</v>
      </c>
      <c r="N359" s="127" t="s">
        <v>46</v>
      </c>
      <c r="O359" s="128">
        <v>0</v>
      </c>
      <c r="P359" s="128">
        <f>O359*H359</f>
        <v>0</v>
      </c>
      <c r="Q359" s="128">
        <v>0</v>
      </c>
      <c r="R359" s="128">
        <f>Q359*H359</f>
        <v>0</v>
      </c>
      <c r="S359" s="128">
        <v>0</v>
      </c>
      <c r="T359" s="129">
        <f>S359*H359</f>
        <v>0</v>
      </c>
      <c r="AR359" s="130" t="s">
        <v>135</v>
      </c>
      <c r="AT359" s="130" t="s">
        <v>137</v>
      </c>
      <c r="AU359" s="130" t="s">
        <v>19</v>
      </c>
      <c r="AY359" s="14" t="s">
        <v>136</v>
      </c>
      <c r="BE359" s="131">
        <f>IF(N359="základní",J359,0)</f>
        <v>0</v>
      </c>
      <c r="BF359" s="131">
        <f>IF(N359="snížená",J359,0)</f>
        <v>0</v>
      </c>
      <c r="BG359" s="131">
        <f>IF(N359="zákl. přenesená",J359,0)</f>
        <v>0</v>
      </c>
      <c r="BH359" s="131">
        <f>IF(N359="sníž. přenesená",J359,0)</f>
        <v>0</v>
      </c>
      <c r="BI359" s="131">
        <f>IF(N359="nulová",J359,0)</f>
        <v>0</v>
      </c>
      <c r="BJ359" s="14" t="s">
        <v>19</v>
      </c>
      <c r="BK359" s="131">
        <f>ROUND(I359*H359,2)</f>
        <v>0</v>
      </c>
      <c r="BL359" s="14" t="s">
        <v>135</v>
      </c>
      <c r="BM359" s="130" t="s">
        <v>1197</v>
      </c>
    </row>
    <row r="360" spans="2:65" s="1" customFormat="1" ht="19.2">
      <c r="B360" s="26"/>
      <c r="D360" s="132" t="s">
        <v>143</v>
      </c>
      <c r="F360" s="133" t="s">
        <v>1196</v>
      </c>
      <c r="L360" s="26"/>
      <c r="M360" s="134"/>
      <c r="T360" s="50"/>
      <c r="AT360" s="14" t="s">
        <v>143</v>
      </c>
      <c r="AU360" s="14" t="s">
        <v>19</v>
      </c>
    </row>
    <row r="361" spans="2:65" s="1" customFormat="1" ht="48">
      <c r="B361" s="26"/>
      <c r="D361" s="132" t="s">
        <v>145</v>
      </c>
      <c r="F361" s="135" t="s">
        <v>1198</v>
      </c>
      <c r="L361" s="26"/>
      <c r="M361" s="134"/>
      <c r="T361" s="50"/>
      <c r="AT361" s="14" t="s">
        <v>145</v>
      </c>
      <c r="AU361" s="14" t="s">
        <v>19</v>
      </c>
    </row>
    <row r="362" spans="2:65" s="11" customFormat="1">
      <c r="B362" s="136"/>
      <c r="D362" s="132" t="s">
        <v>147</v>
      </c>
      <c r="E362" s="137" t="s">
        <v>1199</v>
      </c>
      <c r="F362" s="138" t="s">
        <v>1200</v>
      </c>
      <c r="H362" s="139">
        <v>8.6</v>
      </c>
      <c r="L362" s="136"/>
      <c r="M362" s="140"/>
      <c r="T362" s="141"/>
      <c r="AT362" s="137" t="s">
        <v>147</v>
      </c>
      <c r="AU362" s="137" t="s">
        <v>19</v>
      </c>
      <c r="AV362" s="11" t="s">
        <v>149</v>
      </c>
      <c r="AW362" s="11" t="s">
        <v>39</v>
      </c>
      <c r="AX362" s="11" t="s">
        <v>19</v>
      </c>
      <c r="AY362" s="137" t="s">
        <v>136</v>
      </c>
    </row>
    <row r="363" spans="2:65" s="1" customFormat="1" ht="16.5" customHeight="1">
      <c r="B363" s="119"/>
      <c r="C363" s="120" t="s">
        <v>587</v>
      </c>
      <c r="D363" s="120" t="s">
        <v>137</v>
      </c>
      <c r="E363" s="121" t="s">
        <v>1201</v>
      </c>
      <c r="F363" s="122" t="s">
        <v>1202</v>
      </c>
      <c r="G363" s="123" t="s">
        <v>216</v>
      </c>
      <c r="H363" s="124">
        <v>87.5</v>
      </c>
      <c r="I363" s="125">
        <v>0</v>
      </c>
      <c r="J363" s="125">
        <f>ROUND(I363*H363,2)</f>
        <v>0</v>
      </c>
      <c r="K363" s="122" t="s">
        <v>141</v>
      </c>
      <c r="L363" s="26"/>
      <c r="M363" s="126" t="s">
        <v>1</v>
      </c>
      <c r="N363" s="127" t="s">
        <v>46</v>
      </c>
      <c r="O363" s="128">
        <v>0</v>
      </c>
      <c r="P363" s="128">
        <f>O363*H363</f>
        <v>0</v>
      </c>
      <c r="Q363" s="128">
        <v>0</v>
      </c>
      <c r="R363" s="128">
        <f>Q363*H363</f>
        <v>0</v>
      </c>
      <c r="S363" s="128">
        <v>0</v>
      </c>
      <c r="T363" s="129">
        <f>S363*H363</f>
        <v>0</v>
      </c>
      <c r="AR363" s="130" t="s">
        <v>135</v>
      </c>
      <c r="AT363" s="130" t="s">
        <v>137</v>
      </c>
      <c r="AU363" s="130" t="s">
        <v>19</v>
      </c>
      <c r="AY363" s="14" t="s">
        <v>136</v>
      </c>
      <c r="BE363" s="131">
        <f>IF(N363="základní",J363,0)</f>
        <v>0</v>
      </c>
      <c r="BF363" s="131">
        <f>IF(N363="snížená",J363,0)</f>
        <v>0</v>
      </c>
      <c r="BG363" s="131">
        <f>IF(N363="zákl. přenesená",J363,0)</f>
        <v>0</v>
      </c>
      <c r="BH363" s="131">
        <f>IF(N363="sníž. přenesená",J363,0)</f>
        <v>0</v>
      </c>
      <c r="BI363" s="131">
        <f>IF(N363="nulová",J363,0)</f>
        <v>0</v>
      </c>
      <c r="BJ363" s="14" t="s">
        <v>19</v>
      </c>
      <c r="BK363" s="131">
        <f>ROUND(I363*H363,2)</f>
        <v>0</v>
      </c>
      <c r="BL363" s="14" t="s">
        <v>135</v>
      </c>
      <c r="BM363" s="130" t="s">
        <v>1203</v>
      </c>
    </row>
    <row r="364" spans="2:65" s="1" customFormat="1">
      <c r="B364" s="26"/>
      <c r="D364" s="132" t="s">
        <v>143</v>
      </c>
      <c r="F364" s="133" t="s">
        <v>523</v>
      </c>
      <c r="L364" s="26"/>
      <c r="M364" s="134"/>
      <c r="T364" s="50"/>
      <c r="AT364" s="14" t="s">
        <v>143</v>
      </c>
      <c r="AU364" s="14" t="s">
        <v>19</v>
      </c>
    </row>
    <row r="365" spans="2:65" s="1" customFormat="1" ht="48">
      <c r="B365" s="26"/>
      <c r="D365" s="132" t="s">
        <v>145</v>
      </c>
      <c r="F365" s="135" t="s">
        <v>1198</v>
      </c>
      <c r="L365" s="26"/>
      <c r="M365" s="134"/>
      <c r="T365" s="50"/>
      <c r="AT365" s="14" t="s">
        <v>145</v>
      </c>
      <c r="AU365" s="14" t="s">
        <v>19</v>
      </c>
    </row>
    <row r="366" spans="2:65" s="11" customFormat="1">
      <c r="B366" s="136"/>
      <c r="D366" s="132" t="s">
        <v>147</v>
      </c>
      <c r="E366" s="137" t="s">
        <v>1204</v>
      </c>
      <c r="F366" s="138" t="s">
        <v>1205</v>
      </c>
      <c r="H366" s="139">
        <v>36.25</v>
      </c>
      <c r="L366" s="136"/>
      <c r="M366" s="140"/>
      <c r="T366" s="141"/>
      <c r="AT366" s="137" t="s">
        <v>147</v>
      </c>
      <c r="AU366" s="137" t="s">
        <v>19</v>
      </c>
      <c r="AV366" s="11" t="s">
        <v>149</v>
      </c>
      <c r="AW366" s="11" t="s">
        <v>39</v>
      </c>
      <c r="AX366" s="11" t="s">
        <v>81</v>
      </c>
      <c r="AY366" s="137" t="s">
        <v>136</v>
      </c>
    </row>
    <row r="367" spans="2:65" s="11" customFormat="1">
      <c r="B367" s="136"/>
      <c r="D367" s="132" t="s">
        <v>147</v>
      </c>
      <c r="E367" s="137" t="s">
        <v>1206</v>
      </c>
      <c r="F367" s="138" t="s">
        <v>1207</v>
      </c>
      <c r="H367" s="139">
        <v>51.25</v>
      </c>
      <c r="L367" s="136"/>
      <c r="M367" s="140"/>
      <c r="T367" s="141"/>
      <c r="AT367" s="137" t="s">
        <v>147</v>
      </c>
      <c r="AU367" s="137" t="s">
        <v>19</v>
      </c>
      <c r="AV367" s="11" t="s">
        <v>149</v>
      </c>
      <c r="AW367" s="11" t="s">
        <v>39</v>
      </c>
      <c r="AX367" s="11" t="s">
        <v>81</v>
      </c>
      <c r="AY367" s="137" t="s">
        <v>136</v>
      </c>
    </row>
    <row r="368" spans="2:65" s="11" customFormat="1">
      <c r="B368" s="136"/>
      <c r="D368" s="132" t="s">
        <v>147</v>
      </c>
      <c r="E368" s="137" t="s">
        <v>1208</v>
      </c>
      <c r="F368" s="138" t="s">
        <v>1209</v>
      </c>
      <c r="H368" s="139">
        <v>87.5</v>
      </c>
      <c r="L368" s="136"/>
      <c r="M368" s="140"/>
      <c r="T368" s="141"/>
      <c r="AT368" s="137" t="s">
        <v>147</v>
      </c>
      <c r="AU368" s="137" t="s">
        <v>19</v>
      </c>
      <c r="AV368" s="11" t="s">
        <v>149</v>
      </c>
      <c r="AW368" s="11" t="s">
        <v>39</v>
      </c>
      <c r="AX368" s="11" t="s">
        <v>19</v>
      </c>
      <c r="AY368" s="137" t="s">
        <v>136</v>
      </c>
    </row>
    <row r="369" spans="2:65" s="1" customFormat="1" ht="16.5" customHeight="1">
      <c r="B369" s="119"/>
      <c r="C369" s="120" t="s">
        <v>593</v>
      </c>
      <c r="D369" s="120" t="s">
        <v>137</v>
      </c>
      <c r="E369" s="121" t="s">
        <v>1210</v>
      </c>
      <c r="F369" s="122" t="s">
        <v>1202</v>
      </c>
      <c r="G369" s="123" t="s">
        <v>216</v>
      </c>
      <c r="H369" s="124">
        <v>253.2</v>
      </c>
      <c r="I369" s="125">
        <v>0</v>
      </c>
      <c r="J369" s="125">
        <f>ROUND(I369*H369,2)</f>
        <v>0</v>
      </c>
      <c r="K369" s="122" t="s">
        <v>141</v>
      </c>
      <c r="L369" s="26"/>
      <c r="M369" s="126" t="s">
        <v>1</v>
      </c>
      <c r="N369" s="127" t="s">
        <v>46</v>
      </c>
      <c r="O369" s="128">
        <v>0</v>
      </c>
      <c r="P369" s="128">
        <f>O369*H369</f>
        <v>0</v>
      </c>
      <c r="Q369" s="128">
        <v>0</v>
      </c>
      <c r="R369" s="128">
        <f>Q369*H369</f>
        <v>0</v>
      </c>
      <c r="S369" s="128">
        <v>0</v>
      </c>
      <c r="T369" s="129">
        <f>S369*H369</f>
        <v>0</v>
      </c>
      <c r="AR369" s="130" t="s">
        <v>135</v>
      </c>
      <c r="AT369" s="130" t="s">
        <v>137</v>
      </c>
      <c r="AU369" s="130" t="s">
        <v>19</v>
      </c>
      <c r="AY369" s="14" t="s">
        <v>136</v>
      </c>
      <c r="BE369" s="131">
        <f>IF(N369="základní",J369,0)</f>
        <v>0</v>
      </c>
      <c r="BF369" s="131">
        <f>IF(N369="snížená",J369,0)</f>
        <v>0</v>
      </c>
      <c r="BG369" s="131">
        <f>IF(N369="zákl. přenesená",J369,0)</f>
        <v>0</v>
      </c>
      <c r="BH369" s="131">
        <f>IF(N369="sníž. přenesená",J369,0)</f>
        <v>0</v>
      </c>
      <c r="BI369" s="131">
        <f>IF(N369="nulová",J369,0)</f>
        <v>0</v>
      </c>
      <c r="BJ369" s="14" t="s">
        <v>19</v>
      </c>
      <c r="BK369" s="131">
        <f>ROUND(I369*H369,2)</f>
        <v>0</v>
      </c>
      <c r="BL369" s="14" t="s">
        <v>135</v>
      </c>
      <c r="BM369" s="130" t="s">
        <v>1211</v>
      </c>
    </row>
    <row r="370" spans="2:65" s="1" customFormat="1">
      <c r="B370" s="26"/>
      <c r="D370" s="132" t="s">
        <v>143</v>
      </c>
      <c r="F370" s="133" t="s">
        <v>1212</v>
      </c>
      <c r="L370" s="26"/>
      <c r="M370" s="134"/>
      <c r="T370" s="50"/>
      <c r="AT370" s="14" t="s">
        <v>143</v>
      </c>
      <c r="AU370" s="14" t="s">
        <v>19</v>
      </c>
    </row>
    <row r="371" spans="2:65" s="1" customFormat="1" ht="48">
      <c r="B371" s="26"/>
      <c r="D371" s="132" t="s">
        <v>145</v>
      </c>
      <c r="F371" s="135" t="s">
        <v>1198</v>
      </c>
      <c r="L371" s="26"/>
      <c r="M371" s="134"/>
      <c r="T371" s="50"/>
      <c r="AT371" s="14" t="s">
        <v>145</v>
      </c>
      <c r="AU371" s="14" t="s">
        <v>19</v>
      </c>
    </row>
    <row r="372" spans="2:65" s="11" customFormat="1">
      <c r="B372" s="136"/>
      <c r="D372" s="132" t="s">
        <v>147</v>
      </c>
      <c r="E372" s="137" t="s">
        <v>1213</v>
      </c>
      <c r="F372" s="138" t="s">
        <v>1214</v>
      </c>
      <c r="H372" s="139">
        <v>229.2</v>
      </c>
      <c r="L372" s="136"/>
      <c r="M372" s="140"/>
      <c r="T372" s="141"/>
      <c r="AT372" s="137" t="s">
        <v>147</v>
      </c>
      <c r="AU372" s="137" t="s">
        <v>19</v>
      </c>
      <c r="AV372" s="11" t="s">
        <v>149</v>
      </c>
      <c r="AW372" s="11" t="s">
        <v>39</v>
      </c>
      <c r="AX372" s="11" t="s">
        <v>81</v>
      </c>
      <c r="AY372" s="137" t="s">
        <v>136</v>
      </c>
    </row>
    <row r="373" spans="2:65" s="11" customFormat="1">
      <c r="B373" s="136"/>
      <c r="D373" s="132" t="s">
        <v>147</v>
      </c>
      <c r="E373" s="137" t="s">
        <v>1215</v>
      </c>
      <c r="F373" s="138" t="s">
        <v>1216</v>
      </c>
      <c r="H373" s="139">
        <v>24</v>
      </c>
      <c r="L373" s="136"/>
      <c r="M373" s="140"/>
      <c r="T373" s="141"/>
      <c r="AT373" s="137" t="s">
        <v>147</v>
      </c>
      <c r="AU373" s="137" t="s">
        <v>19</v>
      </c>
      <c r="AV373" s="11" t="s">
        <v>149</v>
      </c>
      <c r="AW373" s="11" t="s">
        <v>39</v>
      </c>
      <c r="AX373" s="11" t="s">
        <v>81</v>
      </c>
      <c r="AY373" s="137" t="s">
        <v>136</v>
      </c>
    </row>
    <row r="374" spans="2:65" s="11" customFormat="1">
      <c r="B374" s="136"/>
      <c r="D374" s="132" t="s">
        <v>147</v>
      </c>
      <c r="E374" s="137" t="s">
        <v>1217</v>
      </c>
      <c r="F374" s="138" t="s">
        <v>1218</v>
      </c>
      <c r="H374" s="139">
        <v>253.2</v>
      </c>
      <c r="L374" s="136"/>
      <c r="M374" s="140"/>
      <c r="T374" s="141"/>
      <c r="AT374" s="137" t="s">
        <v>147</v>
      </c>
      <c r="AU374" s="137" t="s">
        <v>19</v>
      </c>
      <c r="AV374" s="11" t="s">
        <v>149</v>
      </c>
      <c r="AW374" s="11" t="s">
        <v>39</v>
      </c>
      <c r="AX374" s="11" t="s">
        <v>19</v>
      </c>
      <c r="AY374" s="137" t="s">
        <v>136</v>
      </c>
    </row>
    <row r="375" spans="2:65" s="1" customFormat="1" ht="24.15" customHeight="1">
      <c r="B375" s="119"/>
      <c r="C375" s="120" t="s">
        <v>600</v>
      </c>
      <c r="D375" s="120" t="s">
        <v>137</v>
      </c>
      <c r="E375" s="121" t="s">
        <v>548</v>
      </c>
      <c r="F375" s="122" t="s">
        <v>549</v>
      </c>
      <c r="G375" s="123" t="s">
        <v>216</v>
      </c>
      <c r="H375" s="124">
        <v>100.2</v>
      </c>
      <c r="I375" s="125">
        <v>0</v>
      </c>
      <c r="J375" s="125">
        <f>ROUND(I375*H375,2)</f>
        <v>0</v>
      </c>
      <c r="K375" s="122" t="s">
        <v>141</v>
      </c>
      <c r="L375" s="26"/>
      <c r="M375" s="126" t="s">
        <v>1</v>
      </c>
      <c r="N375" s="127" t="s">
        <v>46</v>
      </c>
      <c r="O375" s="128">
        <v>0</v>
      </c>
      <c r="P375" s="128">
        <f>O375*H375</f>
        <v>0</v>
      </c>
      <c r="Q375" s="128">
        <v>0</v>
      </c>
      <c r="R375" s="128">
        <f>Q375*H375</f>
        <v>0</v>
      </c>
      <c r="S375" s="128">
        <v>0</v>
      </c>
      <c r="T375" s="129">
        <f>S375*H375</f>
        <v>0</v>
      </c>
      <c r="AR375" s="130" t="s">
        <v>135</v>
      </c>
      <c r="AT375" s="130" t="s">
        <v>137</v>
      </c>
      <c r="AU375" s="130" t="s">
        <v>19</v>
      </c>
      <c r="AY375" s="14" t="s">
        <v>136</v>
      </c>
      <c r="BE375" s="131">
        <f>IF(N375="základní",J375,0)</f>
        <v>0</v>
      </c>
      <c r="BF375" s="131">
        <f>IF(N375="snížená",J375,0)</f>
        <v>0</v>
      </c>
      <c r="BG375" s="131">
        <f>IF(N375="zákl. přenesená",J375,0)</f>
        <v>0</v>
      </c>
      <c r="BH375" s="131">
        <f>IF(N375="sníž. přenesená",J375,0)</f>
        <v>0</v>
      </c>
      <c r="BI375" s="131">
        <f>IF(N375="nulová",J375,0)</f>
        <v>0</v>
      </c>
      <c r="BJ375" s="14" t="s">
        <v>19</v>
      </c>
      <c r="BK375" s="131">
        <f>ROUND(I375*H375,2)</f>
        <v>0</v>
      </c>
      <c r="BL375" s="14" t="s">
        <v>135</v>
      </c>
      <c r="BM375" s="130" t="s">
        <v>1219</v>
      </c>
    </row>
    <row r="376" spans="2:65" s="1" customFormat="1">
      <c r="B376" s="26"/>
      <c r="D376" s="132" t="s">
        <v>143</v>
      </c>
      <c r="F376" s="133" t="s">
        <v>549</v>
      </c>
      <c r="L376" s="26"/>
      <c r="M376" s="134"/>
      <c r="T376" s="50"/>
      <c r="AT376" s="14" t="s">
        <v>143</v>
      </c>
      <c r="AU376" s="14" t="s">
        <v>19</v>
      </c>
    </row>
    <row r="377" spans="2:65" s="1" customFormat="1" ht="67.2">
      <c r="B377" s="26"/>
      <c r="D377" s="132" t="s">
        <v>145</v>
      </c>
      <c r="F377" s="135" t="s">
        <v>551</v>
      </c>
      <c r="L377" s="26"/>
      <c r="M377" s="134"/>
      <c r="T377" s="50"/>
      <c r="AT377" s="14" t="s">
        <v>145</v>
      </c>
      <c r="AU377" s="14" t="s">
        <v>19</v>
      </c>
    </row>
    <row r="378" spans="2:65" s="11" customFormat="1">
      <c r="B378" s="136"/>
      <c r="D378" s="132" t="s">
        <v>147</v>
      </c>
      <c r="E378" s="137" t="s">
        <v>1220</v>
      </c>
      <c r="F378" s="138" t="s">
        <v>1221</v>
      </c>
      <c r="H378" s="139">
        <v>17.8</v>
      </c>
      <c r="L378" s="136"/>
      <c r="M378" s="140"/>
      <c r="T378" s="141"/>
      <c r="AT378" s="137" t="s">
        <v>147</v>
      </c>
      <c r="AU378" s="137" t="s">
        <v>19</v>
      </c>
      <c r="AV378" s="11" t="s">
        <v>149</v>
      </c>
      <c r="AW378" s="11" t="s">
        <v>39</v>
      </c>
      <c r="AX378" s="11" t="s">
        <v>81</v>
      </c>
      <c r="AY378" s="137" t="s">
        <v>136</v>
      </c>
    </row>
    <row r="379" spans="2:65" s="11" customFormat="1">
      <c r="B379" s="136"/>
      <c r="D379" s="132" t="s">
        <v>147</v>
      </c>
      <c r="E379" s="137" t="s">
        <v>1222</v>
      </c>
      <c r="F379" s="138" t="s">
        <v>1223</v>
      </c>
      <c r="H379" s="139">
        <v>76.400000000000006</v>
      </c>
      <c r="L379" s="136"/>
      <c r="M379" s="140"/>
      <c r="T379" s="141"/>
      <c r="AT379" s="137" t="s">
        <v>147</v>
      </c>
      <c r="AU379" s="137" t="s">
        <v>19</v>
      </c>
      <c r="AV379" s="11" t="s">
        <v>149</v>
      </c>
      <c r="AW379" s="11" t="s">
        <v>39</v>
      </c>
      <c r="AX379" s="11" t="s">
        <v>81</v>
      </c>
      <c r="AY379" s="137" t="s">
        <v>136</v>
      </c>
    </row>
    <row r="380" spans="2:65" s="11" customFormat="1">
      <c r="B380" s="136"/>
      <c r="D380" s="132" t="s">
        <v>147</v>
      </c>
      <c r="E380" s="137" t="s">
        <v>1224</v>
      </c>
      <c r="F380" s="138" t="s">
        <v>1225</v>
      </c>
      <c r="H380" s="139">
        <v>6</v>
      </c>
      <c r="L380" s="136"/>
      <c r="M380" s="140"/>
      <c r="T380" s="141"/>
      <c r="AT380" s="137" t="s">
        <v>147</v>
      </c>
      <c r="AU380" s="137" t="s">
        <v>19</v>
      </c>
      <c r="AV380" s="11" t="s">
        <v>149</v>
      </c>
      <c r="AW380" s="11" t="s">
        <v>39</v>
      </c>
      <c r="AX380" s="11" t="s">
        <v>81</v>
      </c>
      <c r="AY380" s="137" t="s">
        <v>136</v>
      </c>
    </row>
    <row r="381" spans="2:65" s="11" customFormat="1">
      <c r="B381" s="136"/>
      <c r="D381" s="132" t="s">
        <v>147</v>
      </c>
      <c r="E381" s="137" t="s">
        <v>1226</v>
      </c>
      <c r="F381" s="138" t="s">
        <v>1227</v>
      </c>
      <c r="H381" s="139">
        <v>100.2</v>
      </c>
      <c r="L381" s="136"/>
      <c r="M381" s="140"/>
      <c r="T381" s="141"/>
      <c r="AT381" s="137" t="s">
        <v>147</v>
      </c>
      <c r="AU381" s="137" t="s">
        <v>19</v>
      </c>
      <c r="AV381" s="11" t="s">
        <v>149</v>
      </c>
      <c r="AW381" s="11" t="s">
        <v>39</v>
      </c>
      <c r="AX381" s="11" t="s">
        <v>19</v>
      </c>
      <c r="AY381" s="137" t="s">
        <v>136</v>
      </c>
    </row>
    <row r="382" spans="2:65" s="1" customFormat="1" ht="24.15" customHeight="1">
      <c r="B382" s="119"/>
      <c r="C382" s="120" t="s">
        <v>610</v>
      </c>
      <c r="D382" s="120" t="s">
        <v>137</v>
      </c>
      <c r="E382" s="121" t="s">
        <v>1228</v>
      </c>
      <c r="F382" s="122" t="s">
        <v>1229</v>
      </c>
      <c r="G382" s="123" t="s">
        <v>216</v>
      </c>
      <c r="H382" s="124">
        <v>37.950000000000003</v>
      </c>
      <c r="I382" s="125">
        <v>0</v>
      </c>
      <c r="J382" s="125">
        <f>ROUND(I382*H382,2)</f>
        <v>0</v>
      </c>
      <c r="K382" s="122" t="s">
        <v>141</v>
      </c>
      <c r="L382" s="26"/>
      <c r="M382" s="126" t="s">
        <v>1</v>
      </c>
      <c r="N382" s="127" t="s">
        <v>46</v>
      </c>
      <c r="O382" s="128">
        <v>0</v>
      </c>
      <c r="P382" s="128">
        <f>O382*H382</f>
        <v>0</v>
      </c>
      <c r="Q382" s="128">
        <v>0</v>
      </c>
      <c r="R382" s="128">
        <f>Q382*H382</f>
        <v>0</v>
      </c>
      <c r="S382" s="128">
        <v>0</v>
      </c>
      <c r="T382" s="129">
        <f>S382*H382</f>
        <v>0</v>
      </c>
      <c r="AR382" s="130" t="s">
        <v>135</v>
      </c>
      <c r="AT382" s="130" t="s">
        <v>137</v>
      </c>
      <c r="AU382" s="130" t="s">
        <v>19</v>
      </c>
      <c r="AY382" s="14" t="s">
        <v>136</v>
      </c>
      <c r="BE382" s="131">
        <f>IF(N382="základní",J382,0)</f>
        <v>0</v>
      </c>
      <c r="BF382" s="131">
        <f>IF(N382="snížená",J382,0)</f>
        <v>0</v>
      </c>
      <c r="BG382" s="131">
        <f>IF(N382="zákl. přenesená",J382,0)</f>
        <v>0</v>
      </c>
      <c r="BH382" s="131">
        <f>IF(N382="sníž. přenesená",J382,0)</f>
        <v>0</v>
      </c>
      <c r="BI382" s="131">
        <f>IF(N382="nulová",J382,0)</f>
        <v>0</v>
      </c>
      <c r="BJ382" s="14" t="s">
        <v>19</v>
      </c>
      <c r="BK382" s="131">
        <f>ROUND(I382*H382,2)</f>
        <v>0</v>
      </c>
      <c r="BL382" s="14" t="s">
        <v>135</v>
      </c>
      <c r="BM382" s="130" t="s">
        <v>1230</v>
      </c>
    </row>
    <row r="383" spans="2:65" s="1" customFormat="1">
      <c r="B383" s="26"/>
      <c r="D383" s="132" t="s">
        <v>143</v>
      </c>
      <c r="F383" s="133" t="s">
        <v>1229</v>
      </c>
      <c r="L383" s="26"/>
      <c r="M383" s="134"/>
      <c r="T383" s="50"/>
      <c r="AT383" s="14" t="s">
        <v>143</v>
      </c>
      <c r="AU383" s="14" t="s">
        <v>19</v>
      </c>
    </row>
    <row r="384" spans="2:65" s="1" customFormat="1" ht="67.2">
      <c r="B384" s="26"/>
      <c r="D384" s="132" t="s">
        <v>145</v>
      </c>
      <c r="F384" s="135" t="s">
        <v>558</v>
      </c>
      <c r="L384" s="26"/>
      <c r="M384" s="134"/>
      <c r="T384" s="50"/>
      <c r="AT384" s="14" t="s">
        <v>145</v>
      </c>
      <c r="AU384" s="14" t="s">
        <v>19</v>
      </c>
    </row>
    <row r="385" spans="2:65" s="11" customFormat="1">
      <c r="B385" s="136"/>
      <c r="D385" s="132" t="s">
        <v>147</v>
      </c>
      <c r="E385" s="137" t="s">
        <v>1231</v>
      </c>
      <c r="F385" s="138" t="s">
        <v>1232</v>
      </c>
      <c r="H385" s="139">
        <v>37.949999999999996</v>
      </c>
      <c r="L385" s="136"/>
      <c r="M385" s="140"/>
      <c r="T385" s="141"/>
      <c r="AT385" s="137" t="s">
        <v>147</v>
      </c>
      <c r="AU385" s="137" t="s">
        <v>19</v>
      </c>
      <c r="AV385" s="11" t="s">
        <v>149</v>
      </c>
      <c r="AW385" s="11" t="s">
        <v>39</v>
      </c>
      <c r="AX385" s="11" t="s">
        <v>19</v>
      </c>
      <c r="AY385" s="137" t="s">
        <v>136</v>
      </c>
    </row>
    <row r="386" spans="2:65" s="1" customFormat="1" ht="16.5" customHeight="1">
      <c r="B386" s="119"/>
      <c r="C386" s="120" t="s">
        <v>620</v>
      </c>
      <c r="D386" s="120" t="s">
        <v>137</v>
      </c>
      <c r="E386" s="121" t="s">
        <v>1233</v>
      </c>
      <c r="F386" s="122" t="s">
        <v>1234</v>
      </c>
      <c r="G386" s="123" t="s">
        <v>260</v>
      </c>
      <c r="H386" s="124">
        <v>205</v>
      </c>
      <c r="I386" s="125">
        <v>0</v>
      </c>
      <c r="J386" s="125">
        <f>ROUND(I386*H386,2)</f>
        <v>0</v>
      </c>
      <c r="K386" s="122" t="s">
        <v>141</v>
      </c>
      <c r="L386" s="26"/>
      <c r="M386" s="126" t="s">
        <v>1</v>
      </c>
      <c r="N386" s="127" t="s">
        <v>46</v>
      </c>
      <c r="O386" s="128">
        <v>0</v>
      </c>
      <c r="P386" s="128">
        <f>O386*H386</f>
        <v>0</v>
      </c>
      <c r="Q386" s="128">
        <v>0</v>
      </c>
      <c r="R386" s="128">
        <f>Q386*H386</f>
        <v>0</v>
      </c>
      <c r="S386" s="128">
        <v>0</v>
      </c>
      <c r="T386" s="129">
        <f>S386*H386</f>
        <v>0</v>
      </c>
      <c r="AR386" s="130" t="s">
        <v>135</v>
      </c>
      <c r="AT386" s="130" t="s">
        <v>137</v>
      </c>
      <c r="AU386" s="130" t="s">
        <v>19</v>
      </c>
      <c r="AY386" s="14" t="s">
        <v>136</v>
      </c>
      <c r="BE386" s="131">
        <f>IF(N386="základní",J386,0)</f>
        <v>0</v>
      </c>
      <c r="BF386" s="131">
        <f>IF(N386="snížená",J386,0)</f>
        <v>0</v>
      </c>
      <c r="BG386" s="131">
        <f>IF(N386="zákl. přenesená",J386,0)</f>
        <v>0</v>
      </c>
      <c r="BH386" s="131">
        <f>IF(N386="sníž. přenesená",J386,0)</f>
        <v>0</v>
      </c>
      <c r="BI386" s="131">
        <f>IF(N386="nulová",J386,0)</f>
        <v>0</v>
      </c>
      <c r="BJ386" s="14" t="s">
        <v>19</v>
      </c>
      <c r="BK386" s="131">
        <f>ROUND(I386*H386,2)</f>
        <v>0</v>
      </c>
      <c r="BL386" s="14" t="s">
        <v>135</v>
      </c>
      <c r="BM386" s="130" t="s">
        <v>1235</v>
      </c>
    </row>
    <row r="387" spans="2:65" s="1" customFormat="1">
      <c r="B387" s="26"/>
      <c r="D387" s="132" t="s">
        <v>143</v>
      </c>
      <c r="F387" s="133" t="s">
        <v>1234</v>
      </c>
      <c r="L387" s="26"/>
      <c r="M387" s="134"/>
      <c r="T387" s="50"/>
      <c r="AT387" s="14" t="s">
        <v>143</v>
      </c>
      <c r="AU387" s="14" t="s">
        <v>19</v>
      </c>
    </row>
    <row r="388" spans="2:65" s="1" customFormat="1" ht="57.6">
      <c r="B388" s="26"/>
      <c r="D388" s="132" t="s">
        <v>145</v>
      </c>
      <c r="F388" s="135" t="s">
        <v>565</v>
      </c>
      <c r="L388" s="26"/>
      <c r="M388" s="134"/>
      <c r="T388" s="50"/>
      <c r="AT388" s="14" t="s">
        <v>145</v>
      </c>
      <c r="AU388" s="14" t="s">
        <v>19</v>
      </c>
    </row>
    <row r="389" spans="2:65" s="11" customFormat="1">
      <c r="B389" s="136"/>
      <c r="D389" s="132" t="s">
        <v>147</v>
      </c>
      <c r="E389" s="137" t="s">
        <v>1236</v>
      </c>
      <c r="F389" s="138" t="s">
        <v>1147</v>
      </c>
      <c r="H389" s="139">
        <v>205</v>
      </c>
      <c r="L389" s="136"/>
      <c r="M389" s="140"/>
      <c r="T389" s="141"/>
      <c r="AT389" s="137" t="s">
        <v>147</v>
      </c>
      <c r="AU389" s="137" t="s">
        <v>19</v>
      </c>
      <c r="AV389" s="11" t="s">
        <v>149</v>
      </c>
      <c r="AW389" s="11" t="s">
        <v>39</v>
      </c>
      <c r="AX389" s="11" t="s">
        <v>19</v>
      </c>
      <c r="AY389" s="137" t="s">
        <v>136</v>
      </c>
    </row>
    <row r="390" spans="2:65" s="1" customFormat="1" ht="24.15" customHeight="1">
      <c r="B390" s="119"/>
      <c r="C390" s="120" t="s">
        <v>626</v>
      </c>
      <c r="D390" s="120" t="s">
        <v>137</v>
      </c>
      <c r="E390" s="121" t="s">
        <v>562</v>
      </c>
      <c r="F390" s="122" t="s">
        <v>563</v>
      </c>
      <c r="G390" s="123" t="s">
        <v>260</v>
      </c>
      <c r="H390" s="124">
        <v>33644.400000000001</v>
      </c>
      <c r="I390" s="125">
        <v>0</v>
      </c>
      <c r="J390" s="125">
        <f>ROUND(I390*H390,2)</f>
        <v>0</v>
      </c>
      <c r="K390" s="122" t="s">
        <v>141</v>
      </c>
      <c r="L390" s="26"/>
      <c r="M390" s="126" t="s">
        <v>1</v>
      </c>
      <c r="N390" s="127" t="s">
        <v>46</v>
      </c>
      <c r="O390" s="128">
        <v>0</v>
      </c>
      <c r="P390" s="128">
        <f>O390*H390</f>
        <v>0</v>
      </c>
      <c r="Q390" s="128">
        <v>0</v>
      </c>
      <c r="R390" s="128">
        <f>Q390*H390</f>
        <v>0</v>
      </c>
      <c r="S390" s="128">
        <v>0</v>
      </c>
      <c r="T390" s="129">
        <f>S390*H390</f>
        <v>0</v>
      </c>
      <c r="AR390" s="130" t="s">
        <v>135</v>
      </c>
      <c r="AT390" s="130" t="s">
        <v>137</v>
      </c>
      <c r="AU390" s="130" t="s">
        <v>19</v>
      </c>
      <c r="AY390" s="14" t="s">
        <v>136</v>
      </c>
      <c r="BE390" s="131">
        <f>IF(N390="základní",J390,0)</f>
        <v>0</v>
      </c>
      <c r="BF390" s="131">
        <f>IF(N390="snížená",J390,0)</f>
        <v>0</v>
      </c>
      <c r="BG390" s="131">
        <f>IF(N390="zákl. přenesená",J390,0)</f>
        <v>0</v>
      </c>
      <c r="BH390" s="131">
        <f>IF(N390="sníž. přenesená",J390,0)</f>
        <v>0</v>
      </c>
      <c r="BI390" s="131">
        <f>IF(N390="nulová",J390,0)</f>
        <v>0</v>
      </c>
      <c r="BJ390" s="14" t="s">
        <v>19</v>
      </c>
      <c r="BK390" s="131">
        <f>ROUND(I390*H390,2)</f>
        <v>0</v>
      </c>
      <c r="BL390" s="14" t="s">
        <v>135</v>
      </c>
      <c r="BM390" s="130" t="s">
        <v>1237</v>
      </c>
    </row>
    <row r="391" spans="2:65" s="1" customFormat="1">
      <c r="B391" s="26"/>
      <c r="D391" s="132" t="s">
        <v>143</v>
      </c>
      <c r="F391" s="133" t="s">
        <v>563</v>
      </c>
      <c r="L391" s="26"/>
      <c r="M391" s="134"/>
      <c r="T391" s="50"/>
      <c r="AT391" s="14" t="s">
        <v>143</v>
      </c>
      <c r="AU391" s="14" t="s">
        <v>19</v>
      </c>
    </row>
    <row r="392" spans="2:65" s="1" customFormat="1" ht="57.6">
      <c r="B392" s="26"/>
      <c r="D392" s="132" t="s">
        <v>145</v>
      </c>
      <c r="F392" s="135" t="s">
        <v>565</v>
      </c>
      <c r="L392" s="26"/>
      <c r="M392" s="134"/>
      <c r="T392" s="50"/>
      <c r="AT392" s="14" t="s">
        <v>145</v>
      </c>
      <c r="AU392" s="14" t="s">
        <v>19</v>
      </c>
    </row>
    <row r="393" spans="2:65" s="11" customFormat="1">
      <c r="B393" s="136"/>
      <c r="D393" s="132" t="s">
        <v>147</v>
      </c>
      <c r="E393" s="137" t="s">
        <v>1238</v>
      </c>
      <c r="F393" s="138" t="s">
        <v>1239</v>
      </c>
      <c r="H393" s="139">
        <v>27764</v>
      </c>
      <c r="L393" s="136"/>
      <c r="M393" s="140"/>
      <c r="T393" s="141"/>
      <c r="AT393" s="137" t="s">
        <v>147</v>
      </c>
      <c r="AU393" s="137" t="s">
        <v>19</v>
      </c>
      <c r="AV393" s="11" t="s">
        <v>149</v>
      </c>
      <c r="AW393" s="11" t="s">
        <v>39</v>
      </c>
      <c r="AX393" s="11" t="s">
        <v>81</v>
      </c>
      <c r="AY393" s="137" t="s">
        <v>136</v>
      </c>
    </row>
    <row r="394" spans="2:65" s="11" customFormat="1" ht="20.399999999999999">
      <c r="B394" s="136"/>
      <c r="D394" s="132" t="s">
        <v>147</v>
      </c>
      <c r="E394" s="137" t="s">
        <v>1240</v>
      </c>
      <c r="F394" s="138" t="s">
        <v>1241</v>
      </c>
      <c r="H394" s="139">
        <v>4454.3999999999996</v>
      </c>
      <c r="L394" s="136"/>
      <c r="M394" s="140"/>
      <c r="T394" s="141"/>
      <c r="AT394" s="137" t="s">
        <v>147</v>
      </c>
      <c r="AU394" s="137" t="s">
        <v>19</v>
      </c>
      <c r="AV394" s="11" t="s">
        <v>149</v>
      </c>
      <c r="AW394" s="11" t="s">
        <v>39</v>
      </c>
      <c r="AX394" s="11" t="s">
        <v>81</v>
      </c>
      <c r="AY394" s="137" t="s">
        <v>136</v>
      </c>
    </row>
    <row r="395" spans="2:65" s="11" customFormat="1">
      <c r="B395" s="136"/>
      <c r="D395" s="132" t="s">
        <v>147</v>
      </c>
      <c r="E395" s="137" t="s">
        <v>1242</v>
      </c>
      <c r="F395" s="138" t="s">
        <v>1243</v>
      </c>
      <c r="H395" s="139">
        <v>316</v>
      </c>
      <c r="L395" s="136"/>
      <c r="M395" s="140"/>
      <c r="T395" s="141"/>
      <c r="AT395" s="137" t="s">
        <v>147</v>
      </c>
      <c r="AU395" s="137" t="s">
        <v>19</v>
      </c>
      <c r="AV395" s="11" t="s">
        <v>149</v>
      </c>
      <c r="AW395" s="11" t="s">
        <v>39</v>
      </c>
      <c r="AX395" s="11" t="s">
        <v>81</v>
      </c>
      <c r="AY395" s="137" t="s">
        <v>136</v>
      </c>
    </row>
    <row r="396" spans="2:65" s="11" customFormat="1">
      <c r="B396" s="136"/>
      <c r="D396" s="132" t="s">
        <v>147</v>
      </c>
      <c r="E396" s="137" t="s">
        <v>1244</v>
      </c>
      <c r="F396" s="138" t="s">
        <v>1245</v>
      </c>
      <c r="H396" s="139">
        <v>410</v>
      </c>
      <c r="L396" s="136"/>
      <c r="M396" s="140"/>
      <c r="T396" s="141"/>
      <c r="AT396" s="137" t="s">
        <v>147</v>
      </c>
      <c r="AU396" s="137" t="s">
        <v>19</v>
      </c>
      <c r="AV396" s="11" t="s">
        <v>149</v>
      </c>
      <c r="AW396" s="11" t="s">
        <v>39</v>
      </c>
      <c r="AX396" s="11" t="s">
        <v>81</v>
      </c>
      <c r="AY396" s="137" t="s">
        <v>136</v>
      </c>
    </row>
    <row r="397" spans="2:65" s="11" customFormat="1">
      <c r="B397" s="136"/>
      <c r="D397" s="132" t="s">
        <v>147</v>
      </c>
      <c r="E397" s="137" t="s">
        <v>1246</v>
      </c>
      <c r="F397" s="138" t="s">
        <v>1247</v>
      </c>
      <c r="H397" s="139">
        <v>700</v>
      </c>
      <c r="L397" s="136"/>
      <c r="M397" s="140"/>
      <c r="T397" s="141"/>
      <c r="AT397" s="137" t="s">
        <v>147</v>
      </c>
      <c r="AU397" s="137" t="s">
        <v>19</v>
      </c>
      <c r="AV397" s="11" t="s">
        <v>149</v>
      </c>
      <c r="AW397" s="11" t="s">
        <v>39</v>
      </c>
      <c r="AX397" s="11" t="s">
        <v>81</v>
      </c>
      <c r="AY397" s="137" t="s">
        <v>136</v>
      </c>
    </row>
    <row r="398" spans="2:65" s="11" customFormat="1">
      <c r="B398" s="136"/>
      <c r="D398" s="132" t="s">
        <v>147</v>
      </c>
      <c r="E398" s="137" t="s">
        <v>1248</v>
      </c>
      <c r="F398" s="138" t="s">
        <v>1249</v>
      </c>
      <c r="H398" s="139">
        <v>33644.400000000001</v>
      </c>
      <c r="L398" s="136"/>
      <c r="M398" s="140"/>
      <c r="T398" s="141"/>
      <c r="AT398" s="137" t="s">
        <v>147</v>
      </c>
      <c r="AU398" s="137" t="s">
        <v>19</v>
      </c>
      <c r="AV398" s="11" t="s">
        <v>149</v>
      </c>
      <c r="AW398" s="11" t="s">
        <v>39</v>
      </c>
      <c r="AX398" s="11" t="s">
        <v>19</v>
      </c>
      <c r="AY398" s="137" t="s">
        <v>136</v>
      </c>
    </row>
    <row r="399" spans="2:65" s="1" customFormat="1" ht="21.75" customHeight="1">
      <c r="B399" s="119"/>
      <c r="C399" s="120" t="s">
        <v>632</v>
      </c>
      <c r="D399" s="120" t="s">
        <v>137</v>
      </c>
      <c r="E399" s="121" t="s">
        <v>1250</v>
      </c>
      <c r="F399" s="122" t="s">
        <v>1251</v>
      </c>
      <c r="G399" s="123" t="s">
        <v>216</v>
      </c>
      <c r="H399" s="124">
        <v>61.12</v>
      </c>
      <c r="I399" s="125">
        <v>0</v>
      </c>
      <c r="J399" s="125">
        <f>ROUND(I399*H399,2)</f>
        <v>0</v>
      </c>
      <c r="K399" s="122" t="s">
        <v>141</v>
      </c>
      <c r="L399" s="26"/>
      <c r="M399" s="126" t="s">
        <v>1</v>
      </c>
      <c r="N399" s="127" t="s">
        <v>46</v>
      </c>
      <c r="O399" s="128">
        <v>0</v>
      </c>
      <c r="P399" s="128">
        <f>O399*H399</f>
        <v>0</v>
      </c>
      <c r="Q399" s="128">
        <v>0</v>
      </c>
      <c r="R399" s="128">
        <f>Q399*H399</f>
        <v>0</v>
      </c>
      <c r="S399" s="128">
        <v>0</v>
      </c>
      <c r="T399" s="129">
        <f>S399*H399</f>
        <v>0</v>
      </c>
      <c r="AR399" s="130" t="s">
        <v>135</v>
      </c>
      <c r="AT399" s="130" t="s">
        <v>137</v>
      </c>
      <c r="AU399" s="130" t="s">
        <v>19</v>
      </c>
      <c r="AY399" s="14" t="s">
        <v>136</v>
      </c>
      <c r="BE399" s="131">
        <f>IF(N399="základní",J399,0)</f>
        <v>0</v>
      </c>
      <c r="BF399" s="131">
        <f>IF(N399="snížená",J399,0)</f>
        <v>0</v>
      </c>
      <c r="BG399" s="131">
        <f>IF(N399="zákl. přenesená",J399,0)</f>
        <v>0</v>
      </c>
      <c r="BH399" s="131">
        <f>IF(N399="sníž. přenesená",J399,0)</f>
        <v>0</v>
      </c>
      <c r="BI399" s="131">
        <f>IF(N399="nulová",J399,0)</f>
        <v>0</v>
      </c>
      <c r="BJ399" s="14" t="s">
        <v>19</v>
      </c>
      <c r="BK399" s="131">
        <f>ROUND(I399*H399,2)</f>
        <v>0</v>
      </c>
      <c r="BL399" s="14" t="s">
        <v>135</v>
      </c>
      <c r="BM399" s="130" t="s">
        <v>1252</v>
      </c>
    </row>
    <row r="400" spans="2:65" s="1" customFormat="1">
      <c r="B400" s="26"/>
      <c r="D400" s="132" t="s">
        <v>143</v>
      </c>
      <c r="F400" s="133" t="s">
        <v>1251</v>
      </c>
      <c r="L400" s="26"/>
      <c r="M400" s="134"/>
      <c r="T400" s="50"/>
      <c r="AT400" s="14" t="s">
        <v>143</v>
      </c>
      <c r="AU400" s="14" t="s">
        <v>19</v>
      </c>
    </row>
    <row r="401" spans="2:65" s="1" customFormat="1" ht="105.6">
      <c r="B401" s="26"/>
      <c r="D401" s="132" t="s">
        <v>145</v>
      </c>
      <c r="F401" s="135" t="s">
        <v>597</v>
      </c>
      <c r="L401" s="26"/>
      <c r="M401" s="134"/>
      <c r="T401" s="50"/>
      <c r="AT401" s="14" t="s">
        <v>145</v>
      </c>
      <c r="AU401" s="14" t="s">
        <v>19</v>
      </c>
    </row>
    <row r="402" spans="2:65" s="11" customFormat="1">
      <c r="B402" s="136"/>
      <c r="D402" s="132" t="s">
        <v>147</v>
      </c>
      <c r="E402" s="137" t="s">
        <v>1253</v>
      </c>
      <c r="F402" s="138" t="s">
        <v>1254</v>
      </c>
      <c r="H402" s="139">
        <v>61.120000000000005</v>
      </c>
      <c r="L402" s="136"/>
      <c r="M402" s="140"/>
      <c r="T402" s="141"/>
      <c r="AT402" s="137" t="s">
        <v>147</v>
      </c>
      <c r="AU402" s="137" t="s">
        <v>19</v>
      </c>
      <c r="AV402" s="11" t="s">
        <v>149</v>
      </c>
      <c r="AW402" s="11" t="s">
        <v>39</v>
      </c>
      <c r="AX402" s="11" t="s">
        <v>19</v>
      </c>
      <c r="AY402" s="137" t="s">
        <v>136</v>
      </c>
    </row>
    <row r="403" spans="2:65" s="1" customFormat="1" ht="21.75" customHeight="1">
      <c r="B403" s="119"/>
      <c r="C403" s="120" t="s">
        <v>639</v>
      </c>
      <c r="D403" s="120" t="s">
        <v>137</v>
      </c>
      <c r="E403" s="121" t="s">
        <v>1255</v>
      </c>
      <c r="F403" s="122" t="s">
        <v>1256</v>
      </c>
      <c r="G403" s="123" t="s">
        <v>216</v>
      </c>
      <c r="H403" s="124">
        <v>6</v>
      </c>
      <c r="I403" s="125">
        <v>0</v>
      </c>
      <c r="J403" s="125">
        <f>ROUND(I403*H403,2)</f>
        <v>0</v>
      </c>
      <c r="K403" s="122" t="s">
        <v>141</v>
      </c>
      <c r="L403" s="26"/>
      <c r="M403" s="126" t="s">
        <v>1</v>
      </c>
      <c r="N403" s="127" t="s">
        <v>46</v>
      </c>
      <c r="O403" s="128">
        <v>0</v>
      </c>
      <c r="P403" s="128">
        <f>O403*H403</f>
        <v>0</v>
      </c>
      <c r="Q403" s="128">
        <v>0</v>
      </c>
      <c r="R403" s="128">
        <f>Q403*H403</f>
        <v>0</v>
      </c>
      <c r="S403" s="128">
        <v>0</v>
      </c>
      <c r="T403" s="129">
        <f>S403*H403</f>
        <v>0</v>
      </c>
      <c r="AR403" s="130" t="s">
        <v>135</v>
      </c>
      <c r="AT403" s="130" t="s">
        <v>137</v>
      </c>
      <c r="AU403" s="130" t="s">
        <v>19</v>
      </c>
      <c r="AY403" s="14" t="s">
        <v>136</v>
      </c>
      <c r="BE403" s="131">
        <f>IF(N403="základní",J403,0)</f>
        <v>0</v>
      </c>
      <c r="BF403" s="131">
        <f>IF(N403="snížená",J403,0)</f>
        <v>0</v>
      </c>
      <c r="BG403" s="131">
        <f>IF(N403="zákl. přenesená",J403,0)</f>
        <v>0</v>
      </c>
      <c r="BH403" s="131">
        <f>IF(N403="sníž. přenesená",J403,0)</f>
        <v>0</v>
      </c>
      <c r="BI403" s="131">
        <f>IF(N403="nulová",J403,0)</f>
        <v>0</v>
      </c>
      <c r="BJ403" s="14" t="s">
        <v>19</v>
      </c>
      <c r="BK403" s="131">
        <f>ROUND(I403*H403,2)</f>
        <v>0</v>
      </c>
      <c r="BL403" s="14" t="s">
        <v>135</v>
      </c>
      <c r="BM403" s="130" t="s">
        <v>1257</v>
      </c>
    </row>
    <row r="404" spans="2:65" s="1" customFormat="1">
      <c r="B404" s="26"/>
      <c r="D404" s="132" t="s">
        <v>143</v>
      </c>
      <c r="F404" s="133" t="s">
        <v>1256</v>
      </c>
      <c r="L404" s="26"/>
      <c r="M404" s="134"/>
      <c r="T404" s="50"/>
      <c r="AT404" s="14" t="s">
        <v>143</v>
      </c>
      <c r="AU404" s="14" t="s">
        <v>19</v>
      </c>
    </row>
    <row r="405" spans="2:65" s="1" customFormat="1" ht="105.6">
      <c r="B405" s="26"/>
      <c r="D405" s="132" t="s">
        <v>145</v>
      </c>
      <c r="F405" s="135" t="s">
        <v>597</v>
      </c>
      <c r="L405" s="26"/>
      <c r="M405" s="134"/>
      <c r="T405" s="50"/>
      <c r="AT405" s="14" t="s">
        <v>145</v>
      </c>
      <c r="AU405" s="14" t="s">
        <v>19</v>
      </c>
    </row>
    <row r="406" spans="2:65" s="11" customFormat="1">
      <c r="B406" s="136"/>
      <c r="D406" s="132" t="s">
        <v>147</v>
      </c>
      <c r="E406" s="137" t="s">
        <v>1258</v>
      </c>
      <c r="F406" s="138" t="s">
        <v>1259</v>
      </c>
      <c r="H406" s="139">
        <v>6</v>
      </c>
      <c r="L406" s="136"/>
      <c r="M406" s="140"/>
      <c r="T406" s="141"/>
      <c r="AT406" s="137" t="s">
        <v>147</v>
      </c>
      <c r="AU406" s="137" t="s">
        <v>19</v>
      </c>
      <c r="AV406" s="11" t="s">
        <v>149</v>
      </c>
      <c r="AW406" s="11" t="s">
        <v>39</v>
      </c>
      <c r="AX406" s="11" t="s">
        <v>19</v>
      </c>
      <c r="AY406" s="137" t="s">
        <v>136</v>
      </c>
    </row>
    <row r="407" spans="2:65" s="1" customFormat="1" ht="24.15" customHeight="1">
      <c r="B407" s="119"/>
      <c r="C407" s="120" t="s">
        <v>647</v>
      </c>
      <c r="D407" s="120" t="s">
        <v>137</v>
      </c>
      <c r="E407" s="121" t="s">
        <v>1260</v>
      </c>
      <c r="F407" s="122" t="s">
        <v>1261</v>
      </c>
      <c r="G407" s="123" t="s">
        <v>216</v>
      </c>
      <c r="H407" s="124">
        <v>14.52</v>
      </c>
      <c r="I407" s="125">
        <v>0</v>
      </c>
      <c r="J407" s="125">
        <f>ROUND(I407*H407,2)</f>
        <v>0</v>
      </c>
      <c r="K407" s="122" t="s">
        <v>141</v>
      </c>
      <c r="L407" s="26"/>
      <c r="M407" s="126" t="s">
        <v>1</v>
      </c>
      <c r="N407" s="127" t="s">
        <v>46</v>
      </c>
      <c r="O407" s="128">
        <v>0</v>
      </c>
      <c r="P407" s="128">
        <f>O407*H407</f>
        <v>0</v>
      </c>
      <c r="Q407" s="128">
        <v>0</v>
      </c>
      <c r="R407" s="128">
        <f>Q407*H407</f>
        <v>0</v>
      </c>
      <c r="S407" s="128">
        <v>0</v>
      </c>
      <c r="T407" s="129">
        <f>S407*H407</f>
        <v>0</v>
      </c>
      <c r="AR407" s="130" t="s">
        <v>135</v>
      </c>
      <c r="AT407" s="130" t="s">
        <v>137</v>
      </c>
      <c r="AU407" s="130" t="s">
        <v>19</v>
      </c>
      <c r="AY407" s="14" t="s">
        <v>136</v>
      </c>
      <c r="BE407" s="131">
        <f>IF(N407="základní",J407,0)</f>
        <v>0</v>
      </c>
      <c r="BF407" s="131">
        <f>IF(N407="snížená",J407,0)</f>
        <v>0</v>
      </c>
      <c r="BG407" s="131">
        <f>IF(N407="zákl. přenesená",J407,0)</f>
        <v>0</v>
      </c>
      <c r="BH407" s="131">
        <f>IF(N407="sníž. přenesená",J407,0)</f>
        <v>0</v>
      </c>
      <c r="BI407" s="131">
        <f>IF(N407="nulová",J407,0)</f>
        <v>0</v>
      </c>
      <c r="BJ407" s="14" t="s">
        <v>19</v>
      </c>
      <c r="BK407" s="131">
        <f>ROUND(I407*H407,2)</f>
        <v>0</v>
      </c>
      <c r="BL407" s="14" t="s">
        <v>135</v>
      </c>
      <c r="BM407" s="130" t="s">
        <v>1262</v>
      </c>
    </row>
    <row r="408" spans="2:65" s="1" customFormat="1" ht="19.2">
      <c r="B408" s="26"/>
      <c r="D408" s="132" t="s">
        <v>143</v>
      </c>
      <c r="F408" s="133" t="s">
        <v>1261</v>
      </c>
      <c r="L408" s="26"/>
      <c r="M408" s="134"/>
      <c r="T408" s="50"/>
      <c r="AT408" s="14" t="s">
        <v>143</v>
      </c>
      <c r="AU408" s="14" t="s">
        <v>19</v>
      </c>
    </row>
    <row r="409" spans="2:65" s="1" customFormat="1" ht="105.6">
      <c r="B409" s="26"/>
      <c r="D409" s="132" t="s">
        <v>145</v>
      </c>
      <c r="F409" s="135" t="s">
        <v>597</v>
      </c>
      <c r="L409" s="26"/>
      <c r="M409" s="134"/>
      <c r="T409" s="50"/>
      <c r="AT409" s="14" t="s">
        <v>145</v>
      </c>
      <c r="AU409" s="14" t="s">
        <v>19</v>
      </c>
    </row>
    <row r="410" spans="2:65" s="11" customFormat="1">
      <c r="B410" s="136"/>
      <c r="D410" s="132" t="s">
        <v>147</v>
      </c>
      <c r="E410" s="137" t="s">
        <v>1263</v>
      </c>
      <c r="F410" s="138" t="s">
        <v>1264</v>
      </c>
      <c r="H410" s="139">
        <v>14.52</v>
      </c>
      <c r="L410" s="136"/>
      <c r="M410" s="140"/>
      <c r="T410" s="141"/>
      <c r="AT410" s="137" t="s">
        <v>147</v>
      </c>
      <c r="AU410" s="137" t="s">
        <v>19</v>
      </c>
      <c r="AV410" s="11" t="s">
        <v>149</v>
      </c>
      <c r="AW410" s="11" t="s">
        <v>39</v>
      </c>
      <c r="AX410" s="11" t="s">
        <v>19</v>
      </c>
      <c r="AY410" s="137" t="s">
        <v>136</v>
      </c>
    </row>
    <row r="411" spans="2:65" s="1" customFormat="1" ht="24.15" customHeight="1">
      <c r="B411" s="119"/>
      <c r="C411" s="120" t="s">
        <v>655</v>
      </c>
      <c r="D411" s="120" t="s">
        <v>137</v>
      </c>
      <c r="E411" s="121" t="s">
        <v>601</v>
      </c>
      <c r="F411" s="122" t="s">
        <v>602</v>
      </c>
      <c r="G411" s="123" t="s">
        <v>260</v>
      </c>
      <c r="H411" s="124">
        <v>2404.6</v>
      </c>
      <c r="I411" s="125">
        <v>0</v>
      </c>
      <c r="J411" s="125">
        <f>ROUND(I411*H411,2)</f>
        <v>0</v>
      </c>
      <c r="K411" s="122" t="s">
        <v>141</v>
      </c>
      <c r="L411" s="26"/>
      <c r="M411" s="126" t="s">
        <v>1</v>
      </c>
      <c r="N411" s="127" t="s">
        <v>46</v>
      </c>
      <c r="O411" s="128">
        <v>0</v>
      </c>
      <c r="P411" s="128">
        <f>O411*H411</f>
        <v>0</v>
      </c>
      <c r="Q411" s="128">
        <v>0</v>
      </c>
      <c r="R411" s="128">
        <f>Q411*H411</f>
        <v>0</v>
      </c>
      <c r="S411" s="128">
        <v>0</v>
      </c>
      <c r="T411" s="129">
        <f>S411*H411</f>
        <v>0</v>
      </c>
      <c r="AR411" s="130" t="s">
        <v>135</v>
      </c>
      <c r="AT411" s="130" t="s">
        <v>137</v>
      </c>
      <c r="AU411" s="130" t="s">
        <v>19</v>
      </c>
      <c r="AY411" s="14" t="s">
        <v>136</v>
      </c>
      <c r="BE411" s="131">
        <f>IF(N411="základní",J411,0)</f>
        <v>0</v>
      </c>
      <c r="BF411" s="131">
        <f>IF(N411="snížená",J411,0)</f>
        <v>0</v>
      </c>
      <c r="BG411" s="131">
        <f>IF(N411="zákl. přenesená",J411,0)</f>
        <v>0</v>
      </c>
      <c r="BH411" s="131">
        <f>IF(N411="sníž. přenesená",J411,0)</f>
        <v>0</v>
      </c>
      <c r="BI411" s="131">
        <f>IF(N411="nulová",J411,0)</f>
        <v>0</v>
      </c>
      <c r="BJ411" s="14" t="s">
        <v>19</v>
      </c>
      <c r="BK411" s="131">
        <f>ROUND(I411*H411,2)</f>
        <v>0</v>
      </c>
      <c r="BL411" s="14" t="s">
        <v>135</v>
      </c>
      <c r="BM411" s="130" t="s">
        <v>1265</v>
      </c>
    </row>
    <row r="412" spans="2:65" s="1" customFormat="1" ht="19.2">
      <c r="B412" s="26"/>
      <c r="D412" s="132" t="s">
        <v>143</v>
      </c>
      <c r="F412" s="133" t="s">
        <v>602</v>
      </c>
      <c r="L412" s="26"/>
      <c r="M412" s="134"/>
      <c r="T412" s="50"/>
      <c r="AT412" s="14" t="s">
        <v>143</v>
      </c>
      <c r="AU412" s="14" t="s">
        <v>19</v>
      </c>
    </row>
    <row r="413" spans="2:65" s="1" customFormat="1" ht="105.6">
      <c r="B413" s="26"/>
      <c r="D413" s="132" t="s">
        <v>145</v>
      </c>
      <c r="F413" s="135" t="s">
        <v>597</v>
      </c>
      <c r="L413" s="26"/>
      <c r="M413" s="134"/>
      <c r="T413" s="50"/>
      <c r="AT413" s="14" t="s">
        <v>145</v>
      </c>
      <c r="AU413" s="14" t="s">
        <v>19</v>
      </c>
    </row>
    <row r="414" spans="2:65" s="11" customFormat="1" ht="20.399999999999999">
      <c r="B414" s="136"/>
      <c r="D414" s="132" t="s">
        <v>147</v>
      </c>
      <c r="E414" s="137" t="s">
        <v>1266</v>
      </c>
      <c r="F414" s="138" t="s">
        <v>1267</v>
      </c>
      <c r="H414" s="139">
        <v>2041.6000000000001</v>
      </c>
      <c r="L414" s="136"/>
      <c r="M414" s="140"/>
      <c r="T414" s="141"/>
      <c r="AT414" s="137" t="s">
        <v>147</v>
      </c>
      <c r="AU414" s="137" t="s">
        <v>19</v>
      </c>
      <c r="AV414" s="11" t="s">
        <v>149</v>
      </c>
      <c r="AW414" s="11" t="s">
        <v>39</v>
      </c>
      <c r="AX414" s="11" t="s">
        <v>81</v>
      </c>
      <c r="AY414" s="137" t="s">
        <v>136</v>
      </c>
    </row>
    <row r="415" spans="2:65" s="11" customFormat="1">
      <c r="B415" s="136"/>
      <c r="D415" s="132" t="s">
        <v>147</v>
      </c>
      <c r="E415" s="137" t="s">
        <v>1268</v>
      </c>
      <c r="F415" s="138" t="s">
        <v>1269</v>
      </c>
      <c r="H415" s="139">
        <v>363</v>
      </c>
      <c r="L415" s="136"/>
      <c r="M415" s="140"/>
      <c r="T415" s="141"/>
      <c r="AT415" s="137" t="s">
        <v>147</v>
      </c>
      <c r="AU415" s="137" t="s">
        <v>19</v>
      </c>
      <c r="AV415" s="11" t="s">
        <v>149</v>
      </c>
      <c r="AW415" s="11" t="s">
        <v>39</v>
      </c>
      <c r="AX415" s="11" t="s">
        <v>81</v>
      </c>
      <c r="AY415" s="137" t="s">
        <v>136</v>
      </c>
    </row>
    <row r="416" spans="2:65" s="11" customFormat="1">
      <c r="B416" s="136"/>
      <c r="D416" s="132" t="s">
        <v>147</v>
      </c>
      <c r="E416" s="137" t="s">
        <v>1270</v>
      </c>
      <c r="F416" s="138" t="s">
        <v>1271</v>
      </c>
      <c r="H416" s="139">
        <v>2404.6</v>
      </c>
      <c r="L416" s="136"/>
      <c r="M416" s="140"/>
      <c r="T416" s="141"/>
      <c r="AT416" s="137" t="s">
        <v>147</v>
      </c>
      <c r="AU416" s="137" t="s">
        <v>19</v>
      </c>
      <c r="AV416" s="11" t="s">
        <v>149</v>
      </c>
      <c r="AW416" s="11" t="s">
        <v>39</v>
      </c>
      <c r="AX416" s="11" t="s">
        <v>19</v>
      </c>
      <c r="AY416" s="137" t="s">
        <v>136</v>
      </c>
    </row>
    <row r="417" spans="2:65" s="1" customFormat="1" ht="24.15" customHeight="1">
      <c r="B417" s="119"/>
      <c r="C417" s="120" t="s">
        <v>662</v>
      </c>
      <c r="D417" s="120" t="s">
        <v>137</v>
      </c>
      <c r="E417" s="121" t="s">
        <v>1272</v>
      </c>
      <c r="F417" s="122" t="s">
        <v>1273</v>
      </c>
      <c r="G417" s="123" t="s">
        <v>260</v>
      </c>
      <c r="H417" s="124">
        <v>13882</v>
      </c>
      <c r="I417" s="125">
        <v>0</v>
      </c>
      <c r="J417" s="125">
        <f>ROUND(I417*H417,2)</f>
        <v>0</v>
      </c>
      <c r="K417" s="122" t="s">
        <v>141</v>
      </c>
      <c r="L417" s="26"/>
      <c r="M417" s="126" t="s">
        <v>1</v>
      </c>
      <c r="N417" s="127" t="s">
        <v>46</v>
      </c>
      <c r="O417" s="128">
        <v>0</v>
      </c>
      <c r="P417" s="128">
        <f>O417*H417</f>
        <v>0</v>
      </c>
      <c r="Q417" s="128">
        <v>0</v>
      </c>
      <c r="R417" s="128">
        <f>Q417*H417</f>
        <v>0</v>
      </c>
      <c r="S417" s="128">
        <v>0</v>
      </c>
      <c r="T417" s="129">
        <f>S417*H417</f>
        <v>0</v>
      </c>
      <c r="AR417" s="130" t="s">
        <v>135</v>
      </c>
      <c r="AT417" s="130" t="s">
        <v>137</v>
      </c>
      <c r="AU417" s="130" t="s">
        <v>19</v>
      </c>
      <c r="AY417" s="14" t="s">
        <v>136</v>
      </c>
      <c r="BE417" s="131">
        <f>IF(N417="základní",J417,0)</f>
        <v>0</v>
      </c>
      <c r="BF417" s="131">
        <f>IF(N417="snížená",J417,0)</f>
        <v>0</v>
      </c>
      <c r="BG417" s="131">
        <f>IF(N417="zákl. přenesená",J417,0)</f>
        <v>0</v>
      </c>
      <c r="BH417" s="131">
        <f>IF(N417="sníž. přenesená",J417,0)</f>
        <v>0</v>
      </c>
      <c r="BI417" s="131">
        <f>IF(N417="nulová",J417,0)</f>
        <v>0</v>
      </c>
      <c r="BJ417" s="14" t="s">
        <v>19</v>
      </c>
      <c r="BK417" s="131">
        <f>ROUND(I417*H417,2)</f>
        <v>0</v>
      </c>
      <c r="BL417" s="14" t="s">
        <v>135</v>
      </c>
      <c r="BM417" s="130" t="s">
        <v>1274</v>
      </c>
    </row>
    <row r="418" spans="2:65" s="1" customFormat="1" ht="19.2">
      <c r="B418" s="26"/>
      <c r="D418" s="132" t="s">
        <v>143</v>
      </c>
      <c r="F418" s="133" t="s">
        <v>1273</v>
      </c>
      <c r="L418" s="26"/>
      <c r="M418" s="134"/>
      <c r="T418" s="50"/>
      <c r="AT418" s="14" t="s">
        <v>143</v>
      </c>
      <c r="AU418" s="14" t="s">
        <v>19</v>
      </c>
    </row>
    <row r="419" spans="2:65" s="1" customFormat="1" ht="105.6">
      <c r="B419" s="26"/>
      <c r="D419" s="132" t="s">
        <v>145</v>
      </c>
      <c r="F419" s="135" t="s">
        <v>597</v>
      </c>
      <c r="L419" s="26"/>
      <c r="M419" s="134"/>
      <c r="T419" s="50"/>
      <c r="AT419" s="14" t="s">
        <v>145</v>
      </c>
      <c r="AU419" s="14" t="s">
        <v>19</v>
      </c>
    </row>
    <row r="420" spans="2:65" s="11" customFormat="1">
      <c r="B420" s="136"/>
      <c r="D420" s="132" t="s">
        <v>147</v>
      </c>
      <c r="E420" s="137" t="s">
        <v>1275</v>
      </c>
      <c r="F420" s="138" t="s">
        <v>1276</v>
      </c>
      <c r="H420" s="139">
        <v>13882</v>
      </c>
      <c r="L420" s="136"/>
      <c r="M420" s="140"/>
      <c r="T420" s="141"/>
      <c r="AT420" s="137" t="s">
        <v>147</v>
      </c>
      <c r="AU420" s="137" t="s">
        <v>19</v>
      </c>
      <c r="AV420" s="11" t="s">
        <v>149</v>
      </c>
      <c r="AW420" s="11" t="s">
        <v>39</v>
      </c>
      <c r="AX420" s="11" t="s">
        <v>19</v>
      </c>
      <c r="AY420" s="137" t="s">
        <v>136</v>
      </c>
    </row>
    <row r="421" spans="2:65" s="1" customFormat="1" ht="24.15" customHeight="1">
      <c r="B421" s="119"/>
      <c r="C421" s="120" t="s">
        <v>670</v>
      </c>
      <c r="D421" s="120" t="s">
        <v>137</v>
      </c>
      <c r="E421" s="121" t="s">
        <v>1277</v>
      </c>
      <c r="F421" s="122" t="s">
        <v>1278</v>
      </c>
      <c r="G421" s="123" t="s">
        <v>260</v>
      </c>
      <c r="H421" s="124">
        <v>205</v>
      </c>
      <c r="I421" s="125">
        <v>0</v>
      </c>
      <c r="J421" s="125">
        <f>ROUND(I421*H421,2)</f>
        <v>0</v>
      </c>
      <c r="K421" s="122" t="s">
        <v>141</v>
      </c>
      <c r="L421" s="26"/>
      <c r="M421" s="126" t="s">
        <v>1</v>
      </c>
      <c r="N421" s="127" t="s">
        <v>46</v>
      </c>
      <c r="O421" s="128">
        <v>0</v>
      </c>
      <c r="P421" s="128">
        <f>O421*H421</f>
        <v>0</v>
      </c>
      <c r="Q421" s="128">
        <v>0</v>
      </c>
      <c r="R421" s="128">
        <f>Q421*H421</f>
        <v>0</v>
      </c>
      <c r="S421" s="128">
        <v>0</v>
      </c>
      <c r="T421" s="129">
        <f>S421*H421</f>
        <v>0</v>
      </c>
      <c r="AR421" s="130" t="s">
        <v>135</v>
      </c>
      <c r="AT421" s="130" t="s">
        <v>137</v>
      </c>
      <c r="AU421" s="130" t="s">
        <v>19</v>
      </c>
      <c r="AY421" s="14" t="s">
        <v>136</v>
      </c>
      <c r="BE421" s="131">
        <f>IF(N421="základní",J421,0)</f>
        <v>0</v>
      </c>
      <c r="BF421" s="131">
        <f>IF(N421="snížená",J421,0)</f>
        <v>0</v>
      </c>
      <c r="BG421" s="131">
        <f>IF(N421="zákl. přenesená",J421,0)</f>
        <v>0</v>
      </c>
      <c r="BH421" s="131">
        <f>IF(N421="sníž. přenesená",J421,0)</f>
        <v>0</v>
      </c>
      <c r="BI421" s="131">
        <f>IF(N421="nulová",J421,0)</f>
        <v>0</v>
      </c>
      <c r="BJ421" s="14" t="s">
        <v>19</v>
      </c>
      <c r="BK421" s="131">
        <f>ROUND(I421*H421,2)</f>
        <v>0</v>
      </c>
      <c r="BL421" s="14" t="s">
        <v>135</v>
      </c>
      <c r="BM421" s="130" t="s">
        <v>1279</v>
      </c>
    </row>
    <row r="422" spans="2:65" s="1" customFormat="1" ht="19.2">
      <c r="B422" s="26"/>
      <c r="D422" s="132" t="s">
        <v>143</v>
      </c>
      <c r="F422" s="133" t="s">
        <v>1278</v>
      </c>
      <c r="L422" s="26"/>
      <c r="M422" s="134"/>
      <c r="T422" s="50"/>
      <c r="AT422" s="14" t="s">
        <v>143</v>
      </c>
      <c r="AU422" s="14" t="s">
        <v>19</v>
      </c>
    </row>
    <row r="423" spans="2:65" s="1" customFormat="1" ht="105.6">
      <c r="B423" s="26"/>
      <c r="D423" s="132" t="s">
        <v>145</v>
      </c>
      <c r="F423" s="135" t="s">
        <v>597</v>
      </c>
      <c r="L423" s="26"/>
      <c r="M423" s="134"/>
      <c r="T423" s="50"/>
      <c r="AT423" s="14" t="s">
        <v>145</v>
      </c>
      <c r="AU423" s="14" t="s">
        <v>19</v>
      </c>
    </row>
    <row r="424" spans="2:65" s="11" customFormat="1">
      <c r="B424" s="136"/>
      <c r="D424" s="132" t="s">
        <v>147</v>
      </c>
      <c r="E424" s="137" t="s">
        <v>1280</v>
      </c>
      <c r="F424" s="138" t="s">
        <v>1281</v>
      </c>
      <c r="H424" s="139">
        <v>205</v>
      </c>
      <c r="L424" s="136"/>
      <c r="M424" s="140"/>
      <c r="T424" s="141"/>
      <c r="AT424" s="137" t="s">
        <v>147</v>
      </c>
      <c r="AU424" s="137" t="s">
        <v>19</v>
      </c>
      <c r="AV424" s="11" t="s">
        <v>149</v>
      </c>
      <c r="AW424" s="11" t="s">
        <v>39</v>
      </c>
      <c r="AX424" s="11" t="s">
        <v>19</v>
      </c>
      <c r="AY424" s="137" t="s">
        <v>136</v>
      </c>
    </row>
    <row r="425" spans="2:65" s="1" customFormat="1" ht="24.15" customHeight="1">
      <c r="B425" s="119"/>
      <c r="C425" s="120" t="s">
        <v>684</v>
      </c>
      <c r="D425" s="120" t="s">
        <v>137</v>
      </c>
      <c r="E425" s="121" t="s">
        <v>621</v>
      </c>
      <c r="F425" s="122" t="s">
        <v>622</v>
      </c>
      <c r="G425" s="123" t="s">
        <v>260</v>
      </c>
      <c r="H425" s="124">
        <v>16438</v>
      </c>
      <c r="I425" s="125">
        <v>0</v>
      </c>
      <c r="J425" s="125">
        <f>ROUND(I425*H425,2)</f>
        <v>0</v>
      </c>
      <c r="K425" s="122" t="s">
        <v>141</v>
      </c>
      <c r="L425" s="26"/>
      <c r="M425" s="126" t="s">
        <v>1</v>
      </c>
      <c r="N425" s="127" t="s">
        <v>46</v>
      </c>
      <c r="O425" s="128">
        <v>0</v>
      </c>
      <c r="P425" s="128">
        <f>O425*H425</f>
        <v>0</v>
      </c>
      <c r="Q425" s="128">
        <v>0</v>
      </c>
      <c r="R425" s="128">
        <f>Q425*H425</f>
        <v>0</v>
      </c>
      <c r="S425" s="128">
        <v>0</v>
      </c>
      <c r="T425" s="129">
        <f>S425*H425</f>
        <v>0</v>
      </c>
      <c r="AR425" s="130" t="s">
        <v>135</v>
      </c>
      <c r="AT425" s="130" t="s">
        <v>137</v>
      </c>
      <c r="AU425" s="130" t="s">
        <v>19</v>
      </c>
      <c r="AY425" s="14" t="s">
        <v>136</v>
      </c>
      <c r="BE425" s="131">
        <f>IF(N425="základní",J425,0)</f>
        <v>0</v>
      </c>
      <c r="BF425" s="131">
        <f>IF(N425="snížená",J425,0)</f>
        <v>0</v>
      </c>
      <c r="BG425" s="131">
        <f>IF(N425="zákl. přenesená",J425,0)</f>
        <v>0</v>
      </c>
      <c r="BH425" s="131">
        <f>IF(N425="sníž. přenesená",J425,0)</f>
        <v>0</v>
      </c>
      <c r="BI425" s="131">
        <f>IF(N425="nulová",J425,0)</f>
        <v>0</v>
      </c>
      <c r="BJ425" s="14" t="s">
        <v>19</v>
      </c>
      <c r="BK425" s="131">
        <f>ROUND(I425*H425,2)</f>
        <v>0</v>
      </c>
      <c r="BL425" s="14" t="s">
        <v>135</v>
      </c>
      <c r="BM425" s="130" t="s">
        <v>1282</v>
      </c>
    </row>
    <row r="426" spans="2:65" s="1" customFormat="1" ht="19.2">
      <c r="B426" s="26"/>
      <c r="D426" s="132" t="s">
        <v>143</v>
      </c>
      <c r="F426" s="133" t="s">
        <v>622</v>
      </c>
      <c r="L426" s="26"/>
      <c r="M426" s="134"/>
      <c r="T426" s="50"/>
      <c r="AT426" s="14" t="s">
        <v>143</v>
      </c>
      <c r="AU426" s="14" t="s">
        <v>19</v>
      </c>
    </row>
    <row r="427" spans="2:65" s="1" customFormat="1" ht="105.6">
      <c r="B427" s="26"/>
      <c r="D427" s="132" t="s">
        <v>145</v>
      </c>
      <c r="F427" s="135" t="s">
        <v>597</v>
      </c>
      <c r="L427" s="26"/>
      <c r="M427" s="134"/>
      <c r="T427" s="50"/>
      <c r="AT427" s="14" t="s">
        <v>145</v>
      </c>
      <c r="AU427" s="14" t="s">
        <v>19</v>
      </c>
    </row>
    <row r="428" spans="2:65" s="11" customFormat="1">
      <c r="B428" s="136"/>
      <c r="D428" s="132" t="s">
        <v>147</v>
      </c>
      <c r="E428" s="137" t="s">
        <v>1283</v>
      </c>
      <c r="F428" s="138" t="s">
        <v>1284</v>
      </c>
      <c r="H428" s="139">
        <v>13882</v>
      </c>
      <c r="L428" s="136"/>
      <c r="M428" s="140"/>
      <c r="T428" s="141"/>
      <c r="AT428" s="137" t="s">
        <v>147</v>
      </c>
      <c r="AU428" s="137" t="s">
        <v>19</v>
      </c>
      <c r="AV428" s="11" t="s">
        <v>149</v>
      </c>
      <c r="AW428" s="11" t="s">
        <v>39</v>
      </c>
      <c r="AX428" s="11" t="s">
        <v>81</v>
      </c>
      <c r="AY428" s="137" t="s">
        <v>136</v>
      </c>
    </row>
    <row r="429" spans="2:65" s="11" customFormat="1">
      <c r="B429" s="136"/>
      <c r="D429" s="132" t="s">
        <v>147</v>
      </c>
      <c r="E429" s="137" t="s">
        <v>1285</v>
      </c>
      <c r="F429" s="138" t="s">
        <v>1286</v>
      </c>
      <c r="H429" s="139">
        <v>1856</v>
      </c>
      <c r="L429" s="136"/>
      <c r="M429" s="140"/>
      <c r="T429" s="141"/>
      <c r="AT429" s="137" t="s">
        <v>147</v>
      </c>
      <c r="AU429" s="137" t="s">
        <v>19</v>
      </c>
      <c r="AV429" s="11" t="s">
        <v>149</v>
      </c>
      <c r="AW429" s="11" t="s">
        <v>39</v>
      </c>
      <c r="AX429" s="11" t="s">
        <v>81</v>
      </c>
      <c r="AY429" s="137" t="s">
        <v>136</v>
      </c>
    </row>
    <row r="430" spans="2:65" s="11" customFormat="1">
      <c r="B430" s="136"/>
      <c r="D430" s="132" t="s">
        <v>147</v>
      </c>
      <c r="E430" s="137" t="s">
        <v>1287</v>
      </c>
      <c r="F430" s="138" t="s">
        <v>1288</v>
      </c>
      <c r="H430" s="139">
        <v>700</v>
      </c>
      <c r="L430" s="136"/>
      <c r="M430" s="140"/>
      <c r="T430" s="141"/>
      <c r="AT430" s="137" t="s">
        <v>147</v>
      </c>
      <c r="AU430" s="137" t="s">
        <v>19</v>
      </c>
      <c r="AV430" s="11" t="s">
        <v>149</v>
      </c>
      <c r="AW430" s="11" t="s">
        <v>39</v>
      </c>
      <c r="AX430" s="11" t="s">
        <v>81</v>
      </c>
      <c r="AY430" s="137" t="s">
        <v>136</v>
      </c>
    </row>
    <row r="431" spans="2:65" s="11" customFormat="1">
      <c r="B431" s="136"/>
      <c r="D431" s="132" t="s">
        <v>147</v>
      </c>
      <c r="E431" s="137" t="s">
        <v>1289</v>
      </c>
      <c r="F431" s="138" t="s">
        <v>1290</v>
      </c>
      <c r="H431" s="139">
        <v>16438</v>
      </c>
      <c r="L431" s="136"/>
      <c r="M431" s="140"/>
      <c r="T431" s="141"/>
      <c r="AT431" s="137" t="s">
        <v>147</v>
      </c>
      <c r="AU431" s="137" t="s">
        <v>19</v>
      </c>
      <c r="AV431" s="11" t="s">
        <v>149</v>
      </c>
      <c r="AW431" s="11" t="s">
        <v>39</v>
      </c>
      <c r="AX431" s="11" t="s">
        <v>19</v>
      </c>
      <c r="AY431" s="137" t="s">
        <v>136</v>
      </c>
    </row>
    <row r="432" spans="2:65" s="1" customFormat="1" ht="16.5" customHeight="1">
      <c r="B432" s="119"/>
      <c r="C432" s="120" t="s">
        <v>691</v>
      </c>
      <c r="D432" s="120" t="s">
        <v>137</v>
      </c>
      <c r="E432" s="121" t="s">
        <v>633</v>
      </c>
      <c r="F432" s="122" t="s">
        <v>634</v>
      </c>
      <c r="G432" s="123" t="s">
        <v>260</v>
      </c>
      <c r="H432" s="124">
        <v>15738</v>
      </c>
      <c r="I432" s="125">
        <v>0</v>
      </c>
      <c r="J432" s="125">
        <f>ROUND(I432*H432,2)</f>
        <v>0</v>
      </c>
      <c r="K432" s="122" t="s">
        <v>141</v>
      </c>
      <c r="L432" s="26"/>
      <c r="M432" s="126" t="s">
        <v>1</v>
      </c>
      <c r="N432" s="127" t="s">
        <v>46</v>
      </c>
      <c r="O432" s="128">
        <v>0</v>
      </c>
      <c r="P432" s="128">
        <f>O432*H432</f>
        <v>0</v>
      </c>
      <c r="Q432" s="128">
        <v>0</v>
      </c>
      <c r="R432" s="128">
        <f>Q432*H432</f>
        <v>0</v>
      </c>
      <c r="S432" s="128">
        <v>0</v>
      </c>
      <c r="T432" s="129">
        <f>S432*H432</f>
        <v>0</v>
      </c>
      <c r="AR432" s="130" t="s">
        <v>135</v>
      </c>
      <c r="AT432" s="130" t="s">
        <v>137</v>
      </c>
      <c r="AU432" s="130" t="s">
        <v>19</v>
      </c>
      <c r="AY432" s="14" t="s">
        <v>136</v>
      </c>
      <c r="BE432" s="131">
        <f>IF(N432="základní",J432,0)</f>
        <v>0</v>
      </c>
      <c r="BF432" s="131">
        <f>IF(N432="snížená",J432,0)</f>
        <v>0</v>
      </c>
      <c r="BG432" s="131">
        <f>IF(N432="zákl. přenesená",J432,0)</f>
        <v>0</v>
      </c>
      <c r="BH432" s="131">
        <f>IF(N432="sníž. přenesená",J432,0)</f>
        <v>0</v>
      </c>
      <c r="BI432" s="131">
        <f>IF(N432="nulová",J432,0)</f>
        <v>0</v>
      </c>
      <c r="BJ432" s="14" t="s">
        <v>19</v>
      </c>
      <c r="BK432" s="131">
        <f>ROUND(I432*H432,2)</f>
        <v>0</v>
      </c>
      <c r="BL432" s="14" t="s">
        <v>135</v>
      </c>
      <c r="BM432" s="130" t="s">
        <v>1291</v>
      </c>
    </row>
    <row r="433" spans="2:65" s="1" customFormat="1">
      <c r="B433" s="26"/>
      <c r="D433" s="132" t="s">
        <v>143</v>
      </c>
      <c r="F433" s="133" t="s">
        <v>1292</v>
      </c>
      <c r="L433" s="26"/>
      <c r="M433" s="134"/>
      <c r="T433" s="50"/>
      <c r="AT433" s="14" t="s">
        <v>143</v>
      </c>
      <c r="AU433" s="14" t="s">
        <v>19</v>
      </c>
    </row>
    <row r="434" spans="2:65" s="1" customFormat="1" ht="38.4">
      <c r="B434" s="26"/>
      <c r="D434" s="132" t="s">
        <v>145</v>
      </c>
      <c r="F434" s="135" t="s">
        <v>636</v>
      </c>
      <c r="L434" s="26"/>
      <c r="M434" s="134"/>
      <c r="T434" s="50"/>
      <c r="AT434" s="14" t="s">
        <v>145</v>
      </c>
      <c r="AU434" s="14" t="s">
        <v>19</v>
      </c>
    </row>
    <row r="435" spans="2:65" s="11" customFormat="1">
      <c r="B435" s="136"/>
      <c r="D435" s="132" t="s">
        <v>147</v>
      </c>
      <c r="E435" s="137" t="s">
        <v>1293</v>
      </c>
      <c r="F435" s="138" t="s">
        <v>1284</v>
      </c>
      <c r="H435" s="139">
        <v>13882</v>
      </c>
      <c r="L435" s="136"/>
      <c r="M435" s="140"/>
      <c r="T435" s="141"/>
      <c r="AT435" s="137" t="s">
        <v>147</v>
      </c>
      <c r="AU435" s="137" t="s">
        <v>19</v>
      </c>
      <c r="AV435" s="11" t="s">
        <v>149</v>
      </c>
      <c r="AW435" s="11" t="s">
        <v>39</v>
      </c>
      <c r="AX435" s="11" t="s">
        <v>81</v>
      </c>
      <c r="AY435" s="137" t="s">
        <v>136</v>
      </c>
    </row>
    <row r="436" spans="2:65" s="11" customFormat="1">
      <c r="B436" s="136"/>
      <c r="D436" s="132" t="s">
        <v>147</v>
      </c>
      <c r="E436" s="137" t="s">
        <v>1294</v>
      </c>
      <c r="F436" s="138" t="s">
        <v>1286</v>
      </c>
      <c r="H436" s="139">
        <v>1856</v>
      </c>
      <c r="L436" s="136"/>
      <c r="M436" s="140"/>
      <c r="T436" s="141"/>
      <c r="AT436" s="137" t="s">
        <v>147</v>
      </c>
      <c r="AU436" s="137" t="s">
        <v>19</v>
      </c>
      <c r="AV436" s="11" t="s">
        <v>149</v>
      </c>
      <c r="AW436" s="11" t="s">
        <v>39</v>
      </c>
      <c r="AX436" s="11" t="s">
        <v>81</v>
      </c>
      <c r="AY436" s="137" t="s">
        <v>136</v>
      </c>
    </row>
    <row r="437" spans="2:65" s="11" customFormat="1">
      <c r="B437" s="136"/>
      <c r="D437" s="132" t="s">
        <v>147</v>
      </c>
      <c r="E437" s="137" t="s">
        <v>1295</v>
      </c>
      <c r="F437" s="138" t="s">
        <v>1296</v>
      </c>
      <c r="H437" s="139">
        <v>15738</v>
      </c>
      <c r="L437" s="136"/>
      <c r="M437" s="140"/>
      <c r="T437" s="141"/>
      <c r="AT437" s="137" t="s">
        <v>147</v>
      </c>
      <c r="AU437" s="137" t="s">
        <v>19</v>
      </c>
      <c r="AV437" s="11" t="s">
        <v>149</v>
      </c>
      <c r="AW437" s="11" t="s">
        <v>39</v>
      </c>
      <c r="AX437" s="11" t="s">
        <v>19</v>
      </c>
      <c r="AY437" s="137" t="s">
        <v>136</v>
      </c>
    </row>
    <row r="438" spans="2:65" s="1" customFormat="1" ht="24.15" customHeight="1">
      <c r="B438" s="119"/>
      <c r="C438" s="120" t="s">
        <v>699</v>
      </c>
      <c r="D438" s="120" t="s">
        <v>137</v>
      </c>
      <c r="E438" s="121" t="s">
        <v>640</v>
      </c>
      <c r="F438" s="122" t="s">
        <v>641</v>
      </c>
      <c r="G438" s="123" t="s">
        <v>216</v>
      </c>
      <c r="H438" s="124">
        <v>78.69</v>
      </c>
      <c r="I438" s="125">
        <v>0</v>
      </c>
      <c r="J438" s="125">
        <f>ROUND(I438*H438,2)</f>
        <v>0</v>
      </c>
      <c r="K438" s="122" t="s">
        <v>141</v>
      </c>
      <c r="L438" s="26"/>
      <c r="M438" s="126" t="s">
        <v>1</v>
      </c>
      <c r="N438" s="127" t="s">
        <v>46</v>
      </c>
      <c r="O438" s="128">
        <v>0</v>
      </c>
      <c r="P438" s="128">
        <f>O438*H438</f>
        <v>0</v>
      </c>
      <c r="Q438" s="128">
        <v>0</v>
      </c>
      <c r="R438" s="128">
        <f>Q438*H438</f>
        <v>0</v>
      </c>
      <c r="S438" s="128">
        <v>0</v>
      </c>
      <c r="T438" s="129">
        <f>S438*H438</f>
        <v>0</v>
      </c>
      <c r="AR438" s="130" t="s">
        <v>135</v>
      </c>
      <c r="AT438" s="130" t="s">
        <v>137</v>
      </c>
      <c r="AU438" s="130" t="s">
        <v>19</v>
      </c>
      <c r="AY438" s="14" t="s">
        <v>136</v>
      </c>
      <c r="BE438" s="131">
        <f>IF(N438="základní",J438,0)</f>
        <v>0</v>
      </c>
      <c r="BF438" s="131">
        <f>IF(N438="snížená",J438,0)</f>
        <v>0</v>
      </c>
      <c r="BG438" s="131">
        <f>IF(N438="zákl. přenesená",J438,0)</f>
        <v>0</v>
      </c>
      <c r="BH438" s="131">
        <f>IF(N438="sníž. přenesená",J438,0)</f>
        <v>0</v>
      </c>
      <c r="BI438" s="131">
        <f>IF(N438="nulová",J438,0)</f>
        <v>0</v>
      </c>
      <c r="BJ438" s="14" t="s">
        <v>19</v>
      </c>
      <c r="BK438" s="131">
        <f>ROUND(I438*H438,2)</f>
        <v>0</v>
      </c>
      <c r="BL438" s="14" t="s">
        <v>135</v>
      </c>
      <c r="BM438" s="130" t="s">
        <v>1297</v>
      </c>
    </row>
    <row r="439" spans="2:65" s="1" customFormat="1">
      <c r="B439" s="26"/>
      <c r="D439" s="132" t="s">
        <v>143</v>
      </c>
      <c r="F439" s="133" t="s">
        <v>1298</v>
      </c>
      <c r="L439" s="26"/>
      <c r="M439" s="134"/>
      <c r="T439" s="50"/>
      <c r="AT439" s="14" t="s">
        <v>143</v>
      </c>
      <c r="AU439" s="14" t="s">
        <v>19</v>
      </c>
    </row>
    <row r="440" spans="2:65" s="1" customFormat="1" ht="48">
      <c r="B440" s="26"/>
      <c r="D440" s="132" t="s">
        <v>145</v>
      </c>
      <c r="F440" s="135" t="s">
        <v>644</v>
      </c>
      <c r="L440" s="26"/>
      <c r="M440" s="134"/>
      <c r="T440" s="50"/>
      <c r="AT440" s="14" t="s">
        <v>145</v>
      </c>
      <c r="AU440" s="14" t="s">
        <v>19</v>
      </c>
    </row>
    <row r="441" spans="2:65" s="11" customFormat="1">
      <c r="B441" s="136"/>
      <c r="D441" s="132" t="s">
        <v>147</v>
      </c>
      <c r="E441" s="137" t="s">
        <v>1299</v>
      </c>
      <c r="F441" s="138" t="s">
        <v>1300</v>
      </c>
      <c r="H441" s="139">
        <v>78.690000000000012</v>
      </c>
      <c r="L441" s="136"/>
      <c r="M441" s="140"/>
      <c r="T441" s="141"/>
      <c r="AT441" s="137" t="s">
        <v>147</v>
      </c>
      <c r="AU441" s="137" t="s">
        <v>19</v>
      </c>
      <c r="AV441" s="11" t="s">
        <v>149</v>
      </c>
      <c r="AW441" s="11" t="s">
        <v>39</v>
      </c>
      <c r="AX441" s="11" t="s">
        <v>19</v>
      </c>
      <c r="AY441" s="137" t="s">
        <v>136</v>
      </c>
    </row>
    <row r="442" spans="2:65" s="1" customFormat="1" ht="24.15" customHeight="1">
      <c r="B442" s="119"/>
      <c r="C442" s="120" t="s">
        <v>712</v>
      </c>
      <c r="D442" s="120" t="s">
        <v>137</v>
      </c>
      <c r="E442" s="121" t="s">
        <v>648</v>
      </c>
      <c r="F442" s="122" t="s">
        <v>649</v>
      </c>
      <c r="G442" s="123" t="s">
        <v>312</v>
      </c>
      <c r="H442" s="124">
        <v>200</v>
      </c>
      <c r="I442" s="125">
        <v>0</v>
      </c>
      <c r="J442" s="125">
        <f>ROUND(I442*H442,2)</f>
        <v>0</v>
      </c>
      <c r="K442" s="122" t="s">
        <v>141</v>
      </c>
      <c r="L442" s="26"/>
      <c r="M442" s="126" t="s">
        <v>1</v>
      </c>
      <c r="N442" s="127" t="s">
        <v>46</v>
      </c>
      <c r="O442" s="128">
        <v>0</v>
      </c>
      <c r="P442" s="128">
        <f>O442*H442</f>
        <v>0</v>
      </c>
      <c r="Q442" s="128">
        <v>0</v>
      </c>
      <c r="R442" s="128">
        <f>Q442*H442</f>
        <v>0</v>
      </c>
      <c r="S442" s="128">
        <v>0</v>
      </c>
      <c r="T442" s="129">
        <f>S442*H442</f>
        <v>0</v>
      </c>
      <c r="AR442" s="130" t="s">
        <v>135</v>
      </c>
      <c r="AT442" s="130" t="s">
        <v>137</v>
      </c>
      <c r="AU442" s="130" t="s">
        <v>19</v>
      </c>
      <c r="AY442" s="14" t="s">
        <v>136</v>
      </c>
      <c r="BE442" s="131">
        <f>IF(N442="základní",J442,0)</f>
        <v>0</v>
      </c>
      <c r="BF442" s="131">
        <f>IF(N442="snížená",J442,0)</f>
        <v>0</v>
      </c>
      <c r="BG442" s="131">
        <f>IF(N442="zákl. přenesená",J442,0)</f>
        <v>0</v>
      </c>
      <c r="BH442" s="131">
        <f>IF(N442="sníž. přenesená",J442,0)</f>
        <v>0</v>
      </c>
      <c r="BI442" s="131">
        <f>IF(N442="nulová",J442,0)</f>
        <v>0</v>
      </c>
      <c r="BJ442" s="14" t="s">
        <v>19</v>
      </c>
      <c r="BK442" s="131">
        <f>ROUND(I442*H442,2)</f>
        <v>0</v>
      </c>
      <c r="BL442" s="14" t="s">
        <v>135</v>
      </c>
      <c r="BM442" s="130" t="s">
        <v>1301</v>
      </c>
    </row>
    <row r="443" spans="2:65" s="1" customFormat="1">
      <c r="B443" s="26"/>
      <c r="D443" s="132" t="s">
        <v>143</v>
      </c>
      <c r="F443" s="133" t="s">
        <v>649</v>
      </c>
      <c r="L443" s="26"/>
      <c r="M443" s="134"/>
      <c r="T443" s="50"/>
      <c r="AT443" s="14" t="s">
        <v>143</v>
      </c>
      <c r="AU443" s="14" t="s">
        <v>19</v>
      </c>
    </row>
    <row r="444" spans="2:65" s="1" customFormat="1" ht="38.4">
      <c r="B444" s="26"/>
      <c r="D444" s="132" t="s">
        <v>145</v>
      </c>
      <c r="F444" s="135" t="s">
        <v>651</v>
      </c>
      <c r="L444" s="26"/>
      <c r="M444" s="134"/>
      <c r="T444" s="50"/>
      <c r="AT444" s="14" t="s">
        <v>145</v>
      </c>
      <c r="AU444" s="14" t="s">
        <v>19</v>
      </c>
    </row>
    <row r="445" spans="2:65" s="11" customFormat="1">
      <c r="B445" s="136"/>
      <c r="D445" s="132" t="s">
        <v>147</v>
      </c>
      <c r="E445" s="137" t="s">
        <v>1302</v>
      </c>
      <c r="F445" s="138" t="s">
        <v>1303</v>
      </c>
      <c r="H445" s="139">
        <v>200</v>
      </c>
      <c r="L445" s="136"/>
      <c r="M445" s="140"/>
      <c r="T445" s="141"/>
      <c r="AT445" s="137" t="s">
        <v>147</v>
      </c>
      <c r="AU445" s="137" t="s">
        <v>19</v>
      </c>
      <c r="AV445" s="11" t="s">
        <v>149</v>
      </c>
      <c r="AW445" s="11" t="s">
        <v>39</v>
      </c>
      <c r="AX445" s="11" t="s">
        <v>19</v>
      </c>
      <c r="AY445" s="137" t="s">
        <v>136</v>
      </c>
    </row>
    <row r="446" spans="2:65" s="1" customFormat="1" ht="24.15" customHeight="1">
      <c r="B446" s="119"/>
      <c r="C446" s="120" t="s">
        <v>725</v>
      </c>
      <c r="D446" s="120" t="s">
        <v>137</v>
      </c>
      <c r="E446" s="121" t="s">
        <v>1304</v>
      </c>
      <c r="F446" s="122" t="s">
        <v>1305</v>
      </c>
      <c r="G446" s="123" t="s">
        <v>216</v>
      </c>
      <c r="H446" s="124">
        <v>33.35</v>
      </c>
      <c r="I446" s="125">
        <v>0</v>
      </c>
      <c r="J446" s="125">
        <f>ROUND(I446*H446,2)</f>
        <v>0</v>
      </c>
      <c r="K446" s="122" t="s">
        <v>141</v>
      </c>
      <c r="L446" s="26"/>
      <c r="M446" s="126" t="s">
        <v>1</v>
      </c>
      <c r="N446" s="127" t="s">
        <v>46</v>
      </c>
      <c r="O446" s="128">
        <v>0</v>
      </c>
      <c r="P446" s="128">
        <f>O446*H446</f>
        <v>0</v>
      </c>
      <c r="Q446" s="128">
        <v>0</v>
      </c>
      <c r="R446" s="128">
        <f>Q446*H446</f>
        <v>0</v>
      </c>
      <c r="S446" s="128">
        <v>0</v>
      </c>
      <c r="T446" s="129">
        <f>S446*H446</f>
        <v>0</v>
      </c>
      <c r="AR446" s="130" t="s">
        <v>135</v>
      </c>
      <c r="AT446" s="130" t="s">
        <v>137</v>
      </c>
      <c r="AU446" s="130" t="s">
        <v>19</v>
      </c>
      <c r="AY446" s="14" t="s">
        <v>136</v>
      </c>
      <c r="BE446" s="131">
        <f>IF(N446="základní",J446,0)</f>
        <v>0</v>
      </c>
      <c r="BF446" s="131">
        <f>IF(N446="snížená",J446,0)</f>
        <v>0</v>
      </c>
      <c r="BG446" s="131">
        <f>IF(N446="zákl. přenesená",J446,0)</f>
        <v>0</v>
      </c>
      <c r="BH446" s="131">
        <f>IF(N446="sníž. přenesená",J446,0)</f>
        <v>0</v>
      </c>
      <c r="BI446" s="131">
        <f>IF(N446="nulová",J446,0)</f>
        <v>0</v>
      </c>
      <c r="BJ446" s="14" t="s">
        <v>19</v>
      </c>
      <c r="BK446" s="131">
        <f>ROUND(I446*H446,2)</f>
        <v>0</v>
      </c>
      <c r="BL446" s="14" t="s">
        <v>135</v>
      </c>
      <c r="BM446" s="130" t="s">
        <v>1306</v>
      </c>
    </row>
    <row r="447" spans="2:65" s="1" customFormat="1">
      <c r="B447" s="26"/>
      <c r="D447" s="132" t="s">
        <v>143</v>
      </c>
      <c r="F447" s="133" t="s">
        <v>1307</v>
      </c>
      <c r="L447" s="26"/>
      <c r="M447" s="134"/>
      <c r="T447" s="50"/>
      <c r="AT447" s="14" t="s">
        <v>143</v>
      </c>
      <c r="AU447" s="14" t="s">
        <v>19</v>
      </c>
    </row>
    <row r="448" spans="2:65" s="1" customFormat="1" ht="105.6">
      <c r="B448" s="26"/>
      <c r="D448" s="132" t="s">
        <v>145</v>
      </c>
      <c r="F448" s="135" t="s">
        <v>1308</v>
      </c>
      <c r="L448" s="26"/>
      <c r="M448" s="134"/>
      <c r="T448" s="50"/>
      <c r="AT448" s="14" t="s">
        <v>145</v>
      </c>
      <c r="AU448" s="14" t="s">
        <v>19</v>
      </c>
    </row>
    <row r="449" spans="2:65" s="11" customFormat="1">
      <c r="B449" s="136"/>
      <c r="D449" s="132" t="s">
        <v>147</v>
      </c>
      <c r="E449" s="137" t="s">
        <v>1309</v>
      </c>
      <c r="F449" s="138" t="s">
        <v>1310</v>
      </c>
      <c r="H449" s="139">
        <v>33.35</v>
      </c>
      <c r="L449" s="136"/>
      <c r="M449" s="140"/>
      <c r="T449" s="141"/>
      <c r="AT449" s="137" t="s">
        <v>147</v>
      </c>
      <c r="AU449" s="137" t="s">
        <v>19</v>
      </c>
      <c r="AV449" s="11" t="s">
        <v>149</v>
      </c>
      <c r="AW449" s="11" t="s">
        <v>39</v>
      </c>
      <c r="AX449" s="11" t="s">
        <v>19</v>
      </c>
      <c r="AY449" s="137" t="s">
        <v>136</v>
      </c>
    </row>
    <row r="450" spans="2:65" s="1" customFormat="1" ht="24.15" customHeight="1">
      <c r="B450" s="119"/>
      <c r="C450" s="120" t="s">
        <v>738</v>
      </c>
      <c r="D450" s="120" t="s">
        <v>137</v>
      </c>
      <c r="E450" s="121" t="s">
        <v>1311</v>
      </c>
      <c r="F450" s="122" t="s">
        <v>1312</v>
      </c>
      <c r="G450" s="123" t="s">
        <v>260</v>
      </c>
      <c r="H450" s="124">
        <v>8.6</v>
      </c>
      <c r="I450" s="125">
        <v>0</v>
      </c>
      <c r="J450" s="125">
        <f>ROUND(I450*H450,2)</f>
        <v>0</v>
      </c>
      <c r="K450" s="122" t="s">
        <v>141</v>
      </c>
      <c r="L450" s="26"/>
      <c r="M450" s="126" t="s">
        <v>1</v>
      </c>
      <c r="N450" s="127" t="s">
        <v>46</v>
      </c>
      <c r="O450" s="128">
        <v>0</v>
      </c>
      <c r="P450" s="128">
        <f>O450*H450</f>
        <v>0</v>
      </c>
      <c r="Q450" s="128">
        <v>0</v>
      </c>
      <c r="R450" s="128">
        <f>Q450*H450</f>
        <v>0</v>
      </c>
      <c r="S450" s="128">
        <v>0</v>
      </c>
      <c r="T450" s="129">
        <f>S450*H450</f>
        <v>0</v>
      </c>
      <c r="AR450" s="130" t="s">
        <v>135</v>
      </c>
      <c r="AT450" s="130" t="s">
        <v>137</v>
      </c>
      <c r="AU450" s="130" t="s">
        <v>19</v>
      </c>
      <c r="AY450" s="14" t="s">
        <v>136</v>
      </c>
      <c r="BE450" s="131">
        <f>IF(N450="základní",J450,0)</f>
        <v>0</v>
      </c>
      <c r="BF450" s="131">
        <f>IF(N450="snížená",J450,0)</f>
        <v>0</v>
      </c>
      <c r="BG450" s="131">
        <f>IF(N450="zákl. přenesená",J450,0)</f>
        <v>0</v>
      </c>
      <c r="BH450" s="131">
        <f>IF(N450="sníž. přenesená",J450,0)</f>
        <v>0</v>
      </c>
      <c r="BI450" s="131">
        <f>IF(N450="nulová",J450,0)</f>
        <v>0</v>
      </c>
      <c r="BJ450" s="14" t="s">
        <v>19</v>
      </c>
      <c r="BK450" s="131">
        <f>ROUND(I450*H450,2)</f>
        <v>0</v>
      </c>
      <c r="BL450" s="14" t="s">
        <v>135</v>
      </c>
      <c r="BM450" s="130" t="s">
        <v>1313</v>
      </c>
    </row>
    <row r="451" spans="2:65" s="1" customFormat="1">
      <c r="B451" s="26"/>
      <c r="D451" s="132" t="s">
        <v>143</v>
      </c>
      <c r="F451" s="133" t="s">
        <v>1314</v>
      </c>
      <c r="L451" s="26"/>
      <c r="M451" s="134"/>
      <c r="T451" s="50"/>
      <c r="AT451" s="14" t="s">
        <v>143</v>
      </c>
      <c r="AU451" s="14" t="s">
        <v>19</v>
      </c>
    </row>
    <row r="452" spans="2:65" s="1" customFormat="1" ht="134.4">
      <c r="B452" s="26"/>
      <c r="D452" s="132" t="s">
        <v>145</v>
      </c>
      <c r="F452" s="135" t="s">
        <v>1315</v>
      </c>
      <c r="L452" s="26"/>
      <c r="M452" s="134"/>
      <c r="T452" s="50"/>
      <c r="AT452" s="14" t="s">
        <v>145</v>
      </c>
      <c r="AU452" s="14" t="s">
        <v>19</v>
      </c>
    </row>
    <row r="453" spans="2:65" s="11" customFormat="1">
      <c r="B453" s="136"/>
      <c r="D453" s="132" t="s">
        <v>147</v>
      </c>
      <c r="E453" s="137" t="s">
        <v>1316</v>
      </c>
      <c r="F453" s="138" t="s">
        <v>1317</v>
      </c>
      <c r="H453" s="139">
        <v>8.6</v>
      </c>
      <c r="L453" s="136"/>
      <c r="M453" s="140"/>
      <c r="T453" s="141"/>
      <c r="AT453" s="137" t="s">
        <v>147</v>
      </c>
      <c r="AU453" s="137" t="s">
        <v>19</v>
      </c>
      <c r="AV453" s="11" t="s">
        <v>149</v>
      </c>
      <c r="AW453" s="11" t="s">
        <v>39</v>
      </c>
      <c r="AX453" s="11" t="s">
        <v>19</v>
      </c>
      <c r="AY453" s="137" t="s">
        <v>136</v>
      </c>
    </row>
    <row r="454" spans="2:65" s="1" customFormat="1" ht="24.15" customHeight="1">
      <c r="B454" s="119"/>
      <c r="C454" s="120" t="s">
        <v>735</v>
      </c>
      <c r="D454" s="120" t="s">
        <v>137</v>
      </c>
      <c r="E454" s="121" t="s">
        <v>1318</v>
      </c>
      <c r="F454" s="122" t="s">
        <v>1319</v>
      </c>
      <c r="G454" s="123" t="s">
        <v>260</v>
      </c>
      <c r="H454" s="124">
        <v>16</v>
      </c>
      <c r="I454" s="125">
        <v>0</v>
      </c>
      <c r="J454" s="125">
        <f>ROUND(I454*H454,2)</f>
        <v>0</v>
      </c>
      <c r="K454" s="122" t="s">
        <v>141</v>
      </c>
      <c r="L454" s="26"/>
      <c r="M454" s="126" t="s">
        <v>1</v>
      </c>
      <c r="N454" s="127" t="s">
        <v>46</v>
      </c>
      <c r="O454" s="128">
        <v>0</v>
      </c>
      <c r="P454" s="128">
        <f>O454*H454</f>
        <v>0</v>
      </c>
      <c r="Q454" s="128">
        <v>0</v>
      </c>
      <c r="R454" s="128">
        <f>Q454*H454</f>
        <v>0</v>
      </c>
      <c r="S454" s="128">
        <v>0</v>
      </c>
      <c r="T454" s="129">
        <f>S454*H454</f>
        <v>0</v>
      </c>
      <c r="AR454" s="130" t="s">
        <v>135</v>
      </c>
      <c r="AT454" s="130" t="s">
        <v>137</v>
      </c>
      <c r="AU454" s="130" t="s">
        <v>19</v>
      </c>
      <c r="AY454" s="14" t="s">
        <v>136</v>
      </c>
      <c r="BE454" s="131">
        <f>IF(N454="základní",J454,0)</f>
        <v>0</v>
      </c>
      <c r="BF454" s="131">
        <f>IF(N454="snížená",J454,0)</f>
        <v>0</v>
      </c>
      <c r="BG454" s="131">
        <f>IF(N454="zákl. přenesená",J454,0)</f>
        <v>0</v>
      </c>
      <c r="BH454" s="131">
        <f>IF(N454="sníž. přenesená",J454,0)</f>
        <v>0</v>
      </c>
      <c r="BI454" s="131">
        <f>IF(N454="nulová",J454,0)</f>
        <v>0</v>
      </c>
      <c r="BJ454" s="14" t="s">
        <v>19</v>
      </c>
      <c r="BK454" s="131">
        <f>ROUND(I454*H454,2)</f>
        <v>0</v>
      </c>
      <c r="BL454" s="14" t="s">
        <v>135</v>
      </c>
      <c r="BM454" s="130" t="s">
        <v>1320</v>
      </c>
    </row>
    <row r="455" spans="2:65" s="1" customFormat="1" ht="19.2">
      <c r="B455" s="26"/>
      <c r="D455" s="132" t="s">
        <v>143</v>
      </c>
      <c r="F455" s="133" t="s">
        <v>1319</v>
      </c>
      <c r="L455" s="26"/>
      <c r="M455" s="134"/>
      <c r="T455" s="50"/>
      <c r="AT455" s="14" t="s">
        <v>143</v>
      </c>
      <c r="AU455" s="14" t="s">
        <v>19</v>
      </c>
    </row>
    <row r="456" spans="2:65" s="1" customFormat="1" ht="134.4">
      <c r="B456" s="26"/>
      <c r="D456" s="132" t="s">
        <v>145</v>
      </c>
      <c r="F456" s="135" t="s">
        <v>1315</v>
      </c>
      <c r="L456" s="26"/>
      <c r="M456" s="134"/>
      <c r="T456" s="50"/>
      <c r="AT456" s="14" t="s">
        <v>145</v>
      </c>
      <c r="AU456" s="14" t="s">
        <v>19</v>
      </c>
    </row>
    <row r="457" spans="2:65" s="11" customFormat="1">
      <c r="B457" s="136"/>
      <c r="D457" s="132" t="s">
        <v>147</v>
      </c>
      <c r="E457" s="137" t="s">
        <v>1321</v>
      </c>
      <c r="F457" s="138" t="s">
        <v>1322</v>
      </c>
      <c r="H457" s="139">
        <v>16</v>
      </c>
      <c r="L457" s="136"/>
      <c r="M457" s="140"/>
      <c r="T457" s="141"/>
      <c r="AT457" s="137" t="s">
        <v>147</v>
      </c>
      <c r="AU457" s="137" t="s">
        <v>19</v>
      </c>
      <c r="AV457" s="11" t="s">
        <v>149</v>
      </c>
      <c r="AW457" s="11" t="s">
        <v>39</v>
      </c>
      <c r="AX457" s="11" t="s">
        <v>19</v>
      </c>
      <c r="AY457" s="137" t="s">
        <v>136</v>
      </c>
    </row>
    <row r="458" spans="2:65" s="1" customFormat="1" ht="24.15" customHeight="1">
      <c r="B458" s="119"/>
      <c r="C458" s="120" t="s">
        <v>758</v>
      </c>
      <c r="D458" s="120" t="s">
        <v>137</v>
      </c>
      <c r="E458" s="121" t="s">
        <v>1323</v>
      </c>
      <c r="F458" s="122" t="s">
        <v>1324</v>
      </c>
      <c r="G458" s="123" t="s">
        <v>260</v>
      </c>
      <c r="H458" s="124">
        <v>13</v>
      </c>
      <c r="I458" s="125">
        <v>0</v>
      </c>
      <c r="J458" s="125">
        <f>ROUND(I458*H458,2)</f>
        <v>0</v>
      </c>
      <c r="K458" s="122" t="s">
        <v>141</v>
      </c>
      <c r="L458" s="26"/>
      <c r="M458" s="126" t="s">
        <v>1</v>
      </c>
      <c r="N458" s="127" t="s">
        <v>46</v>
      </c>
      <c r="O458" s="128">
        <v>0</v>
      </c>
      <c r="P458" s="128">
        <f>O458*H458</f>
        <v>0</v>
      </c>
      <c r="Q458" s="128">
        <v>0</v>
      </c>
      <c r="R458" s="128">
        <f>Q458*H458</f>
        <v>0</v>
      </c>
      <c r="S458" s="128">
        <v>0</v>
      </c>
      <c r="T458" s="129">
        <f>S458*H458</f>
        <v>0</v>
      </c>
      <c r="AR458" s="130" t="s">
        <v>135</v>
      </c>
      <c r="AT458" s="130" t="s">
        <v>137</v>
      </c>
      <c r="AU458" s="130" t="s">
        <v>19</v>
      </c>
      <c r="AY458" s="14" t="s">
        <v>136</v>
      </c>
      <c r="BE458" s="131">
        <f>IF(N458="základní",J458,0)</f>
        <v>0</v>
      </c>
      <c r="BF458" s="131">
        <f>IF(N458="snížená",J458,0)</f>
        <v>0</v>
      </c>
      <c r="BG458" s="131">
        <f>IF(N458="zákl. přenesená",J458,0)</f>
        <v>0</v>
      </c>
      <c r="BH458" s="131">
        <f>IF(N458="sníž. přenesená",J458,0)</f>
        <v>0</v>
      </c>
      <c r="BI458" s="131">
        <f>IF(N458="nulová",J458,0)</f>
        <v>0</v>
      </c>
      <c r="BJ458" s="14" t="s">
        <v>19</v>
      </c>
      <c r="BK458" s="131">
        <f>ROUND(I458*H458,2)</f>
        <v>0</v>
      </c>
      <c r="BL458" s="14" t="s">
        <v>135</v>
      </c>
      <c r="BM458" s="130" t="s">
        <v>1325</v>
      </c>
    </row>
    <row r="459" spans="2:65" s="1" customFormat="1" ht="19.2">
      <c r="B459" s="26"/>
      <c r="D459" s="132" t="s">
        <v>143</v>
      </c>
      <c r="F459" s="133" t="s">
        <v>1324</v>
      </c>
      <c r="L459" s="26"/>
      <c r="M459" s="134"/>
      <c r="T459" s="50"/>
      <c r="AT459" s="14" t="s">
        <v>143</v>
      </c>
      <c r="AU459" s="14" t="s">
        <v>19</v>
      </c>
    </row>
    <row r="460" spans="2:65" s="1" customFormat="1" ht="134.4">
      <c r="B460" s="26"/>
      <c r="D460" s="132" t="s">
        <v>145</v>
      </c>
      <c r="F460" s="135" t="s">
        <v>1315</v>
      </c>
      <c r="L460" s="26"/>
      <c r="M460" s="134"/>
      <c r="T460" s="50"/>
      <c r="AT460" s="14" t="s">
        <v>145</v>
      </c>
      <c r="AU460" s="14" t="s">
        <v>19</v>
      </c>
    </row>
    <row r="461" spans="2:65" s="11" customFormat="1">
      <c r="B461" s="136"/>
      <c r="D461" s="132" t="s">
        <v>147</v>
      </c>
      <c r="E461" s="137" t="s">
        <v>1326</v>
      </c>
      <c r="F461" s="138" t="s">
        <v>1327</v>
      </c>
      <c r="H461" s="139">
        <v>13</v>
      </c>
      <c r="L461" s="136"/>
      <c r="M461" s="140"/>
      <c r="T461" s="141"/>
      <c r="AT461" s="137" t="s">
        <v>147</v>
      </c>
      <c r="AU461" s="137" t="s">
        <v>19</v>
      </c>
      <c r="AV461" s="11" t="s">
        <v>149</v>
      </c>
      <c r="AW461" s="11" t="s">
        <v>39</v>
      </c>
      <c r="AX461" s="11" t="s">
        <v>19</v>
      </c>
      <c r="AY461" s="137" t="s">
        <v>136</v>
      </c>
    </row>
    <row r="462" spans="2:65" s="10" customFormat="1" ht="25.95" customHeight="1">
      <c r="B462" s="110"/>
      <c r="D462" s="111" t="s">
        <v>80</v>
      </c>
      <c r="E462" s="112" t="s">
        <v>182</v>
      </c>
      <c r="F462" s="112" t="s">
        <v>654</v>
      </c>
      <c r="J462" s="113">
        <f>BK462</f>
        <v>0</v>
      </c>
      <c r="L462" s="110"/>
      <c r="M462" s="114"/>
      <c r="P462" s="115">
        <f>SUM(P463:P474)</f>
        <v>0</v>
      </c>
      <c r="R462" s="115">
        <f>SUM(R463:R474)</f>
        <v>0</v>
      </c>
      <c r="T462" s="116">
        <f>SUM(T463:T474)</f>
        <v>0</v>
      </c>
      <c r="AR462" s="111" t="s">
        <v>135</v>
      </c>
      <c r="AT462" s="117" t="s">
        <v>80</v>
      </c>
      <c r="AU462" s="117" t="s">
        <v>81</v>
      </c>
      <c r="AY462" s="111" t="s">
        <v>136</v>
      </c>
      <c r="BK462" s="118">
        <f>SUM(BK463:BK474)</f>
        <v>0</v>
      </c>
    </row>
    <row r="463" spans="2:65" s="1" customFormat="1" ht="24.15" customHeight="1">
      <c r="B463" s="119"/>
      <c r="C463" s="120" t="s">
        <v>769</v>
      </c>
      <c r="D463" s="120" t="s">
        <v>137</v>
      </c>
      <c r="E463" s="121" t="s">
        <v>1328</v>
      </c>
      <c r="F463" s="122" t="s">
        <v>1329</v>
      </c>
      <c r="G463" s="123" t="s">
        <v>312</v>
      </c>
      <c r="H463" s="124">
        <v>70</v>
      </c>
      <c r="I463" s="125">
        <v>0</v>
      </c>
      <c r="J463" s="125">
        <f>ROUND(I463*H463,2)</f>
        <v>0</v>
      </c>
      <c r="K463" s="122" t="s">
        <v>141</v>
      </c>
      <c r="L463" s="26"/>
      <c r="M463" s="126" t="s">
        <v>1</v>
      </c>
      <c r="N463" s="127" t="s">
        <v>46</v>
      </c>
      <c r="O463" s="128">
        <v>0</v>
      </c>
      <c r="P463" s="128">
        <f>O463*H463</f>
        <v>0</v>
      </c>
      <c r="Q463" s="128">
        <v>0</v>
      </c>
      <c r="R463" s="128">
        <f>Q463*H463</f>
        <v>0</v>
      </c>
      <c r="S463" s="128">
        <v>0</v>
      </c>
      <c r="T463" s="129">
        <f>S463*H463</f>
        <v>0</v>
      </c>
      <c r="AR463" s="130" t="s">
        <v>135</v>
      </c>
      <c r="AT463" s="130" t="s">
        <v>137</v>
      </c>
      <c r="AU463" s="130" t="s">
        <v>19</v>
      </c>
      <c r="AY463" s="14" t="s">
        <v>136</v>
      </c>
      <c r="BE463" s="131">
        <f>IF(N463="základní",J463,0)</f>
        <v>0</v>
      </c>
      <c r="BF463" s="131">
        <f>IF(N463="snížená",J463,0)</f>
        <v>0</v>
      </c>
      <c r="BG463" s="131">
        <f>IF(N463="zákl. přenesená",J463,0)</f>
        <v>0</v>
      </c>
      <c r="BH463" s="131">
        <f>IF(N463="sníž. přenesená",J463,0)</f>
        <v>0</v>
      </c>
      <c r="BI463" s="131">
        <f>IF(N463="nulová",J463,0)</f>
        <v>0</v>
      </c>
      <c r="BJ463" s="14" t="s">
        <v>19</v>
      </c>
      <c r="BK463" s="131">
        <f>ROUND(I463*H463,2)</f>
        <v>0</v>
      </c>
      <c r="BL463" s="14" t="s">
        <v>135</v>
      </c>
      <c r="BM463" s="130" t="s">
        <v>1330</v>
      </c>
    </row>
    <row r="464" spans="2:65" s="1" customFormat="1" ht="19.2">
      <c r="B464" s="26"/>
      <c r="D464" s="132" t="s">
        <v>143</v>
      </c>
      <c r="F464" s="133" t="s">
        <v>1329</v>
      </c>
      <c r="L464" s="26"/>
      <c r="M464" s="134"/>
      <c r="T464" s="50"/>
      <c r="AT464" s="14" t="s">
        <v>143</v>
      </c>
      <c r="AU464" s="14" t="s">
        <v>19</v>
      </c>
    </row>
    <row r="465" spans="2:65" s="1" customFormat="1" ht="38.4">
      <c r="B465" s="26"/>
      <c r="D465" s="132" t="s">
        <v>145</v>
      </c>
      <c r="F465" s="135" t="s">
        <v>1331</v>
      </c>
      <c r="L465" s="26"/>
      <c r="M465" s="134"/>
      <c r="T465" s="50"/>
      <c r="AT465" s="14" t="s">
        <v>145</v>
      </c>
      <c r="AU465" s="14" t="s">
        <v>19</v>
      </c>
    </row>
    <row r="466" spans="2:65" s="11" customFormat="1" ht="20.399999999999999">
      <c r="B466" s="136"/>
      <c r="D466" s="132" t="s">
        <v>147</v>
      </c>
      <c r="E466" s="137" t="s">
        <v>1332</v>
      </c>
      <c r="F466" s="138" t="s">
        <v>1333</v>
      </c>
      <c r="H466" s="139">
        <v>70</v>
      </c>
      <c r="L466" s="136"/>
      <c r="M466" s="140"/>
      <c r="T466" s="141"/>
      <c r="AT466" s="137" t="s">
        <v>147</v>
      </c>
      <c r="AU466" s="137" t="s">
        <v>19</v>
      </c>
      <c r="AV466" s="11" t="s">
        <v>149</v>
      </c>
      <c r="AW466" s="11" t="s">
        <v>39</v>
      </c>
      <c r="AX466" s="11" t="s">
        <v>19</v>
      </c>
      <c r="AY466" s="137" t="s">
        <v>136</v>
      </c>
    </row>
    <row r="467" spans="2:65" s="1" customFormat="1" ht="24.15" customHeight="1">
      <c r="B467" s="119"/>
      <c r="C467" s="120" t="s">
        <v>784</v>
      </c>
      <c r="D467" s="120" t="s">
        <v>137</v>
      </c>
      <c r="E467" s="121" t="s">
        <v>1334</v>
      </c>
      <c r="F467" s="122" t="s">
        <v>1335</v>
      </c>
      <c r="G467" s="123" t="s">
        <v>312</v>
      </c>
      <c r="H467" s="124">
        <v>70</v>
      </c>
      <c r="I467" s="125">
        <v>0</v>
      </c>
      <c r="J467" s="125">
        <f>ROUND(I467*H467,2)</f>
        <v>0</v>
      </c>
      <c r="K467" s="122" t="s">
        <v>141</v>
      </c>
      <c r="L467" s="26"/>
      <c r="M467" s="126" t="s">
        <v>1</v>
      </c>
      <c r="N467" s="127" t="s">
        <v>46</v>
      </c>
      <c r="O467" s="128">
        <v>0</v>
      </c>
      <c r="P467" s="128">
        <f>O467*H467</f>
        <v>0</v>
      </c>
      <c r="Q467" s="128">
        <v>0</v>
      </c>
      <c r="R467" s="128">
        <f>Q467*H467</f>
        <v>0</v>
      </c>
      <c r="S467" s="128">
        <v>0</v>
      </c>
      <c r="T467" s="129">
        <f>S467*H467</f>
        <v>0</v>
      </c>
      <c r="AR467" s="130" t="s">
        <v>135</v>
      </c>
      <c r="AT467" s="130" t="s">
        <v>137</v>
      </c>
      <c r="AU467" s="130" t="s">
        <v>19</v>
      </c>
      <c r="AY467" s="14" t="s">
        <v>136</v>
      </c>
      <c r="BE467" s="131">
        <f>IF(N467="základní",J467,0)</f>
        <v>0</v>
      </c>
      <c r="BF467" s="131">
        <f>IF(N467="snížená",J467,0)</f>
        <v>0</v>
      </c>
      <c r="BG467" s="131">
        <f>IF(N467="zákl. přenesená",J467,0)</f>
        <v>0</v>
      </c>
      <c r="BH467" s="131">
        <f>IF(N467="sníž. přenesená",J467,0)</f>
        <v>0</v>
      </c>
      <c r="BI467" s="131">
        <f>IF(N467="nulová",J467,0)</f>
        <v>0</v>
      </c>
      <c r="BJ467" s="14" t="s">
        <v>19</v>
      </c>
      <c r="BK467" s="131">
        <f>ROUND(I467*H467,2)</f>
        <v>0</v>
      </c>
      <c r="BL467" s="14" t="s">
        <v>135</v>
      </c>
      <c r="BM467" s="130" t="s">
        <v>1336</v>
      </c>
    </row>
    <row r="468" spans="2:65" s="1" customFormat="1">
      <c r="B468" s="26"/>
      <c r="D468" s="132" t="s">
        <v>143</v>
      </c>
      <c r="F468" s="133" t="s">
        <v>1335</v>
      </c>
      <c r="L468" s="26"/>
      <c r="M468" s="134"/>
      <c r="T468" s="50"/>
      <c r="AT468" s="14" t="s">
        <v>143</v>
      </c>
      <c r="AU468" s="14" t="s">
        <v>19</v>
      </c>
    </row>
    <row r="469" spans="2:65" s="1" customFormat="1" ht="38.4">
      <c r="B469" s="26"/>
      <c r="D469" s="132" t="s">
        <v>145</v>
      </c>
      <c r="F469" s="135" t="s">
        <v>1337</v>
      </c>
      <c r="L469" s="26"/>
      <c r="M469" s="134"/>
      <c r="T469" s="50"/>
      <c r="AT469" s="14" t="s">
        <v>145</v>
      </c>
      <c r="AU469" s="14" t="s">
        <v>19</v>
      </c>
    </row>
    <row r="470" spans="2:65" s="11" customFormat="1" ht="20.399999999999999">
      <c r="B470" s="136"/>
      <c r="D470" s="132" t="s">
        <v>147</v>
      </c>
      <c r="E470" s="137" t="s">
        <v>1338</v>
      </c>
      <c r="F470" s="138" t="s">
        <v>1333</v>
      </c>
      <c r="H470" s="139">
        <v>70</v>
      </c>
      <c r="L470" s="136"/>
      <c r="M470" s="140"/>
      <c r="T470" s="141"/>
      <c r="AT470" s="137" t="s">
        <v>147</v>
      </c>
      <c r="AU470" s="137" t="s">
        <v>19</v>
      </c>
      <c r="AV470" s="11" t="s">
        <v>149</v>
      </c>
      <c r="AW470" s="11" t="s">
        <v>39</v>
      </c>
      <c r="AX470" s="11" t="s">
        <v>19</v>
      </c>
      <c r="AY470" s="137" t="s">
        <v>136</v>
      </c>
    </row>
    <row r="471" spans="2:65" s="1" customFormat="1" ht="16.5" customHeight="1">
      <c r="B471" s="119"/>
      <c r="C471" s="120" t="s">
        <v>720</v>
      </c>
      <c r="D471" s="120" t="s">
        <v>137</v>
      </c>
      <c r="E471" s="121" t="s">
        <v>1339</v>
      </c>
      <c r="F471" s="122" t="s">
        <v>1340</v>
      </c>
      <c r="G471" s="123" t="s">
        <v>152</v>
      </c>
      <c r="H471" s="124">
        <v>4</v>
      </c>
      <c r="I471" s="125">
        <v>0</v>
      </c>
      <c r="J471" s="125">
        <f>ROUND(I471*H471,2)</f>
        <v>0</v>
      </c>
      <c r="K471" s="122" t="s">
        <v>141</v>
      </c>
      <c r="L471" s="26"/>
      <c r="M471" s="126" t="s">
        <v>1</v>
      </c>
      <c r="N471" s="127" t="s">
        <v>46</v>
      </c>
      <c r="O471" s="128">
        <v>0</v>
      </c>
      <c r="P471" s="128">
        <f>O471*H471</f>
        <v>0</v>
      </c>
      <c r="Q471" s="128">
        <v>0</v>
      </c>
      <c r="R471" s="128">
        <f>Q471*H471</f>
        <v>0</v>
      </c>
      <c r="S471" s="128">
        <v>0</v>
      </c>
      <c r="T471" s="129">
        <f>S471*H471</f>
        <v>0</v>
      </c>
      <c r="AR471" s="130" t="s">
        <v>135</v>
      </c>
      <c r="AT471" s="130" t="s">
        <v>137</v>
      </c>
      <c r="AU471" s="130" t="s">
        <v>19</v>
      </c>
      <c r="AY471" s="14" t="s">
        <v>136</v>
      </c>
      <c r="BE471" s="131">
        <f>IF(N471="základní",J471,0)</f>
        <v>0</v>
      </c>
      <c r="BF471" s="131">
        <f>IF(N471="snížená",J471,0)</f>
        <v>0</v>
      </c>
      <c r="BG471" s="131">
        <f>IF(N471="zákl. přenesená",J471,0)</f>
        <v>0</v>
      </c>
      <c r="BH471" s="131">
        <f>IF(N471="sníž. přenesená",J471,0)</f>
        <v>0</v>
      </c>
      <c r="BI471" s="131">
        <f>IF(N471="nulová",J471,0)</f>
        <v>0</v>
      </c>
      <c r="BJ471" s="14" t="s">
        <v>19</v>
      </c>
      <c r="BK471" s="131">
        <f>ROUND(I471*H471,2)</f>
        <v>0</v>
      </c>
      <c r="BL471" s="14" t="s">
        <v>135</v>
      </c>
      <c r="BM471" s="130" t="s">
        <v>1341</v>
      </c>
    </row>
    <row r="472" spans="2:65" s="1" customFormat="1">
      <c r="B472" s="26"/>
      <c r="D472" s="132" t="s">
        <v>143</v>
      </c>
      <c r="F472" s="133" t="s">
        <v>1342</v>
      </c>
      <c r="L472" s="26"/>
      <c r="M472" s="134"/>
      <c r="T472" s="50"/>
      <c r="AT472" s="14" t="s">
        <v>143</v>
      </c>
      <c r="AU472" s="14" t="s">
        <v>19</v>
      </c>
    </row>
    <row r="473" spans="2:65" s="1" customFormat="1" ht="105.6">
      <c r="B473" s="26"/>
      <c r="D473" s="132" t="s">
        <v>145</v>
      </c>
      <c r="F473" s="135" t="s">
        <v>1343</v>
      </c>
      <c r="L473" s="26"/>
      <c r="M473" s="134"/>
      <c r="T473" s="50"/>
      <c r="AT473" s="14" t="s">
        <v>145</v>
      </c>
      <c r="AU473" s="14" t="s">
        <v>19</v>
      </c>
    </row>
    <row r="474" spans="2:65" s="11" customFormat="1">
      <c r="B474" s="136"/>
      <c r="D474" s="132" t="s">
        <v>147</v>
      </c>
      <c r="E474" s="137" t="s">
        <v>1344</v>
      </c>
      <c r="F474" s="138" t="s">
        <v>135</v>
      </c>
      <c r="H474" s="139">
        <v>4</v>
      </c>
      <c r="L474" s="136"/>
      <c r="M474" s="140"/>
      <c r="T474" s="141"/>
      <c r="AT474" s="137" t="s">
        <v>147</v>
      </c>
      <c r="AU474" s="137" t="s">
        <v>19</v>
      </c>
      <c r="AV474" s="11" t="s">
        <v>149</v>
      </c>
      <c r="AW474" s="11" t="s">
        <v>39</v>
      </c>
      <c r="AX474" s="11" t="s">
        <v>19</v>
      </c>
      <c r="AY474" s="137" t="s">
        <v>136</v>
      </c>
    </row>
    <row r="475" spans="2:65" s="10" customFormat="1" ht="25.95" customHeight="1">
      <c r="B475" s="110"/>
      <c r="D475" s="111" t="s">
        <v>80</v>
      </c>
      <c r="E475" s="112" t="s">
        <v>189</v>
      </c>
      <c r="F475" s="112" t="s">
        <v>683</v>
      </c>
      <c r="J475" s="113">
        <f>BK475</f>
        <v>0</v>
      </c>
      <c r="L475" s="110"/>
      <c r="M475" s="114"/>
      <c r="P475" s="115">
        <f>SUM(P476:P534)</f>
        <v>0</v>
      </c>
      <c r="R475" s="115">
        <f>SUM(R476:R534)</f>
        <v>0</v>
      </c>
      <c r="T475" s="116">
        <f>SUM(T476:T534)</f>
        <v>0</v>
      </c>
      <c r="AR475" s="111" t="s">
        <v>135</v>
      </c>
      <c r="AT475" s="117" t="s">
        <v>80</v>
      </c>
      <c r="AU475" s="117" t="s">
        <v>81</v>
      </c>
      <c r="AY475" s="111" t="s">
        <v>136</v>
      </c>
      <c r="BK475" s="118">
        <f>SUM(BK476:BK534)</f>
        <v>0</v>
      </c>
    </row>
    <row r="476" spans="2:65" s="1" customFormat="1" ht="24.15" customHeight="1">
      <c r="B476" s="119"/>
      <c r="C476" s="120" t="s">
        <v>802</v>
      </c>
      <c r="D476" s="120" t="s">
        <v>137</v>
      </c>
      <c r="E476" s="121" t="s">
        <v>1345</v>
      </c>
      <c r="F476" s="122" t="s">
        <v>1346</v>
      </c>
      <c r="G476" s="123" t="s">
        <v>312</v>
      </c>
      <c r="H476" s="124">
        <v>37</v>
      </c>
      <c r="I476" s="125">
        <v>0</v>
      </c>
      <c r="J476" s="125">
        <f>ROUND(I476*H476,2)</f>
        <v>0</v>
      </c>
      <c r="K476" s="122" t="s">
        <v>141</v>
      </c>
      <c r="L476" s="26"/>
      <c r="M476" s="126" t="s">
        <v>1</v>
      </c>
      <c r="N476" s="127" t="s">
        <v>46</v>
      </c>
      <c r="O476" s="128">
        <v>0</v>
      </c>
      <c r="P476" s="128">
        <f>O476*H476</f>
        <v>0</v>
      </c>
      <c r="Q476" s="128">
        <v>0</v>
      </c>
      <c r="R476" s="128">
        <f>Q476*H476</f>
        <v>0</v>
      </c>
      <c r="S476" s="128">
        <v>0</v>
      </c>
      <c r="T476" s="129">
        <f>S476*H476</f>
        <v>0</v>
      </c>
      <c r="AR476" s="130" t="s">
        <v>135</v>
      </c>
      <c r="AT476" s="130" t="s">
        <v>137</v>
      </c>
      <c r="AU476" s="130" t="s">
        <v>19</v>
      </c>
      <c r="AY476" s="14" t="s">
        <v>136</v>
      </c>
      <c r="BE476" s="131">
        <f>IF(N476="základní",J476,0)</f>
        <v>0</v>
      </c>
      <c r="BF476" s="131">
        <f>IF(N476="snížená",J476,0)</f>
        <v>0</v>
      </c>
      <c r="BG476" s="131">
        <f>IF(N476="zákl. přenesená",J476,0)</f>
        <v>0</v>
      </c>
      <c r="BH476" s="131">
        <f>IF(N476="sníž. přenesená",J476,0)</f>
        <v>0</v>
      </c>
      <c r="BI476" s="131">
        <f>IF(N476="nulová",J476,0)</f>
        <v>0</v>
      </c>
      <c r="BJ476" s="14" t="s">
        <v>19</v>
      </c>
      <c r="BK476" s="131">
        <f>ROUND(I476*H476,2)</f>
        <v>0</v>
      </c>
      <c r="BL476" s="14" t="s">
        <v>135</v>
      </c>
      <c r="BM476" s="130" t="s">
        <v>1347</v>
      </c>
    </row>
    <row r="477" spans="2:65" s="1" customFormat="1" ht="19.2">
      <c r="B477" s="26"/>
      <c r="D477" s="132" t="s">
        <v>143</v>
      </c>
      <c r="F477" s="133" t="s">
        <v>1346</v>
      </c>
      <c r="L477" s="26"/>
      <c r="M477" s="134"/>
      <c r="T477" s="50"/>
      <c r="AT477" s="14" t="s">
        <v>143</v>
      </c>
      <c r="AU477" s="14" t="s">
        <v>19</v>
      </c>
    </row>
    <row r="478" spans="2:65" s="1" customFormat="1" ht="201.6">
      <c r="B478" s="26"/>
      <c r="D478" s="132" t="s">
        <v>145</v>
      </c>
      <c r="F478" s="135" t="s">
        <v>1348</v>
      </c>
      <c r="L478" s="26"/>
      <c r="M478" s="134"/>
      <c r="T478" s="50"/>
      <c r="AT478" s="14" t="s">
        <v>145</v>
      </c>
      <c r="AU478" s="14" t="s">
        <v>19</v>
      </c>
    </row>
    <row r="479" spans="2:65" s="11" customFormat="1">
      <c r="B479" s="136"/>
      <c r="D479" s="132" t="s">
        <v>147</v>
      </c>
      <c r="E479" s="137" t="s">
        <v>1349</v>
      </c>
      <c r="F479" s="138" t="s">
        <v>1350</v>
      </c>
      <c r="H479" s="139">
        <v>5</v>
      </c>
      <c r="L479" s="136"/>
      <c r="M479" s="140"/>
      <c r="T479" s="141"/>
      <c r="AT479" s="137" t="s">
        <v>147</v>
      </c>
      <c r="AU479" s="137" t="s">
        <v>19</v>
      </c>
      <c r="AV479" s="11" t="s">
        <v>149</v>
      </c>
      <c r="AW479" s="11" t="s">
        <v>39</v>
      </c>
      <c r="AX479" s="11" t="s">
        <v>81</v>
      </c>
      <c r="AY479" s="137" t="s">
        <v>136</v>
      </c>
    </row>
    <row r="480" spans="2:65" s="11" customFormat="1">
      <c r="B480" s="136"/>
      <c r="D480" s="132" t="s">
        <v>147</v>
      </c>
      <c r="E480" s="137" t="s">
        <v>1351</v>
      </c>
      <c r="F480" s="138" t="s">
        <v>1352</v>
      </c>
      <c r="H480" s="139">
        <v>16</v>
      </c>
      <c r="L480" s="136"/>
      <c r="M480" s="140"/>
      <c r="T480" s="141"/>
      <c r="AT480" s="137" t="s">
        <v>147</v>
      </c>
      <c r="AU480" s="137" t="s">
        <v>19</v>
      </c>
      <c r="AV480" s="11" t="s">
        <v>149</v>
      </c>
      <c r="AW480" s="11" t="s">
        <v>39</v>
      </c>
      <c r="AX480" s="11" t="s">
        <v>81</v>
      </c>
      <c r="AY480" s="137" t="s">
        <v>136</v>
      </c>
    </row>
    <row r="481" spans="2:65" s="11" customFormat="1">
      <c r="B481" s="136"/>
      <c r="D481" s="132" t="s">
        <v>147</v>
      </c>
      <c r="E481" s="137" t="s">
        <v>1353</v>
      </c>
      <c r="F481" s="138" t="s">
        <v>1354</v>
      </c>
      <c r="H481" s="139">
        <v>16</v>
      </c>
      <c r="L481" s="136"/>
      <c r="M481" s="140"/>
      <c r="T481" s="141"/>
      <c r="AT481" s="137" t="s">
        <v>147</v>
      </c>
      <c r="AU481" s="137" t="s">
        <v>19</v>
      </c>
      <c r="AV481" s="11" t="s">
        <v>149</v>
      </c>
      <c r="AW481" s="11" t="s">
        <v>39</v>
      </c>
      <c r="AX481" s="11" t="s">
        <v>81</v>
      </c>
      <c r="AY481" s="137" t="s">
        <v>136</v>
      </c>
    </row>
    <row r="482" spans="2:65" s="11" customFormat="1">
      <c r="B482" s="136"/>
      <c r="D482" s="132" t="s">
        <v>147</v>
      </c>
      <c r="E482" s="137" t="s">
        <v>1355</v>
      </c>
      <c r="F482" s="138" t="s">
        <v>1356</v>
      </c>
      <c r="H482" s="139">
        <v>37</v>
      </c>
      <c r="L482" s="136"/>
      <c r="M482" s="140"/>
      <c r="T482" s="141"/>
      <c r="AT482" s="137" t="s">
        <v>147</v>
      </c>
      <c r="AU482" s="137" t="s">
        <v>19</v>
      </c>
      <c r="AV482" s="11" t="s">
        <v>149</v>
      </c>
      <c r="AW482" s="11" t="s">
        <v>39</v>
      </c>
      <c r="AX482" s="11" t="s">
        <v>19</v>
      </c>
      <c r="AY482" s="137" t="s">
        <v>136</v>
      </c>
    </row>
    <row r="483" spans="2:65" s="1" customFormat="1" ht="24.15" customHeight="1">
      <c r="B483" s="119"/>
      <c r="C483" s="120" t="s">
        <v>745</v>
      </c>
      <c r="D483" s="120" t="s">
        <v>137</v>
      </c>
      <c r="E483" s="121" t="s">
        <v>1357</v>
      </c>
      <c r="F483" s="122" t="s">
        <v>1358</v>
      </c>
      <c r="G483" s="123" t="s">
        <v>152</v>
      </c>
      <c r="H483" s="124">
        <v>3</v>
      </c>
      <c r="I483" s="125">
        <v>0</v>
      </c>
      <c r="J483" s="125">
        <f>ROUND(I483*H483,2)</f>
        <v>0</v>
      </c>
      <c r="K483" s="122" t="s">
        <v>141</v>
      </c>
      <c r="L483" s="26"/>
      <c r="M483" s="126" t="s">
        <v>1</v>
      </c>
      <c r="N483" s="127" t="s">
        <v>46</v>
      </c>
      <c r="O483" s="128">
        <v>0</v>
      </c>
      <c r="P483" s="128">
        <f>O483*H483</f>
        <v>0</v>
      </c>
      <c r="Q483" s="128">
        <v>0</v>
      </c>
      <c r="R483" s="128">
        <f>Q483*H483</f>
        <v>0</v>
      </c>
      <c r="S483" s="128">
        <v>0</v>
      </c>
      <c r="T483" s="129">
        <f>S483*H483</f>
        <v>0</v>
      </c>
      <c r="AR483" s="130" t="s">
        <v>135</v>
      </c>
      <c r="AT483" s="130" t="s">
        <v>137</v>
      </c>
      <c r="AU483" s="130" t="s">
        <v>19</v>
      </c>
      <c r="AY483" s="14" t="s">
        <v>136</v>
      </c>
      <c r="BE483" s="131">
        <f>IF(N483="základní",J483,0)</f>
        <v>0</v>
      </c>
      <c r="BF483" s="131">
        <f>IF(N483="snížená",J483,0)</f>
        <v>0</v>
      </c>
      <c r="BG483" s="131">
        <f>IF(N483="zákl. přenesená",J483,0)</f>
        <v>0</v>
      </c>
      <c r="BH483" s="131">
        <f>IF(N483="sníž. přenesená",J483,0)</f>
        <v>0</v>
      </c>
      <c r="BI483" s="131">
        <f>IF(N483="nulová",J483,0)</f>
        <v>0</v>
      </c>
      <c r="BJ483" s="14" t="s">
        <v>19</v>
      </c>
      <c r="BK483" s="131">
        <f>ROUND(I483*H483,2)</f>
        <v>0</v>
      </c>
      <c r="BL483" s="14" t="s">
        <v>135</v>
      </c>
      <c r="BM483" s="130" t="s">
        <v>1359</v>
      </c>
    </row>
    <row r="484" spans="2:65" s="1" customFormat="1">
      <c r="B484" s="26"/>
      <c r="D484" s="132" t="s">
        <v>143</v>
      </c>
      <c r="F484" s="133" t="s">
        <v>1358</v>
      </c>
      <c r="L484" s="26"/>
      <c r="M484" s="134"/>
      <c r="T484" s="50"/>
      <c r="AT484" s="14" t="s">
        <v>143</v>
      </c>
      <c r="AU484" s="14" t="s">
        <v>19</v>
      </c>
    </row>
    <row r="485" spans="2:65" s="1" customFormat="1" ht="67.2">
      <c r="B485" s="26"/>
      <c r="D485" s="132" t="s">
        <v>145</v>
      </c>
      <c r="F485" s="135" t="s">
        <v>1360</v>
      </c>
      <c r="L485" s="26"/>
      <c r="M485" s="134"/>
      <c r="T485" s="50"/>
      <c r="AT485" s="14" t="s">
        <v>145</v>
      </c>
      <c r="AU485" s="14" t="s">
        <v>19</v>
      </c>
    </row>
    <row r="486" spans="2:65" s="11" customFormat="1">
      <c r="B486" s="136"/>
      <c r="D486" s="132" t="s">
        <v>147</v>
      </c>
      <c r="E486" s="137" t="s">
        <v>1361</v>
      </c>
      <c r="F486" s="138" t="s">
        <v>1362</v>
      </c>
      <c r="H486" s="139">
        <v>3</v>
      </c>
      <c r="L486" s="136"/>
      <c r="M486" s="140"/>
      <c r="T486" s="141"/>
      <c r="AT486" s="137" t="s">
        <v>147</v>
      </c>
      <c r="AU486" s="137" t="s">
        <v>19</v>
      </c>
      <c r="AV486" s="11" t="s">
        <v>149</v>
      </c>
      <c r="AW486" s="11" t="s">
        <v>39</v>
      </c>
      <c r="AX486" s="11" t="s">
        <v>19</v>
      </c>
      <c r="AY486" s="137" t="s">
        <v>136</v>
      </c>
    </row>
    <row r="487" spans="2:65" s="1" customFormat="1" ht="24.15" customHeight="1">
      <c r="B487" s="119"/>
      <c r="C487" s="120" t="s">
        <v>823</v>
      </c>
      <c r="D487" s="120" t="s">
        <v>137</v>
      </c>
      <c r="E487" s="121" t="s">
        <v>1363</v>
      </c>
      <c r="F487" s="122" t="s">
        <v>1364</v>
      </c>
      <c r="G487" s="123" t="s">
        <v>152</v>
      </c>
      <c r="H487" s="124">
        <v>12</v>
      </c>
      <c r="I487" s="125">
        <v>0</v>
      </c>
      <c r="J487" s="125">
        <f>ROUND(I487*H487,2)</f>
        <v>0</v>
      </c>
      <c r="K487" s="122" t="s">
        <v>141</v>
      </c>
      <c r="L487" s="26"/>
      <c r="M487" s="126" t="s">
        <v>1</v>
      </c>
      <c r="N487" s="127" t="s">
        <v>46</v>
      </c>
      <c r="O487" s="128">
        <v>0</v>
      </c>
      <c r="P487" s="128">
        <f>O487*H487</f>
        <v>0</v>
      </c>
      <c r="Q487" s="128">
        <v>0</v>
      </c>
      <c r="R487" s="128">
        <f>Q487*H487</f>
        <v>0</v>
      </c>
      <c r="S487" s="128">
        <v>0</v>
      </c>
      <c r="T487" s="129">
        <f>S487*H487</f>
        <v>0</v>
      </c>
      <c r="AR487" s="130" t="s">
        <v>135</v>
      </c>
      <c r="AT487" s="130" t="s">
        <v>137</v>
      </c>
      <c r="AU487" s="130" t="s">
        <v>19</v>
      </c>
      <c r="AY487" s="14" t="s">
        <v>136</v>
      </c>
      <c r="BE487" s="131">
        <f>IF(N487="základní",J487,0)</f>
        <v>0</v>
      </c>
      <c r="BF487" s="131">
        <f>IF(N487="snížená",J487,0)</f>
        <v>0</v>
      </c>
      <c r="BG487" s="131">
        <f>IF(N487="zákl. přenesená",J487,0)</f>
        <v>0</v>
      </c>
      <c r="BH487" s="131">
        <f>IF(N487="sníž. přenesená",J487,0)</f>
        <v>0</v>
      </c>
      <c r="BI487" s="131">
        <f>IF(N487="nulová",J487,0)</f>
        <v>0</v>
      </c>
      <c r="BJ487" s="14" t="s">
        <v>19</v>
      </c>
      <c r="BK487" s="131">
        <f>ROUND(I487*H487,2)</f>
        <v>0</v>
      </c>
      <c r="BL487" s="14" t="s">
        <v>135</v>
      </c>
      <c r="BM487" s="130" t="s">
        <v>1365</v>
      </c>
    </row>
    <row r="488" spans="2:65" s="1" customFormat="1" ht="19.2">
      <c r="B488" s="26"/>
      <c r="D488" s="132" t="s">
        <v>143</v>
      </c>
      <c r="F488" s="133" t="s">
        <v>1364</v>
      </c>
      <c r="L488" s="26"/>
      <c r="M488" s="134"/>
      <c r="T488" s="50"/>
      <c r="AT488" s="14" t="s">
        <v>143</v>
      </c>
      <c r="AU488" s="14" t="s">
        <v>19</v>
      </c>
    </row>
    <row r="489" spans="2:65" s="1" customFormat="1" ht="57.6">
      <c r="B489" s="26"/>
      <c r="D489" s="132" t="s">
        <v>145</v>
      </c>
      <c r="F489" s="135" t="s">
        <v>1366</v>
      </c>
      <c r="L489" s="26"/>
      <c r="M489" s="134"/>
      <c r="T489" s="50"/>
      <c r="AT489" s="14" t="s">
        <v>145</v>
      </c>
      <c r="AU489" s="14" t="s">
        <v>19</v>
      </c>
    </row>
    <row r="490" spans="2:65" s="11" customFormat="1">
      <c r="B490" s="136"/>
      <c r="D490" s="132" t="s">
        <v>147</v>
      </c>
      <c r="E490" s="137" t="s">
        <v>1367</v>
      </c>
      <c r="F490" s="138" t="s">
        <v>1368</v>
      </c>
      <c r="H490" s="139">
        <v>12</v>
      </c>
      <c r="L490" s="136"/>
      <c r="M490" s="140"/>
      <c r="T490" s="141"/>
      <c r="AT490" s="137" t="s">
        <v>147</v>
      </c>
      <c r="AU490" s="137" t="s">
        <v>19</v>
      </c>
      <c r="AV490" s="11" t="s">
        <v>149</v>
      </c>
      <c r="AW490" s="11" t="s">
        <v>39</v>
      </c>
      <c r="AX490" s="11" t="s">
        <v>19</v>
      </c>
      <c r="AY490" s="137" t="s">
        <v>136</v>
      </c>
    </row>
    <row r="491" spans="2:65" s="1" customFormat="1" ht="24.15" customHeight="1">
      <c r="B491" s="119"/>
      <c r="C491" s="120" t="s">
        <v>834</v>
      </c>
      <c r="D491" s="120" t="s">
        <v>137</v>
      </c>
      <c r="E491" s="121" t="s">
        <v>1369</v>
      </c>
      <c r="F491" s="122" t="s">
        <v>1364</v>
      </c>
      <c r="G491" s="123" t="s">
        <v>152</v>
      </c>
      <c r="H491" s="124">
        <v>10.5</v>
      </c>
      <c r="I491" s="125">
        <v>0</v>
      </c>
      <c r="J491" s="125">
        <f>ROUND(I491*H491,2)</f>
        <v>0</v>
      </c>
      <c r="K491" s="122" t="s">
        <v>141</v>
      </c>
      <c r="L491" s="26"/>
      <c r="M491" s="126" t="s">
        <v>1</v>
      </c>
      <c r="N491" s="127" t="s">
        <v>46</v>
      </c>
      <c r="O491" s="128">
        <v>0</v>
      </c>
      <c r="P491" s="128">
        <f>O491*H491</f>
        <v>0</v>
      </c>
      <c r="Q491" s="128">
        <v>0</v>
      </c>
      <c r="R491" s="128">
        <f>Q491*H491</f>
        <v>0</v>
      </c>
      <c r="S491" s="128">
        <v>0</v>
      </c>
      <c r="T491" s="129">
        <f>S491*H491</f>
        <v>0</v>
      </c>
      <c r="AR491" s="130" t="s">
        <v>135</v>
      </c>
      <c r="AT491" s="130" t="s">
        <v>137</v>
      </c>
      <c r="AU491" s="130" t="s">
        <v>19</v>
      </c>
      <c r="AY491" s="14" t="s">
        <v>136</v>
      </c>
      <c r="BE491" s="131">
        <f>IF(N491="základní",J491,0)</f>
        <v>0</v>
      </c>
      <c r="BF491" s="131">
        <f>IF(N491="snížená",J491,0)</f>
        <v>0</v>
      </c>
      <c r="BG491" s="131">
        <f>IF(N491="zákl. přenesená",J491,0)</f>
        <v>0</v>
      </c>
      <c r="BH491" s="131">
        <f>IF(N491="sníž. přenesená",J491,0)</f>
        <v>0</v>
      </c>
      <c r="BI491" s="131">
        <f>IF(N491="nulová",J491,0)</f>
        <v>0</v>
      </c>
      <c r="BJ491" s="14" t="s">
        <v>19</v>
      </c>
      <c r="BK491" s="131">
        <f>ROUND(I491*H491,2)</f>
        <v>0</v>
      </c>
      <c r="BL491" s="14" t="s">
        <v>135</v>
      </c>
      <c r="BM491" s="130" t="s">
        <v>1370</v>
      </c>
    </row>
    <row r="492" spans="2:65" s="1" customFormat="1" ht="19.2">
      <c r="B492" s="26"/>
      <c r="D492" s="132" t="s">
        <v>143</v>
      </c>
      <c r="F492" s="133" t="s">
        <v>1364</v>
      </c>
      <c r="L492" s="26"/>
      <c r="M492" s="134"/>
      <c r="T492" s="50"/>
      <c r="AT492" s="14" t="s">
        <v>143</v>
      </c>
      <c r="AU492" s="14" t="s">
        <v>19</v>
      </c>
    </row>
    <row r="493" spans="2:65" s="1" customFormat="1" ht="57.6">
      <c r="B493" s="26"/>
      <c r="D493" s="132" t="s">
        <v>145</v>
      </c>
      <c r="F493" s="135" t="s">
        <v>1366</v>
      </c>
      <c r="L493" s="26"/>
      <c r="M493" s="134"/>
      <c r="T493" s="50"/>
      <c r="AT493" s="14" t="s">
        <v>145</v>
      </c>
      <c r="AU493" s="14" t="s">
        <v>19</v>
      </c>
    </row>
    <row r="494" spans="2:65" s="11" customFormat="1">
      <c r="B494" s="136"/>
      <c r="D494" s="132" t="s">
        <v>147</v>
      </c>
      <c r="E494" s="137" t="s">
        <v>1371</v>
      </c>
      <c r="F494" s="138" t="s">
        <v>1372</v>
      </c>
      <c r="H494" s="139">
        <v>10.5</v>
      </c>
      <c r="L494" s="136"/>
      <c r="M494" s="140"/>
      <c r="T494" s="141"/>
      <c r="AT494" s="137" t="s">
        <v>147</v>
      </c>
      <c r="AU494" s="137" t="s">
        <v>19</v>
      </c>
      <c r="AV494" s="11" t="s">
        <v>149</v>
      </c>
      <c r="AW494" s="11" t="s">
        <v>39</v>
      </c>
      <c r="AX494" s="11" t="s">
        <v>19</v>
      </c>
      <c r="AY494" s="137" t="s">
        <v>136</v>
      </c>
    </row>
    <row r="495" spans="2:65" s="1" customFormat="1" ht="24.15" customHeight="1">
      <c r="B495" s="119"/>
      <c r="C495" s="120" t="s">
        <v>838</v>
      </c>
      <c r="D495" s="120" t="s">
        <v>137</v>
      </c>
      <c r="E495" s="121" t="s">
        <v>1373</v>
      </c>
      <c r="F495" s="122" t="s">
        <v>1374</v>
      </c>
      <c r="G495" s="123" t="s">
        <v>152</v>
      </c>
      <c r="H495" s="124">
        <v>4</v>
      </c>
      <c r="I495" s="125">
        <v>0</v>
      </c>
      <c r="J495" s="125">
        <f>ROUND(I495*H495,2)</f>
        <v>0</v>
      </c>
      <c r="K495" s="122" t="s">
        <v>141</v>
      </c>
      <c r="L495" s="26"/>
      <c r="M495" s="126" t="s">
        <v>1</v>
      </c>
      <c r="N495" s="127" t="s">
        <v>46</v>
      </c>
      <c r="O495" s="128">
        <v>0</v>
      </c>
      <c r="P495" s="128">
        <f>O495*H495</f>
        <v>0</v>
      </c>
      <c r="Q495" s="128">
        <v>0</v>
      </c>
      <c r="R495" s="128">
        <f>Q495*H495</f>
        <v>0</v>
      </c>
      <c r="S495" s="128">
        <v>0</v>
      </c>
      <c r="T495" s="129">
        <f>S495*H495</f>
        <v>0</v>
      </c>
      <c r="AR495" s="130" t="s">
        <v>135</v>
      </c>
      <c r="AT495" s="130" t="s">
        <v>137</v>
      </c>
      <c r="AU495" s="130" t="s">
        <v>19</v>
      </c>
      <c r="AY495" s="14" t="s">
        <v>136</v>
      </c>
      <c r="BE495" s="131">
        <f>IF(N495="základní",J495,0)</f>
        <v>0</v>
      </c>
      <c r="BF495" s="131">
        <f>IF(N495="snížená",J495,0)</f>
        <v>0</v>
      </c>
      <c r="BG495" s="131">
        <f>IF(N495="zákl. přenesená",J495,0)</f>
        <v>0</v>
      </c>
      <c r="BH495" s="131">
        <f>IF(N495="sníž. přenesená",J495,0)</f>
        <v>0</v>
      </c>
      <c r="BI495" s="131">
        <f>IF(N495="nulová",J495,0)</f>
        <v>0</v>
      </c>
      <c r="BJ495" s="14" t="s">
        <v>19</v>
      </c>
      <c r="BK495" s="131">
        <f>ROUND(I495*H495,2)</f>
        <v>0</v>
      </c>
      <c r="BL495" s="14" t="s">
        <v>135</v>
      </c>
      <c r="BM495" s="130" t="s">
        <v>1375</v>
      </c>
    </row>
    <row r="496" spans="2:65" s="1" customFormat="1" ht="38.4">
      <c r="B496" s="26"/>
      <c r="D496" s="132" t="s">
        <v>143</v>
      </c>
      <c r="F496" s="133" t="s">
        <v>1376</v>
      </c>
      <c r="L496" s="26"/>
      <c r="M496" s="134"/>
      <c r="T496" s="50"/>
      <c r="AT496" s="14" t="s">
        <v>143</v>
      </c>
      <c r="AU496" s="14" t="s">
        <v>19</v>
      </c>
    </row>
    <row r="497" spans="2:65" s="1" customFormat="1" ht="28.8">
      <c r="B497" s="26"/>
      <c r="D497" s="132" t="s">
        <v>145</v>
      </c>
      <c r="F497" s="135" t="s">
        <v>1377</v>
      </c>
      <c r="L497" s="26"/>
      <c r="M497" s="134"/>
      <c r="T497" s="50"/>
      <c r="AT497" s="14" t="s">
        <v>145</v>
      </c>
      <c r="AU497" s="14" t="s">
        <v>19</v>
      </c>
    </row>
    <row r="498" spans="2:65" s="11" customFormat="1">
      <c r="B498" s="136"/>
      <c r="D498" s="132" t="s">
        <v>147</v>
      </c>
      <c r="E498" s="137" t="s">
        <v>1378</v>
      </c>
      <c r="F498" s="138" t="s">
        <v>135</v>
      </c>
      <c r="H498" s="139">
        <v>4</v>
      </c>
      <c r="L498" s="136"/>
      <c r="M498" s="140"/>
      <c r="T498" s="141"/>
      <c r="AT498" s="137" t="s">
        <v>147</v>
      </c>
      <c r="AU498" s="137" t="s">
        <v>19</v>
      </c>
      <c r="AV498" s="11" t="s">
        <v>149</v>
      </c>
      <c r="AW498" s="11" t="s">
        <v>39</v>
      </c>
      <c r="AX498" s="11" t="s">
        <v>19</v>
      </c>
      <c r="AY498" s="137" t="s">
        <v>136</v>
      </c>
    </row>
    <row r="499" spans="2:65" s="1" customFormat="1" ht="24.15" customHeight="1">
      <c r="B499" s="119"/>
      <c r="C499" s="120" t="s">
        <v>845</v>
      </c>
      <c r="D499" s="120" t="s">
        <v>137</v>
      </c>
      <c r="E499" s="121" t="s">
        <v>1379</v>
      </c>
      <c r="F499" s="122" t="s">
        <v>1380</v>
      </c>
      <c r="G499" s="123" t="s">
        <v>152</v>
      </c>
      <c r="H499" s="124">
        <v>2</v>
      </c>
      <c r="I499" s="125">
        <v>0</v>
      </c>
      <c r="J499" s="125">
        <f>ROUND(I499*H499,2)</f>
        <v>0</v>
      </c>
      <c r="K499" s="122" t="s">
        <v>141</v>
      </c>
      <c r="L499" s="26"/>
      <c r="M499" s="126" t="s">
        <v>1</v>
      </c>
      <c r="N499" s="127" t="s">
        <v>46</v>
      </c>
      <c r="O499" s="128">
        <v>0</v>
      </c>
      <c r="P499" s="128">
        <f>O499*H499</f>
        <v>0</v>
      </c>
      <c r="Q499" s="128">
        <v>0</v>
      </c>
      <c r="R499" s="128">
        <f>Q499*H499</f>
        <v>0</v>
      </c>
      <c r="S499" s="128">
        <v>0</v>
      </c>
      <c r="T499" s="129">
        <f>S499*H499</f>
        <v>0</v>
      </c>
      <c r="AR499" s="130" t="s">
        <v>135</v>
      </c>
      <c r="AT499" s="130" t="s">
        <v>137</v>
      </c>
      <c r="AU499" s="130" t="s">
        <v>19</v>
      </c>
      <c r="AY499" s="14" t="s">
        <v>136</v>
      </c>
      <c r="BE499" s="131">
        <f>IF(N499="základní",J499,0)</f>
        <v>0</v>
      </c>
      <c r="BF499" s="131">
        <f>IF(N499="snížená",J499,0)</f>
        <v>0</v>
      </c>
      <c r="BG499" s="131">
        <f>IF(N499="zákl. přenesená",J499,0)</f>
        <v>0</v>
      </c>
      <c r="BH499" s="131">
        <f>IF(N499="sníž. přenesená",J499,0)</f>
        <v>0</v>
      </c>
      <c r="BI499" s="131">
        <f>IF(N499="nulová",J499,0)</f>
        <v>0</v>
      </c>
      <c r="BJ499" s="14" t="s">
        <v>19</v>
      </c>
      <c r="BK499" s="131">
        <f>ROUND(I499*H499,2)</f>
        <v>0</v>
      </c>
      <c r="BL499" s="14" t="s">
        <v>135</v>
      </c>
      <c r="BM499" s="130" t="s">
        <v>1381</v>
      </c>
    </row>
    <row r="500" spans="2:65" s="1" customFormat="1" ht="38.4">
      <c r="B500" s="26"/>
      <c r="D500" s="132" t="s">
        <v>143</v>
      </c>
      <c r="F500" s="133" t="s">
        <v>1376</v>
      </c>
      <c r="L500" s="26"/>
      <c r="M500" s="134"/>
      <c r="T500" s="50"/>
      <c r="AT500" s="14" t="s">
        <v>143</v>
      </c>
      <c r="AU500" s="14" t="s">
        <v>19</v>
      </c>
    </row>
    <row r="501" spans="2:65" s="1" customFormat="1" ht="19.2">
      <c r="B501" s="26"/>
      <c r="D501" s="132" t="s">
        <v>145</v>
      </c>
      <c r="F501" s="135" t="s">
        <v>1382</v>
      </c>
      <c r="L501" s="26"/>
      <c r="M501" s="134"/>
      <c r="T501" s="50"/>
      <c r="AT501" s="14" t="s">
        <v>145</v>
      </c>
      <c r="AU501" s="14" t="s">
        <v>19</v>
      </c>
    </row>
    <row r="502" spans="2:65" s="11" customFormat="1">
      <c r="B502" s="136"/>
      <c r="D502" s="132" t="s">
        <v>147</v>
      </c>
      <c r="E502" s="137" t="s">
        <v>1383</v>
      </c>
      <c r="F502" s="138" t="s">
        <v>149</v>
      </c>
      <c r="H502" s="139">
        <v>2</v>
      </c>
      <c r="L502" s="136"/>
      <c r="M502" s="140"/>
      <c r="T502" s="141"/>
      <c r="AT502" s="137" t="s">
        <v>147</v>
      </c>
      <c r="AU502" s="137" t="s">
        <v>19</v>
      </c>
      <c r="AV502" s="11" t="s">
        <v>149</v>
      </c>
      <c r="AW502" s="11" t="s">
        <v>39</v>
      </c>
      <c r="AX502" s="11" t="s">
        <v>19</v>
      </c>
      <c r="AY502" s="137" t="s">
        <v>136</v>
      </c>
    </row>
    <row r="503" spans="2:65" s="1" customFormat="1" ht="16.5" customHeight="1">
      <c r="B503" s="119"/>
      <c r="C503" s="120" t="s">
        <v>858</v>
      </c>
      <c r="D503" s="120" t="s">
        <v>137</v>
      </c>
      <c r="E503" s="121" t="s">
        <v>1384</v>
      </c>
      <c r="F503" s="122" t="s">
        <v>1385</v>
      </c>
      <c r="G503" s="123" t="s">
        <v>152</v>
      </c>
      <c r="H503" s="124">
        <v>30</v>
      </c>
      <c r="I503" s="125">
        <v>0</v>
      </c>
      <c r="J503" s="125">
        <f>ROUND(I503*H503,2)</f>
        <v>0</v>
      </c>
      <c r="K503" s="122" t="s">
        <v>141</v>
      </c>
      <c r="L503" s="26"/>
      <c r="M503" s="126" t="s">
        <v>1</v>
      </c>
      <c r="N503" s="127" t="s">
        <v>46</v>
      </c>
      <c r="O503" s="128">
        <v>0</v>
      </c>
      <c r="P503" s="128">
        <f>O503*H503</f>
        <v>0</v>
      </c>
      <c r="Q503" s="128">
        <v>0</v>
      </c>
      <c r="R503" s="128">
        <f>Q503*H503</f>
        <v>0</v>
      </c>
      <c r="S503" s="128">
        <v>0</v>
      </c>
      <c r="T503" s="129">
        <f>S503*H503</f>
        <v>0</v>
      </c>
      <c r="AR503" s="130" t="s">
        <v>135</v>
      </c>
      <c r="AT503" s="130" t="s">
        <v>137</v>
      </c>
      <c r="AU503" s="130" t="s">
        <v>19</v>
      </c>
      <c r="AY503" s="14" t="s">
        <v>136</v>
      </c>
      <c r="BE503" s="131">
        <f>IF(N503="základní",J503,0)</f>
        <v>0</v>
      </c>
      <c r="BF503" s="131">
        <f>IF(N503="snížená",J503,0)</f>
        <v>0</v>
      </c>
      <c r="BG503" s="131">
        <f>IF(N503="zákl. přenesená",J503,0)</f>
        <v>0</v>
      </c>
      <c r="BH503" s="131">
        <f>IF(N503="sníž. přenesená",J503,0)</f>
        <v>0</v>
      </c>
      <c r="BI503" s="131">
        <f>IF(N503="nulová",J503,0)</f>
        <v>0</v>
      </c>
      <c r="BJ503" s="14" t="s">
        <v>19</v>
      </c>
      <c r="BK503" s="131">
        <f>ROUND(I503*H503,2)</f>
        <v>0</v>
      </c>
      <c r="BL503" s="14" t="s">
        <v>135</v>
      </c>
      <c r="BM503" s="130" t="s">
        <v>1386</v>
      </c>
    </row>
    <row r="504" spans="2:65" s="1" customFormat="1">
      <c r="B504" s="26"/>
      <c r="D504" s="132" t="s">
        <v>143</v>
      </c>
      <c r="F504" s="133" t="s">
        <v>1387</v>
      </c>
      <c r="L504" s="26"/>
      <c r="M504" s="134"/>
      <c r="T504" s="50"/>
      <c r="AT504" s="14" t="s">
        <v>143</v>
      </c>
      <c r="AU504" s="14" t="s">
        <v>19</v>
      </c>
    </row>
    <row r="505" spans="2:65" s="1" customFormat="1" ht="28.8">
      <c r="B505" s="26"/>
      <c r="D505" s="132" t="s">
        <v>145</v>
      </c>
      <c r="F505" s="135" t="s">
        <v>1388</v>
      </c>
      <c r="L505" s="26"/>
      <c r="M505" s="134"/>
      <c r="T505" s="50"/>
      <c r="AT505" s="14" t="s">
        <v>145</v>
      </c>
      <c r="AU505" s="14" t="s">
        <v>19</v>
      </c>
    </row>
    <row r="506" spans="2:65" s="11" customFormat="1" ht="20.399999999999999">
      <c r="B506" s="136"/>
      <c r="D506" s="132" t="s">
        <v>147</v>
      </c>
      <c r="E506" s="137" t="s">
        <v>1389</v>
      </c>
      <c r="F506" s="138" t="s">
        <v>1390</v>
      </c>
      <c r="H506" s="139">
        <v>30</v>
      </c>
      <c r="L506" s="136"/>
      <c r="M506" s="140"/>
      <c r="T506" s="141"/>
      <c r="AT506" s="137" t="s">
        <v>147</v>
      </c>
      <c r="AU506" s="137" t="s">
        <v>19</v>
      </c>
      <c r="AV506" s="11" t="s">
        <v>149</v>
      </c>
      <c r="AW506" s="11" t="s">
        <v>39</v>
      </c>
      <c r="AX506" s="11" t="s">
        <v>81</v>
      </c>
      <c r="AY506" s="137" t="s">
        <v>136</v>
      </c>
    </row>
    <row r="507" spans="2:65" s="11" customFormat="1">
      <c r="B507" s="136"/>
      <c r="D507" s="132" t="s">
        <v>147</v>
      </c>
      <c r="E507" s="137" t="s">
        <v>1391</v>
      </c>
      <c r="F507" s="138" t="s">
        <v>1392</v>
      </c>
      <c r="H507" s="139">
        <v>30</v>
      </c>
      <c r="L507" s="136"/>
      <c r="M507" s="140"/>
      <c r="T507" s="141"/>
      <c r="AT507" s="137" t="s">
        <v>147</v>
      </c>
      <c r="AU507" s="137" t="s">
        <v>19</v>
      </c>
      <c r="AV507" s="11" t="s">
        <v>149</v>
      </c>
      <c r="AW507" s="11" t="s">
        <v>39</v>
      </c>
      <c r="AX507" s="11" t="s">
        <v>19</v>
      </c>
      <c r="AY507" s="137" t="s">
        <v>136</v>
      </c>
    </row>
    <row r="508" spans="2:65" s="1" customFormat="1" ht="16.5" customHeight="1">
      <c r="B508" s="119"/>
      <c r="C508" s="120" t="s">
        <v>864</v>
      </c>
      <c r="D508" s="120" t="s">
        <v>137</v>
      </c>
      <c r="E508" s="121" t="s">
        <v>692</v>
      </c>
      <c r="F508" s="122" t="s">
        <v>693</v>
      </c>
      <c r="G508" s="123" t="s">
        <v>152</v>
      </c>
      <c r="H508" s="124">
        <v>40</v>
      </c>
      <c r="I508" s="125">
        <v>0</v>
      </c>
      <c r="J508" s="125">
        <f>ROUND(I508*H508,2)</f>
        <v>0</v>
      </c>
      <c r="K508" s="122" t="s">
        <v>141</v>
      </c>
      <c r="L508" s="26"/>
      <c r="M508" s="126" t="s">
        <v>1</v>
      </c>
      <c r="N508" s="127" t="s">
        <v>46</v>
      </c>
      <c r="O508" s="128">
        <v>0</v>
      </c>
      <c r="P508" s="128">
        <f>O508*H508</f>
        <v>0</v>
      </c>
      <c r="Q508" s="128">
        <v>0</v>
      </c>
      <c r="R508" s="128">
        <f>Q508*H508</f>
        <v>0</v>
      </c>
      <c r="S508" s="128">
        <v>0</v>
      </c>
      <c r="T508" s="129">
        <f>S508*H508</f>
        <v>0</v>
      </c>
      <c r="AR508" s="130" t="s">
        <v>135</v>
      </c>
      <c r="AT508" s="130" t="s">
        <v>137</v>
      </c>
      <c r="AU508" s="130" t="s">
        <v>19</v>
      </c>
      <c r="AY508" s="14" t="s">
        <v>136</v>
      </c>
      <c r="BE508" s="131">
        <f>IF(N508="základní",J508,0)</f>
        <v>0</v>
      </c>
      <c r="BF508" s="131">
        <f>IF(N508="snížená",J508,0)</f>
        <v>0</v>
      </c>
      <c r="BG508" s="131">
        <f>IF(N508="zákl. přenesená",J508,0)</f>
        <v>0</v>
      </c>
      <c r="BH508" s="131">
        <f>IF(N508="sníž. přenesená",J508,0)</f>
        <v>0</v>
      </c>
      <c r="BI508" s="131">
        <f>IF(N508="nulová",J508,0)</f>
        <v>0</v>
      </c>
      <c r="BJ508" s="14" t="s">
        <v>19</v>
      </c>
      <c r="BK508" s="131">
        <f>ROUND(I508*H508,2)</f>
        <v>0</v>
      </c>
      <c r="BL508" s="14" t="s">
        <v>135</v>
      </c>
      <c r="BM508" s="130" t="s">
        <v>1393</v>
      </c>
    </row>
    <row r="509" spans="2:65" s="1" customFormat="1">
      <c r="B509" s="26"/>
      <c r="D509" s="132" t="s">
        <v>143</v>
      </c>
      <c r="F509" s="133" t="s">
        <v>693</v>
      </c>
      <c r="L509" s="26"/>
      <c r="M509" s="134"/>
      <c r="T509" s="50"/>
      <c r="AT509" s="14" t="s">
        <v>143</v>
      </c>
      <c r="AU509" s="14" t="s">
        <v>19</v>
      </c>
    </row>
    <row r="510" spans="2:65" s="1" customFormat="1" ht="48">
      <c r="B510" s="26"/>
      <c r="D510" s="132" t="s">
        <v>145</v>
      </c>
      <c r="F510" s="135" t="s">
        <v>695</v>
      </c>
      <c r="L510" s="26"/>
      <c r="M510" s="134"/>
      <c r="T510" s="50"/>
      <c r="AT510" s="14" t="s">
        <v>145</v>
      </c>
      <c r="AU510" s="14" t="s">
        <v>19</v>
      </c>
    </row>
    <row r="511" spans="2:65" s="11" customFormat="1">
      <c r="B511" s="136"/>
      <c r="D511" s="132" t="s">
        <v>147</v>
      </c>
      <c r="E511" s="137" t="s">
        <v>1394</v>
      </c>
      <c r="F511" s="138" t="s">
        <v>561</v>
      </c>
      <c r="H511" s="139">
        <v>40</v>
      </c>
      <c r="L511" s="136"/>
      <c r="M511" s="140"/>
      <c r="T511" s="141"/>
      <c r="AT511" s="137" t="s">
        <v>147</v>
      </c>
      <c r="AU511" s="137" t="s">
        <v>19</v>
      </c>
      <c r="AV511" s="11" t="s">
        <v>149</v>
      </c>
      <c r="AW511" s="11" t="s">
        <v>39</v>
      </c>
      <c r="AX511" s="11" t="s">
        <v>19</v>
      </c>
      <c r="AY511" s="137" t="s">
        <v>136</v>
      </c>
    </row>
    <row r="512" spans="2:65" s="1" customFormat="1" ht="16.5" customHeight="1">
      <c r="B512" s="119"/>
      <c r="C512" s="120" t="s">
        <v>871</v>
      </c>
      <c r="D512" s="120" t="s">
        <v>137</v>
      </c>
      <c r="E512" s="121" t="s">
        <v>1395</v>
      </c>
      <c r="F512" s="122" t="s">
        <v>1396</v>
      </c>
      <c r="G512" s="123" t="s">
        <v>152</v>
      </c>
      <c r="H512" s="124">
        <v>47</v>
      </c>
      <c r="I512" s="125">
        <v>0</v>
      </c>
      <c r="J512" s="125">
        <f>ROUND(I512*H512,2)</f>
        <v>0</v>
      </c>
      <c r="K512" s="122" t="s">
        <v>141</v>
      </c>
      <c r="L512" s="26"/>
      <c r="M512" s="126" t="s">
        <v>1</v>
      </c>
      <c r="N512" s="127" t="s">
        <v>46</v>
      </c>
      <c r="O512" s="128">
        <v>0</v>
      </c>
      <c r="P512" s="128">
        <f>O512*H512</f>
        <v>0</v>
      </c>
      <c r="Q512" s="128">
        <v>0</v>
      </c>
      <c r="R512" s="128">
        <f>Q512*H512</f>
        <v>0</v>
      </c>
      <c r="S512" s="128">
        <v>0</v>
      </c>
      <c r="T512" s="129">
        <f>S512*H512</f>
        <v>0</v>
      </c>
      <c r="AR512" s="130" t="s">
        <v>135</v>
      </c>
      <c r="AT512" s="130" t="s">
        <v>137</v>
      </c>
      <c r="AU512" s="130" t="s">
        <v>19</v>
      </c>
      <c r="AY512" s="14" t="s">
        <v>136</v>
      </c>
      <c r="BE512" s="131">
        <f>IF(N512="základní",J512,0)</f>
        <v>0</v>
      </c>
      <c r="BF512" s="131">
        <f>IF(N512="snížená",J512,0)</f>
        <v>0</v>
      </c>
      <c r="BG512" s="131">
        <f>IF(N512="zákl. přenesená",J512,0)</f>
        <v>0</v>
      </c>
      <c r="BH512" s="131">
        <f>IF(N512="sníž. přenesená",J512,0)</f>
        <v>0</v>
      </c>
      <c r="BI512" s="131">
        <f>IF(N512="nulová",J512,0)</f>
        <v>0</v>
      </c>
      <c r="BJ512" s="14" t="s">
        <v>19</v>
      </c>
      <c r="BK512" s="131">
        <f>ROUND(I512*H512,2)</f>
        <v>0</v>
      </c>
      <c r="BL512" s="14" t="s">
        <v>135</v>
      </c>
      <c r="BM512" s="130" t="s">
        <v>1397</v>
      </c>
    </row>
    <row r="513" spans="2:65" s="1" customFormat="1">
      <c r="B513" s="26"/>
      <c r="D513" s="132" t="s">
        <v>143</v>
      </c>
      <c r="F513" s="133" t="s">
        <v>1396</v>
      </c>
      <c r="L513" s="26"/>
      <c r="M513" s="134"/>
      <c r="T513" s="50"/>
      <c r="AT513" s="14" t="s">
        <v>143</v>
      </c>
      <c r="AU513" s="14" t="s">
        <v>19</v>
      </c>
    </row>
    <row r="514" spans="2:65" s="1" customFormat="1" ht="48">
      <c r="B514" s="26"/>
      <c r="D514" s="132" t="s">
        <v>145</v>
      </c>
      <c r="F514" s="135" t="s">
        <v>695</v>
      </c>
      <c r="L514" s="26"/>
      <c r="M514" s="134"/>
      <c r="T514" s="50"/>
      <c r="AT514" s="14" t="s">
        <v>145</v>
      </c>
      <c r="AU514" s="14" t="s">
        <v>19</v>
      </c>
    </row>
    <row r="515" spans="2:65" s="11" customFormat="1">
      <c r="B515" s="136"/>
      <c r="D515" s="132" t="s">
        <v>147</v>
      </c>
      <c r="E515" s="137" t="s">
        <v>1398</v>
      </c>
      <c r="F515" s="138" t="s">
        <v>1399</v>
      </c>
      <c r="H515" s="139">
        <v>24</v>
      </c>
      <c r="L515" s="136"/>
      <c r="M515" s="140"/>
      <c r="T515" s="141"/>
      <c r="AT515" s="137" t="s">
        <v>147</v>
      </c>
      <c r="AU515" s="137" t="s">
        <v>19</v>
      </c>
      <c r="AV515" s="11" t="s">
        <v>149</v>
      </c>
      <c r="AW515" s="11" t="s">
        <v>39</v>
      </c>
      <c r="AX515" s="11" t="s">
        <v>81</v>
      </c>
      <c r="AY515" s="137" t="s">
        <v>136</v>
      </c>
    </row>
    <row r="516" spans="2:65" s="11" customFormat="1">
      <c r="B516" s="136"/>
      <c r="D516" s="132" t="s">
        <v>147</v>
      </c>
      <c r="E516" s="137" t="s">
        <v>1400</v>
      </c>
      <c r="F516" s="138" t="s">
        <v>1401</v>
      </c>
      <c r="H516" s="139">
        <v>2</v>
      </c>
      <c r="L516" s="136"/>
      <c r="M516" s="140"/>
      <c r="T516" s="141"/>
      <c r="AT516" s="137" t="s">
        <v>147</v>
      </c>
      <c r="AU516" s="137" t="s">
        <v>19</v>
      </c>
      <c r="AV516" s="11" t="s">
        <v>149</v>
      </c>
      <c r="AW516" s="11" t="s">
        <v>39</v>
      </c>
      <c r="AX516" s="11" t="s">
        <v>81</v>
      </c>
      <c r="AY516" s="137" t="s">
        <v>136</v>
      </c>
    </row>
    <row r="517" spans="2:65" s="11" customFormat="1">
      <c r="B517" s="136"/>
      <c r="D517" s="132" t="s">
        <v>147</v>
      </c>
      <c r="E517" s="137" t="s">
        <v>1402</v>
      </c>
      <c r="F517" s="138" t="s">
        <v>1403</v>
      </c>
      <c r="H517" s="139">
        <v>21</v>
      </c>
      <c r="L517" s="136"/>
      <c r="M517" s="140"/>
      <c r="T517" s="141"/>
      <c r="AT517" s="137" t="s">
        <v>147</v>
      </c>
      <c r="AU517" s="137" t="s">
        <v>19</v>
      </c>
      <c r="AV517" s="11" t="s">
        <v>149</v>
      </c>
      <c r="AW517" s="11" t="s">
        <v>39</v>
      </c>
      <c r="AX517" s="11" t="s">
        <v>81</v>
      </c>
      <c r="AY517" s="137" t="s">
        <v>136</v>
      </c>
    </row>
    <row r="518" spans="2:65" s="11" customFormat="1">
      <c r="B518" s="136"/>
      <c r="D518" s="132" t="s">
        <v>147</v>
      </c>
      <c r="E518" s="137" t="s">
        <v>1404</v>
      </c>
      <c r="F518" s="138" t="s">
        <v>1405</v>
      </c>
      <c r="H518" s="139">
        <v>47</v>
      </c>
      <c r="L518" s="136"/>
      <c r="M518" s="140"/>
      <c r="T518" s="141"/>
      <c r="AT518" s="137" t="s">
        <v>147</v>
      </c>
      <c r="AU518" s="137" t="s">
        <v>19</v>
      </c>
      <c r="AV518" s="11" t="s">
        <v>149</v>
      </c>
      <c r="AW518" s="11" t="s">
        <v>39</v>
      </c>
      <c r="AX518" s="11" t="s">
        <v>19</v>
      </c>
      <c r="AY518" s="137" t="s">
        <v>136</v>
      </c>
    </row>
    <row r="519" spans="2:65" s="1" customFormat="1" ht="16.5" customHeight="1">
      <c r="B519" s="119"/>
      <c r="C519" s="120" t="s">
        <v>1406</v>
      </c>
      <c r="D519" s="120" t="s">
        <v>137</v>
      </c>
      <c r="E519" s="121" t="s">
        <v>1407</v>
      </c>
      <c r="F519" s="122" t="s">
        <v>1408</v>
      </c>
      <c r="G519" s="123" t="s">
        <v>216</v>
      </c>
      <c r="H519" s="124">
        <v>2.1</v>
      </c>
      <c r="I519" s="125">
        <v>0</v>
      </c>
      <c r="J519" s="125">
        <f>ROUND(I519*H519,2)</f>
        <v>0</v>
      </c>
      <c r="K519" s="122" t="s">
        <v>141</v>
      </c>
      <c r="L519" s="26"/>
      <c r="M519" s="126" t="s">
        <v>1</v>
      </c>
      <c r="N519" s="127" t="s">
        <v>46</v>
      </c>
      <c r="O519" s="128">
        <v>0</v>
      </c>
      <c r="P519" s="128">
        <f>O519*H519</f>
        <v>0</v>
      </c>
      <c r="Q519" s="128">
        <v>0</v>
      </c>
      <c r="R519" s="128">
        <f>Q519*H519</f>
        <v>0</v>
      </c>
      <c r="S519" s="128">
        <v>0</v>
      </c>
      <c r="T519" s="129">
        <f>S519*H519</f>
        <v>0</v>
      </c>
      <c r="AR519" s="130" t="s">
        <v>135</v>
      </c>
      <c r="AT519" s="130" t="s">
        <v>137</v>
      </c>
      <c r="AU519" s="130" t="s">
        <v>19</v>
      </c>
      <c r="AY519" s="14" t="s">
        <v>136</v>
      </c>
      <c r="BE519" s="131">
        <f>IF(N519="základní",J519,0)</f>
        <v>0</v>
      </c>
      <c r="BF519" s="131">
        <f>IF(N519="snížená",J519,0)</f>
        <v>0</v>
      </c>
      <c r="BG519" s="131">
        <f>IF(N519="zákl. přenesená",J519,0)</f>
        <v>0</v>
      </c>
      <c r="BH519" s="131">
        <f>IF(N519="sníž. přenesená",J519,0)</f>
        <v>0</v>
      </c>
      <c r="BI519" s="131">
        <f>IF(N519="nulová",J519,0)</f>
        <v>0</v>
      </c>
      <c r="BJ519" s="14" t="s">
        <v>19</v>
      </c>
      <c r="BK519" s="131">
        <f>ROUND(I519*H519,2)</f>
        <v>0</v>
      </c>
      <c r="BL519" s="14" t="s">
        <v>135</v>
      </c>
      <c r="BM519" s="130" t="s">
        <v>1409</v>
      </c>
    </row>
    <row r="520" spans="2:65" s="1" customFormat="1">
      <c r="B520" s="26"/>
      <c r="D520" s="132" t="s">
        <v>143</v>
      </c>
      <c r="F520" s="133" t="s">
        <v>1408</v>
      </c>
      <c r="L520" s="26"/>
      <c r="M520" s="134"/>
      <c r="T520" s="50"/>
      <c r="AT520" s="14" t="s">
        <v>143</v>
      </c>
      <c r="AU520" s="14" t="s">
        <v>19</v>
      </c>
    </row>
    <row r="521" spans="2:65" s="1" customFormat="1" ht="307.2">
      <c r="B521" s="26"/>
      <c r="D521" s="132" t="s">
        <v>145</v>
      </c>
      <c r="F521" s="135" t="s">
        <v>1410</v>
      </c>
      <c r="L521" s="26"/>
      <c r="M521" s="134"/>
      <c r="T521" s="50"/>
      <c r="AT521" s="14" t="s">
        <v>145</v>
      </c>
      <c r="AU521" s="14" t="s">
        <v>19</v>
      </c>
    </row>
    <row r="522" spans="2:65" s="11" customFormat="1">
      <c r="B522" s="136"/>
      <c r="D522" s="132" t="s">
        <v>147</v>
      </c>
      <c r="E522" s="137" t="s">
        <v>1411</v>
      </c>
      <c r="F522" s="138" t="s">
        <v>1412</v>
      </c>
      <c r="H522" s="139">
        <v>0.5</v>
      </c>
      <c r="L522" s="136"/>
      <c r="M522" s="140"/>
      <c r="T522" s="141"/>
      <c r="AT522" s="137" t="s">
        <v>147</v>
      </c>
      <c r="AU522" s="137" t="s">
        <v>19</v>
      </c>
      <c r="AV522" s="11" t="s">
        <v>149</v>
      </c>
      <c r="AW522" s="11" t="s">
        <v>39</v>
      </c>
      <c r="AX522" s="11" t="s">
        <v>81</v>
      </c>
      <c r="AY522" s="137" t="s">
        <v>136</v>
      </c>
    </row>
    <row r="523" spans="2:65" s="11" customFormat="1" ht="20.399999999999999">
      <c r="B523" s="136"/>
      <c r="D523" s="132" t="s">
        <v>147</v>
      </c>
      <c r="E523" s="137" t="s">
        <v>1413</v>
      </c>
      <c r="F523" s="138" t="s">
        <v>1414</v>
      </c>
      <c r="H523" s="139">
        <v>1.6</v>
      </c>
      <c r="L523" s="136"/>
      <c r="M523" s="140"/>
      <c r="T523" s="141"/>
      <c r="AT523" s="137" t="s">
        <v>147</v>
      </c>
      <c r="AU523" s="137" t="s">
        <v>19</v>
      </c>
      <c r="AV523" s="11" t="s">
        <v>149</v>
      </c>
      <c r="AW523" s="11" t="s">
        <v>39</v>
      </c>
      <c r="AX523" s="11" t="s">
        <v>81</v>
      </c>
      <c r="AY523" s="137" t="s">
        <v>136</v>
      </c>
    </row>
    <row r="524" spans="2:65" s="11" customFormat="1">
      <c r="B524" s="136"/>
      <c r="D524" s="132" t="s">
        <v>147</v>
      </c>
      <c r="E524" s="137" t="s">
        <v>1415</v>
      </c>
      <c r="F524" s="138" t="s">
        <v>1416</v>
      </c>
      <c r="H524" s="139">
        <v>2.1</v>
      </c>
      <c r="L524" s="136"/>
      <c r="M524" s="140"/>
      <c r="T524" s="141"/>
      <c r="AT524" s="137" t="s">
        <v>147</v>
      </c>
      <c r="AU524" s="137" t="s">
        <v>19</v>
      </c>
      <c r="AV524" s="11" t="s">
        <v>149</v>
      </c>
      <c r="AW524" s="11" t="s">
        <v>39</v>
      </c>
      <c r="AX524" s="11" t="s">
        <v>19</v>
      </c>
      <c r="AY524" s="137" t="s">
        <v>136</v>
      </c>
    </row>
    <row r="525" spans="2:65" s="1" customFormat="1" ht="16.5" customHeight="1">
      <c r="B525" s="119"/>
      <c r="C525" s="120" t="s">
        <v>1417</v>
      </c>
      <c r="D525" s="120" t="s">
        <v>137</v>
      </c>
      <c r="E525" s="121" t="s">
        <v>1418</v>
      </c>
      <c r="F525" s="122" t="s">
        <v>1419</v>
      </c>
      <c r="G525" s="123" t="s">
        <v>312</v>
      </c>
      <c r="H525" s="124">
        <v>94</v>
      </c>
      <c r="I525" s="125">
        <v>0</v>
      </c>
      <c r="J525" s="125">
        <f>ROUND(I525*H525,2)</f>
        <v>0</v>
      </c>
      <c r="K525" s="122" t="s">
        <v>141</v>
      </c>
      <c r="L525" s="26"/>
      <c r="M525" s="126" t="s">
        <v>1</v>
      </c>
      <c r="N525" s="127" t="s">
        <v>46</v>
      </c>
      <c r="O525" s="128">
        <v>0</v>
      </c>
      <c r="P525" s="128">
        <f>O525*H525</f>
        <v>0</v>
      </c>
      <c r="Q525" s="128">
        <v>0</v>
      </c>
      <c r="R525" s="128">
        <f>Q525*H525</f>
        <v>0</v>
      </c>
      <c r="S525" s="128">
        <v>0</v>
      </c>
      <c r="T525" s="129">
        <f>S525*H525</f>
        <v>0</v>
      </c>
      <c r="AR525" s="130" t="s">
        <v>135</v>
      </c>
      <c r="AT525" s="130" t="s">
        <v>137</v>
      </c>
      <c r="AU525" s="130" t="s">
        <v>19</v>
      </c>
      <c r="AY525" s="14" t="s">
        <v>136</v>
      </c>
      <c r="BE525" s="131">
        <f>IF(N525="základní",J525,0)</f>
        <v>0</v>
      </c>
      <c r="BF525" s="131">
        <f>IF(N525="snížená",J525,0)</f>
        <v>0</v>
      </c>
      <c r="BG525" s="131">
        <f>IF(N525="zákl. přenesená",J525,0)</f>
        <v>0</v>
      </c>
      <c r="BH525" s="131">
        <f>IF(N525="sníž. přenesená",J525,0)</f>
        <v>0</v>
      </c>
      <c r="BI525" s="131">
        <f>IF(N525="nulová",J525,0)</f>
        <v>0</v>
      </c>
      <c r="BJ525" s="14" t="s">
        <v>19</v>
      </c>
      <c r="BK525" s="131">
        <f>ROUND(I525*H525,2)</f>
        <v>0</v>
      </c>
      <c r="BL525" s="14" t="s">
        <v>135</v>
      </c>
      <c r="BM525" s="130" t="s">
        <v>1420</v>
      </c>
    </row>
    <row r="526" spans="2:65" s="1" customFormat="1">
      <c r="B526" s="26"/>
      <c r="D526" s="132" t="s">
        <v>143</v>
      </c>
      <c r="F526" s="133" t="s">
        <v>1419</v>
      </c>
      <c r="L526" s="26"/>
      <c r="M526" s="134"/>
      <c r="T526" s="50"/>
      <c r="AT526" s="14" t="s">
        <v>143</v>
      </c>
      <c r="AU526" s="14" t="s">
        <v>19</v>
      </c>
    </row>
    <row r="527" spans="2:65" s="1" customFormat="1" ht="38.4">
      <c r="B527" s="26"/>
      <c r="D527" s="132" t="s">
        <v>145</v>
      </c>
      <c r="F527" s="135" t="s">
        <v>1421</v>
      </c>
      <c r="L527" s="26"/>
      <c r="M527" s="134"/>
      <c r="T527" s="50"/>
      <c r="AT527" s="14" t="s">
        <v>145</v>
      </c>
      <c r="AU527" s="14" t="s">
        <v>19</v>
      </c>
    </row>
    <row r="528" spans="2:65" s="11" customFormat="1">
      <c r="B528" s="136"/>
      <c r="D528" s="132" t="s">
        <v>147</v>
      </c>
      <c r="E528" s="137" t="s">
        <v>1422</v>
      </c>
      <c r="F528" s="138" t="s">
        <v>1423</v>
      </c>
      <c r="H528" s="139">
        <v>37</v>
      </c>
      <c r="L528" s="136"/>
      <c r="M528" s="140"/>
      <c r="T528" s="141"/>
      <c r="AT528" s="137" t="s">
        <v>147</v>
      </c>
      <c r="AU528" s="137" t="s">
        <v>19</v>
      </c>
      <c r="AV528" s="11" t="s">
        <v>149</v>
      </c>
      <c r="AW528" s="11" t="s">
        <v>39</v>
      </c>
      <c r="AX528" s="11" t="s">
        <v>81</v>
      </c>
      <c r="AY528" s="137" t="s">
        <v>136</v>
      </c>
    </row>
    <row r="529" spans="2:65" s="11" customFormat="1">
      <c r="B529" s="136"/>
      <c r="D529" s="132" t="s">
        <v>147</v>
      </c>
      <c r="E529" s="137" t="s">
        <v>1424</v>
      </c>
      <c r="F529" s="138" t="s">
        <v>1139</v>
      </c>
      <c r="H529" s="139">
        <v>57</v>
      </c>
      <c r="L529" s="136"/>
      <c r="M529" s="140"/>
      <c r="T529" s="141"/>
      <c r="AT529" s="137" t="s">
        <v>147</v>
      </c>
      <c r="AU529" s="137" t="s">
        <v>19</v>
      </c>
      <c r="AV529" s="11" t="s">
        <v>149</v>
      </c>
      <c r="AW529" s="11" t="s">
        <v>39</v>
      </c>
      <c r="AX529" s="11" t="s">
        <v>81</v>
      </c>
      <c r="AY529" s="137" t="s">
        <v>136</v>
      </c>
    </row>
    <row r="530" spans="2:65" s="11" customFormat="1">
      <c r="B530" s="136"/>
      <c r="D530" s="132" t="s">
        <v>147</v>
      </c>
      <c r="E530" s="137" t="s">
        <v>1425</v>
      </c>
      <c r="F530" s="138" t="s">
        <v>1426</v>
      </c>
      <c r="H530" s="139">
        <v>94</v>
      </c>
      <c r="L530" s="136"/>
      <c r="M530" s="140"/>
      <c r="T530" s="141"/>
      <c r="AT530" s="137" t="s">
        <v>147</v>
      </c>
      <c r="AU530" s="137" t="s">
        <v>19</v>
      </c>
      <c r="AV530" s="11" t="s">
        <v>149</v>
      </c>
      <c r="AW530" s="11" t="s">
        <v>39</v>
      </c>
      <c r="AX530" s="11" t="s">
        <v>19</v>
      </c>
      <c r="AY530" s="137" t="s">
        <v>136</v>
      </c>
    </row>
    <row r="531" spans="2:65" s="1" customFormat="1" ht="16.5" customHeight="1">
      <c r="B531" s="119"/>
      <c r="C531" s="120" t="s">
        <v>1427</v>
      </c>
      <c r="D531" s="120" t="s">
        <v>137</v>
      </c>
      <c r="E531" s="121" t="s">
        <v>1428</v>
      </c>
      <c r="F531" s="122" t="s">
        <v>1419</v>
      </c>
      <c r="G531" s="123" t="s">
        <v>312</v>
      </c>
      <c r="H531" s="124">
        <v>324</v>
      </c>
      <c r="I531" s="125">
        <v>0</v>
      </c>
      <c r="J531" s="125">
        <f>ROUND(I531*H531,2)</f>
        <v>0</v>
      </c>
      <c r="K531" s="122" t="s">
        <v>141</v>
      </c>
      <c r="L531" s="26"/>
      <c r="M531" s="126" t="s">
        <v>1</v>
      </c>
      <c r="N531" s="127" t="s">
        <v>46</v>
      </c>
      <c r="O531" s="128">
        <v>0</v>
      </c>
      <c r="P531" s="128">
        <f>O531*H531</f>
        <v>0</v>
      </c>
      <c r="Q531" s="128">
        <v>0</v>
      </c>
      <c r="R531" s="128">
        <f>Q531*H531</f>
        <v>0</v>
      </c>
      <c r="S531" s="128">
        <v>0</v>
      </c>
      <c r="T531" s="129">
        <f>S531*H531</f>
        <v>0</v>
      </c>
      <c r="AR531" s="130" t="s">
        <v>135</v>
      </c>
      <c r="AT531" s="130" t="s">
        <v>137</v>
      </c>
      <c r="AU531" s="130" t="s">
        <v>19</v>
      </c>
      <c r="AY531" s="14" t="s">
        <v>136</v>
      </c>
      <c r="BE531" s="131">
        <f>IF(N531="základní",J531,0)</f>
        <v>0</v>
      </c>
      <c r="BF531" s="131">
        <f>IF(N531="snížená",J531,0)</f>
        <v>0</v>
      </c>
      <c r="BG531" s="131">
        <f>IF(N531="zákl. přenesená",J531,0)</f>
        <v>0</v>
      </c>
      <c r="BH531" s="131">
        <f>IF(N531="sníž. přenesená",J531,0)</f>
        <v>0</v>
      </c>
      <c r="BI531" s="131">
        <f>IF(N531="nulová",J531,0)</f>
        <v>0</v>
      </c>
      <c r="BJ531" s="14" t="s">
        <v>19</v>
      </c>
      <c r="BK531" s="131">
        <f>ROUND(I531*H531,2)</f>
        <v>0</v>
      </c>
      <c r="BL531" s="14" t="s">
        <v>135</v>
      </c>
      <c r="BM531" s="130" t="s">
        <v>1429</v>
      </c>
    </row>
    <row r="532" spans="2:65" s="1" customFormat="1">
      <c r="B532" s="26"/>
      <c r="D532" s="132" t="s">
        <v>143</v>
      </c>
      <c r="F532" s="133" t="s">
        <v>1419</v>
      </c>
      <c r="L532" s="26"/>
      <c r="M532" s="134"/>
      <c r="T532" s="50"/>
      <c r="AT532" s="14" t="s">
        <v>143</v>
      </c>
      <c r="AU532" s="14" t="s">
        <v>19</v>
      </c>
    </row>
    <row r="533" spans="2:65" s="1" customFormat="1" ht="38.4">
      <c r="B533" s="26"/>
      <c r="D533" s="132" t="s">
        <v>145</v>
      </c>
      <c r="F533" s="135" t="s">
        <v>1421</v>
      </c>
      <c r="L533" s="26"/>
      <c r="M533" s="134"/>
      <c r="T533" s="50"/>
      <c r="AT533" s="14" t="s">
        <v>145</v>
      </c>
      <c r="AU533" s="14" t="s">
        <v>19</v>
      </c>
    </row>
    <row r="534" spans="2:65" s="11" customFormat="1">
      <c r="B534" s="136"/>
      <c r="D534" s="132" t="s">
        <v>147</v>
      </c>
      <c r="E534" s="137" t="s">
        <v>1430</v>
      </c>
      <c r="F534" s="138" t="s">
        <v>1431</v>
      </c>
      <c r="H534" s="139">
        <v>324</v>
      </c>
      <c r="L534" s="136"/>
      <c r="M534" s="140"/>
      <c r="T534" s="141"/>
      <c r="AT534" s="137" t="s">
        <v>147</v>
      </c>
      <c r="AU534" s="137" t="s">
        <v>19</v>
      </c>
      <c r="AV534" s="11" t="s">
        <v>149</v>
      </c>
      <c r="AW534" s="11" t="s">
        <v>39</v>
      </c>
      <c r="AX534" s="11" t="s">
        <v>19</v>
      </c>
      <c r="AY534" s="137" t="s">
        <v>136</v>
      </c>
    </row>
    <row r="535" spans="2:65" s="10" customFormat="1" ht="25.95" customHeight="1">
      <c r="B535" s="110"/>
      <c r="D535" s="111" t="s">
        <v>80</v>
      </c>
      <c r="E535" s="112" t="s">
        <v>197</v>
      </c>
      <c r="F535" s="112" t="s">
        <v>698</v>
      </c>
      <c r="J535" s="113">
        <f>BK535</f>
        <v>0</v>
      </c>
      <c r="L535" s="110"/>
      <c r="M535" s="114"/>
      <c r="P535" s="115">
        <f>SUM(P536:P624)</f>
        <v>0</v>
      </c>
      <c r="R535" s="115">
        <f>SUM(R536:R624)</f>
        <v>0</v>
      </c>
      <c r="T535" s="116">
        <f>SUM(T536:T624)</f>
        <v>0</v>
      </c>
      <c r="AR535" s="111" t="s">
        <v>135</v>
      </c>
      <c r="AT535" s="117" t="s">
        <v>80</v>
      </c>
      <c r="AU535" s="117" t="s">
        <v>81</v>
      </c>
      <c r="AY535" s="111" t="s">
        <v>136</v>
      </c>
      <c r="BK535" s="118">
        <f>SUM(BK536:BK624)</f>
        <v>0</v>
      </c>
    </row>
    <row r="536" spans="2:65" s="1" customFormat="1" ht="24.15" customHeight="1">
      <c r="B536" s="119"/>
      <c r="C536" s="120" t="s">
        <v>1432</v>
      </c>
      <c r="D536" s="120" t="s">
        <v>137</v>
      </c>
      <c r="E536" s="121" t="s">
        <v>726</v>
      </c>
      <c r="F536" s="122" t="s">
        <v>727</v>
      </c>
      <c r="G536" s="123" t="s">
        <v>312</v>
      </c>
      <c r="H536" s="124">
        <v>262</v>
      </c>
      <c r="I536" s="125">
        <v>0</v>
      </c>
      <c r="J536" s="125">
        <f>ROUND(I536*H536,2)</f>
        <v>0</v>
      </c>
      <c r="K536" s="122" t="s">
        <v>141</v>
      </c>
      <c r="L536" s="26"/>
      <c r="M536" s="126" t="s">
        <v>1</v>
      </c>
      <c r="N536" s="127" t="s">
        <v>46</v>
      </c>
      <c r="O536" s="128">
        <v>0</v>
      </c>
      <c r="P536" s="128">
        <f>O536*H536</f>
        <v>0</v>
      </c>
      <c r="Q536" s="128">
        <v>0</v>
      </c>
      <c r="R536" s="128">
        <f>Q536*H536</f>
        <v>0</v>
      </c>
      <c r="S536" s="128">
        <v>0</v>
      </c>
      <c r="T536" s="129">
        <f>S536*H536</f>
        <v>0</v>
      </c>
      <c r="AR536" s="130" t="s">
        <v>135</v>
      </c>
      <c r="AT536" s="130" t="s">
        <v>137</v>
      </c>
      <c r="AU536" s="130" t="s">
        <v>19</v>
      </c>
      <c r="AY536" s="14" t="s">
        <v>136</v>
      </c>
      <c r="BE536" s="131">
        <f>IF(N536="základní",J536,0)</f>
        <v>0</v>
      </c>
      <c r="BF536" s="131">
        <f>IF(N536="snížená",J536,0)</f>
        <v>0</v>
      </c>
      <c r="BG536" s="131">
        <f>IF(N536="zákl. přenesená",J536,0)</f>
        <v>0</v>
      </c>
      <c r="BH536" s="131">
        <f>IF(N536="sníž. přenesená",J536,0)</f>
        <v>0</v>
      </c>
      <c r="BI536" s="131">
        <f>IF(N536="nulová",J536,0)</f>
        <v>0</v>
      </c>
      <c r="BJ536" s="14" t="s">
        <v>19</v>
      </c>
      <c r="BK536" s="131">
        <f>ROUND(I536*H536,2)</f>
        <v>0</v>
      </c>
      <c r="BL536" s="14" t="s">
        <v>135</v>
      </c>
      <c r="BM536" s="130" t="s">
        <v>1433</v>
      </c>
    </row>
    <row r="537" spans="2:65" s="1" customFormat="1">
      <c r="B537" s="26"/>
      <c r="D537" s="132" t="s">
        <v>143</v>
      </c>
      <c r="F537" s="133" t="s">
        <v>729</v>
      </c>
      <c r="L537" s="26"/>
      <c r="M537" s="134"/>
      <c r="T537" s="50"/>
      <c r="AT537" s="14" t="s">
        <v>143</v>
      </c>
      <c r="AU537" s="14" t="s">
        <v>19</v>
      </c>
    </row>
    <row r="538" spans="2:65" s="1" customFormat="1" ht="48">
      <c r="B538" s="26"/>
      <c r="D538" s="132" t="s">
        <v>145</v>
      </c>
      <c r="F538" s="135" t="s">
        <v>704</v>
      </c>
      <c r="L538" s="26"/>
      <c r="M538" s="134"/>
      <c r="T538" s="50"/>
      <c r="AT538" s="14" t="s">
        <v>145</v>
      </c>
      <c r="AU538" s="14" t="s">
        <v>19</v>
      </c>
    </row>
    <row r="539" spans="2:65" s="11" customFormat="1">
      <c r="B539" s="136"/>
      <c r="D539" s="132" t="s">
        <v>147</v>
      </c>
      <c r="E539" s="137" t="s">
        <v>1434</v>
      </c>
      <c r="F539" s="138" t="s">
        <v>1435</v>
      </c>
      <c r="H539" s="139">
        <v>262</v>
      </c>
      <c r="L539" s="136"/>
      <c r="M539" s="140"/>
      <c r="T539" s="141"/>
      <c r="AT539" s="137" t="s">
        <v>147</v>
      </c>
      <c r="AU539" s="137" t="s">
        <v>19</v>
      </c>
      <c r="AV539" s="11" t="s">
        <v>149</v>
      </c>
      <c r="AW539" s="11" t="s">
        <v>39</v>
      </c>
      <c r="AX539" s="11" t="s">
        <v>19</v>
      </c>
      <c r="AY539" s="137" t="s">
        <v>136</v>
      </c>
    </row>
    <row r="540" spans="2:65" s="1" customFormat="1" ht="24.15" customHeight="1">
      <c r="B540" s="119"/>
      <c r="C540" s="120" t="s">
        <v>1436</v>
      </c>
      <c r="D540" s="120" t="s">
        <v>137</v>
      </c>
      <c r="E540" s="121" t="s">
        <v>739</v>
      </c>
      <c r="F540" s="122" t="s">
        <v>740</v>
      </c>
      <c r="G540" s="123" t="s">
        <v>312</v>
      </c>
      <c r="H540" s="124">
        <v>262</v>
      </c>
      <c r="I540" s="125">
        <v>0</v>
      </c>
      <c r="J540" s="125">
        <f>ROUND(I540*H540,2)</f>
        <v>0</v>
      </c>
      <c r="K540" s="122" t="s">
        <v>141</v>
      </c>
      <c r="L540" s="26"/>
      <c r="M540" s="126" t="s">
        <v>1</v>
      </c>
      <c r="N540" s="127" t="s">
        <v>46</v>
      </c>
      <c r="O540" s="128">
        <v>0</v>
      </c>
      <c r="P540" s="128">
        <f>O540*H540</f>
        <v>0</v>
      </c>
      <c r="Q540" s="128">
        <v>0</v>
      </c>
      <c r="R540" s="128">
        <f>Q540*H540</f>
        <v>0</v>
      </c>
      <c r="S540" s="128">
        <v>0</v>
      </c>
      <c r="T540" s="129">
        <f>S540*H540</f>
        <v>0</v>
      </c>
      <c r="AR540" s="130" t="s">
        <v>135</v>
      </c>
      <c r="AT540" s="130" t="s">
        <v>137</v>
      </c>
      <c r="AU540" s="130" t="s">
        <v>19</v>
      </c>
      <c r="AY540" s="14" t="s">
        <v>136</v>
      </c>
      <c r="BE540" s="131">
        <f>IF(N540="základní",J540,0)</f>
        <v>0</v>
      </c>
      <c r="BF540" s="131">
        <f>IF(N540="snížená",J540,0)</f>
        <v>0</v>
      </c>
      <c r="BG540" s="131">
        <f>IF(N540="zákl. přenesená",J540,0)</f>
        <v>0</v>
      </c>
      <c r="BH540" s="131">
        <f>IF(N540="sníž. přenesená",J540,0)</f>
        <v>0</v>
      </c>
      <c r="BI540" s="131">
        <f>IF(N540="nulová",J540,0)</f>
        <v>0</v>
      </c>
      <c r="BJ540" s="14" t="s">
        <v>19</v>
      </c>
      <c r="BK540" s="131">
        <f>ROUND(I540*H540,2)</f>
        <v>0</v>
      </c>
      <c r="BL540" s="14" t="s">
        <v>135</v>
      </c>
      <c r="BM540" s="130" t="s">
        <v>1437</v>
      </c>
    </row>
    <row r="541" spans="2:65" s="1" customFormat="1" ht="19.2">
      <c r="B541" s="26"/>
      <c r="D541" s="132" t="s">
        <v>143</v>
      </c>
      <c r="F541" s="133" t="s">
        <v>740</v>
      </c>
      <c r="L541" s="26"/>
      <c r="M541" s="134"/>
      <c r="T541" s="50"/>
      <c r="AT541" s="14" t="s">
        <v>143</v>
      </c>
      <c r="AU541" s="14" t="s">
        <v>19</v>
      </c>
    </row>
    <row r="542" spans="2:65" s="1" customFormat="1" ht="134.4">
      <c r="B542" s="26"/>
      <c r="D542" s="132" t="s">
        <v>145</v>
      </c>
      <c r="F542" s="135" t="s">
        <v>716</v>
      </c>
      <c r="L542" s="26"/>
      <c r="M542" s="134"/>
      <c r="T542" s="50"/>
      <c r="AT542" s="14" t="s">
        <v>145</v>
      </c>
      <c r="AU542" s="14" t="s">
        <v>19</v>
      </c>
    </row>
    <row r="543" spans="2:65" s="11" customFormat="1">
      <c r="B543" s="136"/>
      <c r="D543" s="132" t="s">
        <v>147</v>
      </c>
      <c r="E543" s="137" t="s">
        <v>1438</v>
      </c>
      <c r="F543" s="138" t="s">
        <v>1435</v>
      </c>
      <c r="H543" s="139">
        <v>262</v>
      </c>
      <c r="L543" s="136"/>
      <c r="M543" s="140"/>
      <c r="T543" s="141"/>
      <c r="AT543" s="137" t="s">
        <v>147</v>
      </c>
      <c r="AU543" s="137" t="s">
        <v>19</v>
      </c>
      <c r="AV543" s="11" t="s">
        <v>149</v>
      </c>
      <c r="AW543" s="11" t="s">
        <v>39</v>
      </c>
      <c r="AX543" s="11" t="s">
        <v>19</v>
      </c>
      <c r="AY543" s="137" t="s">
        <v>136</v>
      </c>
    </row>
    <row r="544" spans="2:65" s="1" customFormat="1" ht="24.15" customHeight="1">
      <c r="B544" s="119"/>
      <c r="C544" s="120" t="s">
        <v>1439</v>
      </c>
      <c r="D544" s="120" t="s">
        <v>137</v>
      </c>
      <c r="E544" s="121" t="s">
        <v>1440</v>
      </c>
      <c r="F544" s="122" t="s">
        <v>1441</v>
      </c>
      <c r="G544" s="123" t="s">
        <v>312</v>
      </c>
      <c r="H544" s="124">
        <v>64</v>
      </c>
      <c r="I544" s="125">
        <v>0</v>
      </c>
      <c r="J544" s="125">
        <f>ROUND(I544*H544,2)</f>
        <v>0</v>
      </c>
      <c r="K544" s="122" t="s">
        <v>141</v>
      </c>
      <c r="L544" s="26"/>
      <c r="M544" s="126" t="s">
        <v>1</v>
      </c>
      <c r="N544" s="127" t="s">
        <v>46</v>
      </c>
      <c r="O544" s="128">
        <v>0</v>
      </c>
      <c r="P544" s="128">
        <f>O544*H544</f>
        <v>0</v>
      </c>
      <c r="Q544" s="128">
        <v>0</v>
      </c>
      <c r="R544" s="128">
        <f>Q544*H544</f>
        <v>0</v>
      </c>
      <c r="S544" s="128">
        <v>0</v>
      </c>
      <c r="T544" s="129">
        <f>S544*H544</f>
        <v>0</v>
      </c>
      <c r="AR544" s="130" t="s">
        <v>135</v>
      </c>
      <c r="AT544" s="130" t="s">
        <v>137</v>
      </c>
      <c r="AU544" s="130" t="s">
        <v>19</v>
      </c>
      <c r="AY544" s="14" t="s">
        <v>136</v>
      </c>
      <c r="BE544" s="131">
        <f>IF(N544="základní",J544,0)</f>
        <v>0</v>
      </c>
      <c r="BF544" s="131">
        <f>IF(N544="snížená",J544,0)</f>
        <v>0</v>
      </c>
      <c r="BG544" s="131">
        <f>IF(N544="zákl. přenesená",J544,0)</f>
        <v>0</v>
      </c>
      <c r="BH544" s="131">
        <f>IF(N544="sníž. přenesená",J544,0)</f>
        <v>0</v>
      </c>
      <c r="BI544" s="131">
        <f>IF(N544="nulová",J544,0)</f>
        <v>0</v>
      </c>
      <c r="BJ544" s="14" t="s">
        <v>19</v>
      </c>
      <c r="BK544" s="131">
        <f>ROUND(I544*H544,2)</f>
        <v>0</v>
      </c>
      <c r="BL544" s="14" t="s">
        <v>135</v>
      </c>
      <c r="BM544" s="130" t="s">
        <v>1442</v>
      </c>
    </row>
    <row r="545" spans="2:65" s="1" customFormat="1" ht="19.2">
      <c r="B545" s="26"/>
      <c r="D545" s="132" t="s">
        <v>143</v>
      </c>
      <c r="F545" s="133" t="s">
        <v>1441</v>
      </c>
      <c r="L545" s="26"/>
      <c r="M545" s="134"/>
      <c r="T545" s="50"/>
      <c r="AT545" s="14" t="s">
        <v>143</v>
      </c>
      <c r="AU545" s="14" t="s">
        <v>19</v>
      </c>
    </row>
    <row r="546" spans="2:65" s="1" customFormat="1" ht="96">
      <c r="B546" s="26"/>
      <c r="D546" s="132" t="s">
        <v>145</v>
      </c>
      <c r="F546" s="135" t="s">
        <v>1443</v>
      </c>
      <c r="L546" s="26"/>
      <c r="M546" s="134"/>
      <c r="T546" s="50"/>
      <c r="AT546" s="14" t="s">
        <v>145</v>
      </c>
      <c r="AU546" s="14" t="s">
        <v>19</v>
      </c>
    </row>
    <row r="547" spans="2:65" s="11" customFormat="1">
      <c r="B547" s="136"/>
      <c r="D547" s="132" t="s">
        <v>147</v>
      </c>
      <c r="E547" s="137" t="s">
        <v>1444</v>
      </c>
      <c r="F547" s="138" t="s">
        <v>1445</v>
      </c>
      <c r="H547" s="139">
        <v>64</v>
      </c>
      <c r="L547" s="136"/>
      <c r="M547" s="140"/>
      <c r="T547" s="141"/>
      <c r="AT547" s="137" t="s">
        <v>147</v>
      </c>
      <c r="AU547" s="137" t="s">
        <v>19</v>
      </c>
      <c r="AV547" s="11" t="s">
        <v>149</v>
      </c>
      <c r="AW547" s="11" t="s">
        <v>39</v>
      </c>
      <c r="AX547" s="11" t="s">
        <v>19</v>
      </c>
      <c r="AY547" s="137" t="s">
        <v>136</v>
      </c>
    </row>
    <row r="548" spans="2:65" s="1" customFormat="1" ht="24.15" customHeight="1">
      <c r="B548" s="119"/>
      <c r="C548" s="120" t="s">
        <v>1446</v>
      </c>
      <c r="D548" s="120" t="s">
        <v>137</v>
      </c>
      <c r="E548" s="121" t="s">
        <v>759</v>
      </c>
      <c r="F548" s="122" t="s">
        <v>760</v>
      </c>
      <c r="G548" s="123" t="s">
        <v>152</v>
      </c>
      <c r="H548" s="124">
        <v>37</v>
      </c>
      <c r="I548" s="125">
        <v>0</v>
      </c>
      <c r="J548" s="125">
        <f>ROUND(I548*H548,2)</f>
        <v>0</v>
      </c>
      <c r="K548" s="122" t="s">
        <v>141</v>
      </c>
      <c r="L548" s="26"/>
      <c r="M548" s="126" t="s">
        <v>1</v>
      </c>
      <c r="N548" s="127" t="s">
        <v>46</v>
      </c>
      <c r="O548" s="128">
        <v>0</v>
      </c>
      <c r="P548" s="128">
        <f>O548*H548</f>
        <v>0</v>
      </c>
      <c r="Q548" s="128">
        <v>0</v>
      </c>
      <c r="R548" s="128">
        <f>Q548*H548</f>
        <v>0</v>
      </c>
      <c r="S548" s="128">
        <v>0</v>
      </c>
      <c r="T548" s="129">
        <f>S548*H548</f>
        <v>0</v>
      </c>
      <c r="AR548" s="130" t="s">
        <v>135</v>
      </c>
      <c r="AT548" s="130" t="s">
        <v>137</v>
      </c>
      <c r="AU548" s="130" t="s">
        <v>19</v>
      </c>
      <c r="AY548" s="14" t="s">
        <v>136</v>
      </c>
      <c r="BE548" s="131">
        <f>IF(N548="základní",J548,0)</f>
        <v>0</v>
      </c>
      <c r="BF548" s="131">
        <f>IF(N548="snížená",J548,0)</f>
        <v>0</v>
      </c>
      <c r="BG548" s="131">
        <f>IF(N548="zákl. přenesená",J548,0)</f>
        <v>0</v>
      </c>
      <c r="BH548" s="131">
        <f>IF(N548="sníž. přenesená",J548,0)</f>
        <v>0</v>
      </c>
      <c r="BI548" s="131">
        <f>IF(N548="nulová",J548,0)</f>
        <v>0</v>
      </c>
      <c r="BJ548" s="14" t="s">
        <v>19</v>
      </c>
      <c r="BK548" s="131">
        <f>ROUND(I548*H548,2)</f>
        <v>0</v>
      </c>
      <c r="BL548" s="14" t="s">
        <v>135</v>
      </c>
      <c r="BM548" s="130" t="s">
        <v>1447</v>
      </c>
    </row>
    <row r="549" spans="2:65" s="1" customFormat="1" ht="19.2">
      <c r="B549" s="26"/>
      <c r="D549" s="132" t="s">
        <v>143</v>
      </c>
      <c r="F549" s="133" t="s">
        <v>760</v>
      </c>
      <c r="L549" s="26"/>
      <c r="M549" s="134"/>
      <c r="T549" s="50"/>
      <c r="AT549" s="14" t="s">
        <v>143</v>
      </c>
      <c r="AU549" s="14" t="s">
        <v>19</v>
      </c>
    </row>
    <row r="550" spans="2:65" s="1" customFormat="1" ht="38.4">
      <c r="B550" s="26"/>
      <c r="D550" s="132" t="s">
        <v>145</v>
      </c>
      <c r="F550" s="135" t="s">
        <v>762</v>
      </c>
      <c r="L550" s="26"/>
      <c r="M550" s="134"/>
      <c r="T550" s="50"/>
      <c r="AT550" s="14" t="s">
        <v>145</v>
      </c>
      <c r="AU550" s="14" t="s">
        <v>19</v>
      </c>
    </row>
    <row r="551" spans="2:65" s="11" customFormat="1">
      <c r="B551" s="136"/>
      <c r="D551" s="132" t="s">
        <v>147</v>
      </c>
      <c r="E551" s="137" t="s">
        <v>1448</v>
      </c>
      <c r="F551" s="138" t="s">
        <v>1449</v>
      </c>
      <c r="H551" s="139">
        <v>36.700000000000003</v>
      </c>
      <c r="L551" s="136"/>
      <c r="M551" s="140"/>
      <c r="T551" s="141"/>
      <c r="AT551" s="137" t="s">
        <v>147</v>
      </c>
      <c r="AU551" s="137" t="s">
        <v>19</v>
      </c>
      <c r="AV551" s="11" t="s">
        <v>149</v>
      </c>
      <c r="AW551" s="11" t="s">
        <v>39</v>
      </c>
      <c r="AX551" s="11" t="s">
        <v>81</v>
      </c>
      <c r="AY551" s="137" t="s">
        <v>136</v>
      </c>
    </row>
    <row r="552" spans="2:65" s="11" customFormat="1">
      <c r="B552" s="136"/>
      <c r="D552" s="132" t="s">
        <v>147</v>
      </c>
      <c r="E552" s="137" t="s">
        <v>1450</v>
      </c>
      <c r="F552" s="138" t="s">
        <v>1451</v>
      </c>
      <c r="H552" s="139">
        <v>0.3</v>
      </c>
      <c r="L552" s="136"/>
      <c r="M552" s="140"/>
      <c r="T552" s="141"/>
      <c r="AT552" s="137" t="s">
        <v>147</v>
      </c>
      <c r="AU552" s="137" t="s">
        <v>19</v>
      </c>
      <c r="AV552" s="11" t="s">
        <v>149</v>
      </c>
      <c r="AW552" s="11" t="s">
        <v>39</v>
      </c>
      <c r="AX552" s="11" t="s">
        <v>81</v>
      </c>
      <c r="AY552" s="137" t="s">
        <v>136</v>
      </c>
    </row>
    <row r="553" spans="2:65" s="11" customFormat="1">
      <c r="B553" s="136"/>
      <c r="D553" s="132" t="s">
        <v>147</v>
      </c>
      <c r="E553" s="137" t="s">
        <v>1452</v>
      </c>
      <c r="F553" s="138" t="s">
        <v>1356</v>
      </c>
      <c r="H553" s="139">
        <v>37</v>
      </c>
      <c r="L553" s="136"/>
      <c r="M553" s="140"/>
      <c r="T553" s="141"/>
      <c r="AT553" s="137" t="s">
        <v>147</v>
      </c>
      <c r="AU553" s="137" t="s">
        <v>19</v>
      </c>
      <c r="AV553" s="11" t="s">
        <v>149</v>
      </c>
      <c r="AW553" s="11" t="s">
        <v>39</v>
      </c>
      <c r="AX553" s="11" t="s">
        <v>19</v>
      </c>
      <c r="AY553" s="137" t="s">
        <v>136</v>
      </c>
    </row>
    <row r="554" spans="2:65" s="1" customFormat="1" ht="37.950000000000003" customHeight="1">
      <c r="B554" s="119"/>
      <c r="C554" s="120" t="s">
        <v>1453</v>
      </c>
      <c r="D554" s="120" t="s">
        <v>137</v>
      </c>
      <c r="E554" s="121" t="s">
        <v>770</v>
      </c>
      <c r="F554" s="122" t="s">
        <v>771</v>
      </c>
      <c r="G554" s="123" t="s">
        <v>152</v>
      </c>
      <c r="H554" s="124">
        <v>13</v>
      </c>
      <c r="I554" s="125">
        <v>0</v>
      </c>
      <c r="J554" s="125">
        <f>ROUND(I554*H554,2)</f>
        <v>0</v>
      </c>
      <c r="K554" s="122" t="s">
        <v>1</v>
      </c>
      <c r="L554" s="26"/>
      <c r="M554" s="126" t="s">
        <v>1</v>
      </c>
      <c r="N554" s="127" t="s">
        <v>46</v>
      </c>
      <c r="O554" s="128">
        <v>0</v>
      </c>
      <c r="P554" s="128">
        <f>O554*H554</f>
        <v>0</v>
      </c>
      <c r="Q554" s="128">
        <v>0</v>
      </c>
      <c r="R554" s="128">
        <f>Q554*H554</f>
        <v>0</v>
      </c>
      <c r="S554" s="128">
        <v>0</v>
      </c>
      <c r="T554" s="129">
        <f>S554*H554</f>
        <v>0</v>
      </c>
      <c r="AR554" s="130" t="s">
        <v>135</v>
      </c>
      <c r="AT554" s="130" t="s">
        <v>137</v>
      </c>
      <c r="AU554" s="130" t="s">
        <v>19</v>
      </c>
      <c r="AY554" s="14" t="s">
        <v>136</v>
      </c>
      <c r="BE554" s="131">
        <f>IF(N554="základní",J554,0)</f>
        <v>0</v>
      </c>
      <c r="BF554" s="131">
        <f>IF(N554="snížená",J554,0)</f>
        <v>0</v>
      </c>
      <c r="BG554" s="131">
        <f>IF(N554="zákl. přenesená",J554,0)</f>
        <v>0</v>
      </c>
      <c r="BH554" s="131">
        <f>IF(N554="sníž. přenesená",J554,0)</f>
        <v>0</v>
      </c>
      <c r="BI554" s="131">
        <f>IF(N554="nulová",J554,0)</f>
        <v>0</v>
      </c>
      <c r="BJ554" s="14" t="s">
        <v>19</v>
      </c>
      <c r="BK554" s="131">
        <f>ROUND(I554*H554,2)</f>
        <v>0</v>
      </c>
      <c r="BL554" s="14" t="s">
        <v>135</v>
      </c>
      <c r="BM554" s="130" t="s">
        <v>1454</v>
      </c>
    </row>
    <row r="555" spans="2:65" s="1" customFormat="1" ht="28.8">
      <c r="B555" s="26"/>
      <c r="D555" s="132" t="s">
        <v>143</v>
      </c>
      <c r="F555" s="133" t="s">
        <v>773</v>
      </c>
      <c r="L555" s="26"/>
      <c r="M555" s="134"/>
      <c r="T555" s="50"/>
      <c r="AT555" s="14" t="s">
        <v>143</v>
      </c>
      <c r="AU555" s="14" t="s">
        <v>19</v>
      </c>
    </row>
    <row r="556" spans="2:65" s="1" customFormat="1" ht="48">
      <c r="B556" s="26"/>
      <c r="D556" s="132" t="s">
        <v>145</v>
      </c>
      <c r="F556" s="135" t="s">
        <v>751</v>
      </c>
      <c r="L556" s="26"/>
      <c r="M556" s="134"/>
      <c r="T556" s="50"/>
      <c r="AT556" s="14" t="s">
        <v>145</v>
      </c>
      <c r="AU556" s="14" t="s">
        <v>19</v>
      </c>
    </row>
    <row r="557" spans="2:65" s="11" customFormat="1">
      <c r="B557" s="136"/>
      <c r="D557" s="132" t="s">
        <v>147</v>
      </c>
      <c r="E557" s="137" t="s">
        <v>1455</v>
      </c>
      <c r="F557" s="138" t="s">
        <v>1456</v>
      </c>
      <c r="H557" s="139">
        <v>13.1</v>
      </c>
      <c r="L557" s="136"/>
      <c r="M557" s="140"/>
      <c r="T557" s="141"/>
      <c r="AT557" s="137" t="s">
        <v>147</v>
      </c>
      <c r="AU557" s="137" t="s">
        <v>19</v>
      </c>
      <c r="AV557" s="11" t="s">
        <v>149</v>
      </c>
      <c r="AW557" s="11" t="s">
        <v>39</v>
      </c>
      <c r="AX557" s="11" t="s">
        <v>81</v>
      </c>
      <c r="AY557" s="137" t="s">
        <v>136</v>
      </c>
    </row>
    <row r="558" spans="2:65" s="11" customFormat="1">
      <c r="B558" s="136"/>
      <c r="D558" s="132" t="s">
        <v>147</v>
      </c>
      <c r="E558" s="137" t="s">
        <v>1457</v>
      </c>
      <c r="F558" s="138" t="s">
        <v>1458</v>
      </c>
      <c r="H558" s="139">
        <v>-0.1</v>
      </c>
      <c r="L558" s="136"/>
      <c r="M558" s="140"/>
      <c r="T558" s="141"/>
      <c r="AT558" s="137" t="s">
        <v>147</v>
      </c>
      <c r="AU558" s="137" t="s">
        <v>19</v>
      </c>
      <c r="AV558" s="11" t="s">
        <v>149</v>
      </c>
      <c r="AW558" s="11" t="s">
        <v>39</v>
      </c>
      <c r="AX558" s="11" t="s">
        <v>81</v>
      </c>
      <c r="AY558" s="137" t="s">
        <v>136</v>
      </c>
    </row>
    <row r="559" spans="2:65" s="11" customFormat="1">
      <c r="B559" s="136"/>
      <c r="D559" s="132" t="s">
        <v>147</v>
      </c>
      <c r="E559" s="137" t="s">
        <v>1459</v>
      </c>
      <c r="F559" s="138" t="s">
        <v>1460</v>
      </c>
      <c r="H559" s="139">
        <v>13</v>
      </c>
      <c r="L559" s="136"/>
      <c r="M559" s="140"/>
      <c r="T559" s="141"/>
      <c r="AT559" s="137" t="s">
        <v>147</v>
      </c>
      <c r="AU559" s="137" t="s">
        <v>19</v>
      </c>
      <c r="AV559" s="11" t="s">
        <v>149</v>
      </c>
      <c r="AW559" s="11" t="s">
        <v>39</v>
      </c>
      <c r="AX559" s="11" t="s">
        <v>19</v>
      </c>
      <c r="AY559" s="137" t="s">
        <v>136</v>
      </c>
    </row>
    <row r="560" spans="2:65" s="1" customFormat="1" ht="24.15" customHeight="1">
      <c r="B560" s="119"/>
      <c r="C560" s="120" t="s">
        <v>1461</v>
      </c>
      <c r="D560" s="120" t="s">
        <v>137</v>
      </c>
      <c r="E560" s="121" t="s">
        <v>1462</v>
      </c>
      <c r="F560" s="122" t="s">
        <v>1463</v>
      </c>
      <c r="G560" s="123" t="s">
        <v>312</v>
      </c>
      <c r="H560" s="124">
        <v>342</v>
      </c>
      <c r="I560" s="125">
        <v>0</v>
      </c>
      <c r="J560" s="125">
        <f>ROUND(I560*H560,2)</f>
        <v>0</v>
      </c>
      <c r="K560" s="122" t="s">
        <v>141</v>
      </c>
      <c r="L560" s="26"/>
      <c r="M560" s="126" t="s">
        <v>1</v>
      </c>
      <c r="N560" s="127" t="s">
        <v>46</v>
      </c>
      <c r="O560" s="128">
        <v>0</v>
      </c>
      <c r="P560" s="128">
        <f>O560*H560</f>
        <v>0</v>
      </c>
      <c r="Q560" s="128">
        <v>0</v>
      </c>
      <c r="R560" s="128">
        <f>Q560*H560</f>
        <v>0</v>
      </c>
      <c r="S560" s="128">
        <v>0</v>
      </c>
      <c r="T560" s="129">
        <f>S560*H560</f>
        <v>0</v>
      </c>
      <c r="AR560" s="130" t="s">
        <v>135</v>
      </c>
      <c r="AT560" s="130" t="s">
        <v>137</v>
      </c>
      <c r="AU560" s="130" t="s">
        <v>19</v>
      </c>
      <c r="AY560" s="14" t="s">
        <v>136</v>
      </c>
      <c r="BE560" s="131">
        <f>IF(N560="základní",J560,0)</f>
        <v>0</v>
      </c>
      <c r="BF560" s="131">
        <f>IF(N560="snížená",J560,0)</f>
        <v>0</v>
      </c>
      <c r="BG560" s="131">
        <f>IF(N560="zákl. přenesená",J560,0)</f>
        <v>0</v>
      </c>
      <c r="BH560" s="131">
        <f>IF(N560="sníž. přenesená",J560,0)</f>
        <v>0</v>
      </c>
      <c r="BI560" s="131">
        <f>IF(N560="nulová",J560,0)</f>
        <v>0</v>
      </c>
      <c r="BJ560" s="14" t="s">
        <v>19</v>
      </c>
      <c r="BK560" s="131">
        <f>ROUND(I560*H560,2)</f>
        <v>0</v>
      </c>
      <c r="BL560" s="14" t="s">
        <v>135</v>
      </c>
      <c r="BM560" s="130" t="s">
        <v>1464</v>
      </c>
    </row>
    <row r="561" spans="2:65" s="1" customFormat="1" ht="19.2">
      <c r="B561" s="26"/>
      <c r="D561" s="132" t="s">
        <v>143</v>
      </c>
      <c r="F561" s="133" t="s">
        <v>1463</v>
      </c>
      <c r="L561" s="26"/>
      <c r="M561" s="134"/>
      <c r="T561" s="50"/>
      <c r="AT561" s="14" t="s">
        <v>143</v>
      </c>
      <c r="AU561" s="14" t="s">
        <v>19</v>
      </c>
    </row>
    <row r="562" spans="2:65" s="1" customFormat="1" ht="48">
      <c r="B562" s="26"/>
      <c r="D562" s="132" t="s">
        <v>145</v>
      </c>
      <c r="F562" s="135" t="s">
        <v>795</v>
      </c>
      <c r="L562" s="26"/>
      <c r="M562" s="134"/>
      <c r="T562" s="50"/>
      <c r="AT562" s="14" t="s">
        <v>145</v>
      </c>
      <c r="AU562" s="14" t="s">
        <v>19</v>
      </c>
    </row>
    <row r="563" spans="2:65" s="11" customFormat="1">
      <c r="B563" s="136"/>
      <c r="D563" s="132" t="s">
        <v>147</v>
      </c>
      <c r="E563" s="137" t="s">
        <v>1465</v>
      </c>
      <c r="F563" s="138" t="s">
        <v>1466</v>
      </c>
      <c r="H563" s="139">
        <v>342</v>
      </c>
      <c r="L563" s="136"/>
      <c r="M563" s="140"/>
      <c r="T563" s="141"/>
      <c r="AT563" s="137" t="s">
        <v>147</v>
      </c>
      <c r="AU563" s="137" t="s">
        <v>19</v>
      </c>
      <c r="AV563" s="11" t="s">
        <v>149</v>
      </c>
      <c r="AW563" s="11" t="s">
        <v>39</v>
      </c>
      <c r="AX563" s="11" t="s">
        <v>19</v>
      </c>
      <c r="AY563" s="137" t="s">
        <v>136</v>
      </c>
    </row>
    <row r="564" spans="2:65" s="1" customFormat="1" ht="24.15" customHeight="1">
      <c r="B564" s="119"/>
      <c r="C564" s="120" t="s">
        <v>1467</v>
      </c>
      <c r="D564" s="120" t="s">
        <v>137</v>
      </c>
      <c r="E564" s="121" t="s">
        <v>792</v>
      </c>
      <c r="F564" s="122" t="s">
        <v>793</v>
      </c>
      <c r="G564" s="123" t="s">
        <v>312</v>
      </c>
      <c r="H564" s="124">
        <v>2888</v>
      </c>
      <c r="I564" s="125">
        <v>0</v>
      </c>
      <c r="J564" s="125">
        <f>ROUND(I564*H564,2)</f>
        <v>0</v>
      </c>
      <c r="K564" s="122" t="s">
        <v>141</v>
      </c>
      <c r="L564" s="26"/>
      <c r="M564" s="126" t="s">
        <v>1</v>
      </c>
      <c r="N564" s="127" t="s">
        <v>46</v>
      </c>
      <c r="O564" s="128">
        <v>0</v>
      </c>
      <c r="P564" s="128">
        <f>O564*H564</f>
        <v>0</v>
      </c>
      <c r="Q564" s="128">
        <v>0</v>
      </c>
      <c r="R564" s="128">
        <f>Q564*H564</f>
        <v>0</v>
      </c>
      <c r="S564" s="128">
        <v>0</v>
      </c>
      <c r="T564" s="129">
        <f>S564*H564</f>
        <v>0</v>
      </c>
      <c r="AR564" s="130" t="s">
        <v>135</v>
      </c>
      <c r="AT564" s="130" t="s">
        <v>137</v>
      </c>
      <c r="AU564" s="130" t="s">
        <v>19</v>
      </c>
      <c r="AY564" s="14" t="s">
        <v>136</v>
      </c>
      <c r="BE564" s="131">
        <f>IF(N564="základní",J564,0)</f>
        <v>0</v>
      </c>
      <c r="BF564" s="131">
        <f>IF(N564="snížená",J564,0)</f>
        <v>0</v>
      </c>
      <c r="BG564" s="131">
        <f>IF(N564="zákl. přenesená",J564,0)</f>
        <v>0</v>
      </c>
      <c r="BH564" s="131">
        <f>IF(N564="sníž. přenesená",J564,0)</f>
        <v>0</v>
      </c>
      <c r="BI564" s="131">
        <f>IF(N564="nulová",J564,0)</f>
        <v>0</v>
      </c>
      <c r="BJ564" s="14" t="s">
        <v>19</v>
      </c>
      <c r="BK564" s="131">
        <f>ROUND(I564*H564,2)</f>
        <v>0</v>
      </c>
      <c r="BL564" s="14" t="s">
        <v>135</v>
      </c>
      <c r="BM564" s="130" t="s">
        <v>1468</v>
      </c>
    </row>
    <row r="565" spans="2:65" s="1" customFormat="1" ht="19.2">
      <c r="B565" s="26"/>
      <c r="D565" s="132" t="s">
        <v>143</v>
      </c>
      <c r="F565" s="133" t="s">
        <v>793</v>
      </c>
      <c r="L565" s="26"/>
      <c r="M565" s="134"/>
      <c r="T565" s="50"/>
      <c r="AT565" s="14" t="s">
        <v>143</v>
      </c>
      <c r="AU565" s="14" t="s">
        <v>19</v>
      </c>
    </row>
    <row r="566" spans="2:65" s="1" customFormat="1" ht="48">
      <c r="B566" s="26"/>
      <c r="D566" s="132" t="s">
        <v>145</v>
      </c>
      <c r="F566" s="135" t="s">
        <v>795</v>
      </c>
      <c r="L566" s="26"/>
      <c r="M566" s="134"/>
      <c r="T566" s="50"/>
      <c r="AT566" s="14" t="s">
        <v>145</v>
      </c>
      <c r="AU566" s="14" t="s">
        <v>19</v>
      </c>
    </row>
    <row r="567" spans="2:65" s="11" customFormat="1">
      <c r="B567" s="136"/>
      <c r="D567" s="132" t="s">
        <v>147</v>
      </c>
      <c r="E567" s="137" t="s">
        <v>1469</v>
      </c>
      <c r="F567" s="138" t="s">
        <v>1470</v>
      </c>
      <c r="H567" s="139">
        <v>2835</v>
      </c>
      <c r="L567" s="136"/>
      <c r="M567" s="140"/>
      <c r="T567" s="141"/>
      <c r="AT567" s="137" t="s">
        <v>147</v>
      </c>
      <c r="AU567" s="137" t="s">
        <v>19</v>
      </c>
      <c r="AV567" s="11" t="s">
        <v>149</v>
      </c>
      <c r="AW567" s="11" t="s">
        <v>39</v>
      </c>
      <c r="AX567" s="11" t="s">
        <v>81</v>
      </c>
      <c r="AY567" s="137" t="s">
        <v>136</v>
      </c>
    </row>
    <row r="568" spans="2:65" s="11" customFormat="1">
      <c r="B568" s="136"/>
      <c r="D568" s="132" t="s">
        <v>147</v>
      </c>
      <c r="E568" s="137" t="s">
        <v>1471</v>
      </c>
      <c r="F568" s="138" t="s">
        <v>1472</v>
      </c>
      <c r="H568" s="139">
        <v>53</v>
      </c>
      <c r="L568" s="136"/>
      <c r="M568" s="140"/>
      <c r="T568" s="141"/>
      <c r="AT568" s="137" t="s">
        <v>147</v>
      </c>
      <c r="AU568" s="137" t="s">
        <v>19</v>
      </c>
      <c r="AV568" s="11" t="s">
        <v>149</v>
      </c>
      <c r="AW568" s="11" t="s">
        <v>39</v>
      </c>
      <c r="AX568" s="11" t="s">
        <v>81</v>
      </c>
      <c r="AY568" s="137" t="s">
        <v>136</v>
      </c>
    </row>
    <row r="569" spans="2:65" s="11" customFormat="1">
      <c r="B569" s="136"/>
      <c r="D569" s="132" t="s">
        <v>147</v>
      </c>
      <c r="E569" s="137" t="s">
        <v>1473</v>
      </c>
      <c r="F569" s="138" t="s">
        <v>1474</v>
      </c>
      <c r="H569" s="139">
        <v>2888</v>
      </c>
      <c r="L569" s="136"/>
      <c r="M569" s="140"/>
      <c r="T569" s="141"/>
      <c r="AT569" s="137" t="s">
        <v>147</v>
      </c>
      <c r="AU569" s="137" t="s">
        <v>19</v>
      </c>
      <c r="AV569" s="11" t="s">
        <v>149</v>
      </c>
      <c r="AW569" s="11" t="s">
        <v>39</v>
      </c>
      <c r="AX569" s="11" t="s">
        <v>19</v>
      </c>
      <c r="AY569" s="137" t="s">
        <v>136</v>
      </c>
    </row>
    <row r="570" spans="2:65" s="1" customFormat="1" ht="16.5" customHeight="1">
      <c r="B570" s="119"/>
      <c r="C570" s="120" t="s">
        <v>1475</v>
      </c>
      <c r="D570" s="120" t="s">
        <v>137</v>
      </c>
      <c r="E570" s="121" t="s">
        <v>1476</v>
      </c>
      <c r="F570" s="122" t="s">
        <v>1477</v>
      </c>
      <c r="G570" s="123" t="s">
        <v>312</v>
      </c>
      <c r="H570" s="124">
        <v>42</v>
      </c>
      <c r="I570" s="125">
        <v>0</v>
      </c>
      <c r="J570" s="125">
        <f>ROUND(I570*H570,2)</f>
        <v>0</v>
      </c>
      <c r="K570" s="122" t="s">
        <v>141</v>
      </c>
      <c r="L570" s="26"/>
      <c r="M570" s="126" t="s">
        <v>1</v>
      </c>
      <c r="N570" s="127" t="s">
        <v>46</v>
      </c>
      <c r="O570" s="128">
        <v>0</v>
      </c>
      <c r="P570" s="128">
        <f>O570*H570</f>
        <v>0</v>
      </c>
      <c r="Q570" s="128">
        <v>0</v>
      </c>
      <c r="R570" s="128">
        <f>Q570*H570</f>
        <v>0</v>
      </c>
      <c r="S570" s="128">
        <v>0</v>
      </c>
      <c r="T570" s="129">
        <f>S570*H570</f>
        <v>0</v>
      </c>
      <c r="AR570" s="130" t="s">
        <v>135</v>
      </c>
      <c r="AT570" s="130" t="s">
        <v>137</v>
      </c>
      <c r="AU570" s="130" t="s">
        <v>19</v>
      </c>
      <c r="AY570" s="14" t="s">
        <v>136</v>
      </c>
      <c r="BE570" s="131">
        <f>IF(N570="základní",J570,0)</f>
        <v>0</v>
      </c>
      <c r="BF570" s="131">
        <f>IF(N570="snížená",J570,0)</f>
        <v>0</v>
      </c>
      <c r="BG570" s="131">
        <f>IF(N570="zákl. přenesená",J570,0)</f>
        <v>0</v>
      </c>
      <c r="BH570" s="131">
        <f>IF(N570="sníž. přenesená",J570,0)</f>
        <v>0</v>
      </c>
      <c r="BI570" s="131">
        <f>IF(N570="nulová",J570,0)</f>
        <v>0</v>
      </c>
      <c r="BJ570" s="14" t="s">
        <v>19</v>
      </c>
      <c r="BK570" s="131">
        <f>ROUND(I570*H570,2)</f>
        <v>0</v>
      </c>
      <c r="BL570" s="14" t="s">
        <v>135</v>
      </c>
      <c r="BM570" s="130" t="s">
        <v>1478</v>
      </c>
    </row>
    <row r="571" spans="2:65" s="1" customFormat="1">
      <c r="B571" s="26"/>
      <c r="D571" s="132" t="s">
        <v>143</v>
      </c>
      <c r="F571" s="133" t="s">
        <v>1477</v>
      </c>
      <c r="L571" s="26"/>
      <c r="M571" s="134"/>
      <c r="T571" s="50"/>
      <c r="AT571" s="14" t="s">
        <v>143</v>
      </c>
      <c r="AU571" s="14" t="s">
        <v>19</v>
      </c>
    </row>
    <row r="572" spans="2:65" s="1" customFormat="1" ht="48">
      <c r="B572" s="26"/>
      <c r="D572" s="132" t="s">
        <v>145</v>
      </c>
      <c r="F572" s="135" t="s">
        <v>795</v>
      </c>
      <c r="L572" s="26"/>
      <c r="M572" s="134"/>
      <c r="T572" s="50"/>
      <c r="AT572" s="14" t="s">
        <v>145</v>
      </c>
      <c r="AU572" s="14" t="s">
        <v>19</v>
      </c>
    </row>
    <row r="573" spans="2:65" s="11" customFormat="1">
      <c r="B573" s="136"/>
      <c r="D573" s="132" t="s">
        <v>147</v>
      </c>
      <c r="E573" s="137" t="s">
        <v>1479</v>
      </c>
      <c r="F573" s="138" t="s">
        <v>1480</v>
      </c>
      <c r="H573" s="139">
        <v>34.799999999999997</v>
      </c>
      <c r="L573" s="136"/>
      <c r="M573" s="140"/>
      <c r="T573" s="141"/>
      <c r="AT573" s="137" t="s">
        <v>147</v>
      </c>
      <c r="AU573" s="137" t="s">
        <v>19</v>
      </c>
      <c r="AV573" s="11" t="s">
        <v>149</v>
      </c>
      <c r="AW573" s="11" t="s">
        <v>39</v>
      </c>
      <c r="AX573" s="11" t="s">
        <v>81</v>
      </c>
      <c r="AY573" s="137" t="s">
        <v>136</v>
      </c>
    </row>
    <row r="574" spans="2:65" s="11" customFormat="1">
      <c r="B574" s="136"/>
      <c r="D574" s="132" t="s">
        <v>147</v>
      </c>
      <c r="E574" s="137" t="s">
        <v>1481</v>
      </c>
      <c r="F574" s="138" t="s">
        <v>1482</v>
      </c>
      <c r="H574" s="139">
        <v>7.1999999999999993</v>
      </c>
      <c r="L574" s="136"/>
      <c r="M574" s="140"/>
      <c r="T574" s="141"/>
      <c r="AT574" s="137" t="s">
        <v>147</v>
      </c>
      <c r="AU574" s="137" t="s">
        <v>19</v>
      </c>
      <c r="AV574" s="11" t="s">
        <v>149</v>
      </c>
      <c r="AW574" s="11" t="s">
        <v>39</v>
      </c>
      <c r="AX574" s="11" t="s">
        <v>81</v>
      </c>
      <c r="AY574" s="137" t="s">
        <v>136</v>
      </c>
    </row>
    <row r="575" spans="2:65" s="11" customFormat="1">
      <c r="B575" s="136"/>
      <c r="D575" s="132" t="s">
        <v>147</v>
      </c>
      <c r="E575" s="137" t="s">
        <v>1483</v>
      </c>
      <c r="F575" s="138" t="s">
        <v>1484</v>
      </c>
      <c r="H575" s="139">
        <v>42</v>
      </c>
      <c r="L575" s="136"/>
      <c r="M575" s="140"/>
      <c r="T575" s="141"/>
      <c r="AT575" s="137" t="s">
        <v>147</v>
      </c>
      <c r="AU575" s="137" t="s">
        <v>19</v>
      </c>
      <c r="AV575" s="11" t="s">
        <v>149</v>
      </c>
      <c r="AW575" s="11" t="s">
        <v>39</v>
      </c>
      <c r="AX575" s="11" t="s">
        <v>19</v>
      </c>
      <c r="AY575" s="137" t="s">
        <v>136</v>
      </c>
    </row>
    <row r="576" spans="2:65" s="1" customFormat="1" ht="16.5" customHeight="1">
      <c r="B576" s="119"/>
      <c r="C576" s="120" t="s">
        <v>1485</v>
      </c>
      <c r="D576" s="120" t="s">
        <v>137</v>
      </c>
      <c r="E576" s="121" t="s">
        <v>1486</v>
      </c>
      <c r="F576" s="122" t="s">
        <v>1487</v>
      </c>
      <c r="G576" s="123" t="s">
        <v>312</v>
      </c>
      <c r="H576" s="124">
        <v>2168</v>
      </c>
      <c r="I576" s="125">
        <v>0</v>
      </c>
      <c r="J576" s="125">
        <f>ROUND(I576*H576,2)</f>
        <v>0</v>
      </c>
      <c r="K576" s="122" t="s">
        <v>141</v>
      </c>
      <c r="L576" s="26"/>
      <c r="M576" s="126" t="s">
        <v>1</v>
      </c>
      <c r="N576" s="127" t="s">
        <v>46</v>
      </c>
      <c r="O576" s="128">
        <v>0</v>
      </c>
      <c r="P576" s="128">
        <f>O576*H576</f>
        <v>0</v>
      </c>
      <c r="Q576" s="128">
        <v>0</v>
      </c>
      <c r="R576" s="128">
        <f>Q576*H576</f>
        <v>0</v>
      </c>
      <c r="S576" s="128">
        <v>0</v>
      </c>
      <c r="T576" s="129">
        <f>S576*H576</f>
        <v>0</v>
      </c>
      <c r="AR576" s="130" t="s">
        <v>135</v>
      </c>
      <c r="AT576" s="130" t="s">
        <v>137</v>
      </c>
      <c r="AU576" s="130" t="s">
        <v>19</v>
      </c>
      <c r="AY576" s="14" t="s">
        <v>136</v>
      </c>
      <c r="BE576" s="131">
        <f>IF(N576="základní",J576,0)</f>
        <v>0</v>
      </c>
      <c r="BF576" s="131">
        <f>IF(N576="snížená",J576,0)</f>
        <v>0</v>
      </c>
      <c r="BG576" s="131">
        <f>IF(N576="zákl. přenesená",J576,0)</f>
        <v>0</v>
      </c>
      <c r="BH576" s="131">
        <f>IF(N576="sníž. přenesená",J576,0)</f>
        <v>0</v>
      </c>
      <c r="BI576" s="131">
        <f>IF(N576="nulová",J576,0)</f>
        <v>0</v>
      </c>
      <c r="BJ576" s="14" t="s">
        <v>19</v>
      </c>
      <c r="BK576" s="131">
        <f>ROUND(I576*H576,2)</f>
        <v>0</v>
      </c>
      <c r="BL576" s="14" t="s">
        <v>135</v>
      </c>
      <c r="BM576" s="130" t="s">
        <v>1488</v>
      </c>
    </row>
    <row r="577" spans="2:65" s="1" customFormat="1">
      <c r="B577" s="26"/>
      <c r="D577" s="132" t="s">
        <v>143</v>
      </c>
      <c r="F577" s="133" t="s">
        <v>1487</v>
      </c>
      <c r="L577" s="26"/>
      <c r="M577" s="134"/>
      <c r="T577" s="50"/>
      <c r="AT577" s="14" t="s">
        <v>143</v>
      </c>
      <c r="AU577" s="14" t="s">
        <v>19</v>
      </c>
    </row>
    <row r="578" spans="2:65" s="1" customFormat="1" ht="48">
      <c r="B578" s="26"/>
      <c r="D578" s="132" t="s">
        <v>145</v>
      </c>
      <c r="F578" s="135" t="s">
        <v>1489</v>
      </c>
      <c r="L578" s="26"/>
      <c r="M578" s="134"/>
      <c r="T578" s="50"/>
      <c r="AT578" s="14" t="s">
        <v>145</v>
      </c>
      <c r="AU578" s="14" t="s">
        <v>19</v>
      </c>
    </row>
    <row r="579" spans="2:65" s="11" customFormat="1">
      <c r="B579" s="136"/>
      <c r="D579" s="132" t="s">
        <v>147</v>
      </c>
      <c r="E579" s="137" t="s">
        <v>1490</v>
      </c>
      <c r="F579" s="138" t="s">
        <v>1491</v>
      </c>
      <c r="H579" s="139">
        <v>2168</v>
      </c>
      <c r="L579" s="136"/>
      <c r="M579" s="140"/>
      <c r="T579" s="141"/>
      <c r="AT579" s="137" t="s">
        <v>147</v>
      </c>
      <c r="AU579" s="137" t="s">
        <v>19</v>
      </c>
      <c r="AV579" s="11" t="s">
        <v>149</v>
      </c>
      <c r="AW579" s="11" t="s">
        <v>39</v>
      </c>
      <c r="AX579" s="11" t="s">
        <v>19</v>
      </c>
      <c r="AY579" s="137" t="s">
        <v>136</v>
      </c>
    </row>
    <row r="580" spans="2:65" s="1" customFormat="1" ht="24.15" customHeight="1">
      <c r="B580" s="119"/>
      <c r="C580" s="120" t="s">
        <v>1492</v>
      </c>
      <c r="D580" s="120" t="s">
        <v>137</v>
      </c>
      <c r="E580" s="121" t="s">
        <v>803</v>
      </c>
      <c r="F580" s="122" t="s">
        <v>804</v>
      </c>
      <c r="G580" s="123" t="s">
        <v>312</v>
      </c>
      <c r="H580" s="124">
        <v>3634</v>
      </c>
      <c r="I580" s="125">
        <v>0</v>
      </c>
      <c r="J580" s="125">
        <f>ROUND(I580*H580,2)</f>
        <v>0</v>
      </c>
      <c r="K580" s="122" t="s">
        <v>141</v>
      </c>
      <c r="L580" s="26"/>
      <c r="M580" s="126" t="s">
        <v>1</v>
      </c>
      <c r="N580" s="127" t="s">
        <v>46</v>
      </c>
      <c r="O580" s="128">
        <v>0</v>
      </c>
      <c r="P580" s="128">
        <f>O580*H580</f>
        <v>0</v>
      </c>
      <c r="Q580" s="128">
        <v>0</v>
      </c>
      <c r="R580" s="128">
        <f>Q580*H580</f>
        <v>0</v>
      </c>
      <c r="S580" s="128">
        <v>0</v>
      </c>
      <c r="T580" s="129">
        <f>S580*H580</f>
        <v>0</v>
      </c>
      <c r="AR580" s="130" t="s">
        <v>135</v>
      </c>
      <c r="AT580" s="130" t="s">
        <v>137</v>
      </c>
      <c r="AU580" s="130" t="s">
        <v>19</v>
      </c>
      <c r="AY580" s="14" t="s">
        <v>136</v>
      </c>
      <c r="BE580" s="131">
        <f>IF(N580="základní",J580,0)</f>
        <v>0</v>
      </c>
      <c r="BF580" s="131">
        <f>IF(N580="snížená",J580,0)</f>
        <v>0</v>
      </c>
      <c r="BG580" s="131">
        <f>IF(N580="zákl. přenesená",J580,0)</f>
        <v>0</v>
      </c>
      <c r="BH580" s="131">
        <f>IF(N580="sníž. přenesená",J580,0)</f>
        <v>0</v>
      </c>
      <c r="BI580" s="131">
        <f>IF(N580="nulová",J580,0)</f>
        <v>0</v>
      </c>
      <c r="BJ580" s="14" t="s">
        <v>19</v>
      </c>
      <c r="BK580" s="131">
        <f>ROUND(I580*H580,2)</f>
        <v>0</v>
      </c>
      <c r="BL580" s="14" t="s">
        <v>135</v>
      </c>
      <c r="BM580" s="130" t="s">
        <v>1493</v>
      </c>
    </row>
    <row r="581" spans="2:65" s="1" customFormat="1">
      <c r="B581" s="26"/>
      <c r="D581" s="132" t="s">
        <v>143</v>
      </c>
      <c r="F581" s="133" t="s">
        <v>804</v>
      </c>
      <c r="L581" s="26"/>
      <c r="M581" s="134"/>
      <c r="T581" s="50"/>
      <c r="AT581" s="14" t="s">
        <v>143</v>
      </c>
      <c r="AU581" s="14" t="s">
        <v>19</v>
      </c>
    </row>
    <row r="582" spans="2:65" s="1" customFormat="1" ht="28.8">
      <c r="B582" s="26"/>
      <c r="D582" s="132" t="s">
        <v>145</v>
      </c>
      <c r="F582" s="135" t="s">
        <v>806</v>
      </c>
      <c r="L582" s="26"/>
      <c r="M582" s="134"/>
      <c r="T582" s="50"/>
      <c r="AT582" s="14" t="s">
        <v>145</v>
      </c>
      <c r="AU582" s="14" t="s">
        <v>19</v>
      </c>
    </row>
    <row r="583" spans="2:65" s="11" customFormat="1">
      <c r="B583" s="136"/>
      <c r="D583" s="132" t="s">
        <v>147</v>
      </c>
      <c r="E583" s="137" t="s">
        <v>1494</v>
      </c>
      <c r="F583" s="138" t="s">
        <v>1495</v>
      </c>
      <c r="H583" s="139">
        <v>434</v>
      </c>
      <c r="L583" s="136"/>
      <c r="M583" s="140"/>
      <c r="T583" s="141"/>
      <c r="AT583" s="137" t="s">
        <v>147</v>
      </c>
      <c r="AU583" s="137" t="s">
        <v>19</v>
      </c>
      <c r="AV583" s="11" t="s">
        <v>149</v>
      </c>
      <c r="AW583" s="11" t="s">
        <v>39</v>
      </c>
      <c r="AX583" s="11" t="s">
        <v>81</v>
      </c>
      <c r="AY583" s="137" t="s">
        <v>136</v>
      </c>
    </row>
    <row r="584" spans="2:65" s="11" customFormat="1">
      <c r="B584" s="136"/>
      <c r="D584" s="132" t="s">
        <v>147</v>
      </c>
      <c r="E584" s="137" t="s">
        <v>1496</v>
      </c>
      <c r="F584" s="138" t="s">
        <v>1497</v>
      </c>
      <c r="H584" s="139">
        <v>124</v>
      </c>
      <c r="L584" s="136"/>
      <c r="M584" s="140"/>
      <c r="T584" s="141"/>
      <c r="AT584" s="137" t="s">
        <v>147</v>
      </c>
      <c r="AU584" s="137" t="s">
        <v>19</v>
      </c>
      <c r="AV584" s="11" t="s">
        <v>149</v>
      </c>
      <c r="AW584" s="11" t="s">
        <v>39</v>
      </c>
      <c r="AX584" s="11" t="s">
        <v>81</v>
      </c>
      <c r="AY584" s="137" t="s">
        <v>136</v>
      </c>
    </row>
    <row r="585" spans="2:65" s="11" customFormat="1">
      <c r="B585" s="136"/>
      <c r="D585" s="132" t="s">
        <v>147</v>
      </c>
      <c r="E585" s="137" t="s">
        <v>1498</v>
      </c>
      <c r="F585" s="138" t="s">
        <v>1499</v>
      </c>
      <c r="H585" s="139">
        <v>96</v>
      </c>
      <c r="L585" s="136"/>
      <c r="M585" s="140"/>
      <c r="T585" s="141"/>
      <c r="AT585" s="137" t="s">
        <v>147</v>
      </c>
      <c r="AU585" s="137" t="s">
        <v>19</v>
      </c>
      <c r="AV585" s="11" t="s">
        <v>149</v>
      </c>
      <c r="AW585" s="11" t="s">
        <v>39</v>
      </c>
      <c r="AX585" s="11" t="s">
        <v>81</v>
      </c>
      <c r="AY585" s="137" t="s">
        <v>136</v>
      </c>
    </row>
    <row r="586" spans="2:65" s="11" customFormat="1">
      <c r="B586" s="136"/>
      <c r="D586" s="132" t="s">
        <v>147</v>
      </c>
      <c r="E586" s="137" t="s">
        <v>1500</v>
      </c>
      <c r="F586" s="138" t="s">
        <v>1501</v>
      </c>
      <c r="H586" s="139">
        <v>2835</v>
      </c>
      <c r="L586" s="136"/>
      <c r="M586" s="140"/>
      <c r="T586" s="141"/>
      <c r="AT586" s="137" t="s">
        <v>147</v>
      </c>
      <c r="AU586" s="137" t="s">
        <v>19</v>
      </c>
      <c r="AV586" s="11" t="s">
        <v>149</v>
      </c>
      <c r="AW586" s="11" t="s">
        <v>39</v>
      </c>
      <c r="AX586" s="11" t="s">
        <v>81</v>
      </c>
      <c r="AY586" s="137" t="s">
        <v>136</v>
      </c>
    </row>
    <row r="587" spans="2:65" s="11" customFormat="1">
      <c r="B587" s="136"/>
      <c r="D587" s="132" t="s">
        <v>147</v>
      </c>
      <c r="E587" s="137" t="s">
        <v>1502</v>
      </c>
      <c r="F587" s="138" t="s">
        <v>1503</v>
      </c>
      <c r="H587" s="139">
        <v>145</v>
      </c>
      <c r="L587" s="136"/>
      <c r="M587" s="140"/>
      <c r="T587" s="141"/>
      <c r="AT587" s="137" t="s">
        <v>147</v>
      </c>
      <c r="AU587" s="137" t="s">
        <v>19</v>
      </c>
      <c r="AV587" s="11" t="s">
        <v>149</v>
      </c>
      <c r="AW587" s="11" t="s">
        <v>39</v>
      </c>
      <c r="AX587" s="11" t="s">
        <v>81</v>
      </c>
      <c r="AY587" s="137" t="s">
        <v>136</v>
      </c>
    </row>
    <row r="588" spans="2:65" s="11" customFormat="1">
      <c r="B588" s="136"/>
      <c r="D588" s="132" t="s">
        <v>147</v>
      </c>
      <c r="E588" s="137" t="s">
        <v>1504</v>
      </c>
      <c r="F588" s="138" t="s">
        <v>1505</v>
      </c>
      <c r="H588" s="139">
        <v>3634</v>
      </c>
      <c r="L588" s="136"/>
      <c r="M588" s="140"/>
      <c r="T588" s="141"/>
      <c r="AT588" s="137" t="s">
        <v>147</v>
      </c>
      <c r="AU588" s="137" t="s">
        <v>19</v>
      </c>
      <c r="AV588" s="11" t="s">
        <v>149</v>
      </c>
      <c r="AW588" s="11" t="s">
        <v>39</v>
      </c>
      <c r="AX588" s="11" t="s">
        <v>19</v>
      </c>
      <c r="AY588" s="137" t="s">
        <v>136</v>
      </c>
    </row>
    <row r="589" spans="2:65" s="1" customFormat="1" ht="24.15" customHeight="1">
      <c r="B589" s="119"/>
      <c r="C589" s="120" t="s">
        <v>1506</v>
      </c>
      <c r="D589" s="120" t="s">
        <v>137</v>
      </c>
      <c r="E589" s="121" t="s">
        <v>1507</v>
      </c>
      <c r="F589" s="122" t="s">
        <v>1508</v>
      </c>
      <c r="G589" s="123" t="s">
        <v>312</v>
      </c>
      <c r="H589" s="124">
        <v>3634</v>
      </c>
      <c r="I589" s="125">
        <v>0</v>
      </c>
      <c r="J589" s="125">
        <f>ROUND(I589*H589,2)</f>
        <v>0</v>
      </c>
      <c r="K589" s="122" t="s">
        <v>141</v>
      </c>
      <c r="L589" s="26"/>
      <c r="M589" s="126" t="s">
        <v>1</v>
      </c>
      <c r="N589" s="127" t="s">
        <v>46</v>
      </c>
      <c r="O589" s="128">
        <v>0</v>
      </c>
      <c r="P589" s="128">
        <f>O589*H589</f>
        <v>0</v>
      </c>
      <c r="Q589" s="128">
        <v>0</v>
      </c>
      <c r="R589" s="128">
        <f>Q589*H589</f>
        <v>0</v>
      </c>
      <c r="S589" s="128">
        <v>0</v>
      </c>
      <c r="T589" s="129">
        <f>S589*H589</f>
        <v>0</v>
      </c>
      <c r="AR589" s="130" t="s">
        <v>135</v>
      </c>
      <c r="AT589" s="130" t="s">
        <v>137</v>
      </c>
      <c r="AU589" s="130" t="s">
        <v>19</v>
      </c>
      <c r="AY589" s="14" t="s">
        <v>136</v>
      </c>
      <c r="BE589" s="131">
        <f>IF(N589="základní",J589,0)</f>
        <v>0</v>
      </c>
      <c r="BF589" s="131">
        <f>IF(N589="snížená",J589,0)</f>
        <v>0</v>
      </c>
      <c r="BG589" s="131">
        <f>IF(N589="zákl. přenesená",J589,0)</f>
        <v>0</v>
      </c>
      <c r="BH589" s="131">
        <f>IF(N589="sníž. přenesená",J589,0)</f>
        <v>0</v>
      </c>
      <c r="BI589" s="131">
        <f>IF(N589="nulová",J589,0)</f>
        <v>0</v>
      </c>
      <c r="BJ589" s="14" t="s">
        <v>19</v>
      </c>
      <c r="BK589" s="131">
        <f>ROUND(I589*H589,2)</f>
        <v>0</v>
      </c>
      <c r="BL589" s="14" t="s">
        <v>135</v>
      </c>
      <c r="BM589" s="130" t="s">
        <v>1509</v>
      </c>
    </row>
    <row r="590" spans="2:65" s="1" customFormat="1">
      <c r="B590" s="26"/>
      <c r="D590" s="132" t="s">
        <v>143</v>
      </c>
      <c r="F590" s="133" t="s">
        <v>1508</v>
      </c>
      <c r="L590" s="26"/>
      <c r="M590" s="134"/>
      <c r="T590" s="50"/>
      <c r="AT590" s="14" t="s">
        <v>143</v>
      </c>
      <c r="AU590" s="14" t="s">
        <v>19</v>
      </c>
    </row>
    <row r="591" spans="2:65" s="1" customFormat="1" ht="38.4">
      <c r="B591" s="26"/>
      <c r="D591" s="132" t="s">
        <v>145</v>
      </c>
      <c r="F591" s="135" t="s">
        <v>820</v>
      </c>
      <c r="L591" s="26"/>
      <c r="M591" s="134"/>
      <c r="T591" s="50"/>
      <c r="AT591" s="14" t="s">
        <v>145</v>
      </c>
      <c r="AU591" s="14" t="s">
        <v>19</v>
      </c>
    </row>
    <row r="592" spans="2:65" s="11" customFormat="1">
      <c r="B592" s="136"/>
      <c r="D592" s="132" t="s">
        <v>147</v>
      </c>
      <c r="E592" s="137" t="s">
        <v>1510</v>
      </c>
      <c r="F592" s="138" t="s">
        <v>1511</v>
      </c>
      <c r="H592" s="139">
        <v>3634</v>
      </c>
      <c r="L592" s="136"/>
      <c r="M592" s="140"/>
      <c r="T592" s="141"/>
      <c r="AT592" s="137" t="s">
        <v>147</v>
      </c>
      <c r="AU592" s="137" t="s">
        <v>19</v>
      </c>
      <c r="AV592" s="11" t="s">
        <v>149</v>
      </c>
      <c r="AW592" s="11" t="s">
        <v>39</v>
      </c>
      <c r="AX592" s="11" t="s">
        <v>19</v>
      </c>
      <c r="AY592" s="137" t="s">
        <v>136</v>
      </c>
    </row>
    <row r="593" spans="2:65" s="1" customFormat="1" ht="33" customHeight="1">
      <c r="B593" s="119"/>
      <c r="C593" s="120" t="s">
        <v>1512</v>
      </c>
      <c r="D593" s="120" t="s">
        <v>137</v>
      </c>
      <c r="E593" s="121" t="s">
        <v>1513</v>
      </c>
      <c r="F593" s="122" t="s">
        <v>1514</v>
      </c>
      <c r="G593" s="123" t="s">
        <v>312</v>
      </c>
      <c r="H593" s="124">
        <v>26</v>
      </c>
      <c r="I593" s="125">
        <v>0</v>
      </c>
      <c r="J593" s="125">
        <f>ROUND(I593*H593,2)</f>
        <v>0</v>
      </c>
      <c r="K593" s="122" t="s">
        <v>1</v>
      </c>
      <c r="L593" s="26"/>
      <c r="M593" s="126" t="s">
        <v>1</v>
      </c>
      <c r="N593" s="127" t="s">
        <v>46</v>
      </c>
      <c r="O593" s="128">
        <v>0</v>
      </c>
      <c r="P593" s="128">
        <f>O593*H593</f>
        <v>0</v>
      </c>
      <c r="Q593" s="128">
        <v>0</v>
      </c>
      <c r="R593" s="128">
        <f>Q593*H593</f>
        <v>0</v>
      </c>
      <c r="S593" s="128">
        <v>0</v>
      </c>
      <c r="T593" s="129">
        <f>S593*H593</f>
        <v>0</v>
      </c>
      <c r="AR593" s="130" t="s">
        <v>135</v>
      </c>
      <c r="AT593" s="130" t="s">
        <v>137</v>
      </c>
      <c r="AU593" s="130" t="s">
        <v>19</v>
      </c>
      <c r="AY593" s="14" t="s">
        <v>136</v>
      </c>
      <c r="BE593" s="131">
        <f>IF(N593="základní",J593,0)</f>
        <v>0</v>
      </c>
      <c r="BF593" s="131">
        <f>IF(N593="snížená",J593,0)</f>
        <v>0</v>
      </c>
      <c r="BG593" s="131">
        <f>IF(N593="zákl. přenesená",J593,0)</f>
        <v>0</v>
      </c>
      <c r="BH593" s="131">
        <f>IF(N593="sníž. přenesená",J593,0)</f>
        <v>0</v>
      </c>
      <c r="BI593" s="131">
        <f>IF(N593="nulová",J593,0)</f>
        <v>0</v>
      </c>
      <c r="BJ593" s="14" t="s">
        <v>19</v>
      </c>
      <c r="BK593" s="131">
        <f>ROUND(I593*H593,2)</f>
        <v>0</v>
      </c>
      <c r="BL593" s="14" t="s">
        <v>135</v>
      </c>
      <c r="BM593" s="130" t="s">
        <v>1515</v>
      </c>
    </row>
    <row r="594" spans="2:65" s="1" customFormat="1" ht="19.2">
      <c r="B594" s="26"/>
      <c r="D594" s="132" t="s">
        <v>143</v>
      </c>
      <c r="F594" s="133" t="s">
        <v>1514</v>
      </c>
      <c r="L594" s="26"/>
      <c r="M594" s="134"/>
      <c r="T594" s="50"/>
      <c r="AT594" s="14" t="s">
        <v>143</v>
      </c>
      <c r="AU594" s="14" t="s">
        <v>19</v>
      </c>
    </row>
    <row r="595" spans="2:65" s="1" customFormat="1" ht="86.4">
      <c r="B595" s="26"/>
      <c r="D595" s="132" t="s">
        <v>145</v>
      </c>
      <c r="F595" s="135" t="s">
        <v>1516</v>
      </c>
      <c r="L595" s="26"/>
      <c r="M595" s="134"/>
      <c r="T595" s="50"/>
      <c r="AT595" s="14" t="s">
        <v>145</v>
      </c>
      <c r="AU595" s="14" t="s">
        <v>19</v>
      </c>
    </row>
    <row r="596" spans="2:65" s="11" customFormat="1">
      <c r="B596" s="136"/>
      <c r="D596" s="132" t="s">
        <v>147</v>
      </c>
      <c r="E596" s="137" t="s">
        <v>1517</v>
      </c>
      <c r="F596" s="138" t="s">
        <v>1518</v>
      </c>
      <c r="H596" s="139">
        <v>26</v>
      </c>
      <c r="L596" s="136"/>
      <c r="M596" s="140"/>
      <c r="T596" s="141"/>
      <c r="AT596" s="137" t="s">
        <v>147</v>
      </c>
      <c r="AU596" s="137" t="s">
        <v>19</v>
      </c>
      <c r="AV596" s="11" t="s">
        <v>149</v>
      </c>
      <c r="AW596" s="11" t="s">
        <v>39</v>
      </c>
      <c r="AX596" s="11" t="s">
        <v>19</v>
      </c>
      <c r="AY596" s="137" t="s">
        <v>136</v>
      </c>
    </row>
    <row r="597" spans="2:65" s="1" customFormat="1" ht="33" customHeight="1">
      <c r="B597" s="119"/>
      <c r="C597" s="120" t="s">
        <v>1519</v>
      </c>
      <c r="D597" s="120" t="s">
        <v>137</v>
      </c>
      <c r="E597" s="121" t="s">
        <v>1520</v>
      </c>
      <c r="F597" s="122" t="s">
        <v>1521</v>
      </c>
      <c r="G597" s="123" t="s">
        <v>312</v>
      </c>
      <c r="H597" s="124">
        <v>38</v>
      </c>
      <c r="I597" s="125">
        <v>0</v>
      </c>
      <c r="J597" s="125">
        <f>ROUND(I597*H597,2)</f>
        <v>0</v>
      </c>
      <c r="K597" s="122" t="s">
        <v>1</v>
      </c>
      <c r="L597" s="26"/>
      <c r="M597" s="126" t="s">
        <v>1</v>
      </c>
      <c r="N597" s="127" t="s">
        <v>46</v>
      </c>
      <c r="O597" s="128">
        <v>0</v>
      </c>
      <c r="P597" s="128">
        <f>O597*H597</f>
        <v>0</v>
      </c>
      <c r="Q597" s="128">
        <v>0</v>
      </c>
      <c r="R597" s="128">
        <f>Q597*H597</f>
        <v>0</v>
      </c>
      <c r="S597" s="128">
        <v>0</v>
      </c>
      <c r="T597" s="129">
        <f>S597*H597</f>
        <v>0</v>
      </c>
      <c r="AR597" s="130" t="s">
        <v>135</v>
      </c>
      <c r="AT597" s="130" t="s">
        <v>137</v>
      </c>
      <c r="AU597" s="130" t="s">
        <v>19</v>
      </c>
      <c r="AY597" s="14" t="s">
        <v>136</v>
      </c>
      <c r="BE597" s="131">
        <f>IF(N597="základní",J597,0)</f>
        <v>0</v>
      </c>
      <c r="BF597" s="131">
        <f>IF(N597="snížená",J597,0)</f>
        <v>0</v>
      </c>
      <c r="BG597" s="131">
        <f>IF(N597="zákl. přenesená",J597,0)</f>
        <v>0</v>
      </c>
      <c r="BH597" s="131">
        <f>IF(N597="sníž. přenesená",J597,0)</f>
        <v>0</v>
      </c>
      <c r="BI597" s="131">
        <f>IF(N597="nulová",J597,0)</f>
        <v>0</v>
      </c>
      <c r="BJ597" s="14" t="s">
        <v>19</v>
      </c>
      <c r="BK597" s="131">
        <f>ROUND(I597*H597,2)</f>
        <v>0</v>
      </c>
      <c r="BL597" s="14" t="s">
        <v>135</v>
      </c>
      <c r="BM597" s="130" t="s">
        <v>1522</v>
      </c>
    </row>
    <row r="598" spans="2:65" s="1" customFormat="1" ht="19.2">
      <c r="B598" s="26"/>
      <c r="D598" s="132" t="s">
        <v>143</v>
      </c>
      <c r="F598" s="133" t="s">
        <v>1521</v>
      </c>
      <c r="L598" s="26"/>
      <c r="M598" s="134"/>
      <c r="T598" s="50"/>
      <c r="AT598" s="14" t="s">
        <v>143</v>
      </c>
      <c r="AU598" s="14" t="s">
        <v>19</v>
      </c>
    </row>
    <row r="599" spans="2:65" s="1" customFormat="1" ht="86.4">
      <c r="B599" s="26"/>
      <c r="D599" s="132" t="s">
        <v>145</v>
      </c>
      <c r="F599" s="135" t="s">
        <v>1516</v>
      </c>
      <c r="L599" s="26"/>
      <c r="M599" s="134"/>
      <c r="T599" s="50"/>
      <c r="AT599" s="14" t="s">
        <v>145</v>
      </c>
      <c r="AU599" s="14" t="s">
        <v>19</v>
      </c>
    </row>
    <row r="600" spans="2:65" s="11" customFormat="1">
      <c r="B600" s="136"/>
      <c r="D600" s="132" t="s">
        <v>147</v>
      </c>
      <c r="E600" s="137" t="s">
        <v>1523</v>
      </c>
      <c r="F600" s="138" t="s">
        <v>1524</v>
      </c>
      <c r="H600" s="139">
        <v>38</v>
      </c>
      <c r="L600" s="136"/>
      <c r="M600" s="140"/>
      <c r="T600" s="141"/>
      <c r="AT600" s="137" t="s">
        <v>147</v>
      </c>
      <c r="AU600" s="137" t="s">
        <v>19</v>
      </c>
      <c r="AV600" s="11" t="s">
        <v>149</v>
      </c>
      <c r="AW600" s="11" t="s">
        <v>39</v>
      </c>
      <c r="AX600" s="11" t="s">
        <v>19</v>
      </c>
      <c r="AY600" s="137" t="s">
        <v>136</v>
      </c>
    </row>
    <row r="601" spans="2:65" s="1" customFormat="1" ht="24.15" customHeight="1">
      <c r="B601" s="119"/>
      <c r="C601" s="120" t="s">
        <v>1525</v>
      </c>
      <c r="D601" s="120" t="s">
        <v>137</v>
      </c>
      <c r="E601" s="121" t="s">
        <v>824</v>
      </c>
      <c r="F601" s="122" t="s">
        <v>825</v>
      </c>
      <c r="G601" s="123" t="s">
        <v>312</v>
      </c>
      <c r="H601" s="124">
        <v>252</v>
      </c>
      <c r="I601" s="125">
        <v>0</v>
      </c>
      <c r="J601" s="125">
        <f>ROUND(I601*H601,2)</f>
        <v>0</v>
      </c>
      <c r="K601" s="122" t="s">
        <v>141</v>
      </c>
      <c r="L601" s="26"/>
      <c r="M601" s="126" t="s">
        <v>1</v>
      </c>
      <c r="N601" s="127" t="s">
        <v>46</v>
      </c>
      <c r="O601" s="128">
        <v>0</v>
      </c>
      <c r="P601" s="128">
        <f>O601*H601</f>
        <v>0</v>
      </c>
      <c r="Q601" s="128">
        <v>0</v>
      </c>
      <c r="R601" s="128">
        <f>Q601*H601</f>
        <v>0</v>
      </c>
      <c r="S601" s="128">
        <v>0</v>
      </c>
      <c r="T601" s="129">
        <f>S601*H601</f>
        <v>0</v>
      </c>
      <c r="AR601" s="130" t="s">
        <v>135</v>
      </c>
      <c r="AT601" s="130" t="s">
        <v>137</v>
      </c>
      <c r="AU601" s="130" t="s">
        <v>19</v>
      </c>
      <c r="AY601" s="14" t="s">
        <v>136</v>
      </c>
      <c r="BE601" s="131">
        <f>IF(N601="základní",J601,0)</f>
        <v>0</v>
      </c>
      <c r="BF601" s="131">
        <f>IF(N601="snížená",J601,0)</f>
        <v>0</v>
      </c>
      <c r="BG601" s="131">
        <f>IF(N601="zákl. přenesená",J601,0)</f>
        <v>0</v>
      </c>
      <c r="BH601" s="131">
        <f>IF(N601="sníž. přenesená",J601,0)</f>
        <v>0</v>
      </c>
      <c r="BI601" s="131">
        <f>IF(N601="nulová",J601,0)</f>
        <v>0</v>
      </c>
      <c r="BJ601" s="14" t="s">
        <v>19</v>
      </c>
      <c r="BK601" s="131">
        <f>ROUND(I601*H601,2)</f>
        <v>0</v>
      </c>
      <c r="BL601" s="14" t="s">
        <v>135</v>
      </c>
      <c r="BM601" s="130" t="s">
        <v>1526</v>
      </c>
    </row>
    <row r="602" spans="2:65" s="1" customFormat="1" ht="19.2">
      <c r="B602" s="26"/>
      <c r="D602" s="132" t="s">
        <v>143</v>
      </c>
      <c r="F602" s="133" t="s">
        <v>825</v>
      </c>
      <c r="L602" s="26"/>
      <c r="M602" s="134"/>
      <c r="T602" s="50"/>
      <c r="AT602" s="14" t="s">
        <v>143</v>
      </c>
      <c r="AU602" s="14" t="s">
        <v>19</v>
      </c>
    </row>
    <row r="603" spans="2:65" s="1" customFormat="1" ht="76.8">
      <c r="B603" s="26"/>
      <c r="D603" s="132" t="s">
        <v>145</v>
      </c>
      <c r="F603" s="135" t="s">
        <v>828</v>
      </c>
      <c r="L603" s="26"/>
      <c r="M603" s="134"/>
      <c r="T603" s="50"/>
      <c r="AT603" s="14" t="s">
        <v>145</v>
      </c>
      <c r="AU603" s="14" t="s">
        <v>19</v>
      </c>
    </row>
    <row r="604" spans="2:65" s="11" customFormat="1">
      <c r="B604" s="136"/>
      <c r="D604" s="132" t="s">
        <v>147</v>
      </c>
      <c r="E604" s="137" t="s">
        <v>1527</v>
      </c>
      <c r="F604" s="138" t="s">
        <v>1528</v>
      </c>
      <c r="H604" s="139">
        <v>252</v>
      </c>
      <c r="L604" s="136"/>
      <c r="M604" s="140"/>
      <c r="T604" s="141"/>
      <c r="AT604" s="137" t="s">
        <v>147</v>
      </c>
      <c r="AU604" s="137" t="s">
        <v>19</v>
      </c>
      <c r="AV604" s="11" t="s">
        <v>149</v>
      </c>
      <c r="AW604" s="11" t="s">
        <v>39</v>
      </c>
      <c r="AX604" s="11" t="s">
        <v>19</v>
      </c>
      <c r="AY604" s="137" t="s">
        <v>136</v>
      </c>
    </row>
    <row r="605" spans="2:65" s="1" customFormat="1" ht="24.15" customHeight="1">
      <c r="B605" s="119"/>
      <c r="C605" s="120" t="s">
        <v>1529</v>
      </c>
      <c r="D605" s="120" t="s">
        <v>137</v>
      </c>
      <c r="E605" s="121" t="s">
        <v>1530</v>
      </c>
      <c r="F605" s="122" t="s">
        <v>1531</v>
      </c>
      <c r="G605" s="123" t="s">
        <v>312</v>
      </c>
      <c r="H605" s="124">
        <v>32.5</v>
      </c>
      <c r="I605" s="125">
        <v>0</v>
      </c>
      <c r="J605" s="125">
        <f>ROUND(I605*H605,2)</f>
        <v>0</v>
      </c>
      <c r="K605" s="122" t="s">
        <v>141</v>
      </c>
      <c r="L605" s="26"/>
      <c r="M605" s="126" t="s">
        <v>1</v>
      </c>
      <c r="N605" s="127" t="s">
        <v>46</v>
      </c>
      <c r="O605" s="128">
        <v>0</v>
      </c>
      <c r="P605" s="128">
        <f>O605*H605</f>
        <v>0</v>
      </c>
      <c r="Q605" s="128">
        <v>0</v>
      </c>
      <c r="R605" s="128">
        <f>Q605*H605</f>
        <v>0</v>
      </c>
      <c r="S605" s="128">
        <v>0</v>
      </c>
      <c r="T605" s="129">
        <f>S605*H605</f>
        <v>0</v>
      </c>
      <c r="AR605" s="130" t="s">
        <v>135</v>
      </c>
      <c r="AT605" s="130" t="s">
        <v>137</v>
      </c>
      <c r="AU605" s="130" t="s">
        <v>19</v>
      </c>
      <c r="AY605" s="14" t="s">
        <v>136</v>
      </c>
      <c r="BE605" s="131">
        <f>IF(N605="základní",J605,0)</f>
        <v>0</v>
      </c>
      <c r="BF605" s="131">
        <f>IF(N605="snížená",J605,0)</f>
        <v>0</v>
      </c>
      <c r="BG605" s="131">
        <f>IF(N605="zákl. přenesená",J605,0)</f>
        <v>0</v>
      </c>
      <c r="BH605" s="131">
        <f>IF(N605="sníž. přenesená",J605,0)</f>
        <v>0</v>
      </c>
      <c r="BI605" s="131">
        <f>IF(N605="nulová",J605,0)</f>
        <v>0</v>
      </c>
      <c r="BJ605" s="14" t="s">
        <v>19</v>
      </c>
      <c r="BK605" s="131">
        <f>ROUND(I605*H605,2)</f>
        <v>0</v>
      </c>
      <c r="BL605" s="14" t="s">
        <v>135</v>
      </c>
      <c r="BM605" s="130" t="s">
        <v>1532</v>
      </c>
    </row>
    <row r="606" spans="2:65" s="1" customFormat="1" ht="19.2">
      <c r="B606" s="26"/>
      <c r="D606" s="132" t="s">
        <v>143</v>
      </c>
      <c r="F606" s="133" t="s">
        <v>1531</v>
      </c>
      <c r="L606" s="26"/>
      <c r="M606" s="134"/>
      <c r="T606" s="50"/>
      <c r="AT606" s="14" t="s">
        <v>143</v>
      </c>
      <c r="AU606" s="14" t="s">
        <v>19</v>
      </c>
    </row>
    <row r="607" spans="2:65" s="1" customFormat="1" ht="67.2">
      <c r="B607" s="26"/>
      <c r="D607" s="132" t="s">
        <v>145</v>
      </c>
      <c r="F607" s="135" t="s">
        <v>1533</v>
      </c>
      <c r="L607" s="26"/>
      <c r="M607" s="134"/>
      <c r="T607" s="50"/>
      <c r="AT607" s="14" t="s">
        <v>145</v>
      </c>
      <c r="AU607" s="14" t="s">
        <v>19</v>
      </c>
    </row>
    <row r="608" spans="2:65" s="11" customFormat="1">
      <c r="B608" s="136"/>
      <c r="D608" s="132" t="s">
        <v>147</v>
      </c>
      <c r="E608" s="137" t="s">
        <v>1534</v>
      </c>
      <c r="F608" s="138" t="s">
        <v>1535</v>
      </c>
      <c r="H608" s="139">
        <v>32.5</v>
      </c>
      <c r="L608" s="136"/>
      <c r="M608" s="140"/>
      <c r="T608" s="141"/>
      <c r="AT608" s="137" t="s">
        <v>147</v>
      </c>
      <c r="AU608" s="137" t="s">
        <v>19</v>
      </c>
      <c r="AV608" s="11" t="s">
        <v>149</v>
      </c>
      <c r="AW608" s="11" t="s">
        <v>39</v>
      </c>
      <c r="AX608" s="11" t="s">
        <v>19</v>
      </c>
      <c r="AY608" s="137" t="s">
        <v>136</v>
      </c>
    </row>
    <row r="609" spans="2:65" s="1" customFormat="1" ht="24.15" customHeight="1">
      <c r="B609" s="119"/>
      <c r="C609" s="120" t="s">
        <v>1536</v>
      </c>
      <c r="D609" s="120" t="s">
        <v>137</v>
      </c>
      <c r="E609" s="121" t="s">
        <v>1537</v>
      </c>
      <c r="F609" s="122" t="s">
        <v>1538</v>
      </c>
      <c r="G609" s="123" t="s">
        <v>152</v>
      </c>
      <c r="H609" s="124">
        <v>2</v>
      </c>
      <c r="I609" s="125">
        <v>0</v>
      </c>
      <c r="J609" s="125">
        <f>ROUND(I609*H609,2)</f>
        <v>0</v>
      </c>
      <c r="K609" s="122" t="s">
        <v>141</v>
      </c>
      <c r="L609" s="26"/>
      <c r="M609" s="126" t="s">
        <v>1</v>
      </c>
      <c r="N609" s="127" t="s">
        <v>46</v>
      </c>
      <c r="O609" s="128">
        <v>0</v>
      </c>
      <c r="P609" s="128">
        <f>O609*H609</f>
        <v>0</v>
      </c>
      <c r="Q609" s="128">
        <v>0</v>
      </c>
      <c r="R609" s="128">
        <f>Q609*H609</f>
        <v>0</v>
      </c>
      <c r="S609" s="128">
        <v>0</v>
      </c>
      <c r="T609" s="129">
        <f>S609*H609</f>
        <v>0</v>
      </c>
      <c r="AR609" s="130" t="s">
        <v>135</v>
      </c>
      <c r="AT609" s="130" t="s">
        <v>137</v>
      </c>
      <c r="AU609" s="130" t="s">
        <v>19</v>
      </c>
      <c r="AY609" s="14" t="s">
        <v>136</v>
      </c>
      <c r="BE609" s="131">
        <f>IF(N609="základní",J609,0)</f>
        <v>0</v>
      </c>
      <c r="BF609" s="131">
        <f>IF(N609="snížená",J609,0)</f>
        <v>0</v>
      </c>
      <c r="BG609" s="131">
        <f>IF(N609="zákl. přenesená",J609,0)</f>
        <v>0</v>
      </c>
      <c r="BH609" s="131">
        <f>IF(N609="sníž. přenesená",J609,0)</f>
        <v>0</v>
      </c>
      <c r="BI609" s="131">
        <f>IF(N609="nulová",J609,0)</f>
        <v>0</v>
      </c>
      <c r="BJ609" s="14" t="s">
        <v>19</v>
      </c>
      <c r="BK609" s="131">
        <f>ROUND(I609*H609,2)</f>
        <v>0</v>
      </c>
      <c r="BL609" s="14" t="s">
        <v>135</v>
      </c>
      <c r="BM609" s="130" t="s">
        <v>1539</v>
      </c>
    </row>
    <row r="610" spans="2:65" s="1" customFormat="1">
      <c r="B610" s="26"/>
      <c r="D610" s="132" t="s">
        <v>143</v>
      </c>
      <c r="F610" s="133" t="s">
        <v>1538</v>
      </c>
      <c r="L610" s="26"/>
      <c r="M610" s="134"/>
      <c r="T610" s="50"/>
      <c r="AT610" s="14" t="s">
        <v>143</v>
      </c>
      <c r="AU610" s="14" t="s">
        <v>19</v>
      </c>
    </row>
    <row r="611" spans="2:65" s="1" customFormat="1" ht="76.8">
      <c r="B611" s="26"/>
      <c r="D611" s="132" t="s">
        <v>145</v>
      </c>
      <c r="F611" s="135" t="s">
        <v>1540</v>
      </c>
      <c r="L611" s="26"/>
      <c r="M611" s="134"/>
      <c r="T611" s="50"/>
      <c r="AT611" s="14" t="s">
        <v>145</v>
      </c>
      <c r="AU611" s="14" t="s">
        <v>19</v>
      </c>
    </row>
    <row r="612" spans="2:65" s="11" customFormat="1" ht="20.399999999999999">
      <c r="B612" s="136"/>
      <c r="D612" s="132" t="s">
        <v>147</v>
      </c>
      <c r="E612" s="137" t="s">
        <v>882</v>
      </c>
      <c r="F612" s="138" t="s">
        <v>1541</v>
      </c>
      <c r="H612" s="139">
        <v>2</v>
      </c>
      <c r="L612" s="136"/>
      <c r="M612" s="140"/>
      <c r="T612" s="141"/>
      <c r="AT612" s="137" t="s">
        <v>147</v>
      </c>
      <c r="AU612" s="137" t="s">
        <v>19</v>
      </c>
      <c r="AV612" s="11" t="s">
        <v>149</v>
      </c>
      <c r="AW612" s="11" t="s">
        <v>39</v>
      </c>
      <c r="AX612" s="11" t="s">
        <v>19</v>
      </c>
      <c r="AY612" s="137" t="s">
        <v>136</v>
      </c>
    </row>
    <row r="613" spans="2:65" s="1" customFormat="1" ht="16.5" customHeight="1">
      <c r="B613" s="119"/>
      <c r="C613" s="120" t="s">
        <v>1542</v>
      </c>
      <c r="D613" s="120" t="s">
        <v>137</v>
      </c>
      <c r="E613" s="121" t="s">
        <v>1543</v>
      </c>
      <c r="F613" s="122" t="s">
        <v>1544</v>
      </c>
      <c r="G613" s="123" t="s">
        <v>152</v>
      </c>
      <c r="H613" s="124">
        <v>16</v>
      </c>
      <c r="I613" s="125">
        <v>0</v>
      </c>
      <c r="J613" s="125">
        <f>ROUND(I613*H613,2)</f>
        <v>0</v>
      </c>
      <c r="K613" s="122" t="s">
        <v>141</v>
      </c>
      <c r="L613" s="26"/>
      <c r="M613" s="126" t="s">
        <v>1</v>
      </c>
      <c r="N613" s="127" t="s">
        <v>46</v>
      </c>
      <c r="O613" s="128">
        <v>0</v>
      </c>
      <c r="P613" s="128">
        <f>O613*H613</f>
        <v>0</v>
      </c>
      <c r="Q613" s="128">
        <v>0</v>
      </c>
      <c r="R613" s="128">
        <f>Q613*H613</f>
        <v>0</v>
      </c>
      <c r="S613" s="128">
        <v>0</v>
      </c>
      <c r="T613" s="129">
        <f>S613*H613</f>
        <v>0</v>
      </c>
      <c r="AR613" s="130" t="s">
        <v>135</v>
      </c>
      <c r="AT613" s="130" t="s">
        <v>137</v>
      </c>
      <c r="AU613" s="130" t="s">
        <v>19</v>
      </c>
      <c r="AY613" s="14" t="s">
        <v>136</v>
      </c>
      <c r="BE613" s="131">
        <f>IF(N613="základní",J613,0)</f>
        <v>0</v>
      </c>
      <c r="BF613" s="131">
        <f>IF(N613="snížená",J613,0)</f>
        <v>0</v>
      </c>
      <c r="BG613" s="131">
        <f>IF(N613="zákl. přenesená",J613,0)</f>
        <v>0</v>
      </c>
      <c r="BH613" s="131">
        <f>IF(N613="sníž. přenesená",J613,0)</f>
        <v>0</v>
      </c>
      <c r="BI613" s="131">
        <f>IF(N613="nulová",J613,0)</f>
        <v>0</v>
      </c>
      <c r="BJ613" s="14" t="s">
        <v>19</v>
      </c>
      <c r="BK613" s="131">
        <f>ROUND(I613*H613,2)</f>
        <v>0</v>
      </c>
      <c r="BL613" s="14" t="s">
        <v>135</v>
      </c>
      <c r="BM613" s="130" t="s">
        <v>1545</v>
      </c>
    </row>
    <row r="614" spans="2:65" s="1" customFormat="1">
      <c r="B614" s="26"/>
      <c r="D614" s="132" t="s">
        <v>143</v>
      </c>
      <c r="F614" s="133" t="s">
        <v>1544</v>
      </c>
      <c r="L614" s="26"/>
      <c r="M614" s="134"/>
      <c r="T614" s="50"/>
      <c r="AT614" s="14" t="s">
        <v>143</v>
      </c>
      <c r="AU614" s="14" t="s">
        <v>19</v>
      </c>
    </row>
    <row r="615" spans="2:65" s="1" customFormat="1" ht="96">
      <c r="B615" s="26"/>
      <c r="D615" s="132" t="s">
        <v>145</v>
      </c>
      <c r="F615" s="135" t="s">
        <v>862</v>
      </c>
      <c r="L615" s="26"/>
      <c r="M615" s="134"/>
      <c r="T615" s="50"/>
      <c r="AT615" s="14" t="s">
        <v>145</v>
      </c>
      <c r="AU615" s="14" t="s">
        <v>19</v>
      </c>
    </row>
    <row r="616" spans="2:65" s="11" customFormat="1">
      <c r="B616" s="136"/>
      <c r="D616" s="132" t="s">
        <v>147</v>
      </c>
      <c r="E616" s="137" t="s">
        <v>1546</v>
      </c>
      <c r="F616" s="138" t="s">
        <v>1547</v>
      </c>
      <c r="H616" s="139">
        <v>16</v>
      </c>
      <c r="L616" s="136"/>
      <c r="M616" s="140"/>
      <c r="T616" s="141"/>
      <c r="AT616" s="137" t="s">
        <v>147</v>
      </c>
      <c r="AU616" s="137" t="s">
        <v>19</v>
      </c>
      <c r="AV616" s="11" t="s">
        <v>149</v>
      </c>
      <c r="AW616" s="11" t="s">
        <v>39</v>
      </c>
      <c r="AX616" s="11" t="s">
        <v>19</v>
      </c>
      <c r="AY616" s="137" t="s">
        <v>136</v>
      </c>
    </row>
    <row r="617" spans="2:65" s="1" customFormat="1" ht="16.5" customHeight="1">
      <c r="B617" s="119"/>
      <c r="C617" s="120" t="s">
        <v>1548</v>
      </c>
      <c r="D617" s="120" t="s">
        <v>137</v>
      </c>
      <c r="E617" s="121" t="s">
        <v>1549</v>
      </c>
      <c r="F617" s="122" t="s">
        <v>1544</v>
      </c>
      <c r="G617" s="123" t="s">
        <v>152</v>
      </c>
      <c r="H617" s="124">
        <v>10.5</v>
      </c>
      <c r="I617" s="125">
        <v>0</v>
      </c>
      <c r="J617" s="125">
        <f>ROUND(I617*H617,2)</f>
        <v>0</v>
      </c>
      <c r="K617" s="122" t="s">
        <v>141</v>
      </c>
      <c r="L617" s="26"/>
      <c r="M617" s="126" t="s">
        <v>1</v>
      </c>
      <c r="N617" s="127" t="s">
        <v>46</v>
      </c>
      <c r="O617" s="128">
        <v>0</v>
      </c>
      <c r="P617" s="128">
        <f>O617*H617</f>
        <v>0</v>
      </c>
      <c r="Q617" s="128">
        <v>0</v>
      </c>
      <c r="R617" s="128">
        <f>Q617*H617</f>
        <v>0</v>
      </c>
      <c r="S617" s="128">
        <v>0</v>
      </c>
      <c r="T617" s="129">
        <f>S617*H617</f>
        <v>0</v>
      </c>
      <c r="AR617" s="130" t="s">
        <v>135</v>
      </c>
      <c r="AT617" s="130" t="s">
        <v>137</v>
      </c>
      <c r="AU617" s="130" t="s">
        <v>19</v>
      </c>
      <c r="AY617" s="14" t="s">
        <v>136</v>
      </c>
      <c r="BE617" s="131">
        <f>IF(N617="základní",J617,0)</f>
        <v>0</v>
      </c>
      <c r="BF617" s="131">
        <f>IF(N617="snížená",J617,0)</f>
        <v>0</v>
      </c>
      <c r="BG617" s="131">
        <f>IF(N617="zákl. přenesená",J617,0)</f>
        <v>0</v>
      </c>
      <c r="BH617" s="131">
        <f>IF(N617="sníž. přenesená",J617,0)</f>
        <v>0</v>
      </c>
      <c r="BI617" s="131">
        <f>IF(N617="nulová",J617,0)</f>
        <v>0</v>
      </c>
      <c r="BJ617" s="14" t="s">
        <v>19</v>
      </c>
      <c r="BK617" s="131">
        <f>ROUND(I617*H617,2)</f>
        <v>0</v>
      </c>
      <c r="BL617" s="14" t="s">
        <v>135</v>
      </c>
      <c r="BM617" s="130" t="s">
        <v>1550</v>
      </c>
    </row>
    <row r="618" spans="2:65" s="1" customFormat="1">
      <c r="B618" s="26"/>
      <c r="D618" s="132" t="s">
        <v>143</v>
      </c>
      <c r="F618" s="133" t="s">
        <v>1544</v>
      </c>
      <c r="L618" s="26"/>
      <c r="M618" s="134"/>
      <c r="T618" s="50"/>
      <c r="AT618" s="14" t="s">
        <v>143</v>
      </c>
      <c r="AU618" s="14" t="s">
        <v>19</v>
      </c>
    </row>
    <row r="619" spans="2:65" s="1" customFormat="1" ht="96">
      <c r="B619" s="26"/>
      <c r="D619" s="132" t="s">
        <v>145</v>
      </c>
      <c r="F619" s="135" t="s">
        <v>862</v>
      </c>
      <c r="L619" s="26"/>
      <c r="M619" s="134"/>
      <c r="T619" s="50"/>
      <c r="AT619" s="14" t="s">
        <v>145</v>
      </c>
      <c r="AU619" s="14" t="s">
        <v>19</v>
      </c>
    </row>
    <row r="620" spans="2:65" s="11" customFormat="1">
      <c r="B620" s="136"/>
      <c r="D620" s="132" t="s">
        <v>147</v>
      </c>
      <c r="E620" s="137" t="s">
        <v>1551</v>
      </c>
      <c r="F620" s="138" t="s">
        <v>1552</v>
      </c>
      <c r="H620" s="139">
        <v>10.5</v>
      </c>
      <c r="L620" s="136"/>
      <c r="M620" s="140"/>
      <c r="T620" s="141"/>
      <c r="AT620" s="137" t="s">
        <v>147</v>
      </c>
      <c r="AU620" s="137" t="s">
        <v>19</v>
      </c>
      <c r="AV620" s="11" t="s">
        <v>149</v>
      </c>
      <c r="AW620" s="11" t="s">
        <v>39</v>
      </c>
      <c r="AX620" s="11" t="s">
        <v>19</v>
      </c>
      <c r="AY620" s="137" t="s">
        <v>136</v>
      </c>
    </row>
    <row r="621" spans="2:65" s="1" customFormat="1" ht="16.5" customHeight="1">
      <c r="B621" s="119"/>
      <c r="C621" s="120" t="s">
        <v>1553</v>
      </c>
      <c r="D621" s="120" t="s">
        <v>137</v>
      </c>
      <c r="E621" s="121" t="s">
        <v>1554</v>
      </c>
      <c r="F621" s="122" t="s">
        <v>1555</v>
      </c>
      <c r="G621" s="123" t="s">
        <v>673</v>
      </c>
      <c r="H621" s="124">
        <v>2.1</v>
      </c>
      <c r="I621" s="125">
        <v>0</v>
      </c>
      <c r="J621" s="125">
        <f>ROUND(I621*H621,2)</f>
        <v>0</v>
      </c>
      <c r="K621" s="122" t="s">
        <v>141</v>
      </c>
      <c r="L621" s="26"/>
      <c r="M621" s="126" t="s">
        <v>1</v>
      </c>
      <c r="N621" s="127" t="s">
        <v>46</v>
      </c>
      <c r="O621" s="128">
        <v>0</v>
      </c>
      <c r="P621" s="128">
        <f>O621*H621</f>
        <v>0</v>
      </c>
      <c r="Q621" s="128">
        <v>0</v>
      </c>
      <c r="R621" s="128">
        <f>Q621*H621</f>
        <v>0</v>
      </c>
      <c r="S621" s="128">
        <v>0</v>
      </c>
      <c r="T621" s="129">
        <f>S621*H621</f>
        <v>0</v>
      </c>
      <c r="AR621" s="130" t="s">
        <v>135</v>
      </c>
      <c r="AT621" s="130" t="s">
        <v>137</v>
      </c>
      <c r="AU621" s="130" t="s">
        <v>19</v>
      </c>
      <c r="AY621" s="14" t="s">
        <v>136</v>
      </c>
      <c r="BE621" s="131">
        <f>IF(N621="základní",J621,0)</f>
        <v>0</v>
      </c>
      <c r="BF621" s="131">
        <f>IF(N621="snížená",J621,0)</f>
        <v>0</v>
      </c>
      <c r="BG621" s="131">
        <f>IF(N621="zákl. přenesená",J621,0)</f>
        <v>0</v>
      </c>
      <c r="BH621" s="131">
        <f>IF(N621="sníž. přenesená",J621,0)</f>
        <v>0</v>
      </c>
      <c r="BI621" s="131">
        <f>IF(N621="nulová",J621,0)</f>
        <v>0</v>
      </c>
      <c r="BJ621" s="14" t="s">
        <v>19</v>
      </c>
      <c r="BK621" s="131">
        <f>ROUND(I621*H621,2)</f>
        <v>0</v>
      </c>
      <c r="BL621" s="14" t="s">
        <v>135</v>
      </c>
      <c r="BM621" s="130" t="s">
        <v>1556</v>
      </c>
    </row>
    <row r="622" spans="2:65" s="1" customFormat="1">
      <c r="B622" s="26"/>
      <c r="D622" s="132" t="s">
        <v>143</v>
      </c>
      <c r="F622" s="133" t="s">
        <v>1555</v>
      </c>
      <c r="L622" s="26"/>
      <c r="M622" s="134"/>
      <c r="T622" s="50"/>
      <c r="AT622" s="14" t="s">
        <v>143</v>
      </c>
      <c r="AU622" s="14" t="s">
        <v>19</v>
      </c>
    </row>
    <row r="623" spans="2:65" s="1" customFormat="1" ht="86.4">
      <c r="B623" s="26"/>
      <c r="D623" s="132" t="s">
        <v>145</v>
      </c>
      <c r="F623" s="135" t="s">
        <v>1557</v>
      </c>
      <c r="L623" s="26"/>
      <c r="M623" s="134"/>
      <c r="T623" s="50"/>
      <c r="AT623" s="14" t="s">
        <v>145</v>
      </c>
      <c r="AU623" s="14" t="s">
        <v>19</v>
      </c>
    </row>
    <row r="624" spans="2:65" s="11" customFormat="1" ht="20.399999999999999">
      <c r="B624" s="136"/>
      <c r="D624" s="132" t="s">
        <v>147</v>
      </c>
      <c r="E624" s="137" t="s">
        <v>1558</v>
      </c>
      <c r="F624" s="138" t="s">
        <v>1559</v>
      </c>
      <c r="H624" s="139">
        <v>2.1</v>
      </c>
      <c r="L624" s="136"/>
      <c r="M624" s="142"/>
      <c r="N624" s="143"/>
      <c r="O624" s="143"/>
      <c r="P624" s="143"/>
      <c r="Q624" s="143"/>
      <c r="R624" s="143"/>
      <c r="S624" s="143"/>
      <c r="T624" s="144"/>
      <c r="AT624" s="137" t="s">
        <v>147</v>
      </c>
      <c r="AU624" s="137" t="s">
        <v>19</v>
      </c>
      <c r="AV624" s="11" t="s">
        <v>149</v>
      </c>
      <c r="AW624" s="11" t="s">
        <v>39</v>
      </c>
      <c r="AX624" s="11" t="s">
        <v>19</v>
      </c>
      <c r="AY624" s="137" t="s">
        <v>136</v>
      </c>
    </row>
    <row r="625" spans="2:12" s="1" customFormat="1" ht="6.9" customHeight="1">
      <c r="B625" s="38"/>
      <c r="C625" s="39"/>
      <c r="D625" s="39"/>
      <c r="E625" s="39"/>
      <c r="F625" s="39"/>
      <c r="G625" s="39"/>
      <c r="H625" s="39"/>
      <c r="I625" s="39"/>
      <c r="J625" s="39"/>
      <c r="K625" s="39"/>
      <c r="L625" s="26"/>
    </row>
  </sheetData>
  <autoFilter ref="C123:K624" xr:uid="{00000000-0009-0000-0000-000003000000}"/>
  <mergeCells count="9">
    <mergeCell ref="E87:H87"/>
    <mergeCell ref="E114:H114"/>
    <mergeCell ref="E116:H116"/>
    <mergeCell ref="L2:V2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BM205"/>
  <sheetViews>
    <sheetView showGridLines="0" workbookViewId="0"/>
  </sheetViews>
  <sheetFormatPr defaultRowHeight="10.199999999999999"/>
  <cols>
    <col min="1" max="1" width="8.28515625" customWidth="1"/>
    <col min="2" max="2" width="1.140625" customWidth="1"/>
    <col min="3" max="3" width="4.140625" customWidth="1"/>
    <col min="4" max="4" width="4.28515625" customWidth="1"/>
    <col min="5" max="5" width="17.140625" customWidth="1"/>
    <col min="6" max="6" width="50.85546875" customWidth="1"/>
    <col min="7" max="7" width="7.42578125" customWidth="1"/>
    <col min="8" max="8" width="14" customWidth="1"/>
    <col min="9" max="9" width="15.85546875" customWidth="1"/>
    <col min="10" max="11" width="22.28515625" customWidth="1"/>
    <col min="12" max="12" width="9.28515625" customWidth="1"/>
    <col min="13" max="13" width="10.85546875" hidden="1" customWidth="1"/>
    <col min="14" max="14" width="9.28515625" hidden="1"/>
    <col min="15" max="20" width="14.140625" hidden="1" customWidth="1"/>
    <col min="21" max="21" width="16.28515625" hidden="1" customWidth="1"/>
    <col min="22" max="22" width="12.28515625" customWidth="1"/>
    <col min="23" max="23" width="16.28515625" customWidth="1"/>
    <col min="24" max="24" width="12.28515625" customWidth="1"/>
    <col min="25" max="25" width="15" customWidth="1"/>
    <col min="26" max="26" width="11" customWidth="1"/>
    <col min="27" max="27" width="15" customWidth="1"/>
    <col min="28" max="28" width="16.28515625" customWidth="1"/>
    <col min="29" max="29" width="11" customWidth="1"/>
    <col min="30" max="30" width="15" customWidth="1"/>
    <col min="31" max="31" width="16.28515625" customWidth="1"/>
    <col min="44" max="65" width="9.28515625" hidden="1"/>
  </cols>
  <sheetData>
    <row r="2" spans="2:56" ht="36.9" customHeight="1">
      <c r="L2" s="197" t="s">
        <v>5</v>
      </c>
      <c r="M2" s="191"/>
      <c r="N2" s="191"/>
      <c r="O2" s="191"/>
      <c r="P2" s="191"/>
      <c r="Q2" s="191"/>
      <c r="R2" s="191"/>
      <c r="S2" s="191"/>
      <c r="T2" s="191"/>
      <c r="U2" s="191"/>
      <c r="V2" s="191"/>
      <c r="AT2" s="14" t="s">
        <v>99</v>
      </c>
      <c r="AZ2" s="145" t="s">
        <v>1560</v>
      </c>
      <c r="BA2" s="145" t="s">
        <v>1560</v>
      </c>
      <c r="BB2" s="145" t="s">
        <v>1</v>
      </c>
      <c r="BC2" s="145" t="s">
        <v>81</v>
      </c>
      <c r="BD2" s="145" t="s">
        <v>149</v>
      </c>
    </row>
    <row r="3" spans="2:56" ht="6.9" hidden="1" customHeight="1">
      <c r="B3" s="15"/>
      <c r="C3" s="16"/>
      <c r="D3" s="16"/>
      <c r="E3" s="16"/>
      <c r="F3" s="16"/>
      <c r="G3" s="16"/>
      <c r="H3" s="16"/>
      <c r="I3" s="16"/>
      <c r="J3" s="16"/>
      <c r="K3" s="16"/>
      <c r="L3" s="17"/>
      <c r="AT3" s="14" t="s">
        <v>90</v>
      </c>
      <c r="AZ3" s="145" t="s">
        <v>1561</v>
      </c>
      <c r="BA3" s="145" t="s">
        <v>1561</v>
      </c>
      <c r="BB3" s="145" t="s">
        <v>1</v>
      </c>
      <c r="BC3" s="145" t="s">
        <v>327</v>
      </c>
      <c r="BD3" s="145" t="s">
        <v>149</v>
      </c>
    </row>
    <row r="4" spans="2:56" ht="24.9" hidden="1" customHeight="1">
      <c r="B4" s="17"/>
      <c r="D4" s="18" t="s">
        <v>112</v>
      </c>
      <c r="L4" s="17"/>
      <c r="M4" s="82" t="s">
        <v>10</v>
      </c>
      <c r="AT4" s="14" t="s">
        <v>3</v>
      </c>
      <c r="AZ4" s="145" t="s">
        <v>1562</v>
      </c>
      <c r="BA4" s="145" t="s">
        <v>1562</v>
      </c>
      <c r="BB4" s="145" t="s">
        <v>1</v>
      </c>
      <c r="BC4" s="145" t="s">
        <v>8</v>
      </c>
      <c r="BD4" s="145" t="s">
        <v>149</v>
      </c>
    </row>
    <row r="5" spans="2:56" ht="6.9" hidden="1" customHeight="1">
      <c r="B5" s="17"/>
      <c r="L5" s="17"/>
    </row>
    <row r="6" spans="2:56" ht="12" hidden="1" customHeight="1">
      <c r="B6" s="17"/>
      <c r="D6" s="23" t="s">
        <v>14</v>
      </c>
      <c r="L6" s="17"/>
    </row>
    <row r="7" spans="2:56" ht="16.5" hidden="1" customHeight="1">
      <c r="B7" s="17"/>
      <c r="E7" s="203" t="str">
        <f>'Rekapitulace stavby'!K6</f>
        <v>I/26 Kyšice - Plzeň, Hřbitovní</v>
      </c>
      <c r="F7" s="204"/>
      <c r="G7" s="204"/>
      <c r="H7" s="204"/>
      <c r="L7" s="17"/>
    </row>
    <row r="8" spans="2:56" s="1" customFormat="1" ht="12" hidden="1" customHeight="1">
      <c r="B8" s="26"/>
      <c r="D8" s="23" t="s">
        <v>113</v>
      </c>
      <c r="L8" s="26"/>
    </row>
    <row r="9" spans="2:56" s="1" customFormat="1" ht="16.5" hidden="1" customHeight="1">
      <c r="B9" s="26"/>
      <c r="E9" s="168" t="s">
        <v>1563</v>
      </c>
      <c r="F9" s="202"/>
      <c r="G9" s="202"/>
      <c r="H9" s="202"/>
      <c r="L9" s="26"/>
    </row>
    <row r="10" spans="2:56" s="1" customFormat="1" hidden="1">
      <c r="B10" s="26"/>
      <c r="L10" s="26"/>
    </row>
    <row r="11" spans="2:56" s="1" customFormat="1" ht="12" hidden="1" customHeight="1">
      <c r="B11" s="26"/>
      <c r="D11" s="23" t="s">
        <v>17</v>
      </c>
      <c r="F11" s="21" t="s">
        <v>1</v>
      </c>
      <c r="I11" s="23" t="s">
        <v>18</v>
      </c>
      <c r="J11" s="21" t="s">
        <v>1</v>
      </c>
      <c r="L11" s="26"/>
    </row>
    <row r="12" spans="2:56" s="1" customFormat="1" ht="12" hidden="1" customHeight="1">
      <c r="B12" s="26"/>
      <c r="D12" s="23" t="s">
        <v>20</v>
      </c>
      <c r="F12" s="21" t="s">
        <v>21</v>
      </c>
      <c r="I12" s="23" t="s">
        <v>22</v>
      </c>
      <c r="J12" s="46" t="str">
        <f>'Rekapitulace stavby'!AN8</f>
        <v>20. 1. 2026</v>
      </c>
      <c r="L12" s="26"/>
    </row>
    <row r="13" spans="2:56" s="1" customFormat="1" ht="10.95" hidden="1" customHeight="1">
      <c r="B13" s="26"/>
      <c r="L13" s="26"/>
    </row>
    <row r="14" spans="2:56" s="1" customFormat="1" ht="12" hidden="1" customHeight="1">
      <c r="B14" s="26"/>
      <c r="D14" s="23" t="s">
        <v>26</v>
      </c>
      <c r="I14" s="23" t="s">
        <v>27</v>
      </c>
      <c r="J14" s="21" t="s">
        <v>28</v>
      </c>
      <c r="L14" s="26"/>
    </row>
    <row r="15" spans="2:56" s="1" customFormat="1" ht="18" hidden="1" customHeight="1">
      <c r="B15" s="26"/>
      <c r="E15" s="21" t="s">
        <v>29</v>
      </c>
      <c r="I15" s="23" t="s">
        <v>30</v>
      </c>
      <c r="J15" s="21" t="s">
        <v>31</v>
      </c>
      <c r="L15" s="26"/>
    </row>
    <row r="16" spans="2:56" s="1" customFormat="1" ht="6.9" hidden="1" customHeight="1">
      <c r="B16" s="26"/>
      <c r="L16" s="26"/>
    </row>
    <row r="17" spans="2:12" s="1" customFormat="1" ht="12" hidden="1" customHeight="1">
      <c r="B17" s="26"/>
      <c r="D17" s="23" t="s">
        <v>32</v>
      </c>
      <c r="I17" s="23" t="s">
        <v>27</v>
      </c>
      <c r="J17" s="21" t="str">
        <f>'Rekapitulace stavby'!AN13</f>
        <v/>
      </c>
      <c r="L17" s="26"/>
    </row>
    <row r="18" spans="2:12" s="1" customFormat="1" ht="18" hidden="1" customHeight="1">
      <c r="B18" s="26"/>
      <c r="E18" s="190" t="str">
        <f>'Rekapitulace stavby'!E14</f>
        <v xml:space="preserve"> </v>
      </c>
      <c r="F18" s="190"/>
      <c r="G18" s="190"/>
      <c r="H18" s="190"/>
      <c r="I18" s="23" t="s">
        <v>30</v>
      </c>
      <c r="J18" s="21" t="str">
        <f>'Rekapitulace stavby'!AN14</f>
        <v/>
      </c>
      <c r="L18" s="26"/>
    </row>
    <row r="19" spans="2:12" s="1" customFormat="1" ht="6.9" hidden="1" customHeight="1">
      <c r="B19" s="26"/>
      <c r="L19" s="26"/>
    </row>
    <row r="20" spans="2:12" s="1" customFormat="1" ht="12" hidden="1" customHeight="1">
      <c r="B20" s="26"/>
      <c r="D20" s="23" t="s">
        <v>33</v>
      </c>
      <c r="I20" s="23" t="s">
        <v>27</v>
      </c>
      <c r="J20" s="21" t="s">
        <v>34</v>
      </c>
      <c r="L20" s="26"/>
    </row>
    <row r="21" spans="2:12" s="1" customFormat="1" ht="18" hidden="1" customHeight="1">
      <c r="B21" s="26"/>
      <c r="E21" s="21" t="s">
        <v>35</v>
      </c>
      <c r="I21" s="23" t="s">
        <v>30</v>
      </c>
      <c r="J21" s="21" t="s">
        <v>36</v>
      </c>
      <c r="L21" s="26"/>
    </row>
    <row r="22" spans="2:12" s="1" customFormat="1" ht="6.9" hidden="1" customHeight="1">
      <c r="B22" s="26"/>
      <c r="L22" s="26"/>
    </row>
    <row r="23" spans="2:12" s="1" customFormat="1" ht="12" hidden="1" customHeight="1">
      <c r="B23" s="26"/>
      <c r="D23" s="23" t="s">
        <v>37</v>
      </c>
      <c r="I23" s="23" t="s">
        <v>27</v>
      </c>
      <c r="J23" s="21" t="str">
        <f>IF('Rekapitulace stavby'!AN19="","",'Rekapitulace stavby'!AN19)</f>
        <v/>
      </c>
      <c r="L23" s="26"/>
    </row>
    <row r="24" spans="2:12" s="1" customFormat="1" ht="18" hidden="1" customHeight="1">
      <c r="B24" s="26"/>
      <c r="E24" s="21" t="str">
        <f>IF('Rekapitulace stavby'!E20="","",'Rekapitulace stavby'!E20)</f>
        <v>Pavel Vachtl</v>
      </c>
      <c r="I24" s="23" t="s">
        <v>30</v>
      </c>
      <c r="J24" s="21" t="str">
        <f>IF('Rekapitulace stavby'!AN20="","",'Rekapitulace stavby'!AN20)</f>
        <v/>
      </c>
      <c r="L24" s="26"/>
    </row>
    <row r="25" spans="2:12" s="1" customFormat="1" ht="6.9" hidden="1" customHeight="1">
      <c r="B25" s="26"/>
      <c r="L25" s="26"/>
    </row>
    <row r="26" spans="2:12" s="1" customFormat="1" ht="12" hidden="1" customHeight="1">
      <c r="B26" s="26"/>
      <c r="D26" s="23" t="s">
        <v>40</v>
      </c>
      <c r="L26" s="26"/>
    </row>
    <row r="27" spans="2:12" s="7" customFormat="1" ht="16.5" hidden="1" customHeight="1">
      <c r="B27" s="83"/>
      <c r="E27" s="193" t="s">
        <v>1</v>
      </c>
      <c r="F27" s="193"/>
      <c r="G27" s="193"/>
      <c r="H27" s="193"/>
      <c r="L27" s="83"/>
    </row>
    <row r="28" spans="2:12" s="1" customFormat="1" ht="6.9" hidden="1" customHeight="1">
      <c r="B28" s="26"/>
      <c r="L28" s="26"/>
    </row>
    <row r="29" spans="2:12" s="1" customFormat="1" ht="6.9" hidden="1" customHeight="1">
      <c r="B29" s="26"/>
      <c r="D29" s="47"/>
      <c r="E29" s="47"/>
      <c r="F29" s="47"/>
      <c r="G29" s="47"/>
      <c r="H29" s="47"/>
      <c r="I29" s="47"/>
      <c r="J29" s="47"/>
      <c r="K29" s="47"/>
      <c r="L29" s="26"/>
    </row>
    <row r="30" spans="2:12" s="1" customFormat="1" ht="25.35" hidden="1" customHeight="1">
      <c r="B30" s="26"/>
      <c r="D30" s="84" t="s">
        <v>41</v>
      </c>
      <c r="J30" s="60">
        <f>ROUND(J119, 2)</f>
        <v>0</v>
      </c>
      <c r="L30" s="26"/>
    </row>
    <row r="31" spans="2:12" s="1" customFormat="1" ht="6.9" hidden="1" customHeight="1">
      <c r="B31" s="26"/>
      <c r="D31" s="47"/>
      <c r="E31" s="47"/>
      <c r="F31" s="47"/>
      <c r="G31" s="47"/>
      <c r="H31" s="47"/>
      <c r="I31" s="47"/>
      <c r="J31" s="47"/>
      <c r="K31" s="47"/>
      <c r="L31" s="26"/>
    </row>
    <row r="32" spans="2:12" s="1" customFormat="1" ht="14.4" hidden="1" customHeight="1">
      <c r="B32" s="26"/>
      <c r="F32" s="29" t="s">
        <v>43</v>
      </c>
      <c r="I32" s="29" t="s">
        <v>42</v>
      </c>
      <c r="J32" s="29" t="s">
        <v>44</v>
      </c>
      <c r="L32" s="26"/>
    </row>
    <row r="33" spans="2:12" s="1" customFormat="1" ht="14.4" hidden="1" customHeight="1">
      <c r="B33" s="26"/>
      <c r="D33" s="49" t="s">
        <v>45</v>
      </c>
      <c r="E33" s="23" t="s">
        <v>46</v>
      </c>
      <c r="F33" s="85">
        <f>ROUND((SUM(BE119:BE204)),  2)</f>
        <v>0</v>
      </c>
      <c r="I33" s="86">
        <v>0.21</v>
      </c>
      <c r="J33" s="85">
        <f>ROUND(((SUM(BE119:BE204))*I33),  2)</f>
        <v>0</v>
      </c>
      <c r="L33" s="26"/>
    </row>
    <row r="34" spans="2:12" s="1" customFormat="1" ht="14.4" hidden="1" customHeight="1">
      <c r="B34" s="26"/>
      <c r="E34" s="23" t="s">
        <v>47</v>
      </c>
      <c r="F34" s="85">
        <f>ROUND((SUM(BF119:BF204)),  2)</f>
        <v>0</v>
      </c>
      <c r="I34" s="86">
        <v>0.15</v>
      </c>
      <c r="J34" s="85">
        <f>ROUND(((SUM(BF119:BF204))*I34),  2)</f>
        <v>0</v>
      </c>
      <c r="L34" s="26"/>
    </row>
    <row r="35" spans="2:12" s="1" customFormat="1" ht="14.4" hidden="1" customHeight="1">
      <c r="B35" s="26"/>
      <c r="E35" s="23" t="s">
        <v>48</v>
      </c>
      <c r="F35" s="85">
        <f>ROUND((SUM(BG119:BG204)),  2)</f>
        <v>0</v>
      </c>
      <c r="I35" s="86">
        <v>0.21</v>
      </c>
      <c r="J35" s="85">
        <f>0</f>
        <v>0</v>
      </c>
      <c r="L35" s="26"/>
    </row>
    <row r="36" spans="2:12" s="1" customFormat="1" ht="14.4" hidden="1" customHeight="1">
      <c r="B36" s="26"/>
      <c r="E36" s="23" t="s">
        <v>49</v>
      </c>
      <c r="F36" s="85">
        <f>ROUND((SUM(BH119:BH204)),  2)</f>
        <v>0</v>
      </c>
      <c r="I36" s="86">
        <v>0.15</v>
      </c>
      <c r="J36" s="85">
        <f>0</f>
        <v>0</v>
      </c>
      <c r="L36" s="26"/>
    </row>
    <row r="37" spans="2:12" s="1" customFormat="1" ht="14.4" hidden="1" customHeight="1">
      <c r="B37" s="26"/>
      <c r="E37" s="23" t="s">
        <v>50</v>
      </c>
      <c r="F37" s="85">
        <f>ROUND((SUM(BI119:BI204)),  2)</f>
        <v>0</v>
      </c>
      <c r="I37" s="86">
        <v>0</v>
      </c>
      <c r="J37" s="85">
        <f>0</f>
        <v>0</v>
      </c>
      <c r="L37" s="26"/>
    </row>
    <row r="38" spans="2:12" s="1" customFormat="1" ht="6.9" hidden="1" customHeight="1">
      <c r="B38" s="26"/>
      <c r="L38" s="26"/>
    </row>
    <row r="39" spans="2:12" s="1" customFormat="1" ht="25.35" hidden="1" customHeight="1">
      <c r="B39" s="26"/>
      <c r="C39" s="87"/>
      <c r="D39" s="88" t="s">
        <v>51</v>
      </c>
      <c r="E39" s="51"/>
      <c r="F39" s="51"/>
      <c r="G39" s="89" t="s">
        <v>52</v>
      </c>
      <c r="H39" s="90" t="s">
        <v>53</v>
      </c>
      <c r="I39" s="51"/>
      <c r="J39" s="91">
        <f>SUM(J30:J37)</f>
        <v>0</v>
      </c>
      <c r="K39" s="92"/>
      <c r="L39" s="26"/>
    </row>
    <row r="40" spans="2:12" s="1" customFormat="1" ht="14.4" hidden="1" customHeight="1">
      <c r="B40" s="26"/>
      <c r="L40" s="26"/>
    </row>
    <row r="41" spans="2:12" ht="14.4" hidden="1" customHeight="1">
      <c r="B41" s="17"/>
      <c r="L41" s="17"/>
    </row>
    <row r="42" spans="2:12" ht="14.4" hidden="1" customHeight="1">
      <c r="B42" s="17"/>
      <c r="L42" s="17"/>
    </row>
    <row r="43" spans="2:12" ht="14.4" hidden="1" customHeight="1">
      <c r="B43" s="17"/>
      <c r="L43" s="17"/>
    </row>
    <row r="44" spans="2:12" ht="14.4" hidden="1" customHeight="1">
      <c r="B44" s="17"/>
      <c r="L44" s="17"/>
    </row>
    <row r="45" spans="2:12" ht="14.4" hidden="1" customHeight="1">
      <c r="B45" s="17"/>
      <c r="L45" s="17"/>
    </row>
    <row r="46" spans="2:12" ht="14.4" hidden="1" customHeight="1">
      <c r="B46" s="17"/>
      <c r="L46" s="17"/>
    </row>
    <row r="47" spans="2:12" ht="14.4" hidden="1" customHeight="1">
      <c r="B47" s="17"/>
      <c r="L47" s="17"/>
    </row>
    <row r="48" spans="2:12" ht="14.4" hidden="1" customHeight="1">
      <c r="B48" s="17"/>
      <c r="L48" s="17"/>
    </row>
    <row r="49" spans="2:12" ht="14.4" hidden="1" customHeight="1">
      <c r="B49" s="17"/>
      <c r="L49" s="17"/>
    </row>
    <row r="50" spans="2:12" s="1" customFormat="1" ht="14.4" hidden="1" customHeight="1">
      <c r="B50" s="26"/>
      <c r="D50" s="35" t="s">
        <v>54</v>
      </c>
      <c r="E50" s="36"/>
      <c r="F50" s="36"/>
      <c r="G50" s="35" t="s">
        <v>55</v>
      </c>
      <c r="H50" s="36"/>
      <c r="I50" s="36"/>
      <c r="J50" s="36"/>
      <c r="K50" s="36"/>
      <c r="L50" s="26"/>
    </row>
    <row r="51" spans="2:12" hidden="1">
      <c r="B51" s="17"/>
      <c r="L51" s="17"/>
    </row>
    <row r="52" spans="2:12" hidden="1">
      <c r="B52" s="17"/>
      <c r="L52" s="17"/>
    </row>
    <row r="53" spans="2:12" hidden="1">
      <c r="B53" s="17"/>
      <c r="L53" s="17"/>
    </row>
    <row r="54" spans="2:12" hidden="1">
      <c r="B54" s="17"/>
      <c r="L54" s="17"/>
    </row>
    <row r="55" spans="2:12" hidden="1">
      <c r="B55" s="17"/>
      <c r="L55" s="17"/>
    </row>
    <row r="56" spans="2:12" hidden="1">
      <c r="B56" s="17"/>
      <c r="L56" s="17"/>
    </row>
    <row r="57" spans="2:12" hidden="1">
      <c r="B57" s="17"/>
      <c r="L57" s="17"/>
    </row>
    <row r="58" spans="2:12" hidden="1">
      <c r="B58" s="17"/>
      <c r="L58" s="17"/>
    </row>
    <row r="59" spans="2:12" hidden="1">
      <c r="B59" s="17"/>
      <c r="L59" s="17"/>
    </row>
    <row r="60" spans="2:12" hidden="1">
      <c r="B60" s="17"/>
      <c r="L60" s="17"/>
    </row>
    <row r="61" spans="2:12" s="1" customFormat="1" ht="13.2" hidden="1">
      <c r="B61" s="26"/>
      <c r="D61" s="37" t="s">
        <v>56</v>
      </c>
      <c r="E61" s="28"/>
      <c r="F61" s="93" t="s">
        <v>57</v>
      </c>
      <c r="G61" s="37" t="s">
        <v>56</v>
      </c>
      <c r="H61" s="28"/>
      <c r="I61" s="28"/>
      <c r="J61" s="94" t="s">
        <v>57</v>
      </c>
      <c r="K61" s="28"/>
      <c r="L61" s="26"/>
    </row>
    <row r="62" spans="2:12" hidden="1">
      <c r="B62" s="17"/>
      <c r="L62" s="17"/>
    </row>
    <row r="63" spans="2:12" hidden="1">
      <c r="B63" s="17"/>
      <c r="L63" s="17"/>
    </row>
    <row r="64" spans="2:12" hidden="1">
      <c r="B64" s="17"/>
      <c r="L64" s="17"/>
    </row>
    <row r="65" spans="2:12" s="1" customFormat="1" ht="13.2" hidden="1">
      <c r="B65" s="26"/>
      <c r="D65" s="35" t="s">
        <v>58</v>
      </c>
      <c r="E65" s="36"/>
      <c r="F65" s="36"/>
      <c r="G65" s="35" t="s">
        <v>59</v>
      </c>
      <c r="H65" s="36"/>
      <c r="I65" s="36"/>
      <c r="J65" s="36"/>
      <c r="K65" s="36"/>
      <c r="L65" s="26"/>
    </row>
    <row r="66" spans="2:12" hidden="1">
      <c r="B66" s="17"/>
      <c r="L66" s="17"/>
    </row>
    <row r="67" spans="2:12" hidden="1">
      <c r="B67" s="17"/>
      <c r="L67" s="17"/>
    </row>
    <row r="68" spans="2:12" hidden="1">
      <c r="B68" s="17"/>
      <c r="L68" s="17"/>
    </row>
    <row r="69" spans="2:12" hidden="1">
      <c r="B69" s="17"/>
      <c r="L69" s="17"/>
    </row>
    <row r="70" spans="2:12" hidden="1">
      <c r="B70" s="17"/>
      <c r="L70" s="17"/>
    </row>
    <row r="71" spans="2:12" hidden="1">
      <c r="B71" s="17"/>
      <c r="L71" s="17"/>
    </row>
    <row r="72" spans="2:12" hidden="1">
      <c r="B72" s="17"/>
      <c r="L72" s="17"/>
    </row>
    <row r="73" spans="2:12" hidden="1">
      <c r="B73" s="17"/>
      <c r="L73" s="17"/>
    </row>
    <row r="74" spans="2:12" hidden="1">
      <c r="B74" s="17"/>
      <c r="L74" s="17"/>
    </row>
    <row r="75" spans="2:12" hidden="1">
      <c r="B75" s="17"/>
      <c r="L75" s="17"/>
    </row>
    <row r="76" spans="2:12" s="1" customFormat="1" ht="13.2" hidden="1">
      <c r="B76" s="26"/>
      <c r="D76" s="37" t="s">
        <v>56</v>
      </c>
      <c r="E76" s="28"/>
      <c r="F76" s="93" t="s">
        <v>57</v>
      </c>
      <c r="G76" s="37" t="s">
        <v>56</v>
      </c>
      <c r="H76" s="28"/>
      <c r="I76" s="28"/>
      <c r="J76" s="94" t="s">
        <v>57</v>
      </c>
      <c r="K76" s="28"/>
      <c r="L76" s="26"/>
    </row>
    <row r="77" spans="2:12" s="1" customFormat="1" ht="14.4" hidden="1" customHeight="1">
      <c r="B77" s="38"/>
      <c r="C77" s="39"/>
      <c r="D77" s="39"/>
      <c r="E77" s="39"/>
      <c r="F77" s="39"/>
      <c r="G77" s="39"/>
      <c r="H77" s="39"/>
      <c r="I77" s="39"/>
      <c r="J77" s="39"/>
      <c r="K77" s="39"/>
      <c r="L77" s="26"/>
    </row>
    <row r="78" spans="2:12" hidden="1"/>
    <row r="79" spans="2:12" hidden="1"/>
    <row r="80" spans="2:12" hidden="1"/>
    <row r="81" spans="2:47" s="1" customFormat="1" ht="6.9" customHeight="1">
      <c r="B81" s="40"/>
      <c r="C81" s="41"/>
      <c r="D81" s="41"/>
      <c r="E81" s="41"/>
      <c r="F81" s="41"/>
      <c r="G81" s="41"/>
      <c r="H81" s="41"/>
      <c r="I81" s="41"/>
      <c r="J81" s="41"/>
      <c r="K81" s="41"/>
      <c r="L81" s="26"/>
    </row>
    <row r="82" spans="2:47" s="1" customFormat="1" ht="24.9" customHeight="1">
      <c r="B82" s="26"/>
      <c r="C82" s="18" t="s">
        <v>115</v>
      </c>
      <c r="L82" s="26"/>
    </row>
    <row r="83" spans="2:47" s="1" customFormat="1" ht="6.9" customHeight="1">
      <c r="B83" s="26"/>
      <c r="L83" s="26"/>
    </row>
    <row r="84" spans="2:47" s="1" customFormat="1" ht="12" customHeight="1">
      <c r="B84" s="26"/>
      <c r="C84" s="23" t="s">
        <v>14</v>
      </c>
      <c r="L84" s="26"/>
    </row>
    <row r="85" spans="2:47" s="1" customFormat="1" ht="16.5" customHeight="1">
      <c r="B85" s="26"/>
      <c r="E85" s="203" t="str">
        <f>E7</f>
        <v>I/26 Kyšice - Plzeň, Hřbitovní</v>
      </c>
      <c r="F85" s="204"/>
      <c r="G85" s="204"/>
      <c r="H85" s="204"/>
      <c r="L85" s="26"/>
    </row>
    <row r="86" spans="2:47" s="1" customFormat="1" ht="12" customHeight="1">
      <c r="B86" s="26"/>
      <c r="C86" s="23" t="s">
        <v>113</v>
      </c>
      <c r="L86" s="26"/>
    </row>
    <row r="87" spans="2:47" s="1" customFormat="1" ht="16.5" customHeight="1">
      <c r="B87" s="26"/>
      <c r="E87" s="168" t="str">
        <f>E9</f>
        <v>181 - Přechodné dopravní značení</v>
      </c>
      <c r="F87" s="202"/>
      <c r="G87" s="202"/>
      <c r="H87" s="202"/>
      <c r="L87" s="26"/>
    </row>
    <row r="88" spans="2:47" s="1" customFormat="1" ht="6.9" customHeight="1">
      <c r="B88" s="26"/>
      <c r="L88" s="26"/>
    </row>
    <row r="89" spans="2:47" s="1" customFormat="1" ht="12" customHeight="1">
      <c r="B89" s="26"/>
      <c r="C89" s="23" t="s">
        <v>20</v>
      </c>
      <c r="F89" s="21" t="str">
        <f>F12</f>
        <v xml:space="preserve"> </v>
      </c>
      <c r="I89" s="23" t="s">
        <v>22</v>
      </c>
      <c r="J89" s="46" t="str">
        <f>IF(J12="","",J12)</f>
        <v>20. 1. 2026</v>
      </c>
      <c r="L89" s="26"/>
    </row>
    <row r="90" spans="2:47" s="1" customFormat="1" ht="6.9" customHeight="1">
      <c r="B90" s="26"/>
      <c r="L90" s="26"/>
    </row>
    <row r="91" spans="2:47" s="1" customFormat="1" ht="15.15" customHeight="1">
      <c r="B91" s="26"/>
      <c r="C91" s="23" t="s">
        <v>26</v>
      </c>
      <c r="F91" s="21" t="str">
        <f>E15</f>
        <v>Ředitelství silnic a dálnic s.p.</v>
      </c>
      <c r="I91" s="23" t="s">
        <v>33</v>
      </c>
      <c r="J91" s="24" t="str">
        <f>E21</f>
        <v>Woring s.r.o.</v>
      </c>
      <c r="L91" s="26"/>
    </row>
    <row r="92" spans="2:47" s="1" customFormat="1" ht="15.15" customHeight="1">
      <c r="B92" s="26"/>
      <c r="C92" s="23" t="s">
        <v>32</v>
      </c>
      <c r="F92" s="21" t="str">
        <f>IF(E18="","",E18)</f>
        <v xml:space="preserve"> </v>
      </c>
      <c r="I92" s="23" t="s">
        <v>37</v>
      </c>
      <c r="J92" s="24" t="str">
        <f>E24</f>
        <v>Pavel Vachtl</v>
      </c>
      <c r="L92" s="26"/>
    </row>
    <row r="93" spans="2:47" s="1" customFormat="1" ht="10.35" customHeight="1">
      <c r="B93" s="26"/>
      <c r="L93" s="26"/>
    </row>
    <row r="94" spans="2:47" s="1" customFormat="1" ht="29.25" customHeight="1">
      <c r="B94" s="26"/>
      <c r="C94" s="95" t="s">
        <v>116</v>
      </c>
      <c r="D94" s="87"/>
      <c r="E94" s="87"/>
      <c r="F94" s="87"/>
      <c r="G94" s="87"/>
      <c r="H94" s="87"/>
      <c r="I94" s="87"/>
      <c r="J94" s="96" t="s">
        <v>117</v>
      </c>
      <c r="K94" s="87"/>
      <c r="L94" s="26"/>
    </row>
    <row r="95" spans="2:47" s="1" customFormat="1" ht="10.35" customHeight="1">
      <c r="B95" s="26"/>
      <c r="L95" s="26"/>
    </row>
    <row r="96" spans="2:47" s="1" customFormat="1" ht="22.95" customHeight="1">
      <c r="B96" s="26"/>
      <c r="C96" s="97" t="s">
        <v>118</v>
      </c>
      <c r="J96" s="60">
        <f>J119</f>
        <v>0</v>
      </c>
      <c r="L96" s="26"/>
      <c r="AU96" s="14" t="s">
        <v>90</v>
      </c>
    </row>
    <row r="97" spans="2:12" s="8" customFormat="1" ht="24.9" customHeight="1">
      <c r="B97" s="98"/>
      <c r="D97" s="99" t="s">
        <v>119</v>
      </c>
      <c r="E97" s="100"/>
      <c r="F97" s="100"/>
      <c r="G97" s="100"/>
      <c r="H97" s="100"/>
      <c r="I97" s="100"/>
      <c r="J97" s="101">
        <f>J120</f>
        <v>0</v>
      </c>
      <c r="L97" s="98"/>
    </row>
    <row r="98" spans="2:12" s="8" customFormat="1" ht="24.9" customHeight="1">
      <c r="B98" s="98"/>
      <c r="D98" s="99" t="s">
        <v>120</v>
      </c>
      <c r="E98" s="100"/>
      <c r="F98" s="100"/>
      <c r="G98" s="100"/>
      <c r="H98" s="100"/>
      <c r="I98" s="100"/>
      <c r="J98" s="101">
        <f>J169</f>
        <v>0</v>
      </c>
      <c r="L98" s="98"/>
    </row>
    <row r="99" spans="2:12" s="8" customFormat="1" ht="24.9" customHeight="1">
      <c r="B99" s="98"/>
      <c r="D99" s="99" t="s">
        <v>213</v>
      </c>
      <c r="E99" s="100"/>
      <c r="F99" s="100"/>
      <c r="G99" s="100"/>
      <c r="H99" s="100"/>
      <c r="I99" s="100"/>
      <c r="J99" s="101">
        <f>J174</f>
        <v>0</v>
      </c>
      <c r="L99" s="98"/>
    </row>
    <row r="100" spans="2:12" s="1" customFormat="1" ht="21.75" customHeight="1">
      <c r="B100" s="26"/>
      <c r="L100" s="26"/>
    </row>
    <row r="101" spans="2:12" s="1" customFormat="1" ht="6.9" customHeight="1">
      <c r="B101" s="38"/>
      <c r="C101" s="39"/>
      <c r="D101" s="39"/>
      <c r="E101" s="39"/>
      <c r="F101" s="39"/>
      <c r="G101" s="39"/>
      <c r="H101" s="39"/>
      <c r="I101" s="39"/>
      <c r="J101" s="39"/>
      <c r="K101" s="39"/>
      <c r="L101" s="26"/>
    </row>
    <row r="105" spans="2:12" s="1" customFormat="1" ht="6.9" customHeight="1">
      <c r="B105" s="40"/>
      <c r="C105" s="41"/>
      <c r="D105" s="41"/>
      <c r="E105" s="41"/>
      <c r="F105" s="41"/>
      <c r="G105" s="41"/>
      <c r="H105" s="41"/>
      <c r="I105" s="41"/>
      <c r="J105" s="41"/>
      <c r="K105" s="41"/>
      <c r="L105" s="26"/>
    </row>
    <row r="106" spans="2:12" s="1" customFormat="1" ht="24.9" customHeight="1">
      <c r="B106" s="26"/>
      <c r="C106" s="18" t="s">
        <v>121</v>
      </c>
      <c r="L106" s="26"/>
    </row>
    <row r="107" spans="2:12" s="1" customFormat="1" ht="6.9" customHeight="1">
      <c r="B107" s="26"/>
      <c r="L107" s="26"/>
    </row>
    <row r="108" spans="2:12" s="1" customFormat="1" ht="12" customHeight="1">
      <c r="B108" s="26"/>
      <c r="C108" s="23" t="s">
        <v>14</v>
      </c>
      <c r="L108" s="26"/>
    </row>
    <row r="109" spans="2:12" s="1" customFormat="1" ht="16.5" customHeight="1">
      <c r="B109" s="26"/>
      <c r="E109" s="203" t="str">
        <f>E7</f>
        <v>I/26 Kyšice - Plzeň, Hřbitovní</v>
      </c>
      <c r="F109" s="204"/>
      <c r="G109" s="204"/>
      <c r="H109" s="204"/>
      <c r="L109" s="26"/>
    </row>
    <row r="110" spans="2:12" s="1" customFormat="1" ht="12" customHeight="1">
      <c r="B110" s="26"/>
      <c r="C110" s="23" t="s">
        <v>113</v>
      </c>
      <c r="L110" s="26"/>
    </row>
    <row r="111" spans="2:12" s="1" customFormat="1" ht="16.5" customHeight="1">
      <c r="B111" s="26"/>
      <c r="E111" s="168" t="str">
        <f>E9</f>
        <v>181 - Přechodné dopravní značení</v>
      </c>
      <c r="F111" s="202"/>
      <c r="G111" s="202"/>
      <c r="H111" s="202"/>
      <c r="L111" s="26"/>
    </row>
    <row r="112" spans="2:12" s="1" customFormat="1" ht="6.9" customHeight="1">
      <c r="B112" s="26"/>
      <c r="L112" s="26"/>
    </row>
    <row r="113" spans="2:65" s="1" customFormat="1" ht="12" customHeight="1">
      <c r="B113" s="26"/>
      <c r="C113" s="23" t="s">
        <v>20</v>
      </c>
      <c r="F113" s="21" t="str">
        <f>F12</f>
        <v xml:space="preserve"> </v>
      </c>
      <c r="I113" s="23" t="s">
        <v>22</v>
      </c>
      <c r="J113" s="46" t="str">
        <f>IF(J12="","",J12)</f>
        <v>20. 1. 2026</v>
      </c>
      <c r="L113" s="26"/>
    </row>
    <row r="114" spans="2:65" s="1" customFormat="1" ht="6.9" customHeight="1">
      <c r="B114" s="26"/>
      <c r="L114" s="26"/>
    </row>
    <row r="115" spans="2:65" s="1" customFormat="1" ht="15.15" customHeight="1">
      <c r="B115" s="26"/>
      <c r="C115" s="23" t="s">
        <v>26</v>
      </c>
      <c r="F115" s="21" t="str">
        <f>E15</f>
        <v>Ředitelství silnic a dálnic s.p.</v>
      </c>
      <c r="I115" s="23" t="s">
        <v>33</v>
      </c>
      <c r="J115" s="24" t="str">
        <f>E21</f>
        <v>Woring s.r.o.</v>
      </c>
      <c r="L115" s="26"/>
    </row>
    <row r="116" spans="2:65" s="1" customFormat="1" ht="15.15" customHeight="1">
      <c r="B116" s="26"/>
      <c r="C116" s="23" t="s">
        <v>32</v>
      </c>
      <c r="F116" s="21" t="str">
        <f>IF(E18="","",E18)</f>
        <v xml:space="preserve"> </v>
      </c>
      <c r="I116" s="23" t="s">
        <v>37</v>
      </c>
      <c r="J116" s="24" t="str">
        <f>E24</f>
        <v>Pavel Vachtl</v>
      </c>
      <c r="L116" s="26"/>
    </row>
    <row r="117" spans="2:65" s="1" customFormat="1" ht="10.35" customHeight="1">
      <c r="B117" s="26"/>
      <c r="L117" s="26"/>
    </row>
    <row r="118" spans="2:65" s="9" customFormat="1" ht="29.25" customHeight="1">
      <c r="B118" s="102"/>
      <c r="C118" s="103" t="s">
        <v>122</v>
      </c>
      <c r="D118" s="104" t="s">
        <v>66</v>
      </c>
      <c r="E118" s="104" t="s">
        <v>62</v>
      </c>
      <c r="F118" s="104" t="s">
        <v>63</v>
      </c>
      <c r="G118" s="104" t="s">
        <v>123</v>
      </c>
      <c r="H118" s="104" t="s">
        <v>124</v>
      </c>
      <c r="I118" s="104" t="s">
        <v>125</v>
      </c>
      <c r="J118" s="104" t="s">
        <v>117</v>
      </c>
      <c r="K118" s="105" t="s">
        <v>126</v>
      </c>
      <c r="L118" s="102"/>
      <c r="M118" s="53" t="s">
        <v>1</v>
      </c>
      <c r="N118" s="54" t="s">
        <v>45</v>
      </c>
      <c r="O118" s="54" t="s">
        <v>127</v>
      </c>
      <c r="P118" s="54" t="s">
        <v>128</v>
      </c>
      <c r="Q118" s="54" t="s">
        <v>129</v>
      </c>
      <c r="R118" s="54" t="s">
        <v>130</v>
      </c>
      <c r="S118" s="54" t="s">
        <v>131</v>
      </c>
      <c r="T118" s="55" t="s">
        <v>132</v>
      </c>
    </row>
    <row r="119" spans="2:65" s="1" customFormat="1" ht="22.95" customHeight="1">
      <c r="B119" s="26"/>
      <c r="C119" s="58" t="s">
        <v>133</v>
      </c>
      <c r="J119" s="106">
        <f>BK119</f>
        <v>0</v>
      </c>
      <c r="L119" s="26"/>
      <c r="M119" s="56"/>
      <c r="N119" s="47"/>
      <c r="O119" s="47"/>
      <c r="P119" s="107">
        <f>P120+P169+P174</f>
        <v>0</v>
      </c>
      <c r="Q119" s="47"/>
      <c r="R119" s="107">
        <f>R120+R169+R174</f>
        <v>0</v>
      </c>
      <c r="S119" s="47"/>
      <c r="T119" s="108">
        <f>T120+T169+T174</f>
        <v>0</v>
      </c>
      <c r="AT119" s="14" t="s">
        <v>80</v>
      </c>
      <c r="AU119" s="14" t="s">
        <v>90</v>
      </c>
      <c r="BK119" s="109">
        <f>BK120+BK169+BK174</f>
        <v>0</v>
      </c>
    </row>
    <row r="120" spans="2:65" s="10" customFormat="1" ht="25.95" customHeight="1">
      <c r="B120" s="110"/>
      <c r="D120" s="111" t="s">
        <v>80</v>
      </c>
      <c r="E120" s="112" t="s">
        <v>81</v>
      </c>
      <c r="F120" s="112" t="s">
        <v>134</v>
      </c>
      <c r="J120" s="113">
        <f>BK120</f>
        <v>0</v>
      </c>
      <c r="L120" s="110"/>
      <c r="M120" s="114"/>
      <c r="P120" s="115">
        <f>SUM(P121:P168)</f>
        <v>0</v>
      </c>
      <c r="R120" s="115">
        <f>SUM(R121:R168)</f>
        <v>0</v>
      </c>
      <c r="T120" s="116">
        <f>SUM(T121:T168)</f>
        <v>0</v>
      </c>
      <c r="AR120" s="111" t="s">
        <v>135</v>
      </c>
      <c r="AT120" s="117" t="s">
        <v>80</v>
      </c>
      <c r="AU120" s="117" t="s">
        <v>81</v>
      </c>
      <c r="AY120" s="111" t="s">
        <v>136</v>
      </c>
      <c r="BK120" s="118">
        <f>SUM(BK121:BK168)</f>
        <v>0</v>
      </c>
    </row>
    <row r="121" spans="2:65" s="1" customFormat="1" ht="24.15" customHeight="1">
      <c r="B121" s="119"/>
      <c r="C121" s="120" t="s">
        <v>19</v>
      </c>
      <c r="D121" s="120" t="s">
        <v>137</v>
      </c>
      <c r="E121" s="121" t="s">
        <v>1564</v>
      </c>
      <c r="F121" s="122" t="s">
        <v>1565</v>
      </c>
      <c r="G121" s="123" t="s">
        <v>140</v>
      </c>
      <c r="H121" s="124">
        <v>167025</v>
      </c>
      <c r="I121" s="125">
        <v>0</v>
      </c>
      <c r="J121" s="125">
        <f>ROUND(I121*H121,2)</f>
        <v>0</v>
      </c>
      <c r="K121" s="122" t="s">
        <v>141</v>
      </c>
      <c r="L121" s="26"/>
      <c r="M121" s="126" t="s">
        <v>1</v>
      </c>
      <c r="N121" s="127" t="s">
        <v>46</v>
      </c>
      <c r="O121" s="128">
        <v>0</v>
      </c>
      <c r="P121" s="128">
        <f>O121*H121</f>
        <v>0</v>
      </c>
      <c r="Q121" s="128">
        <v>0</v>
      </c>
      <c r="R121" s="128">
        <f>Q121*H121</f>
        <v>0</v>
      </c>
      <c r="S121" s="128">
        <v>0</v>
      </c>
      <c r="T121" s="129">
        <f>S121*H121</f>
        <v>0</v>
      </c>
      <c r="AR121" s="130" t="s">
        <v>135</v>
      </c>
      <c r="AT121" s="130" t="s">
        <v>137</v>
      </c>
      <c r="AU121" s="130" t="s">
        <v>19</v>
      </c>
      <c r="AY121" s="14" t="s">
        <v>136</v>
      </c>
      <c r="BE121" s="131">
        <f>IF(N121="základní",J121,0)</f>
        <v>0</v>
      </c>
      <c r="BF121" s="131">
        <f>IF(N121="snížená",J121,0)</f>
        <v>0</v>
      </c>
      <c r="BG121" s="131">
        <f>IF(N121="zákl. přenesená",J121,0)</f>
        <v>0</v>
      </c>
      <c r="BH121" s="131">
        <f>IF(N121="sníž. přenesená",J121,0)</f>
        <v>0</v>
      </c>
      <c r="BI121" s="131">
        <f>IF(N121="nulová",J121,0)</f>
        <v>0</v>
      </c>
      <c r="BJ121" s="14" t="s">
        <v>19</v>
      </c>
      <c r="BK121" s="131">
        <f>ROUND(I121*H121,2)</f>
        <v>0</v>
      </c>
      <c r="BL121" s="14" t="s">
        <v>135</v>
      </c>
      <c r="BM121" s="130" t="s">
        <v>1566</v>
      </c>
    </row>
    <row r="122" spans="2:65" s="1" customFormat="1" ht="38.4">
      <c r="B122" s="26"/>
      <c r="D122" s="132" t="s">
        <v>143</v>
      </c>
      <c r="F122" s="133" t="s">
        <v>1567</v>
      </c>
      <c r="L122" s="26"/>
      <c r="M122" s="134"/>
      <c r="T122" s="50"/>
      <c r="AT122" s="14" t="s">
        <v>143</v>
      </c>
      <c r="AU122" s="14" t="s">
        <v>19</v>
      </c>
    </row>
    <row r="123" spans="2:65" s="1" customFormat="1" ht="38.4">
      <c r="B123" s="26"/>
      <c r="D123" s="132" t="s">
        <v>145</v>
      </c>
      <c r="F123" s="135" t="s">
        <v>1568</v>
      </c>
      <c r="L123" s="26"/>
      <c r="M123" s="134"/>
      <c r="T123" s="50"/>
      <c r="AT123" s="14" t="s">
        <v>145</v>
      </c>
      <c r="AU123" s="14" t="s">
        <v>19</v>
      </c>
    </row>
    <row r="124" spans="2:65" s="1" customFormat="1" ht="24.15" customHeight="1">
      <c r="B124" s="119"/>
      <c r="C124" s="120" t="s">
        <v>149</v>
      </c>
      <c r="D124" s="120" t="s">
        <v>137</v>
      </c>
      <c r="E124" s="121" t="s">
        <v>1569</v>
      </c>
      <c r="F124" s="122" t="s">
        <v>1565</v>
      </c>
      <c r="G124" s="123" t="s">
        <v>140</v>
      </c>
      <c r="H124" s="124">
        <v>11176</v>
      </c>
      <c r="I124" s="125">
        <v>0</v>
      </c>
      <c r="J124" s="125">
        <f>ROUND(I124*H124,2)</f>
        <v>0</v>
      </c>
      <c r="K124" s="122" t="s">
        <v>1</v>
      </c>
      <c r="L124" s="26"/>
      <c r="M124" s="126" t="s">
        <v>1</v>
      </c>
      <c r="N124" s="127" t="s">
        <v>46</v>
      </c>
      <c r="O124" s="128">
        <v>0</v>
      </c>
      <c r="P124" s="128">
        <f>O124*H124</f>
        <v>0</v>
      </c>
      <c r="Q124" s="128">
        <v>0</v>
      </c>
      <c r="R124" s="128">
        <f>Q124*H124</f>
        <v>0</v>
      </c>
      <c r="S124" s="128">
        <v>0</v>
      </c>
      <c r="T124" s="129">
        <f>S124*H124</f>
        <v>0</v>
      </c>
      <c r="AR124" s="130" t="s">
        <v>135</v>
      </c>
      <c r="AT124" s="130" t="s">
        <v>137</v>
      </c>
      <c r="AU124" s="130" t="s">
        <v>19</v>
      </c>
      <c r="AY124" s="14" t="s">
        <v>136</v>
      </c>
      <c r="BE124" s="131">
        <f>IF(N124="základní",J124,0)</f>
        <v>0</v>
      </c>
      <c r="BF124" s="131">
        <f>IF(N124="snížená",J124,0)</f>
        <v>0</v>
      </c>
      <c r="BG124" s="131">
        <f>IF(N124="zákl. přenesená",J124,0)</f>
        <v>0</v>
      </c>
      <c r="BH124" s="131">
        <f>IF(N124="sníž. přenesená",J124,0)</f>
        <v>0</v>
      </c>
      <c r="BI124" s="131">
        <f>IF(N124="nulová",J124,0)</f>
        <v>0</v>
      </c>
      <c r="BJ124" s="14" t="s">
        <v>19</v>
      </c>
      <c r="BK124" s="131">
        <f>ROUND(I124*H124,2)</f>
        <v>0</v>
      </c>
      <c r="BL124" s="14" t="s">
        <v>135</v>
      </c>
      <c r="BM124" s="130" t="s">
        <v>1570</v>
      </c>
    </row>
    <row r="125" spans="2:65" s="1" customFormat="1" ht="48">
      <c r="B125" s="26"/>
      <c r="D125" s="132" t="s">
        <v>143</v>
      </c>
      <c r="F125" s="133" t="s">
        <v>1571</v>
      </c>
      <c r="L125" s="26"/>
      <c r="M125" s="134"/>
      <c r="T125" s="50"/>
      <c r="AT125" s="14" t="s">
        <v>143</v>
      </c>
      <c r="AU125" s="14" t="s">
        <v>19</v>
      </c>
    </row>
    <row r="126" spans="2:65" s="1" customFormat="1" ht="38.4">
      <c r="B126" s="26"/>
      <c r="D126" s="132" t="s">
        <v>145</v>
      </c>
      <c r="F126" s="135" t="s">
        <v>1568</v>
      </c>
      <c r="L126" s="26"/>
      <c r="M126" s="134"/>
      <c r="T126" s="50"/>
      <c r="AT126" s="14" t="s">
        <v>145</v>
      </c>
      <c r="AU126" s="14" t="s">
        <v>19</v>
      </c>
    </row>
    <row r="127" spans="2:65" s="1" customFormat="1" ht="24.15" customHeight="1">
      <c r="B127" s="119"/>
      <c r="C127" s="120" t="s">
        <v>157</v>
      </c>
      <c r="D127" s="120" t="s">
        <v>137</v>
      </c>
      <c r="E127" s="121" t="s">
        <v>1572</v>
      </c>
      <c r="F127" s="122" t="s">
        <v>1565</v>
      </c>
      <c r="G127" s="123" t="s">
        <v>140</v>
      </c>
      <c r="H127" s="124">
        <v>44942</v>
      </c>
      <c r="I127" s="125">
        <v>0</v>
      </c>
      <c r="J127" s="125">
        <f>ROUND(I127*H127,2)</f>
        <v>0</v>
      </c>
      <c r="K127" s="122" t="s">
        <v>1</v>
      </c>
      <c r="L127" s="26"/>
      <c r="M127" s="126" t="s">
        <v>1</v>
      </c>
      <c r="N127" s="127" t="s">
        <v>46</v>
      </c>
      <c r="O127" s="128">
        <v>0</v>
      </c>
      <c r="P127" s="128">
        <f>O127*H127</f>
        <v>0</v>
      </c>
      <c r="Q127" s="128">
        <v>0</v>
      </c>
      <c r="R127" s="128">
        <f>Q127*H127</f>
        <v>0</v>
      </c>
      <c r="S127" s="128">
        <v>0</v>
      </c>
      <c r="T127" s="129">
        <f>S127*H127</f>
        <v>0</v>
      </c>
      <c r="AR127" s="130" t="s">
        <v>135</v>
      </c>
      <c r="AT127" s="130" t="s">
        <v>137</v>
      </c>
      <c r="AU127" s="130" t="s">
        <v>19</v>
      </c>
      <c r="AY127" s="14" t="s">
        <v>136</v>
      </c>
      <c r="BE127" s="131">
        <f>IF(N127="základní",J127,0)</f>
        <v>0</v>
      </c>
      <c r="BF127" s="131">
        <f>IF(N127="snížená",J127,0)</f>
        <v>0</v>
      </c>
      <c r="BG127" s="131">
        <f>IF(N127="zákl. přenesená",J127,0)</f>
        <v>0</v>
      </c>
      <c r="BH127" s="131">
        <f>IF(N127="sníž. přenesená",J127,0)</f>
        <v>0</v>
      </c>
      <c r="BI127" s="131">
        <f>IF(N127="nulová",J127,0)</f>
        <v>0</v>
      </c>
      <c r="BJ127" s="14" t="s">
        <v>19</v>
      </c>
      <c r="BK127" s="131">
        <f>ROUND(I127*H127,2)</f>
        <v>0</v>
      </c>
      <c r="BL127" s="14" t="s">
        <v>135</v>
      </c>
      <c r="BM127" s="130" t="s">
        <v>1573</v>
      </c>
    </row>
    <row r="128" spans="2:65" s="1" customFormat="1" ht="48">
      <c r="B128" s="26"/>
      <c r="D128" s="132" t="s">
        <v>143</v>
      </c>
      <c r="F128" s="133" t="s">
        <v>1574</v>
      </c>
      <c r="L128" s="26"/>
      <c r="M128" s="134"/>
      <c r="T128" s="50"/>
      <c r="AT128" s="14" t="s">
        <v>143</v>
      </c>
      <c r="AU128" s="14" t="s">
        <v>19</v>
      </c>
    </row>
    <row r="129" spans="2:65" s="1" customFormat="1" ht="38.4">
      <c r="B129" s="26"/>
      <c r="D129" s="132" t="s">
        <v>145</v>
      </c>
      <c r="F129" s="135" t="s">
        <v>1568</v>
      </c>
      <c r="L129" s="26"/>
      <c r="M129" s="134"/>
      <c r="T129" s="50"/>
      <c r="AT129" s="14" t="s">
        <v>145</v>
      </c>
      <c r="AU129" s="14" t="s">
        <v>19</v>
      </c>
    </row>
    <row r="130" spans="2:65" s="1" customFormat="1" ht="24.15" customHeight="1">
      <c r="B130" s="119"/>
      <c r="C130" s="120" t="s">
        <v>135</v>
      </c>
      <c r="D130" s="120" t="s">
        <v>137</v>
      </c>
      <c r="E130" s="121" t="s">
        <v>158</v>
      </c>
      <c r="F130" s="122" t="s">
        <v>159</v>
      </c>
      <c r="G130" s="123" t="s">
        <v>140</v>
      </c>
      <c r="H130" s="124">
        <v>1</v>
      </c>
      <c r="I130" s="125">
        <v>0</v>
      </c>
      <c r="J130" s="125">
        <f>ROUND(I130*H130,2)</f>
        <v>0</v>
      </c>
      <c r="K130" s="122" t="s">
        <v>141</v>
      </c>
      <c r="L130" s="26"/>
      <c r="M130" s="126" t="s">
        <v>1</v>
      </c>
      <c r="N130" s="127" t="s">
        <v>46</v>
      </c>
      <c r="O130" s="128">
        <v>0</v>
      </c>
      <c r="P130" s="128">
        <f>O130*H130</f>
        <v>0</v>
      </c>
      <c r="Q130" s="128">
        <v>0</v>
      </c>
      <c r="R130" s="128">
        <f>Q130*H130</f>
        <v>0</v>
      </c>
      <c r="S130" s="128">
        <v>0</v>
      </c>
      <c r="T130" s="129">
        <f>S130*H130</f>
        <v>0</v>
      </c>
      <c r="AR130" s="130" t="s">
        <v>135</v>
      </c>
      <c r="AT130" s="130" t="s">
        <v>137</v>
      </c>
      <c r="AU130" s="130" t="s">
        <v>19</v>
      </c>
      <c r="AY130" s="14" t="s">
        <v>136</v>
      </c>
      <c r="BE130" s="131">
        <f>IF(N130="základní",J130,0)</f>
        <v>0</v>
      </c>
      <c r="BF130" s="131">
        <f>IF(N130="snížená",J130,0)</f>
        <v>0</v>
      </c>
      <c r="BG130" s="131">
        <f>IF(N130="zákl. přenesená",J130,0)</f>
        <v>0</v>
      </c>
      <c r="BH130" s="131">
        <f>IF(N130="sníž. přenesená",J130,0)</f>
        <v>0</v>
      </c>
      <c r="BI130" s="131">
        <f>IF(N130="nulová",J130,0)</f>
        <v>0</v>
      </c>
      <c r="BJ130" s="14" t="s">
        <v>19</v>
      </c>
      <c r="BK130" s="131">
        <f>ROUND(I130*H130,2)</f>
        <v>0</v>
      </c>
      <c r="BL130" s="14" t="s">
        <v>135</v>
      </c>
      <c r="BM130" s="130" t="s">
        <v>1575</v>
      </c>
    </row>
    <row r="131" spans="2:65" s="1" customFormat="1" ht="28.8">
      <c r="B131" s="26"/>
      <c r="D131" s="132" t="s">
        <v>143</v>
      </c>
      <c r="F131" s="133" t="s">
        <v>1576</v>
      </c>
      <c r="L131" s="26"/>
      <c r="M131" s="134"/>
      <c r="T131" s="50"/>
      <c r="AT131" s="14" t="s">
        <v>143</v>
      </c>
      <c r="AU131" s="14" t="s">
        <v>19</v>
      </c>
    </row>
    <row r="132" spans="2:65" s="1" customFormat="1" ht="38.4">
      <c r="B132" s="26"/>
      <c r="D132" s="132" t="s">
        <v>145</v>
      </c>
      <c r="F132" s="135" t="s">
        <v>162</v>
      </c>
      <c r="L132" s="26"/>
      <c r="M132" s="134"/>
      <c r="T132" s="50"/>
      <c r="AT132" s="14" t="s">
        <v>145</v>
      </c>
      <c r="AU132" s="14" t="s">
        <v>19</v>
      </c>
    </row>
    <row r="133" spans="2:65" s="1" customFormat="1" ht="24.15" customHeight="1">
      <c r="B133" s="119"/>
      <c r="C133" s="120" t="s">
        <v>169</v>
      </c>
      <c r="D133" s="120" t="s">
        <v>137</v>
      </c>
      <c r="E133" s="121" t="s">
        <v>1577</v>
      </c>
      <c r="F133" s="122" t="s">
        <v>1578</v>
      </c>
      <c r="G133" s="123" t="s">
        <v>140</v>
      </c>
      <c r="H133" s="124">
        <v>1</v>
      </c>
      <c r="I133" s="125">
        <v>0</v>
      </c>
      <c r="J133" s="125">
        <f>ROUND(I133*H133,2)</f>
        <v>0</v>
      </c>
      <c r="K133" s="122" t="s">
        <v>1579</v>
      </c>
      <c r="L133" s="26"/>
      <c r="M133" s="126" t="s">
        <v>1</v>
      </c>
      <c r="N133" s="127" t="s">
        <v>46</v>
      </c>
      <c r="O133" s="128">
        <v>0</v>
      </c>
      <c r="P133" s="128">
        <f>O133*H133</f>
        <v>0</v>
      </c>
      <c r="Q133" s="128">
        <v>0</v>
      </c>
      <c r="R133" s="128">
        <f>Q133*H133</f>
        <v>0</v>
      </c>
      <c r="S133" s="128">
        <v>0</v>
      </c>
      <c r="T133" s="129">
        <f>S133*H133</f>
        <v>0</v>
      </c>
      <c r="AR133" s="130" t="s">
        <v>135</v>
      </c>
      <c r="AT133" s="130" t="s">
        <v>137</v>
      </c>
      <c r="AU133" s="130" t="s">
        <v>19</v>
      </c>
      <c r="AY133" s="14" t="s">
        <v>136</v>
      </c>
      <c r="BE133" s="131">
        <f>IF(N133="základní",J133,0)</f>
        <v>0</v>
      </c>
      <c r="BF133" s="131">
        <f>IF(N133="snížená",J133,0)</f>
        <v>0</v>
      </c>
      <c r="BG133" s="131">
        <f>IF(N133="zákl. přenesená",J133,0)</f>
        <v>0</v>
      </c>
      <c r="BH133" s="131">
        <f>IF(N133="sníž. přenesená",J133,0)</f>
        <v>0</v>
      </c>
      <c r="BI133" s="131">
        <f>IF(N133="nulová",J133,0)</f>
        <v>0</v>
      </c>
      <c r="BJ133" s="14" t="s">
        <v>19</v>
      </c>
      <c r="BK133" s="131">
        <f>ROUND(I133*H133,2)</f>
        <v>0</v>
      </c>
      <c r="BL133" s="14" t="s">
        <v>135</v>
      </c>
      <c r="BM133" s="130" t="s">
        <v>1580</v>
      </c>
    </row>
    <row r="134" spans="2:65" s="1" customFormat="1" ht="240">
      <c r="B134" s="26"/>
      <c r="D134" s="132" t="s">
        <v>143</v>
      </c>
      <c r="F134" s="133" t="s">
        <v>1581</v>
      </c>
      <c r="L134" s="26"/>
      <c r="M134" s="134"/>
      <c r="T134" s="50"/>
      <c r="AT134" s="14" t="s">
        <v>143</v>
      </c>
      <c r="AU134" s="14" t="s">
        <v>19</v>
      </c>
    </row>
    <row r="135" spans="2:65" s="1" customFormat="1" ht="28.8">
      <c r="B135" s="26"/>
      <c r="D135" s="132" t="s">
        <v>145</v>
      </c>
      <c r="F135" s="135" t="s">
        <v>1582</v>
      </c>
      <c r="L135" s="26"/>
      <c r="M135" s="134"/>
      <c r="T135" s="50"/>
      <c r="AT135" s="14" t="s">
        <v>145</v>
      </c>
      <c r="AU135" s="14" t="s">
        <v>19</v>
      </c>
    </row>
    <row r="136" spans="2:65" s="1" customFormat="1" ht="24.15" customHeight="1">
      <c r="B136" s="119"/>
      <c r="C136" s="120" t="s">
        <v>176</v>
      </c>
      <c r="D136" s="120" t="s">
        <v>137</v>
      </c>
      <c r="E136" s="121" t="s">
        <v>1583</v>
      </c>
      <c r="F136" s="122" t="s">
        <v>1578</v>
      </c>
      <c r="G136" s="123" t="s">
        <v>140</v>
      </c>
      <c r="H136" s="124">
        <v>3</v>
      </c>
      <c r="I136" s="125">
        <v>0</v>
      </c>
      <c r="J136" s="125">
        <f>ROUND(I136*H136,2)</f>
        <v>0</v>
      </c>
      <c r="K136" s="122" t="s">
        <v>141</v>
      </c>
      <c r="L136" s="26"/>
      <c r="M136" s="126" t="s">
        <v>1</v>
      </c>
      <c r="N136" s="127" t="s">
        <v>46</v>
      </c>
      <c r="O136" s="128">
        <v>0</v>
      </c>
      <c r="P136" s="128">
        <f>O136*H136</f>
        <v>0</v>
      </c>
      <c r="Q136" s="128">
        <v>0</v>
      </c>
      <c r="R136" s="128">
        <f>Q136*H136</f>
        <v>0</v>
      </c>
      <c r="S136" s="128">
        <v>0</v>
      </c>
      <c r="T136" s="129">
        <f>S136*H136</f>
        <v>0</v>
      </c>
      <c r="AR136" s="130" t="s">
        <v>135</v>
      </c>
      <c r="AT136" s="130" t="s">
        <v>137</v>
      </c>
      <c r="AU136" s="130" t="s">
        <v>19</v>
      </c>
      <c r="AY136" s="14" t="s">
        <v>136</v>
      </c>
      <c r="BE136" s="131">
        <f>IF(N136="základní",J136,0)</f>
        <v>0</v>
      </c>
      <c r="BF136" s="131">
        <f>IF(N136="snížená",J136,0)</f>
        <v>0</v>
      </c>
      <c r="BG136" s="131">
        <f>IF(N136="zákl. přenesená",J136,0)</f>
        <v>0</v>
      </c>
      <c r="BH136" s="131">
        <f>IF(N136="sníž. přenesená",J136,0)</f>
        <v>0</v>
      </c>
      <c r="BI136" s="131">
        <f>IF(N136="nulová",J136,0)</f>
        <v>0</v>
      </c>
      <c r="BJ136" s="14" t="s">
        <v>19</v>
      </c>
      <c r="BK136" s="131">
        <f>ROUND(I136*H136,2)</f>
        <v>0</v>
      </c>
      <c r="BL136" s="14" t="s">
        <v>135</v>
      </c>
      <c r="BM136" s="130" t="s">
        <v>1584</v>
      </c>
    </row>
    <row r="137" spans="2:65" s="1" customFormat="1">
      <c r="B137" s="26"/>
      <c r="D137" s="132" t="s">
        <v>143</v>
      </c>
      <c r="F137" s="133" t="s">
        <v>1585</v>
      </c>
      <c r="L137" s="26"/>
      <c r="M137" s="134"/>
      <c r="T137" s="50"/>
      <c r="AT137" s="14" t="s">
        <v>143</v>
      </c>
      <c r="AU137" s="14" t="s">
        <v>19</v>
      </c>
    </row>
    <row r="138" spans="2:65" s="1" customFormat="1" ht="28.8">
      <c r="B138" s="26"/>
      <c r="D138" s="132" t="s">
        <v>145</v>
      </c>
      <c r="F138" s="135" t="s">
        <v>187</v>
      </c>
      <c r="L138" s="26"/>
      <c r="M138" s="134"/>
      <c r="T138" s="50"/>
      <c r="AT138" s="14" t="s">
        <v>145</v>
      </c>
      <c r="AU138" s="14" t="s">
        <v>19</v>
      </c>
    </row>
    <row r="139" spans="2:65" s="11" customFormat="1">
      <c r="B139" s="136"/>
      <c r="D139" s="132" t="s">
        <v>147</v>
      </c>
      <c r="E139" s="137" t="s">
        <v>1586</v>
      </c>
      <c r="F139" s="138" t="s">
        <v>1587</v>
      </c>
      <c r="H139" s="139">
        <v>2</v>
      </c>
      <c r="L139" s="136"/>
      <c r="M139" s="140"/>
      <c r="T139" s="141"/>
      <c r="AT139" s="137" t="s">
        <v>147</v>
      </c>
      <c r="AU139" s="137" t="s">
        <v>19</v>
      </c>
      <c r="AV139" s="11" t="s">
        <v>149</v>
      </c>
      <c r="AW139" s="11" t="s">
        <v>39</v>
      </c>
      <c r="AX139" s="11" t="s">
        <v>81</v>
      </c>
      <c r="AY139" s="137" t="s">
        <v>136</v>
      </c>
    </row>
    <row r="140" spans="2:65" s="11" customFormat="1">
      <c r="B140" s="136"/>
      <c r="D140" s="132" t="s">
        <v>147</v>
      </c>
      <c r="E140" s="137" t="s">
        <v>1588</v>
      </c>
      <c r="F140" s="138" t="s">
        <v>1589</v>
      </c>
      <c r="H140" s="139">
        <v>1</v>
      </c>
      <c r="L140" s="136"/>
      <c r="M140" s="140"/>
      <c r="T140" s="141"/>
      <c r="AT140" s="137" t="s">
        <v>147</v>
      </c>
      <c r="AU140" s="137" t="s">
        <v>19</v>
      </c>
      <c r="AV140" s="11" t="s">
        <v>149</v>
      </c>
      <c r="AW140" s="11" t="s">
        <v>39</v>
      </c>
      <c r="AX140" s="11" t="s">
        <v>81</v>
      </c>
      <c r="AY140" s="137" t="s">
        <v>136</v>
      </c>
    </row>
    <row r="141" spans="2:65" s="11" customFormat="1">
      <c r="B141" s="136"/>
      <c r="D141" s="132" t="s">
        <v>147</v>
      </c>
      <c r="E141" s="137" t="s">
        <v>1590</v>
      </c>
      <c r="F141" s="138" t="s">
        <v>1591</v>
      </c>
      <c r="H141" s="139">
        <v>3</v>
      </c>
      <c r="L141" s="136"/>
      <c r="M141" s="140"/>
      <c r="T141" s="141"/>
      <c r="AT141" s="137" t="s">
        <v>147</v>
      </c>
      <c r="AU141" s="137" t="s">
        <v>19</v>
      </c>
      <c r="AV141" s="11" t="s">
        <v>149</v>
      </c>
      <c r="AW141" s="11" t="s">
        <v>39</v>
      </c>
      <c r="AX141" s="11" t="s">
        <v>19</v>
      </c>
      <c r="AY141" s="137" t="s">
        <v>136</v>
      </c>
    </row>
    <row r="142" spans="2:65" s="1" customFormat="1" ht="24.15" customHeight="1">
      <c r="B142" s="119"/>
      <c r="C142" s="120" t="s">
        <v>182</v>
      </c>
      <c r="D142" s="120" t="s">
        <v>137</v>
      </c>
      <c r="E142" s="121" t="s">
        <v>1592</v>
      </c>
      <c r="F142" s="122" t="s">
        <v>1578</v>
      </c>
      <c r="G142" s="123" t="s">
        <v>140</v>
      </c>
      <c r="H142" s="124">
        <v>6000</v>
      </c>
      <c r="I142" s="125">
        <v>0</v>
      </c>
      <c r="J142" s="125">
        <f>ROUND(I142*H142,2)</f>
        <v>0</v>
      </c>
      <c r="K142" s="122" t="s">
        <v>141</v>
      </c>
      <c r="L142" s="26"/>
      <c r="M142" s="126" t="s">
        <v>1</v>
      </c>
      <c r="N142" s="127" t="s">
        <v>46</v>
      </c>
      <c r="O142" s="128">
        <v>0</v>
      </c>
      <c r="P142" s="128">
        <f>O142*H142</f>
        <v>0</v>
      </c>
      <c r="Q142" s="128">
        <v>0</v>
      </c>
      <c r="R142" s="128">
        <f>Q142*H142</f>
        <v>0</v>
      </c>
      <c r="S142" s="128">
        <v>0</v>
      </c>
      <c r="T142" s="129">
        <f>S142*H142</f>
        <v>0</v>
      </c>
      <c r="AR142" s="130" t="s">
        <v>135</v>
      </c>
      <c r="AT142" s="130" t="s">
        <v>137</v>
      </c>
      <c r="AU142" s="130" t="s">
        <v>19</v>
      </c>
      <c r="AY142" s="14" t="s">
        <v>136</v>
      </c>
      <c r="BE142" s="131">
        <f>IF(N142="základní",J142,0)</f>
        <v>0</v>
      </c>
      <c r="BF142" s="131">
        <f>IF(N142="snížená",J142,0)</f>
        <v>0</v>
      </c>
      <c r="BG142" s="131">
        <f>IF(N142="zákl. přenesená",J142,0)</f>
        <v>0</v>
      </c>
      <c r="BH142" s="131">
        <f>IF(N142="sníž. přenesená",J142,0)</f>
        <v>0</v>
      </c>
      <c r="BI142" s="131">
        <f>IF(N142="nulová",J142,0)</f>
        <v>0</v>
      </c>
      <c r="BJ142" s="14" t="s">
        <v>19</v>
      </c>
      <c r="BK142" s="131">
        <f>ROUND(I142*H142,2)</f>
        <v>0</v>
      </c>
      <c r="BL142" s="14" t="s">
        <v>135</v>
      </c>
      <c r="BM142" s="130" t="s">
        <v>1593</v>
      </c>
    </row>
    <row r="143" spans="2:65" s="1" customFormat="1" ht="57.6">
      <c r="B143" s="26"/>
      <c r="D143" s="132" t="s">
        <v>143</v>
      </c>
      <c r="F143" s="133" t="s">
        <v>1594</v>
      </c>
      <c r="L143" s="26"/>
      <c r="M143" s="134"/>
      <c r="T143" s="50"/>
      <c r="AT143" s="14" t="s">
        <v>143</v>
      </c>
      <c r="AU143" s="14" t="s">
        <v>19</v>
      </c>
    </row>
    <row r="144" spans="2:65" s="1" customFormat="1" ht="28.8">
      <c r="B144" s="26"/>
      <c r="D144" s="132" t="s">
        <v>145</v>
      </c>
      <c r="F144" s="135" t="s">
        <v>187</v>
      </c>
      <c r="L144" s="26"/>
      <c r="M144" s="134"/>
      <c r="T144" s="50"/>
      <c r="AT144" s="14" t="s">
        <v>145</v>
      </c>
      <c r="AU144" s="14" t="s">
        <v>19</v>
      </c>
    </row>
    <row r="145" spans="2:65" s="11" customFormat="1">
      <c r="B145" s="136"/>
      <c r="D145" s="132" t="s">
        <v>147</v>
      </c>
      <c r="E145" s="137" t="s">
        <v>1595</v>
      </c>
      <c r="F145" s="138" t="s">
        <v>1596</v>
      </c>
      <c r="H145" s="139">
        <v>6000</v>
      </c>
      <c r="L145" s="136"/>
      <c r="M145" s="140"/>
      <c r="T145" s="141"/>
      <c r="AT145" s="137" t="s">
        <v>147</v>
      </c>
      <c r="AU145" s="137" t="s">
        <v>19</v>
      </c>
      <c r="AV145" s="11" t="s">
        <v>149</v>
      </c>
      <c r="AW145" s="11" t="s">
        <v>39</v>
      </c>
      <c r="AX145" s="11" t="s">
        <v>19</v>
      </c>
      <c r="AY145" s="137" t="s">
        <v>136</v>
      </c>
    </row>
    <row r="146" spans="2:65" s="1" customFormat="1" ht="24.15" customHeight="1">
      <c r="B146" s="119"/>
      <c r="C146" s="120" t="s">
        <v>189</v>
      </c>
      <c r="D146" s="120" t="s">
        <v>137</v>
      </c>
      <c r="E146" s="121" t="s">
        <v>1597</v>
      </c>
      <c r="F146" s="122" t="s">
        <v>1578</v>
      </c>
      <c r="G146" s="123" t="s">
        <v>1598</v>
      </c>
      <c r="H146" s="124">
        <v>280</v>
      </c>
      <c r="I146" s="125">
        <v>0</v>
      </c>
      <c r="J146" s="125">
        <f>ROUND(I146*H146,2)</f>
        <v>0</v>
      </c>
      <c r="K146" s="122" t="s">
        <v>1</v>
      </c>
      <c r="L146" s="26"/>
      <c r="M146" s="126" t="s">
        <v>1</v>
      </c>
      <c r="N146" s="127" t="s">
        <v>46</v>
      </c>
      <c r="O146" s="128">
        <v>0</v>
      </c>
      <c r="P146" s="128">
        <f>O146*H146</f>
        <v>0</v>
      </c>
      <c r="Q146" s="128">
        <v>0</v>
      </c>
      <c r="R146" s="128">
        <f>Q146*H146</f>
        <v>0</v>
      </c>
      <c r="S146" s="128">
        <v>0</v>
      </c>
      <c r="T146" s="129">
        <f>S146*H146</f>
        <v>0</v>
      </c>
      <c r="AR146" s="130" t="s">
        <v>135</v>
      </c>
      <c r="AT146" s="130" t="s">
        <v>137</v>
      </c>
      <c r="AU146" s="130" t="s">
        <v>19</v>
      </c>
      <c r="AY146" s="14" t="s">
        <v>136</v>
      </c>
      <c r="BE146" s="131">
        <f>IF(N146="základní",J146,0)</f>
        <v>0</v>
      </c>
      <c r="BF146" s="131">
        <f>IF(N146="snížená",J146,0)</f>
        <v>0</v>
      </c>
      <c r="BG146" s="131">
        <f>IF(N146="zákl. přenesená",J146,0)</f>
        <v>0</v>
      </c>
      <c r="BH146" s="131">
        <f>IF(N146="sníž. přenesená",J146,0)</f>
        <v>0</v>
      </c>
      <c r="BI146" s="131">
        <f>IF(N146="nulová",J146,0)</f>
        <v>0</v>
      </c>
      <c r="BJ146" s="14" t="s">
        <v>19</v>
      </c>
      <c r="BK146" s="131">
        <f>ROUND(I146*H146,2)</f>
        <v>0</v>
      </c>
      <c r="BL146" s="14" t="s">
        <v>135</v>
      </c>
      <c r="BM146" s="130" t="s">
        <v>1599</v>
      </c>
    </row>
    <row r="147" spans="2:65" s="1" customFormat="1" ht="48">
      <c r="B147" s="26"/>
      <c r="D147" s="132" t="s">
        <v>143</v>
      </c>
      <c r="F147" s="133" t="s">
        <v>1600</v>
      </c>
      <c r="L147" s="26"/>
      <c r="M147" s="134"/>
      <c r="T147" s="50"/>
      <c r="AT147" s="14" t="s">
        <v>143</v>
      </c>
      <c r="AU147" s="14" t="s">
        <v>19</v>
      </c>
    </row>
    <row r="148" spans="2:65" s="1" customFormat="1" ht="28.8">
      <c r="B148" s="26"/>
      <c r="D148" s="132" t="s">
        <v>145</v>
      </c>
      <c r="F148" s="135" t="s">
        <v>1582</v>
      </c>
      <c r="L148" s="26"/>
      <c r="M148" s="134"/>
      <c r="T148" s="50"/>
      <c r="AT148" s="14" t="s">
        <v>145</v>
      </c>
      <c r="AU148" s="14" t="s">
        <v>19</v>
      </c>
    </row>
    <row r="149" spans="2:65" s="11" customFormat="1">
      <c r="B149" s="136"/>
      <c r="D149" s="132" t="s">
        <v>147</v>
      </c>
      <c r="E149" s="137" t="s">
        <v>1601</v>
      </c>
      <c r="F149" s="138" t="s">
        <v>1602</v>
      </c>
      <c r="H149" s="139">
        <v>280</v>
      </c>
      <c r="L149" s="136"/>
      <c r="M149" s="140"/>
      <c r="T149" s="141"/>
      <c r="AT149" s="137" t="s">
        <v>147</v>
      </c>
      <c r="AU149" s="137" t="s">
        <v>19</v>
      </c>
      <c r="AV149" s="11" t="s">
        <v>149</v>
      </c>
      <c r="AW149" s="11" t="s">
        <v>39</v>
      </c>
      <c r="AX149" s="11" t="s">
        <v>19</v>
      </c>
      <c r="AY149" s="137" t="s">
        <v>136</v>
      </c>
    </row>
    <row r="150" spans="2:65" s="1" customFormat="1" ht="24.15" customHeight="1">
      <c r="B150" s="119"/>
      <c r="C150" s="120" t="s">
        <v>197</v>
      </c>
      <c r="D150" s="120" t="s">
        <v>137</v>
      </c>
      <c r="E150" s="121" t="s">
        <v>1603</v>
      </c>
      <c r="F150" s="122" t="s">
        <v>1604</v>
      </c>
      <c r="G150" s="123" t="s">
        <v>140</v>
      </c>
      <c r="H150" s="124">
        <v>22500</v>
      </c>
      <c r="I150" s="125">
        <v>0</v>
      </c>
      <c r="J150" s="125">
        <f>ROUND(I150*H150,2)</f>
        <v>0</v>
      </c>
      <c r="K150" s="122" t="s">
        <v>141</v>
      </c>
      <c r="L150" s="26"/>
      <c r="M150" s="126" t="s">
        <v>1</v>
      </c>
      <c r="N150" s="127" t="s">
        <v>46</v>
      </c>
      <c r="O150" s="128">
        <v>0</v>
      </c>
      <c r="P150" s="128">
        <f>O150*H150</f>
        <v>0</v>
      </c>
      <c r="Q150" s="128">
        <v>0</v>
      </c>
      <c r="R150" s="128">
        <f>Q150*H150</f>
        <v>0</v>
      </c>
      <c r="S150" s="128">
        <v>0</v>
      </c>
      <c r="T150" s="129">
        <f>S150*H150</f>
        <v>0</v>
      </c>
      <c r="AR150" s="130" t="s">
        <v>135</v>
      </c>
      <c r="AT150" s="130" t="s">
        <v>137</v>
      </c>
      <c r="AU150" s="130" t="s">
        <v>19</v>
      </c>
      <c r="AY150" s="14" t="s">
        <v>136</v>
      </c>
      <c r="BE150" s="131">
        <f>IF(N150="základní",J150,0)</f>
        <v>0</v>
      </c>
      <c r="BF150" s="131">
        <f>IF(N150="snížená",J150,0)</f>
        <v>0</v>
      </c>
      <c r="BG150" s="131">
        <f>IF(N150="zákl. přenesená",J150,0)</f>
        <v>0</v>
      </c>
      <c r="BH150" s="131">
        <f>IF(N150="sníž. přenesená",J150,0)</f>
        <v>0</v>
      </c>
      <c r="BI150" s="131">
        <f>IF(N150="nulová",J150,0)</f>
        <v>0</v>
      </c>
      <c r="BJ150" s="14" t="s">
        <v>19</v>
      </c>
      <c r="BK150" s="131">
        <f>ROUND(I150*H150,2)</f>
        <v>0</v>
      </c>
      <c r="BL150" s="14" t="s">
        <v>135</v>
      </c>
      <c r="BM150" s="130" t="s">
        <v>1605</v>
      </c>
    </row>
    <row r="151" spans="2:65" s="1" customFormat="1" ht="38.4">
      <c r="B151" s="26"/>
      <c r="D151" s="132" t="s">
        <v>143</v>
      </c>
      <c r="F151" s="133" t="s">
        <v>1606</v>
      </c>
      <c r="L151" s="26"/>
      <c r="M151" s="134"/>
      <c r="T151" s="50"/>
      <c r="AT151" s="14" t="s">
        <v>143</v>
      </c>
      <c r="AU151" s="14" t="s">
        <v>19</v>
      </c>
    </row>
    <row r="152" spans="2:65" s="1" customFormat="1" ht="28.8">
      <c r="B152" s="26"/>
      <c r="D152" s="132" t="s">
        <v>145</v>
      </c>
      <c r="F152" s="135" t="s">
        <v>194</v>
      </c>
      <c r="L152" s="26"/>
      <c r="M152" s="134"/>
      <c r="T152" s="50"/>
      <c r="AT152" s="14" t="s">
        <v>145</v>
      </c>
      <c r="AU152" s="14" t="s">
        <v>19</v>
      </c>
    </row>
    <row r="153" spans="2:65" s="12" customFormat="1" ht="20.399999999999999">
      <c r="B153" s="146"/>
      <c r="D153" s="132" t="s">
        <v>147</v>
      </c>
      <c r="E153" s="147" t="s">
        <v>1560</v>
      </c>
      <c r="F153" s="148" t="s">
        <v>1607</v>
      </c>
      <c r="H153" s="147" t="s">
        <v>1</v>
      </c>
      <c r="L153" s="146"/>
      <c r="M153" s="149"/>
      <c r="T153" s="150"/>
      <c r="AT153" s="147" t="s">
        <v>147</v>
      </c>
      <c r="AU153" s="147" t="s">
        <v>19</v>
      </c>
      <c r="AV153" s="12" t="s">
        <v>19</v>
      </c>
      <c r="AW153" s="12" t="s">
        <v>39</v>
      </c>
      <c r="AX153" s="12" t="s">
        <v>81</v>
      </c>
      <c r="AY153" s="147" t="s">
        <v>136</v>
      </c>
    </row>
    <row r="154" spans="2:65" s="12" customFormat="1" ht="20.399999999999999">
      <c r="B154" s="146"/>
      <c r="D154" s="132" t="s">
        <v>147</v>
      </c>
      <c r="E154" s="147" t="s">
        <v>1608</v>
      </c>
      <c r="F154" s="148" t="s">
        <v>1609</v>
      </c>
      <c r="H154" s="147" t="s">
        <v>1</v>
      </c>
      <c r="L154" s="146"/>
      <c r="M154" s="149"/>
      <c r="T154" s="150"/>
      <c r="AT154" s="147" t="s">
        <v>147</v>
      </c>
      <c r="AU154" s="147" t="s">
        <v>19</v>
      </c>
      <c r="AV154" s="12" t="s">
        <v>19</v>
      </c>
      <c r="AW154" s="12" t="s">
        <v>39</v>
      </c>
      <c r="AX154" s="12" t="s">
        <v>81</v>
      </c>
      <c r="AY154" s="147" t="s">
        <v>136</v>
      </c>
    </row>
    <row r="155" spans="2:65" s="12" customFormat="1">
      <c r="B155" s="146"/>
      <c r="D155" s="132" t="s">
        <v>147</v>
      </c>
      <c r="E155" s="147" t="s">
        <v>1610</v>
      </c>
      <c r="F155" s="148" t="s">
        <v>1611</v>
      </c>
      <c r="H155" s="147" t="s">
        <v>1</v>
      </c>
      <c r="L155" s="146"/>
      <c r="M155" s="149"/>
      <c r="T155" s="150"/>
      <c r="AT155" s="147" t="s">
        <v>147</v>
      </c>
      <c r="AU155" s="147" t="s">
        <v>19</v>
      </c>
      <c r="AV155" s="12" t="s">
        <v>19</v>
      </c>
      <c r="AW155" s="12" t="s">
        <v>39</v>
      </c>
      <c r="AX155" s="12" t="s">
        <v>81</v>
      </c>
      <c r="AY155" s="147" t="s">
        <v>136</v>
      </c>
    </row>
    <row r="156" spans="2:65" s="11" customFormat="1">
      <c r="B156" s="136"/>
      <c r="D156" s="132" t="s">
        <v>147</v>
      </c>
      <c r="E156" s="137" t="s">
        <v>1612</v>
      </c>
      <c r="F156" s="138" t="s">
        <v>1613</v>
      </c>
      <c r="H156" s="139">
        <v>22500</v>
      </c>
      <c r="L156" s="136"/>
      <c r="M156" s="140"/>
      <c r="T156" s="141"/>
      <c r="AT156" s="137" t="s">
        <v>147</v>
      </c>
      <c r="AU156" s="137" t="s">
        <v>19</v>
      </c>
      <c r="AV156" s="11" t="s">
        <v>149</v>
      </c>
      <c r="AW156" s="11" t="s">
        <v>39</v>
      </c>
      <c r="AX156" s="11" t="s">
        <v>19</v>
      </c>
      <c r="AY156" s="137" t="s">
        <v>136</v>
      </c>
    </row>
    <row r="157" spans="2:65" s="1" customFormat="1" ht="24.15" customHeight="1">
      <c r="B157" s="119"/>
      <c r="C157" s="120" t="s">
        <v>24</v>
      </c>
      <c r="D157" s="120" t="s">
        <v>137</v>
      </c>
      <c r="E157" s="121" t="s">
        <v>1614</v>
      </c>
      <c r="F157" s="122" t="s">
        <v>1615</v>
      </c>
      <c r="G157" s="123" t="s">
        <v>140</v>
      </c>
      <c r="H157" s="124">
        <v>653640</v>
      </c>
      <c r="I157" s="125">
        <v>0</v>
      </c>
      <c r="J157" s="125">
        <f>ROUND(I157*H157,2)</f>
        <v>0</v>
      </c>
      <c r="K157" s="122" t="s">
        <v>141</v>
      </c>
      <c r="L157" s="26"/>
      <c r="M157" s="126" t="s">
        <v>1</v>
      </c>
      <c r="N157" s="127" t="s">
        <v>46</v>
      </c>
      <c r="O157" s="128">
        <v>0</v>
      </c>
      <c r="P157" s="128">
        <f>O157*H157</f>
        <v>0</v>
      </c>
      <c r="Q157" s="128">
        <v>0</v>
      </c>
      <c r="R157" s="128">
        <f>Q157*H157</f>
        <v>0</v>
      </c>
      <c r="S157" s="128">
        <v>0</v>
      </c>
      <c r="T157" s="129">
        <f>S157*H157</f>
        <v>0</v>
      </c>
      <c r="AR157" s="130" t="s">
        <v>135</v>
      </c>
      <c r="AT157" s="130" t="s">
        <v>137</v>
      </c>
      <c r="AU157" s="130" t="s">
        <v>19</v>
      </c>
      <c r="AY157" s="14" t="s">
        <v>136</v>
      </c>
      <c r="BE157" s="131">
        <f>IF(N157="základní",J157,0)</f>
        <v>0</v>
      </c>
      <c r="BF157" s="131">
        <f>IF(N157="snížená",J157,0)</f>
        <v>0</v>
      </c>
      <c r="BG157" s="131">
        <f>IF(N157="zákl. přenesená",J157,0)</f>
        <v>0</v>
      </c>
      <c r="BH157" s="131">
        <f>IF(N157="sníž. přenesená",J157,0)</f>
        <v>0</v>
      </c>
      <c r="BI157" s="131">
        <f>IF(N157="nulová",J157,0)</f>
        <v>0</v>
      </c>
      <c r="BJ157" s="14" t="s">
        <v>19</v>
      </c>
      <c r="BK157" s="131">
        <f>ROUND(I157*H157,2)</f>
        <v>0</v>
      </c>
      <c r="BL157" s="14" t="s">
        <v>135</v>
      </c>
      <c r="BM157" s="130" t="s">
        <v>1616</v>
      </c>
    </row>
    <row r="158" spans="2:65" s="1" customFormat="1" ht="67.2">
      <c r="B158" s="26"/>
      <c r="D158" s="132" t="s">
        <v>143</v>
      </c>
      <c r="F158" s="133" t="s">
        <v>1617</v>
      </c>
      <c r="L158" s="26"/>
      <c r="M158" s="134"/>
      <c r="T158" s="50"/>
      <c r="AT158" s="14" t="s">
        <v>143</v>
      </c>
      <c r="AU158" s="14" t="s">
        <v>19</v>
      </c>
    </row>
    <row r="159" spans="2:65" s="1" customFormat="1" ht="28.8">
      <c r="B159" s="26"/>
      <c r="D159" s="132" t="s">
        <v>145</v>
      </c>
      <c r="F159" s="135" t="s">
        <v>194</v>
      </c>
      <c r="L159" s="26"/>
      <c r="M159" s="134"/>
      <c r="T159" s="50"/>
      <c r="AT159" s="14" t="s">
        <v>145</v>
      </c>
      <c r="AU159" s="14" t="s">
        <v>19</v>
      </c>
    </row>
    <row r="160" spans="2:65" s="11" customFormat="1">
      <c r="B160" s="136"/>
      <c r="D160" s="132" t="s">
        <v>147</v>
      </c>
      <c r="E160" s="137" t="s">
        <v>1618</v>
      </c>
      <c r="F160" s="138" t="s">
        <v>1619</v>
      </c>
      <c r="H160" s="139">
        <v>10</v>
      </c>
      <c r="L160" s="136"/>
      <c r="M160" s="140"/>
      <c r="T160" s="141"/>
      <c r="AT160" s="137" t="s">
        <v>147</v>
      </c>
      <c r="AU160" s="137" t="s">
        <v>19</v>
      </c>
      <c r="AV160" s="11" t="s">
        <v>149</v>
      </c>
      <c r="AW160" s="11" t="s">
        <v>39</v>
      </c>
      <c r="AX160" s="11" t="s">
        <v>81</v>
      </c>
      <c r="AY160" s="137" t="s">
        <v>136</v>
      </c>
    </row>
    <row r="161" spans="2:65" s="11" customFormat="1">
      <c r="B161" s="136"/>
      <c r="D161" s="132" t="s">
        <v>147</v>
      </c>
      <c r="E161" s="137" t="s">
        <v>1620</v>
      </c>
      <c r="F161" s="138" t="s">
        <v>1621</v>
      </c>
      <c r="H161" s="139">
        <v>5</v>
      </c>
      <c r="L161" s="136"/>
      <c r="M161" s="140"/>
      <c r="T161" s="141"/>
      <c r="AT161" s="137" t="s">
        <v>147</v>
      </c>
      <c r="AU161" s="137" t="s">
        <v>19</v>
      </c>
      <c r="AV161" s="11" t="s">
        <v>149</v>
      </c>
      <c r="AW161" s="11" t="s">
        <v>39</v>
      </c>
      <c r="AX161" s="11" t="s">
        <v>81</v>
      </c>
      <c r="AY161" s="137" t="s">
        <v>136</v>
      </c>
    </row>
    <row r="162" spans="2:65" s="11" customFormat="1">
      <c r="B162" s="136"/>
      <c r="D162" s="132" t="s">
        <v>147</v>
      </c>
      <c r="E162" s="137" t="s">
        <v>1562</v>
      </c>
      <c r="F162" s="138" t="s">
        <v>1622</v>
      </c>
      <c r="H162" s="139">
        <v>15</v>
      </c>
      <c r="L162" s="136"/>
      <c r="M162" s="140"/>
      <c r="T162" s="141"/>
      <c r="AT162" s="137" t="s">
        <v>147</v>
      </c>
      <c r="AU162" s="137" t="s">
        <v>19</v>
      </c>
      <c r="AV162" s="11" t="s">
        <v>149</v>
      </c>
      <c r="AW162" s="11" t="s">
        <v>39</v>
      </c>
      <c r="AX162" s="11" t="s">
        <v>81</v>
      </c>
      <c r="AY162" s="137" t="s">
        <v>136</v>
      </c>
    </row>
    <row r="163" spans="2:65" s="11" customFormat="1">
      <c r="B163" s="136"/>
      <c r="D163" s="132" t="s">
        <v>147</v>
      </c>
      <c r="E163" s="137" t="s">
        <v>1623</v>
      </c>
      <c r="F163" s="138" t="s">
        <v>1624</v>
      </c>
      <c r="H163" s="139">
        <v>653640</v>
      </c>
      <c r="L163" s="136"/>
      <c r="M163" s="140"/>
      <c r="T163" s="141"/>
      <c r="AT163" s="137" t="s">
        <v>147</v>
      </c>
      <c r="AU163" s="137" t="s">
        <v>19</v>
      </c>
      <c r="AV163" s="11" t="s">
        <v>149</v>
      </c>
      <c r="AW163" s="11" t="s">
        <v>39</v>
      </c>
      <c r="AX163" s="11" t="s">
        <v>19</v>
      </c>
      <c r="AY163" s="137" t="s">
        <v>136</v>
      </c>
    </row>
    <row r="164" spans="2:65" s="1" customFormat="1" ht="24.15" customHeight="1">
      <c r="B164" s="119"/>
      <c r="C164" s="120" t="s">
        <v>320</v>
      </c>
      <c r="D164" s="120" t="s">
        <v>137</v>
      </c>
      <c r="E164" s="121" t="s">
        <v>1625</v>
      </c>
      <c r="F164" s="122" t="s">
        <v>1615</v>
      </c>
      <c r="G164" s="123" t="s">
        <v>140</v>
      </c>
      <c r="H164" s="124">
        <v>480852</v>
      </c>
      <c r="I164" s="125">
        <v>0</v>
      </c>
      <c r="J164" s="125">
        <f>ROUND(I164*H164,2)</f>
        <v>0</v>
      </c>
      <c r="K164" s="122" t="s">
        <v>141</v>
      </c>
      <c r="L164" s="26"/>
      <c r="M164" s="126" t="s">
        <v>1</v>
      </c>
      <c r="N164" s="127" t="s">
        <v>46</v>
      </c>
      <c r="O164" s="128">
        <v>0</v>
      </c>
      <c r="P164" s="128">
        <f>O164*H164</f>
        <v>0</v>
      </c>
      <c r="Q164" s="128">
        <v>0</v>
      </c>
      <c r="R164" s="128">
        <f>Q164*H164</f>
        <v>0</v>
      </c>
      <c r="S164" s="128">
        <v>0</v>
      </c>
      <c r="T164" s="129">
        <f>S164*H164</f>
        <v>0</v>
      </c>
      <c r="AR164" s="130" t="s">
        <v>135</v>
      </c>
      <c r="AT164" s="130" t="s">
        <v>137</v>
      </c>
      <c r="AU164" s="130" t="s">
        <v>19</v>
      </c>
      <c r="AY164" s="14" t="s">
        <v>136</v>
      </c>
      <c r="BE164" s="131">
        <f>IF(N164="základní",J164,0)</f>
        <v>0</v>
      </c>
      <c r="BF164" s="131">
        <f>IF(N164="snížená",J164,0)</f>
        <v>0</v>
      </c>
      <c r="BG164" s="131">
        <f>IF(N164="zákl. přenesená",J164,0)</f>
        <v>0</v>
      </c>
      <c r="BH164" s="131">
        <f>IF(N164="sníž. přenesená",J164,0)</f>
        <v>0</v>
      </c>
      <c r="BI164" s="131">
        <f>IF(N164="nulová",J164,0)</f>
        <v>0</v>
      </c>
      <c r="BJ164" s="14" t="s">
        <v>19</v>
      </c>
      <c r="BK164" s="131">
        <f>ROUND(I164*H164,2)</f>
        <v>0</v>
      </c>
      <c r="BL164" s="14" t="s">
        <v>135</v>
      </c>
      <c r="BM164" s="130" t="s">
        <v>1626</v>
      </c>
    </row>
    <row r="165" spans="2:65" s="1" customFormat="1" ht="67.2">
      <c r="B165" s="26"/>
      <c r="D165" s="132" t="s">
        <v>143</v>
      </c>
      <c r="F165" s="133" t="s">
        <v>1627</v>
      </c>
      <c r="L165" s="26"/>
      <c r="M165" s="134"/>
      <c r="T165" s="50"/>
      <c r="AT165" s="14" t="s">
        <v>143</v>
      </c>
      <c r="AU165" s="14" t="s">
        <v>19</v>
      </c>
    </row>
    <row r="166" spans="2:65" s="1" customFormat="1" ht="28.8">
      <c r="B166" s="26"/>
      <c r="D166" s="132" t="s">
        <v>145</v>
      </c>
      <c r="F166" s="135" t="s">
        <v>194</v>
      </c>
      <c r="L166" s="26"/>
      <c r="M166" s="134"/>
      <c r="T166" s="50"/>
      <c r="AT166" s="14" t="s">
        <v>145</v>
      </c>
      <c r="AU166" s="14" t="s">
        <v>19</v>
      </c>
    </row>
    <row r="167" spans="2:65" s="11" customFormat="1">
      <c r="B167" s="136"/>
      <c r="D167" s="132" t="s">
        <v>147</v>
      </c>
      <c r="E167" s="137" t="s">
        <v>1561</v>
      </c>
      <c r="F167" s="138" t="s">
        <v>1628</v>
      </c>
      <c r="H167" s="139">
        <v>12</v>
      </c>
      <c r="L167" s="136"/>
      <c r="M167" s="140"/>
      <c r="T167" s="141"/>
      <c r="AT167" s="137" t="s">
        <v>147</v>
      </c>
      <c r="AU167" s="137" t="s">
        <v>19</v>
      </c>
      <c r="AV167" s="11" t="s">
        <v>149</v>
      </c>
      <c r="AW167" s="11" t="s">
        <v>39</v>
      </c>
      <c r="AX167" s="11" t="s">
        <v>81</v>
      </c>
      <c r="AY167" s="137" t="s">
        <v>136</v>
      </c>
    </row>
    <row r="168" spans="2:65" s="11" customFormat="1">
      <c r="B168" s="136"/>
      <c r="D168" s="132" t="s">
        <v>147</v>
      </c>
      <c r="E168" s="137" t="s">
        <v>1629</v>
      </c>
      <c r="F168" s="138" t="s">
        <v>1630</v>
      </c>
      <c r="H168" s="139">
        <v>480852</v>
      </c>
      <c r="L168" s="136"/>
      <c r="M168" s="140"/>
      <c r="T168" s="141"/>
      <c r="AT168" s="137" t="s">
        <v>147</v>
      </c>
      <c r="AU168" s="137" t="s">
        <v>19</v>
      </c>
      <c r="AV168" s="11" t="s">
        <v>149</v>
      </c>
      <c r="AW168" s="11" t="s">
        <v>39</v>
      </c>
      <c r="AX168" s="11" t="s">
        <v>19</v>
      </c>
      <c r="AY168" s="137" t="s">
        <v>136</v>
      </c>
    </row>
    <row r="169" spans="2:65" s="10" customFormat="1" ht="25.95" customHeight="1">
      <c r="B169" s="110"/>
      <c r="D169" s="111" t="s">
        <v>80</v>
      </c>
      <c r="E169" s="112" t="s">
        <v>19</v>
      </c>
      <c r="F169" s="112" t="s">
        <v>196</v>
      </c>
      <c r="J169" s="113">
        <f>BK169</f>
        <v>0</v>
      </c>
      <c r="L169" s="110"/>
      <c r="M169" s="114"/>
      <c r="P169" s="115">
        <f>SUM(P170:P173)</f>
        <v>0</v>
      </c>
      <c r="R169" s="115">
        <f>SUM(R170:R173)</f>
        <v>0</v>
      </c>
      <c r="T169" s="116">
        <f>SUM(T170:T173)</f>
        <v>0</v>
      </c>
      <c r="AR169" s="111" t="s">
        <v>135</v>
      </c>
      <c r="AT169" s="117" t="s">
        <v>80</v>
      </c>
      <c r="AU169" s="117" t="s">
        <v>81</v>
      </c>
      <c r="AY169" s="111" t="s">
        <v>136</v>
      </c>
      <c r="BK169" s="118">
        <f>SUM(BK170:BK173)</f>
        <v>0</v>
      </c>
    </row>
    <row r="170" spans="2:65" s="1" customFormat="1" ht="16.5" customHeight="1">
      <c r="B170" s="119"/>
      <c r="C170" s="120" t="s">
        <v>327</v>
      </c>
      <c r="D170" s="120" t="s">
        <v>137</v>
      </c>
      <c r="E170" s="121" t="s">
        <v>1631</v>
      </c>
      <c r="F170" s="122" t="s">
        <v>199</v>
      </c>
      <c r="G170" s="123" t="s">
        <v>260</v>
      </c>
      <c r="H170" s="124">
        <v>900</v>
      </c>
      <c r="I170" s="125">
        <v>0</v>
      </c>
      <c r="J170" s="125">
        <f>ROUND(I170*H170,2)</f>
        <v>0</v>
      </c>
      <c r="K170" s="122" t="s">
        <v>141</v>
      </c>
      <c r="L170" s="26"/>
      <c r="M170" s="126" t="s">
        <v>1</v>
      </c>
      <c r="N170" s="127" t="s">
        <v>46</v>
      </c>
      <c r="O170" s="128">
        <v>0</v>
      </c>
      <c r="P170" s="128">
        <f>O170*H170</f>
        <v>0</v>
      </c>
      <c r="Q170" s="128">
        <v>0</v>
      </c>
      <c r="R170" s="128">
        <f>Q170*H170</f>
        <v>0</v>
      </c>
      <c r="S170" s="128">
        <v>0</v>
      </c>
      <c r="T170" s="129">
        <f>S170*H170</f>
        <v>0</v>
      </c>
      <c r="AR170" s="130" t="s">
        <v>135</v>
      </c>
      <c r="AT170" s="130" t="s">
        <v>137</v>
      </c>
      <c r="AU170" s="130" t="s">
        <v>19</v>
      </c>
      <c r="AY170" s="14" t="s">
        <v>136</v>
      </c>
      <c r="BE170" s="131">
        <f>IF(N170="základní",J170,0)</f>
        <v>0</v>
      </c>
      <c r="BF170" s="131">
        <f>IF(N170="snížená",J170,0)</f>
        <v>0</v>
      </c>
      <c r="BG170" s="131">
        <f>IF(N170="zákl. přenesená",J170,0)</f>
        <v>0</v>
      </c>
      <c r="BH170" s="131">
        <f>IF(N170="sníž. přenesená",J170,0)</f>
        <v>0</v>
      </c>
      <c r="BI170" s="131">
        <f>IF(N170="nulová",J170,0)</f>
        <v>0</v>
      </c>
      <c r="BJ170" s="14" t="s">
        <v>19</v>
      </c>
      <c r="BK170" s="131">
        <f>ROUND(I170*H170,2)</f>
        <v>0</v>
      </c>
      <c r="BL170" s="14" t="s">
        <v>135</v>
      </c>
      <c r="BM170" s="130" t="s">
        <v>1632</v>
      </c>
    </row>
    <row r="171" spans="2:65" s="1" customFormat="1" ht="19.2">
      <c r="B171" s="26"/>
      <c r="D171" s="132" t="s">
        <v>143</v>
      </c>
      <c r="F171" s="133" t="s">
        <v>1633</v>
      </c>
      <c r="L171" s="26"/>
      <c r="M171" s="134"/>
      <c r="T171" s="50"/>
      <c r="AT171" s="14" t="s">
        <v>143</v>
      </c>
      <c r="AU171" s="14" t="s">
        <v>19</v>
      </c>
    </row>
    <row r="172" spans="2:65" s="1" customFormat="1" ht="76.8">
      <c r="B172" s="26"/>
      <c r="D172" s="132" t="s">
        <v>145</v>
      </c>
      <c r="F172" s="135" t="s">
        <v>202</v>
      </c>
      <c r="L172" s="26"/>
      <c r="M172" s="134"/>
      <c r="T172" s="50"/>
      <c r="AT172" s="14" t="s">
        <v>145</v>
      </c>
      <c r="AU172" s="14" t="s">
        <v>19</v>
      </c>
    </row>
    <row r="173" spans="2:65" s="11" customFormat="1" ht="20.399999999999999">
      <c r="B173" s="136"/>
      <c r="D173" s="132" t="s">
        <v>147</v>
      </c>
      <c r="E173" s="137" t="s">
        <v>1634</v>
      </c>
      <c r="F173" s="138" t="s">
        <v>1635</v>
      </c>
      <c r="H173" s="139">
        <v>900</v>
      </c>
      <c r="L173" s="136"/>
      <c r="M173" s="140"/>
      <c r="T173" s="141"/>
      <c r="AT173" s="137" t="s">
        <v>147</v>
      </c>
      <c r="AU173" s="137" t="s">
        <v>19</v>
      </c>
      <c r="AV173" s="11" t="s">
        <v>149</v>
      </c>
      <c r="AW173" s="11" t="s">
        <v>39</v>
      </c>
      <c r="AX173" s="11" t="s">
        <v>19</v>
      </c>
      <c r="AY173" s="137" t="s">
        <v>136</v>
      </c>
    </row>
    <row r="174" spans="2:65" s="10" customFormat="1" ht="25.95" customHeight="1">
      <c r="B174" s="110"/>
      <c r="D174" s="111" t="s">
        <v>80</v>
      </c>
      <c r="E174" s="112" t="s">
        <v>197</v>
      </c>
      <c r="F174" s="112" t="s">
        <v>698</v>
      </c>
      <c r="J174" s="113">
        <f>BK174</f>
        <v>0</v>
      </c>
      <c r="L174" s="110"/>
      <c r="M174" s="114"/>
      <c r="P174" s="115">
        <f>SUM(P175:P204)</f>
        <v>0</v>
      </c>
      <c r="R174" s="115">
        <f>SUM(R175:R204)</f>
        <v>0</v>
      </c>
      <c r="T174" s="116">
        <f>SUM(T175:T204)</f>
        <v>0</v>
      </c>
      <c r="AR174" s="111" t="s">
        <v>135</v>
      </c>
      <c r="AT174" s="117" t="s">
        <v>80</v>
      </c>
      <c r="AU174" s="117" t="s">
        <v>81</v>
      </c>
      <c r="AY174" s="111" t="s">
        <v>136</v>
      </c>
      <c r="BK174" s="118">
        <f>SUM(BK175:BK204)</f>
        <v>0</v>
      </c>
    </row>
    <row r="175" spans="2:65" s="1" customFormat="1" ht="37.950000000000003" customHeight="1">
      <c r="B175" s="119"/>
      <c r="C175" s="120" t="s">
        <v>334</v>
      </c>
      <c r="D175" s="120" t="s">
        <v>137</v>
      </c>
      <c r="E175" s="121" t="s">
        <v>1636</v>
      </c>
      <c r="F175" s="122" t="s">
        <v>1637</v>
      </c>
      <c r="G175" s="123" t="s">
        <v>312</v>
      </c>
      <c r="H175" s="124">
        <v>240</v>
      </c>
      <c r="I175" s="125">
        <v>0</v>
      </c>
      <c r="J175" s="125">
        <f>ROUND(I175*H175,2)</f>
        <v>0</v>
      </c>
      <c r="K175" s="122" t="s">
        <v>141</v>
      </c>
      <c r="L175" s="26"/>
      <c r="M175" s="126" t="s">
        <v>1</v>
      </c>
      <c r="N175" s="127" t="s">
        <v>46</v>
      </c>
      <c r="O175" s="128">
        <v>0</v>
      </c>
      <c r="P175" s="128">
        <f>O175*H175</f>
        <v>0</v>
      </c>
      <c r="Q175" s="128">
        <v>0</v>
      </c>
      <c r="R175" s="128">
        <f>Q175*H175</f>
        <v>0</v>
      </c>
      <c r="S175" s="128">
        <v>0</v>
      </c>
      <c r="T175" s="129">
        <f>S175*H175</f>
        <v>0</v>
      </c>
      <c r="AR175" s="130" t="s">
        <v>135</v>
      </c>
      <c r="AT175" s="130" t="s">
        <v>137</v>
      </c>
      <c r="AU175" s="130" t="s">
        <v>19</v>
      </c>
      <c r="AY175" s="14" t="s">
        <v>136</v>
      </c>
      <c r="BE175" s="131">
        <f>IF(N175="základní",J175,0)</f>
        <v>0</v>
      </c>
      <c r="BF175" s="131">
        <f>IF(N175="snížená",J175,0)</f>
        <v>0</v>
      </c>
      <c r="BG175" s="131">
        <f>IF(N175="zákl. přenesená",J175,0)</f>
        <v>0</v>
      </c>
      <c r="BH175" s="131">
        <f>IF(N175="sníž. přenesená",J175,0)</f>
        <v>0</v>
      </c>
      <c r="BI175" s="131">
        <f>IF(N175="nulová",J175,0)</f>
        <v>0</v>
      </c>
      <c r="BJ175" s="14" t="s">
        <v>19</v>
      </c>
      <c r="BK175" s="131">
        <f>ROUND(I175*H175,2)</f>
        <v>0</v>
      </c>
      <c r="BL175" s="14" t="s">
        <v>135</v>
      </c>
      <c r="BM175" s="130" t="s">
        <v>1638</v>
      </c>
    </row>
    <row r="176" spans="2:65" s="1" customFormat="1">
      <c r="B176" s="26"/>
      <c r="D176" s="132" t="s">
        <v>143</v>
      </c>
      <c r="F176" s="133" t="s">
        <v>1639</v>
      </c>
      <c r="L176" s="26"/>
      <c r="M176" s="134"/>
      <c r="T176" s="50"/>
      <c r="AT176" s="14" t="s">
        <v>143</v>
      </c>
      <c r="AU176" s="14" t="s">
        <v>19</v>
      </c>
    </row>
    <row r="177" spans="2:65" s="1" customFormat="1" ht="67.2">
      <c r="B177" s="26"/>
      <c r="D177" s="132" t="s">
        <v>145</v>
      </c>
      <c r="F177" s="135" t="s">
        <v>1640</v>
      </c>
      <c r="L177" s="26"/>
      <c r="M177" s="134"/>
      <c r="T177" s="50"/>
      <c r="AT177" s="14" t="s">
        <v>145</v>
      </c>
      <c r="AU177" s="14" t="s">
        <v>19</v>
      </c>
    </row>
    <row r="178" spans="2:65" s="11" customFormat="1">
      <c r="B178" s="136"/>
      <c r="D178" s="132" t="s">
        <v>147</v>
      </c>
      <c r="E178" s="137" t="s">
        <v>1641</v>
      </c>
      <c r="F178" s="138" t="s">
        <v>1642</v>
      </c>
      <c r="H178" s="139">
        <v>240</v>
      </c>
      <c r="L178" s="136"/>
      <c r="M178" s="140"/>
      <c r="T178" s="141"/>
      <c r="AT178" s="137" t="s">
        <v>147</v>
      </c>
      <c r="AU178" s="137" t="s">
        <v>19</v>
      </c>
      <c r="AV178" s="11" t="s">
        <v>149</v>
      </c>
      <c r="AW178" s="11" t="s">
        <v>39</v>
      </c>
      <c r="AX178" s="11" t="s">
        <v>19</v>
      </c>
      <c r="AY178" s="137" t="s">
        <v>136</v>
      </c>
    </row>
    <row r="179" spans="2:65" s="1" customFormat="1" ht="33" customHeight="1">
      <c r="B179" s="119"/>
      <c r="C179" s="120" t="s">
        <v>340</v>
      </c>
      <c r="D179" s="120" t="s">
        <v>137</v>
      </c>
      <c r="E179" s="121" t="s">
        <v>1643</v>
      </c>
      <c r="F179" s="122" t="s">
        <v>1644</v>
      </c>
      <c r="G179" s="123" t="s">
        <v>312</v>
      </c>
      <c r="H179" s="124">
        <v>240</v>
      </c>
      <c r="I179" s="125">
        <v>0</v>
      </c>
      <c r="J179" s="125">
        <f>ROUND(I179*H179,2)</f>
        <v>0</v>
      </c>
      <c r="K179" s="122" t="s">
        <v>141</v>
      </c>
      <c r="L179" s="26"/>
      <c r="M179" s="126" t="s">
        <v>1</v>
      </c>
      <c r="N179" s="127" t="s">
        <v>46</v>
      </c>
      <c r="O179" s="128">
        <v>0</v>
      </c>
      <c r="P179" s="128">
        <f>O179*H179</f>
        <v>0</v>
      </c>
      <c r="Q179" s="128">
        <v>0</v>
      </c>
      <c r="R179" s="128">
        <f>Q179*H179</f>
        <v>0</v>
      </c>
      <c r="S179" s="128">
        <v>0</v>
      </c>
      <c r="T179" s="129">
        <f>S179*H179</f>
        <v>0</v>
      </c>
      <c r="AR179" s="130" t="s">
        <v>135</v>
      </c>
      <c r="AT179" s="130" t="s">
        <v>137</v>
      </c>
      <c r="AU179" s="130" t="s">
        <v>19</v>
      </c>
      <c r="AY179" s="14" t="s">
        <v>136</v>
      </c>
      <c r="BE179" s="131">
        <f>IF(N179="základní",J179,0)</f>
        <v>0</v>
      </c>
      <c r="BF179" s="131">
        <f>IF(N179="snížená",J179,0)</f>
        <v>0</v>
      </c>
      <c r="BG179" s="131">
        <f>IF(N179="zákl. přenesená",J179,0)</f>
        <v>0</v>
      </c>
      <c r="BH179" s="131">
        <f>IF(N179="sníž. přenesená",J179,0)</f>
        <v>0</v>
      </c>
      <c r="BI179" s="131">
        <f>IF(N179="nulová",J179,0)</f>
        <v>0</v>
      </c>
      <c r="BJ179" s="14" t="s">
        <v>19</v>
      </c>
      <c r="BK179" s="131">
        <f>ROUND(I179*H179,2)</f>
        <v>0</v>
      </c>
      <c r="BL179" s="14" t="s">
        <v>135</v>
      </c>
      <c r="BM179" s="130" t="s">
        <v>1645</v>
      </c>
    </row>
    <row r="180" spans="2:65" s="1" customFormat="1">
      <c r="B180" s="26"/>
      <c r="D180" s="132" t="s">
        <v>143</v>
      </c>
      <c r="F180" s="133" t="s">
        <v>1639</v>
      </c>
      <c r="L180" s="26"/>
      <c r="M180" s="134"/>
      <c r="T180" s="50"/>
      <c r="AT180" s="14" t="s">
        <v>143</v>
      </c>
      <c r="AU180" s="14" t="s">
        <v>19</v>
      </c>
    </row>
    <row r="181" spans="2:65" s="1" customFormat="1" ht="48">
      <c r="B181" s="26"/>
      <c r="D181" s="132" t="s">
        <v>145</v>
      </c>
      <c r="F181" s="135" t="s">
        <v>704</v>
      </c>
      <c r="L181" s="26"/>
      <c r="M181" s="134"/>
      <c r="T181" s="50"/>
      <c r="AT181" s="14" t="s">
        <v>145</v>
      </c>
      <c r="AU181" s="14" t="s">
        <v>19</v>
      </c>
    </row>
    <row r="182" spans="2:65" s="11" customFormat="1">
      <c r="B182" s="136"/>
      <c r="D182" s="132" t="s">
        <v>147</v>
      </c>
      <c r="E182" s="137" t="s">
        <v>1646</v>
      </c>
      <c r="F182" s="138" t="s">
        <v>1642</v>
      </c>
      <c r="H182" s="139">
        <v>240</v>
      </c>
      <c r="L182" s="136"/>
      <c r="M182" s="140"/>
      <c r="T182" s="141"/>
      <c r="AT182" s="137" t="s">
        <v>147</v>
      </c>
      <c r="AU182" s="137" t="s">
        <v>19</v>
      </c>
      <c r="AV182" s="11" t="s">
        <v>149</v>
      </c>
      <c r="AW182" s="11" t="s">
        <v>39</v>
      </c>
      <c r="AX182" s="11" t="s">
        <v>19</v>
      </c>
      <c r="AY182" s="137" t="s">
        <v>136</v>
      </c>
    </row>
    <row r="183" spans="2:65" s="1" customFormat="1" ht="24.15" customHeight="1">
      <c r="B183" s="119"/>
      <c r="C183" s="120" t="s">
        <v>8</v>
      </c>
      <c r="D183" s="120" t="s">
        <v>137</v>
      </c>
      <c r="E183" s="121" t="s">
        <v>1647</v>
      </c>
      <c r="F183" s="122" t="s">
        <v>1648</v>
      </c>
      <c r="G183" s="123" t="s">
        <v>312</v>
      </c>
      <c r="H183" s="124">
        <v>270</v>
      </c>
      <c r="I183" s="125">
        <v>0</v>
      </c>
      <c r="J183" s="125">
        <f>ROUND(I183*H183,2)</f>
        <v>0</v>
      </c>
      <c r="K183" s="122" t="s">
        <v>141</v>
      </c>
      <c r="L183" s="26"/>
      <c r="M183" s="126" t="s">
        <v>1</v>
      </c>
      <c r="N183" s="127" t="s">
        <v>46</v>
      </c>
      <c r="O183" s="128">
        <v>0</v>
      </c>
      <c r="P183" s="128">
        <f>O183*H183</f>
        <v>0</v>
      </c>
      <c r="Q183" s="128">
        <v>0</v>
      </c>
      <c r="R183" s="128">
        <f>Q183*H183</f>
        <v>0</v>
      </c>
      <c r="S183" s="128">
        <v>0</v>
      </c>
      <c r="T183" s="129">
        <f>S183*H183</f>
        <v>0</v>
      </c>
      <c r="AR183" s="130" t="s">
        <v>135</v>
      </c>
      <c r="AT183" s="130" t="s">
        <v>137</v>
      </c>
      <c r="AU183" s="130" t="s">
        <v>19</v>
      </c>
      <c r="AY183" s="14" t="s">
        <v>136</v>
      </c>
      <c r="BE183" s="131">
        <f>IF(N183="základní",J183,0)</f>
        <v>0</v>
      </c>
      <c r="BF183" s="131">
        <f>IF(N183="snížená",J183,0)</f>
        <v>0</v>
      </c>
      <c r="BG183" s="131">
        <f>IF(N183="zákl. přenesená",J183,0)</f>
        <v>0</v>
      </c>
      <c r="BH183" s="131">
        <f>IF(N183="sníž. přenesená",J183,0)</f>
        <v>0</v>
      </c>
      <c r="BI183" s="131">
        <f>IF(N183="nulová",J183,0)</f>
        <v>0</v>
      </c>
      <c r="BJ183" s="14" t="s">
        <v>19</v>
      </c>
      <c r="BK183" s="131">
        <f>ROUND(I183*H183,2)</f>
        <v>0</v>
      </c>
      <c r="BL183" s="14" t="s">
        <v>135</v>
      </c>
      <c r="BM183" s="130" t="s">
        <v>1649</v>
      </c>
    </row>
    <row r="184" spans="2:65" s="1" customFormat="1">
      <c r="B184" s="26"/>
      <c r="D184" s="132" t="s">
        <v>143</v>
      </c>
      <c r="F184" s="133" t="s">
        <v>1650</v>
      </c>
      <c r="L184" s="26"/>
      <c r="M184" s="134"/>
      <c r="T184" s="50"/>
      <c r="AT184" s="14" t="s">
        <v>143</v>
      </c>
      <c r="AU184" s="14" t="s">
        <v>19</v>
      </c>
    </row>
    <row r="185" spans="2:65" s="1" customFormat="1" ht="67.2">
      <c r="B185" s="26"/>
      <c r="D185" s="132" t="s">
        <v>145</v>
      </c>
      <c r="F185" s="135" t="s">
        <v>1651</v>
      </c>
      <c r="L185" s="26"/>
      <c r="M185" s="134"/>
      <c r="T185" s="50"/>
      <c r="AT185" s="14" t="s">
        <v>145</v>
      </c>
      <c r="AU185" s="14" t="s">
        <v>19</v>
      </c>
    </row>
    <row r="186" spans="2:65" s="11" customFormat="1">
      <c r="B186" s="136"/>
      <c r="D186" s="132" t="s">
        <v>147</v>
      </c>
      <c r="E186" s="137" t="s">
        <v>1652</v>
      </c>
      <c r="F186" s="138" t="s">
        <v>1653</v>
      </c>
      <c r="H186" s="139">
        <v>135</v>
      </c>
      <c r="L186" s="136"/>
      <c r="M186" s="140"/>
      <c r="T186" s="141"/>
      <c r="AT186" s="137" t="s">
        <v>147</v>
      </c>
      <c r="AU186" s="137" t="s">
        <v>19</v>
      </c>
      <c r="AV186" s="11" t="s">
        <v>149</v>
      </c>
      <c r="AW186" s="11" t="s">
        <v>39</v>
      </c>
      <c r="AX186" s="11" t="s">
        <v>81</v>
      </c>
      <c r="AY186" s="137" t="s">
        <v>136</v>
      </c>
    </row>
    <row r="187" spans="2:65" s="11" customFormat="1">
      <c r="B187" s="136"/>
      <c r="D187" s="132" t="s">
        <v>147</v>
      </c>
      <c r="E187" s="137" t="s">
        <v>1654</v>
      </c>
      <c r="F187" s="138" t="s">
        <v>1655</v>
      </c>
      <c r="H187" s="139">
        <v>135</v>
      </c>
      <c r="L187" s="136"/>
      <c r="M187" s="140"/>
      <c r="T187" s="141"/>
      <c r="AT187" s="137" t="s">
        <v>147</v>
      </c>
      <c r="AU187" s="137" t="s">
        <v>19</v>
      </c>
      <c r="AV187" s="11" t="s">
        <v>149</v>
      </c>
      <c r="AW187" s="11" t="s">
        <v>39</v>
      </c>
      <c r="AX187" s="11" t="s">
        <v>81</v>
      </c>
      <c r="AY187" s="137" t="s">
        <v>136</v>
      </c>
    </row>
    <row r="188" spans="2:65" s="11" customFormat="1">
      <c r="B188" s="136"/>
      <c r="D188" s="132" t="s">
        <v>147</v>
      </c>
      <c r="E188" s="137" t="s">
        <v>1</v>
      </c>
      <c r="F188" s="138" t="s">
        <v>1656</v>
      </c>
      <c r="H188" s="139">
        <v>270</v>
      </c>
      <c r="L188" s="136"/>
      <c r="M188" s="140"/>
      <c r="T188" s="141"/>
      <c r="AT188" s="137" t="s">
        <v>147</v>
      </c>
      <c r="AU188" s="137" t="s">
        <v>19</v>
      </c>
      <c r="AV188" s="11" t="s">
        <v>149</v>
      </c>
      <c r="AW188" s="11" t="s">
        <v>39</v>
      </c>
      <c r="AX188" s="11" t="s">
        <v>19</v>
      </c>
      <c r="AY188" s="137" t="s">
        <v>136</v>
      </c>
    </row>
    <row r="189" spans="2:65" s="1" customFormat="1" ht="24.15" customHeight="1">
      <c r="B189" s="119"/>
      <c r="C189" s="120" t="s">
        <v>357</v>
      </c>
      <c r="D189" s="120" t="s">
        <v>137</v>
      </c>
      <c r="E189" s="121" t="s">
        <v>1657</v>
      </c>
      <c r="F189" s="122" t="s">
        <v>1658</v>
      </c>
      <c r="G189" s="123" t="s">
        <v>312</v>
      </c>
      <c r="H189" s="124">
        <v>270</v>
      </c>
      <c r="I189" s="125">
        <v>0</v>
      </c>
      <c r="J189" s="125">
        <f>ROUND(I189*H189,2)</f>
        <v>0</v>
      </c>
      <c r="K189" s="122" t="s">
        <v>141</v>
      </c>
      <c r="L189" s="26"/>
      <c r="M189" s="126" t="s">
        <v>1</v>
      </c>
      <c r="N189" s="127" t="s">
        <v>46</v>
      </c>
      <c r="O189" s="128">
        <v>0</v>
      </c>
      <c r="P189" s="128">
        <f>O189*H189</f>
        <v>0</v>
      </c>
      <c r="Q189" s="128">
        <v>0</v>
      </c>
      <c r="R189" s="128">
        <f>Q189*H189</f>
        <v>0</v>
      </c>
      <c r="S189" s="128">
        <v>0</v>
      </c>
      <c r="T189" s="129">
        <f>S189*H189</f>
        <v>0</v>
      </c>
      <c r="AR189" s="130" t="s">
        <v>135</v>
      </c>
      <c r="AT189" s="130" t="s">
        <v>137</v>
      </c>
      <c r="AU189" s="130" t="s">
        <v>19</v>
      </c>
      <c r="AY189" s="14" t="s">
        <v>136</v>
      </c>
      <c r="BE189" s="131">
        <f>IF(N189="základní",J189,0)</f>
        <v>0</v>
      </c>
      <c r="BF189" s="131">
        <f>IF(N189="snížená",J189,0)</f>
        <v>0</v>
      </c>
      <c r="BG189" s="131">
        <f>IF(N189="zákl. přenesená",J189,0)</f>
        <v>0</v>
      </c>
      <c r="BH189" s="131">
        <f>IF(N189="sníž. přenesená",J189,0)</f>
        <v>0</v>
      </c>
      <c r="BI189" s="131">
        <f>IF(N189="nulová",J189,0)</f>
        <v>0</v>
      </c>
      <c r="BJ189" s="14" t="s">
        <v>19</v>
      </c>
      <c r="BK189" s="131">
        <f>ROUND(I189*H189,2)</f>
        <v>0</v>
      </c>
      <c r="BL189" s="14" t="s">
        <v>135</v>
      </c>
      <c r="BM189" s="130" t="s">
        <v>1659</v>
      </c>
    </row>
    <row r="190" spans="2:65" s="1" customFormat="1">
      <c r="B190" s="26"/>
      <c r="D190" s="132" t="s">
        <v>143</v>
      </c>
      <c r="F190" s="133" t="s">
        <v>1650</v>
      </c>
      <c r="L190" s="26"/>
      <c r="M190" s="134"/>
      <c r="T190" s="50"/>
      <c r="AT190" s="14" t="s">
        <v>143</v>
      </c>
      <c r="AU190" s="14" t="s">
        <v>19</v>
      </c>
    </row>
    <row r="191" spans="2:65" s="1" customFormat="1" ht="48">
      <c r="B191" s="26"/>
      <c r="D191" s="132" t="s">
        <v>145</v>
      </c>
      <c r="F191" s="135" t="s">
        <v>704</v>
      </c>
      <c r="L191" s="26"/>
      <c r="M191" s="134"/>
      <c r="T191" s="50"/>
      <c r="AT191" s="14" t="s">
        <v>145</v>
      </c>
      <c r="AU191" s="14" t="s">
        <v>19</v>
      </c>
    </row>
    <row r="192" spans="2:65" s="11" customFormat="1">
      <c r="B192" s="136"/>
      <c r="D192" s="132" t="s">
        <v>147</v>
      </c>
      <c r="E192" s="137" t="s">
        <v>1660</v>
      </c>
      <c r="F192" s="138" t="s">
        <v>1661</v>
      </c>
      <c r="H192" s="139">
        <v>270</v>
      </c>
      <c r="L192" s="136"/>
      <c r="M192" s="140"/>
      <c r="T192" s="141"/>
      <c r="AT192" s="137" t="s">
        <v>147</v>
      </c>
      <c r="AU192" s="137" t="s">
        <v>19</v>
      </c>
      <c r="AV192" s="11" t="s">
        <v>149</v>
      </c>
      <c r="AW192" s="11" t="s">
        <v>39</v>
      </c>
      <c r="AX192" s="11" t="s">
        <v>19</v>
      </c>
      <c r="AY192" s="137" t="s">
        <v>136</v>
      </c>
    </row>
    <row r="193" spans="2:65" s="1" customFormat="1" ht="24.15" customHeight="1">
      <c r="B193" s="119"/>
      <c r="C193" s="120" t="s">
        <v>363</v>
      </c>
      <c r="D193" s="120" t="s">
        <v>137</v>
      </c>
      <c r="E193" s="121" t="s">
        <v>1662</v>
      </c>
      <c r="F193" s="122" t="s">
        <v>1663</v>
      </c>
      <c r="G193" s="123" t="s">
        <v>1664</v>
      </c>
      <c r="H193" s="124">
        <v>30240</v>
      </c>
      <c r="I193" s="125">
        <v>0</v>
      </c>
      <c r="J193" s="125">
        <f>ROUND(I193*H193,2)</f>
        <v>0</v>
      </c>
      <c r="K193" s="122" t="s">
        <v>141</v>
      </c>
      <c r="L193" s="26"/>
      <c r="M193" s="126" t="s">
        <v>1</v>
      </c>
      <c r="N193" s="127" t="s">
        <v>46</v>
      </c>
      <c r="O193" s="128">
        <v>0</v>
      </c>
      <c r="P193" s="128">
        <f>O193*H193</f>
        <v>0</v>
      </c>
      <c r="Q193" s="128">
        <v>0</v>
      </c>
      <c r="R193" s="128">
        <f>Q193*H193</f>
        <v>0</v>
      </c>
      <c r="S193" s="128">
        <v>0</v>
      </c>
      <c r="T193" s="129">
        <f>S193*H193</f>
        <v>0</v>
      </c>
      <c r="AR193" s="130" t="s">
        <v>135</v>
      </c>
      <c r="AT193" s="130" t="s">
        <v>137</v>
      </c>
      <c r="AU193" s="130" t="s">
        <v>19</v>
      </c>
      <c r="AY193" s="14" t="s">
        <v>136</v>
      </c>
      <c r="BE193" s="131">
        <f>IF(N193="základní",J193,0)</f>
        <v>0</v>
      </c>
      <c r="BF193" s="131">
        <f>IF(N193="snížená",J193,0)</f>
        <v>0</v>
      </c>
      <c r="BG193" s="131">
        <f>IF(N193="zákl. přenesená",J193,0)</f>
        <v>0</v>
      </c>
      <c r="BH193" s="131">
        <f>IF(N193="sníž. přenesená",J193,0)</f>
        <v>0</v>
      </c>
      <c r="BI193" s="131">
        <f>IF(N193="nulová",J193,0)</f>
        <v>0</v>
      </c>
      <c r="BJ193" s="14" t="s">
        <v>19</v>
      </c>
      <c r="BK193" s="131">
        <f>ROUND(I193*H193,2)</f>
        <v>0</v>
      </c>
      <c r="BL193" s="14" t="s">
        <v>135</v>
      </c>
      <c r="BM193" s="130" t="s">
        <v>1665</v>
      </c>
    </row>
    <row r="194" spans="2:65" s="1" customFormat="1">
      <c r="B194" s="26"/>
      <c r="D194" s="132" t="s">
        <v>143</v>
      </c>
      <c r="F194" s="133" t="s">
        <v>1650</v>
      </c>
      <c r="L194" s="26"/>
      <c r="M194" s="134"/>
      <c r="T194" s="50"/>
      <c r="AT194" s="14" t="s">
        <v>143</v>
      </c>
      <c r="AU194" s="14" t="s">
        <v>19</v>
      </c>
    </row>
    <row r="195" spans="2:65" s="1" customFormat="1" ht="48">
      <c r="B195" s="26"/>
      <c r="D195" s="132" t="s">
        <v>145</v>
      </c>
      <c r="F195" s="135" t="s">
        <v>1666</v>
      </c>
      <c r="L195" s="26"/>
      <c r="M195" s="134"/>
      <c r="T195" s="50"/>
      <c r="AT195" s="14" t="s">
        <v>145</v>
      </c>
      <c r="AU195" s="14" t="s">
        <v>19</v>
      </c>
    </row>
    <row r="196" spans="2:65" s="11" customFormat="1">
      <c r="B196" s="136"/>
      <c r="D196" s="132" t="s">
        <v>147</v>
      </c>
      <c r="E196" s="137" t="s">
        <v>1667</v>
      </c>
      <c r="F196" s="138" t="s">
        <v>1668</v>
      </c>
      <c r="H196" s="139">
        <v>30240</v>
      </c>
      <c r="L196" s="136"/>
      <c r="M196" s="140"/>
      <c r="T196" s="141"/>
      <c r="AT196" s="137" t="s">
        <v>147</v>
      </c>
      <c r="AU196" s="137" t="s">
        <v>19</v>
      </c>
      <c r="AV196" s="11" t="s">
        <v>149</v>
      </c>
      <c r="AW196" s="11" t="s">
        <v>39</v>
      </c>
      <c r="AX196" s="11" t="s">
        <v>19</v>
      </c>
      <c r="AY196" s="137" t="s">
        <v>136</v>
      </c>
    </row>
    <row r="197" spans="2:65" s="1" customFormat="1" ht="24.15" customHeight="1">
      <c r="B197" s="119"/>
      <c r="C197" s="120" t="s">
        <v>378</v>
      </c>
      <c r="D197" s="120" t="s">
        <v>137</v>
      </c>
      <c r="E197" s="121" t="s">
        <v>1669</v>
      </c>
      <c r="F197" s="122" t="s">
        <v>1670</v>
      </c>
      <c r="G197" s="123" t="s">
        <v>312</v>
      </c>
      <c r="H197" s="124">
        <v>110</v>
      </c>
      <c r="I197" s="125">
        <v>0</v>
      </c>
      <c r="J197" s="125">
        <f>ROUND(I197*H197,2)</f>
        <v>0</v>
      </c>
      <c r="K197" s="122" t="s">
        <v>141</v>
      </c>
      <c r="L197" s="26"/>
      <c r="M197" s="126" t="s">
        <v>1</v>
      </c>
      <c r="N197" s="127" t="s">
        <v>46</v>
      </c>
      <c r="O197" s="128">
        <v>0</v>
      </c>
      <c r="P197" s="128">
        <f>O197*H197</f>
        <v>0</v>
      </c>
      <c r="Q197" s="128">
        <v>0</v>
      </c>
      <c r="R197" s="128">
        <f>Q197*H197</f>
        <v>0</v>
      </c>
      <c r="S197" s="128">
        <v>0</v>
      </c>
      <c r="T197" s="129">
        <f>S197*H197</f>
        <v>0</v>
      </c>
      <c r="AR197" s="130" t="s">
        <v>135</v>
      </c>
      <c r="AT197" s="130" t="s">
        <v>137</v>
      </c>
      <c r="AU197" s="130" t="s">
        <v>19</v>
      </c>
      <c r="AY197" s="14" t="s">
        <v>136</v>
      </c>
      <c r="BE197" s="131">
        <f>IF(N197="základní",J197,0)</f>
        <v>0</v>
      </c>
      <c r="BF197" s="131">
        <f>IF(N197="snížená",J197,0)</f>
        <v>0</v>
      </c>
      <c r="BG197" s="131">
        <f>IF(N197="zákl. přenesená",J197,0)</f>
        <v>0</v>
      </c>
      <c r="BH197" s="131">
        <f>IF(N197="sníž. přenesená",J197,0)</f>
        <v>0</v>
      </c>
      <c r="BI197" s="131">
        <f>IF(N197="nulová",J197,0)</f>
        <v>0</v>
      </c>
      <c r="BJ197" s="14" t="s">
        <v>19</v>
      </c>
      <c r="BK197" s="131">
        <f>ROUND(I197*H197,2)</f>
        <v>0</v>
      </c>
      <c r="BL197" s="14" t="s">
        <v>135</v>
      </c>
      <c r="BM197" s="130" t="s">
        <v>1671</v>
      </c>
    </row>
    <row r="198" spans="2:65" s="1" customFormat="1">
      <c r="B198" s="26"/>
      <c r="D198" s="132" t="s">
        <v>143</v>
      </c>
      <c r="F198" s="133" t="s">
        <v>1639</v>
      </c>
      <c r="L198" s="26"/>
      <c r="M198" s="134"/>
      <c r="T198" s="50"/>
      <c r="AT198" s="14" t="s">
        <v>143</v>
      </c>
      <c r="AU198" s="14" t="s">
        <v>19</v>
      </c>
    </row>
    <row r="199" spans="2:65" s="1" customFormat="1" ht="67.2">
      <c r="B199" s="26"/>
      <c r="D199" s="132" t="s">
        <v>145</v>
      </c>
      <c r="F199" s="135" t="s">
        <v>1651</v>
      </c>
      <c r="L199" s="26"/>
      <c r="M199" s="134"/>
      <c r="T199" s="50"/>
      <c r="AT199" s="14" t="s">
        <v>145</v>
      </c>
      <c r="AU199" s="14" t="s">
        <v>19</v>
      </c>
    </row>
    <row r="200" spans="2:65" s="11" customFormat="1">
      <c r="B200" s="136"/>
      <c r="D200" s="132" t="s">
        <v>147</v>
      </c>
      <c r="E200" s="137" t="s">
        <v>1672</v>
      </c>
      <c r="F200" s="138" t="s">
        <v>1673</v>
      </c>
      <c r="H200" s="139">
        <v>110</v>
      </c>
      <c r="L200" s="136"/>
      <c r="M200" s="140"/>
      <c r="T200" s="141"/>
      <c r="AT200" s="137" t="s">
        <v>147</v>
      </c>
      <c r="AU200" s="137" t="s">
        <v>19</v>
      </c>
      <c r="AV200" s="11" t="s">
        <v>149</v>
      </c>
      <c r="AW200" s="11" t="s">
        <v>39</v>
      </c>
      <c r="AX200" s="11" t="s">
        <v>19</v>
      </c>
      <c r="AY200" s="137" t="s">
        <v>136</v>
      </c>
    </row>
    <row r="201" spans="2:65" s="1" customFormat="1" ht="24.15" customHeight="1">
      <c r="B201" s="119"/>
      <c r="C201" s="120" t="s">
        <v>385</v>
      </c>
      <c r="D201" s="120" t="s">
        <v>137</v>
      </c>
      <c r="E201" s="121" t="s">
        <v>1674</v>
      </c>
      <c r="F201" s="122" t="s">
        <v>1675</v>
      </c>
      <c r="G201" s="123" t="s">
        <v>312</v>
      </c>
      <c r="H201" s="124">
        <v>110</v>
      </c>
      <c r="I201" s="125">
        <v>0</v>
      </c>
      <c r="J201" s="125">
        <f>ROUND(I201*H201,2)</f>
        <v>0</v>
      </c>
      <c r="K201" s="122" t="s">
        <v>141</v>
      </c>
      <c r="L201" s="26"/>
      <c r="M201" s="126" t="s">
        <v>1</v>
      </c>
      <c r="N201" s="127" t="s">
        <v>46</v>
      </c>
      <c r="O201" s="128">
        <v>0</v>
      </c>
      <c r="P201" s="128">
        <f>O201*H201</f>
        <v>0</v>
      </c>
      <c r="Q201" s="128">
        <v>0</v>
      </c>
      <c r="R201" s="128">
        <f>Q201*H201</f>
        <v>0</v>
      </c>
      <c r="S201" s="128">
        <v>0</v>
      </c>
      <c r="T201" s="129">
        <f>S201*H201</f>
        <v>0</v>
      </c>
      <c r="AR201" s="130" t="s">
        <v>135</v>
      </c>
      <c r="AT201" s="130" t="s">
        <v>137</v>
      </c>
      <c r="AU201" s="130" t="s">
        <v>19</v>
      </c>
      <c r="AY201" s="14" t="s">
        <v>136</v>
      </c>
      <c r="BE201" s="131">
        <f>IF(N201="základní",J201,0)</f>
        <v>0</v>
      </c>
      <c r="BF201" s="131">
        <f>IF(N201="snížená",J201,0)</f>
        <v>0</v>
      </c>
      <c r="BG201" s="131">
        <f>IF(N201="zákl. přenesená",J201,0)</f>
        <v>0</v>
      </c>
      <c r="BH201" s="131">
        <f>IF(N201="sníž. přenesená",J201,0)</f>
        <v>0</v>
      </c>
      <c r="BI201" s="131">
        <f>IF(N201="nulová",J201,0)</f>
        <v>0</v>
      </c>
      <c r="BJ201" s="14" t="s">
        <v>19</v>
      </c>
      <c r="BK201" s="131">
        <f>ROUND(I201*H201,2)</f>
        <v>0</v>
      </c>
      <c r="BL201" s="14" t="s">
        <v>135</v>
      </c>
      <c r="BM201" s="130" t="s">
        <v>1676</v>
      </c>
    </row>
    <row r="202" spans="2:65" s="1" customFormat="1">
      <c r="B202" s="26"/>
      <c r="D202" s="132" t="s">
        <v>143</v>
      </c>
      <c r="F202" s="133" t="s">
        <v>1639</v>
      </c>
      <c r="L202" s="26"/>
      <c r="M202" s="134"/>
      <c r="T202" s="50"/>
      <c r="AT202" s="14" t="s">
        <v>143</v>
      </c>
      <c r="AU202" s="14" t="s">
        <v>19</v>
      </c>
    </row>
    <row r="203" spans="2:65" s="1" customFormat="1" ht="48">
      <c r="B203" s="26"/>
      <c r="D203" s="132" t="s">
        <v>145</v>
      </c>
      <c r="F203" s="135" t="s">
        <v>704</v>
      </c>
      <c r="L203" s="26"/>
      <c r="M203" s="134"/>
      <c r="T203" s="50"/>
      <c r="AT203" s="14" t="s">
        <v>145</v>
      </c>
      <c r="AU203" s="14" t="s">
        <v>19</v>
      </c>
    </row>
    <row r="204" spans="2:65" s="11" customFormat="1">
      <c r="B204" s="136"/>
      <c r="D204" s="132" t="s">
        <v>147</v>
      </c>
      <c r="E204" s="137" t="s">
        <v>1677</v>
      </c>
      <c r="F204" s="138" t="s">
        <v>1673</v>
      </c>
      <c r="H204" s="139">
        <v>110</v>
      </c>
      <c r="L204" s="136"/>
      <c r="M204" s="142"/>
      <c r="N204" s="143"/>
      <c r="O204" s="143"/>
      <c r="P204" s="143"/>
      <c r="Q204" s="143"/>
      <c r="R204" s="143"/>
      <c r="S204" s="143"/>
      <c r="T204" s="144"/>
      <c r="AT204" s="137" t="s">
        <v>147</v>
      </c>
      <c r="AU204" s="137" t="s">
        <v>19</v>
      </c>
      <c r="AV204" s="11" t="s">
        <v>149</v>
      </c>
      <c r="AW204" s="11" t="s">
        <v>39</v>
      </c>
      <c r="AX204" s="11" t="s">
        <v>19</v>
      </c>
      <c r="AY204" s="137" t="s">
        <v>136</v>
      </c>
    </row>
    <row r="205" spans="2:65" s="1" customFormat="1" ht="6.9" customHeight="1">
      <c r="B205" s="38"/>
      <c r="C205" s="39"/>
      <c r="D205" s="39"/>
      <c r="E205" s="39"/>
      <c r="F205" s="39"/>
      <c r="G205" s="39"/>
      <c r="H205" s="39"/>
      <c r="I205" s="39"/>
      <c r="J205" s="39"/>
      <c r="K205" s="39"/>
      <c r="L205" s="26"/>
    </row>
  </sheetData>
  <autoFilter ref="C118:K204" xr:uid="{00000000-0009-0000-0000-000004000000}"/>
  <mergeCells count="9">
    <mergeCell ref="E87:H87"/>
    <mergeCell ref="E109:H109"/>
    <mergeCell ref="E111:H111"/>
    <mergeCell ref="L2:V2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BM186"/>
  <sheetViews>
    <sheetView showGridLines="0" workbookViewId="0"/>
  </sheetViews>
  <sheetFormatPr defaultRowHeight="10.199999999999999"/>
  <cols>
    <col min="1" max="1" width="8.28515625" customWidth="1"/>
    <col min="2" max="2" width="1.140625" customWidth="1"/>
    <col min="3" max="3" width="4.140625" customWidth="1"/>
    <col min="4" max="4" width="4.28515625" customWidth="1"/>
    <col min="5" max="5" width="17.140625" customWidth="1"/>
    <col min="6" max="6" width="50.85546875" customWidth="1"/>
    <col min="7" max="7" width="7.42578125" customWidth="1"/>
    <col min="8" max="8" width="14" customWidth="1"/>
    <col min="9" max="9" width="15.85546875" customWidth="1"/>
    <col min="10" max="11" width="22.28515625" customWidth="1"/>
    <col min="12" max="12" width="9.28515625" customWidth="1"/>
    <col min="13" max="13" width="10.85546875" hidden="1" customWidth="1"/>
    <col min="14" max="14" width="9.28515625" hidden="1"/>
    <col min="15" max="20" width="14.140625" hidden="1" customWidth="1"/>
    <col min="21" max="21" width="16.28515625" hidden="1" customWidth="1"/>
    <col min="22" max="22" width="12.28515625" customWidth="1"/>
    <col min="23" max="23" width="16.28515625" customWidth="1"/>
    <col min="24" max="24" width="12.28515625" customWidth="1"/>
    <col min="25" max="25" width="15" customWidth="1"/>
    <col min="26" max="26" width="11" customWidth="1"/>
    <col min="27" max="27" width="15" customWidth="1"/>
    <col min="28" max="28" width="16.28515625" customWidth="1"/>
    <col min="29" max="29" width="11" customWidth="1"/>
    <col min="30" max="30" width="15" customWidth="1"/>
    <col min="31" max="31" width="16.28515625" customWidth="1"/>
    <col min="44" max="65" width="9.28515625" hidden="1"/>
  </cols>
  <sheetData>
    <row r="2" spans="2:46" ht="36.9" customHeight="1">
      <c r="L2" s="197" t="s">
        <v>5</v>
      </c>
      <c r="M2" s="191"/>
      <c r="N2" s="191"/>
      <c r="O2" s="191"/>
      <c r="P2" s="191"/>
      <c r="Q2" s="191"/>
      <c r="R2" s="191"/>
      <c r="S2" s="191"/>
      <c r="T2" s="191"/>
      <c r="U2" s="191"/>
      <c r="V2" s="191"/>
      <c r="AT2" s="14" t="s">
        <v>102</v>
      </c>
    </row>
    <row r="3" spans="2:46" ht="6.9" hidden="1" customHeight="1">
      <c r="B3" s="15"/>
      <c r="C3" s="16"/>
      <c r="D3" s="16"/>
      <c r="E3" s="16"/>
      <c r="F3" s="16"/>
      <c r="G3" s="16"/>
      <c r="H3" s="16"/>
      <c r="I3" s="16"/>
      <c r="J3" s="16"/>
      <c r="K3" s="16"/>
      <c r="L3" s="17"/>
      <c r="AT3" s="14" t="s">
        <v>90</v>
      </c>
    </row>
    <row r="4" spans="2:46" ht="24.9" hidden="1" customHeight="1">
      <c r="B4" s="17"/>
      <c r="D4" s="18" t="s">
        <v>112</v>
      </c>
      <c r="L4" s="17"/>
      <c r="M4" s="82" t="s">
        <v>10</v>
      </c>
      <c r="AT4" s="14" t="s">
        <v>3</v>
      </c>
    </row>
    <row r="5" spans="2:46" ht="6.9" hidden="1" customHeight="1">
      <c r="B5" s="17"/>
      <c r="L5" s="17"/>
    </row>
    <row r="6" spans="2:46" ht="12" hidden="1" customHeight="1">
      <c r="B6" s="17"/>
      <c r="D6" s="23" t="s">
        <v>14</v>
      </c>
      <c r="L6" s="17"/>
    </row>
    <row r="7" spans="2:46" ht="16.5" hidden="1" customHeight="1">
      <c r="B7" s="17"/>
      <c r="E7" s="203" t="str">
        <f>'Rekapitulace stavby'!K6</f>
        <v>I/26 Kyšice - Plzeň, Hřbitovní</v>
      </c>
      <c r="F7" s="204"/>
      <c r="G7" s="204"/>
      <c r="H7" s="204"/>
      <c r="L7" s="17"/>
    </row>
    <row r="8" spans="2:46" s="1" customFormat="1" ht="12" hidden="1" customHeight="1">
      <c r="B8" s="26"/>
      <c r="D8" s="23" t="s">
        <v>113</v>
      </c>
      <c r="L8" s="26"/>
    </row>
    <row r="9" spans="2:46" s="1" customFormat="1" ht="16.5" hidden="1" customHeight="1">
      <c r="B9" s="26"/>
      <c r="E9" s="168" t="s">
        <v>1678</v>
      </c>
      <c r="F9" s="202"/>
      <c r="G9" s="202"/>
      <c r="H9" s="202"/>
      <c r="L9" s="26"/>
    </row>
    <row r="10" spans="2:46" s="1" customFormat="1" hidden="1">
      <c r="B10" s="26"/>
      <c r="L10" s="26"/>
    </row>
    <row r="11" spans="2:46" s="1" customFormat="1" ht="12" hidden="1" customHeight="1">
      <c r="B11" s="26"/>
      <c r="D11" s="23" t="s">
        <v>17</v>
      </c>
      <c r="F11" s="21" t="s">
        <v>1</v>
      </c>
      <c r="I11" s="23" t="s">
        <v>18</v>
      </c>
      <c r="J11" s="21" t="s">
        <v>1</v>
      </c>
      <c r="L11" s="26"/>
    </row>
    <row r="12" spans="2:46" s="1" customFormat="1" ht="12" hidden="1" customHeight="1">
      <c r="B12" s="26"/>
      <c r="D12" s="23" t="s">
        <v>20</v>
      </c>
      <c r="F12" s="21" t="s">
        <v>21</v>
      </c>
      <c r="I12" s="23" t="s">
        <v>22</v>
      </c>
      <c r="J12" s="46" t="str">
        <f>'Rekapitulace stavby'!AN8</f>
        <v>20. 1. 2026</v>
      </c>
      <c r="L12" s="26"/>
    </row>
    <row r="13" spans="2:46" s="1" customFormat="1" ht="10.95" hidden="1" customHeight="1">
      <c r="B13" s="26"/>
      <c r="L13" s="26"/>
    </row>
    <row r="14" spans="2:46" s="1" customFormat="1" ht="12" hidden="1" customHeight="1">
      <c r="B14" s="26"/>
      <c r="D14" s="23" t="s">
        <v>26</v>
      </c>
      <c r="I14" s="23" t="s">
        <v>27</v>
      </c>
      <c r="J14" s="21" t="s">
        <v>28</v>
      </c>
      <c r="L14" s="26"/>
    </row>
    <row r="15" spans="2:46" s="1" customFormat="1" ht="18" hidden="1" customHeight="1">
      <c r="B15" s="26"/>
      <c r="E15" s="21" t="s">
        <v>29</v>
      </c>
      <c r="I15" s="23" t="s">
        <v>30</v>
      </c>
      <c r="J15" s="21" t="s">
        <v>31</v>
      </c>
      <c r="L15" s="26"/>
    </row>
    <row r="16" spans="2:46" s="1" customFormat="1" ht="6.9" hidden="1" customHeight="1">
      <c r="B16" s="26"/>
      <c r="L16" s="26"/>
    </row>
    <row r="17" spans="2:12" s="1" customFormat="1" ht="12" hidden="1" customHeight="1">
      <c r="B17" s="26"/>
      <c r="D17" s="23" t="s">
        <v>32</v>
      </c>
      <c r="I17" s="23" t="s">
        <v>27</v>
      </c>
      <c r="J17" s="21" t="str">
        <f>'Rekapitulace stavby'!AN13</f>
        <v/>
      </c>
      <c r="L17" s="26"/>
    </row>
    <row r="18" spans="2:12" s="1" customFormat="1" ht="18" hidden="1" customHeight="1">
      <c r="B18" s="26"/>
      <c r="E18" s="190" t="str">
        <f>'Rekapitulace stavby'!E14</f>
        <v xml:space="preserve"> </v>
      </c>
      <c r="F18" s="190"/>
      <c r="G18" s="190"/>
      <c r="H18" s="190"/>
      <c r="I18" s="23" t="s">
        <v>30</v>
      </c>
      <c r="J18" s="21" t="str">
        <f>'Rekapitulace stavby'!AN14</f>
        <v/>
      </c>
      <c r="L18" s="26"/>
    </row>
    <row r="19" spans="2:12" s="1" customFormat="1" ht="6.9" hidden="1" customHeight="1">
      <c r="B19" s="26"/>
      <c r="L19" s="26"/>
    </row>
    <row r="20" spans="2:12" s="1" customFormat="1" ht="12" hidden="1" customHeight="1">
      <c r="B20" s="26"/>
      <c r="D20" s="23" t="s">
        <v>33</v>
      </c>
      <c r="I20" s="23" t="s">
        <v>27</v>
      </c>
      <c r="J20" s="21" t="s">
        <v>34</v>
      </c>
      <c r="L20" s="26"/>
    </row>
    <row r="21" spans="2:12" s="1" customFormat="1" ht="18" hidden="1" customHeight="1">
      <c r="B21" s="26"/>
      <c r="E21" s="21" t="s">
        <v>35</v>
      </c>
      <c r="I21" s="23" t="s">
        <v>30</v>
      </c>
      <c r="J21" s="21" t="s">
        <v>36</v>
      </c>
      <c r="L21" s="26"/>
    </row>
    <row r="22" spans="2:12" s="1" customFormat="1" ht="6.9" hidden="1" customHeight="1">
      <c r="B22" s="26"/>
      <c r="L22" s="26"/>
    </row>
    <row r="23" spans="2:12" s="1" customFormat="1" ht="12" hidden="1" customHeight="1">
      <c r="B23" s="26"/>
      <c r="D23" s="23" t="s">
        <v>37</v>
      </c>
      <c r="I23" s="23" t="s">
        <v>27</v>
      </c>
      <c r="J23" s="21" t="str">
        <f>IF('Rekapitulace stavby'!AN19="","",'Rekapitulace stavby'!AN19)</f>
        <v/>
      </c>
      <c r="L23" s="26"/>
    </row>
    <row r="24" spans="2:12" s="1" customFormat="1" ht="18" hidden="1" customHeight="1">
      <c r="B24" s="26"/>
      <c r="E24" s="21" t="str">
        <f>IF('Rekapitulace stavby'!E20="","",'Rekapitulace stavby'!E20)</f>
        <v>Pavel Vachtl</v>
      </c>
      <c r="I24" s="23" t="s">
        <v>30</v>
      </c>
      <c r="J24" s="21" t="str">
        <f>IF('Rekapitulace stavby'!AN20="","",'Rekapitulace stavby'!AN20)</f>
        <v/>
      </c>
      <c r="L24" s="26"/>
    </row>
    <row r="25" spans="2:12" s="1" customFormat="1" ht="6.9" hidden="1" customHeight="1">
      <c r="B25" s="26"/>
      <c r="L25" s="26"/>
    </row>
    <row r="26" spans="2:12" s="1" customFormat="1" ht="12" hidden="1" customHeight="1">
      <c r="B26" s="26"/>
      <c r="D26" s="23" t="s">
        <v>40</v>
      </c>
      <c r="L26" s="26"/>
    </row>
    <row r="27" spans="2:12" s="7" customFormat="1" ht="16.5" hidden="1" customHeight="1">
      <c r="B27" s="83"/>
      <c r="E27" s="193" t="s">
        <v>1</v>
      </c>
      <c r="F27" s="193"/>
      <c r="G27" s="193"/>
      <c r="H27" s="193"/>
      <c r="L27" s="83"/>
    </row>
    <row r="28" spans="2:12" s="1" customFormat="1" ht="6.9" hidden="1" customHeight="1">
      <c r="B28" s="26"/>
      <c r="L28" s="26"/>
    </row>
    <row r="29" spans="2:12" s="1" customFormat="1" ht="6.9" hidden="1" customHeight="1">
      <c r="B29" s="26"/>
      <c r="D29" s="47"/>
      <c r="E29" s="47"/>
      <c r="F29" s="47"/>
      <c r="G29" s="47"/>
      <c r="H29" s="47"/>
      <c r="I29" s="47"/>
      <c r="J29" s="47"/>
      <c r="K29" s="47"/>
      <c r="L29" s="26"/>
    </row>
    <row r="30" spans="2:12" s="1" customFormat="1" ht="25.35" hidden="1" customHeight="1">
      <c r="B30" s="26"/>
      <c r="D30" s="84" t="s">
        <v>41</v>
      </c>
      <c r="J30" s="60">
        <f>ROUND(J119, 2)</f>
        <v>0</v>
      </c>
      <c r="L30" s="26"/>
    </row>
    <row r="31" spans="2:12" s="1" customFormat="1" ht="6.9" hidden="1" customHeight="1">
      <c r="B31" s="26"/>
      <c r="D31" s="47"/>
      <c r="E31" s="47"/>
      <c r="F31" s="47"/>
      <c r="G31" s="47"/>
      <c r="H31" s="47"/>
      <c r="I31" s="47"/>
      <c r="J31" s="47"/>
      <c r="K31" s="47"/>
      <c r="L31" s="26"/>
    </row>
    <row r="32" spans="2:12" s="1" customFormat="1" ht="14.4" hidden="1" customHeight="1">
      <c r="B32" s="26"/>
      <c r="F32" s="29" t="s">
        <v>43</v>
      </c>
      <c r="I32" s="29" t="s">
        <v>42</v>
      </c>
      <c r="J32" s="29" t="s">
        <v>44</v>
      </c>
      <c r="L32" s="26"/>
    </row>
    <row r="33" spans="2:12" s="1" customFormat="1" ht="14.4" hidden="1" customHeight="1">
      <c r="B33" s="26"/>
      <c r="D33" s="49" t="s">
        <v>45</v>
      </c>
      <c r="E33" s="23" t="s">
        <v>46</v>
      </c>
      <c r="F33" s="85">
        <f>ROUND((SUM(BE119:BE185)),  2)</f>
        <v>0</v>
      </c>
      <c r="I33" s="86">
        <v>0.21</v>
      </c>
      <c r="J33" s="85">
        <f>ROUND(((SUM(BE119:BE185))*I33),  2)</f>
        <v>0</v>
      </c>
      <c r="L33" s="26"/>
    </row>
    <row r="34" spans="2:12" s="1" customFormat="1" ht="14.4" hidden="1" customHeight="1">
      <c r="B34" s="26"/>
      <c r="E34" s="23" t="s">
        <v>47</v>
      </c>
      <c r="F34" s="85">
        <f>ROUND((SUM(BF119:BF185)),  2)</f>
        <v>0</v>
      </c>
      <c r="I34" s="86">
        <v>0.15</v>
      </c>
      <c r="J34" s="85">
        <f>ROUND(((SUM(BF119:BF185))*I34),  2)</f>
        <v>0</v>
      </c>
      <c r="L34" s="26"/>
    </row>
    <row r="35" spans="2:12" s="1" customFormat="1" ht="14.4" hidden="1" customHeight="1">
      <c r="B35" s="26"/>
      <c r="E35" s="23" t="s">
        <v>48</v>
      </c>
      <c r="F35" s="85">
        <f>ROUND((SUM(BG119:BG185)),  2)</f>
        <v>0</v>
      </c>
      <c r="I35" s="86">
        <v>0.21</v>
      </c>
      <c r="J35" s="85">
        <f>0</f>
        <v>0</v>
      </c>
      <c r="L35" s="26"/>
    </row>
    <row r="36" spans="2:12" s="1" customFormat="1" ht="14.4" hidden="1" customHeight="1">
      <c r="B36" s="26"/>
      <c r="E36" s="23" t="s">
        <v>49</v>
      </c>
      <c r="F36" s="85">
        <f>ROUND((SUM(BH119:BH185)),  2)</f>
        <v>0</v>
      </c>
      <c r="I36" s="86">
        <v>0.15</v>
      </c>
      <c r="J36" s="85">
        <f>0</f>
        <v>0</v>
      </c>
      <c r="L36" s="26"/>
    </row>
    <row r="37" spans="2:12" s="1" customFormat="1" ht="14.4" hidden="1" customHeight="1">
      <c r="B37" s="26"/>
      <c r="E37" s="23" t="s">
        <v>50</v>
      </c>
      <c r="F37" s="85">
        <f>ROUND((SUM(BI119:BI185)),  2)</f>
        <v>0</v>
      </c>
      <c r="I37" s="86">
        <v>0</v>
      </c>
      <c r="J37" s="85">
        <f>0</f>
        <v>0</v>
      </c>
      <c r="L37" s="26"/>
    </row>
    <row r="38" spans="2:12" s="1" customFormat="1" ht="6.9" hidden="1" customHeight="1">
      <c r="B38" s="26"/>
      <c r="L38" s="26"/>
    </row>
    <row r="39" spans="2:12" s="1" customFormat="1" ht="25.35" hidden="1" customHeight="1">
      <c r="B39" s="26"/>
      <c r="C39" s="87"/>
      <c r="D39" s="88" t="s">
        <v>51</v>
      </c>
      <c r="E39" s="51"/>
      <c r="F39" s="51"/>
      <c r="G39" s="89" t="s">
        <v>52</v>
      </c>
      <c r="H39" s="90" t="s">
        <v>53</v>
      </c>
      <c r="I39" s="51"/>
      <c r="J39" s="91">
        <f>SUM(J30:J37)</f>
        <v>0</v>
      </c>
      <c r="K39" s="92"/>
      <c r="L39" s="26"/>
    </row>
    <row r="40" spans="2:12" s="1" customFormat="1" ht="14.4" hidden="1" customHeight="1">
      <c r="B40" s="26"/>
      <c r="L40" s="26"/>
    </row>
    <row r="41" spans="2:12" ht="14.4" hidden="1" customHeight="1">
      <c r="B41" s="17"/>
      <c r="L41" s="17"/>
    </row>
    <row r="42" spans="2:12" ht="14.4" hidden="1" customHeight="1">
      <c r="B42" s="17"/>
      <c r="L42" s="17"/>
    </row>
    <row r="43" spans="2:12" ht="14.4" hidden="1" customHeight="1">
      <c r="B43" s="17"/>
      <c r="L43" s="17"/>
    </row>
    <row r="44" spans="2:12" ht="14.4" hidden="1" customHeight="1">
      <c r="B44" s="17"/>
      <c r="L44" s="17"/>
    </row>
    <row r="45" spans="2:12" ht="14.4" hidden="1" customHeight="1">
      <c r="B45" s="17"/>
      <c r="L45" s="17"/>
    </row>
    <row r="46" spans="2:12" ht="14.4" hidden="1" customHeight="1">
      <c r="B46" s="17"/>
      <c r="L46" s="17"/>
    </row>
    <row r="47" spans="2:12" ht="14.4" hidden="1" customHeight="1">
      <c r="B47" s="17"/>
      <c r="L47" s="17"/>
    </row>
    <row r="48" spans="2:12" ht="14.4" hidden="1" customHeight="1">
      <c r="B48" s="17"/>
      <c r="L48" s="17"/>
    </row>
    <row r="49" spans="2:12" ht="14.4" hidden="1" customHeight="1">
      <c r="B49" s="17"/>
      <c r="L49" s="17"/>
    </row>
    <row r="50" spans="2:12" s="1" customFormat="1" ht="14.4" hidden="1" customHeight="1">
      <c r="B50" s="26"/>
      <c r="D50" s="35" t="s">
        <v>54</v>
      </c>
      <c r="E50" s="36"/>
      <c r="F50" s="36"/>
      <c r="G50" s="35" t="s">
        <v>55</v>
      </c>
      <c r="H50" s="36"/>
      <c r="I50" s="36"/>
      <c r="J50" s="36"/>
      <c r="K50" s="36"/>
      <c r="L50" s="26"/>
    </row>
    <row r="51" spans="2:12" hidden="1">
      <c r="B51" s="17"/>
      <c r="L51" s="17"/>
    </row>
    <row r="52" spans="2:12" hidden="1">
      <c r="B52" s="17"/>
      <c r="L52" s="17"/>
    </row>
    <row r="53" spans="2:12" hidden="1">
      <c r="B53" s="17"/>
      <c r="L53" s="17"/>
    </row>
    <row r="54" spans="2:12" hidden="1">
      <c r="B54" s="17"/>
      <c r="L54" s="17"/>
    </row>
    <row r="55" spans="2:12" hidden="1">
      <c r="B55" s="17"/>
      <c r="L55" s="17"/>
    </row>
    <row r="56" spans="2:12" hidden="1">
      <c r="B56" s="17"/>
      <c r="L56" s="17"/>
    </row>
    <row r="57" spans="2:12" hidden="1">
      <c r="B57" s="17"/>
      <c r="L57" s="17"/>
    </row>
    <row r="58" spans="2:12" hidden="1">
      <c r="B58" s="17"/>
      <c r="L58" s="17"/>
    </row>
    <row r="59" spans="2:12" hidden="1">
      <c r="B59" s="17"/>
      <c r="L59" s="17"/>
    </row>
    <row r="60" spans="2:12" hidden="1">
      <c r="B60" s="17"/>
      <c r="L60" s="17"/>
    </row>
    <row r="61" spans="2:12" s="1" customFormat="1" ht="13.2" hidden="1">
      <c r="B61" s="26"/>
      <c r="D61" s="37" t="s">
        <v>56</v>
      </c>
      <c r="E61" s="28"/>
      <c r="F61" s="93" t="s">
        <v>57</v>
      </c>
      <c r="G61" s="37" t="s">
        <v>56</v>
      </c>
      <c r="H61" s="28"/>
      <c r="I61" s="28"/>
      <c r="J61" s="94" t="s">
        <v>57</v>
      </c>
      <c r="K61" s="28"/>
      <c r="L61" s="26"/>
    </row>
    <row r="62" spans="2:12" hidden="1">
      <c r="B62" s="17"/>
      <c r="L62" s="17"/>
    </row>
    <row r="63" spans="2:12" hidden="1">
      <c r="B63" s="17"/>
      <c r="L63" s="17"/>
    </row>
    <row r="64" spans="2:12" hidden="1">
      <c r="B64" s="17"/>
      <c r="L64" s="17"/>
    </row>
    <row r="65" spans="2:12" s="1" customFormat="1" ht="13.2" hidden="1">
      <c r="B65" s="26"/>
      <c r="D65" s="35" t="s">
        <v>58</v>
      </c>
      <c r="E65" s="36"/>
      <c r="F65" s="36"/>
      <c r="G65" s="35" t="s">
        <v>59</v>
      </c>
      <c r="H65" s="36"/>
      <c r="I65" s="36"/>
      <c r="J65" s="36"/>
      <c r="K65" s="36"/>
      <c r="L65" s="26"/>
    </row>
    <row r="66" spans="2:12" hidden="1">
      <c r="B66" s="17"/>
      <c r="L66" s="17"/>
    </row>
    <row r="67" spans="2:12" hidden="1">
      <c r="B67" s="17"/>
      <c r="L67" s="17"/>
    </row>
    <row r="68" spans="2:12" hidden="1">
      <c r="B68" s="17"/>
      <c r="L68" s="17"/>
    </row>
    <row r="69" spans="2:12" hidden="1">
      <c r="B69" s="17"/>
      <c r="L69" s="17"/>
    </row>
    <row r="70" spans="2:12" hidden="1">
      <c r="B70" s="17"/>
      <c r="L70" s="17"/>
    </row>
    <row r="71" spans="2:12" hidden="1">
      <c r="B71" s="17"/>
      <c r="L71" s="17"/>
    </row>
    <row r="72" spans="2:12" hidden="1">
      <c r="B72" s="17"/>
      <c r="L72" s="17"/>
    </row>
    <row r="73" spans="2:12" hidden="1">
      <c r="B73" s="17"/>
      <c r="L73" s="17"/>
    </row>
    <row r="74" spans="2:12" hidden="1">
      <c r="B74" s="17"/>
      <c r="L74" s="17"/>
    </row>
    <row r="75" spans="2:12" hidden="1">
      <c r="B75" s="17"/>
      <c r="L75" s="17"/>
    </row>
    <row r="76" spans="2:12" s="1" customFormat="1" ht="13.2" hidden="1">
      <c r="B76" s="26"/>
      <c r="D76" s="37" t="s">
        <v>56</v>
      </c>
      <c r="E76" s="28"/>
      <c r="F76" s="93" t="s">
        <v>57</v>
      </c>
      <c r="G76" s="37" t="s">
        <v>56</v>
      </c>
      <c r="H76" s="28"/>
      <c r="I76" s="28"/>
      <c r="J76" s="94" t="s">
        <v>57</v>
      </c>
      <c r="K76" s="28"/>
      <c r="L76" s="26"/>
    </row>
    <row r="77" spans="2:12" s="1" customFormat="1" ht="14.4" hidden="1" customHeight="1">
      <c r="B77" s="38"/>
      <c r="C77" s="39"/>
      <c r="D77" s="39"/>
      <c r="E77" s="39"/>
      <c r="F77" s="39"/>
      <c r="G77" s="39"/>
      <c r="H77" s="39"/>
      <c r="I77" s="39"/>
      <c r="J77" s="39"/>
      <c r="K77" s="39"/>
      <c r="L77" s="26"/>
    </row>
    <row r="78" spans="2:12" hidden="1"/>
    <row r="79" spans="2:12" hidden="1"/>
    <row r="80" spans="2:12" hidden="1"/>
    <row r="81" spans="2:47" s="1" customFormat="1" ht="6.9" customHeight="1">
      <c r="B81" s="40"/>
      <c r="C81" s="41"/>
      <c r="D81" s="41"/>
      <c r="E81" s="41"/>
      <c r="F81" s="41"/>
      <c r="G81" s="41"/>
      <c r="H81" s="41"/>
      <c r="I81" s="41"/>
      <c r="J81" s="41"/>
      <c r="K81" s="41"/>
      <c r="L81" s="26"/>
    </row>
    <row r="82" spans="2:47" s="1" customFormat="1" ht="24.9" customHeight="1">
      <c r="B82" s="26"/>
      <c r="C82" s="18" t="s">
        <v>115</v>
      </c>
      <c r="L82" s="26"/>
    </row>
    <row r="83" spans="2:47" s="1" customFormat="1" ht="6.9" customHeight="1">
      <c r="B83" s="26"/>
      <c r="L83" s="26"/>
    </row>
    <row r="84" spans="2:47" s="1" customFormat="1" ht="12" customHeight="1">
      <c r="B84" s="26"/>
      <c r="C84" s="23" t="s">
        <v>14</v>
      </c>
      <c r="L84" s="26"/>
    </row>
    <row r="85" spans="2:47" s="1" customFormat="1" ht="16.5" customHeight="1">
      <c r="B85" s="26"/>
      <c r="E85" s="203" t="str">
        <f>E7</f>
        <v>I/26 Kyšice - Plzeň, Hřbitovní</v>
      </c>
      <c r="F85" s="204"/>
      <c r="G85" s="204"/>
      <c r="H85" s="204"/>
      <c r="L85" s="26"/>
    </row>
    <row r="86" spans="2:47" s="1" customFormat="1" ht="12" customHeight="1">
      <c r="B86" s="26"/>
      <c r="C86" s="23" t="s">
        <v>113</v>
      </c>
      <c r="L86" s="26"/>
    </row>
    <row r="87" spans="2:47" s="1" customFormat="1" ht="16.5" customHeight="1">
      <c r="B87" s="26"/>
      <c r="E87" s="168" t="str">
        <f>E9</f>
        <v>191 - Dopravní značení</v>
      </c>
      <c r="F87" s="202"/>
      <c r="G87" s="202"/>
      <c r="H87" s="202"/>
      <c r="L87" s="26"/>
    </row>
    <row r="88" spans="2:47" s="1" customFormat="1" ht="6.9" customHeight="1">
      <c r="B88" s="26"/>
      <c r="L88" s="26"/>
    </row>
    <row r="89" spans="2:47" s="1" customFormat="1" ht="12" customHeight="1">
      <c r="B89" s="26"/>
      <c r="C89" s="23" t="s">
        <v>20</v>
      </c>
      <c r="F89" s="21" t="str">
        <f>F12</f>
        <v xml:space="preserve"> </v>
      </c>
      <c r="I89" s="23" t="s">
        <v>22</v>
      </c>
      <c r="J89" s="46" t="str">
        <f>IF(J12="","",J12)</f>
        <v>20. 1. 2026</v>
      </c>
      <c r="L89" s="26"/>
    </row>
    <row r="90" spans="2:47" s="1" customFormat="1" ht="6.9" customHeight="1">
      <c r="B90" s="26"/>
      <c r="L90" s="26"/>
    </row>
    <row r="91" spans="2:47" s="1" customFormat="1" ht="15.15" customHeight="1">
      <c r="B91" s="26"/>
      <c r="C91" s="23" t="s">
        <v>26</v>
      </c>
      <c r="F91" s="21" t="str">
        <f>E15</f>
        <v>Ředitelství silnic a dálnic s.p.</v>
      </c>
      <c r="I91" s="23" t="s">
        <v>33</v>
      </c>
      <c r="J91" s="24" t="str">
        <f>E21</f>
        <v>Woring s.r.o.</v>
      </c>
      <c r="L91" s="26"/>
    </row>
    <row r="92" spans="2:47" s="1" customFormat="1" ht="15.15" customHeight="1">
      <c r="B92" s="26"/>
      <c r="C92" s="23" t="s">
        <v>32</v>
      </c>
      <c r="F92" s="21" t="str">
        <f>IF(E18="","",E18)</f>
        <v xml:space="preserve"> </v>
      </c>
      <c r="I92" s="23" t="s">
        <v>37</v>
      </c>
      <c r="J92" s="24" t="str">
        <f>E24</f>
        <v>Pavel Vachtl</v>
      </c>
      <c r="L92" s="26"/>
    </row>
    <row r="93" spans="2:47" s="1" customFormat="1" ht="10.35" customHeight="1">
      <c r="B93" s="26"/>
      <c r="L93" s="26"/>
    </row>
    <row r="94" spans="2:47" s="1" customFormat="1" ht="29.25" customHeight="1">
      <c r="B94" s="26"/>
      <c r="C94" s="95" t="s">
        <v>116</v>
      </c>
      <c r="D94" s="87"/>
      <c r="E94" s="87"/>
      <c r="F94" s="87"/>
      <c r="G94" s="87"/>
      <c r="H94" s="87"/>
      <c r="I94" s="87"/>
      <c r="J94" s="96" t="s">
        <v>117</v>
      </c>
      <c r="K94" s="87"/>
      <c r="L94" s="26"/>
    </row>
    <row r="95" spans="2:47" s="1" customFormat="1" ht="10.35" customHeight="1">
      <c r="B95" s="26"/>
      <c r="L95" s="26"/>
    </row>
    <row r="96" spans="2:47" s="1" customFormat="1" ht="22.95" customHeight="1">
      <c r="B96" s="26"/>
      <c r="C96" s="97" t="s">
        <v>118</v>
      </c>
      <c r="J96" s="60">
        <f>J119</f>
        <v>0</v>
      </c>
      <c r="L96" s="26"/>
      <c r="AU96" s="14" t="s">
        <v>90</v>
      </c>
    </row>
    <row r="97" spans="2:12" s="8" customFormat="1" ht="24.9" customHeight="1">
      <c r="B97" s="98"/>
      <c r="D97" s="99" t="s">
        <v>119</v>
      </c>
      <c r="E97" s="100"/>
      <c r="F97" s="100"/>
      <c r="G97" s="100"/>
      <c r="H97" s="100"/>
      <c r="I97" s="100"/>
      <c r="J97" s="101">
        <f>J120</f>
        <v>0</v>
      </c>
      <c r="L97" s="98"/>
    </row>
    <row r="98" spans="2:12" s="8" customFormat="1" ht="24.9" customHeight="1">
      <c r="B98" s="98"/>
      <c r="D98" s="99" t="s">
        <v>120</v>
      </c>
      <c r="E98" s="100"/>
      <c r="F98" s="100"/>
      <c r="G98" s="100"/>
      <c r="H98" s="100"/>
      <c r="I98" s="100"/>
      <c r="J98" s="101">
        <f>J124</f>
        <v>0</v>
      </c>
      <c r="L98" s="98"/>
    </row>
    <row r="99" spans="2:12" s="8" customFormat="1" ht="24.9" customHeight="1">
      <c r="B99" s="98"/>
      <c r="D99" s="99" t="s">
        <v>213</v>
      </c>
      <c r="E99" s="100"/>
      <c r="F99" s="100"/>
      <c r="G99" s="100"/>
      <c r="H99" s="100"/>
      <c r="I99" s="100"/>
      <c r="J99" s="101">
        <f>J129</f>
        <v>0</v>
      </c>
      <c r="L99" s="98"/>
    </row>
    <row r="100" spans="2:12" s="1" customFormat="1" ht="21.75" customHeight="1">
      <c r="B100" s="26"/>
      <c r="L100" s="26"/>
    </row>
    <row r="101" spans="2:12" s="1" customFormat="1" ht="6.9" customHeight="1">
      <c r="B101" s="38"/>
      <c r="C101" s="39"/>
      <c r="D101" s="39"/>
      <c r="E101" s="39"/>
      <c r="F101" s="39"/>
      <c r="G101" s="39"/>
      <c r="H101" s="39"/>
      <c r="I101" s="39"/>
      <c r="J101" s="39"/>
      <c r="K101" s="39"/>
      <c r="L101" s="26"/>
    </row>
    <row r="105" spans="2:12" s="1" customFormat="1" ht="6.9" customHeight="1">
      <c r="B105" s="40"/>
      <c r="C105" s="41"/>
      <c r="D105" s="41"/>
      <c r="E105" s="41"/>
      <c r="F105" s="41"/>
      <c r="G105" s="41"/>
      <c r="H105" s="41"/>
      <c r="I105" s="41"/>
      <c r="J105" s="41"/>
      <c r="K105" s="41"/>
      <c r="L105" s="26"/>
    </row>
    <row r="106" spans="2:12" s="1" customFormat="1" ht="24.9" customHeight="1">
      <c r="B106" s="26"/>
      <c r="C106" s="18" t="s">
        <v>121</v>
      </c>
      <c r="L106" s="26"/>
    </row>
    <row r="107" spans="2:12" s="1" customFormat="1" ht="6.9" customHeight="1">
      <c r="B107" s="26"/>
      <c r="L107" s="26"/>
    </row>
    <row r="108" spans="2:12" s="1" customFormat="1" ht="12" customHeight="1">
      <c r="B108" s="26"/>
      <c r="C108" s="23" t="s">
        <v>14</v>
      </c>
      <c r="L108" s="26"/>
    </row>
    <row r="109" spans="2:12" s="1" customFormat="1" ht="16.5" customHeight="1">
      <c r="B109" s="26"/>
      <c r="E109" s="203" t="str">
        <f>E7</f>
        <v>I/26 Kyšice - Plzeň, Hřbitovní</v>
      </c>
      <c r="F109" s="204"/>
      <c r="G109" s="204"/>
      <c r="H109" s="204"/>
      <c r="L109" s="26"/>
    </row>
    <row r="110" spans="2:12" s="1" customFormat="1" ht="12" customHeight="1">
      <c r="B110" s="26"/>
      <c r="C110" s="23" t="s">
        <v>113</v>
      </c>
      <c r="L110" s="26"/>
    </row>
    <row r="111" spans="2:12" s="1" customFormat="1" ht="16.5" customHeight="1">
      <c r="B111" s="26"/>
      <c r="E111" s="168" t="str">
        <f>E9</f>
        <v>191 - Dopravní značení</v>
      </c>
      <c r="F111" s="202"/>
      <c r="G111" s="202"/>
      <c r="H111" s="202"/>
      <c r="L111" s="26"/>
    </row>
    <row r="112" spans="2:12" s="1" customFormat="1" ht="6.9" customHeight="1">
      <c r="B112" s="26"/>
      <c r="L112" s="26"/>
    </row>
    <row r="113" spans="2:65" s="1" customFormat="1" ht="12" customHeight="1">
      <c r="B113" s="26"/>
      <c r="C113" s="23" t="s">
        <v>20</v>
      </c>
      <c r="F113" s="21" t="str">
        <f>F12</f>
        <v xml:space="preserve"> </v>
      </c>
      <c r="I113" s="23" t="s">
        <v>22</v>
      </c>
      <c r="J113" s="46" t="str">
        <f>IF(J12="","",J12)</f>
        <v>20. 1. 2026</v>
      </c>
      <c r="L113" s="26"/>
    </row>
    <row r="114" spans="2:65" s="1" customFormat="1" ht="6.9" customHeight="1">
      <c r="B114" s="26"/>
      <c r="L114" s="26"/>
    </row>
    <row r="115" spans="2:65" s="1" customFormat="1" ht="15.15" customHeight="1">
      <c r="B115" s="26"/>
      <c r="C115" s="23" t="s">
        <v>26</v>
      </c>
      <c r="F115" s="21" t="str">
        <f>E15</f>
        <v>Ředitelství silnic a dálnic s.p.</v>
      </c>
      <c r="I115" s="23" t="s">
        <v>33</v>
      </c>
      <c r="J115" s="24" t="str">
        <f>E21</f>
        <v>Woring s.r.o.</v>
      </c>
      <c r="L115" s="26"/>
    </row>
    <row r="116" spans="2:65" s="1" customFormat="1" ht="15.15" customHeight="1">
      <c r="B116" s="26"/>
      <c r="C116" s="23" t="s">
        <v>32</v>
      </c>
      <c r="F116" s="21" t="str">
        <f>IF(E18="","",E18)</f>
        <v xml:space="preserve"> </v>
      </c>
      <c r="I116" s="23" t="s">
        <v>37</v>
      </c>
      <c r="J116" s="24" t="str">
        <f>E24</f>
        <v>Pavel Vachtl</v>
      </c>
      <c r="L116" s="26"/>
    </row>
    <row r="117" spans="2:65" s="1" customFormat="1" ht="10.35" customHeight="1">
      <c r="B117" s="26"/>
      <c r="L117" s="26"/>
    </row>
    <row r="118" spans="2:65" s="9" customFormat="1" ht="29.25" customHeight="1">
      <c r="B118" s="102"/>
      <c r="C118" s="103" t="s">
        <v>122</v>
      </c>
      <c r="D118" s="104" t="s">
        <v>66</v>
      </c>
      <c r="E118" s="104" t="s">
        <v>62</v>
      </c>
      <c r="F118" s="104" t="s">
        <v>63</v>
      </c>
      <c r="G118" s="104" t="s">
        <v>123</v>
      </c>
      <c r="H118" s="104" t="s">
        <v>124</v>
      </c>
      <c r="I118" s="104" t="s">
        <v>125</v>
      </c>
      <c r="J118" s="104" t="s">
        <v>117</v>
      </c>
      <c r="K118" s="105" t="s">
        <v>126</v>
      </c>
      <c r="L118" s="102"/>
      <c r="M118" s="53" t="s">
        <v>1</v>
      </c>
      <c r="N118" s="54" t="s">
        <v>45</v>
      </c>
      <c r="O118" s="54" t="s">
        <v>127</v>
      </c>
      <c r="P118" s="54" t="s">
        <v>128</v>
      </c>
      <c r="Q118" s="54" t="s">
        <v>129</v>
      </c>
      <c r="R118" s="54" t="s">
        <v>130</v>
      </c>
      <c r="S118" s="54" t="s">
        <v>131</v>
      </c>
      <c r="T118" s="55" t="s">
        <v>132</v>
      </c>
    </row>
    <row r="119" spans="2:65" s="1" customFormat="1" ht="22.95" customHeight="1">
      <c r="B119" s="26"/>
      <c r="C119" s="58" t="s">
        <v>133</v>
      </c>
      <c r="J119" s="106">
        <f>BK119</f>
        <v>0</v>
      </c>
      <c r="L119" s="26"/>
      <c r="M119" s="56"/>
      <c r="N119" s="47"/>
      <c r="O119" s="47"/>
      <c r="P119" s="107">
        <f>P120+P124+P129</f>
        <v>0</v>
      </c>
      <c r="Q119" s="47"/>
      <c r="R119" s="107">
        <f>R120+R124+R129</f>
        <v>0</v>
      </c>
      <c r="S119" s="47"/>
      <c r="T119" s="108">
        <f>T120+T124+T129</f>
        <v>0</v>
      </c>
      <c r="AT119" s="14" t="s">
        <v>80</v>
      </c>
      <c r="AU119" s="14" t="s">
        <v>90</v>
      </c>
      <c r="BK119" s="109">
        <f>BK120+BK124+BK129</f>
        <v>0</v>
      </c>
    </row>
    <row r="120" spans="2:65" s="10" customFormat="1" ht="25.95" customHeight="1">
      <c r="B120" s="110"/>
      <c r="D120" s="111" t="s">
        <v>80</v>
      </c>
      <c r="E120" s="112" t="s">
        <v>81</v>
      </c>
      <c r="F120" s="112" t="s">
        <v>134</v>
      </c>
      <c r="J120" s="113">
        <f>BK120</f>
        <v>0</v>
      </c>
      <c r="L120" s="110"/>
      <c r="M120" s="114"/>
      <c r="P120" s="115">
        <f>SUM(P121:P123)</f>
        <v>0</v>
      </c>
      <c r="R120" s="115">
        <f>SUM(R121:R123)</f>
        <v>0</v>
      </c>
      <c r="T120" s="116">
        <f>SUM(T121:T123)</f>
        <v>0</v>
      </c>
      <c r="AR120" s="111" t="s">
        <v>135</v>
      </c>
      <c r="AT120" s="117" t="s">
        <v>80</v>
      </c>
      <c r="AU120" s="117" t="s">
        <v>81</v>
      </c>
      <c r="AY120" s="111" t="s">
        <v>136</v>
      </c>
      <c r="BK120" s="118">
        <f>SUM(BK121:BK123)</f>
        <v>0</v>
      </c>
    </row>
    <row r="121" spans="2:65" s="1" customFormat="1" ht="24.15" customHeight="1">
      <c r="B121" s="119"/>
      <c r="C121" s="120" t="s">
        <v>19</v>
      </c>
      <c r="D121" s="120" t="s">
        <v>137</v>
      </c>
      <c r="E121" s="121" t="s">
        <v>1679</v>
      </c>
      <c r="F121" s="122" t="s">
        <v>159</v>
      </c>
      <c r="G121" s="123" t="s">
        <v>140</v>
      </c>
      <c r="H121" s="124">
        <v>1</v>
      </c>
      <c r="I121" s="125">
        <v>0</v>
      </c>
      <c r="J121" s="125">
        <f>ROUND(I121*H121,2)</f>
        <v>0</v>
      </c>
      <c r="K121" s="122" t="s">
        <v>141</v>
      </c>
      <c r="L121" s="26"/>
      <c r="M121" s="126" t="s">
        <v>1</v>
      </c>
      <c r="N121" s="127" t="s">
        <v>46</v>
      </c>
      <c r="O121" s="128">
        <v>0</v>
      </c>
      <c r="P121" s="128">
        <f>O121*H121</f>
        <v>0</v>
      </c>
      <c r="Q121" s="128">
        <v>0</v>
      </c>
      <c r="R121" s="128">
        <f>Q121*H121</f>
        <v>0</v>
      </c>
      <c r="S121" s="128">
        <v>0</v>
      </c>
      <c r="T121" s="129">
        <f>S121*H121</f>
        <v>0</v>
      </c>
      <c r="AR121" s="130" t="s">
        <v>135</v>
      </c>
      <c r="AT121" s="130" t="s">
        <v>137</v>
      </c>
      <c r="AU121" s="130" t="s">
        <v>19</v>
      </c>
      <c r="AY121" s="14" t="s">
        <v>136</v>
      </c>
      <c r="BE121" s="131">
        <f>IF(N121="základní",J121,0)</f>
        <v>0</v>
      </c>
      <c r="BF121" s="131">
        <f>IF(N121="snížená",J121,0)</f>
        <v>0</v>
      </c>
      <c r="BG121" s="131">
        <f>IF(N121="zákl. přenesená",J121,0)</f>
        <v>0</v>
      </c>
      <c r="BH121" s="131">
        <f>IF(N121="sníž. přenesená",J121,0)</f>
        <v>0</v>
      </c>
      <c r="BI121" s="131">
        <f>IF(N121="nulová",J121,0)</f>
        <v>0</v>
      </c>
      <c r="BJ121" s="14" t="s">
        <v>19</v>
      </c>
      <c r="BK121" s="131">
        <f>ROUND(I121*H121,2)</f>
        <v>0</v>
      </c>
      <c r="BL121" s="14" t="s">
        <v>135</v>
      </c>
      <c r="BM121" s="130" t="s">
        <v>1680</v>
      </c>
    </row>
    <row r="122" spans="2:65" s="1" customFormat="1" ht="28.8">
      <c r="B122" s="26"/>
      <c r="D122" s="132" t="s">
        <v>143</v>
      </c>
      <c r="F122" s="133" t="s">
        <v>1681</v>
      </c>
      <c r="L122" s="26"/>
      <c r="M122" s="134"/>
      <c r="T122" s="50"/>
      <c r="AT122" s="14" t="s">
        <v>143</v>
      </c>
      <c r="AU122" s="14" t="s">
        <v>19</v>
      </c>
    </row>
    <row r="123" spans="2:65" s="1" customFormat="1" ht="38.4">
      <c r="B123" s="26"/>
      <c r="D123" s="132" t="s">
        <v>145</v>
      </c>
      <c r="F123" s="135" t="s">
        <v>162</v>
      </c>
      <c r="L123" s="26"/>
      <c r="M123" s="134"/>
      <c r="T123" s="50"/>
      <c r="AT123" s="14" t="s">
        <v>145</v>
      </c>
      <c r="AU123" s="14" t="s">
        <v>19</v>
      </c>
    </row>
    <row r="124" spans="2:65" s="10" customFormat="1" ht="25.95" customHeight="1">
      <c r="B124" s="110"/>
      <c r="D124" s="111" t="s">
        <v>80</v>
      </c>
      <c r="E124" s="112" t="s">
        <v>19</v>
      </c>
      <c r="F124" s="112" t="s">
        <v>196</v>
      </c>
      <c r="J124" s="113">
        <f>BK124</f>
        <v>0</v>
      </c>
      <c r="L124" s="110"/>
      <c r="M124" s="114"/>
      <c r="P124" s="115">
        <f>SUM(P125:P128)</f>
        <v>0</v>
      </c>
      <c r="R124" s="115">
        <f>SUM(R125:R128)</f>
        <v>0</v>
      </c>
      <c r="T124" s="116">
        <f>SUM(T125:T128)</f>
        <v>0</v>
      </c>
      <c r="AR124" s="111" t="s">
        <v>135</v>
      </c>
      <c r="AT124" s="117" t="s">
        <v>80</v>
      </c>
      <c r="AU124" s="117" t="s">
        <v>81</v>
      </c>
      <c r="AY124" s="111" t="s">
        <v>136</v>
      </c>
      <c r="BK124" s="118">
        <f>SUM(BK125:BK128)</f>
        <v>0</v>
      </c>
    </row>
    <row r="125" spans="2:65" s="1" customFormat="1" ht="16.5" customHeight="1">
      <c r="B125" s="119"/>
      <c r="C125" s="120" t="s">
        <v>149</v>
      </c>
      <c r="D125" s="120" t="s">
        <v>137</v>
      </c>
      <c r="E125" s="121" t="s">
        <v>934</v>
      </c>
      <c r="F125" s="122" t="s">
        <v>935</v>
      </c>
      <c r="G125" s="123" t="s">
        <v>152</v>
      </c>
      <c r="H125" s="124">
        <v>4</v>
      </c>
      <c r="I125" s="125">
        <v>0</v>
      </c>
      <c r="J125" s="125">
        <f>ROUND(I125*H125,2)</f>
        <v>0</v>
      </c>
      <c r="K125" s="122" t="s">
        <v>141</v>
      </c>
      <c r="L125" s="26"/>
      <c r="M125" s="126" t="s">
        <v>1</v>
      </c>
      <c r="N125" s="127" t="s">
        <v>46</v>
      </c>
      <c r="O125" s="128">
        <v>0</v>
      </c>
      <c r="P125" s="128">
        <f>O125*H125</f>
        <v>0</v>
      </c>
      <c r="Q125" s="128">
        <v>0</v>
      </c>
      <c r="R125" s="128">
        <f>Q125*H125</f>
        <v>0</v>
      </c>
      <c r="S125" s="128">
        <v>0</v>
      </c>
      <c r="T125" s="129">
        <f>S125*H125</f>
        <v>0</v>
      </c>
      <c r="AR125" s="130" t="s">
        <v>135</v>
      </c>
      <c r="AT125" s="130" t="s">
        <v>137</v>
      </c>
      <c r="AU125" s="130" t="s">
        <v>19</v>
      </c>
      <c r="AY125" s="14" t="s">
        <v>136</v>
      </c>
      <c r="BE125" s="131">
        <f>IF(N125="základní",J125,0)</f>
        <v>0</v>
      </c>
      <c r="BF125" s="131">
        <f>IF(N125="snížená",J125,0)</f>
        <v>0</v>
      </c>
      <c r="BG125" s="131">
        <f>IF(N125="zákl. přenesená",J125,0)</f>
        <v>0</v>
      </c>
      <c r="BH125" s="131">
        <f>IF(N125="sníž. přenesená",J125,0)</f>
        <v>0</v>
      </c>
      <c r="BI125" s="131">
        <f>IF(N125="nulová",J125,0)</f>
        <v>0</v>
      </c>
      <c r="BJ125" s="14" t="s">
        <v>19</v>
      </c>
      <c r="BK125" s="131">
        <f>ROUND(I125*H125,2)</f>
        <v>0</v>
      </c>
      <c r="BL125" s="14" t="s">
        <v>135</v>
      </c>
      <c r="BM125" s="130" t="s">
        <v>1682</v>
      </c>
    </row>
    <row r="126" spans="2:65" s="1" customFormat="1">
      <c r="B126" s="26"/>
      <c r="D126" s="132" t="s">
        <v>143</v>
      </c>
      <c r="F126" s="133" t="s">
        <v>935</v>
      </c>
      <c r="L126" s="26"/>
      <c r="M126" s="134"/>
      <c r="T126" s="50"/>
      <c r="AT126" s="14" t="s">
        <v>143</v>
      </c>
      <c r="AU126" s="14" t="s">
        <v>19</v>
      </c>
    </row>
    <row r="127" spans="2:65" s="1" customFormat="1" ht="86.4">
      <c r="B127" s="26"/>
      <c r="D127" s="132" t="s">
        <v>145</v>
      </c>
      <c r="F127" s="135" t="s">
        <v>937</v>
      </c>
      <c r="L127" s="26"/>
      <c r="M127" s="134"/>
      <c r="T127" s="50"/>
      <c r="AT127" s="14" t="s">
        <v>145</v>
      </c>
      <c r="AU127" s="14" t="s">
        <v>19</v>
      </c>
    </row>
    <row r="128" spans="2:65" s="11" customFormat="1">
      <c r="B128" s="136"/>
      <c r="D128" s="132" t="s">
        <v>147</v>
      </c>
      <c r="E128" s="137" t="s">
        <v>1683</v>
      </c>
      <c r="F128" s="138" t="s">
        <v>1684</v>
      </c>
      <c r="H128" s="139">
        <v>4</v>
      </c>
      <c r="L128" s="136"/>
      <c r="M128" s="140"/>
      <c r="T128" s="141"/>
      <c r="AT128" s="137" t="s">
        <v>147</v>
      </c>
      <c r="AU128" s="137" t="s">
        <v>19</v>
      </c>
      <c r="AV128" s="11" t="s">
        <v>149</v>
      </c>
      <c r="AW128" s="11" t="s">
        <v>39</v>
      </c>
      <c r="AX128" s="11" t="s">
        <v>19</v>
      </c>
      <c r="AY128" s="137" t="s">
        <v>136</v>
      </c>
    </row>
    <row r="129" spans="2:65" s="10" customFormat="1" ht="25.95" customHeight="1">
      <c r="B129" s="110"/>
      <c r="D129" s="111" t="s">
        <v>80</v>
      </c>
      <c r="E129" s="112" t="s">
        <v>197</v>
      </c>
      <c r="F129" s="112" t="s">
        <v>698</v>
      </c>
      <c r="J129" s="113">
        <f>BK129</f>
        <v>0</v>
      </c>
      <c r="L129" s="110"/>
      <c r="M129" s="114"/>
      <c r="P129" s="115">
        <f>SUM(P130:P185)</f>
        <v>0</v>
      </c>
      <c r="R129" s="115">
        <f>SUM(R130:R185)</f>
        <v>0</v>
      </c>
      <c r="T129" s="116">
        <f>SUM(T130:T185)</f>
        <v>0</v>
      </c>
      <c r="AR129" s="111" t="s">
        <v>135</v>
      </c>
      <c r="AT129" s="117" t="s">
        <v>80</v>
      </c>
      <c r="AU129" s="117" t="s">
        <v>81</v>
      </c>
      <c r="AY129" s="111" t="s">
        <v>136</v>
      </c>
      <c r="BK129" s="118">
        <f>SUM(BK130:BK185)</f>
        <v>0</v>
      </c>
    </row>
    <row r="130" spans="2:65" s="1" customFormat="1" ht="24.15" customHeight="1">
      <c r="B130" s="119"/>
      <c r="C130" s="120" t="s">
        <v>157</v>
      </c>
      <c r="D130" s="120" t="s">
        <v>137</v>
      </c>
      <c r="E130" s="121" t="s">
        <v>1685</v>
      </c>
      <c r="F130" s="122" t="s">
        <v>1686</v>
      </c>
      <c r="G130" s="123" t="s">
        <v>152</v>
      </c>
      <c r="H130" s="124">
        <v>1</v>
      </c>
      <c r="I130" s="125">
        <v>0</v>
      </c>
      <c r="J130" s="125">
        <f>ROUND(I130*H130,2)</f>
        <v>0</v>
      </c>
      <c r="K130" s="122" t="s">
        <v>141</v>
      </c>
      <c r="L130" s="26"/>
      <c r="M130" s="126" t="s">
        <v>1</v>
      </c>
      <c r="N130" s="127" t="s">
        <v>46</v>
      </c>
      <c r="O130" s="128">
        <v>0</v>
      </c>
      <c r="P130" s="128">
        <f>O130*H130</f>
        <v>0</v>
      </c>
      <c r="Q130" s="128">
        <v>0</v>
      </c>
      <c r="R130" s="128">
        <f>Q130*H130</f>
        <v>0</v>
      </c>
      <c r="S130" s="128">
        <v>0</v>
      </c>
      <c r="T130" s="129">
        <f>S130*H130</f>
        <v>0</v>
      </c>
      <c r="AR130" s="130" t="s">
        <v>135</v>
      </c>
      <c r="AT130" s="130" t="s">
        <v>137</v>
      </c>
      <c r="AU130" s="130" t="s">
        <v>19</v>
      </c>
      <c r="AY130" s="14" t="s">
        <v>136</v>
      </c>
      <c r="BE130" s="131">
        <f>IF(N130="základní",J130,0)</f>
        <v>0</v>
      </c>
      <c r="BF130" s="131">
        <f>IF(N130="snížená",J130,0)</f>
        <v>0</v>
      </c>
      <c r="BG130" s="131">
        <f>IF(N130="zákl. přenesená",J130,0)</f>
        <v>0</v>
      </c>
      <c r="BH130" s="131">
        <f>IF(N130="sníž. přenesená",J130,0)</f>
        <v>0</v>
      </c>
      <c r="BI130" s="131">
        <f>IF(N130="nulová",J130,0)</f>
        <v>0</v>
      </c>
      <c r="BJ130" s="14" t="s">
        <v>19</v>
      </c>
      <c r="BK130" s="131">
        <f>ROUND(I130*H130,2)</f>
        <v>0</v>
      </c>
      <c r="BL130" s="14" t="s">
        <v>135</v>
      </c>
      <c r="BM130" s="130" t="s">
        <v>1687</v>
      </c>
    </row>
    <row r="131" spans="2:65" s="1" customFormat="1" ht="19.2">
      <c r="B131" s="26"/>
      <c r="D131" s="132" t="s">
        <v>143</v>
      </c>
      <c r="F131" s="133" t="s">
        <v>1686</v>
      </c>
      <c r="L131" s="26"/>
      <c r="M131" s="134"/>
      <c r="T131" s="50"/>
      <c r="AT131" s="14" t="s">
        <v>143</v>
      </c>
      <c r="AU131" s="14" t="s">
        <v>19</v>
      </c>
    </row>
    <row r="132" spans="2:65" s="1" customFormat="1" ht="48">
      <c r="B132" s="26"/>
      <c r="D132" s="132" t="s">
        <v>145</v>
      </c>
      <c r="F132" s="135" t="s">
        <v>1688</v>
      </c>
      <c r="L132" s="26"/>
      <c r="M132" s="134"/>
      <c r="T132" s="50"/>
      <c r="AT132" s="14" t="s">
        <v>145</v>
      </c>
      <c r="AU132" s="14" t="s">
        <v>19</v>
      </c>
    </row>
    <row r="133" spans="2:65" s="11" customFormat="1">
      <c r="B133" s="136"/>
      <c r="D133" s="132" t="s">
        <v>147</v>
      </c>
      <c r="E133" s="137" t="s">
        <v>1689</v>
      </c>
      <c r="F133" s="138" t="s">
        <v>1690</v>
      </c>
      <c r="H133" s="139">
        <v>1</v>
      </c>
      <c r="L133" s="136"/>
      <c r="M133" s="140"/>
      <c r="T133" s="141"/>
      <c r="AT133" s="137" t="s">
        <v>147</v>
      </c>
      <c r="AU133" s="137" t="s">
        <v>19</v>
      </c>
      <c r="AV133" s="11" t="s">
        <v>149</v>
      </c>
      <c r="AW133" s="11" t="s">
        <v>39</v>
      </c>
      <c r="AX133" s="11" t="s">
        <v>19</v>
      </c>
      <c r="AY133" s="137" t="s">
        <v>136</v>
      </c>
    </row>
    <row r="134" spans="2:65" s="1" customFormat="1" ht="24.15" customHeight="1">
      <c r="B134" s="119"/>
      <c r="C134" s="120" t="s">
        <v>135</v>
      </c>
      <c r="D134" s="120" t="s">
        <v>137</v>
      </c>
      <c r="E134" s="121" t="s">
        <v>1691</v>
      </c>
      <c r="F134" s="122" t="s">
        <v>1692</v>
      </c>
      <c r="G134" s="123" t="s">
        <v>152</v>
      </c>
      <c r="H134" s="124">
        <v>1</v>
      </c>
      <c r="I134" s="125">
        <v>0</v>
      </c>
      <c r="J134" s="125">
        <f>ROUND(I134*H134,2)</f>
        <v>0</v>
      </c>
      <c r="K134" s="122" t="s">
        <v>141</v>
      </c>
      <c r="L134" s="26"/>
      <c r="M134" s="126" t="s">
        <v>1</v>
      </c>
      <c r="N134" s="127" t="s">
        <v>46</v>
      </c>
      <c r="O134" s="128">
        <v>0</v>
      </c>
      <c r="P134" s="128">
        <f>O134*H134</f>
        <v>0</v>
      </c>
      <c r="Q134" s="128">
        <v>0</v>
      </c>
      <c r="R134" s="128">
        <f>Q134*H134</f>
        <v>0</v>
      </c>
      <c r="S134" s="128">
        <v>0</v>
      </c>
      <c r="T134" s="129">
        <f>S134*H134</f>
        <v>0</v>
      </c>
      <c r="AR134" s="130" t="s">
        <v>135</v>
      </c>
      <c r="AT134" s="130" t="s">
        <v>137</v>
      </c>
      <c r="AU134" s="130" t="s">
        <v>19</v>
      </c>
      <c r="AY134" s="14" t="s">
        <v>136</v>
      </c>
      <c r="BE134" s="131">
        <f>IF(N134="základní",J134,0)</f>
        <v>0</v>
      </c>
      <c r="BF134" s="131">
        <f>IF(N134="snížená",J134,0)</f>
        <v>0</v>
      </c>
      <c r="BG134" s="131">
        <f>IF(N134="zákl. přenesená",J134,0)</f>
        <v>0</v>
      </c>
      <c r="BH134" s="131">
        <f>IF(N134="sníž. přenesená",J134,0)</f>
        <v>0</v>
      </c>
      <c r="BI134" s="131">
        <f>IF(N134="nulová",J134,0)</f>
        <v>0</v>
      </c>
      <c r="BJ134" s="14" t="s">
        <v>19</v>
      </c>
      <c r="BK134" s="131">
        <f>ROUND(I134*H134,2)</f>
        <v>0</v>
      </c>
      <c r="BL134" s="14" t="s">
        <v>135</v>
      </c>
      <c r="BM134" s="130" t="s">
        <v>1693</v>
      </c>
    </row>
    <row r="135" spans="2:65" s="1" customFormat="1" ht="19.2">
      <c r="B135" s="26"/>
      <c r="D135" s="132" t="s">
        <v>143</v>
      </c>
      <c r="F135" s="133" t="s">
        <v>1692</v>
      </c>
      <c r="L135" s="26"/>
      <c r="M135" s="134"/>
      <c r="T135" s="50"/>
      <c r="AT135" s="14" t="s">
        <v>143</v>
      </c>
      <c r="AU135" s="14" t="s">
        <v>19</v>
      </c>
    </row>
    <row r="136" spans="2:65" s="1" customFormat="1" ht="38.4">
      <c r="B136" s="26"/>
      <c r="D136" s="132" t="s">
        <v>145</v>
      </c>
      <c r="F136" s="135" t="s">
        <v>1694</v>
      </c>
      <c r="L136" s="26"/>
      <c r="M136" s="134"/>
      <c r="T136" s="50"/>
      <c r="AT136" s="14" t="s">
        <v>145</v>
      </c>
      <c r="AU136" s="14" t="s">
        <v>19</v>
      </c>
    </row>
    <row r="137" spans="2:65" s="11" customFormat="1">
      <c r="B137" s="136"/>
      <c r="D137" s="132" t="s">
        <v>147</v>
      </c>
      <c r="E137" s="137" t="s">
        <v>1695</v>
      </c>
      <c r="F137" s="138" t="s">
        <v>1690</v>
      </c>
      <c r="H137" s="139">
        <v>1</v>
      </c>
      <c r="L137" s="136"/>
      <c r="M137" s="140"/>
      <c r="T137" s="141"/>
      <c r="AT137" s="137" t="s">
        <v>147</v>
      </c>
      <c r="AU137" s="137" t="s">
        <v>19</v>
      </c>
      <c r="AV137" s="11" t="s">
        <v>149</v>
      </c>
      <c r="AW137" s="11" t="s">
        <v>39</v>
      </c>
      <c r="AX137" s="11" t="s">
        <v>19</v>
      </c>
      <c r="AY137" s="137" t="s">
        <v>136</v>
      </c>
    </row>
    <row r="138" spans="2:65" s="1" customFormat="1" ht="24.15" customHeight="1">
      <c r="B138" s="119"/>
      <c r="C138" s="120" t="s">
        <v>169</v>
      </c>
      <c r="D138" s="120" t="s">
        <v>137</v>
      </c>
      <c r="E138" s="121" t="s">
        <v>1696</v>
      </c>
      <c r="F138" s="122" t="s">
        <v>1697</v>
      </c>
      <c r="G138" s="123" t="s">
        <v>152</v>
      </c>
      <c r="H138" s="124">
        <v>4</v>
      </c>
      <c r="I138" s="125">
        <v>0</v>
      </c>
      <c r="J138" s="125">
        <f>ROUND(I138*H138,2)</f>
        <v>0</v>
      </c>
      <c r="K138" s="122" t="s">
        <v>141</v>
      </c>
      <c r="L138" s="26"/>
      <c r="M138" s="126" t="s">
        <v>1</v>
      </c>
      <c r="N138" s="127" t="s">
        <v>46</v>
      </c>
      <c r="O138" s="128">
        <v>0</v>
      </c>
      <c r="P138" s="128">
        <f>O138*H138</f>
        <v>0</v>
      </c>
      <c r="Q138" s="128">
        <v>0</v>
      </c>
      <c r="R138" s="128">
        <f>Q138*H138</f>
        <v>0</v>
      </c>
      <c r="S138" s="128">
        <v>0</v>
      </c>
      <c r="T138" s="129">
        <f>S138*H138</f>
        <v>0</v>
      </c>
      <c r="AR138" s="130" t="s">
        <v>135</v>
      </c>
      <c r="AT138" s="130" t="s">
        <v>137</v>
      </c>
      <c r="AU138" s="130" t="s">
        <v>19</v>
      </c>
      <c r="AY138" s="14" t="s">
        <v>136</v>
      </c>
      <c r="BE138" s="131">
        <f>IF(N138="základní",J138,0)</f>
        <v>0</v>
      </c>
      <c r="BF138" s="131">
        <f>IF(N138="snížená",J138,0)</f>
        <v>0</v>
      </c>
      <c r="BG138" s="131">
        <f>IF(N138="zákl. přenesená",J138,0)</f>
        <v>0</v>
      </c>
      <c r="BH138" s="131">
        <f>IF(N138="sníž. přenesená",J138,0)</f>
        <v>0</v>
      </c>
      <c r="BI138" s="131">
        <f>IF(N138="nulová",J138,0)</f>
        <v>0</v>
      </c>
      <c r="BJ138" s="14" t="s">
        <v>19</v>
      </c>
      <c r="BK138" s="131">
        <f>ROUND(I138*H138,2)</f>
        <v>0</v>
      </c>
      <c r="BL138" s="14" t="s">
        <v>135</v>
      </c>
      <c r="BM138" s="130" t="s">
        <v>1698</v>
      </c>
    </row>
    <row r="139" spans="2:65" s="1" customFormat="1" ht="19.2">
      <c r="B139" s="26"/>
      <c r="D139" s="132" t="s">
        <v>143</v>
      </c>
      <c r="F139" s="133" t="s">
        <v>1697</v>
      </c>
      <c r="L139" s="26"/>
      <c r="M139" s="134"/>
      <c r="T139" s="50"/>
      <c r="AT139" s="14" t="s">
        <v>143</v>
      </c>
      <c r="AU139" s="14" t="s">
        <v>19</v>
      </c>
    </row>
    <row r="140" spans="2:65" s="1" customFormat="1" ht="28.8">
      <c r="B140" s="26"/>
      <c r="D140" s="132" t="s">
        <v>145</v>
      </c>
      <c r="F140" s="135" t="s">
        <v>1699</v>
      </c>
      <c r="L140" s="26"/>
      <c r="M140" s="134"/>
      <c r="T140" s="50"/>
      <c r="AT140" s="14" t="s">
        <v>145</v>
      </c>
      <c r="AU140" s="14" t="s">
        <v>19</v>
      </c>
    </row>
    <row r="141" spans="2:65" s="11" customFormat="1">
      <c r="B141" s="136"/>
      <c r="D141" s="132" t="s">
        <v>147</v>
      </c>
      <c r="E141" s="137" t="s">
        <v>1700</v>
      </c>
      <c r="F141" s="138" t="s">
        <v>1701</v>
      </c>
      <c r="H141" s="139">
        <v>4</v>
      </c>
      <c r="L141" s="136"/>
      <c r="M141" s="140"/>
      <c r="T141" s="141"/>
      <c r="AT141" s="137" t="s">
        <v>147</v>
      </c>
      <c r="AU141" s="137" t="s">
        <v>19</v>
      </c>
      <c r="AV141" s="11" t="s">
        <v>149</v>
      </c>
      <c r="AW141" s="11" t="s">
        <v>39</v>
      </c>
      <c r="AX141" s="11" t="s">
        <v>19</v>
      </c>
      <c r="AY141" s="137" t="s">
        <v>136</v>
      </c>
    </row>
    <row r="142" spans="2:65" s="1" customFormat="1" ht="24.15" customHeight="1">
      <c r="B142" s="119"/>
      <c r="C142" s="120" t="s">
        <v>176</v>
      </c>
      <c r="D142" s="120" t="s">
        <v>137</v>
      </c>
      <c r="E142" s="121" t="s">
        <v>1702</v>
      </c>
      <c r="F142" s="122" t="s">
        <v>1703</v>
      </c>
      <c r="G142" s="123" t="s">
        <v>260</v>
      </c>
      <c r="H142" s="124">
        <v>2178</v>
      </c>
      <c r="I142" s="125">
        <v>0</v>
      </c>
      <c r="J142" s="125">
        <f>ROUND(I142*H142,2)</f>
        <v>0</v>
      </c>
      <c r="K142" s="122" t="s">
        <v>141</v>
      </c>
      <c r="L142" s="26"/>
      <c r="M142" s="126" t="s">
        <v>1</v>
      </c>
      <c r="N142" s="127" t="s">
        <v>46</v>
      </c>
      <c r="O142" s="128">
        <v>0</v>
      </c>
      <c r="P142" s="128">
        <f>O142*H142</f>
        <v>0</v>
      </c>
      <c r="Q142" s="128">
        <v>0</v>
      </c>
      <c r="R142" s="128">
        <f>Q142*H142</f>
        <v>0</v>
      </c>
      <c r="S142" s="128">
        <v>0</v>
      </c>
      <c r="T142" s="129">
        <f>S142*H142</f>
        <v>0</v>
      </c>
      <c r="AR142" s="130" t="s">
        <v>135</v>
      </c>
      <c r="AT142" s="130" t="s">
        <v>137</v>
      </c>
      <c r="AU142" s="130" t="s">
        <v>19</v>
      </c>
      <c r="AY142" s="14" t="s">
        <v>136</v>
      </c>
      <c r="BE142" s="131">
        <f>IF(N142="základní",J142,0)</f>
        <v>0</v>
      </c>
      <c r="BF142" s="131">
        <f>IF(N142="snížená",J142,0)</f>
        <v>0</v>
      </c>
      <c r="BG142" s="131">
        <f>IF(N142="zákl. přenesená",J142,0)</f>
        <v>0</v>
      </c>
      <c r="BH142" s="131">
        <f>IF(N142="sníž. přenesená",J142,0)</f>
        <v>0</v>
      </c>
      <c r="BI142" s="131">
        <f>IF(N142="nulová",J142,0)</f>
        <v>0</v>
      </c>
      <c r="BJ142" s="14" t="s">
        <v>19</v>
      </c>
      <c r="BK142" s="131">
        <f>ROUND(I142*H142,2)</f>
        <v>0</v>
      </c>
      <c r="BL142" s="14" t="s">
        <v>135</v>
      </c>
      <c r="BM142" s="130" t="s">
        <v>1704</v>
      </c>
    </row>
    <row r="143" spans="2:65" s="1" customFormat="1" ht="19.2">
      <c r="B143" s="26"/>
      <c r="D143" s="132" t="s">
        <v>143</v>
      </c>
      <c r="F143" s="133" t="s">
        <v>1703</v>
      </c>
      <c r="L143" s="26"/>
      <c r="M143" s="134"/>
      <c r="T143" s="50"/>
      <c r="AT143" s="14" t="s">
        <v>143</v>
      </c>
      <c r="AU143" s="14" t="s">
        <v>19</v>
      </c>
    </row>
    <row r="144" spans="2:65" s="1" customFormat="1" ht="38.4">
      <c r="B144" s="26"/>
      <c r="D144" s="132" t="s">
        <v>145</v>
      </c>
      <c r="F144" s="135" t="s">
        <v>1705</v>
      </c>
      <c r="L144" s="26"/>
      <c r="M144" s="134"/>
      <c r="T144" s="50"/>
      <c r="AT144" s="14" t="s">
        <v>145</v>
      </c>
      <c r="AU144" s="14" t="s">
        <v>19</v>
      </c>
    </row>
    <row r="145" spans="2:65" s="11" customFormat="1">
      <c r="B145" s="136"/>
      <c r="D145" s="132" t="s">
        <v>147</v>
      </c>
      <c r="E145" s="137" t="s">
        <v>1706</v>
      </c>
      <c r="F145" s="138" t="s">
        <v>1707</v>
      </c>
      <c r="H145" s="139">
        <v>90.332999999999998</v>
      </c>
      <c r="L145" s="136"/>
      <c r="M145" s="140"/>
      <c r="T145" s="141"/>
      <c r="AT145" s="137" t="s">
        <v>147</v>
      </c>
      <c r="AU145" s="137" t="s">
        <v>19</v>
      </c>
      <c r="AV145" s="11" t="s">
        <v>149</v>
      </c>
      <c r="AW145" s="11" t="s">
        <v>39</v>
      </c>
      <c r="AX145" s="11" t="s">
        <v>81</v>
      </c>
      <c r="AY145" s="137" t="s">
        <v>136</v>
      </c>
    </row>
    <row r="146" spans="2:65" s="11" customFormat="1">
      <c r="B146" s="136"/>
      <c r="D146" s="132" t="s">
        <v>147</v>
      </c>
      <c r="E146" s="137" t="s">
        <v>1708</v>
      </c>
      <c r="F146" s="138" t="s">
        <v>1709</v>
      </c>
      <c r="H146" s="139">
        <v>540.125</v>
      </c>
      <c r="L146" s="136"/>
      <c r="M146" s="140"/>
      <c r="T146" s="141"/>
      <c r="AT146" s="137" t="s">
        <v>147</v>
      </c>
      <c r="AU146" s="137" t="s">
        <v>19</v>
      </c>
      <c r="AV146" s="11" t="s">
        <v>149</v>
      </c>
      <c r="AW146" s="11" t="s">
        <v>39</v>
      </c>
      <c r="AX146" s="11" t="s">
        <v>81</v>
      </c>
      <c r="AY146" s="137" t="s">
        <v>136</v>
      </c>
    </row>
    <row r="147" spans="2:65" s="11" customFormat="1">
      <c r="B147" s="136"/>
      <c r="D147" s="132" t="s">
        <v>147</v>
      </c>
      <c r="E147" s="137" t="s">
        <v>1710</v>
      </c>
      <c r="F147" s="138" t="s">
        <v>1711</v>
      </c>
      <c r="H147" s="139">
        <v>1510.0419999999999</v>
      </c>
      <c r="L147" s="136"/>
      <c r="M147" s="140"/>
      <c r="T147" s="141"/>
      <c r="AT147" s="137" t="s">
        <v>147</v>
      </c>
      <c r="AU147" s="137" t="s">
        <v>19</v>
      </c>
      <c r="AV147" s="11" t="s">
        <v>149</v>
      </c>
      <c r="AW147" s="11" t="s">
        <v>39</v>
      </c>
      <c r="AX147" s="11" t="s">
        <v>81</v>
      </c>
      <c r="AY147" s="137" t="s">
        <v>136</v>
      </c>
    </row>
    <row r="148" spans="2:65" s="11" customFormat="1">
      <c r="B148" s="136"/>
      <c r="D148" s="132" t="s">
        <v>147</v>
      </c>
      <c r="E148" s="137" t="s">
        <v>1712</v>
      </c>
      <c r="F148" s="138" t="s">
        <v>1713</v>
      </c>
      <c r="H148" s="139">
        <v>37.5</v>
      </c>
      <c r="L148" s="136"/>
      <c r="M148" s="140"/>
      <c r="T148" s="141"/>
      <c r="AT148" s="137" t="s">
        <v>147</v>
      </c>
      <c r="AU148" s="137" t="s">
        <v>19</v>
      </c>
      <c r="AV148" s="11" t="s">
        <v>149</v>
      </c>
      <c r="AW148" s="11" t="s">
        <v>39</v>
      </c>
      <c r="AX148" s="11" t="s">
        <v>81</v>
      </c>
      <c r="AY148" s="137" t="s">
        <v>136</v>
      </c>
    </row>
    <row r="149" spans="2:65" s="11" customFormat="1">
      <c r="B149" s="136"/>
      <c r="D149" s="132" t="s">
        <v>147</v>
      </c>
      <c r="E149" s="137" t="s">
        <v>1714</v>
      </c>
      <c r="F149" s="138" t="s">
        <v>1715</v>
      </c>
      <c r="H149" s="139">
        <v>2178</v>
      </c>
      <c r="L149" s="136"/>
      <c r="M149" s="140"/>
      <c r="T149" s="141"/>
      <c r="AT149" s="137" t="s">
        <v>147</v>
      </c>
      <c r="AU149" s="137" t="s">
        <v>19</v>
      </c>
      <c r="AV149" s="11" t="s">
        <v>149</v>
      </c>
      <c r="AW149" s="11" t="s">
        <v>39</v>
      </c>
      <c r="AX149" s="11" t="s">
        <v>19</v>
      </c>
      <c r="AY149" s="137" t="s">
        <v>136</v>
      </c>
    </row>
    <row r="150" spans="2:65" s="1" customFormat="1" ht="24.15" customHeight="1">
      <c r="B150" s="119"/>
      <c r="C150" s="120" t="s">
        <v>182</v>
      </c>
      <c r="D150" s="120" t="s">
        <v>137</v>
      </c>
      <c r="E150" s="121" t="s">
        <v>1716</v>
      </c>
      <c r="F150" s="122" t="s">
        <v>1717</v>
      </c>
      <c r="G150" s="123" t="s">
        <v>260</v>
      </c>
      <c r="H150" s="124">
        <v>90.332999999999998</v>
      </c>
      <c r="I150" s="125">
        <v>0</v>
      </c>
      <c r="J150" s="125">
        <f>ROUND(I150*H150,2)</f>
        <v>0</v>
      </c>
      <c r="K150" s="122" t="s">
        <v>141</v>
      </c>
      <c r="L150" s="26"/>
      <c r="M150" s="126" t="s">
        <v>1</v>
      </c>
      <c r="N150" s="127" t="s">
        <v>46</v>
      </c>
      <c r="O150" s="128">
        <v>0</v>
      </c>
      <c r="P150" s="128">
        <f>O150*H150</f>
        <v>0</v>
      </c>
      <c r="Q150" s="128">
        <v>0</v>
      </c>
      <c r="R150" s="128">
        <f>Q150*H150</f>
        <v>0</v>
      </c>
      <c r="S150" s="128">
        <v>0</v>
      </c>
      <c r="T150" s="129">
        <f>S150*H150</f>
        <v>0</v>
      </c>
      <c r="AR150" s="130" t="s">
        <v>135</v>
      </c>
      <c r="AT150" s="130" t="s">
        <v>137</v>
      </c>
      <c r="AU150" s="130" t="s">
        <v>19</v>
      </c>
      <c r="AY150" s="14" t="s">
        <v>136</v>
      </c>
      <c r="BE150" s="131">
        <f>IF(N150="základní",J150,0)</f>
        <v>0</v>
      </c>
      <c r="BF150" s="131">
        <f>IF(N150="snížená",J150,0)</f>
        <v>0</v>
      </c>
      <c r="BG150" s="131">
        <f>IF(N150="zákl. přenesená",J150,0)</f>
        <v>0</v>
      </c>
      <c r="BH150" s="131">
        <f>IF(N150="sníž. přenesená",J150,0)</f>
        <v>0</v>
      </c>
      <c r="BI150" s="131">
        <f>IF(N150="nulová",J150,0)</f>
        <v>0</v>
      </c>
      <c r="BJ150" s="14" t="s">
        <v>19</v>
      </c>
      <c r="BK150" s="131">
        <f>ROUND(I150*H150,2)</f>
        <v>0</v>
      </c>
      <c r="BL150" s="14" t="s">
        <v>135</v>
      </c>
      <c r="BM150" s="130" t="s">
        <v>1718</v>
      </c>
    </row>
    <row r="151" spans="2:65" s="1" customFormat="1" ht="19.2">
      <c r="B151" s="26"/>
      <c r="D151" s="132" t="s">
        <v>143</v>
      </c>
      <c r="F151" s="133" t="s">
        <v>1717</v>
      </c>
      <c r="L151" s="26"/>
      <c r="M151" s="134"/>
      <c r="T151" s="50"/>
      <c r="AT151" s="14" t="s">
        <v>143</v>
      </c>
      <c r="AU151" s="14" t="s">
        <v>19</v>
      </c>
    </row>
    <row r="152" spans="2:65" s="1" customFormat="1" ht="38.4">
      <c r="B152" s="26"/>
      <c r="D152" s="132" t="s">
        <v>145</v>
      </c>
      <c r="F152" s="135" t="s">
        <v>1705</v>
      </c>
      <c r="L152" s="26"/>
      <c r="M152" s="134"/>
      <c r="T152" s="50"/>
      <c r="AT152" s="14" t="s">
        <v>145</v>
      </c>
      <c r="AU152" s="14" t="s">
        <v>19</v>
      </c>
    </row>
    <row r="153" spans="2:65" s="11" customFormat="1">
      <c r="B153" s="136"/>
      <c r="D153" s="132" t="s">
        <v>147</v>
      </c>
      <c r="E153" s="137" t="s">
        <v>1719</v>
      </c>
      <c r="F153" s="138" t="s">
        <v>1720</v>
      </c>
      <c r="H153" s="139">
        <v>90.333333333333329</v>
      </c>
      <c r="L153" s="136"/>
      <c r="M153" s="140"/>
      <c r="T153" s="141"/>
      <c r="AT153" s="137" t="s">
        <v>147</v>
      </c>
      <c r="AU153" s="137" t="s">
        <v>19</v>
      </c>
      <c r="AV153" s="11" t="s">
        <v>149</v>
      </c>
      <c r="AW153" s="11" t="s">
        <v>39</v>
      </c>
      <c r="AX153" s="11" t="s">
        <v>19</v>
      </c>
      <c r="AY153" s="137" t="s">
        <v>136</v>
      </c>
    </row>
    <row r="154" spans="2:65" s="1" customFormat="1" ht="33" customHeight="1">
      <c r="B154" s="119"/>
      <c r="C154" s="120" t="s">
        <v>189</v>
      </c>
      <c r="D154" s="120" t="s">
        <v>137</v>
      </c>
      <c r="E154" s="121" t="s">
        <v>1721</v>
      </c>
      <c r="F154" s="122" t="s">
        <v>1722</v>
      </c>
      <c r="G154" s="123" t="s">
        <v>260</v>
      </c>
      <c r="H154" s="124">
        <v>640.91700000000003</v>
      </c>
      <c r="I154" s="125">
        <v>0</v>
      </c>
      <c r="J154" s="125">
        <f>ROUND(I154*H154,2)</f>
        <v>0</v>
      </c>
      <c r="K154" s="122" t="s">
        <v>141</v>
      </c>
      <c r="L154" s="26"/>
      <c r="M154" s="126" t="s">
        <v>1</v>
      </c>
      <c r="N154" s="127" t="s">
        <v>46</v>
      </c>
      <c r="O154" s="128">
        <v>0</v>
      </c>
      <c r="P154" s="128">
        <f>O154*H154</f>
        <v>0</v>
      </c>
      <c r="Q154" s="128">
        <v>0</v>
      </c>
      <c r="R154" s="128">
        <f>Q154*H154</f>
        <v>0</v>
      </c>
      <c r="S154" s="128">
        <v>0</v>
      </c>
      <c r="T154" s="129">
        <f>S154*H154</f>
        <v>0</v>
      </c>
      <c r="AR154" s="130" t="s">
        <v>135</v>
      </c>
      <c r="AT154" s="130" t="s">
        <v>137</v>
      </c>
      <c r="AU154" s="130" t="s">
        <v>19</v>
      </c>
      <c r="AY154" s="14" t="s">
        <v>136</v>
      </c>
      <c r="BE154" s="131">
        <f>IF(N154="základní",J154,0)</f>
        <v>0</v>
      </c>
      <c r="BF154" s="131">
        <f>IF(N154="snížená",J154,0)</f>
        <v>0</v>
      </c>
      <c r="BG154" s="131">
        <f>IF(N154="zákl. přenesená",J154,0)</f>
        <v>0</v>
      </c>
      <c r="BH154" s="131">
        <f>IF(N154="sníž. přenesená",J154,0)</f>
        <v>0</v>
      </c>
      <c r="BI154" s="131">
        <f>IF(N154="nulová",J154,0)</f>
        <v>0</v>
      </c>
      <c r="BJ154" s="14" t="s">
        <v>19</v>
      </c>
      <c r="BK154" s="131">
        <f>ROUND(I154*H154,2)</f>
        <v>0</v>
      </c>
      <c r="BL154" s="14" t="s">
        <v>135</v>
      </c>
      <c r="BM154" s="130" t="s">
        <v>1723</v>
      </c>
    </row>
    <row r="155" spans="2:65" s="1" customFormat="1" ht="19.2">
      <c r="B155" s="26"/>
      <c r="D155" s="132" t="s">
        <v>143</v>
      </c>
      <c r="F155" s="133" t="s">
        <v>1722</v>
      </c>
      <c r="L155" s="26"/>
      <c r="M155" s="134"/>
      <c r="T155" s="50"/>
      <c r="AT155" s="14" t="s">
        <v>143</v>
      </c>
      <c r="AU155" s="14" t="s">
        <v>19</v>
      </c>
    </row>
    <row r="156" spans="2:65" s="1" customFormat="1" ht="38.4">
      <c r="B156" s="26"/>
      <c r="D156" s="132" t="s">
        <v>145</v>
      </c>
      <c r="F156" s="135" t="s">
        <v>1705</v>
      </c>
      <c r="L156" s="26"/>
      <c r="M156" s="134"/>
      <c r="T156" s="50"/>
      <c r="AT156" s="14" t="s">
        <v>145</v>
      </c>
      <c r="AU156" s="14" t="s">
        <v>19</v>
      </c>
    </row>
    <row r="157" spans="2:65" s="11" customFormat="1">
      <c r="B157" s="136"/>
      <c r="D157" s="132" t="s">
        <v>147</v>
      </c>
      <c r="E157" s="137" t="s">
        <v>1724</v>
      </c>
      <c r="F157" s="138" t="s">
        <v>1725</v>
      </c>
      <c r="H157" s="139">
        <v>430.75</v>
      </c>
      <c r="L157" s="136"/>
      <c r="M157" s="140"/>
      <c r="T157" s="141"/>
      <c r="AT157" s="137" t="s">
        <v>147</v>
      </c>
      <c r="AU157" s="137" t="s">
        <v>19</v>
      </c>
      <c r="AV157" s="11" t="s">
        <v>149</v>
      </c>
      <c r="AW157" s="11" t="s">
        <v>39</v>
      </c>
      <c r="AX157" s="11" t="s">
        <v>81</v>
      </c>
      <c r="AY157" s="137" t="s">
        <v>136</v>
      </c>
    </row>
    <row r="158" spans="2:65" s="11" customFormat="1">
      <c r="B158" s="136"/>
      <c r="D158" s="132" t="s">
        <v>147</v>
      </c>
      <c r="E158" s="137" t="s">
        <v>1726</v>
      </c>
      <c r="F158" s="138" t="s">
        <v>1727</v>
      </c>
      <c r="H158" s="139">
        <v>29.791666666666668</v>
      </c>
      <c r="L158" s="136"/>
      <c r="M158" s="140"/>
      <c r="T158" s="141"/>
      <c r="AT158" s="137" t="s">
        <v>147</v>
      </c>
      <c r="AU158" s="137" t="s">
        <v>19</v>
      </c>
      <c r="AV158" s="11" t="s">
        <v>149</v>
      </c>
      <c r="AW158" s="11" t="s">
        <v>39</v>
      </c>
      <c r="AX158" s="11" t="s">
        <v>81</v>
      </c>
      <c r="AY158" s="137" t="s">
        <v>136</v>
      </c>
    </row>
    <row r="159" spans="2:65" s="11" customFormat="1">
      <c r="B159" s="136"/>
      <c r="D159" s="132" t="s">
        <v>147</v>
      </c>
      <c r="E159" s="137" t="s">
        <v>1728</v>
      </c>
      <c r="F159" s="138" t="s">
        <v>1729</v>
      </c>
      <c r="H159" s="139">
        <v>5</v>
      </c>
      <c r="L159" s="136"/>
      <c r="M159" s="140"/>
      <c r="T159" s="141"/>
      <c r="AT159" s="137" t="s">
        <v>147</v>
      </c>
      <c r="AU159" s="137" t="s">
        <v>19</v>
      </c>
      <c r="AV159" s="11" t="s">
        <v>149</v>
      </c>
      <c r="AW159" s="11" t="s">
        <v>39</v>
      </c>
      <c r="AX159" s="11" t="s">
        <v>81</v>
      </c>
      <c r="AY159" s="137" t="s">
        <v>136</v>
      </c>
    </row>
    <row r="160" spans="2:65" s="11" customFormat="1">
      <c r="B160" s="136"/>
      <c r="D160" s="132" t="s">
        <v>147</v>
      </c>
      <c r="E160" s="137" t="s">
        <v>1730</v>
      </c>
      <c r="F160" s="138" t="s">
        <v>1731</v>
      </c>
      <c r="H160" s="139">
        <v>31.875</v>
      </c>
      <c r="L160" s="136"/>
      <c r="M160" s="140"/>
      <c r="T160" s="141"/>
      <c r="AT160" s="137" t="s">
        <v>147</v>
      </c>
      <c r="AU160" s="137" t="s">
        <v>19</v>
      </c>
      <c r="AV160" s="11" t="s">
        <v>149</v>
      </c>
      <c r="AW160" s="11" t="s">
        <v>39</v>
      </c>
      <c r="AX160" s="11" t="s">
        <v>81</v>
      </c>
      <c r="AY160" s="137" t="s">
        <v>136</v>
      </c>
    </row>
    <row r="161" spans="2:65" s="11" customFormat="1">
      <c r="B161" s="136"/>
      <c r="D161" s="132" t="s">
        <v>147</v>
      </c>
      <c r="E161" s="137" t="s">
        <v>1732</v>
      </c>
      <c r="F161" s="138" t="s">
        <v>1733</v>
      </c>
      <c r="H161" s="139">
        <v>10</v>
      </c>
      <c r="L161" s="136"/>
      <c r="M161" s="140"/>
      <c r="T161" s="141"/>
      <c r="AT161" s="137" t="s">
        <v>147</v>
      </c>
      <c r="AU161" s="137" t="s">
        <v>19</v>
      </c>
      <c r="AV161" s="11" t="s">
        <v>149</v>
      </c>
      <c r="AW161" s="11" t="s">
        <v>39</v>
      </c>
      <c r="AX161" s="11" t="s">
        <v>81</v>
      </c>
      <c r="AY161" s="137" t="s">
        <v>136</v>
      </c>
    </row>
    <row r="162" spans="2:65" s="11" customFormat="1">
      <c r="B162" s="136"/>
      <c r="D162" s="132" t="s">
        <v>147</v>
      </c>
      <c r="E162" s="137" t="s">
        <v>1734</v>
      </c>
      <c r="F162" s="138" t="s">
        <v>1735</v>
      </c>
      <c r="H162" s="139">
        <v>8.625</v>
      </c>
      <c r="L162" s="136"/>
      <c r="M162" s="140"/>
      <c r="T162" s="141"/>
      <c r="AT162" s="137" t="s">
        <v>147</v>
      </c>
      <c r="AU162" s="137" t="s">
        <v>19</v>
      </c>
      <c r="AV162" s="11" t="s">
        <v>149</v>
      </c>
      <c r="AW162" s="11" t="s">
        <v>39</v>
      </c>
      <c r="AX162" s="11" t="s">
        <v>81</v>
      </c>
      <c r="AY162" s="137" t="s">
        <v>136</v>
      </c>
    </row>
    <row r="163" spans="2:65" s="11" customFormat="1">
      <c r="B163" s="136"/>
      <c r="D163" s="132" t="s">
        <v>147</v>
      </c>
      <c r="E163" s="137" t="s">
        <v>1736</v>
      </c>
      <c r="F163" s="138" t="s">
        <v>1737</v>
      </c>
      <c r="H163" s="139">
        <v>2.625</v>
      </c>
      <c r="L163" s="136"/>
      <c r="M163" s="140"/>
      <c r="T163" s="141"/>
      <c r="AT163" s="137" t="s">
        <v>147</v>
      </c>
      <c r="AU163" s="137" t="s">
        <v>19</v>
      </c>
      <c r="AV163" s="11" t="s">
        <v>149</v>
      </c>
      <c r="AW163" s="11" t="s">
        <v>39</v>
      </c>
      <c r="AX163" s="11" t="s">
        <v>81</v>
      </c>
      <c r="AY163" s="137" t="s">
        <v>136</v>
      </c>
    </row>
    <row r="164" spans="2:65" s="11" customFormat="1">
      <c r="B164" s="136"/>
      <c r="D164" s="132" t="s">
        <v>147</v>
      </c>
      <c r="E164" s="137" t="s">
        <v>1738</v>
      </c>
      <c r="F164" s="138" t="s">
        <v>1739</v>
      </c>
      <c r="H164" s="139">
        <v>5.875</v>
      </c>
      <c r="L164" s="136"/>
      <c r="M164" s="140"/>
      <c r="T164" s="141"/>
      <c r="AT164" s="137" t="s">
        <v>147</v>
      </c>
      <c r="AU164" s="137" t="s">
        <v>19</v>
      </c>
      <c r="AV164" s="11" t="s">
        <v>149</v>
      </c>
      <c r="AW164" s="11" t="s">
        <v>39</v>
      </c>
      <c r="AX164" s="11" t="s">
        <v>81</v>
      </c>
      <c r="AY164" s="137" t="s">
        <v>136</v>
      </c>
    </row>
    <row r="165" spans="2:65" s="11" customFormat="1">
      <c r="B165" s="136"/>
      <c r="D165" s="132" t="s">
        <v>147</v>
      </c>
      <c r="E165" s="137" t="s">
        <v>1740</v>
      </c>
      <c r="F165" s="138" t="s">
        <v>1741</v>
      </c>
      <c r="H165" s="139">
        <v>11</v>
      </c>
      <c r="L165" s="136"/>
      <c r="M165" s="140"/>
      <c r="T165" s="141"/>
      <c r="AT165" s="137" t="s">
        <v>147</v>
      </c>
      <c r="AU165" s="137" t="s">
        <v>19</v>
      </c>
      <c r="AV165" s="11" t="s">
        <v>149</v>
      </c>
      <c r="AW165" s="11" t="s">
        <v>39</v>
      </c>
      <c r="AX165" s="11" t="s">
        <v>81</v>
      </c>
      <c r="AY165" s="137" t="s">
        <v>136</v>
      </c>
    </row>
    <row r="166" spans="2:65" s="11" customFormat="1">
      <c r="B166" s="136"/>
      <c r="D166" s="132" t="s">
        <v>147</v>
      </c>
      <c r="E166" s="137" t="s">
        <v>1742</v>
      </c>
      <c r="F166" s="138" t="s">
        <v>1743</v>
      </c>
      <c r="H166" s="139">
        <v>4.583333333333333</v>
      </c>
      <c r="L166" s="136"/>
      <c r="M166" s="140"/>
      <c r="T166" s="141"/>
      <c r="AT166" s="137" t="s">
        <v>147</v>
      </c>
      <c r="AU166" s="137" t="s">
        <v>19</v>
      </c>
      <c r="AV166" s="11" t="s">
        <v>149</v>
      </c>
      <c r="AW166" s="11" t="s">
        <v>39</v>
      </c>
      <c r="AX166" s="11" t="s">
        <v>81</v>
      </c>
      <c r="AY166" s="137" t="s">
        <v>136</v>
      </c>
    </row>
    <row r="167" spans="2:65" s="11" customFormat="1">
      <c r="B167" s="136"/>
      <c r="D167" s="132" t="s">
        <v>147</v>
      </c>
      <c r="E167" s="137" t="s">
        <v>1744</v>
      </c>
      <c r="F167" s="138" t="s">
        <v>1745</v>
      </c>
      <c r="H167" s="139">
        <v>74.166666666666671</v>
      </c>
      <c r="L167" s="136"/>
      <c r="M167" s="140"/>
      <c r="T167" s="141"/>
      <c r="AT167" s="137" t="s">
        <v>147</v>
      </c>
      <c r="AU167" s="137" t="s">
        <v>19</v>
      </c>
      <c r="AV167" s="11" t="s">
        <v>149</v>
      </c>
      <c r="AW167" s="11" t="s">
        <v>39</v>
      </c>
      <c r="AX167" s="11" t="s">
        <v>81</v>
      </c>
      <c r="AY167" s="137" t="s">
        <v>136</v>
      </c>
    </row>
    <row r="168" spans="2:65" s="11" customFormat="1">
      <c r="B168" s="136"/>
      <c r="D168" s="132" t="s">
        <v>147</v>
      </c>
      <c r="E168" s="137" t="s">
        <v>1746</v>
      </c>
      <c r="F168" s="138" t="s">
        <v>1747</v>
      </c>
      <c r="H168" s="139">
        <v>26.625</v>
      </c>
      <c r="L168" s="136"/>
      <c r="M168" s="140"/>
      <c r="T168" s="141"/>
      <c r="AT168" s="137" t="s">
        <v>147</v>
      </c>
      <c r="AU168" s="137" t="s">
        <v>19</v>
      </c>
      <c r="AV168" s="11" t="s">
        <v>149</v>
      </c>
      <c r="AW168" s="11" t="s">
        <v>39</v>
      </c>
      <c r="AX168" s="11" t="s">
        <v>81</v>
      </c>
      <c r="AY168" s="137" t="s">
        <v>136</v>
      </c>
    </row>
    <row r="169" spans="2:65" s="11" customFormat="1">
      <c r="B169" s="136"/>
      <c r="D169" s="132" t="s">
        <v>147</v>
      </c>
      <c r="E169" s="137" t="s">
        <v>1748</v>
      </c>
      <c r="F169" s="138" t="s">
        <v>1749</v>
      </c>
      <c r="H169" s="139">
        <v>640.91700000000003</v>
      </c>
      <c r="L169" s="136"/>
      <c r="M169" s="140"/>
      <c r="T169" s="141"/>
      <c r="AT169" s="137" t="s">
        <v>147</v>
      </c>
      <c r="AU169" s="137" t="s">
        <v>19</v>
      </c>
      <c r="AV169" s="11" t="s">
        <v>149</v>
      </c>
      <c r="AW169" s="11" t="s">
        <v>39</v>
      </c>
      <c r="AX169" s="11" t="s">
        <v>19</v>
      </c>
      <c r="AY169" s="137" t="s">
        <v>136</v>
      </c>
    </row>
    <row r="170" spans="2:65" s="1" customFormat="1" ht="24.15" customHeight="1">
      <c r="B170" s="119"/>
      <c r="C170" s="120" t="s">
        <v>197</v>
      </c>
      <c r="D170" s="120" t="s">
        <v>137</v>
      </c>
      <c r="E170" s="121" t="s">
        <v>1750</v>
      </c>
      <c r="F170" s="122" t="s">
        <v>1751</v>
      </c>
      <c r="G170" s="123" t="s">
        <v>260</v>
      </c>
      <c r="H170" s="124">
        <v>1467</v>
      </c>
      <c r="I170" s="125">
        <v>0</v>
      </c>
      <c r="J170" s="125">
        <f>ROUND(I170*H170,2)</f>
        <v>0</v>
      </c>
      <c r="K170" s="122" t="s">
        <v>141</v>
      </c>
      <c r="L170" s="26"/>
      <c r="M170" s="126" t="s">
        <v>1</v>
      </c>
      <c r="N170" s="127" t="s">
        <v>46</v>
      </c>
      <c r="O170" s="128">
        <v>0</v>
      </c>
      <c r="P170" s="128">
        <f>O170*H170</f>
        <v>0</v>
      </c>
      <c r="Q170" s="128">
        <v>0</v>
      </c>
      <c r="R170" s="128">
        <f>Q170*H170</f>
        <v>0</v>
      </c>
      <c r="S170" s="128">
        <v>0</v>
      </c>
      <c r="T170" s="129">
        <f>S170*H170</f>
        <v>0</v>
      </c>
      <c r="AR170" s="130" t="s">
        <v>135</v>
      </c>
      <c r="AT170" s="130" t="s">
        <v>137</v>
      </c>
      <c r="AU170" s="130" t="s">
        <v>19</v>
      </c>
      <c r="AY170" s="14" t="s">
        <v>136</v>
      </c>
      <c r="BE170" s="131">
        <f>IF(N170="základní",J170,0)</f>
        <v>0</v>
      </c>
      <c r="BF170" s="131">
        <f>IF(N170="snížená",J170,0)</f>
        <v>0</v>
      </c>
      <c r="BG170" s="131">
        <f>IF(N170="zákl. přenesená",J170,0)</f>
        <v>0</v>
      </c>
      <c r="BH170" s="131">
        <f>IF(N170="sníž. přenesená",J170,0)</f>
        <v>0</v>
      </c>
      <c r="BI170" s="131">
        <f>IF(N170="nulová",J170,0)</f>
        <v>0</v>
      </c>
      <c r="BJ170" s="14" t="s">
        <v>19</v>
      </c>
      <c r="BK170" s="131">
        <f>ROUND(I170*H170,2)</f>
        <v>0</v>
      </c>
      <c r="BL170" s="14" t="s">
        <v>135</v>
      </c>
      <c r="BM170" s="130" t="s">
        <v>1752</v>
      </c>
    </row>
    <row r="171" spans="2:65" s="1" customFormat="1">
      <c r="B171" s="26"/>
      <c r="D171" s="132" t="s">
        <v>143</v>
      </c>
      <c r="F171" s="133" t="s">
        <v>1753</v>
      </c>
      <c r="L171" s="26"/>
      <c r="M171" s="134"/>
      <c r="T171" s="50"/>
      <c r="AT171" s="14" t="s">
        <v>143</v>
      </c>
      <c r="AU171" s="14" t="s">
        <v>19</v>
      </c>
    </row>
    <row r="172" spans="2:65" s="1" customFormat="1" ht="38.4">
      <c r="B172" s="26"/>
      <c r="D172" s="132" t="s">
        <v>145</v>
      </c>
      <c r="F172" s="135" t="s">
        <v>1705</v>
      </c>
      <c r="L172" s="26"/>
      <c r="M172" s="134"/>
      <c r="T172" s="50"/>
      <c r="AT172" s="14" t="s">
        <v>145</v>
      </c>
      <c r="AU172" s="14" t="s">
        <v>19</v>
      </c>
    </row>
    <row r="173" spans="2:65" s="11" customFormat="1">
      <c r="B173" s="136"/>
      <c r="D173" s="132" t="s">
        <v>147</v>
      </c>
      <c r="E173" s="137" t="s">
        <v>1754</v>
      </c>
      <c r="F173" s="138" t="s">
        <v>1755</v>
      </c>
      <c r="H173" s="139">
        <v>29.25</v>
      </c>
      <c r="L173" s="136"/>
      <c r="M173" s="140"/>
      <c r="T173" s="141"/>
      <c r="AT173" s="137" t="s">
        <v>147</v>
      </c>
      <c r="AU173" s="137" t="s">
        <v>19</v>
      </c>
      <c r="AV173" s="11" t="s">
        <v>149</v>
      </c>
      <c r="AW173" s="11" t="s">
        <v>39</v>
      </c>
      <c r="AX173" s="11" t="s">
        <v>81</v>
      </c>
      <c r="AY173" s="137" t="s">
        <v>136</v>
      </c>
    </row>
    <row r="174" spans="2:65" s="11" customFormat="1">
      <c r="B174" s="136"/>
      <c r="D174" s="132" t="s">
        <v>147</v>
      </c>
      <c r="E174" s="137" t="s">
        <v>1756</v>
      </c>
      <c r="F174" s="138" t="s">
        <v>1757</v>
      </c>
      <c r="H174" s="139">
        <v>429</v>
      </c>
      <c r="L174" s="136"/>
      <c r="M174" s="140"/>
      <c r="T174" s="141"/>
      <c r="AT174" s="137" t="s">
        <v>147</v>
      </c>
      <c r="AU174" s="137" t="s">
        <v>19</v>
      </c>
      <c r="AV174" s="11" t="s">
        <v>149</v>
      </c>
      <c r="AW174" s="11" t="s">
        <v>39</v>
      </c>
      <c r="AX174" s="11" t="s">
        <v>81</v>
      </c>
      <c r="AY174" s="137" t="s">
        <v>136</v>
      </c>
    </row>
    <row r="175" spans="2:65" s="11" customFormat="1">
      <c r="B175" s="136"/>
      <c r="D175" s="132" t="s">
        <v>147</v>
      </c>
      <c r="E175" s="137" t="s">
        <v>1758</v>
      </c>
      <c r="F175" s="138" t="s">
        <v>1759</v>
      </c>
      <c r="H175" s="139">
        <v>79.5</v>
      </c>
      <c r="L175" s="136"/>
      <c r="M175" s="140"/>
      <c r="T175" s="141"/>
      <c r="AT175" s="137" t="s">
        <v>147</v>
      </c>
      <c r="AU175" s="137" t="s">
        <v>19</v>
      </c>
      <c r="AV175" s="11" t="s">
        <v>149</v>
      </c>
      <c r="AW175" s="11" t="s">
        <v>39</v>
      </c>
      <c r="AX175" s="11" t="s">
        <v>81</v>
      </c>
      <c r="AY175" s="137" t="s">
        <v>136</v>
      </c>
    </row>
    <row r="176" spans="2:65" s="11" customFormat="1">
      <c r="B176" s="136"/>
      <c r="D176" s="132" t="s">
        <v>147</v>
      </c>
      <c r="E176" s="137" t="s">
        <v>1760</v>
      </c>
      <c r="F176" s="138" t="s">
        <v>1761</v>
      </c>
      <c r="H176" s="139">
        <v>32.75</v>
      </c>
      <c r="L176" s="136"/>
      <c r="M176" s="140"/>
      <c r="T176" s="141"/>
      <c r="AT176" s="137" t="s">
        <v>147</v>
      </c>
      <c r="AU176" s="137" t="s">
        <v>19</v>
      </c>
      <c r="AV176" s="11" t="s">
        <v>149</v>
      </c>
      <c r="AW176" s="11" t="s">
        <v>39</v>
      </c>
      <c r="AX176" s="11" t="s">
        <v>81</v>
      </c>
      <c r="AY176" s="137" t="s">
        <v>136</v>
      </c>
    </row>
    <row r="177" spans="2:65" s="11" customFormat="1">
      <c r="B177" s="136"/>
      <c r="D177" s="132" t="s">
        <v>147</v>
      </c>
      <c r="E177" s="137" t="s">
        <v>1762</v>
      </c>
      <c r="F177" s="138" t="s">
        <v>1763</v>
      </c>
      <c r="H177" s="139">
        <v>6.5</v>
      </c>
      <c r="L177" s="136"/>
      <c r="M177" s="140"/>
      <c r="T177" s="141"/>
      <c r="AT177" s="137" t="s">
        <v>147</v>
      </c>
      <c r="AU177" s="137" t="s">
        <v>19</v>
      </c>
      <c r="AV177" s="11" t="s">
        <v>149</v>
      </c>
      <c r="AW177" s="11" t="s">
        <v>39</v>
      </c>
      <c r="AX177" s="11" t="s">
        <v>81</v>
      </c>
      <c r="AY177" s="137" t="s">
        <v>136</v>
      </c>
    </row>
    <row r="178" spans="2:65" s="11" customFormat="1">
      <c r="B178" s="136"/>
      <c r="D178" s="132" t="s">
        <v>147</v>
      </c>
      <c r="E178" s="137" t="s">
        <v>1764</v>
      </c>
      <c r="F178" s="138" t="s">
        <v>1765</v>
      </c>
      <c r="H178" s="139">
        <v>890</v>
      </c>
      <c r="L178" s="136"/>
      <c r="M178" s="140"/>
      <c r="T178" s="141"/>
      <c r="AT178" s="137" t="s">
        <v>147</v>
      </c>
      <c r="AU178" s="137" t="s">
        <v>19</v>
      </c>
      <c r="AV178" s="11" t="s">
        <v>149</v>
      </c>
      <c r="AW178" s="11" t="s">
        <v>39</v>
      </c>
      <c r="AX178" s="11" t="s">
        <v>81</v>
      </c>
      <c r="AY178" s="137" t="s">
        <v>136</v>
      </c>
    </row>
    <row r="179" spans="2:65" s="11" customFormat="1">
      <c r="B179" s="136"/>
      <c r="D179" s="132" t="s">
        <v>147</v>
      </c>
      <c r="E179" s="137" t="s">
        <v>1766</v>
      </c>
      <c r="F179" s="138" t="s">
        <v>1767</v>
      </c>
      <c r="H179" s="139">
        <v>1467</v>
      </c>
      <c r="L179" s="136"/>
      <c r="M179" s="140"/>
      <c r="T179" s="141"/>
      <c r="AT179" s="137" t="s">
        <v>147</v>
      </c>
      <c r="AU179" s="137" t="s">
        <v>19</v>
      </c>
      <c r="AV179" s="11" t="s">
        <v>149</v>
      </c>
      <c r="AW179" s="11" t="s">
        <v>39</v>
      </c>
      <c r="AX179" s="11" t="s">
        <v>19</v>
      </c>
      <c r="AY179" s="137" t="s">
        <v>136</v>
      </c>
    </row>
    <row r="180" spans="2:65" s="1" customFormat="1" ht="24.15" customHeight="1">
      <c r="B180" s="119"/>
      <c r="C180" s="120" t="s">
        <v>24</v>
      </c>
      <c r="D180" s="120" t="s">
        <v>137</v>
      </c>
      <c r="E180" s="121" t="s">
        <v>1768</v>
      </c>
      <c r="F180" s="122" t="s">
        <v>1769</v>
      </c>
      <c r="G180" s="123" t="s">
        <v>152</v>
      </c>
      <c r="H180" s="124">
        <v>30</v>
      </c>
      <c r="I180" s="125">
        <v>0</v>
      </c>
      <c r="J180" s="125">
        <f>ROUND(I180*H180,2)</f>
        <v>0</v>
      </c>
      <c r="K180" s="122" t="s">
        <v>141</v>
      </c>
      <c r="L180" s="26"/>
      <c r="M180" s="126" t="s">
        <v>1</v>
      </c>
      <c r="N180" s="127" t="s">
        <v>46</v>
      </c>
      <c r="O180" s="128">
        <v>0</v>
      </c>
      <c r="P180" s="128">
        <f>O180*H180</f>
        <v>0</v>
      </c>
      <c r="Q180" s="128">
        <v>0</v>
      </c>
      <c r="R180" s="128">
        <f>Q180*H180</f>
        <v>0</v>
      </c>
      <c r="S180" s="128">
        <v>0</v>
      </c>
      <c r="T180" s="129">
        <f>S180*H180</f>
        <v>0</v>
      </c>
      <c r="AR180" s="130" t="s">
        <v>135</v>
      </c>
      <c r="AT180" s="130" t="s">
        <v>137</v>
      </c>
      <c r="AU180" s="130" t="s">
        <v>19</v>
      </c>
      <c r="AY180" s="14" t="s">
        <v>136</v>
      </c>
      <c r="BE180" s="131">
        <f>IF(N180="základní",J180,0)</f>
        <v>0</v>
      </c>
      <c r="BF180" s="131">
        <f>IF(N180="snížená",J180,0)</f>
        <v>0</v>
      </c>
      <c r="BG180" s="131">
        <f>IF(N180="zákl. přenesená",J180,0)</f>
        <v>0</v>
      </c>
      <c r="BH180" s="131">
        <f>IF(N180="sníž. přenesená",J180,0)</f>
        <v>0</v>
      </c>
      <c r="BI180" s="131">
        <f>IF(N180="nulová",J180,0)</f>
        <v>0</v>
      </c>
      <c r="BJ180" s="14" t="s">
        <v>19</v>
      </c>
      <c r="BK180" s="131">
        <f>ROUND(I180*H180,2)</f>
        <v>0</v>
      </c>
      <c r="BL180" s="14" t="s">
        <v>135</v>
      </c>
      <c r="BM180" s="130" t="s">
        <v>1770</v>
      </c>
    </row>
    <row r="181" spans="2:65" s="1" customFormat="1" ht="19.2">
      <c r="B181" s="26"/>
      <c r="D181" s="132" t="s">
        <v>143</v>
      </c>
      <c r="F181" s="133" t="s">
        <v>1769</v>
      </c>
      <c r="L181" s="26"/>
      <c r="M181" s="134"/>
      <c r="T181" s="50"/>
      <c r="AT181" s="14" t="s">
        <v>143</v>
      </c>
      <c r="AU181" s="14" t="s">
        <v>19</v>
      </c>
    </row>
    <row r="182" spans="2:65" s="1" customFormat="1" ht="38.4">
      <c r="B182" s="26"/>
      <c r="D182" s="132" t="s">
        <v>145</v>
      </c>
      <c r="F182" s="135" t="s">
        <v>1771</v>
      </c>
      <c r="L182" s="26"/>
      <c r="M182" s="134"/>
      <c r="T182" s="50"/>
      <c r="AT182" s="14" t="s">
        <v>145</v>
      </c>
      <c r="AU182" s="14" t="s">
        <v>19</v>
      </c>
    </row>
    <row r="183" spans="2:65" s="11" customFormat="1">
      <c r="B183" s="136"/>
      <c r="D183" s="132" t="s">
        <v>147</v>
      </c>
      <c r="E183" s="137" t="s">
        <v>1772</v>
      </c>
      <c r="F183" s="138" t="s">
        <v>1773</v>
      </c>
      <c r="H183" s="139">
        <v>8</v>
      </c>
      <c r="L183" s="136"/>
      <c r="M183" s="140"/>
      <c r="T183" s="141"/>
      <c r="AT183" s="137" t="s">
        <v>147</v>
      </c>
      <c r="AU183" s="137" t="s">
        <v>19</v>
      </c>
      <c r="AV183" s="11" t="s">
        <v>149</v>
      </c>
      <c r="AW183" s="11" t="s">
        <v>39</v>
      </c>
      <c r="AX183" s="11" t="s">
        <v>81</v>
      </c>
      <c r="AY183" s="137" t="s">
        <v>136</v>
      </c>
    </row>
    <row r="184" spans="2:65" s="11" customFormat="1">
      <c r="B184" s="136"/>
      <c r="D184" s="132" t="s">
        <v>147</v>
      </c>
      <c r="E184" s="137" t="s">
        <v>1774</v>
      </c>
      <c r="F184" s="138" t="s">
        <v>1775</v>
      </c>
      <c r="H184" s="139">
        <v>22</v>
      </c>
      <c r="L184" s="136"/>
      <c r="M184" s="140"/>
      <c r="T184" s="141"/>
      <c r="AT184" s="137" t="s">
        <v>147</v>
      </c>
      <c r="AU184" s="137" t="s">
        <v>19</v>
      </c>
      <c r="AV184" s="11" t="s">
        <v>149</v>
      </c>
      <c r="AW184" s="11" t="s">
        <v>39</v>
      </c>
      <c r="AX184" s="11" t="s">
        <v>81</v>
      </c>
      <c r="AY184" s="137" t="s">
        <v>136</v>
      </c>
    </row>
    <row r="185" spans="2:65" s="11" customFormat="1">
      <c r="B185" s="136"/>
      <c r="D185" s="132" t="s">
        <v>147</v>
      </c>
      <c r="E185" s="137" t="s">
        <v>1776</v>
      </c>
      <c r="F185" s="138" t="s">
        <v>1392</v>
      </c>
      <c r="H185" s="139">
        <v>30</v>
      </c>
      <c r="L185" s="136"/>
      <c r="M185" s="142"/>
      <c r="N185" s="143"/>
      <c r="O185" s="143"/>
      <c r="P185" s="143"/>
      <c r="Q185" s="143"/>
      <c r="R185" s="143"/>
      <c r="S185" s="143"/>
      <c r="T185" s="144"/>
      <c r="AT185" s="137" t="s">
        <v>147</v>
      </c>
      <c r="AU185" s="137" t="s">
        <v>19</v>
      </c>
      <c r="AV185" s="11" t="s">
        <v>149</v>
      </c>
      <c r="AW185" s="11" t="s">
        <v>39</v>
      </c>
      <c r="AX185" s="11" t="s">
        <v>19</v>
      </c>
      <c r="AY185" s="137" t="s">
        <v>136</v>
      </c>
    </row>
    <row r="186" spans="2:65" s="1" customFormat="1" ht="6.9" customHeight="1">
      <c r="B186" s="38"/>
      <c r="C186" s="39"/>
      <c r="D186" s="39"/>
      <c r="E186" s="39"/>
      <c r="F186" s="39"/>
      <c r="G186" s="39"/>
      <c r="H186" s="39"/>
      <c r="I186" s="39"/>
      <c r="J186" s="39"/>
      <c r="K186" s="39"/>
      <c r="L186" s="26"/>
    </row>
  </sheetData>
  <autoFilter ref="C118:K185" xr:uid="{00000000-0009-0000-0000-000005000000}"/>
  <mergeCells count="9">
    <mergeCell ref="E87:H87"/>
    <mergeCell ref="E109:H109"/>
    <mergeCell ref="E111:H111"/>
    <mergeCell ref="L2:V2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B3:BM209"/>
  <sheetViews>
    <sheetView showGridLines="0" tabSelected="1" workbookViewId="0">
      <selection activeCell="A109" sqref="A1:XFD109"/>
    </sheetView>
  </sheetViews>
  <sheetFormatPr defaultRowHeight="10.199999999999999"/>
  <cols>
    <col min="1" max="1" width="8.28515625" customWidth="1"/>
    <col min="2" max="2" width="1.140625" customWidth="1"/>
    <col min="3" max="3" width="4.140625" customWidth="1"/>
    <col min="4" max="4" width="4.28515625" customWidth="1"/>
    <col min="5" max="5" width="17.140625" customWidth="1"/>
    <col min="6" max="6" width="50.85546875" customWidth="1"/>
    <col min="7" max="7" width="7.42578125" customWidth="1"/>
    <col min="8" max="8" width="14" customWidth="1"/>
    <col min="9" max="9" width="15.85546875" customWidth="1"/>
    <col min="10" max="11" width="22.28515625" customWidth="1"/>
    <col min="12" max="12" width="9.28515625" customWidth="1"/>
    <col min="13" max="13" width="10.85546875" hidden="1" customWidth="1"/>
    <col min="14" max="14" width="9.28515625" hidden="1"/>
    <col min="15" max="20" width="14.140625" hidden="1" customWidth="1"/>
    <col min="21" max="21" width="16.28515625" hidden="1" customWidth="1"/>
    <col min="22" max="22" width="12.28515625" customWidth="1"/>
    <col min="23" max="23" width="16.28515625" customWidth="1"/>
    <col min="24" max="24" width="12.28515625" customWidth="1"/>
    <col min="25" max="25" width="15" customWidth="1"/>
    <col min="26" max="26" width="11" customWidth="1"/>
    <col min="27" max="27" width="15" customWidth="1"/>
    <col min="28" max="28" width="16.28515625" customWidth="1"/>
    <col min="29" max="29" width="11" customWidth="1"/>
    <col min="30" max="30" width="15" customWidth="1"/>
    <col min="31" max="31" width="16.28515625" customWidth="1"/>
    <col min="44" max="65" width="9.28515625" hidden="1"/>
  </cols>
  <sheetData>
    <row r="3" spans="2:20" s="1" customFormat="1" ht="6.9" customHeight="1">
      <c r="B3" s="40"/>
      <c r="C3" s="41"/>
      <c r="D3" s="41"/>
      <c r="E3" s="41"/>
      <c r="F3" s="41"/>
      <c r="G3" s="41"/>
      <c r="H3" s="41"/>
      <c r="I3" s="41"/>
      <c r="J3" s="41"/>
      <c r="K3" s="41"/>
      <c r="L3" s="26"/>
    </row>
    <row r="4" spans="2:20" s="1" customFormat="1" ht="24.9" customHeight="1">
      <c r="B4" s="26"/>
      <c r="C4" s="18" t="s">
        <v>121</v>
      </c>
      <c r="L4" s="26"/>
    </row>
    <row r="5" spans="2:20" s="1" customFormat="1" ht="6.9" customHeight="1">
      <c r="B5" s="26"/>
      <c r="L5" s="26"/>
    </row>
    <row r="6" spans="2:20" s="1" customFormat="1" ht="12" customHeight="1">
      <c r="B6" s="26"/>
      <c r="C6" s="23" t="s">
        <v>14</v>
      </c>
      <c r="L6" s="26"/>
    </row>
    <row r="7" spans="2:20" s="1" customFormat="1" ht="16.5" customHeight="1">
      <c r="B7" s="26"/>
      <c r="E7" s="203" t="e">
        <f>#REF!</f>
        <v>#REF!</v>
      </c>
      <c r="F7" s="204"/>
      <c r="G7" s="204"/>
      <c r="H7" s="204"/>
      <c r="L7" s="26"/>
    </row>
    <row r="8" spans="2:20" s="1" customFormat="1" ht="12" customHeight="1">
      <c r="B8" s="26"/>
      <c r="C8" s="23" t="s">
        <v>113</v>
      </c>
      <c r="L8" s="26"/>
    </row>
    <row r="9" spans="2:20" s="1" customFormat="1" ht="16.5" customHeight="1">
      <c r="B9" s="26"/>
      <c r="E9" s="168" t="e">
        <f>#REF!</f>
        <v>#REF!</v>
      </c>
      <c r="F9" s="202"/>
      <c r="G9" s="202"/>
      <c r="H9" s="202"/>
      <c r="L9" s="26"/>
    </row>
    <row r="10" spans="2:20" s="1" customFormat="1" ht="6.9" customHeight="1">
      <c r="B10" s="26"/>
      <c r="L10" s="26"/>
    </row>
    <row r="11" spans="2:20" s="1" customFormat="1" ht="12" customHeight="1">
      <c r="B11" s="26"/>
      <c r="C11" s="23" t="s">
        <v>20</v>
      </c>
      <c r="F11" s="21" t="e">
        <f>#REF!</f>
        <v>#REF!</v>
      </c>
      <c r="I11" s="23" t="s">
        <v>22</v>
      </c>
      <c r="J11" s="46" t="e">
        <f>IF(#REF!="","",#REF!)</f>
        <v>#REF!</v>
      </c>
      <c r="L11" s="26"/>
    </row>
    <row r="12" spans="2:20" s="1" customFormat="1" ht="6.9" customHeight="1">
      <c r="B12" s="26"/>
      <c r="L12" s="26"/>
    </row>
    <row r="13" spans="2:20" s="1" customFormat="1" ht="15.15" customHeight="1">
      <c r="B13" s="26"/>
      <c r="C13" s="23" t="s">
        <v>26</v>
      </c>
      <c r="F13" s="21" t="e">
        <f>#REF!</f>
        <v>#REF!</v>
      </c>
      <c r="I13" s="23" t="s">
        <v>33</v>
      </c>
      <c r="J13" s="24" t="e">
        <f>#REF!</f>
        <v>#REF!</v>
      </c>
      <c r="L13" s="26"/>
    </row>
    <row r="14" spans="2:20" s="1" customFormat="1" ht="15.15" customHeight="1">
      <c r="B14" s="26"/>
      <c r="C14" s="23" t="s">
        <v>32</v>
      </c>
      <c r="F14" s="21" t="e">
        <f>IF(#REF!="","",#REF!)</f>
        <v>#REF!</v>
      </c>
      <c r="I14" s="23" t="s">
        <v>37</v>
      </c>
      <c r="J14" s="24" t="e">
        <f>#REF!</f>
        <v>#REF!</v>
      </c>
      <c r="L14" s="26"/>
    </row>
    <row r="15" spans="2:20" s="1" customFormat="1" ht="10.35" customHeight="1">
      <c r="B15" s="26"/>
      <c r="L15" s="26"/>
    </row>
    <row r="16" spans="2:20" s="9" customFormat="1" ht="29.25" customHeight="1">
      <c r="B16" s="102"/>
      <c r="C16" s="103" t="s">
        <v>122</v>
      </c>
      <c r="D16" s="104" t="s">
        <v>66</v>
      </c>
      <c r="E16" s="104" t="s">
        <v>62</v>
      </c>
      <c r="F16" s="104" t="s">
        <v>63</v>
      </c>
      <c r="G16" s="104" t="s">
        <v>123</v>
      </c>
      <c r="H16" s="104" t="s">
        <v>124</v>
      </c>
      <c r="I16" s="104" t="s">
        <v>125</v>
      </c>
      <c r="J16" s="104" t="s">
        <v>117</v>
      </c>
      <c r="K16" s="105" t="s">
        <v>126</v>
      </c>
      <c r="L16" s="102"/>
      <c r="M16" s="53" t="s">
        <v>1</v>
      </c>
      <c r="N16" s="54" t="s">
        <v>45</v>
      </c>
      <c r="O16" s="54" t="s">
        <v>127</v>
      </c>
      <c r="P16" s="54" t="s">
        <v>128</v>
      </c>
      <c r="Q16" s="54" t="s">
        <v>129</v>
      </c>
      <c r="R16" s="54" t="s">
        <v>130</v>
      </c>
      <c r="S16" s="54" t="s">
        <v>131</v>
      </c>
      <c r="T16" s="55" t="s">
        <v>132</v>
      </c>
    </row>
    <row r="17" spans="2:65" s="1" customFormat="1" ht="22.95" customHeight="1">
      <c r="B17" s="26"/>
      <c r="C17" s="58" t="s">
        <v>133</v>
      </c>
      <c r="J17" s="106" t="e">
        <f>BK17</f>
        <v>#REF!</v>
      </c>
      <c r="L17" s="26"/>
      <c r="M17" s="56"/>
      <c r="N17" s="47"/>
      <c r="O17" s="47"/>
      <c r="P17" s="107" t="e">
        <f>P18+P53+P54+P69+P93+P125+P126+P145+P176+P183</f>
        <v>#REF!</v>
      </c>
      <c r="Q17" s="47"/>
      <c r="R17" s="107" t="e">
        <f>R18+R53+R54+R69+R93+R125+R126+R145+R176+R183</f>
        <v>#REF!</v>
      </c>
      <c r="S17" s="47"/>
      <c r="T17" s="108" t="e">
        <f>T18+T53+T54+T69+T93+T125+T126+T145+T176+T183</f>
        <v>#REF!</v>
      </c>
      <c r="AT17" s="14" t="s">
        <v>80</v>
      </c>
      <c r="AU17" s="14" t="s">
        <v>90</v>
      </c>
      <c r="BK17" s="109" t="e">
        <f>BK18+BK53+BK54+BK69+BK93+BK125+BK126+BK145+BK176+BK183</f>
        <v>#REF!</v>
      </c>
    </row>
    <row r="18" spans="2:65" s="10" customFormat="1" ht="25.95" customHeight="1">
      <c r="B18" s="110"/>
      <c r="D18" s="111" t="s">
        <v>80</v>
      </c>
      <c r="E18" s="112" t="s">
        <v>81</v>
      </c>
      <c r="F18" s="112" t="s">
        <v>134</v>
      </c>
      <c r="J18" s="113">
        <f>BK18</f>
        <v>0</v>
      </c>
      <c r="L18" s="110"/>
      <c r="M18" s="114"/>
      <c r="P18" s="115">
        <f>SUM(P19:P52)</f>
        <v>0</v>
      </c>
      <c r="R18" s="115">
        <f>SUM(R19:R52)</f>
        <v>0</v>
      </c>
      <c r="T18" s="116">
        <f>SUM(T19:T52)</f>
        <v>0</v>
      </c>
      <c r="AR18" s="111" t="s">
        <v>135</v>
      </c>
      <c r="AT18" s="117" t="s">
        <v>80</v>
      </c>
      <c r="AU18" s="117" t="s">
        <v>81</v>
      </c>
      <c r="AY18" s="111" t="s">
        <v>136</v>
      </c>
      <c r="BK18" s="118">
        <f>SUM(BK19:BK52)</f>
        <v>0</v>
      </c>
    </row>
    <row r="19" spans="2:65" s="1" customFormat="1" ht="24.15" customHeight="1">
      <c r="B19" s="119"/>
      <c r="C19" s="120" t="s">
        <v>19</v>
      </c>
      <c r="D19" s="120" t="s">
        <v>137</v>
      </c>
      <c r="E19" s="121" t="s">
        <v>1777</v>
      </c>
      <c r="F19" s="122" t="s">
        <v>1778</v>
      </c>
      <c r="G19" s="123" t="s">
        <v>216</v>
      </c>
      <c r="H19" s="124">
        <v>1243.0360000000001</v>
      </c>
      <c r="I19" s="125">
        <v>0</v>
      </c>
      <c r="J19" s="125">
        <f>ROUND(I19*H19,2)</f>
        <v>0</v>
      </c>
      <c r="K19" s="122" t="s">
        <v>141</v>
      </c>
      <c r="L19" s="26"/>
      <c r="M19" s="126" t="s">
        <v>1</v>
      </c>
      <c r="N19" s="127" t="s">
        <v>46</v>
      </c>
      <c r="O19" s="128">
        <v>0</v>
      </c>
      <c r="P19" s="128">
        <f>O19*H19</f>
        <v>0</v>
      </c>
      <c r="Q19" s="128">
        <v>0</v>
      </c>
      <c r="R19" s="128">
        <f>Q19*H19</f>
        <v>0</v>
      </c>
      <c r="S19" s="128">
        <v>0</v>
      </c>
      <c r="T19" s="129">
        <f>S19*H19</f>
        <v>0</v>
      </c>
      <c r="AR19" s="130" t="s">
        <v>135</v>
      </c>
      <c r="AT19" s="130" t="s">
        <v>137</v>
      </c>
      <c r="AU19" s="130" t="s">
        <v>19</v>
      </c>
      <c r="AY19" s="14" t="s">
        <v>136</v>
      </c>
      <c r="BE19" s="131">
        <f>IF(N19="základní",J19,0)</f>
        <v>0</v>
      </c>
      <c r="BF19" s="131">
        <f>IF(N19="snížená",J19,0)</f>
        <v>0</v>
      </c>
      <c r="BG19" s="131">
        <f>IF(N19="zákl. přenesená",J19,0)</f>
        <v>0</v>
      </c>
      <c r="BH19" s="131">
        <f>IF(N19="sníž. přenesená",J19,0)</f>
        <v>0</v>
      </c>
      <c r="BI19" s="131">
        <f>IF(N19="nulová",J19,0)</f>
        <v>0</v>
      </c>
      <c r="BJ19" s="14" t="s">
        <v>19</v>
      </c>
      <c r="BK19" s="131">
        <f>ROUND(I19*H19,2)</f>
        <v>0</v>
      </c>
      <c r="BL19" s="14" t="s">
        <v>135</v>
      </c>
      <c r="BM19" s="130" t="s">
        <v>1779</v>
      </c>
    </row>
    <row r="20" spans="2:65" s="1" customFormat="1">
      <c r="B20" s="26"/>
      <c r="D20" s="132" t="s">
        <v>143</v>
      </c>
      <c r="F20" s="133" t="s">
        <v>1778</v>
      </c>
      <c r="L20" s="26"/>
      <c r="M20" s="134"/>
      <c r="T20" s="50"/>
      <c r="AT20" s="14" t="s">
        <v>143</v>
      </c>
      <c r="AU20" s="14" t="s">
        <v>19</v>
      </c>
    </row>
    <row r="21" spans="2:65" s="1" customFormat="1" ht="28.8">
      <c r="B21" s="26"/>
      <c r="D21" s="132" t="s">
        <v>145</v>
      </c>
      <c r="F21" s="135" t="s">
        <v>1780</v>
      </c>
      <c r="L21" s="26"/>
      <c r="M21" s="134"/>
      <c r="T21" s="50"/>
      <c r="AT21" s="14" t="s">
        <v>145</v>
      </c>
      <c r="AU21" s="14" t="s">
        <v>19</v>
      </c>
    </row>
    <row r="22" spans="2:65" s="11" customFormat="1">
      <c r="B22" s="136"/>
      <c r="D22" s="132" t="s">
        <v>147</v>
      </c>
      <c r="E22" s="137" t="s">
        <v>1781</v>
      </c>
      <c r="F22" s="138" t="s">
        <v>1782</v>
      </c>
      <c r="H22" s="139">
        <v>46</v>
      </c>
      <c r="L22" s="136"/>
      <c r="M22" s="140"/>
      <c r="T22" s="141"/>
      <c r="AT22" s="137" t="s">
        <v>147</v>
      </c>
      <c r="AU22" s="137" t="s">
        <v>19</v>
      </c>
      <c r="AV22" s="11" t="s">
        <v>149</v>
      </c>
      <c r="AW22" s="11" t="s">
        <v>39</v>
      </c>
      <c r="AX22" s="11" t="s">
        <v>81</v>
      </c>
      <c r="AY22" s="137" t="s">
        <v>136</v>
      </c>
    </row>
    <row r="23" spans="2:65" s="11" customFormat="1">
      <c r="B23" s="136"/>
      <c r="D23" s="132" t="s">
        <v>147</v>
      </c>
      <c r="E23" s="137" t="s">
        <v>1783</v>
      </c>
      <c r="F23" s="138" t="s">
        <v>1784</v>
      </c>
      <c r="H23" s="139">
        <v>26</v>
      </c>
      <c r="L23" s="136"/>
      <c r="M23" s="140"/>
      <c r="T23" s="141"/>
      <c r="AT23" s="137" t="s">
        <v>147</v>
      </c>
      <c r="AU23" s="137" t="s">
        <v>19</v>
      </c>
      <c r="AV23" s="11" t="s">
        <v>149</v>
      </c>
      <c r="AW23" s="11" t="s">
        <v>39</v>
      </c>
      <c r="AX23" s="11" t="s">
        <v>81</v>
      </c>
      <c r="AY23" s="137" t="s">
        <v>136</v>
      </c>
    </row>
    <row r="24" spans="2:65" s="11" customFormat="1">
      <c r="B24" s="136"/>
      <c r="D24" s="132" t="s">
        <v>147</v>
      </c>
      <c r="E24" s="137" t="s">
        <v>1785</v>
      </c>
      <c r="F24" s="138" t="s">
        <v>1786</v>
      </c>
      <c r="H24" s="139">
        <v>1161.4000000000001</v>
      </c>
      <c r="L24" s="136"/>
      <c r="M24" s="140"/>
      <c r="T24" s="141"/>
      <c r="AT24" s="137" t="s">
        <v>147</v>
      </c>
      <c r="AU24" s="137" t="s">
        <v>19</v>
      </c>
      <c r="AV24" s="11" t="s">
        <v>149</v>
      </c>
      <c r="AW24" s="11" t="s">
        <v>39</v>
      </c>
      <c r="AX24" s="11" t="s">
        <v>81</v>
      </c>
      <c r="AY24" s="137" t="s">
        <v>136</v>
      </c>
    </row>
    <row r="25" spans="2:65" s="11" customFormat="1">
      <c r="B25" s="136"/>
      <c r="D25" s="132" t="s">
        <v>147</v>
      </c>
      <c r="E25" s="137" t="s">
        <v>1787</v>
      </c>
      <c r="F25" s="138" t="s">
        <v>1788</v>
      </c>
      <c r="H25" s="139">
        <v>3.4319999999999999</v>
      </c>
      <c r="L25" s="136"/>
      <c r="M25" s="140"/>
      <c r="T25" s="141"/>
      <c r="AT25" s="137" t="s">
        <v>147</v>
      </c>
      <c r="AU25" s="137" t="s">
        <v>19</v>
      </c>
      <c r="AV25" s="11" t="s">
        <v>149</v>
      </c>
      <c r="AW25" s="11" t="s">
        <v>39</v>
      </c>
      <c r="AX25" s="11" t="s">
        <v>81</v>
      </c>
      <c r="AY25" s="137" t="s">
        <v>136</v>
      </c>
    </row>
    <row r="26" spans="2:65" s="11" customFormat="1">
      <c r="B26" s="136"/>
      <c r="D26" s="132" t="s">
        <v>147</v>
      </c>
      <c r="E26" s="137" t="s">
        <v>1789</v>
      </c>
      <c r="F26" s="138" t="s">
        <v>1790</v>
      </c>
      <c r="H26" s="139">
        <v>1.716</v>
      </c>
      <c r="L26" s="136"/>
      <c r="M26" s="140"/>
      <c r="T26" s="141"/>
      <c r="AT26" s="137" t="s">
        <v>147</v>
      </c>
      <c r="AU26" s="137" t="s">
        <v>19</v>
      </c>
      <c r="AV26" s="11" t="s">
        <v>149</v>
      </c>
      <c r="AW26" s="11" t="s">
        <v>39</v>
      </c>
      <c r="AX26" s="11" t="s">
        <v>81</v>
      </c>
      <c r="AY26" s="137" t="s">
        <v>136</v>
      </c>
    </row>
    <row r="27" spans="2:65" s="11" customFormat="1">
      <c r="B27" s="136"/>
      <c r="D27" s="132" t="s">
        <v>147</v>
      </c>
      <c r="E27" s="137" t="s">
        <v>1791</v>
      </c>
      <c r="F27" s="138" t="s">
        <v>1792</v>
      </c>
      <c r="H27" s="139">
        <v>4.4879999999999995</v>
      </c>
      <c r="L27" s="136"/>
      <c r="M27" s="140"/>
      <c r="T27" s="141"/>
      <c r="AT27" s="137" t="s">
        <v>147</v>
      </c>
      <c r="AU27" s="137" t="s">
        <v>19</v>
      </c>
      <c r="AV27" s="11" t="s">
        <v>149</v>
      </c>
      <c r="AW27" s="11" t="s">
        <v>39</v>
      </c>
      <c r="AX27" s="11" t="s">
        <v>81</v>
      </c>
      <c r="AY27" s="137" t="s">
        <v>136</v>
      </c>
    </row>
    <row r="28" spans="2:65" s="11" customFormat="1">
      <c r="B28" s="136"/>
      <c r="D28" s="132" t="s">
        <v>147</v>
      </c>
      <c r="E28" s="137" t="s">
        <v>1</v>
      </c>
      <c r="F28" s="138" t="s">
        <v>1793</v>
      </c>
      <c r="H28" s="139">
        <v>1243.0360000000001</v>
      </c>
      <c r="L28" s="136"/>
      <c r="M28" s="140"/>
      <c r="T28" s="141"/>
      <c r="AT28" s="137" t="s">
        <v>147</v>
      </c>
      <c r="AU28" s="137" t="s">
        <v>19</v>
      </c>
      <c r="AV28" s="11" t="s">
        <v>149</v>
      </c>
      <c r="AW28" s="11" t="s">
        <v>39</v>
      </c>
      <c r="AX28" s="11" t="s">
        <v>19</v>
      </c>
      <c r="AY28" s="137" t="s">
        <v>136</v>
      </c>
    </row>
    <row r="29" spans="2:65" s="1" customFormat="1" ht="24.15" customHeight="1">
      <c r="B29" s="119"/>
      <c r="C29" s="120" t="s">
        <v>149</v>
      </c>
      <c r="D29" s="120" t="s">
        <v>137</v>
      </c>
      <c r="E29" s="121" t="s">
        <v>1794</v>
      </c>
      <c r="F29" s="122" t="s">
        <v>1795</v>
      </c>
      <c r="G29" s="123" t="s">
        <v>673</v>
      </c>
      <c r="H29" s="124">
        <v>90.831000000000003</v>
      </c>
      <c r="I29" s="125">
        <v>0</v>
      </c>
      <c r="J29" s="125">
        <f>ROUND(I29*H29,2)</f>
        <v>0</v>
      </c>
      <c r="K29" s="122" t="s">
        <v>141</v>
      </c>
      <c r="L29" s="26"/>
      <c r="M29" s="126" t="s">
        <v>1</v>
      </c>
      <c r="N29" s="127" t="s">
        <v>46</v>
      </c>
      <c r="O29" s="128">
        <v>0</v>
      </c>
      <c r="P29" s="128">
        <f>O29*H29</f>
        <v>0</v>
      </c>
      <c r="Q29" s="128">
        <v>0</v>
      </c>
      <c r="R29" s="128">
        <f>Q29*H29</f>
        <v>0</v>
      </c>
      <c r="S29" s="128">
        <v>0</v>
      </c>
      <c r="T29" s="129">
        <f>S29*H29</f>
        <v>0</v>
      </c>
      <c r="AR29" s="130" t="s">
        <v>135</v>
      </c>
      <c r="AT29" s="130" t="s">
        <v>137</v>
      </c>
      <c r="AU29" s="130" t="s">
        <v>19</v>
      </c>
      <c r="AY29" s="14" t="s">
        <v>136</v>
      </c>
      <c r="BE29" s="131">
        <f>IF(N29="základní",J29,0)</f>
        <v>0</v>
      </c>
      <c r="BF29" s="131">
        <f>IF(N29="snížená",J29,0)</f>
        <v>0</v>
      </c>
      <c r="BG29" s="131">
        <f>IF(N29="zákl. přenesená",J29,0)</f>
        <v>0</v>
      </c>
      <c r="BH29" s="131">
        <f>IF(N29="sníž. přenesená",J29,0)</f>
        <v>0</v>
      </c>
      <c r="BI29" s="131">
        <f>IF(N29="nulová",J29,0)</f>
        <v>0</v>
      </c>
      <c r="BJ29" s="14" t="s">
        <v>19</v>
      </c>
      <c r="BK29" s="131">
        <f>ROUND(I29*H29,2)</f>
        <v>0</v>
      </c>
      <c r="BL29" s="14" t="s">
        <v>135</v>
      </c>
      <c r="BM29" s="130" t="s">
        <v>1796</v>
      </c>
    </row>
    <row r="30" spans="2:65" s="1" customFormat="1">
      <c r="B30" s="26"/>
      <c r="D30" s="132" t="s">
        <v>143</v>
      </c>
      <c r="F30" s="133" t="s">
        <v>1795</v>
      </c>
      <c r="L30" s="26"/>
      <c r="M30" s="134"/>
      <c r="T30" s="50"/>
      <c r="AT30" s="14" t="s">
        <v>143</v>
      </c>
      <c r="AU30" s="14" t="s">
        <v>19</v>
      </c>
    </row>
    <row r="31" spans="2:65" s="1" customFormat="1" ht="28.8">
      <c r="B31" s="26"/>
      <c r="D31" s="132" t="s">
        <v>145</v>
      </c>
      <c r="F31" s="135" t="s">
        <v>1780</v>
      </c>
      <c r="L31" s="26"/>
      <c r="M31" s="134"/>
      <c r="T31" s="50"/>
      <c r="AT31" s="14" t="s">
        <v>145</v>
      </c>
      <c r="AU31" s="14" t="s">
        <v>19</v>
      </c>
    </row>
    <row r="32" spans="2:65" s="11" customFormat="1">
      <c r="B32" s="136"/>
      <c r="D32" s="132" t="s">
        <v>147</v>
      </c>
      <c r="E32" s="137" t="s">
        <v>1797</v>
      </c>
      <c r="F32" s="138" t="s">
        <v>1798</v>
      </c>
      <c r="H32" s="139">
        <v>0.69300000000000006</v>
      </c>
      <c r="L32" s="136"/>
      <c r="M32" s="140"/>
      <c r="T32" s="141"/>
      <c r="AT32" s="137" t="s">
        <v>147</v>
      </c>
      <c r="AU32" s="137" t="s">
        <v>19</v>
      </c>
      <c r="AV32" s="11" t="s">
        <v>149</v>
      </c>
      <c r="AW32" s="11" t="s">
        <v>39</v>
      </c>
      <c r="AX32" s="11" t="s">
        <v>81</v>
      </c>
      <c r="AY32" s="137" t="s">
        <v>136</v>
      </c>
    </row>
    <row r="33" spans="2:65" s="11" customFormat="1">
      <c r="B33" s="136"/>
      <c r="D33" s="132" t="s">
        <v>147</v>
      </c>
      <c r="E33" s="137" t="s">
        <v>1799</v>
      </c>
      <c r="F33" s="138" t="s">
        <v>1800</v>
      </c>
      <c r="H33" s="139">
        <v>90.138000000000005</v>
      </c>
      <c r="L33" s="136"/>
      <c r="M33" s="140"/>
      <c r="T33" s="141"/>
      <c r="AT33" s="137" t="s">
        <v>147</v>
      </c>
      <c r="AU33" s="137" t="s">
        <v>19</v>
      </c>
      <c r="AV33" s="11" t="s">
        <v>149</v>
      </c>
      <c r="AW33" s="11" t="s">
        <v>39</v>
      </c>
      <c r="AX33" s="11" t="s">
        <v>81</v>
      </c>
      <c r="AY33" s="137" t="s">
        <v>136</v>
      </c>
    </row>
    <row r="34" spans="2:65" s="11" customFormat="1">
      <c r="B34" s="136"/>
      <c r="D34" s="132" t="s">
        <v>147</v>
      </c>
      <c r="E34" s="137" t="s">
        <v>1</v>
      </c>
      <c r="F34" s="138" t="s">
        <v>1801</v>
      </c>
      <c r="H34" s="139">
        <v>90.831000000000003</v>
      </c>
      <c r="L34" s="136"/>
      <c r="M34" s="140"/>
      <c r="T34" s="141"/>
      <c r="AT34" s="137" t="s">
        <v>147</v>
      </c>
      <c r="AU34" s="137" t="s">
        <v>19</v>
      </c>
      <c r="AV34" s="11" t="s">
        <v>149</v>
      </c>
      <c r="AW34" s="11" t="s">
        <v>39</v>
      </c>
      <c r="AX34" s="11" t="s">
        <v>19</v>
      </c>
      <c r="AY34" s="137" t="s">
        <v>136</v>
      </c>
    </row>
    <row r="35" spans="2:65" s="1" customFormat="1" ht="24.15" customHeight="1">
      <c r="B35" s="119"/>
      <c r="C35" s="120" t="s">
        <v>157</v>
      </c>
      <c r="D35" s="120" t="s">
        <v>137</v>
      </c>
      <c r="E35" s="121" t="s">
        <v>1802</v>
      </c>
      <c r="F35" s="122" t="s">
        <v>1803</v>
      </c>
      <c r="G35" s="123" t="s">
        <v>140</v>
      </c>
      <c r="H35" s="124">
        <v>1</v>
      </c>
      <c r="I35" s="125">
        <v>0</v>
      </c>
      <c r="J35" s="125">
        <f>ROUND(I35*H35,2)</f>
        <v>0</v>
      </c>
      <c r="K35" s="122" t="s">
        <v>141</v>
      </c>
      <c r="L35" s="26"/>
      <c r="M35" s="126" t="s">
        <v>1</v>
      </c>
      <c r="N35" s="127" t="s">
        <v>46</v>
      </c>
      <c r="O35" s="128">
        <v>0</v>
      </c>
      <c r="P35" s="128">
        <f>O35*H35</f>
        <v>0</v>
      </c>
      <c r="Q35" s="128">
        <v>0</v>
      </c>
      <c r="R35" s="128">
        <f>Q35*H35</f>
        <v>0</v>
      </c>
      <c r="S35" s="128">
        <v>0</v>
      </c>
      <c r="T35" s="129">
        <f>S35*H35</f>
        <v>0</v>
      </c>
      <c r="AR35" s="130" t="s">
        <v>135</v>
      </c>
      <c r="AT35" s="130" t="s">
        <v>137</v>
      </c>
      <c r="AU35" s="130" t="s">
        <v>19</v>
      </c>
      <c r="AY35" s="14" t="s">
        <v>136</v>
      </c>
      <c r="BE35" s="131">
        <f>IF(N35="základní",J35,0)</f>
        <v>0</v>
      </c>
      <c r="BF35" s="131">
        <f>IF(N35="snížená",J35,0)</f>
        <v>0</v>
      </c>
      <c r="BG35" s="131">
        <f>IF(N35="zákl. přenesená",J35,0)</f>
        <v>0</v>
      </c>
      <c r="BH35" s="131">
        <f>IF(N35="sníž. přenesená",J35,0)</f>
        <v>0</v>
      </c>
      <c r="BI35" s="131">
        <f>IF(N35="nulová",J35,0)</f>
        <v>0</v>
      </c>
      <c r="BJ35" s="14" t="s">
        <v>19</v>
      </c>
      <c r="BK35" s="131">
        <f>ROUND(I35*H35,2)</f>
        <v>0</v>
      </c>
      <c r="BL35" s="14" t="s">
        <v>135</v>
      </c>
      <c r="BM35" s="130" t="s">
        <v>1804</v>
      </c>
    </row>
    <row r="36" spans="2:65" s="1" customFormat="1">
      <c r="B36" s="26"/>
      <c r="D36" s="132" t="s">
        <v>143</v>
      </c>
      <c r="F36" s="133" t="s">
        <v>1805</v>
      </c>
      <c r="L36" s="26"/>
      <c r="M36" s="134"/>
      <c r="T36" s="50"/>
      <c r="AT36" s="14" t="s">
        <v>143</v>
      </c>
      <c r="AU36" s="14" t="s">
        <v>19</v>
      </c>
    </row>
    <row r="37" spans="2:65" s="1" customFormat="1" ht="28.8">
      <c r="B37" s="26"/>
      <c r="D37" s="132" t="s">
        <v>145</v>
      </c>
      <c r="F37" s="135" t="s">
        <v>1806</v>
      </c>
      <c r="L37" s="26"/>
      <c r="M37" s="134"/>
      <c r="T37" s="50"/>
      <c r="AT37" s="14" t="s">
        <v>145</v>
      </c>
      <c r="AU37" s="14" t="s">
        <v>19</v>
      </c>
    </row>
    <row r="38" spans="2:65" s="1" customFormat="1" ht="24.15" customHeight="1">
      <c r="B38" s="119"/>
      <c r="C38" s="120" t="s">
        <v>135</v>
      </c>
      <c r="D38" s="120" t="s">
        <v>137</v>
      </c>
      <c r="E38" s="121" t="s">
        <v>150</v>
      </c>
      <c r="F38" s="122" t="s">
        <v>1807</v>
      </c>
      <c r="G38" s="123" t="s">
        <v>152</v>
      </c>
      <c r="H38" s="124">
        <v>3</v>
      </c>
      <c r="I38" s="125">
        <v>0</v>
      </c>
      <c r="J38" s="125">
        <f>ROUND(I38*H38,2)</f>
        <v>0</v>
      </c>
      <c r="K38" s="122" t="s">
        <v>141</v>
      </c>
      <c r="L38" s="26"/>
      <c r="M38" s="126" t="s">
        <v>1</v>
      </c>
      <c r="N38" s="127" t="s">
        <v>46</v>
      </c>
      <c r="O38" s="128">
        <v>0</v>
      </c>
      <c r="P38" s="128">
        <f>O38*H38</f>
        <v>0</v>
      </c>
      <c r="Q38" s="128">
        <v>0</v>
      </c>
      <c r="R38" s="128">
        <f>Q38*H38</f>
        <v>0</v>
      </c>
      <c r="S38" s="128">
        <v>0</v>
      </c>
      <c r="T38" s="129">
        <f>S38*H38</f>
        <v>0</v>
      </c>
      <c r="AR38" s="130" t="s">
        <v>135</v>
      </c>
      <c r="AT38" s="130" t="s">
        <v>137</v>
      </c>
      <c r="AU38" s="130" t="s">
        <v>19</v>
      </c>
      <c r="AY38" s="14" t="s">
        <v>136</v>
      </c>
      <c r="BE38" s="131">
        <f>IF(N38="základní",J38,0)</f>
        <v>0</v>
      </c>
      <c r="BF38" s="131">
        <f>IF(N38="snížená",J38,0)</f>
        <v>0</v>
      </c>
      <c r="BG38" s="131">
        <f>IF(N38="zákl. přenesená",J38,0)</f>
        <v>0</v>
      </c>
      <c r="BH38" s="131">
        <f>IF(N38="sníž. přenesená",J38,0)</f>
        <v>0</v>
      </c>
      <c r="BI38" s="131">
        <f>IF(N38="nulová",J38,0)</f>
        <v>0</v>
      </c>
      <c r="BJ38" s="14" t="s">
        <v>19</v>
      </c>
      <c r="BK38" s="131">
        <f>ROUND(I38*H38,2)</f>
        <v>0</v>
      </c>
      <c r="BL38" s="14" t="s">
        <v>135</v>
      </c>
      <c r="BM38" s="130" t="s">
        <v>1808</v>
      </c>
    </row>
    <row r="39" spans="2:65" s="1" customFormat="1" ht="28.8">
      <c r="B39" s="26"/>
      <c r="D39" s="132" t="s">
        <v>143</v>
      </c>
      <c r="F39" s="133" t="s">
        <v>1809</v>
      </c>
      <c r="L39" s="26"/>
      <c r="M39" s="134"/>
      <c r="T39" s="50"/>
      <c r="AT39" s="14" t="s">
        <v>143</v>
      </c>
      <c r="AU39" s="14" t="s">
        <v>19</v>
      </c>
    </row>
    <row r="40" spans="2:65" s="1" customFormat="1" ht="28.8">
      <c r="B40" s="26"/>
      <c r="D40" s="132" t="s">
        <v>145</v>
      </c>
      <c r="F40" s="135" t="s">
        <v>1806</v>
      </c>
      <c r="L40" s="26"/>
      <c r="M40" s="134"/>
      <c r="T40" s="50"/>
      <c r="AT40" s="14" t="s">
        <v>145</v>
      </c>
      <c r="AU40" s="14" t="s">
        <v>19</v>
      </c>
    </row>
    <row r="41" spans="2:65" s="1" customFormat="1" ht="24.15" customHeight="1">
      <c r="B41" s="119"/>
      <c r="C41" s="120" t="s">
        <v>169</v>
      </c>
      <c r="D41" s="120" t="s">
        <v>137</v>
      </c>
      <c r="E41" s="121" t="s">
        <v>1810</v>
      </c>
      <c r="F41" s="122" t="s">
        <v>1811</v>
      </c>
      <c r="G41" s="123" t="s">
        <v>152</v>
      </c>
      <c r="H41" s="124">
        <v>4</v>
      </c>
      <c r="I41" s="125">
        <v>0</v>
      </c>
      <c r="J41" s="125">
        <f>ROUND(I41*H41,2)</f>
        <v>0</v>
      </c>
      <c r="K41" s="122" t="s">
        <v>141</v>
      </c>
      <c r="L41" s="26"/>
      <c r="M41" s="126" t="s">
        <v>1</v>
      </c>
      <c r="N41" s="127" t="s">
        <v>46</v>
      </c>
      <c r="O41" s="128">
        <v>0</v>
      </c>
      <c r="P41" s="128">
        <f>O41*H41</f>
        <v>0</v>
      </c>
      <c r="Q41" s="128">
        <v>0</v>
      </c>
      <c r="R41" s="128">
        <f>Q41*H41</f>
        <v>0</v>
      </c>
      <c r="S41" s="128">
        <v>0</v>
      </c>
      <c r="T41" s="129">
        <f>S41*H41</f>
        <v>0</v>
      </c>
      <c r="AR41" s="130" t="s">
        <v>135</v>
      </c>
      <c r="AT41" s="130" t="s">
        <v>137</v>
      </c>
      <c r="AU41" s="130" t="s">
        <v>19</v>
      </c>
      <c r="AY41" s="14" t="s">
        <v>136</v>
      </c>
      <c r="BE41" s="131">
        <f>IF(N41="základní",J41,0)</f>
        <v>0</v>
      </c>
      <c r="BF41" s="131">
        <f>IF(N41="snížená",J41,0)</f>
        <v>0</v>
      </c>
      <c r="BG41" s="131">
        <f>IF(N41="zákl. přenesená",J41,0)</f>
        <v>0</v>
      </c>
      <c r="BH41" s="131">
        <f>IF(N41="sníž. přenesená",J41,0)</f>
        <v>0</v>
      </c>
      <c r="BI41" s="131">
        <f>IF(N41="nulová",J41,0)</f>
        <v>0</v>
      </c>
      <c r="BJ41" s="14" t="s">
        <v>19</v>
      </c>
      <c r="BK41" s="131">
        <f>ROUND(I41*H41,2)</f>
        <v>0</v>
      </c>
      <c r="BL41" s="14" t="s">
        <v>135</v>
      </c>
      <c r="BM41" s="130" t="s">
        <v>1812</v>
      </c>
    </row>
    <row r="42" spans="2:65" s="1" customFormat="1">
      <c r="B42" s="26"/>
      <c r="D42" s="132" t="s">
        <v>143</v>
      </c>
      <c r="F42" s="133" t="s">
        <v>1811</v>
      </c>
      <c r="L42" s="26"/>
      <c r="M42" s="134"/>
      <c r="T42" s="50"/>
      <c r="AT42" s="14" t="s">
        <v>143</v>
      </c>
      <c r="AU42" s="14" t="s">
        <v>19</v>
      </c>
    </row>
    <row r="43" spans="2:65" s="1" customFormat="1" ht="96">
      <c r="B43" s="26"/>
      <c r="D43" s="132" t="s">
        <v>145</v>
      </c>
      <c r="F43" s="135" t="s">
        <v>1813</v>
      </c>
      <c r="L43" s="26"/>
      <c r="M43" s="134"/>
      <c r="T43" s="50"/>
      <c r="AT43" s="14" t="s">
        <v>145</v>
      </c>
      <c r="AU43" s="14" t="s">
        <v>19</v>
      </c>
    </row>
    <row r="44" spans="2:65" s="1" customFormat="1" ht="24.15" customHeight="1">
      <c r="B44" s="119"/>
      <c r="C44" s="154" t="s">
        <v>176</v>
      </c>
      <c r="D44" s="154" t="s">
        <v>137</v>
      </c>
      <c r="E44" s="155" t="s">
        <v>1814</v>
      </c>
      <c r="F44" s="156" t="s">
        <v>1815</v>
      </c>
      <c r="G44" s="157" t="s">
        <v>152</v>
      </c>
      <c r="H44" s="158">
        <v>1</v>
      </c>
      <c r="I44" s="159">
        <v>0</v>
      </c>
      <c r="J44" s="159">
        <f>ROUND(I44*H44,2)</f>
        <v>0</v>
      </c>
      <c r="K44" s="156" t="s">
        <v>141</v>
      </c>
      <c r="L44" s="26"/>
      <c r="M44" s="126" t="s">
        <v>1</v>
      </c>
      <c r="N44" s="127" t="s">
        <v>46</v>
      </c>
      <c r="O44" s="128">
        <v>0</v>
      </c>
      <c r="P44" s="128">
        <f>O44*H44</f>
        <v>0</v>
      </c>
      <c r="Q44" s="128">
        <v>0</v>
      </c>
      <c r="R44" s="128">
        <f>Q44*H44</f>
        <v>0</v>
      </c>
      <c r="S44" s="128">
        <v>0</v>
      </c>
      <c r="T44" s="129">
        <f>S44*H44</f>
        <v>0</v>
      </c>
      <c r="AR44" s="130" t="s">
        <v>135</v>
      </c>
      <c r="AT44" s="130" t="s">
        <v>137</v>
      </c>
      <c r="AU44" s="130" t="s">
        <v>19</v>
      </c>
      <c r="AY44" s="14" t="s">
        <v>136</v>
      </c>
      <c r="BE44" s="131">
        <f>IF(N44="základní",J44,0)</f>
        <v>0</v>
      </c>
      <c r="BF44" s="131">
        <f>IF(N44="snížená",J44,0)</f>
        <v>0</v>
      </c>
      <c r="BG44" s="131">
        <f>IF(N44="zákl. přenesená",J44,0)</f>
        <v>0</v>
      </c>
      <c r="BH44" s="131">
        <f>IF(N44="sníž. přenesená",J44,0)</f>
        <v>0</v>
      </c>
      <c r="BI44" s="131">
        <f>IF(N44="nulová",J44,0)</f>
        <v>0</v>
      </c>
      <c r="BJ44" s="14" t="s">
        <v>19</v>
      </c>
      <c r="BK44" s="131">
        <f>ROUND(I44*H44,2)</f>
        <v>0</v>
      </c>
      <c r="BL44" s="14" t="s">
        <v>135</v>
      </c>
      <c r="BM44" s="130" t="s">
        <v>1816</v>
      </c>
    </row>
    <row r="45" spans="2:65" s="1" customFormat="1" ht="19.2">
      <c r="B45" s="26"/>
      <c r="C45" s="160"/>
      <c r="D45" s="161" t="s">
        <v>143</v>
      </c>
      <c r="E45" s="160"/>
      <c r="F45" s="162" t="s">
        <v>1817</v>
      </c>
      <c r="G45" s="160"/>
      <c r="H45" s="160"/>
      <c r="I45" s="160"/>
      <c r="J45" s="160"/>
      <c r="K45" s="160"/>
      <c r="L45" s="26"/>
      <c r="M45" s="134"/>
      <c r="T45" s="50"/>
      <c r="AT45" s="14" t="s">
        <v>143</v>
      </c>
      <c r="AU45" s="14" t="s">
        <v>19</v>
      </c>
    </row>
    <row r="46" spans="2:65" s="1" customFormat="1" ht="28.8">
      <c r="B46" s="26"/>
      <c r="C46" s="160"/>
      <c r="D46" s="161" t="s">
        <v>145</v>
      </c>
      <c r="E46" s="160"/>
      <c r="F46" s="163" t="s">
        <v>1806</v>
      </c>
      <c r="G46" s="160"/>
      <c r="H46" s="160"/>
      <c r="I46" s="160"/>
      <c r="J46" s="160"/>
      <c r="K46" s="160"/>
      <c r="L46" s="26"/>
      <c r="M46" s="134"/>
      <c r="T46" s="50"/>
      <c r="AT46" s="14" t="s">
        <v>145</v>
      </c>
      <c r="AU46" s="14" t="s">
        <v>19</v>
      </c>
    </row>
    <row r="47" spans="2:65" s="1" customFormat="1" ht="24.15" customHeight="1">
      <c r="B47" s="119"/>
      <c r="C47" s="120" t="s">
        <v>182</v>
      </c>
      <c r="D47" s="120" t="s">
        <v>137</v>
      </c>
      <c r="E47" s="121" t="s">
        <v>163</v>
      </c>
      <c r="F47" s="122" t="s">
        <v>164</v>
      </c>
      <c r="G47" s="123" t="s">
        <v>140</v>
      </c>
      <c r="H47" s="124">
        <v>1</v>
      </c>
      <c r="I47" s="125">
        <v>0</v>
      </c>
      <c r="J47" s="125">
        <f>ROUND(I47*H47,2)</f>
        <v>0</v>
      </c>
      <c r="K47" s="122" t="s">
        <v>141</v>
      </c>
      <c r="L47" s="26"/>
      <c r="M47" s="126" t="s">
        <v>1</v>
      </c>
      <c r="N47" s="127" t="s">
        <v>46</v>
      </c>
      <c r="O47" s="128">
        <v>0</v>
      </c>
      <c r="P47" s="128">
        <f>O47*H47</f>
        <v>0</v>
      </c>
      <c r="Q47" s="128">
        <v>0</v>
      </c>
      <c r="R47" s="128">
        <f>Q47*H47</f>
        <v>0</v>
      </c>
      <c r="S47" s="128">
        <v>0</v>
      </c>
      <c r="T47" s="129">
        <f>S47*H47</f>
        <v>0</v>
      </c>
      <c r="AR47" s="130" t="s">
        <v>135</v>
      </c>
      <c r="AT47" s="130" t="s">
        <v>137</v>
      </c>
      <c r="AU47" s="130" t="s">
        <v>19</v>
      </c>
      <c r="AY47" s="14" t="s">
        <v>136</v>
      </c>
      <c r="BE47" s="131">
        <f>IF(N47="základní",J47,0)</f>
        <v>0</v>
      </c>
      <c r="BF47" s="131">
        <f>IF(N47="snížená",J47,0)</f>
        <v>0</v>
      </c>
      <c r="BG47" s="131">
        <f>IF(N47="zákl. přenesená",J47,0)</f>
        <v>0</v>
      </c>
      <c r="BH47" s="131">
        <f>IF(N47="sníž. přenesená",J47,0)</f>
        <v>0</v>
      </c>
      <c r="BI47" s="131">
        <f>IF(N47="nulová",J47,0)</f>
        <v>0</v>
      </c>
      <c r="BJ47" s="14" t="s">
        <v>19</v>
      </c>
      <c r="BK47" s="131">
        <f>ROUND(I47*H47,2)</f>
        <v>0</v>
      </c>
      <c r="BL47" s="14" t="s">
        <v>135</v>
      </c>
      <c r="BM47" s="130" t="s">
        <v>1818</v>
      </c>
    </row>
    <row r="48" spans="2:65" s="1" customFormat="1" ht="19.2">
      <c r="B48" s="26"/>
      <c r="D48" s="132" t="s">
        <v>143</v>
      </c>
      <c r="F48" s="133" t="s">
        <v>164</v>
      </c>
      <c r="L48" s="26"/>
      <c r="M48" s="134"/>
      <c r="T48" s="50"/>
      <c r="AT48" s="14" t="s">
        <v>143</v>
      </c>
      <c r="AU48" s="14" t="s">
        <v>19</v>
      </c>
    </row>
    <row r="49" spans="2:65" s="1" customFormat="1" ht="28.8">
      <c r="B49" s="26"/>
      <c r="D49" s="132" t="s">
        <v>145</v>
      </c>
      <c r="F49" s="135" t="s">
        <v>1806</v>
      </c>
      <c r="L49" s="26"/>
      <c r="M49" s="134"/>
      <c r="T49" s="50"/>
      <c r="AT49" s="14" t="s">
        <v>145</v>
      </c>
      <c r="AU49" s="14" t="s">
        <v>19</v>
      </c>
    </row>
    <row r="50" spans="2:65" s="1" customFormat="1" ht="21.75" customHeight="1">
      <c r="B50" s="119"/>
      <c r="C50" s="154" t="s">
        <v>189</v>
      </c>
      <c r="D50" s="154" t="s">
        <v>137</v>
      </c>
      <c r="E50" s="155" t="s">
        <v>1819</v>
      </c>
      <c r="F50" s="156" t="s">
        <v>1820</v>
      </c>
      <c r="G50" s="157" t="s">
        <v>152</v>
      </c>
      <c r="H50" s="158">
        <v>1</v>
      </c>
      <c r="I50" s="159">
        <v>0</v>
      </c>
      <c r="J50" s="159">
        <f>ROUND(I50*H50,2)</f>
        <v>0</v>
      </c>
      <c r="K50" s="156" t="s">
        <v>141</v>
      </c>
      <c r="L50" s="26"/>
      <c r="M50" s="126" t="s">
        <v>1</v>
      </c>
      <c r="N50" s="127" t="s">
        <v>46</v>
      </c>
      <c r="O50" s="128">
        <v>0</v>
      </c>
      <c r="P50" s="128">
        <f>O50*H50</f>
        <v>0</v>
      </c>
      <c r="Q50" s="128">
        <v>0</v>
      </c>
      <c r="R50" s="128">
        <f>Q50*H50</f>
        <v>0</v>
      </c>
      <c r="S50" s="128">
        <v>0</v>
      </c>
      <c r="T50" s="129">
        <f>S50*H50</f>
        <v>0</v>
      </c>
      <c r="AR50" s="130" t="s">
        <v>135</v>
      </c>
      <c r="AT50" s="130" t="s">
        <v>137</v>
      </c>
      <c r="AU50" s="130" t="s">
        <v>19</v>
      </c>
      <c r="AY50" s="14" t="s">
        <v>136</v>
      </c>
      <c r="BE50" s="131">
        <f>IF(N50="základní",J50,0)</f>
        <v>0</v>
      </c>
      <c r="BF50" s="131">
        <f>IF(N50="snížená",J50,0)</f>
        <v>0</v>
      </c>
      <c r="BG50" s="131">
        <f>IF(N50="zákl. přenesená",J50,0)</f>
        <v>0</v>
      </c>
      <c r="BH50" s="131">
        <f>IF(N50="sníž. přenesená",J50,0)</f>
        <v>0</v>
      </c>
      <c r="BI50" s="131">
        <f>IF(N50="nulová",J50,0)</f>
        <v>0</v>
      </c>
      <c r="BJ50" s="14" t="s">
        <v>19</v>
      </c>
      <c r="BK50" s="131">
        <f>ROUND(I50*H50,2)</f>
        <v>0</v>
      </c>
      <c r="BL50" s="14" t="s">
        <v>135</v>
      </c>
      <c r="BM50" s="130" t="s">
        <v>1821</v>
      </c>
    </row>
    <row r="51" spans="2:65" s="1" customFormat="1">
      <c r="B51" s="26"/>
      <c r="C51" s="160"/>
      <c r="D51" s="161" t="s">
        <v>143</v>
      </c>
      <c r="E51" s="160"/>
      <c r="F51" s="162" t="s">
        <v>1820</v>
      </c>
      <c r="G51" s="160"/>
      <c r="H51" s="160"/>
      <c r="I51" s="160"/>
      <c r="J51" s="160"/>
      <c r="K51" s="160"/>
      <c r="L51" s="26"/>
      <c r="M51" s="134"/>
      <c r="T51" s="50"/>
      <c r="AT51" s="14" t="s">
        <v>143</v>
      </c>
      <c r="AU51" s="14" t="s">
        <v>19</v>
      </c>
    </row>
    <row r="52" spans="2:65" s="1" customFormat="1" ht="48">
      <c r="B52" s="26"/>
      <c r="C52" s="160"/>
      <c r="D52" s="161" t="s">
        <v>145</v>
      </c>
      <c r="E52" s="160"/>
      <c r="F52" s="163" t="s">
        <v>1822</v>
      </c>
      <c r="G52" s="160"/>
      <c r="H52" s="160"/>
      <c r="I52" s="160"/>
      <c r="J52" s="160"/>
      <c r="K52" s="160"/>
      <c r="L52" s="26"/>
      <c r="M52" s="134"/>
      <c r="T52" s="50"/>
      <c r="AT52" s="14" t="s">
        <v>145</v>
      </c>
      <c r="AU52" s="14" t="s">
        <v>19</v>
      </c>
    </row>
    <row r="53" spans="2:65" s="10" customFormat="1" ht="25.95" customHeight="1">
      <c r="B53" s="110"/>
      <c r="D53" s="111" t="s">
        <v>80</v>
      </c>
      <c r="E53" s="112" t="s">
        <v>19</v>
      </c>
      <c r="F53" s="112" t="s">
        <v>196</v>
      </c>
      <c r="J53" s="113" t="e">
        <f>BK53</f>
        <v>#REF!</v>
      </c>
      <c r="L53" s="110"/>
      <c r="M53" s="114"/>
      <c r="P53" s="115" t="e">
        <f>SUM(#REF!)</f>
        <v>#REF!</v>
      </c>
      <c r="R53" s="115" t="e">
        <f>SUM(#REF!)</f>
        <v>#REF!</v>
      </c>
      <c r="T53" s="116" t="e">
        <f>SUM(#REF!)</f>
        <v>#REF!</v>
      </c>
      <c r="AR53" s="111" t="s">
        <v>135</v>
      </c>
      <c r="AT53" s="117" t="s">
        <v>80</v>
      </c>
      <c r="AU53" s="117" t="s">
        <v>81</v>
      </c>
      <c r="AY53" s="111" t="s">
        <v>136</v>
      </c>
      <c r="BK53" s="118" t="e">
        <f>SUM(#REF!)</f>
        <v>#REF!</v>
      </c>
    </row>
    <row r="54" spans="2:65" s="10" customFormat="1" ht="25.95" customHeight="1">
      <c r="B54" s="110"/>
      <c r="D54" s="111" t="s">
        <v>80</v>
      </c>
      <c r="E54" s="112" t="s">
        <v>149</v>
      </c>
      <c r="F54" s="112" t="s">
        <v>459</v>
      </c>
      <c r="J54" s="113">
        <f>BK54</f>
        <v>0</v>
      </c>
      <c r="L54" s="110"/>
      <c r="M54" s="114"/>
      <c r="P54" s="115">
        <f>SUM(P55:P68)</f>
        <v>0</v>
      </c>
      <c r="R54" s="115">
        <f>SUM(R55:R68)</f>
        <v>0</v>
      </c>
      <c r="T54" s="116">
        <f>SUM(T55:T68)</f>
        <v>0</v>
      </c>
      <c r="AR54" s="111" t="s">
        <v>135</v>
      </c>
      <c r="AT54" s="117" t="s">
        <v>80</v>
      </c>
      <c r="AU54" s="117" t="s">
        <v>81</v>
      </c>
      <c r="AY54" s="111" t="s">
        <v>136</v>
      </c>
      <c r="BK54" s="118">
        <f>SUM(BK55:BK68)</f>
        <v>0</v>
      </c>
    </row>
    <row r="55" spans="2:65" s="1" customFormat="1" ht="24.15" customHeight="1">
      <c r="B55" s="119"/>
      <c r="C55" s="154" t="s">
        <v>431</v>
      </c>
      <c r="D55" s="154" t="s">
        <v>137</v>
      </c>
      <c r="E55" s="155" t="s">
        <v>1823</v>
      </c>
      <c r="F55" s="156" t="s">
        <v>1824</v>
      </c>
      <c r="G55" s="157" t="s">
        <v>216</v>
      </c>
      <c r="H55" s="158">
        <v>4.43</v>
      </c>
      <c r="I55" s="159">
        <v>0</v>
      </c>
      <c r="J55" s="159">
        <f>ROUND(I55*H55,2)</f>
        <v>0</v>
      </c>
      <c r="K55" s="156" t="s">
        <v>141</v>
      </c>
      <c r="L55" s="26"/>
      <c r="M55" s="126" t="s">
        <v>1</v>
      </c>
      <c r="N55" s="127" t="s">
        <v>46</v>
      </c>
      <c r="O55" s="128">
        <v>0</v>
      </c>
      <c r="P55" s="128">
        <f>O55*H55</f>
        <v>0</v>
      </c>
      <c r="Q55" s="128">
        <v>0</v>
      </c>
      <c r="R55" s="128">
        <f>Q55*H55</f>
        <v>0</v>
      </c>
      <c r="S55" s="128">
        <v>0</v>
      </c>
      <c r="T55" s="129">
        <f>S55*H55</f>
        <v>0</v>
      </c>
      <c r="AR55" s="130" t="s">
        <v>135</v>
      </c>
      <c r="AT55" s="130" t="s">
        <v>137</v>
      </c>
      <c r="AU55" s="130" t="s">
        <v>19</v>
      </c>
      <c r="AY55" s="14" t="s">
        <v>136</v>
      </c>
      <c r="BE55" s="131">
        <f>IF(N55="základní",J55,0)</f>
        <v>0</v>
      </c>
      <c r="BF55" s="131">
        <f>IF(N55="snížená",J55,0)</f>
        <v>0</v>
      </c>
      <c r="BG55" s="131">
        <f>IF(N55="zákl. přenesená",J55,0)</f>
        <v>0</v>
      </c>
      <c r="BH55" s="131">
        <f>IF(N55="sníž. přenesená",J55,0)</f>
        <v>0</v>
      </c>
      <c r="BI55" s="131">
        <f>IF(N55="nulová",J55,0)</f>
        <v>0</v>
      </c>
      <c r="BJ55" s="14" t="s">
        <v>19</v>
      </c>
      <c r="BK55" s="131">
        <f>ROUND(I55*H55,2)</f>
        <v>0</v>
      </c>
      <c r="BL55" s="14" t="s">
        <v>135</v>
      </c>
      <c r="BM55" s="130" t="s">
        <v>1825</v>
      </c>
    </row>
    <row r="56" spans="2:65" s="1" customFormat="1">
      <c r="B56" s="26"/>
      <c r="C56" s="160"/>
      <c r="D56" s="161" t="s">
        <v>143</v>
      </c>
      <c r="E56" s="160"/>
      <c r="F56" s="162" t="s">
        <v>1826</v>
      </c>
      <c r="G56" s="160"/>
      <c r="H56" s="160"/>
      <c r="I56" s="160"/>
      <c r="J56" s="160"/>
      <c r="K56" s="160"/>
      <c r="L56" s="26"/>
      <c r="M56" s="134"/>
      <c r="T56" s="50"/>
      <c r="AT56" s="14" t="s">
        <v>143</v>
      </c>
      <c r="AU56" s="14" t="s">
        <v>19</v>
      </c>
    </row>
    <row r="57" spans="2:65" s="1" customFormat="1" ht="48">
      <c r="B57" s="26"/>
      <c r="C57" s="160"/>
      <c r="D57" s="161" t="s">
        <v>145</v>
      </c>
      <c r="E57" s="160"/>
      <c r="F57" s="163" t="s">
        <v>1827</v>
      </c>
      <c r="G57" s="160"/>
      <c r="H57" s="160"/>
      <c r="I57" s="160"/>
      <c r="J57" s="160"/>
      <c r="K57" s="160"/>
      <c r="L57" s="26"/>
      <c r="M57" s="134"/>
      <c r="T57" s="50"/>
      <c r="AT57" s="14" t="s">
        <v>145</v>
      </c>
      <c r="AU57" s="14" t="s">
        <v>19</v>
      </c>
    </row>
    <row r="58" spans="2:65" s="11" customFormat="1">
      <c r="B58" s="136"/>
      <c r="C58" s="164"/>
      <c r="D58" s="161" t="s">
        <v>147</v>
      </c>
      <c r="E58" s="165" t="s">
        <v>1828</v>
      </c>
      <c r="F58" s="166" t="s">
        <v>1829</v>
      </c>
      <c r="G58" s="164"/>
      <c r="H58" s="167">
        <v>4.43</v>
      </c>
      <c r="I58" s="164"/>
      <c r="J58" s="164"/>
      <c r="K58" s="164"/>
      <c r="L58" s="136"/>
      <c r="M58" s="140"/>
      <c r="T58" s="141"/>
      <c r="AT58" s="137" t="s">
        <v>147</v>
      </c>
      <c r="AU58" s="137" t="s">
        <v>19</v>
      </c>
      <c r="AV58" s="11" t="s">
        <v>149</v>
      </c>
      <c r="AW58" s="11" t="s">
        <v>39</v>
      </c>
      <c r="AX58" s="11" t="s">
        <v>19</v>
      </c>
      <c r="AY58" s="137" t="s">
        <v>136</v>
      </c>
    </row>
    <row r="59" spans="2:65" s="1" customFormat="1" ht="16.5" customHeight="1">
      <c r="B59" s="119"/>
      <c r="C59" s="154" t="s">
        <v>438</v>
      </c>
      <c r="D59" s="154" t="s">
        <v>137</v>
      </c>
      <c r="E59" s="155" t="s">
        <v>1830</v>
      </c>
      <c r="F59" s="156" t="s">
        <v>1831</v>
      </c>
      <c r="G59" s="157" t="s">
        <v>216</v>
      </c>
      <c r="H59" s="158">
        <v>2.09</v>
      </c>
      <c r="I59" s="159">
        <v>0</v>
      </c>
      <c r="J59" s="159">
        <f>ROUND(I59*H59,2)</f>
        <v>0</v>
      </c>
      <c r="K59" s="156" t="s">
        <v>141</v>
      </c>
      <c r="L59" s="26"/>
      <c r="M59" s="126" t="s">
        <v>1</v>
      </c>
      <c r="N59" s="127" t="s">
        <v>46</v>
      </c>
      <c r="O59" s="128">
        <v>0</v>
      </c>
      <c r="P59" s="128">
        <f>O59*H59</f>
        <v>0</v>
      </c>
      <c r="Q59" s="128">
        <v>0</v>
      </c>
      <c r="R59" s="128">
        <f>Q59*H59</f>
        <v>0</v>
      </c>
      <c r="S59" s="128">
        <v>0</v>
      </c>
      <c r="T59" s="129">
        <f>S59*H59</f>
        <v>0</v>
      </c>
      <c r="AR59" s="130" t="s">
        <v>135</v>
      </c>
      <c r="AT59" s="130" t="s">
        <v>137</v>
      </c>
      <c r="AU59" s="130" t="s">
        <v>19</v>
      </c>
      <c r="AY59" s="14" t="s">
        <v>136</v>
      </c>
      <c r="BE59" s="131">
        <f>IF(N59="základní",J59,0)</f>
        <v>0</v>
      </c>
      <c r="BF59" s="131">
        <f>IF(N59="snížená",J59,0)</f>
        <v>0</v>
      </c>
      <c r="BG59" s="131">
        <f>IF(N59="zákl. přenesená",J59,0)</f>
        <v>0</v>
      </c>
      <c r="BH59" s="131">
        <f>IF(N59="sníž. přenesená",J59,0)</f>
        <v>0</v>
      </c>
      <c r="BI59" s="131">
        <f>IF(N59="nulová",J59,0)</f>
        <v>0</v>
      </c>
      <c r="BJ59" s="14" t="s">
        <v>19</v>
      </c>
      <c r="BK59" s="131">
        <f>ROUND(I59*H59,2)</f>
        <v>0</v>
      </c>
      <c r="BL59" s="14" t="s">
        <v>135</v>
      </c>
      <c r="BM59" s="130" t="s">
        <v>1832</v>
      </c>
    </row>
    <row r="60" spans="2:65" s="1" customFormat="1">
      <c r="B60" s="26"/>
      <c r="C60" s="160"/>
      <c r="D60" s="161" t="s">
        <v>143</v>
      </c>
      <c r="E60" s="160"/>
      <c r="F60" s="162" t="s">
        <v>1833</v>
      </c>
      <c r="G60" s="160"/>
      <c r="H60" s="160"/>
      <c r="I60" s="160"/>
      <c r="J60" s="160"/>
      <c r="K60" s="160"/>
      <c r="L60" s="26"/>
      <c r="M60" s="134"/>
      <c r="T60" s="50"/>
      <c r="AT60" s="14" t="s">
        <v>143</v>
      </c>
      <c r="AU60" s="14" t="s">
        <v>19</v>
      </c>
    </row>
    <row r="61" spans="2:65" s="1" customFormat="1" ht="297.60000000000002">
      <c r="B61" s="26"/>
      <c r="C61" s="160"/>
      <c r="D61" s="161" t="s">
        <v>145</v>
      </c>
      <c r="E61" s="160"/>
      <c r="F61" s="163" t="s">
        <v>1834</v>
      </c>
      <c r="G61" s="160"/>
      <c r="H61" s="160"/>
      <c r="I61" s="160"/>
      <c r="J61" s="160"/>
      <c r="K61" s="160"/>
      <c r="L61" s="26"/>
      <c r="M61" s="134"/>
      <c r="T61" s="50"/>
      <c r="AT61" s="14" t="s">
        <v>145</v>
      </c>
      <c r="AU61" s="14" t="s">
        <v>19</v>
      </c>
    </row>
    <row r="62" spans="2:65" s="11" customFormat="1">
      <c r="B62" s="136"/>
      <c r="C62" s="164"/>
      <c r="D62" s="161" t="s">
        <v>147</v>
      </c>
      <c r="E62" s="165" t="s">
        <v>1835</v>
      </c>
      <c r="F62" s="166" t="s">
        <v>1836</v>
      </c>
      <c r="G62" s="164"/>
      <c r="H62" s="167">
        <v>2.09</v>
      </c>
      <c r="I62" s="164"/>
      <c r="J62" s="164"/>
      <c r="K62" s="164"/>
      <c r="L62" s="136"/>
      <c r="M62" s="140"/>
      <c r="T62" s="141"/>
      <c r="AT62" s="137" t="s">
        <v>147</v>
      </c>
      <c r="AU62" s="137" t="s">
        <v>19</v>
      </c>
      <c r="AV62" s="11" t="s">
        <v>149</v>
      </c>
      <c r="AW62" s="11" t="s">
        <v>39</v>
      </c>
      <c r="AX62" s="11" t="s">
        <v>19</v>
      </c>
      <c r="AY62" s="137" t="s">
        <v>136</v>
      </c>
    </row>
    <row r="63" spans="2:65" s="1" customFormat="1" ht="24.15" customHeight="1">
      <c r="B63" s="119"/>
      <c r="C63" s="154" t="s">
        <v>445</v>
      </c>
      <c r="D63" s="154" t="s">
        <v>137</v>
      </c>
      <c r="E63" s="155" t="s">
        <v>1837</v>
      </c>
      <c r="F63" s="156" t="s">
        <v>1838</v>
      </c>
      <c r="G63" s="157" t="s">
        <v>152</v>
      </c>
      <c r="H63" s="158">
        <v>408</v>
      </c>
      <c r="I63" s="159">
        <v>0</v>
      </c>
      <c r="J63" s="159">
        <f>ROUND(I63*H63,2)</f>
        <v>0</v>
      </c>
      <c r="K63" s="156" t="s">
        <v>141</v>
      </c>
      <c r="L63" s="26"/>
      <c r="M63" s="126" t="s">
        <v>1</v>
      </c>
      <c r="N63" s="127" t="s">
        <v>46</v>
      </c>
      <c r="O63" s="128">
        <v>0</v>
      </c>
      <c r="P63" s="128">
        <f>O63*H63</f>
        <v>0</v>
      </c>
      <c r="Q63" s="128">
        <v>0</v>
      </c>
      <c r="R63" s="128">
        <f>Q63*H63</f>
        <v>0</v>
      </c>
      <c r="S63" s="128">
        <v>0</v>
      </c>
      <c r="T63" s="129">
        <f>S63*H63</f>
        <v>0</v>
      </c>
      <c r="AR63" s="130" t="s">
        <v>135</v>
      </c>
      <c r="AT63" s="130" t="s">
        <v>137</v>
      </c>
      <c r="AU63" s="130" t="s">
        <v>19</v>
      </c>
      <c r="AY63" s="14" t="s">
        <v>136</v>
      </c>
      <c r="BE63" s="131">
        <f>IF(N63="základní",J63,0)</f>
        <v>0</v>
      </c>
      <c r="BF63" s="131">
        <f>IF(N63="snížená",J63,0)</f>
        <v>0</v>
      </c>
      <c r="BG63" s="131">
        <f>IF(N63="zákl. přenesená",J63,0)</f>
        <v>0</v>
      </c>
      <c r="BH63" s="131">
        <f>IF(N63="sníž. přenesená",J63,0)</f>
        <v>0</v>
      </c>
      <c r="BI63" s="131">
        <f>IF(N63="nulová",J63,0)</f>
        <v>0</v>
      </c>
      <c r="BJ63" s="14" t="s">
        <v>19</v>
      </c>
      <c r="BK63" s="131">
        <f>ROUND(I63*H63,2)</f>
        <v>0</v>
      </c>
      <c r="BL63" s="14" t="s">
        <v>135</v>
      </c>
      <c r="BM63" s="130" t="s">
        <v>1839</v>
      </c>
    </row>
    <row r="64" spans="2:65" s="1" customFormat="1" ht="19.2">
      <c r="B64" s="26"/>
      <c r="C64" s="160"/>
      <c r="D64" s="161" t="s">
        <v>143</v>
      </c>
      <c r="E64" s="160"/>
      <c r="F64" s="162" t="s">
        <v>1840</v>
      </c>
      <c r="G64" s="160"/>
      <c r="H64" s="160"/>
      <c r="I64" s="160"/>
      <c r="J64" s="160"/>
      <c r="K64" s="160"/>
      <c r="L64" s="26"/>
      <c r="M64" s="134"/>
      <c r="T64" s="50"/>
      <c r="AT64" s="14" t="s">
        <v>143</v>
      </c>
      <c r="AU64" s="14" t="s">
        <v>19</v>
      </c>
    </row>
    <row r="65" spans="2:65" s="1" customFormat="1" ht="57.6">
      <c r="B65" s="26"/>
      <c r="C65" s="160"/>
      <c r="D65" s="161" t="s">
        <v>145</v>
      </c>
      <c r="E65" s="160"/>
      <c r="F65" s="163" t="s">
        <v>1841</v>
      </c>
      <c r="G65" s="160"/>
      <c r="H65" s="160"/>
      <c r="I65" s="160"/>
      <c r="J65" s="160"/>
      <c r="K65" s="160"/>
      <c r="L65" s="26"/>
      <c r="M65" s="134"/>
      <c r="T65" s="50"/>
      <c r="AT65" s="14" t="s">
        <v>145</v>
      </c>
      <c r="AU65" s="14" t="s">
        <v>19</v>
      </c>
    </row>
    <row r="66" spans="2:65" s="11" customFormat="1">
      <c r="B66" s="136"/>
      <c r="C66" s="164"/>
      <c r="D66" s="161" t="s">
        <v>147</v>
      </c>
      <c r="E66" s="165" t="s">
        <v>1842</v>
      </c>
      <c r="F66" s="166" t="s">
        <v>1843</v>
      </c>
      <c r="G66" s="164"/>
      <c r="H66" s="167">
        <v>320</v>
      </c>
      <c r="I66" s="164"/>
      <c r="J66" s="164"/>
      <c r="K66" s="164"/>
      <c r="L66" s="136"/>
      <c r="M66" s="140"/>
      <c r="T66" s="141"/>
      <c r="AT66" s="137" t="s">
        <v>147</v>
      </c>
      <c r="AU66" s="137" t="s">
        <v>19</v>
      </c>
      <c r="AV66" s="11" t="s">
        <v>149</v>
      </c>
      <c r="AW66" s="11" t="s">
        <v>39</v>
      </c>
      <c r="AX66" s="11" t="s">
        <v>81</v>
      </c>
      <c r="AY66" s="137" t="s">
        <v>136</v>
      </c>
    </row>
    <row r="67" spans="2:65" s="11" customFormat="1">
      <c r="B67" s="136"/>
      <c r="C67" s="164"/>
      <c r="D67" s="161" t="s">
        <v>147</v>
      </c>
      <c r="E67" s="165" t="s">
        <v>1844</v>
      </c>
      <c r="F67" s="166" t="s">
        <v>1845</v>
      </c>
      <c r="G67" s="164"/>
      <c r="H67" s="167">
        <v>88</v>
      </c>
      <c r="I67" s="164"/>
      <c r="J67" s="164"/>
      <c r="K67" s="164"/>
      <c r="L67" s="136"/>
      <c r="M67" s="140"/>
      <c r="T67" s="141"/>
      <c r="AT67" s="137" t="s">
        <v>147</v>
      </c>
      <c r="AU67" s="137" t="s">
        <v>19</v>
      </c>
      <c r="AV67" s="11" t="s">
        <v>149</v>
      </c>
      <c r="AW67" s="11" t="s">
        <v>39</v>
      </c>
      <c r="AX67" s="11" t="s">
        <v>81</v>
      </c>
      <c r="AY67" s="137" t="s">
        <v>136</v>
      </c>
    </row>
    <row r="68" spans="2:65" s="11" customFormat="1">
      <c r="B68" s="136"/>
      <c r="C68" s="164"/>
      <c r="D68" s="161" t="s">
        <v>147</v>
      </c>
      <c r="E68" s="165" t="s">
        <v>1</v>
      </c>
      <c r="F68" s="166" t="s">
        <v>1846</v>
      </c>
      <c r="G68" s="164"/>
      <c r="H68" s="167">
        <v>408</v>
      </c>
      <c r="I68" s="164"/>
      <c r="J68" s="164"/>
      <c r="K68" s="164"/>
      <c r="L68" s="136"/>
      <c r="M68" s="140"/>
      <c r="T68" s="141"/>
      <c r="AT68" s="137" t="s">
        <v>147</v>
      </c>
      <c r="AU68" s="137" t="s">
        <v>19</v>
      </c>
      <c r="AV68" s="11" t="s">
        <v>149</v>
      </c>
      <c r="AW68" s="11" t="s">
        <v>39</v>
      </c>
      <c r="AX68" s="11" t="s">
        <v>19</v>
      </c>
      <c r="AY68" s="137" t="s">
        <v>136</v>
      </c>
    </row>
    <row r="69" spans="2:65" s="10" customFormat="1" ht="25.95" customHeight="1">
      <c r="B69" s="110"/>
      <c r="D69" s="111" t="s">
        <v>80</v>
      </c>
      <c r="E69" s="112" t="s">
        <v>157</v>
      </c>
      <c r="F69" s="112" t="s">
        <v>478</v>
      </c>
      <c r="J69" s="113">
        <f>BK69</f>
        <v>0</v>
      </c>
      <c r="L69" s="110"/>
      <c r="M69" s="114"/>
      <c r="P69" s="115">
        <f>SUM(P70:P92)</f>
        <v>0</v>
      </c>
      <c r="R69" s="115">
        <f>SUM(R70:R92)</f>
        <v>0</v>
      </c>
      <c r="T69" s="116">
        <f>SUM(T70:T92)</f>
        <v>0</v>
      </c>
      <c r="AR69" s="111" t="s">
        <v>135</v>
      </c>
      <c r="AT69" s="117" t="s">
        <v>80</v>
      </c>
      <c r="AU69" s="117" t="s">
        <v>81</v>
      </c>
      <c r="AY69" s="111" t="s">
        <v>136</v>
      </c>
      <c r="BK69" s="118">
        <f>SUM(BK70:BK92)</f>
        <v>0</v>
      </c>
    </row>
    <row r="70" spans="2:65" s="1" customFormat="1" ht="21.75" customHeight="1">
      <c r="B70" s="119"/>
      <c r="C70" s="154" t="s">
        <v>452</v>
      </c>
      <c r="D70" s="154" t="s">
        <v>137</v>
      </c>
      <c r="E70" s="155" t="s">
        <v>1847</v>
      </c>
      <c r="F70" s="156" t="s">
        <v>1848</v>
      </c>
      <c r="G70" s="157" t="s">
        <v>216</v>
      </c>
      <c r="H70" s="158">
        <v>26</v>
      </c>
      <c r="I70" s="159">
        <v>0</v>
      </c>
      <c r="J70" s="159">
        <f>ROUND(I70*H70,2)</f>
        <v>0</v>
      </c>
      <c r="K70" s="156" t="s">
        <v>141</v>
      </c>
      <c r="L70" s="26"/>
      <c r="M70" s="126" t="s">
        <v>1</v>
      </c>
      <c r="N70" s="127" t="s">
        <v>46</v>
      </c>
      <c r="O70" s="128">
        <v>0</v>
      </c>
      <c r="P70" s="128">
        <f>O70*H70</f>
        <v>0</v>
      </c>
      <c r="Q70" s="128">
        <v>0</v>
      </c>
      <c r="R70" s="128">
        <f>Q70*H70</f>
        <v>0</v>
      </c>
      <c r="S70" s="128">
        <v>0</v>
      </c>
      <c r="T70" s="129">
        <f>S70*H70</f>
        <v>0</v>
      </c>
      <c r="AR70" s="130" t="s">
        <v>135</v>
      </c>
      <c r="AT70" s="130" t="s">
        <v>137</v>
      </c>
      <c r="AU70" s="130" t="s">
        <v>19</v>
      </c>
      <c r="AY70" s="14" t="s">
        <v>136</v>
      </c>
      <c r="BE70" s="131">
        <f>IF(N70="základní",J70,0)</f>
        <v>0</v>
      </c>
      <c r="BF70" s="131">
        <f>IF(N70="snížená",J70,0)</f>
        <v>0</v>
      </c>
      <c r="BG70" s="131">
        <f>IF(N70="zákl. přenesená",J70,0)</f>
        <v>0</v>
      </c>
      <c r="BH70" s="131">
        <f>IF(N70="sníž. přenesená",J70,0)</f>
        <v>0</v>
      </c>
      <c r="BI70" s="131">
        <f>IF(N70="nulová",J70,0)</f>
        <v>0</v>
      </c>
      <c r="BJ70" s="14" t="s">
        <v>19</v>
      </c>
      <c r="BK70" s="131">
        <f>ROUND(I70*H70,2)</f>
        <v>0</v>
      </c>
      <c r="BL70" s="14" t="s">
        <v>135</v>
      </c>
      <c r="BM70" s="130" t="s">
        <v>1849</v>
      </c>
    </row>
    <row r="71" spans="2:65" s="1" customFormat="1" ht="28.8">
      <c r="B71" s="26"/>
      <c r="C71" s="160"/>
      <c r="D71" s="161" t="s">
        <v>143</v>
      </c>
      <c r="E71" s="160"/>
      <c r="F71" s="162" t="s">
        <v>1850</v>
      </c>
      <c r="G71" s="160"/>
      <c r="H71" s="160"/>
      <c r="I71" s="160"/>
      <c r="J71" s="160"/>
      <c r="K71" s="160"/>
      <c r="L71" s="26"/>
      <c r="M71" s="134"/>
      <c r="T71" s="50"/>
      <c r="AT71" s="14" t="s">
        <v>143</v>
      </c>
      <c r="AU71" s="14" t="s">
        <v>19</v>
      </c>
    </row>
    <row r="72" spans="2:65" s="1" customFormat="1" ht="182.4">
      <c r="B72" s="26"/>
      <c r="C72" s="160"/>
      <c r="D72" s="161" t="s">
        <v>145</v>
      </c>
      <c r="E72" s="160"/>
      <c r="F72" s="163" t="s">
        <v>1851</v>
      </c>
      <c r="G72" s="160"/>
      <c r="H72" s="160"/>
      <c r="I72" s="160"/>
      <c r="J72" s="160"/>
      <c r="K72" s="160"/>
      <c r="L72" s="26"/>
      <c r="M72" s="134"/>
      <c r="T72" s="50"/>
      <c r="AT72" s="14" t="s">
        <v>145</v>
      </c>
      <c r="AU72" s="14" t="s">
        <v>19</v>
      </c>
    </row>
    <row r="73" spans="2:65" s="11" customFormat="1">
      <c r="B73" s="136"/>
      <c r="C73" s="164"/>
      <c r="D73" s="161" t="s">
        <v>147</v>
      </c>
      <c r="E73" s="165" t="s">
        <v>1852</v>
      </c>
      <c r="F73" s="166" t="s">
        <v>445</v>
      </c>
      <c r="G73" s="164"/>
      <c r="H73" s="167">
        <v>26</v>
      </c>
      <c r="I73" s="164"/>
      <c r="J73" s="164"/>
      <c r="K73" s="164"/>
      <c r="L73" s="136"/>
      <c r="M73" s="140"/>
      <c r="T73" s="141"/>
      <c r="AT73" s="137" t="s">
        <v>147</v>
      </c>
      <c r="AU73" s="137" t="s">
        <v>19</v>
      </c>
      <c r="AV73" s="11" t="s">
        <v>149</v>
      </c>
      <c r="AW73" s="11" t="s">
        <v>39</v>
      </c>
      <c r="AX73" s="11" t="s">
        <v>19</v>
      </c>
      <c r="AY73" s="137" t="s">
        <v>136</v>
      </c>
    </row>
    <row r="74" spans="2:65" s="1" customFormat="1" ht="16.5" customHeight="1">
      <c r="B74" s="119"/>
      <c r="C74" s="154" t="s">
        <v>460</v>
      </c>
      <c r="D74" s="154" t="s">
        <v>137</v>
      </c>
      <c r="E74" s="155" t="s">
        <v>1853</v>
      </c>
      <c r="F74" s="156" t="s">
        <v>1854</v>
      </c>
      <c r="G74" s="157" t="s">
        <v>216</v>
      </c>
      <c r="H74" s="158">
        <v>14.06</v>
      </c>
      <c r="I74" s="159">
        <v>0</v>
      </c>
      <c r="J74" s="159">
        <f>ROUND(I74*H74,2)</f>
        <v>0</v>
      </c>
      <c r="K74" s="156" t="s">
        <v>141</v>
      </c>
      <c r="L74" s="26"/>
      <c r="M74" s="126" t="s">
        <v>1</v>
      </c>
      <c r="N74" s="127" t="s">
        <v>46</v>
      </c>
      <c r="O74" s="128">
        <v>0</v>
      </c>
      <c r="P74" s="128">
        <f>O74*H74</f>
        <v>0</v>
      </c>
      <c r="Q74" s="128">
        <v>0</v>
      </c>
      <c r="R74" s="128">
        <f>Q74*H74</f>
        <v>0</v>
      </c>
      <c r="S74" s="128">
        <v>0</v>
      </c>
      <c r="T74" s="129">
        <f>S74*H74</f>
        <v>0</v>
      </c>
      <c r="AR74" s="130" t="s">
        <v>135</v>
      </c>
      <c r="AT74" s="130" t="s">
        <v>137</v>
      </c>
      <c r="AU74" s="130" t="s">
        <v>19</v>
      </c>
      <c r="AY74" s="14" t="s">
        <v>136</v>
      </c>
      <c r="BE74" s="131">
        <f>IF(N74="základní",J74,0)</f>
        <v>0</v>
      </c>
      <c r="BF74" s="131">
        <f>IF(N74="snížená",J74,0)</f>
        <v>0</v>
      </c>
      <c r="BG74" s="131">
        <f>IF(N74="zákl. přenesená",J74,0)</f>
        <v>0</v>
      </c>
      <c r="BH74" s="131">
        <f>IF(N74="sníž. přenesená",J74,0)</f>
        <v>0</v>
      </c>
      <c r="BI74" s="131">
        <f>IF(N74="nulová",J74,0)</f>
        <v>0</v>
      </c>
      <c r="BJ74" s="14" t="s">
        <v>19</v>
      </c>
      <c r="BK74" s="131">
        <f>ROUND(I74*H74,2)</f>
        <v>0</v>
      </c>
      <c r="BL74" s="14" t="s">
        <v>135</v>
      </c>
      <c r="BM74" s="130" t="s">
        <v>1855</v>
      </c>
    </row>
    <row r="75" spans="2:65" s="1" customFormat="1" ht="19.2">
      <c r="B75" s="26"/>
      <c r="C75" s="160"/>
      <c r="D75" s="161" t="s">
        <v>143</v>
      </c>
      <c r="E75" s="160"/>
      <c r="F75" s="162" t="s">
        <v>1856</v>
      </c>
      <c r="G75" s="160"/>
      <c r="H75" s="160"/>
      <c r="I75" s="160"/>
      <c r="J75" s="160"/>
      <c r="K75" s="160"/>
      <c r="L75" s="26"/>
      <c r="M75" s="134"/>
      <c r="T75" s="50"/>
      <c r="AT75" s="14" t="s">
        <v>143</v>
      </c>
      <c r="AU75" s="14" t="s">
        <v>19</v>
      </c>
    </row>
    <row r="76" spans="2:65" s="1" customFormat="1" ht="297.60000000000002">
      <c r="B76" s="26"/>
      <c r="C76" s="160"/>
      <c r="D76" s="161" t="s">
        <v>145</v>
      </c>
      <c r="E76" s="160"/>
      <c r="F76" s="163" t="s">
        <v>1857</v>
      </c>
      <c r="G76" s="160"/>
      <c r="H76" s="160"/>
      <c r="I76" s="160"/>
      <c r="J76" s="160"/>
      <c r="K76" s="160"/>
      <c r="L76" s="26"/>
      <c r="M76" s="134"/>
      <c r="T76" s="50"/>
      <c r="AT76" s="14" t="s">
        <v>145</v>
      </c>
      <c r="AU76" s="14" t="s">
        <v>19</v>
      </c>
    </row>
    <row r="77" spans="2:65" s="11" customFormat="1">
      <c r="B77" s="136"/>
      <c r="C77" s="164"/>
      <c r="D77" s="161" t="s">
        <v>147</v>
      </c>
      <c r="E77" s="165" t="s">
        <v>1858</v>
      </c>
      <c r="F77" s="166" t="s">
        <v>1859</v>
      </c>
      <c r="G77" s="164"/>
      <c r="H77" s="167">
        <v>10.75</v>
      </c>
      <c r="I77" s="164"/>
      <c r="J77" s="164"/>
      <c r="K77" s="164"/>
      <c r="L77" s="136"/>
      <c r="M77" s="140"/>
      <c r="T77" s="141"/>
      <c r="AT77" s="137" t="s">
        <v>147</v>
      </c>
      <c r="AU77" s="137" t="s">
        <v>19</v>
      </c>
      <c r="AV77" s="11" t="s">
        <v>149</v>
      </c>
      <c r="AW77" s="11" t="s">
        <v>39</v>
      </c>
      <c r="AX77" s="11" t="s">
        <v>81</v>
      </c>
      <c r="AY77" s="137" t="s">
        <v>136</v>
      </c>
    </row>
    <row r="78" spans="2:65" s="11" customFormat="1">
      <c r="B78" s="136"/>
      <c r="C78" s="164"/>
      <c r="D78" s="161" t="s">
        <v>147</v>
      </c>
      <c r="E78" s="165" t="s">
        <v>1860</v>
      </c>
      <c r="F78" s="166" t="s">
        <v>1861</v>
      </c>
      <c r="G78" s="164"/>
      <c r="H78" s="167">
        <v>3.31</v>
      </c>
      <c r="I78" s="164"/>
      <c r="J78" s="164"/>
      <c r="K78" s="164"/>
      <c r="L78" s="136"/>
      <c r="M78" s="140"/>
      <c r="T78" s="141"/>
      <c r="AT78" s="137" t="s">
        <v>147</v>
      </c>
      <c r="AU78" s="137" t="s">
        <v>19</v>
      </c>
      <c r="AV78" s="11" t="s">
        <v>149</v>
      </c>
      <c r="AW78" s="11" t="s">
        <v>39</v>
      </c>
      <c r="AX78" s="11" t="s">
        <v>81</v>
      </c>
      <c r="AY78" s="137" t="s">
        <v>136</v>
      </c>
    </row>
    <row r="79" spans="2:65" s="11" customFormat="1">
      <c r="B79" s="136"/>
      <c r="C79" s="164"/>
      <c r="D79" s="161" t="s">
        <v>147</v>
      </c>
      <c r="E79" s="165" t="s">
        <v>1</v>
      </c>
      <c r="F79" s="166" t="s">
        <v>1862</v>
      </c>
      <c r="G79" s="164"/>
      <c r="H79" s="167">
        <v>14.06</v>
      </c>
      <c r="I79" s="164"/>
      <c r="J79" s="164"/>
      <c r="K79" s="164"/>
      <c r="L79" s="136"/>
      <c r="M79" s="140"/>
      <c r="T79" s="141"/>
      <c r="AT79" s="137" t="s">
        <v>147</v>
      </c>
      <c r="AU79" s="137" t="s">
        <v>19</v>
      </c>
      <c r="AV79" s="11" t="s">
        <v>149</v>
      </c>
      <c r="AW79" s="11" t="s">
        <v>39</v>
      </c>
      <c r="AX79" s="11" t="s">
        <v>19</v>
      </c>
      <c r="AY79" s="137" t="s">
        <v>136</v>
      </c>
    </row>
    <row r="80" spans="2:65" s="1" customFormat="1" ht="16.5" customHeight="1">
      <c r="B80" s="119"/>
      <c r="C80" s="154" t="s">
        <v>467</v>
      </c>
      <c r="D80" s="154" t="s">
        <v>137</v>
      </c>
      <c r="E80" s="155" t="s">
        <v>1863</v>
      </c>
      <c r="F80" s="156" t="s">
        <v>1864</v>
      </c>
      <c r="G80" s="157" t="s">
        <v>673</v>
      </c>
      <c r="H80" s="158">
        <v>2.8119999999999998</v>
      </c>
      <c r="I80" s="159">
        <v>0</v>
      </c>
      <c r="J80" s="159">
        <f>ROUND(I80*H80,2)</f>
        <v>0</v>
      </c>
      <c r="K80" s="156" t="s">
        <v>141</v>
      </c>
      <c r="L80" s="26"/>
      <c r="M80" s="126" t="s">
        <v>1</v>
      </c>
      <c r="N80" s="127" t="s">
        <v>46</v>
      </c>
      <c r="O80" s="128">
        <v>0</v>
      </c>
      <c r="P80" s="128">
        <f>O80*H80</f>
        <v>0</v>
      </c>
      <c r="Q80" s="128">
        <v>0</v>
      </c>
      <c r="R80" s="128">
        <f>Q80*H80</f>
        <v>0</v>
      </c>
      <c r="S80" s="128">
        <v>0</v>
      </c>
      <c r="T80" s="129">
        <f>S80*H80</f>
        <v>0</v>
      </c>
      <c r="AR80" s="130" t="s">
        <v>135</v>
      </c>
      <c r="AT80" s="130" t="s">
        <v>137</v>
      </c>
      <c r="AU80" s="130" t="s">
        <v>19</v>
      </c>
      <c r="AY80" s="14" t="s">
        <v>136</v>
      </c>
      <c r="BE80" s="131">
        <f>IF(N80="základní",J80,0)</f>
        <v>0</v>
      </c>
      <c r="BF80" s="131">
        <f>IF(N80="snížená",J80,0)</f>
        <v>0</v>
      </c>
      <c r="BG80" s="131">
        <f>IF(N80="zákl. přenesená",J80,0)</f>
        <v>0</v>
      </c>
      <c r="BH80" s="131">
        <f>IF(N80="sníž. přenesená",J80,0)</f>
        <v>0</v>
      </c>
      <c r="BI80" s="131">
        <f>IF(N80="nulová",J80,0)</f>
        <v>0</v>
      </c>
      <c r="BJ80" s="14" t="s">
        <v>19</v>
      </c>
      <c r="BK80" s="131">
        <f>ROUND(I80*H80,2)</f>
        <v>0</v>
      </c>
      <c r="BL80" s="14" t="s">
        <v>135</v>
      </c>
      <c r="BM80" s="130" t="s">
        <v>1865</v>
      </c>
    </row>
    <row r="81" spans="2:65" s="1" customFormat="1">
      <c r="B81" s="26"/>
      <c r="C81" s="160"/>
      <c r="D81" s="161" t="s">
        <v>143</v>
      </c>
      <c r="E81" s="160"/>
      <c r="F81" s="162" t="s">
        <v>1864</v>
      </c>
      <c r="G81" s="160"/>
      <c r="H81" s="160"/>
      <c r="I81" s="160"/>
      <c r="J81" s="160"/>
      <c r="K81" s="160"/>
      <c r="L81" s="26"/>
      <c r="M81" s="134"/>
      <c r="T81" s="50"/>
      <c r="AT81" s="14" t="s">
        <v>143</v>
      </c>
      <c r="AU81" s="14" t="s">
        <v>19</v>
      </c>
    </row>
    <row r="82" spans="2:65" s="1" customFormat="1" ht="192">
      <c r="B82" s="26"/>
      <c r="C82" s="160"/>
      <c r="D82" s="161" t="s">
        <v>145</v>
      </c>
      <c r="E82" s="160"/>
      <c r="F82" s="163" t="s">
        <v>1866</v>
      </c>
      <c r="G82" s="160"/>
      <c r="H82" s="160"/>
      <c r="I82" s="160"/>
      <c r="J82" s="160"/>
      <c r="K82" s="160"/>
      <c r="L82" s="26"/>
      <c r="M82" s="134"/>
      <c r="T82" s="50"/>
      <c r="AT82" s="14" t="s">
        <v>145</v>
      </c>
      <c r="AU82" s="14" t="s">
        <v>19</v>
      </c>
    </row>
    <row r="83" spans="2:65" s="11" customFormat="1">
      <c r="B83" s="136"/>
      <c r="C83" s="164"/>
      <c r="D83" s="161" t="s">
        <v>147</v>
      </c>
      <c r="E83" s="165" t="s">
        <v>1867</v>
      </c>
      <c r="F83" s="166" t="s">
        <v>1868</v>
      </c>
      <c r="G83" s="164"/>
      <c r="H83" s="167">
        <v>2.8120000000000003</v>
      </c>
      <c r="I83" s="164"/>
      <c r="J83" s="164"/>
      <c r="K83" s="164"/>
      <c r="L83" s="136"/>
      <c r="M83" s="140"/>
      <c r="T83" s="141"/>
      <c r="AT83" s="137" t="s">
        <v>147</v>
      </c>
      <c r="AU83" s="137" t="s">
        <v>19</v>
      </c>
      <c r="AV83" s="11" t="s">
        <v>149</v>
      </c>
      <c r="AW83" s="11" t="s">
        <v>39</v>
      </c>
      <c r="AX83" s="11" t="s">
        <v>19</v>
      </c>
      <c r="AY83" s="137" t="s">
        <v>136</v>
      </c>
    </row>
    <row r="84" spans="2:65" s="1" customFormat="1" ht="24.15" customHeight="1">
      <c r="B84" s="119"/>
      <c r="C84" s="154" t="s">
        <v>479</v>
      </c>
      <c r="D84" s="154" t="s">
        <v>137</v>
      </c>
      <c r="E84" s="155" t="s">
        <v>1869</v>
      </c>
      <c r="F84" s="156" t="s">
        <v>1870</v>
      </c>
      <c r="G84" s="157" t="s">
        <v>216</v>
      </c>
      <c r="H84" s="158">
        <v>69.34</v>
      </c>
      <c r="I84" s="159">
        <v>0</v>
      </c>
      <c r="J84" s="159">
        <f>ROUND(I84*H84,2)</f>
        <v>0</v>
      </c>
      <c r="K84" s="156" t="s">
        <v>141</v>
      </c>
      <c r="L84" s="26"/>
      <c r="M84" s="126" t="s">
        <v>1</v>
      </c>
      <c r="N84" s="127" t="s">
        <v>46</v>
      </c>
      <c r="O84" s="128">
        <v>0</v>
      </c>
      <c r="P84" s="128">
        <f>O84*H84</f>
        <v>0</v>
      </c>
      <c r="Q84" s="128">
        <v>0</v>
      </c>
      <c r="R84" s="128">
        <f>Q84*H84</f>
        <v>0</v>
      </c>
      <c r="S84" s="128">
        <v>0</v>
      </c>
      <c r="T84" s="129">
        <f>S84*H84</f>
        <v>0</v>
      </c>
      <c r="AR84" s="130" t="s">
        <v>135</v>
      </c>
      <c r="AT84" s="130" t="s">
        <v>137</v>
      </c>
      <c r="AU84" s="130" t="s">
        <v>19</v>
      </c>
      <c r="AY84" s="14" t="s">
        <v>136</v>
      </c>
      <c r="BE84" s="131">
        <f>IF(N84="základní",J84,0)</f>
        <v>0</v>
      </c>
      <c r="BF84" s="131">
        <f>IF(N84="snížená",J84,0)</f>
        <v>0</v>
      </c>
      <c r="BG84" s="131">
        <f>IF(N84="zákl. přenesená",J84,0)</f>
        <v>0</v>
      </c>
      <c r="BH84" s="131">
        <f>IF(N84="sníž. přenesená",J84,0)</f>
        <v>0</v>
      </c>
      <c r="BI84" s="131">
        <f>IF(N84="nulová",J84,0)</f>
        <v>0</v>
      </c>
      <c r="BJ84" s="14" t="s">
        <v>19</v>
      </c>
      <c r="BK84" s="131">
        <f>ROUND(I84*H84,2)</f>
        <v>0</v>
      </c>
      <c r="BL84" s="14" t="s">
        <v>135</v>
      </c>
      <c r="BM84" s="130" t="s">
        <v>1871</v>
      </c>
    </row>
    <row r="85" spans="2:65" s="1" customFormat="1" ht="28.8">
      <c r="B85" s="26"/>
      <c r="C85" s="160"/>
      <c r="D85" s="161" t="s">
        <v>143</v>
      </c>
      <c r="E85" s="160"/>
      <c r="F85" s="162" t="s">
        <v>1872</v>
      </c>
      <c r="G85" s="160"/>
      <c r="H85" s="160"/>
      <c r="I85" s="160"/>
      <c r="J85" s="160"/>
      <c r="K85" s="160"/>
      <c r="L85" s="26"/>
      <c r="M85" s="134"/>
      <c r="T85" s="50"/>
      <c r="AT85" s="14" t="s">
        <v>143</v>
      </c>
      <c r="AU85" s="14" t="s">
        <v>19</v>
      </c>
    </row>
    <row r="86" spans="2:65" s="1" customFormat="1" ht="297.60000000000002">
      <c r="B86" s="26"/>
      <c r="C86" s="160"/>
      <c r="D86" s="161" t="s">
        <v>145</v>
      </c>
      <c r="E86" s="160"/>
      <c r="F86" s="163" t="s">
        <v>1873</v>
      </c>
      <c r="G86" s="160"/>
      <c r="H86" s="160"/>
      <c r="I86" s="160"/>
      <c r="J86" s="160"/>
      <c r="K86" s="160"/>
      <c r="L86" s="26"/>
      <c r="M86" s="134"/>
      <c r="T86" s="50"/>
      <c r="AT86" s="14" t="s">
        <v>145</v>
      </c>
      <c r="AU86" s="14" t="s">
        <v>19</v>
      </c>
    </row>
    <row r="87" spans="2:65" s="11" customFormat="1">
      <c r="B87" s="136"/>
      <c r="C87" s="164"/>
      <c r="D87" s="161" t="s">
        <v>147</v>
      </c>
      <c r="E87" s="165" t="s">
        <v>1874</v>
      </c>
      <c r="F87" s="166" t="s">
        <v>1875</v>
      </c>
      <c r="G87" s="164"/>
      <c r="H87" s="167">
        <v>31.14</v>
      </c>
      <c r="I87" s="164"/>
      <c r="J87" s="164"/>
      <c r="K87" s="164"/>
      <c r="L87" s="136"/>
      <c r="M87" s="140"/>
      <c r="T87" s="141"/>
      <c r="AT87" s="137" t="s">
        <v>147</v>
      </c>
      <c r="AU87" s="137" t="s">
        <v>19</v>
      </c>
      <c r="AV87" s="11" t="s">
        <v>149</v>
      </c>
      <c r="AW87" s="11" t="s">
        <v>39</v>
      </c>
      <c r="AX87" s="11" t="s">
        <v>81</v>
      </c>
      <c r="AY87" s="137" t="s">
        <v>136</v>
      </c>
    </row>
    <row r="88" spans="2:65" s="11" customFormat="1">
      <c r="B88" s="136"/>
      <c r="C88" s="164"/>
      <c r="D88" s="161" t="s">
        <v>147</v>
      </c>
      <c r="E88" s="165" t="s">
        <v>1876</v>
      </c>
      <c r="F88" s="166" t="s">
        <v>1877</v>
      </c>
      <c r="G88" s="164"/>
      <c r="H88" s="167">
        <v>9.9</v>
      </c>
      <c r="I88" s="164"/>
      <c r="J88" s="164"/>
      <c r="K88" s="164"/>
      <c r="L88" s="136"/>
      <c r="M88" s="140"/>
      <c r="T88" s="141"/>
      <c r="AT88" s="137" t="s">
        <v>147</v>
      </c>
      <c r="AU88" s="137" t="s">
        <v>19</v>
      </c>
      <c r="AV88" s="11" t="s">
        <v>149</v>
      </c>
      <c r="AW88" s="11" t="s">
        <v>39</v>
      </c>
      <c r="AX88" s="11" t="s">
        <v>81</v>
      </c>
      <c r="AY88" s="137" t="s">
        <v>136</v>
      </c>
    </row>
    <row r="89" spans="2:65" s="11" customFormat="1">
      <c r="B89" s="136"/>
      <c r="C89" s="164"/>
      <c r="D89" s="161" t="s">
        <v>147</v>
      </c>
      <c r="E89" s="165" t="s">
        <v>1878</v>
      </c>
      <c r="F89" s="166" t="s">
        <v>1879</v>
      </c>
      <c r="G89" s="164"/>
      <c r="H89" s="167">
        <v>10.24</v>
      </c>
      <c r="I89" s="164"/>
      <c r="J89" s="164"/>
      <c r="K89" s="164"/>
      <c r="L89" s="136"/>
      <c r="M89" s="140"/>
      <c r="T89" s="141"/>
      <c r="AT89" s="137" t="s">
        <v>147</v>
      </c>
      <c r="AU89" s="137" t="s">
        <v>19</v>
      </c>
      <c r="AV89" s="11" t="s">
        <v>149</v>
      </c>
      <c r="AW89" s="11" t="s">
        <v>39</v>
      </c>
      <c r="AX89" s="11" t="s">
        <v>81</v>
      </c>
      <c r="AY89" s="137" t="s">
        <v>136</v>
      </c>
    </row>
    <row r="90" spans="2:65" s="11" customFormat="1">
      <c r="B90" s="136"/>
      <c r="C90" s="164"/>
      <c r="D90" s="161" t="s">
        <v>147</v>
      </c>
      <c r="E90" s="165" t="s">
        <v>1880</v>
      </c>
      <c r="F90" s="166" t="s">
        <v>1881</v>
      </c>
      <c r="G90" s="164"/>
      <c r="H90" s="167">
        <v>15.12</v>
      </c>
      <c r="I90" s="164"/>
      <c r="J90" s="164"/>
      <c r="K90" s="164"/>
      <c r="L90" s="136"/>
      <c r="M90" s="140"/>
      <c r="T90" s="141"/>
      <c r="AT90" s="137" t="s">
        <v>147</v>
      </c>
      <c r="AU90" s="137" t="s">
        <v>19</v>
      </c>
      <c r="AV90" s="11" t="s">
        <v>149</v>
      </c>
      <c r="AW90" s="11" t="s">
        <v>39</v>
      </c>
      <c r="AX90" s="11" t="s">
        <v>81</v>
      </c>
      <c r="AY90" s="137" t="s">
        <v>136</v>
      </c>
    </row>
    <row r="91" spans="2:65" s="11" customFormat="1">
      <c r="B91" s="136"/>
      <c r="C91" s="164"/>
      <c r="D91" s="161" t="s">
        <v>147</v>
      </c>
      <c r="E91" s="165" t="s">
        <v>1882</v>
      </c>
      <c r="F91" s="166" t="s">
        <v>1883</v>
      </c>
      <c r="G91" s="164"/>
      <c r="H91" s="167">
        <v>2.94</v>
      </c>
      <c r="I91" s="164"/>
      <c r="J91" s="164"/>
      <c r="K91" s="164"/>
      <c r="L91" s="136"/>
      <c r="M91" s="140"/>
      <c r="T91" s="141"/>
      <c r="AT91" s="137" t="s">
        <v>147</v>
      </c>
      <c r="AU91" s="137" t="s">
        <v>19</v>
      </c>
      <c r="AV91" s="11" t="s">
        <v>149</v>
      </c>
      <c r="AW91" s="11" t="s">
        <v>39</v>
      </c>
      <c r="AX91" s="11" t="s">
        <v>81</v>
      </c>
      <c r="AY91" s="137" t="s">
        <v>136</v>
      </c>
    </row>
    <row r="92" spans="2:65" s="11" customFormat="1">
      <c r="B92" s="136"/>
      <c r="C92" s="164"/>
      <c r="D92" s="161" t="s">
        <v>147</v>
      </c>
      <c r="E92" s="165" t="s">
        <v>1</v>
      </c>
      <c r="F92" s="166" t="s">
        <v>1884</v>
      </c>
      <c r="G92" s="164"/>
      <c r="H92" s="167">
        <v>69.34</v>
      </c>
      <c r="I92" s="164"/>
      <c r="J92" s="164"/>
      <c r="K92" s="164"/>
      <c r="L92" s="136"/>
      <c r="M92" s="140"/>
      <c r="T92" s="141"/>
      <c r="AT92" s="137" t="s">
        <v>147</v>
      </c>
      <c r="AU92" s="137" t="s">
        <v>19</v>
      </c>
      <c r="AV92" s="11" t="s">
        <v>149</v>
      </c>
      <c r="AW92" s="11" t="s">
        <v>39</v>
      </c>
      <c r="AX92" s="11" t="s">
        <v>19</v>
      </c>
      <c r="AY92" s="137" t="s">
        <v>136</v>
      </c>
    </row>
    <row r="93" spans="2:65" s="10" customFormat="1" ht="25.95" customHeight="1">
      <c r="B93" s="110"/>
      <c r="D93" s="111" t="s">
        <v>80</v>
      </c>
      <c r="E93" s="112" t="s">
        <v>135</v>
      </c>
      <c r="F93" s="112" t="s">
        <v>498</v>
      </c>
      <c r="J93" s="113">
        <f>BK93</f>
        <v>0</v>
      </c>
      <c r="L93" s="110"/>
      <c r="M93" s="114"/>
      <c r="P93" s="115">
        <f>SUM(P94:P124)</f>
        <v>0</v>
      </c>
      <c r="R93" s="115">
        <f>SUM(R94:R124)</f>
        <v>0</v>
      </c>
      <c r="T93" s="116">
        <f>SUM(T94:T124)</f>
        <v>0</v>
      </c>
      <c r="AR93" s="111" t="s">
        <v>135</v>
      </c>
      <c r="AT93" s="117" t="s">
        <v>80</v>
      </c>
      <c r="AU93" s="117" t="s">
        <v>81</v>
      </c>
      <c r="AY93" s="111" t="s">
        <v>136</v>
      </c>
      <c r="BK93" s="118">
        <f>SUM(BK94:BK124)</f>
        <v>0</v>
      </c>
    </row>
    <row r="94" spans="2:65" s="1" customFormat="1" ht="24.15" customHeight="1">
      <c r="B94" s="119"/>
      <c r="C94" s="154" t="s">
        <v>491</v>
      </c>
      <c r="D94" s="154" t="s">
        <v>137</v>
      </c>
      <c r="E94" s="155" t="s">
        <v>1885</v>
      </c>
      <c r="F94" s="156" t="s">
        <v>1886</v>
      </c>
      <c r="G94" s="157" t="s">
        <v>216</v>
      </c>
      <c r="H94" s="158">
        <v>69.3</v>
      </c>
      <c r="I94" s="159">
        <v>0</v>
      </c>
      <c r="J94" s="159">
        <f>ROUND(I94*H94,2)</f>
        <v>0</v>
      </c>
      <c r="K94" s="156" t="s">
        <v>141</v>
      </c>
      <c r="L94" s="26"/>
      <c r="M94" s="126" t="s">
        <v>1</v>
      </c>
      <c r="N94" s="127" t="s">
        <v>46</v>
      </c>
      <c r="O94" s="128">
        <v>0</v>
      </c>
      <c r="P94" s="128">
        <f>O94*H94</f>
        <v>0</v>
      </c>
      <c r="Q94" s="128">
        <v>0</v>
      </c>
      <c r="R94" s="128">
        <f>Q94*H94</f>
        <v>0</v>
      </c>
      <c r="S94" s="128">
        <v>0</v>
      </c>
      <c r="T94" s="129">
        <f>S94*H94</f>
        <v>0</v>
      </c>
      <c r="AR94" s="130" t="s">
        <v>135</v>
      </c>
      <c r="AT94" s="130" t="s">
        <v>137</v>
      </c>
      <c r="AU94" s="130" t="s">
        <v>19</v>
      </c>
      <c r="AY94" s="14" t="s">
        <v>136</v>
      </c>
      <c r="BE94" s="131">
        <f>IF(N94="základní",J94,0)</f>
        <v>0</v>
      </c>
      <c r="BF94" s="131">
        <f>IF(N94="snížená",J94,0)</f>
        <v>0</v>
      </c>
      <c r="BG94" s="131">
        <f>IF(N94="zákl. přenesená",J94,0)</f>
        <v>0</v>
      </c>
      <c r="BH94" s="131">
        <f>IF(N94="sníž. přenesená",J94,0)</f>
        <v>0</v>
      </c>
      <c r="BI94" s="131">
        <f>IF(N94="nulová",J94,0)</f>
        <v>0</v>
      </c>
      <c r="BJ94" s="14" t="s">
        <v>19</v>
      </c>
      <c r="BK94" s="131">
        <f>ROUND(I94*H94,2)</f>
        <v>0</v>
      </c>
      <c r="BL94" s="14" t="s">
        <v>135</v>
      </c>
      <c r="BM94" s="130" t="s">
        <v>1887</v>
      </c>
    </row>
    <row r="95" spans="2:65" s="1" customFormat="1">
      <c r="B95" s="26"/>
      <c r="C95" s="160"/>
      <c r="D95" s="161" t="s">
        <v>143</v>
      </c>
      <c r="E95" s="160"/>
      <c r="F95" s="162" t="s">
        <v>1888</v>
      </c>
      <c r="G95" s="160"/>
      <c r="H95" s="160"/>
      <c r="I95" s="160"/>
      <c r="J95" s="160"/>
      <c r="K95" s="160"/>
      <c r="L95" s="26"/>
      <c r="M95" s="134"/>
      <c r="T95" s="50"/>
      <c r="AT95" s="14" t="s">
        <v>143</v>
      </c>
      <c r="AU95" s="14" t="s">
        <v>19</v>
      </c>
    </row>
    <row r="96" spans="2:65" s="1" customFormat="1" ht="297.60000000000002">
      <c r="B96" s="26"/>
      <c r="C96" s="160"/>
      <c r="D96" s="161" t="s">
        <v>145</v>
      </c>
      <c r="E96" s="160"/>
      <c r="F96" s="163" t="s">
        <v>1873</v>
      </c>
      <c r="G96" s="160"/>
      <c r="H96" s="160"/>
      <c r="I96" s="160"/>
      <c r="J96" s="160"/>
      <c r="K96" s="160"/>
      <c r="L96" s="26"/>
      <c r="M96" s="134"/>
      <c r="T96" s="50"/>
      <c r="AT96" s="14" t="s">
        <v>145</v>
      </c>
      <c r="AU96" s="14" t="s">
        <v>19</v>
      </c>
    </row>
    <row r="97" spans="2:65" s="11" customFormat="1">
      <c r="B97" s="136"/>
      <c r="C97" s="164"/>
      <c r="D97" s="161" t="s">
        <v>147</v>
      </c>
      <c r="E97" s="165" t="s">
        <v>1889</v>
      </c>
      <c r="F97" s="166" t="s">
        <v>1890</v>
      </c>
      <c r="G97" s="164"/>
      <c r="H97" s="167">
        <v>69.3</v>
      </c>
      <c r="I97" s="164"/>
      <c r="J97" s="164"/>
      <c r="K97" s="164"/>
      <c r="L97" s="136"/>
      <c r="M97" s="140"/>
      <c r="T97" s="141"/>
      <c r="AT97" s="137" t="s">
        <v>147</v>
      </c>
      <c r="AU97" s="137" t="s">
        <v>19</v>
      </c>
      <c r="AV97" s="11" t="s">
        <v>149</v>
      </c>
      <c r="AW97" s="11" t="s">
        <v>39</v>
      </c>
      <c r="AX97" s="11" t="s">
        <v>19</v>
      </c>
      <c r="AY97" s="137" t="s">
        <v>136</v>
      </c>
    </row>
    <row r="98" spans="2:65" s="1" customFormat="1" ht="24.15" customHeight="1">
      <c r="B98" s="119"/>
      <c r="C98" s="154" t="s">
        <v>499</v>
      </c>
      <c r="D98" s="154" t="s">
        <v>137</v>
      </c>
      <c r="E98" s="155" t="s">
        <v>1891</v>
      </c>
      <c r="F98" s="156" t="s">
        <v>1892</v>
      </c>
      <c r="G98" s="157" t="s">
        <v>673</v>
      </c>
      <c r="H98" s="158">
        <v>6.93</v>
      </c>
      <c r="I98" s="159">
        <v>0</v>
      </c>
      <c r="J98" s="159">
        <f>ROUND(I98*H98,2)</f>
        <v>0</v>
      </c>
      <c r="K98" s="156" t="s">
        <v>141</v>
      </c>
      <c r="L98" s="26"/>
      <c r="M98" s="126" t="s">
        <v>1</v>
      </c>
      <c r="N98" s="127" t="s">
        <v>46</v>
      </c>
      <c r="O98" s="128">
        <v>0</v>
      </c>
      <c r="P98" s="128">
        <f>O98*H98</f>
        <v>0</v>
      </c>
      <c r="Q98" s="128">
        <v>0</v>
      </c>
      <c r="R98" s="128">
        <f>Q98*H98</f>
        <v>0</v>
      </c>
      <c r="S98" s="128">
        <v>0</v>
      </c>
      <c r="T98" s="129">
        <f>S98*H98</f>
        <v>0</v>
      </c>
      <c r="AR98" s="130" t="s">
        <v>135</v>
      </c>
      <c r="AT98" s="130" t="s">
        <v>137</v>
      </c>
      <c r="AU98" s="130" t="s">
        <v>19</v>
      </c>
      <c r="AY98" s="14" t="s">
        <v>136</v>
      </c>
      <c r="BE98" s="131">
        <f>IF(N98="základní",J98,0)</f>
        <v>0</v>
      </c>
      <c r="BF98" s="131">
        <f>IF(N98="snížená",J98,0)</f>
        <v>0</v>
      </c>
      <c r="BG98" s="131">
        <f>IF(N98="zákl. přenesená",J98,0)</f>
        <v>0</v>
      </c>
      <c r="BH98" s="131">
        <f>IF(N98="sníž. přenesená",J98,0)</f>
        <v>0</v>
      </c>
      <c r="BI98" s="131">
        <f>IF(N98="nulová",J98,0)</f>
        <v>0</v>
      </c>
      <c r="BJ98" s="14" t="s">
        <v>19</v>
      </c>
      <c r="BK98" s="131">
        <f>ROUND(I98*H98,2)</f>
        <v>0</v>
      </c>
      <c r="BL98" s="14" t="s">
        <v>135</v>
      </c>
      <c r="BM98" s="130" t="s">
        <v>1893</v>
      </c>
    </row>
    <row r="99" spans="2:65" s="1" customFormat="1">
      <c r="B99" s="26"/>
      <c r="C99" s="160"/>
      <c r="D99" s="161" t="s">
        <v>143</v>
      </c>
      <c r="E99" s="160"/>
      <c r="F99" s="162" t="s">
        <v>1894</v>
      </c>
      <c r="G99" s="160"/>
      <c r="H99" s="160"/>
      <c r="I99" s="160"/>
      <c r="J99" s="160"/>
      <c r="K99" s="160"/>
      <c r="L99" s="26"/>
      <c r="M99" s="134"/>
      <c r="T99" s="50"/>
      <c r="AT99" s="14" t="s">
        <v>143</v>
      </c>
      <c r="AU99" s="14" t="s">
        <v>19</v>
      </c>
    </row>
    <row r="100" spans="2:65" s="1" customFormat="1" ht="220.8">
      <c r="B100" s="26"/>
      <c r="C100" s="160"/>
      <c r="D100" s="161" t="s">
        <v>145</v>
      </c>
      <c r="E100" s="160"/>
      <c r="F100" s="163" t="s">
        <v>1895</v>
      </c>
      <c r="G100" s="160"/>
      <c r="H100" s="160"/>
      <c r="I100" s="160"/>
      <c r="J100" s="160"/>
      <c r="K100" s="160"/>
      <c r="L100" s="26"/>
      <c r="M100" s="134"/>
      <c r="T100" s="50"/>
      <c r="AT100" s="14" t="s">
        <v>145</v>
      </c>
      <c r="AU100" s="14" t="s">
        <v>19</v>
      </c>
    </row>
    <row r="101" spans="2:65" s="11" customFormat="1">
      <c r="B101" s="136"/>
      <c r="C101" s="164"/>
      <c r="D101" s="161" t="s">
        <v>147</v>
      </c>
      <c r="E101" s="165" t="s">
        <v>1896</v>
      </c>
      <c r="F101" s="166" t="s">
        <v>1897</v>
      </c>
      <c r="G101" s="164"/>
      <c r="H101" s="167">
        <v>6.93</v>
      </c>
      <c r="I101" s="164"/>
      <c r="J101" s="164"/>
      <c r="K101" s="164"/>
      <c r="L101" s="136"/>
      <c r="M101" s="140"/>
      <c r="T101" s="141"/>
      <c r="AT101" s="137" t="s">
        <v>147</v>
      </c>
      <c r="AU101" s="137" t="s">
        <v>19</v>
      </c>
      <c r="AV101" s="11" t="s">
        <v>149</v>
      </c>
      <c r="AW101" s="11" t="s">
        <v>39</v>
      </c>
      <c r="AX101" s="11" t="s">
        <v>19</v>
      </c>
      <c r="AY101" s="137" t="s">
        <v>136</v>
      </c>
    </row>
    <row r="102" spans="2:65" s="1" customFormat="1" ht="24.15" customHeight="1">
      <c r="B102" s="119"/>
      <c r="C102" s="154" t="s">
        <v>506</v>
      </c>
      <c r="D102" s="154" t="s">
        <v>137</v>
      </c>
      <c r="E102" s="155" t="s">
        <v>1898</v>
      </c>
      <c r="F102" s="156" t="s">
        <v>1899</v>
      </c>
      <c r="G102" s="157" t="s">
        <v>216</v>
      </c>
      <c r="H102" s="158">
        <v>53.06</v>
      </c>
      <c r="I102" s="159">
        <v>0</v>
      </c>
      <c r="J102" s="159">
        <f>ROUND(I102*H102,2)</f>
        <v>0</v>
      </c>
      <c r="K102" s="156" t="s">
        <v>141</v>
      </c>
      <c r="L102" s="26"/>
      <c r="M102" s="126" t="s">
        <v>1</v>
      </c>
      <c r="N102" s="127" t="s">
        <v>46</v>
      </c>
      <c r="O102" s="128">
        <v>0</v>
      </c>
      <c r="P102" s="128">
        <f>O102*H102</f>
        <v>0</v>
      </c>
      <c r="Q102" s="128">
        <v>0</v>
      </c>
      <c r="R102" s="128">
        <f>Q102*H102</f>
        <v>0</v>
      </c>
      <c r="S102" s="128">
        <v>0</v>
      </c>
      <c r="T102" s="129">
        <f>S102*H102</f>
        <v>0</v>
      </c>
      <c r="AR102" s="130" t="s">
        <v>135</v>
      </c>
      <c r="AT102" s="130" t="s">
        <v>137</v>
      </c>
      <c r="AU102" s="130" t="s">
        <v>19</v>
      </c>
      <c r="AY102" s="14" t="s">
        <v>136</v>
      </c>
      <c r="BE102" s="131">
        <f>IF(N102="základní",J102,0)</f>
        <v>0</v>
      </c>
      <c r="BF102" s="131">
        <f>IF(N102="snížená",J102,0)</f>
        <v>0</v>
      </c>
      <c r="BG102" s="131">
        <f>IF(N102="zákl. přenesená",J102,0)</f>
        <v>0</v>
      </c>
      <c r="BH102" s="131">
        <f>IF(N102="sníž. přenesená",J102,0)</f>
        <v>0</v>
      </c>
      <c r="BI102" s="131">
        <f>IF(N102="nulová",J102,0)</f>
        <v>0</v>
      </c>
      <c r="BJ102" s="14" t="s">
        <v>19</v>
      </c>
      <c r="BK102" s="131">
        <f>ROUND(I102*H102,2)</f>
        <v>0</v>
      </c>
      <c r="BL102" s="14" t="s">
        <v>135</v>
      </c>
      <c r="BM102" s="130" t="s">
        <v>1900</v>
      </c>
    </row>
    <row r="103" spans="2:65" s="1" customFormat="1" ht="19.2">
      <c r="B103" s="26"/>
      <c r="C103" s="160"/>
      <c r="D103" s="161" t="s">
        <v>143</v>
      </c>
      <c r="E103" s="160"/>
      <c r="F103" s="162" t="s">
        <v>1899</v>
      </c>
      <c r="G103" s="160"/>
      <c r="H103" s="160"/>
      <c r="I103" s="160"/>
      <c r="J103" s="160"/>
      <c r="K103" s="160"/>
      <c r="L103" s="26"/>
      <c r="M103" s="134"/>
      <c r="T103" s="50"/>
      <c r="AT103" s="14" t="s">
        <v>143</v>
      </c>
      <c r="AU103" s="14" t="s">
        <v>19</v>
      </c>
    </row>
    <row r="104" spans="2:65" s="1" customFormat="1" ht="297.60000000000002">
      <c r="B104" s="26"/>
      <c r="C104" s="160"/>
      <c r="D104" s="161" t="s">
        <v>145</v>
      </c>
      <c r="E104" s="160"/>
      <c r="F104" s="163" t="s">
        <v>1873</v>
      </c>
      <c r="G104" s="160"/>
      <c r="H104" s="160"/>
      <c r="I104" s="160"/>
      <c r="J104" s="160"/>
      <c r="K104" s="160"/>
      <c r="L104" s="26"/>
      <c r="M104" s="134"/>
      <c r="T104" s="50"/>
      <c r="AT104" s="14" t="s">
        <v>145</v>
      </c>
      <c r="AU104" s="14" t="s">
        <v>19</v>
      </c>
    </row>
    <row r="105" spans="2:65" s="11" customFormat="1">
      <c r="B105" s="136"/>
      <c r="C105" s="164"/>
      <c r="D105" s="161" t="s">
        <v>147</v>
      </c>
      <c r="E105" s="165" t="s">
        <v>1901</v>
      </c>
      <c r="F105" s="166" t="s">
        <v>1902</v>
      </c>
      <c r="G105" s="164"/>
      <c r="H105" s="167">
        <v>1.62</v>
      </c>
      <c r="I105" s="164"/>
      <c r="J105" s="164"/>
      <c r="K105" s="164"/>
      <c r="L105" s="136"/>
      <c r="M105" s="140"/>
      <c r="T105" s="141"/>
      <c r="AT105" s="137" t="s">
        <v>147</v>
      </c>
      <c r="AU105" s="137" t="s">
        <v>19</v>
      </c>
      <c r="AV105" s="11" t="s">
        <v>149</v>
      </c>
      <c r="AW105" s="11" t="s">
        <v>39</v>
      </c>
      <c r="AX105" s="11" t="s">
        <v>81</v>
      </c>
      <c r="AY105" s="137" t="s">
        <v>136</v>
      </c>
    </row>
    <row r="106" spans="2:65" s="11" customFormat="1">
      <c r="B106" s="136"/>
      <c r="C106" s="164"/>
      <c r="D106" s="161" t="s">
        <v>147</v>
      </c>
      <c r="E106" s="165" t="s">
        <v>1903</v>
      </c>
      <c r="F106" s="166" t="s">
        <v>1904</v>
      </c>
      <c r="G106" s="164"/>
      <c r="H106" s="167">
        <v>13.34</v>
      </c>
      <c r="I106" s="164"/>
      <c r="J106" s="164"/>
      <c r="K106" s="164"/>
      <c r="L106" s="136"/>
      <c r="M106" s="140"/>
      <c r="T106" s="141"/>
      <c r="AT106" s="137" t="s">
        <v>147</v>
      </c>
      <c r="AU106" s="137" t="s">
        <v>19</v>
      </c>
      <c r="AV106" s="11" t="s">
        <v>149</v>
      </c>
      <c r="AW106" s="11" t="s">
        <v>39</v>
      </c>
      <c r="AX106" s="11" t="s">
        <v>81</v>
      </c>
      <c r="AY106" s="137" t="s">
        <v>136</v>
      </c>
    </row>
    <row r="107" spans="2:65" s="11" customFormat="1">
      <c r="B107" s="136"/>
      <c r="C107" s="164"/>
      <c r="D107" s="161" t="s">
        <v>147</v>
      </c>
      <c r="E107" s="165" t="s">
        <v>1905</v>
      </c>
      <c r="F107" s="166" t="s">
        <v>1906</v>
      </c>
      <c r="G107" s="164"/>
      <c r="H107" s="167">
        <v>38.1</v>
      </c>
      <c r="I107" s="164"/>
      <c r="J107" s="164"/>
      <c r="K107" s="164"/>
      <c r="L107" s="136"/>
      <c r="M107" s="140"/>
      <c r="T107" s="141"/>
      <c r="AT107" s="137" t="s">
        <v>147</v>
      </c>
      <c r="AU107" s="137" t="s">
        <v>19</v>
      </c>
      <c r="AV107" s="11" t="s">
        <v>149</v>
      </c>
      <c r="AW107" s="11" t="s">
        <v>39</v>
      </c>
      <c r="AX107" s="11" t="s">
        <v>81</v>
      </c>
      <c r="AY107" s="137" t="s">
        <v>136</v>
      </c>
    </row>
    <row r="108" spans="2:65" s="11" customFormat="1">
      <c r="B108" s="136"/>
      <c r="C108" s="164"/>
      <c r="D108" s="161" t="s">
        <v>147</v>
      </c>
      <c r="E108" s="165" t="s">
        <v>1</v>
      </c>
      <c r="F108" s="166" t="s">
        <v>1907</v>
      </c>
      <c r="G108" s="164"/>
      <c r="H108" s="167">
        <v>53.06</v>
      </c>
      <c r="I108" s="164"/>
      <c r="J108" s="164"/>
      <c r="K108" s="164"/>
      <c r="L108" s="136"/>
      <c r="M108" s="140"/>
      <c r="T108" s="141"/>
      <c r="AT108" s="137" t="s">
        <v>147</v>
      </c>
      <c r="AU108" s="137" t="s">
        <v>19</v>
      </c>
      <c r="AV108" s="11" t="s">
        <v>149</v>
      </c>
      <c r="AW108" s="11" t="s">
        <v>39</v>
      </c>
      <c r="AX108" s="11" t="s">
        <v>19</v>
      </c>
      <c r="AY108" s="137" t="s">
        <v>136</v>
      </c>
    </row>
    <row r="109" spans="2:65" s="1" customFormat="1" ht="21.75" customHeight="1">
      <c r="B109" s="119"/>
      <c r="C109" s="154" t="s">
        <v>520</v>
      </c>
      <c r="D109" s="154" t="s">
        <v>137</v>
      </c>
      <c r="E109" s="155" t="s">
        <v>1908</v>
      </c>
      <c r="F109" s="156" t="s">
        <v>1909</v>
      </c>
      <c r="G109" s="157" t="s">
        <v>216</v>
      </c>
      <c r="H109" s="158">
        <v>16.567</v>
      </c>
      <c r="I109" s="159">
        <v>0</v>
      </c>
      <c r="J109" s="159">
        <f>ROUND(I109*H109,2)</f>
        <v>0</v>
      </c>
      <c r="K109" s="156" t="s">
        <v>141</v>
      </c>
      <c r="L109" s="26"/>
      <c r="M109" s="126" t="s">
        <v>1</v>
      </c>
      <c r="N109" s="127" t="s">
        <v>46</v>
      </c>
      <c r="O109" s="128">
        <v>0</v>
      </c>
      <c r="P109" s="128">
        <f>O109*H109</f>
        <v>0</v>
      </c>
      <c r="Q109" s="128">
        <v>0</v>
      </c>
      <c r="R109" s="128">
        <f>Q109*H109</f>
        <v>0</v>
      </c>
      <c r="S109" s="128">
        <v>0</v>
      </c>
      <c r="T109" s="129">
        <f>S109*H109</f>
        <v>0</v>
      </c>
      <c r="AR109" s="130" t="s">
        <v>135</v>
      </c>
      <c r="AT109" s="130" t="s">
        <v>137</v>
      </c>
      <c r="AU109" s="130" t="s">
        <v>19</v>
      </c>
      <c r="AY109" s="14" t="s">
        <v>136</v>
      </c>
      <c r="BE109" s="131">
        <f>IF(N109="základní",J109,0)</f>
        <v>0</v>
      </c>
      <c r="BF109" s="131">
        <f>IF(N109="snížená",J109,0)</f>
        <v>0</v>
      </c>
      <c r="BG109" s="131">
        <f>IF(N109="zákl. přenesená",J109,0)</f>
        <v>0</v>
      </c>
      <c r="BH109" s="131">
        <f>IF(N109="sníž. přenesená",J109,0)</f>
        <v>0</v>
      </c>
      <c r="BI109" s="131">
        <f>IF(N109="nulová",J109,0)</f>
        <v>0</v>
      </c>
      <c r="BJ109" s="14" t="s">
        <v>19</v>
      </c>
      <c r="BK109" s="131">
        <f>ROUND(I109*H109,2)</f>
        <v>0</v>
      </c>
      <c r="BL109" s="14" t="s">
        <v>135</v>
      </c>
      <c r="BM109" s="130" t="s">
        <v>1910</v>
      </c>
    </row>
    <row r="110" spans="2:65" s="1" customFormat="1">
      <c r="B110" s="26"/>
      <c r="C110" s="160"/>
      <c r="D110" s="161" t="s">
        <v>143</v>
      </c>
      <c r="E110" s="160"/>
      <c r="F110" s="162" t="s">
        <v>1911</v>
      </c>
      <c r="G110" s="160"/>
      <c r="H110" s="160"/>
      <c r="I110" s="160"/>
      <c r="J110" s="160"/>
      <c r="K110" s="160"/>
      <c r="L110" s="26"/>
      <c r="M110" s="134"/>
      <c r="T110" s="50"/>
      <c r="AT110" s="14" t="s">
        <v>143</v>
      </c>
      <c r="AU110" s="14" t="s">
        <v>19</v>
      </c>
    </row>
    <row r="111" spans="2:65" s="1" customFormat="1" ht="297.60000000000002">
      <c r="B111" s="26"/>
      <c r="C111" s="160"/>
      <c r="D111" s="161" t="s">
        <v>145</v>
      </c>
      <c r="E111" s="160"/>
      <c r="F111" s="163" t="s">
        <v>1873</v>
      </c>
      <c r="G111" s="160"/>
      <c r="H111" s="160"/>
      <c r="I111" s="160"/>
      <c r="J111" s="160"/>
      <c r="K111" s="160"/>
      <c r="L111" s="26"/>
      <c r="M111" s="134"/>
      <c r="T111" s="50"/>
      <c r="AT111" s="14" t="s">
        <v>145</v>
      </c>
      <c r="AU111" s="14" t="s">
        <v>19</v>
      </c>
    </row>
    <row r="112" spans="2:65" s="11" customFormat="1">
      <c r="B112" s="136"/>
      <c r="C112" s="164"/>
      <c r="D112" s="161" t="s">
        <v>147</v>
      </c>
      <c r="E112" s="165" t="s">
        <v>1912</v>
      </c>
      <c r="F112" s="166" t="s">
        <v>1913</v>
      </c>
      <c r="G112" s="164"/>
      <c r="H112" s="167">
        <v>16.567</v>
      </c>
      <c r="I112" s="164"/>
      <c r="J112" s="164"/>
      <c r="K112" s="164"/>
      <c r="L112" s="136"/>
      <c r="M112" s="140"/>
      <c r="T112" s="141"/>
      <c r="AT112" s="137" t="s">
        <v>147</v>
      </c>
      <c r="AU112" s="137" t="s">
        <v>19</v>
      </c>
      <c r="AV112" s="11" t="s">
        <v>149</v>
      </c>
      <c r="AW112" s="11" t="s">
        <v>39</v>
      </c>
      <c r="AX112" s="11" t="s">
        <v>19</v>
      </c>
      <c r="AY112" s="137" t="s">
        <v>136</v>
      </c>
    </row>
    <row r="113" spans="2:65" s="1" customFormat="1" ht="24.15" customHeight="1">
      <c r="B113" s="119"/>
      <c r="C113" s="154" t="s">
        <v>526</v>
      </c>
      <c r="D113" s="154" t="s">
        <v>137</v>
      </c>
      <c r="E113" s="155" t="s">
        <v>1914</v>
      </c>
      <c r="F113" s="156" t="s">
        <v>1915</v>
      </c>
      <c r="G113" s="157" t="s">
        <v>216</v>
      </c>
      <c r="H113" s="158">
        <v>27.42</v>
      </c>
      <c r="I113" s="159">
        <v>0</v>
      </c>
      <c r="J113" s="159">
        <f>ROUND(I113*H113,2)</f>
        <v>0</v>
      </c>
      <c r="K113" s="156" t="s">
        <v>141</v>
      </c>
      <c r="L113" s="26"/>
      <c r="M113" s="126" t="s">
        <v>1</v>
      </c>
      <c r="N113" s="127" t="s">
        <v>46</v>
      </c>
      <c r="O113" s="128">
        <v>0</v>
      </c>
      <c r="P113" s="128">
        <f>O113*H113</f>
        <v>0</v>
      </c>
      <c r="Q113" s="128">
        <v>0</v>
      </c>
      <c r="R113" s="128">
        <f>Q113*H113</f>
        <v>0</v>
      </c>
      <c r="S113" s="128">
        <v>0</v>
      </c>
      <c r="T113" s="129">
        <f>S113*H113</f>
        <v>0</v>
      </c>
      <c r="AR113" s="130" t="s">
        <v>135</v>
      </c>
      <c r="AT113" s="130" t="s">
        <v>137</v>
      </c>
      <c r="AU113" s="130" t="s">
        <v>19</v>
      </c>
      <c r="AY113" s="14" t="s">
        <v>136</v>
      </c>
      <c r="BE113" s="131">
        <f>IF(N113="základní",J113,0)</f>
        <v>0</v>
      </c>
      <c r="BF113" s="131">
        <f>IF(N113="snížená",J113,0)</f>
        <v>0</v>
      </c>
      <c r="BG113" s="131">
        <f>IF(N113="zákl. přenesená",J113,0)</f>
        <v>0</v>
      </c>
      <c r="BH113" s="131">
        <f>IF(N113="sníž. přenesená",J113,0)</f>
        <v>0</v>
      </c>
      <c r="BI113" s="131">
        <f>IF(N113="nulová",J113,0)</f>
        <v>0</v>
      </c>
      <c r="BJ113" s="14" t="s">
        <v>19</v>
      </c>
      <c r="BK113" s="131">
        <f>ROUND(I113*H113,2)</f>
        <v>0</v>
      </c>
      <c r="BL113" s="14" t="s">
        <v>135</v>
      </c>
      <c r="BM113" s="130" t="s">
        <v>1916</v>
      </c>
    </row>
    <row r="114" spans="2:65" s="1" customFormat="1" ht="19.2">
      <c r="B114" s="26"/>
      <c r="C114" s="160"/>
      <c r="D114" s="161" t="s">
        <v>143</v>
      </c>
      <c r="E114" s="160"/>
      <c r="F114" s="162" t="s">
        <v>1917</v>
      </c>
      <c r="G114" s="160"/>
      <c r="H114" s="160"/>
      <c r="I114" s="160"/>
      <c r="J114" s="160"/>
      <c r="K114" s="160"/>
      <c r="L114" s="26"/>
      <c r="M114" s="134"/>
      <c r="T114" s="50"/>
      <c r="AT114" s="14" t="s">
        <v>143</v>
      </c>
      <c r="AU114" s="14" t="s">
        <v>19</v>
      </c>
    </row>
    <row r="115" spans="2:65" s="1" customFormat="1" ht="409.6">
      <c r="B115" s="26"/>
      <c r="C115" s="160"/>
      <c r="D115" s="161" t="s">
        <v>145</v>
      </c>
      <c r="E115" s="160"/>
      <c r="F115" s="163" t="s">
        <v>1918</v>
      </c>
      <c r="G115" s="160"/>
      <c r="H115" s="160"/>
      <c r="I115" s="160"/>
      <c r="J115" s="160"/>
      <c r="K115" s="160"/>
      <c r="L115" s="26"/>
      <c r="M115" s="134"/>
      <c r="T115" s="50"/>
      <c r="AT115" s="14" t="s">
        <v>145</v>
      </c>
      <c r="AU115" s="14" t="s">
        <v>19</v>
      </c>
    </row>
    <row r="116" spans="2:65" s="11" customFormat="1">
      <c r="B116" s="136"/>
      <c r="C116" s="164"/>
      <c r="D116" s="161" t="s">
        <v>147</v>
      </c>
      <c r="E116" s="165" t="s">
        <v>1919</v>
      </c>
      <c r="F116" s="166" t="s">
        <v>1920</v>
      </c>
      <c r="G116" s="164"/>
      <c r="H116" s="167">
        <v>14.5</v>
      </c>
      <c r="I116" s="164"/>
      <c r="J116" s="164"/>
      <c r="K116" s="164"/>
      <c r="L116" s="136"/>
      <c r="M116" s="140"/>
      <c r="T116" s="141"/>
      <c r="AT116" s="137" t="s">
        <v>147</v>
      </c>
      <c r="AU116" s="137" t="s">
        <v>19</v>
      </c>
      <c r="AV116" s="11" t="s">
        <v>149</v>
      </c>
      <c r="AW116" s="11" t="s">
        <v>39</v>
      </c>
      <c r="AX116" s="11" t="s">
        <v>81</v>
      </c>
      <c r="AY116" s="137" t="s">
        <v>136</v>
      </c>
    </row>
    <row r="117" spans="2:65" s="11" customFormat="1">
      <c r="B117" s="136"/>
      <c r="C117" s="164"/>
      <c r="D117" s="161" t="s">
        <v>147</v>
      </c>
      <c r="E117" s="165" t="s">
        <v>1921</v>
      </c>
      <c r="F117" s="166" t="s">
        <v>1922</v>
      </c>
      <c r="G117" s="164"/>
      <c r="H117" s="167">
        <v>12.92</v>
      </c>
      <c r="I117" s="164"/>
      <c r="J117" s="164"/>
      <c r="K117" s="164"/>
      <c r="L117" s="136"/>
      <c r="M117" s="140"/>
      <c r="T117" s="141"/>
      <c r="AT117" s="137" t="s">
        <v>147</v>
      </c>
      <c r="AU117" s="137" t="s">
        <v>19</v>
      </c>
      <c r="AV117" s="11" t="s">
        <v>149</v>
      </c>
      <c r="AW117" s="11" t="s">
        <v>39</v>
      </c>
      <c r="AX117" s="11" t="s">
        <v>81</v>
      </c>
      <c r="AY117" s="137" t="s">
        <v>136</v>
      </c>
    </row>
    <row r="118" spans="2:65" s="11" customFormat="1">
      <c r="B118" s="136"/>
      <c r="C118" s="164"/>
      <c r="D118" s="161" t="s">
        <v>147</v>
      </c>
      <c r="E118" s="165" t="s">
        <v>1</v>
      </c>
      <c r="F118" s="166" t="s">
        <v>1923</v>
      </c>
      <c r="G118" s="164"/>
      <c r="H118" s="167">
        <v>27.42</v>
      </c>
      <c r="I118" s="164"/>
      <c r="J118" s="164"/>
      <c r="K118" s="164"/>
      <c r="L118" s="136"/>
      <c r="M118" s="140"/>
      <c r="T118" s="141"/>
      <c r="AT118" s="137" t="s">
        <v>147</v>
      </c>
      <c r="AU118" s="137" t="s">
        <v>19</v>
      </c>
      <c r="AV118" s="11" t="s">
        <v>149</v>
      </c>
      <c r="AW118" s="11" t="s">
        <v>39</v>
      </c>
      <c r="AX118" s="11" t="s">
        <v>19</v>
      </c>
      <c r="AY118" s="137" t="s">
        <v>136</v>
      </c>
    </row>
    <row r="119" spans="2:65" s="1" customFormat="1" ht="16.5" customHeight="1">
      <c r="B119" s="119"/>
      <c r="C119" s="154" t="s">
        <v>532</v>
      </c>
      <c r="D119" s="154" t="s">
        <v>137</v>
      </c>
      <c r="E119" s="155" t="s">
        <v>1924</v>
      </c>
      <c r="F119" s="156" t="s">
        <v>1925</v>
      </c>
      <c r="G119" s="157" t="s">
        <v>216</v>
      </c>
      <c r="H119" s="158">
        <v>8</v>
      </c>
      <c r="I119" s="159">
        <v>0</v>
      </c>
      <c r="J119" s="159">
        <f>ROUND(I119*H119,2)</f>
        <v>0</v>
      </c>
      <c r="K119" s="156" t="s">
        <v>141</v>
      </c>
      <c r="L119" s="26"/>
      <c r="M119" s="126" t="s">
        <v>1</v>
      </c>
      <c r="N119" s="127" t="s">
        <v>46</v>
      </c>
      <c r="O119" s="128">
        <v>0</v>
      </c>
      <c r="P119" s="128">
        <f>O119*H119</f>
        <v>0</v>
      </c>
      <c r="Q119" s="128">
        <v>0</v>
      </c>
      <c r="R119" s="128">
        <f>Q119*H119</f>
        <v>0</v>
      </c>
      <c r="S119" s="128">
        <v>0</v>
      </c>
      <c r="T119" s="129">
        <f>S119*H119</f>
        <v>0</v>
      </c>
      <c r="AR119" s="130" t="s">
        <v>135</v>
      </c>
      <c r="AT119" s="130" t="s">
        <v>137</v>
      </c>
      <c r="AU119" s="130" t="s">
        <v>19</v>
      </c>
      <c r="AY119" s="14" t="s">
        <v>136</v>
      </c>
      <c r="BE119" s="131">
        <f>IF(N119="základní",J119,0)</f>
        <v>0</v>
      </c>
      <c r="BF119" s="131">
        <f>IF(N119="snížená",J119,0)</f>
        <v>0</v>
      </c>
      <c r="BG119" s="131">
        <f>IF(N119="zákl. přenesená",J119,0)</f>
        <v>0</v>
      </c>
      <c r="BH119" s="131">
        <f>IF(N119="sníž. přenesená",J119,0)</f>
        <v>0</v>
      </c>
      <c r="BI119" s="131">
        <f>IF(N119="nulová",J119,0)</f>
        <v>0</v>
      </c>
      <c r="BJ119" s="14" t="s">
        <v>19</v>
      </c>
      <c r="BK119" s="131">
        <f>ROUND(I119*H119,2)</f>
        <v>0</v>
      </c>
      <c r="BL119" s="14" t="s">
        <v>135</v>
      </c>
      <c r="BM119" s="130" t="s">
        <v>1926</v>
      </c>
    </row>
    <row r="120" spans="2:65" s="1" customFormat="1">
      <c r="B120" s="26"/>
      <c r="C120" s="160"/>
      <c r="D120" s="161" t="s">
        <v>143</v>
      </c>
      <c r="E120" s="160"/>
      <c r="F120" s="162" t="s">
        <v>1927</v>
      </c>
      <c r="G120" s="160"/>
      <c r="H120" s="160"/>
      <c r="I120" s="160"/>
      <c r="J120" s="160"/>
      <c r="K120" s="160"/>
      <c r="L120" s="26"/>
      <c r="M120" s="134"/>
      <c r="T120" s="50"/>
      <c r="AT120" s="14" t="s">
        <v>143</v>
      </c>
      <c r="AU120" s="14" t="s">
        <v>19</v>
      </c>
    </row>
    <row r="121" spans="2:65" s="1" customFormat="1" ht="86.4">
      <c r="B121" s="26"/>
      <c r="C121" s="160"/>
      <c r="D121" s="161" t="s">
        <v>145</v>
      </c>
      <c r="E121" s="160"/>
      <c r="F121" s="163" t="s">
        <v>1928</v>
      </c>
      <c r="G121" s="160"/>
      <c r="H121" s="160"/>
      <c r="I121" s="160"/>
      <c r="J121" s="160"/>
      <c r="K121" s="160"/>
      <c r="L121" s="26"/>
      <c r="M121" s="134"/>
      <c r="T121" s="50"/>
      <c r="AT121" s="14" t="s">
        <v>145</v>
      </c>
      <c r="AU121" s="14" t="s">
        <v>19</v>
      </c>
    </row>
    <row r="122" spans="2:65" s="11" customFormat="1">
      <c r="B122" s="136"/>
      <c r="C122" s="164"/>
      <c r="D122" s="161" t="s">
        <v>147</v>
      </c>
      <c r="E122" s="165" t="s">
        <v>1929</v>
      </c>
      <c r="F122" s="166" t="s">
        <v>1930</v>
      </c>
      <c r="G122" s="164"/>
      <c r="H122" s="167">
        <v>5.7</v>
      </c>
      <c r="I122" s="164"/>
      <c r="J122" s="164"/>
      <c r="K122" s="164"/>
      <c r="L122" s="136"/>
      <c r="M122" s="140"/>
      <c r="T122" s="141"/>
      <c r="AT122" s="137" t="s">
        <v>147</v>
      </c>
      <c r="AU122" s="137" t="s">
        <v>19</v>
      </c>
      <c r="AV122" s="11" t="s">
        <v>149</v>
      </c>
      <c r="AW122" s="11" t="s">
        <v>39</v>
      </c>
      <c r="AX122" s="11" t="s">
        <v>81</v>
      </c>
      <c r="AY122" s="137" t="s">
        <v>136</v>
      </c>
    </row>
    <row r="123" spans="2:65" s="11" customFormat="1">
      <c r="B123" s="136"/>
      <c r="C123" s="164"/>
      <c r="D123" s="161" t="s">
        <v>147</v>
      </c>
      <c r="E123" s="165" t="s">
        <v>1931</v>
      </c>
      <c r="F123" s="166" t="s">
        <v>1932</v>
      </c>
      <c r="G123" s="164"/>
      <c r="H123" s="167">
        <v>2.2999999999999998</v>
      </c>
      <c r="I123" s="164"/>
      <c r="J123" s="164"/>
      <c r="K123" s="164"/>
      <c r="L123" s="136"/>
      <c r="M123" s="140"/>
      <c r="T123" s="141"/>
      <c r="AT123" s="137" t="s">
        <v>147</v>
      </c>
      <c r="AU123" s="137" t="s">
        <v>19</v>
      </c>
      <c r="AV123" s="11" t="s">
        <v>149</v>
      </c>
      <c r="AW123" s="11" t="s">
        <v>39</v>
      </c>
      <c r="AX123" s="11" t="s">
        <v>81</v>
      </c>
      <c r="AY123" s="137" t="s">
        <v>136</v>
      </c>
    </row>
    <row r="124" spans="2:65" s="11" customFormat="1">
      <c r="B124" s="136"/>
      <c r="C124" s="164"/>
      <c r="D124" s="161" t="s">
        <v>147</v>
      </c>
      <c r="E124" s="165" t="s">
        <v>1</v>
      </c>
      <c r="F124" s="166" t="s">
        <v>1933</v>
      </c>
      <c r="G124" s="164"/>
      <c r="H124" s="167">
        <v>8</v>
      </c>
      <c r="I124" s="164"/>
      <c r="J124" s="164"/>
      <c r="K124" s="164"/>
      <c r="L124" s="136"/>
      <c r="M124" s="140"/>
      <c r="T124" s="141"/>
      <c r="AT124" s="137" t="s">
        <v>147</v>
      </c>
      <c r="AU124" s="137" t="s">
        <v>19</v>
      </c>
      <c r="AV124" s="11" t="s">
        <v>149</v>
      </c>
      <c r="AW124" s="11" t="s">
        <v>39</v>
      </c>
      <c r="AX124" s="11" t="s">
        <v>19</v>
      </c>
      <c r="AY124" s="137" t="s">
        <v>136</v>
      </c>
    </row>
    <row r="125" spans="2:65" s="10" customFormat="1" ht="25.95" customHeight="1">
      <c r="B125" s="110"/>
      <c r="D125" s="111" t="s">
        <v>80</v>
      </c>
      <c r="E125" s="112" t="s">
        <v>169</v>
      </c>
      <c r="F125" s="112" t="s">
        <v>546</v>
      </c>
      <c r="J125" s="113" t="e">
        <f>BK125</f>
        <v>#REF!</v>
      </c>
      <c r="L125" s="110"/>
      <c r="M125" s="114"/>
      <c r="P125" s="115" t="e">
        <f>SUM(#REF!)</f>
        <v>#REF!</v>
      </c>
      <c r="R125" s="115" t="e">
        <f>SUM(#REF!)</f>
        <v>#REF!</v>
      </c>
      <c r="T125" s="116" t="e">
        <f>SUM(#REF!)</f>
        <v>#REF!</v>
      </c>
      <c r="AR125" s="111" t="s">
        <v>135</v>
      </c>
      <c r="AT125" s="117" t="s">
        <v>80</v>
      </c>
      <c r="AU125" s="117" t="s">
        <v>81</v>
      </c>
      <c r="AY125" s="111" t="s">
        <v>136</v>
      </c>
      <c r="BK125" s="118" t="e">
        <f>SUM(#REF!)</f>
        <v>#REF!</v>
      </c>
    </row>
    <row r="126" spans="2:65" s="10" customFormat="1" ht="25.95" customHeight="1">
      <c r="B126" s="110"/>
      <c r="D126" s="111" t="s">
        <v>80</v>
      </c>
      <c r="E126" s="112" t="s">
        <v>176</v>
      </c>
      <c r="F126" s="112" t="s">
        <v>1934</v>
      </c>
      <c r="J126" s="113">
        <f>BK126</f>
        <v>0</v>
      </c>
      <c r="L126" s="110"/>
      <c r="M126" s="114"/>
      <c r="P126" s="115">
        <f>SUM(P127:P144)</f>
        <v>0</v>
      </c>
      <c r="R126" s="115">
        <f>SUM(R127:R144)</f>
        <v>0</v>
      </c>
      <c r="T126" s="116">
        <f>SUM(T127:T144)</f>
        <v>0</v>
      </c>
      <c r="AR126" s="111" t="s">
        <v>135</v>
      </c>
      <c r="AT126" s="117" t="s">
        <v>80</v>
      </c>
      <c r="AU126" s="117" t="s">
        <v>81</v>
      </c>
      <c r="AY126" s="111" t="s">
        <v>136</v>
      </c>
      <c r="BK126" s="118">
        <f>SUM(BK127:BK144)</f>
        <v>0</v>
      </c>
    </row>
    <row r="127" spans="2:65" s="1" customFormat="1" ht="24.15" customHeight="1">
      <c r="B127" s="119"/>
      <c r="C127" s="154" t="s">
        <v>632</v>
      </c>
      <c r="D127" s="154" t="s">
        <v>137</v>
      </c>
      <c r="E127" s="155" t="s">
        <v>1935</v>
      </c>
      <c r="F127" s="156" t="s">
        <v>1936</v>
      </c>
      <c r="G127" s="157" t="s">
        <v>260</v>
      </c>
      <c r="H127" s="158">
        <v>114.4</v>
      </c>
      <c r="I127" s="159">
        <v>0</v>
      </c>
      <c r="J127" s="159">
        <f>ROUND(I127*H127,2)</f>
        <v>0</v>
      </c>
      <c r="K127" s="156" t="s">
        <v>141</v>
      </c>
      <c r="L127" s="26"/>
      <c r="M127" s="126" t="s">
        <v>1</v>
      </c>
      <c r="N127" s="127" t="s">
        <v>46</v>
      </c>
      <c r="O127" s="128">
        <v>0</v>
      </c>
      <c r="P127" s="128">
        <f>O127*H127</f>
        <v>0</v>
      </c>
      <c r="Q127" s="128">
        <v>0</v>
      </c>
      <c r="R127" s="128">
        <f>Q127*H127</f>
        <v>0</v>
      </c>
      <c r="S127" s="128">
        <v>0</v>
      </c>
      <c r="T127" s="129">
        <f>S127*H127</f>
        <v>0</v>
      </c>
      <c r="AR127" s="130" t="s">
        <v>135</v>
      </c>
      <c r="AT127" s="130" t="s">
        <v>137</v>
      </c>
      <c r="AU127" s="130" t="s">
        <v>19</v>
      </c>
      <c r="AY127" s="14" t="s">
        <v>136</v>
      </c>
      <c r="BE127" s="131">
        <f>IF(N127="základní",J127,0)</f>
        <v>0</v>
      </c>
      <c r="BF127" s="131">
        <f>IF(N127="snížená",J127,0)</f>
        <v>0</v>
      </c>
      <c r="BG127" s="131">
        <f>IF(N127="zákl. přenesená",J127,0)</f>
        <v>0</v>
      </c>
      <c r="BH127" s="131">
        <f>IF(N127="sníž. přenesená",J127,0)</f>
        <v>0</v>
      </c>
      <c r="BI127" s="131">
        <f>IF(N127="nulová",J127,0)</f>
        <v>0</v>
      </c>
      <c r="BJ127" s="14" t="s">
        <v>19</v>
      </c>
      <c r="BK127" s="131">
        <f>ROUND(I127*H127,2)</f>
        <v>0</v>
      </c>
      <c r="BL127" s="14" t="s">
        <v>135</v>
      </c>
      <c r="BM127" s="130" t="s">
        <v>1937</v>
      </c>
    </row>
    <row r="128" spans="2:65" s="1" customFormat="1" ht="28.8">
      <c r="B128" s="26"/>
      <c r="C128" s="160"/>
      <c r="D128" s="161" t="s">
        <v>143</v>
      </c>
      <c r="E128" s="160"/>
      <c r="F128" s="162" t="s">
        <v>1938</v>
      </c>
      <c r="G128" s="160"/>
      <c r="H128" s="160"/>
      <c r="I128" s="160"/>
      <c r="J128" s="160"/>
      <c r="K128" s="160"/>
      <c r="L128" s="26"/>
      <c r="M128" s="134"/>
      <c r="T128" s="50"/>
      <c r="AT128" s="14" t="s">
        <v>143</v>
      </c>
      <c r="AU128" s="14" t="s">
        <v>19</v>
      </c>
    </row>
    <row r="129" spans="2:65" s="1" customFormat="1" ht="57.6">
      <c r="B129" s="26"/>
      <c r="C129" s="160"/>
      <c r="D129" s="161" t="s">
        <v>145</v>
      </c>
      <c r="E129" s="160"/>
      <c r="F129" s="163" t="s">
        <v>1939</v>
      </c>
      <c r="G129" s="160"/>
      <c r="H129" s="160"/>
      <c r="I129" s="160"/>
      <c r="J129" s="160"/>
      <c r="K129" s="160"/>
      <c r="L129" s="26"/>
      <c r="M129" s="134"/>
      <c r="T129" s="50"/>
      <c r="AT129" s="14" t="s">
        <v>145</v>
      </c>
      <c r="AU129" s="14" t="s">
        <v>19</v>
      </c>
    </row>
    <row r="130" spans="2:65" s="11" customFormat="1">
      <c r="B130" s="136"/>
      <c r="C130" s="164"/>
      <c r="D130" s="161" t="s">
        <v>147</v>
      </c>
      <c r="E130" s="165" t="s">
        <v>1940</v>
      </c>
      <c r="F130" s="166" t="s">
        <v>1941</v>
      </c>
      <c r="G130" s="164"/>
      <c r="H130" s="167">
        <v>114.4</v>
      </c>
      <c r="I130" s="164"/>
      <c r="J130" s="164"/>
      <c r="K130" s="164"/>
      <c r="L130" s="136"/>
      <c r="M130" s="140"/>
      <c r="T130" s="141"/>
      <c r="AT130" s="137" t="s">
        <v>147</v>
      </c>
      <c r="AU130" s="137" t="s">
        <v>19</v>
      </c>
      <c r="AV130" s="11" t="s">
        <v>149</v>
      </c>
      <c r="AW130" s="11" t="s">
        <v>39</v>
      </c>
      <c r="AX130" s="11" t="s">
        <v>19</v>
      </c>
      <c r="AY130" s="137" t="s">
        <v>136</v>
      </c>
    </row>
    <row r="131" spans="2:65" s="1" customFormat="1" ht="24.15" customHeight="1">
      <c r="B131" s="119"/>
      <c r="C131" s="154" t="s">
        <v>639</v>
      </c>
      <c r="D131" s="154" t="s">
        <v>137</v>
      </c>
      <c r="E131" s="155" t="s">
        <v>1942</v>
      </c>
      <c r="F131" s="156" t="s">
        <v>1943</v>
      </c>
      <c r="G131" s="157" t="s">
        <v>260</v>
      </c>
      <c r="H131" s="158">
        <v>28.6</v>
      </c>
      <c r="I131" s="159">
        <v>0</v>
      </c>
      <c r="J131" s="159">
        <f>ROUND(I131*H131,2)</f>
        <v>0</v>
      </c>
      <c r="K131" s="156" t="s">
        <v>141</v>
      </c>
      <c r="L131" s="26"/>
      <c r="M131" s="126" t="s">
        <v>1</v>
      </c>
      <c r="N131" s="127" t="s">
        <v>46</v>
      </c>
      <c r="O131" s="128">
        <v>0</v>
      </c>
      <c r="P131" s="128">
        <f>O131*H131</f>
        <v>0</v>
      </c>
      <c r="Q131" s="128">
        <v>0</v>
      </c>
      <c r="R131" s="128">
        <f>Q131*H131</f>
        <v>0</v>
      </c>
      <c r="S131" s="128">
        <v>0</v>
      </c>
      <c r="T131" s="129">
        <f>S131*H131</f>
        <v>0</v>
      </c>
      <c r="AR131" s="130" t="s">
        <v>135</v>
      </c>
      <c r="AT131" s="130" t="s">
        <v>137</v>
      </c>
      <c r="AU131" s="130" t="s">
        <v>19</v>
      </c>
      <c r="AY131" s="14" t="s">
        <v>136</v>
      </c>
      <c r="BE131" s="131">
        <f>IF(N131="základní",J131,0)</f>
        <v>0</v>
      </c>
      <c r="BF131" s="131">
        <f>IF(N131="snížená",J131,0)</f>
        <v>0</v>
      </c>
      <c r="BG131" s="131">
        <f>IF(N131="zákl. přenesená",J131,0)</f>
        <v>0</v>
      </c>
      <c r="BH131" s="131">
        <f>IF(N131="sníž. přenesená",J131,0)</f>
        <v>0</v>
      </c>
      <c r="BI131" s="131">
        <f>IF(N131="nulová",J131,0)</f>
        <v>0</v>
      </c>
      <c r="BJ131" s="14" t="s">
        <v>19</v>
      </c>
      <c r="BK131" s="131">
        <f>ROUND(I131*H131,2)</f>
        <v>0</v>
      </c>
      <c r="BL131" s="14" t="s">
        <v>135</v>
      </c>
      <c r="BM131" s="130" t="s">
        <v>1944</v>
      </c>
    </row>
    <row r="132" spans="2:65" s="1" customFormat="1" ht="19.2">
      <c r="B132" s="26"/>
      <c r="C132" s="160"/>
      <c r="D132" s="161" t="s">
        <v>143</v>
      </c>
      <c r="E132" s="160"/>
      <c r="F132" s="162" t="s">
        <v>1943</v>
      </c>
      <c r="G132" s="160"/>
      <c r="H132" s="160"/>
      <c r="I132" s="160"/>
      <c r="J132" s="160"/>
      <c r="K132" s="160"/>
      <c r="L132" s="26"/>
      <c r="M132" s="134"/>
      <c r="T132" s="50"/>
      <c r="AT132" s="14" t="s">
        <v>143</v>
      </c>
      <c r="AU132" s="14" t="s">
        <v>19</v>
      </c>
    </row>
    <row r="133" spans="2:65" s="1" customFormat="1" ht="57.6">
      <c r="B133" s="26"/>
      <c r="C133" s="160"/>
      <c r="D133" s="161" t="s">
        <v>145</v>
      </c>
      <c r="E133" s="160"/>
      <c r="F133" s="163" t="s">
        <v>1939</v>
      </c>
      <c r="G133" s="160"/>
      <c r="H133" s="160"/>
      <c r="I133" s="160"/>
      <c r="J133" s="160"/>
      <c r="K133" s="160"/>
      <c r="L133" s="26"/>
      <c r="M133" s="134"/>
      <c r="T133" s="50"/>
      <c r="AT133" s="14" t="s">
        <v>145</v>
      </c>
      <c r="AU133" s="14" t="s">
        <v>19</v>
      </c>
    </row>
    <row r="134" spans="2:65" s="11" customFormat="1">
      <c r="B134" s="136"/>
      <c r="C134" s="164"/>
      <c r="D134" s="161" t="s">
        <v>147</v>
      </c>
      <c r="E134" s="165" t="s">
        <v>1945</v>
      </c>
      <c r="F134" s="166" t="s">
        <v>1946</v>
      </c>
      <c r="G134" s="164"/>
      <c r="H134" s="167">
        <v>28.6</v>
      </c>
      <c r="I134" s="164"/>
      <c r="J134" s="164"/>
      <c r="K134" s="164"/>
      <c r="L134" s="136"/>
      <c r="M134" s="140"/>
      <c r="T134" s="141"/>
      <c r="AT134" s="137" t="s">
        <v>147</v>
      </c>
      <c r="AU134" s="137" t="s">
        <v>19</v>
      </c>
      <c r="AV134" s="11" t="s">
        <v>149</v>
      </c>
      <c r="AW134" s="11" t="s">
        <v>39</v>
      </c>
      <c r="AX134" s="11" t="s">
        <v>19</v>
      </c>
      <c r="AY134" s="137" t="s">
        <v>136</v>
      </c>
    </row>
    <row r="135" spans="2:65" s="1" customFormat="1" ht="24.15" customHeight="1">
      <c r="B135" s="119"/>
      <c r="C135" s="154" t="s">
        <v>647</v>
      </c>
      <c r="D135" s="154" t="s">
        <v>137</v>
      </c>
      <c r="E135" s="155" t="s">
        <v>1947</v>
      </c>
      <c r="F135" s="156" t="s">
        <v>1948</v>
      </c>
      <c r="G135" s="157" t="s">
        <v>260</v>
      </c>
      <c r="H135" s="158">
        <v>149.6</v>
      </c>
      <c r="I135" s="159">
        <v>0</v>
      </c>
      <c r="J135" s="159">
        <f>ROUND(I135*H135,2)</f>
        <v>0</v>
      </c>
      <c r="K135" s="156" t="s">
        <v>141</v>
      </c>
      <c r="L135" s="26"/>
      <c r="M135" s="126" t="s">
        <v>1</v>
      </c>
      <c r="N135" s="127" t="s">
        <v>46</v>
      </c>
      <c r="O135" s="128">
        <v>0</v>
      </c>
      <c r="P135" s="128">
        <f>O135*H135</f>
        <v>0</v>
      </c>
      <c r="Q135" s="128">
        <v>0</v>
      </c>
      <c r="R135" s="128">
        <f>Q135*H135</f>
        <v>0</v>
      </c>
      <c r="S135" s="128">
        <v>0</v>
      </c>
      <c r="T135" s="129">
        <f>S135*H135</f>
        <v>0</v>
      </c>
      <c r="AR135" s="130" t="s">
        <v>135</v>
      </c>
      <c r="AT135" s="130" t="s">
        <v>137</v>
      </c>
      <c r="AU135" s="130" t="s">
        <v>19</v>
      </c>
      <c r="AY135" s="14" t="s">
        <v>136</v>
      </c>
      <c r="BE135" s="131">
        <f>IF(N135="základní",J135,0)</f>
        <v>0</v>
      </c>
      <c r="BF135" s="131">
        <f>IF(N135="snížená",J135,0)</f>
        <v>0</v>
      </c>
      <c r="BG135" s="131">
        <f>IF(N135="zákl. přenesená",J135,0)</f>
        <v>0</v>
      </c>
      <c r="BH135" s="131">
        <f>IF(N135="sníž. přenesená",J135,0)</f>
        <v>0</v>
      </c>
      <c r="BI135" s="131">
        <f>IF(N135="nulová",J135,0)</f>
        <v>0</v>
      </c>
      <c r="BJ135" s="14" t="s">
        <v>19</v>
      </c>
      <c r="BK135" s="131">
        <f>ROUND(I135*H135,2)</f>
        <v>0</v>
      </c>
      <c r="BL135" s="14" t="s">
        <v>135</v>
      </c>
      <c r="BM135" s="130" t="s">
        <v>1949</v>
      </c>
    </row>
    <row r="136" spans="2:65" s="1" customFormat="1" ht="28.8">
      <c r="B136" s="26"/>
      <c r="C136" s="160"/>
      <c r="D136" s="161" t="s">
        <v>143</v>
      </c>
      <c r="E136" s="160"/>
      <c r="F136" s="162" t="s">
        <v>1950</v>
      </c>
      <c r="G136" s="160"/>
      <c r="H136" s="160"/>
      <c r="I136" s="160"/>
      <c r="J136" s="160"/>
      <c r="K136" s="160"/>
      <c r="L136" s="26"/>
      <c r="M136" s="134"/>
      <c r="T136" s="50"/>
      <c r="AT136" s="14" t="s">
        <v>143</v>
      </c>
      <c r="AU136" s="14" t="s">
        <v>19</v>
      </c>
    </row>
    <row r="137" spans="2:65" s="1" customFormat="1" ht="57.6">
      <c r="B137" s="26"/>
      <c r="C137" s="160"/>
      <c r="D137" s="161" t="s">
        <v>145</v>
      </c>
      <c r="E137" s="160"/>
      <c r="F137" s="163" t="s">
        <v>1939</v>
      </c>
      <c r="G137" s="160"/>
      <c r="H137" s="160"/>
      <c r="I137" s="160"/>
      <c r="J137" s="160"/>
      <c r="K137" s="160"/>
      <c r="L137" s="26"/>
      <c r="M137" s="134"/>
      <c r="T137" s="50"/>
      <c r="AT137" s="14" t="s">
        <v>145</v>
      </c>
      <c r="AU137" s="14" t="s">
        <v>19</v>
      </c>
    </row>
    <row r="138" spans="2:65" s="11" customFormat="1">
      <c r="B138" s="136"/>
      <c r="C138" s="164"/>
      <c r="D138" s="161" t="s">
        <v>147</v>
      </c>
      <c r="E138" s="165" t="s">
        <v>1951</v>
      </c>
      <c r="F138" s="166" t="s">
        <v>1952</v>
      </c>
      <c r="G138" s="164"/>
      <c r="H138" s="167">
        <v>77</v>
      </c>
      <c r="I138" s="164"/>
      <c r="J138" s="164"/>
      <c r="K138" s="164"/>
      <c r="L138" s="136"/>
      <c r="M138" s="140"/>
      <c r="T138" s="141"/>
      <c r="AT138" s="137" t="s">
        <v>147</v>
      </c>
      <c r="AU138" s="137" t="s">
        <v>19</v>
      </c>
      <c r="AV138" s="11" t="s">
        <v>149</v>
      </c>
      <c r="AW138" s="11" t="s">
        <v>39</v>
      </c>
      <c r="AX138" s="11" t="s">
        <v>81</v>
      </c>
      <c r="AY138" s="137" t="s">
        <v>136</v>
      </c>
    </row>
    <row r="139" spans="2:65" s="11" customFormat="1">
      <c r="B139" s="136"/>
      <c r="C139" s="164"/>
      <c r="D139" s="161" t="s">
        <v>147</v>
      </c>
      <c r="E139" s="165" t="s">
        <v>1953</v>
      </c>
      <c r="F139" s="166" t="s">
        <v>1954</v>
      </c>
      <c r="G139" s="164"/>
      <c r="H139" s="167">
        <v>72.599999999999994</v>
      </c>
      <c r="I139" s="164"/>
      <c r="J139" s="164"/>
      <c r="K139" s="164"/>
      <c r="L139" s="136"/>
      <c r="M139" s="140"/>
      <c r="T139" s="141"/>
      <c r="AT139" s="137" t="s">
        <v>147</v>
      </c>
      <c r="AU139" s="137" t="s">
        <v>19</v>
      </c>
      <c r="AV139" s="11" t="s">
        <v>149</v>
      </c>
      <c r="AW139" s="11" t="s">
        <v>39</v>
      </c>
      <c r="AX139" s="11" t="s">
        <v>81</v>
      </c>
      <c r="AY139" s="137" t="s">
        <v>136</v>
      </c>
    </row>
    <row r="140" spans="2:65" s="11" customFormat="1">
      <c r="B140" s="136"/>
      <c r="C140" s="164"/>
      <c r="D140" s="161" t="s">
        <v>147</v>
      </c>
      <c r="E140" s="165" t="s">
        <v>1</v>
      </c>
      <c r="F140" s="166" t="s">
        <v>1955</v>
      </c>
      <c r="G140" s="164"/>
      <c r="H140" s="167">
        <v>149.6</v>
      </c>
      <c r="I140" s="164"/>
      <c r="J140" s="164"/>
      <c r="K140" s="164"/>
      <c r="L140" s="136"/>
      <c r="M140" s="140"/>
      <c r="T140" s="141"/>
      <c r="AT140" s="137" t="s">
        <v>147</v>
      </c>
      <c r="AU140" s="137" t="s">
        <v>19</v>
      </c>
      <c r="AV140" s="11" t="s">
        <v>149</v>
      </c>
      <c r="AW140" s="11" t="s">
        <v>39</v>
      </c>
      <c r="AX140" s="11" t="s">
        <v>19</v>
      </c>
      <c r="AY140" s="137" t="s">
        <v>136</v>
      </c>
    </row>
    <row r="141" spans="2:65" s="1" customFormat="1" ht="16.5" customHeight="1">
      <c r="B141" s="119"/>
      <c r="C141" s="154" t="s">
        <v>655</v>
      </c>
      <c r="D141" s="154" t="s">
        <v>137</v>
      </c>
      <c r="E141" s="155" t="s">
        <v>1956</v>
      </c>
      <c r="F141" s="156" t="s">
        <v>1957</v>
      </c>
      <c r="G141" s="157" t="s">
        <v>312</v>
      </c>
      <c r="H141" s="158">
        <v>25</v>
      </c>
      <c r="I141" s="159">
        <v>0</v>
      </c>
      <c r="J141" s="159">
        <f>ROUND(I141*H141,2)</f>
        <v>0</v>
      </c>
      <c r="K141" s="156" t="s">
        <v>141</v>
      </c>
      <c r="L141" s="26"/>
      <c r="M141" s="126" t="s">
        <v>1</v>
      </c>
      <c r="N141" s="127" t="s">
        <v>46</v>
      </c>
      <c r="O141" s="128">
        <v>0</v>
      </c>
      <c r="P141" s="128">
        <f>O141*H141</f>
        <v>0</v>
      </c>
      <c r="Q141" s="128">
        <v>0</v>
      </c>
      <c r="R141" s="128">
        <f>Q141*H141</f>
        <v>0</v>
      </c>
      <c r="S141" s="128">
        <v>0</v>
      </c>
      <c r="T141" s="129">
        <f>S141*H141</f>
        <v>0</v>
      </c>
      <c r="AR141" s="130" t="s">
        <v>135</v>
      </c>
      <c r="AT141" s="130" t="s">
        <v>137</v>
      </c>
      <c r="AU141" s="130" t="s">
        <v>19</v>
      </c>
      <c r="AY141" s="14" t="s">
        <v>136</v>
      </c>
      <c r="BE141" s="131">
        <f>IF(N141="základní",J141,0)</f>
        <v>0</v>
      </c>
      <c r="BF141" s="131">
        <f>IF(N141="snížená",J141,0)</f>
        <v>0</v>
      </c>
      <c r="BG141" s="131">
        <f>IF(N141="zákl. přenesená",J141,0)</f>
        <v>0</v>
      </c>
      <c r="BH141" s="131">
        <f>IF(N141="sníž. přenesená",J141,0)</f>
        <v>0</v>
      </c>
      <c r="BI141" s="131">
        <f>IF(N141="nulová",J141,0)</f>
        <v>0</v>
      </c>
      <c r="BJ141" s="14" t="s">
        <v>19</v>
      </c>
      <c r="BK141" s="131">
        <f>ROUND(I141*H141,2)</f>
        <v>0</v>
      </c>
      <c r="BL141" s="14" t="s">
        <v>135</v>
      </c>
      <c r="BM141" s="130" t="s">
        <v>1958</v>
      </c>
    </row>
    <row r="142" spans="2:65" s="1" customFormat="1" ht="76.8">
      <c r="B142" s="26"/>
      <c r="C142" s="160"/>
      <c r="D142" s="161" t="s">
        <v>143</v>
      </c>
      <c r="E142" s="160"/>
      <c r="F142" s="162" t="s">
        <v>1959</v>
      </c>
      <c r="G142" s="160"/>
      <c r="H142" s="160"/>
      <c r="I142" s="160"/>
      <c r="J142" s="160"/>
      <c r="K142" s="160"/>
      <c r="L142" s="26"/>
      <c r="M142" s="134"/>
      <c r="T142" s="50"/>
      <c r="AT142" s="14" t="s">
        <v>143</v>
      </c>
      <c r="AU142" s="14" t="s">
        <v>19</v>
      </c>
    </row>
    <row r="143" spans="2:65" s="1" customFormat="1" ht="48">
      <c r="B143" s="26"/>
      <c r="C143" s="160"/>
      <c r="D143" s="161" t="s">
        <v>145</v>
      </c>
      <c r="E143" s="160"/>
      <c r="F143" s="163" t="s">
        <v>1960</v>
      </c>
      <c r="G143" s="160"/>
      <c r="H143" s="160"/>
      <c r="I143" s="160"/>
      <c r="J143" s="160"/>
      <c r="K143" s="160"/>
      <c r="L143" s="26"/>
      <c r="M143" s="134"/>
      <c r="T143" s="50"/>
      <c r="AT143" s="14" t="s">
        <v>145</v>
      </c>
      <c r="AU143" s="14" t="s">
        <v>19</v>
      </c>
    </row>
    <row r="144" spans="2:65" s="11" customFormat="1">
      <c r="B144" s="136"/>
      <c r="C144" s="164"/>
      <c r="D144" s="161" t="s">
        <v>147</v>
      </c>
      <c r="E144" s="165" t="s">
        <v>1961</v>
      </c>
      <c r="F144" s="166" t="s">
        <v>1962</v>
      </c>
      <c r="G144" s="164"/>
      <c r="H144" s="167">
        <v>25</v>
      </c>
      <c r="I144" s="164"/>
      <c r="J144" s="164"/>
      <c r="K144" s="164"/>
      <c r="L144" s="136"/>
      <c r="M144" s="140"/>
      <c r="T144" s="141"/>
      <c r="AT144" s="137" t="s">
        <v>147</v>
      </c>
      <c r="AU144" s="137" t="s">
        <v>19</v>
      </c>
      <c r="AV144" s="11" t="s">
        <v>149</v>
      </c>
      <c r="AW144" s="11" t="s">
        <v>39</v>
      </c>
      <c r="AX144" s="11" t="s">
        <v>19</v>
      </c>
      <c r="AY144" s="137" t="s">
        <v>136</v>
      </c>
    </row>
    <row r="145" spans="2:65" s="10" customFormat="1" ht="25.95" customHeight="1">
      <c r="B145" s="110"/>
      <c r="D145" s="111" t="s">
        <v>80</v>
      </c>
      <c r="E145" s="112" t="s">
        <v>182</v>
      </c>
      <c r="F145" s="112" t="s">
        <v>654</v>
      </c>
      <c r="J145" s="113">
        <f>BK145</f>
        <v>0</v>
      </c>
      <c r="L145" s="110"/>
      <c r="M145" s="114"/>
      <c r="P145" s="115">
        <f>SUM(P146:P175)</f>
        <v>0</v>
      </c>
      <c r="R145" s="115">
        <f>SUM(R146:R175)</f>
        <v>0</v>
      </c>
      <c r="T145" s="116">
        <f>SUM(T146:T175)</f>
        <v>0</v>
      </c>
      <c r="AR145" s="111" t="s">
        <v>135</v>
      </c>
      <c r="AT145" s="117" t="s">
        <v>80</v>
      </c>
      <c r="AU145" s="117" t="s">
        <v>81</v>
      </c>
      <c r="AY145" s="111" t="s">
        <v>136</v>
      </c>
      <c r="BK145" s="118">
        <f>SUM(BK146:BK175)</f>
        <v>0</v>
      </c>
    </row>
    <row r="146" spans="2:65" s="1" customFormat="1" ht="24.15" customHeight="1">
      <c r="B146" s="119"/>
      <c r="C146" s="154" t="s">
        <v>662</v>
      </c>
      <c r="D146" s="154" t="s">
        <v>137</v>
      </c>
      <c r="E146" s="155" t="s">
        <v>1963</v>
      </c>
      <c r="F146" s="156" t="s">
        <v>1964</v>
      </c>
      <c r="G146" s="157" t="s">
        <v>260</v>
      </c>
      <c r="H146" s="158">
        <v>369.96100000000001</v>
      </c>
      <c r="I146" s="159">
        <v>0</v>
      </c>
      <c r="J146" s="159">
        <f>ROUND(I146*H146,2)</f>
        <v>0</v>
      </c>
      <c r="K146" s="156" t="s">
        <v>141</v>
      </c>
      <c r="L146" s="26"/>
      <c r="M146" s="126" t="s">
        <v>1</v>
      </c>
      <c r="N146" s="127" t="s">
        <v>46</v>
      </c>
      <c r="O146" s="128">
        <v>0</v>
      </c>
      <c r="P146" s="128">
        <f>O146*H146</f>
        <v>0</v>
      </c>
      <c r="Q146" s="128">
        <v>0</v>
      </c>
      <c r="R146" s="128">
        <f>Q146*H146</f>
        <v>0</v>
      </c>
      <c r="S146" s="128">
        <v>0</v>
      </c>
      <c r="T146" s="129">
        <f>S146*H146</f>
        <v>0</v>
      </c>
      <c r="AR146" s="130" t="s">
        <v>135</v>
      </c>
      <c r="AT146" s="130" t="s">
        <v>137</v>
      </c>
      <c r="AU146" s="130" t="s">
        <v>19</v>
      </c>
      <c r="AY146" s="14" t="s">
        <v>136</v>
      </c>
      <c r="BE146" s="131">
        <f>IF(N146="základní",J146,0)</f>
        <v>0</v>
      </c>
      <c r="BF146" s="131">
        <f>IF(N146="snížená",J146,0)</f>
        <v>0</v>
      </c>
      <c r="BG146" s="131">
        <f>IF(N146="zákl. přenesená",J146,0)</f>
        <v>0</v>
      </c>
      <c r="BH146" s="131">
        <f>IF(N146="sníž. přenesená",J146,0)</f>
        <v>0</v>
      </c>
      <c r="BI146" s="131">
        <f>IF(N146="nulová",J146,0)</f>
        <v>0</v>
      </c>
      <c r="BJ146" s="14" t="s">
        <v>19</v>
      </c>
      <c r="BK146" s="131">
        <f>ROUND(I146*H146,2)</f>
        <v>0</v>
      </c>
      <c r="BL146" s="14" t="s">
        <v>135</v>
      </c>
      <c r="BM146" s="130" t="s">
        <v>1965</v>
      </c>
    </row>
    <row r="147" spans="2:65" s="1" customFormat="1" ht="28.8">
      <c r="B147" s="26"/>
      <c r="C147" s="160"/>
      <c r="D147" s="161" t="s">
        <v>143</v>
      </c>
      <c r="E147" s="160"/>
      <c r="F147" s="162" t="s">
        <v>1966</v>
      </c>
      <c r="G147" s="160"/>
      <c r="H147" s="160"/>
      <c r="I147" s="160"/>
      <c r="J147" s="160"/>
      <c r="K147" s="160"/>
      <c r="L147" s="26"/>
      <c r="M147" s="134"/>
      <c r="T147" s="50"/>
      <c r="AT147" s="14" t="s">
        <v>143</v>
      </c>
      <c r="AU147" s="14" t="s">
        <v>19</v>
      </c>
    </row>
    <row r="148" spans="2:65" s="1" customFormat="1" ht="172.8">
      <c r="B148" s="26"/>
      <c r="C148" s="160"/>
      <c r="D148" s="161" t="s">
        <v>145</v>
      </c>
      <c r="E148" s="160"/>
      <c r="F148" s="163" t="s">
        <v>1967</v>
      </c>
      <c r="G148" s="160"/>
      <c r="H148" s="160"/>
      <c r="I148" s="160"/>
      <c r="J148" s="160"/>
      <c r="K148" s="160"/>
      <c r="L148" s="26"/>
      <c r="M148" s="134"/>
      <c r="T148" s="50"/>
      <c r="AT148" s="14" t="s">
        <v>145</v>
      </c>
      <c r="AU148" s="14" t="s">
        <v>19</v>
      </c>
    </row>
    <row r="149" spans="2:65" s="11" customFormat="1">
      <c r="B149" s="136"/>
      <c r="C149" s="164"/>
      <c r="D149" s="161" t="s">
        <v>147</v>
      </c>
      <c r="E149" s="165" t="s">
        <v>1968</v>
      </c>
      <c r="F149" s="166" t="s">
        <v>1969</v>
      </c>
      <c r="G149" s="164"/>
      <c r="H149" s="167">
        <v>99</v>
      </c>
      <c r="I149" s="164"/>
      <c r="J149" s="164"/>
      <c r="K149" s="164"/>
      <c r="L149" s="136"/>
      <c r="M149" s="140"/>
      <c r="T149" s="141"/>
      <c r="AT149" s="137" t="s">
        <v>147</v>
      </c>
      <c r="AU149" s="137" t="s">
        <v>19</v>
      </c>
      <c r="AV149" s="11" t="s">
        <v>149</v>
      </c>
      <c r="AW149" s="11" t="s">
        <v>39</v>
      </c>
      <c r="AX149" s="11" t="s">
        <v>81</v>
      </c>
      <c r="AY149" s="137" t="s">
        <v>136</v>
      </c>
    </row>
    <row r="150" spans="2:65" s="11" customFormat="1">
      <c r="B150" s="136"/>
      <c r="C150" s="164"/>
      <c r="D150" s="161" t="s">
        <v>147</v>
      </c>
      <c r="E150" s="165" t="s">
        <v>1970</v>
      </c>
      <c r="F150" s="166" t="s">
        <v>1971</v>
      </c>
      <c r="G150" s="164"/>
      <c r="H150" s="167">
        <v>213.761</v>
      </c>
      <c r="I150" s="164"/>
      <c r="J150" s="164"/>
      <c r="K150" s="164"/>
      <c r="L150" s="136"/>
      <c r="M150" s="140"/>
      <c r="T150" s="141"/>
      <c r="AT150" s="137" t="s">
        <v>147</v>
      </c>
      <c r="AU150" s="137" t="s">
        <v>19</v>
      </c>
      <c r="AV150" s="11" t="s">
        <v>149</v>
      </c>
      <c r="AW150" s="11" t="s">
        <v>39</v>
      </c>
      <c r="AX150" s="11" t="s">
        <v>81</v>
      </c>
      <c r="AY150" s="137" t="s">
        <v>136</v>
      </c>
    </row>
    <row r="151" spans="2:65" s="11" customFormat="1">
      <c r="B151" s="136"/>
      <c r="C151" s="164"/>
      <c r="D151" s="161" t="s">
        <v>147</v>
      </c>
      <c r="E151" s="165" t="s">
        <v>1972</v>
      </c>
      <c r="F151" s="166" t="s">
        <v>1973</v>
      </c>
      <c r="G151" s="164"/>
      <c r="H151" s="167">
        <v>57.2</v>
      </c>
      <c r="I151" s="164"/>
      <c r="J151" s="164"/>
      <c r="K151" s="164"/>
      <c r="L151" s="136"/>
      <c r="M151" s="140"/>
      <c r="T151" s="141"/>
      <c r="AT151" s="137" t="s">
        <v>147</v>
      </c>
      <c r="AU151" s="137" t="s">
        <v>19</v>
      </c>
      <c r="AV151" s="11" t="s">
        <v>149</v>
      </c>
      <c r="AW151" s="11" t="s">
        <v>39</v>
      </c>
      <c r="AX151" s="11" t="s">
        <v>81</v>
      </c>
      <c r="AY151" s="137" t="s">
        <v>136</v>
      </c>
    </row>
    <row r="152" spans="2:65" s="11" customFormat="1">
      <c r="B152" s="136"/>
      <c r="C152" s="164"/>
      <c r="D152" s="161" t="s">
        <v>147</v>
      </c>
      <c r="E152" s="165" t="s">
        <v>1</v>
      </c>
      <c r="F152" s="166" t="s">
        <v>1974</v>
      </c>
      <c r="G152" s="164"/>
      <c r="H152" s="167">
        <v>369.96100000000001</v>
      </c>
      <c r="I152" s="164"/>
      <c r="J152" s="164"/>
      <c r="K152" s="164"/>
      <c r="L152" s="136"/>
      <c r="M152" s="140"/>
      <c r="T152" s="141"/>
      <c r="AT152" s="137" t="s">
        <v>147</v>
      </c>
      <c r="AU152" s="137" t="s">
        <v>19</v>
      </c>
      <c r="AV152" s="11" t="s">
        <v>149</v>
      </c>
      <c r="AW152" s="11" t="s">
        <v>39</v>
      </c>
      <c r="AX152" s="11" t="s">
        <v>19</v>
      </c>
      <c r="AY152" s="137" t="s">
        <v>136</v>
      </c>
    </row>
    <row r="153" spans="2:65" s="1" customFormat="1" ht="16.5" customHeight="1">
      <c r="B153" s="119"/>
      <c r="C153" s="154" t="s">
        <v>670</v>
      </c>
      <c r="D153" s="154" t="s">
        <v>137</v>
      </c>
      <c r="E153" s="155" t="s">
        <v>1975</v>
      </c>
      <c r="F153" s="156" t="s">
        <v>1976</v>
      </c>
      <c r="G153" s="157" t="s">
        <v>260</v>
      </c>
      <c r="H153" s="158">
        <v>383.2</v>
      </c>
      <c r="I153" s="159">
        <v>0</v>
      </c>
      <c r="J153" s="159">
        <f>ROUND(I153*H153,2)</f>
        <v>0</v>
      </c>
      <c r="K153" s="156" t="s">
        <v>141</v>
      </c>
      <c r="L153" s="26"/>
      <c r="M153" s="126" t="s">
        <v>1</v>
      </c>
      <c r="N153" s="127" t="s">
        <v>46</v>
      </c>
      <c r="O153" s="128">
        <v>0</v>
      </c>
      <c r="P153" s="128">
        <f>O153*H153</f>
        <v>0</v>
      </c>
      <c r="Q153" s="128">
        <v>0</v>
      </c>
      <c r="R153" s="128">
        <f>Q153*H153</f>
        <v>0</v>
      </c>
      <c r="S153" s="128">
        <v>0</v>
      </c>
      <c r="T153" s="129">
        <f>S153*H153</f>
        <v>0</v>
      </c>
      <c r="AR153" s="130" t="s">
        <v>135</v>
      </c>
      <c r="AT153" s="130" t="s">
        <v>137</v>
      </c>
      <c r="AU153" s="130" t="s">
        <v>19</v>
      </c>
      <c r="AY153" s="14" t="s">
        <v>136</v>
      </c>
      <c r="BE153" s="131">
        <f>IF(N153="základní",J153,0)</f>
        <v>0</v>
      </c>
      <c r="BF153" s="131">
        <f>IF(N153="snížená",J153,0)</f>
        <v>0</v>
      </c>
      <c r="BG153" s="131">
        <f>IF(N153="zákl. přenesená",J153,0)</f>
        <v>0</v>
      </c>
      <c r="BH153" s="131">
        <f>IF(N153="sníž. přenesená",J153,0)</f>
        <v>0</v>
      </c>
      <c r="BI153" s="131">
        <f>IF(N153="nulová",J153,0)</f>
        <v>0</v>
      </c>
      <c r="BJ153" s="14" t="s">
        <v>19</v>
      </c>
      <c r="BK153" s="131">
        <f>ROUND(I153*H153,2)</f>
        <v>0</v>
      </c>
      <c r="BL153" s="14" t="s">
        <v>135</v>
      </c>
      <c r="BM153" s="130" t="s">
        <v>1977</v>
      </c>
    </row>
    <row r="154" spans="2:65" s="1" customFormat="1">
      <c r="B154" s="26"/>
      <c r="C154" s="160"/>
      <c r="D154" s="161" t="s">
        <v>143</v>
      </c>
      <c r="E154" s="160"/>
      <c r="F154" s="162" t="s">
        <v>1976</v>
      </c>
      <c r="G154" s="160"/>
      <c r="H154" s="160"/>
      <c r="I154" s="160"/>
      <c r="J154" s="160"/>
      <c r="K154" s="160"/>
      <c r="L154" s="26"/>
      <c r="M154" s="134"/>
      <c r="T154" s="50"/>
      <c r="AT154" s="14" t="s">
        <v>143</v>
      </c>
      <c r="AU154" s="14" t="s">
        <v>19</v>
      </c>
    </row>
    <row r="155" spans="2:65" s="1" customFormat="1" ht="28.8">
      <c r="B155" s="26"/>
      <c r="C155" s="160"/>
      <c r="D155" s="161" t="s">
        <v>145</v>
      </c>
      <c r="E155" s="160"/>
      <c r="F155" s="163" t="s">
        <v>1978</v>
      </c>
      <c r="G155" s="160"/>
      <c r="H155" s="160"/>
      <c r="I155" s="160"/>
      <c r="J155" s="160"/>
      <c r="K155" s="160"/>
      <c r="L155" s="26"/>
      <c r="M155" s="134"/>
      <c r="T155" s="50"/>
      <c r="AT155" s="14" t="s">
        <v>145</v>
      </c>
      <c r="AU155" s="14" t="s">
        <v>19</v>
      </c>
    </row>
    <row r="156" spans="2:65" s="11" customFormat="1" ht="20.399999999999999">
      <c r="B156" s="136"/>
      <c r="C156" s="164"/>
      <c r="D156" s="161" t="s">
        <v>147</v>
      </c>
      <c r="E156" s="165" t="s">
        <v>1979</v>
      </c>
      <c r="F156" s="166" t="s">
        <v>1980</v>
      </c>
      <c r="G156" s="164"/>
      <c r="H156" s="167">
        <v>239.4</v>
      </c>
      <c r="I156" s="164"/>
      <c r="J156" s="164"/>
      <c r="K156" s="164"/>
      <c r="L156" s="136"/>
      <c r="M156" s="140"/>
      <c r="T156" s="141"/>
      <c r="AT156" s="137" t="s">
        <v>147</v>
      </c>
      <c r="AU156" s="137" t="s">
        <v>19</v>
      </c>
      <c r="AV156" s="11" t="s">
        <v>149</v>
      </c>
      <c r="AW156" s="11" t="s">
        <v>39</v>
      </c>
      <c r="AX156" s="11" t="s">
        <v>81</v>
      </c>
      <c r="AY156" s="137" t="s">
        <v>136</v>
      </c>
    </row>
    <row r="157" spans="2:65" s="11" customFormat="1">
      <c r="B157" s="136"/>
      <c r="C157" s="164"/>
      <c r="D157" s="161" t="s">
        <v>147</v>
      </c>
      <c r="E157" s="165" t="s">
        <v>1981</v>
      </c>
      <c r="F157" s="166" t="s">
        <v>1982</v>
      </c>
      <c r="G157" s="164"/>
      <c r="H157" s="167">
        <v>36.4</v>
      </c>
      <c r="I157" s="164"/>
      <c r="J157" s="164"/>
      <c r="K157" s="164"/>
      <c r="L157" s="136"/>
      <c r="M157" s="140"/>
      <c r="T157" s="141"/>
      <c r="AT157" s="137" t="s">
        <v>147</v>
      </c>
      <c r="AU157" s="137" t="s">
        <v>19</v>
      </c>
      <c r="AV157" s="11" t="s">
        <v>149</v>
      </c>
      <c r="AW157" s="11" t="s">
        <v>39</v>
      </c>
      <c r="AX157" s="11" t="s">
        <v>81</v>
      </c>
      <c r="AY157" s="137" t="s">
        <v>136</v>
      </c>
    </row>
    <row r="158" spans="2:65" s="11" customFormat="1" ht="20.399999999999999">
      <c r="B158" s="136"/>
      <c r="C158" s="164"/>
      <c r="D158" s="161" t="s">
        <v>147</v>
      </c>
      <c r="E158" s="165" t="s">
        <v>1983</v>
      </c>
      <c r="F158" s="166" t="s">
        <v>1984</v>
      </c>
      <c r="G158" s="164"/>
      <c r="H158" s="167">
        <v>107.4</v>
      </c>
      <c r="I158" s="164"/>
      <c r="J158" s="164"/>
      <c r="K158" s="164"/>
      <c r="L158" s="136"/>
      <c r="M158" s="140"/>
      <c r="T158" s="141"/>
      <c r="AT158" s="137" t="s">
        <v>147</v>
      </c>
      <c r="AU158" s="137" t="s">
        <v>19</v>
      </c>
      <c r="AV158" s="11" t="s">
        <v>149</v>
      </c>
      <c r="AW158" s="11" t="s">
        <v>39</v>
      </c>
      <c r="AX158" s="11" t="s">
        <v>81</v>
      </c>
      <c r="AY158" s="137" t="s">
        <v>136</v>
      </c>
    </row>
    <row r="159" spans="2:65" s="11" customFormat="1">
      <c r="B159" s="136"/>
      <c r="C159" s="164"/>
      <c r="D159" s="161" t="s">
        <v>147</v>
      </c>
      <c r="E159" s="165" t="s">
        <v>1</v>
      </c>
      <c r="F159" s="166" t="s">
        <v>1985</v>
      </c>
      <c r="G159" s="164"/>
      <c r="H159" s="167">
        <v>383.2</v>
      </c>
      <c r="I159" s="164"/>
      <c r="J159" s="164"/>
      <c r="K159" s="164"/>
      <c r="L159" s="136"/>
      <c r="M159" s="140"/>
      <c r="T159" s="141"/>
      <c r="AT159" s="137" t="s">
        <v>147</v>
      </c>
      <c r="AU159" s="137" t="s">
        <v>19</v>
      </c>
      <c r="AV159" s="11" t="s">
        <v>149</v>
      </c>
      <c r="AW159" s="11" t="s">
        <v>39</v>
      </c>
      <c r="AX159" s="11" t="s">
        <v>19</v>
      </c>
      <c r="AY159" s="137" t="s">
        <v>136</v>
      </c>
    </row>
    <row r="160" spans="2:65" s="1" customFormat="1" ht="16.5" customHeight="1">
      <c r="B160" s="119"/>
      <c r="C160" s="154" t="s">
        <v>684</v>
      </c>
      <c r="D160" s="154" t="s">
        <v>137</v>
      </c>
      <c r="E160" s="155" t="s">
        <v>1986</v>
      </c>
      <c r="F160" s="156" t="s">
        <v>1987</v>
      </c>
      <c r="G160" s="157" t="s">
        <v>260</v>
      </c>
      <c r="H160" s="158">
        <v>150</v>
      </c>
      <c r="I160" s="159">
        <v>0</v>
      </c>
      <c r="J160" s="159">
        <f>ROUND(I160*H160,2)</f>
        <v>0</v>
      </c>
      <c r="K160" s="156" t="s">
        <v>1</v>
      </c>
      <c r="L160" s="26"/>
      <c r="M160" s="126" t="s">
        <v>1</v>
      </c>
      <c r="N160" s="127" t="s">
        <v>46</v>
      </c>
      <c r="O160" s="128">
        <v>0</v>
      </c>
      <c r="P160" s="128">
        <f>O160*H160</f>
        <v>0</v>
      </c>
      <c r="Q160" s="128">
        <v>0</v>
      </c>
      <c r="R160" s="128">
        <f>Q160*H160</f>
        <v>0</v>
      </c>
      <c r="S160" s="128">
        <v>0</v>
      </c>
      <c r="T160" s="129">
        <f>S160*H160</f>
        <v>0</v>
      </c>
      <c r="AR160" s="130" t="s">
        <v>135</v>
      </c>
      <c r="AT160" s="130" t="s">
        <v>137</v>
      </c>
      <c r="AU160" s="130" t="s">
        <v>19</v>
      </c>
      <c r="AY160" s="14" t="s">
        <v>136</v>
      </c>
      <c r="BE160" s="131">
        <f>IF(N160="základní",J160,0)</f>
        <v>0</v>
      </c>
      <c r="BF160" s="131">
        <f>IF(N160="snížená",J160,0)</f>
        <v>0</v>
      </c>
      <c r="BG160" s="131">
        <f>IF(N160="zákl. přenesená",J160,0)</f>
        <v>0</v>
      </c>
      <c r="BH160" s="131">
        <f>IF(N160="sníž. přenesená",J160,0)</f>
        <v>0</v>
      </c>
      <c r="BI160" s="131">
        <f>IF(N160="nulová",J160,0)</f>
        <v>0</v>
      </c>
      <c r="BJ160" s="14" t="s">
        <v>19</v>
      </c>
      <c r="BK160" s="131">
        <f>ROUND(I160*H160,2)</f>
        <v>0</v>
      </c>
      <c r="BL160" s="14" t="s">
        <v>135</v>
      </c>
      <c r="BM160" s="130" t="s">
        <v>1988</v>
      </c>
    </row>
    <row r="161" spans="2:65" s="1" customFormat="1" ht="57.6">
      <c r="B161" s="26"/>
      <c r="C161" s="160"/>
      <c r="D161" s="161" t="s">
        <v>143</v>
      </c>
      <c r="E161" s="160"/>
      <c r="F161" s="162" t="s">
        <v>1989</v>
      </c>
      <c r="G161" s="160"/>
      <c r="H161" s="160"/>
      <c r="I161" s="160"/>
      <c r="J161" s="160"/>
      <c r="K161" s="160"/>
      <c r="L161" s="26"/>
      <c r="M161" s="134"/>
      <c r="T161" s="50"/>
      <c r="AT161" s="14" t="s">
        <v>143</v>
      </c>
      <c r="AU161" s="14" t="s">
        <v>19</v>
      </c>
    </row>
    <row r="162" spans="2:65" s="1" customFormat="1" ht="67.2">
      <c r="B162" s="26"/>
      <c r="C162" s="160"/>
      <c r="D162" s="161" t="s">
        <v>145</v>
      </c>
      <c r="E162" s="160"/>
      <c r="F162" s="163" t="s">
        <v>1990</v>
      </c>
      <c r="G162" s="160"/>
      <c r="H162" s="160"/>
      <c r="I162" s="160"/>
      <c r="J162" s="160"/>
      <c r="K162" s="160"/>
      <c r="L162" s="26"/>
      <c r="M162" s="134"/>
      <c r="T162" s="50"/>
      <c r="AT162" s="14" t="s">
        <v>145</v>
      </c>
      <c r="AU162" s="14" t="s">
        <v>19</v>
      </c>
    </row>
    <row r="163" spans="2:65" s="11" customFormat="1">
      <c r="B163" s="136"/>
      <c r="C163" s="164"/>
      <c r="D163" s="161" t="s">
        <v>147</v>
      </c>
      <c r="E163" s="165" t="s">
        <v>1991</v>
      </c>
      <c r="F163" s="166" t="s">
        <v>1992</v>
      </c>
      <c r="G163" s="164"/>
      <c r="H163" s="167">
        <v>150</v>
      </c>
      <c r="I163" s="164"/>
      <c r="J163" s="164"/>
      <c r="K163" s="164"/>
      <c r="L163" s="136"/>
      <c r="M163" s="140"/>
      <c r="T163" s="141"/>
      <c r="AT163" s="137" t="s">
        <v>147</v>
      </c>
      <c r="AU163" s="137" t="s">
        <v>19</v>
      </c>
      <c r="AV163" s="11" t="s">
        <v>149</v>
      </c>
      <c r="AW163" s="11" t="s">
        <v>39</v>
      </c>
      <c r="AX163" s="11" t="s">
        <v>19</v>
      </c>
      <c r="AY163" s="137" t="s">
        <v>136</v>
      </c>
    </row>
    <row r="164" spans="2:65" s="1" customFormat="1" ht="24.15" customHeight="1">
      <c r="B164" s="119"/>
      <c r="C164" s="154" t="s">
        <v>691</v>
      </c>
      <c r="D164" s="154" t="s">
        <v>137</v>
      </c>
      <c r="E164" s="155" t="s">
        <v>1993</v>
      </c>
      <c r="F164" s="156" t="s">
        <v>1994</v>
      </c>
      <c r="G164" s="157" t="s">
        <v>260</v>
      </c>
      <c r="H164" s="158">
        <v>73.150000000000006</v>
      </c>
      <c r="I164" s="159">
        <v>0</v>
      </c>
      <c r="J164" s="159">
        <f>ROUND(I164*H164,2)</f>
        <v>0</v>
      </c>
      <c r="K164" s="156" t="s">
        <v>141</v>
      </c>
      <c r="L164" s="26"/>
      <c r="M164" s="126" t="s">
        <v>1</v>
      </c>
      <c r="N164" s="127" t="s">
        <v>46</v>
      </c>
      <c r="O164" s="128">
        <v>0</v>
      </c>
      <c r="P164" s="128">
        <f>O164*H164</f>
        <v>0</v>
      </c>
      <c r="Q164" s="128">
        <v>0</v>
      </c>
      <c r="R164" s="128">
        <f>Q164*H164</f>
        <v>0</v>
      </c>
      <c r="S164" s="128">
        <v>0</v>
      </c>
      <c r="T164" s="129">
        <f>S164*H164</f>
        <v>0</v>
      </c>
      <c r="AR164" s="130" t="s">
        <v>135</v>
      </c>
      <c r="AT164" s="130" t="s">
        <v>137</v>
      </c>
      <c r="AU164" s="130" t="s">
        <v>19</v>
      </c>
      <c r="AY164" s="14" t="s">
        <v>136</v>
      </c>
      <c r="BE164" s="131">
        <f>IF(N164="základní",J164,0)</f>
        <v>0</v>
      </c>
      <c r="BF164" s="131">
        <f>IF(N164="snížená",J164,0)</f>
        <v>0</v>
      </c>
      <c r="BG164" s="131">
        <f>IF(N164="zákl. přenesená",J164,0)</f>
        <v>0</v>
      </c>
      <c r="BH164" s="131">
        <f>IF(N164="sníž. přenesená",J164,0)</f>
        <v>0</v>
      </c>
      <c r="BI164" s="131">
        <f>IF(N164="nulová",J164,0)</f>
        <v>0</v>
      </c>
      <c r="BJ164" s="14" t="s">
        <v>19</v>
      </c>
      <c r="BK164" s="131">
        <f>ROUND(I164*H164,2)</f>
        <v>0</v>
      </c>
      <c r="BL164" s="14" t="s">
        <v>135</v>
      </c>
      <c r="BM164" s="130" t="s">
        <v>1995</v>
      </c>
    </row>
    <row r="165" spans="2:65" s="1" customFormat="1">
      <c r="B165" s="26"/>
      <c r="C165" s="160"/>
      <c r="D165" s="161" t="s">
        <v>143</v>
      </c>
      <c r="E165" s="160"/>
      <c r="F165" s="162" t="s">
        <v>1996</v>
      </c>
      <c r="G165" s="160"/>
      <c r="H165" s="160"/>
      <c r="I165" s="160"/>
      <c r="J165" s="160"/>
      <c r="K165" s="160"/>
      <c r="L165" s="26"/>
      <c r="M165" s="134"/>
      <c r="T165" s="50"/>
      <c r="AT165" s="14" t="s">
        <v>143</v>
      </c>
      <c r="AU165" s="14" t="s">
        <v>19</v>
      </c>
    </row>
    <row r="166" spans="2:65" s="1" customFormat="1" ht="67.2">
      <c r="B166" s="26"/>
      <c r="C166" s="160"/>
      <c r="D166" s="161" t="s">
        <v>145</v>
      </c>
      <c r="E166" s="160"/>
      <c r="F166" s="163" t="s">
        <v>1997</v>
      </c>
      <c r="G166" s="160"/>
      <c r="H166" s="160"/>
      <c r="I166" s="160"/>
      <c r="J166" s="160"/>
      <c r="K166" s="160"/>
      <c r="L166" s="26"/>
      <c r="M166" s="134"/>
      <c r="T166" s="50"/>
      <c r="AT166" s="14" t="s">
        <v>145</v>
      </c>
      <c r="AU166" s="14" t="s">
        <v>19</v>
      </c>
    </row>
    <row r="167" spans="2:65" s="11" customFormat="1">
      <c r="B167" s="136"/>
      <c r="C167" s="164"/>
      <c r="D167" s="161" t="s">
        <v>147</v>
      </c>
      <c r="E167" s="165" t="s">
        <v>1998</v>
      </c>
      <c r="F167" s="166" t="s">
        <v>1999</v>
      </c>
      <c r="G167" s="164"/>
      <c r="H167" s="167">
        <v>73.150000000000006</v>
      </c>
      <c r="I167" s="164"/>
      <c r="J167" s="164"/>
      <c r="K167" s="164"/>
      <c r="L167" s="136"/>
      <c r="M167" s="140"/>
      <c r="T167" s="141"/>
      <c r="AT167" s="137" t="s">
        <v>147</v>
      </c>
      <c r="AU167" s="137" t="s">
        <v>19</v>
      </c>
      <c r="AV167" s="11" t="s">
        <v>149</v>
      </c>
      <c r="AW167" s="11" t="s">
        <v>39</v>
      </c>
      <c r="AX167" s="11" t="s">
        <v>19</v>
      </c>
      <c r="AY167" s="137" t="s">
        <v>136</v>
      </c>
    </row>
    <row r="168" spans="2:65" s="1" customFormat="1" ht="16.5" customHeight="1">
      <c r="B168" s="119"/>
      <c r="C168" s="154" t="s">
        <v>699</v>
      </c>
      <c r="D168" s="154" t="s">
        <v>137</v>
      </c>
      <c r="E168" s="155" t="s">
        <v>2000</v>
      </c>
      <c r="F168" s="156" t="s">
        <v>2001</v>
      </c>
      <c r="G168" s="157" t="s">
        <v>260</v>
      </c>
      <c r="H168" s="158">
        <v>2.8530000000000002</v>
      </c>
      <c r="I168" s="159">
        <v>0</v>
      </c>
      <c r="J168" s="159">
        <f>ROUND(I168*H168,2)</f>
        <v>0</v>
      </c>
      <c r="K168" s="156" t="s">
        <v>141</v>
      </c>
      <c r="L168" s="26"/>
      <c r="M168" s="126" t="s">
        <v>1</v>
      </c>
      <c r="N168" s="127" t="s">
        <v>46</v>
      </c>
      <c r="O168" s="128">
        <v>0</v>
      </c>
      <c r="P168" s="128">
        <f>O168*H168</f>
        <v>0</v>
      </c>
      <c r="Q168" s="128">
        <v>0</v>
      </c>
      <c r="R168" s="128">
        <f>Q168*H168</f>
        <v>0</v>
      </c>
      <c r="S168" s="128">
        <v>0</v>
      </c>
      <c r="T168" s="129">
        <f>S168*H168</f>
        <v>0</v>
      </c>
      <c r="AR168" s="130" t="s">
        <v>135</v>
      </c>
      <c r="AT168" s="130" t="s">
        <v>137</v>
      </c>
      <c r="AU168" s="130" t="s">
        <v>19</v>
      </c>
      <c r="AY168" s="14" t="s">
        <v>136</v>
      </c>
      <c r="BE168" s="131">
        <f>IF(N168="základní",J168,0)</f>
        <v>0</v>
      </c>
      <c r="BF168" s="131">
        <f>IF(N168="snížená",J168,0)</f>
        <v>0</v>
      </c>
      <c r="BG168" s="131">
        <f>IF(N168="zákl. přenesená",J168,0)</f>
        <v>0</v>
      </c>
      <c r="BH168" s="131">
        <f>IF(N168="sníž. přenesená",J168,0)</f>
        <v>0</v>
      </c>
      <c r="BI168" s="131">
        <f>IF(N168="nulová",J168,0)</f>
        <v>0</v>
      </c>
      <c r="BJ168" s="14" t="s">
        <v>19</v>
      </c>
      <c r="BK168" s="131">
        <f>ROUND(I168*H168,2)</f>
        <v>0</v>
      </c>
      <c r="BL168" s="14" t="s">
        <v>135</v>
      </c>
      <c r="BM168" s="130" t="s">
        <v>2002</v>
      </c>
    </row>
    <row r="169" spans="2:65" s="1" customFormat="1">
      <c r="B169" s="26"/>
      <c r="C169" s="160"/>
      <c r="D169" s="161" t="s">
        <v>143</v>
      </c>
      <c r="E169" s="160"/>
      <c r="F169" s="162" t="s">
        <v>2003</v>
      </c>
      <c r="G169" s="160"/>
      <c r="H169" s="160"/>
      <c r="I169" s="160"/>
      <c r="J169" s="160"/>
      <c r="K169" s="160"/>
      <c r="L169" s="26"/>
      <c r="M169" s="134"/>
      <c r="T169" s="50"/>
      <c r="AT169" s="14" t="s">
        <v>143</v>
      </c>
      <c r="AU169" s="14" t="s">
        <v>19</v>
      </c>
    </row>
    <row r="170" spans="2:65" s="1" customFormat="1" ht="57.6">
      <c r="B170" s="26"/>
      <c r="C170" s="160"/>
      <c r="D170" s="161" t="s">
        <v>145</v>
      </c>
      <c r="E170" s="160"/>
      <c r="F170" s="163" t="s">
        <v>2004</v>
      </c>
      <c r="G170" s="160"/>
      <c r="H170" s="160"/>
      <c r="I170" s="160"/>
      <c r="J170" s="160"/>
      <c r="K170" s="160"/>
      <c r="L170" s="26"/>
      <c r="M170" s="134"/>
      <c r="T170" s="50"/>
      <c r="AT170" s="14" t="s">
        <v>145</v>
      </c>
      <c r="AU170" s="14" t="s">
        <v>19</v>
      </c>
    </row>
    <row r="171" spans="2:65" s="11" customFormat="1">
      <c r="B171" s="136"/>
      <c r="C171" s="164"/>
      <c r="D171" s="161" t="s">
        <v>147</v>
      </c>
      <c r="E171" s="165" t="s">
        <v>2005</v>
      </c>
      <c r="F171" s="166" t="s">
        <v>2006</v>
      </c>
      <c r="G171" s="164"/>
      <c r="H171" s="167">
        <v>2.8525</v>
      </c>
      <c r="I171" s="164"/>
      <c r="J171" s="164"/>
      <c r="K171" s="164"/>
      <c r="L171" s="136"/>
      <c r="M171" s="140"/>
      <c r="T171" s="141"/>
      <c r="AT171" s="137" t="s">
        <v>147</v>
      </c>
      <c r="AU171" s="137" t="s">
        <v>19</v>
      </c>
      <c r="AV171" s="11" t="s">
        <v>149</v>
      </c>
      <c r="AW171" s="11" t="s">
        <v>39</v>
      </c>
      <c r="AX171" s="11" t="s">
        <v>19</v>
      </c>
      <c r="AY171" s="137" t="s">
        <v>136</v>
      </c>
    </row>
    <row r="172" spans="2:65" s="1" customFormat="1" ht="16.5" customHeight="1">
      <c r="B172" s="119"/>
      <c r="C172" s="154" t="s">
        <v>712</v>
      </c>
      <c r="D172" s="154" t="s">
        <v>137</v>
      </c>
      <c r="E172" s="155" t="s">
        <v>2007</v>
      </c>
      <c r="F172" s="156" t="s">
        <v>2008</v>
      </c>
      <c r="G172" s="157" t="s">
        <v>260</v>
      </c>
      <c r="H172" s="158">
        <v>143</v>
      </c>
      <c r="I172" s="159">
        <v>0</v>
      </c>
      <c r="J172" s="159">
        <f>ROUND(I172*H172,2)</f>
        <v>0</v>
      </c>
      <c r="K172" s="156" t="s">
        <v>141</v>
      </c>
      <c r="L172" s="26"/>
      <c r="M172" s="126" t="s">
        <v>1</v>
      </c>
      <c r="N172" s="127" t="s">
        <v>46</v>
      </c>
      <c r="O172" s="128">
        <v>0</v>
      </c>
      <c r="P172" s="128">
        <f>O172*H172</f>
        <v>0</v>
      </c>
      <c r="Q172" s="128">
        <v>0</v>
      </c>
      <c r="R172" s="128">
        <f>Q172*H172</f>
        <v>0</v>
      </c>
      <c r="S172" s="128">
        <v>0</v>
      </c>
      <c r="T172" s="129">
        <f>S172*H172</f>
        <v>0</v>
      </c>
      <c r="AR172" s="130" t="s">
        <v>135</v>
      </c>
      <c r="AT172" s="130" t="s">
        <v>137</v>
      </c>
      <c r="AU172" s="130" t="s">
        <v>19</v>
      </c>
      <c r="AY172" s="14" t="s">
        <v>136</v>
      </c>
      <c r="BE172" s="131">
        <f>IF(N172="základní",J172,0)</f>
        <v>0</v>
      </c>
      <c r="BF172" s="131">
        <f>IF(N172="snížená",J172,0)</f>
        <v>0</v>
      </c>
      <c r="BG172" s="131">
        <f>IF(N172="zákl. přenesená",J172,0)</f>
        <v>0</v>
      </c>
      <c r="BH172" s="131">
        <f>IF(N172="sníž. přenesená",J172,0)</f>
        <v>0</v>
      </c>
      <c r="BI172" s="131">
        <f>IF(N172="nulová",J172,0)</f>
        <v>0</v>
      </c>
      <c r="BJ172" s="14" t="s">
        <v>19</v>
      </c>
      <c r="BK172" s="131">
        <f>ROUND(I172*H172,2)</f>
        <v>0</v>
      </c>
      <c r="BL172" s="14" t="s">
        <v>135</v>
      </c>
      <c r="BM172" s="130" t="s">
        <v>2009</v>
      </c>
    </row>
    <row r="173" spans="2:65" s="1" customFormat="1" ht="28.8">
      <c r="B173" s="26"/>
      <c r="C173" s="160"/>
      <c r="D173" s="161" t="s">
        <v>143</v>
      </c>
      <c r="E173" s="160"/>
      <c r="F173" s="162" t="s">
        <v>2010</v>
      </c>
      <c r="G173" s="160"/>
      <c r="H173" s="160"/>
      <c r="I173" s="160"/>
      <c r="J173" s="160"/>
      <c r="K173" s="160"/>
      <c r="L173" s="26"/>
      <c r="M173" s="134"/>
      <c r="T173" s="50"/>
      <c r="AT173" s="14" t="s">
        <v>143</v>
      </c>
      <c r="AU173" s="14" t="s">
        <v>19</v>
      </c>
    </row>
    <row r="174" spans="2:65" s="1" customFormat="1" ht="57.6">
      <c r="B174" s="26"/>
      <c r="C174" s="160"/>
      <c r="D174" s="161" t="s">
        <v>145</v>
      </c>
      <c r="E174" s="160"/>
      <c r="F174" s="163" t="s">
        <v>2004</v>
      </c>
      <c r="G174" s="160"/>
      <c r="H174" s="160"/>
      <c r="I174" s="160"/>
      <c r="J174" s="160"/>
      <c r="K174" s="160"/>
      <c r="L174" s="26"/>
      <c r="M174" s="134"/>
      <c r="T174" s="50"/>
      <c r="AT174" s="14" t="s">
        <v>145</v>
      </c>
      <c r="AU174" s="14" t="s">
        <v>19</v>
      </c>
    </row>
    <row r="175" spans="2:65" s="11" customFormat="1">
      <c r="B175" s="136"/>
      <c r="C175" s="164"/>
      <c r="D175" s="161" t="s">
        <v>147</v>
      </c>
      <c r="E175" s="165" t="s">
        <v>2011</v>
      </c>
      <c r="F175" s="166" t="s">
        <v>2012</v>
      </c>
      <c r="G175" s="164"/>
      <c r="H175" s="167">
        <v>143</v>
      </c>
      <c r="I175" s="164"/>
      <c r="J175" s="164"/>
      <c r="K175" s="164"/>
      <c r="L175" s="136"/>
      <c r="M175" s="140"/>
      <c r="T175" s="141"/>
      <c r="AT175" s="137" t="s">
        <v>147</v>
      </c>
      <c r="AU175" s="137" t="s">
        <v>19</v>
      </c>
      <c r="AV175" s="11" t="s">
        <v>149</v>
      </c>
      <c r="AW175" s="11" t="s">
        <v>39</v>
      </c>
      <c r="AX175" s="11" t="s">
        <v>19</v>
      </c>
      <c r="AY175" s="137" t="s">
        <v>136</v>
      </c>
    </row>
    <row r="176" spans="2:65" s="10" customFormat="1" ht="25.95" customHeight="1">
      <c r="B176" s="110"/>
      <c r="D176" s="111" t="s">
        <v>80</v>
      </c>
      <c r="E176" s="112" t="s">
        <v>189</v>
      </c>
      <c r="F176" s="112" t="s">
        <v>683</v>
      </c>
      <c r="J176" s="113">
        <f>BK176</f>
        <v>0</v>
      </c>
      <c r="L176" s="110"/>
      <c r="M176" s="114"/>
      <c r="P176" s="115">
        <f>SUM(P177:P182)</f>
        <v>0</v>
      </c>
      <c r="R176" s="115">
        <f>SUM(R177:R182)</f>
        <v>0</v>
      </c>
      <c r="T176" s="116">
        <f>SUM(T177:T182)</f>
        <v>0</v>
      </c>
      <c r="AR176" s="111" t="s">
        <v>135</v>
      </c>
      <c r="AT176" s="117" t="s">
        <v>80</v>
      </c>
      <c r="AU176" s="117" t="s">
        <v>81</v>
      </c>
      <c r="AY176" s="111" t="s">
        <v>136</v>
      </c>
      <c r="BK176" s="118">
        <f>SUM(BK177:BK182)</f>
        <v>0</v>
      </c>
    </row>
    <row r="177" spans="2:65" s="1" customFormat="1" ht="24.15" customHeight="1">
      <c r="B177" s="119"/>
      <c r="C177" s="154" t="s">
        <v>725</v>
      </c>
      <c r="D177" s="154" t="s">
        <v>137</v>
      </c>
      <c r="E177" s="155" t="s">
        <v>2013</v>
      </c>
      <c r="F177" s="156" t="s">
        <v>2014</v>
      </c>
      <c r="G177" s="157" t="s">
        <v>312</v>
      </c>
      <c r="H177" s="158">
        <v>70.7</v>
      </c>
      <c r="I177" s="159">
        <v>0</v>
      </c>
      <c r="J177" s="159">
        <f>ROUND(I177*H177,2)</f>
        <v>0</v>
      </c>
      <c r="K177" s="156" t="s">
        <v>141</v>
      </c>
      <c r="L177" s="26"/>
      <c r="M177" s="126" t="s">
        <v>1</v>
      </c>
      <c r="N177" s="127" t="s">
        <v>46</v>
      </c>
      <c r="O177" s="128">
        <v>0</v>
      </c>
      <c r="P177" s="128">
        <f>O177*H177</f>
        <v>0</v>
      </c>
      <c r="Q177" s="128">
        <v>0</v>
      </c>
      <c r="R177" s="128">
        <f>Q177*H177</f>
        <v>0</v>
      </c>
      <c r="S177" s="128">
        <v>0</v>
      </c>
      <c r="T177" s="129">
        <f>S177*H177</f>
        <v>0</v>
      </c>
      <c r="AR177" s="130" t="s">
        <v>135</v>
      </c>
      <c r="AT177" s="130" t="s">
        <v>137</v>
      </c>
      <c r="AU177" s="130" t="s">
        <v>19</v>
      </c>
      <c r="AY177" s="14" t="s">
        <v>136</v>
      </c>
      <c r="BE177" s="131">
        <f>IF(N177="základní",J177,0)</f>
        <v>0</v>
      </c>
      <c r="BF177" s="131">
        <f>IF(N177="snížená",J177,0)</f>
        <v>0</v>
      </c>
      <c r="BG177" s="131">
        <f>IF(N177="zákl. přenesená",J177,0)</f>
        <v>0</v>
      </c>
      <c r="BH177" s="131">
        <f>IF(N177="sníž. přenesená",J177,0)</f>
        <v>0</v>
      </c>
      <c r="BI177" s="131">
        <f>IF(N177="nulová",J177,0)</f>
        <v>0</v>
      </c>
      <c r="BJ177" s="14" t="s">
        <v>19</v>
      </c>
      <c r="BK177" s="131">
        <f>ROUND(I177*H177,2)</f>
        <v>0</v>
      </c>
      <c r="BL177" s="14" t="s">
        <v>135</v>
      </c>
      <c r="BM177" s="130" t="s">
        <v>2015</v>
      </c>
    </row>
    <row r="178" spans="2:65" s="1" customFormat="1" ht="19.2">
      <c r="B178" s="26"/>
      <c r="C178" s="160"/>
      <c r="D178" s="161" t="s">
        <v>143</v>
      </c>
      <c r="E178" s="160"/>
      <c r="F178" s="162" t="s">
        <v>2014</v>
      </c>
      <c r="G178" s="160"/>
      <c r="H178" s="160"/>
      <c r="I178" s="160"/>
      <c r="J178" s="160"/>
      <c r="K178" s="160"/>
      <c r="L178" s="26"/>
      <c r="M178" s="134"/>
      <c r="T178" s="50"/>
      <c r="AT178" s="14" t="s">
        <v>143</v>
      </c>
      <c r="AU178" s="14" t="s">
        <v>19</v>
      </c>
    </row>
    <row r="179" spans="2:65" s="1" customFormat="1" ht="192">
      <c r="B179" s="26"/>
      <c r="C179" s="160"/>
      <c r="D179" s="161" t="s">
        <v>145</v>
      </c>
      <c r="E179" s="160"/>
      <c r="F179" s="163" t="s">
        <v>2016</v>
      </c>
      <c r="G179" s="160"/>
      <c r="H179" s="160"/>
      <c r="I179" s="160"/>
      <c r="J179" s="160"/>
      <c r="K179" s="160"/>
      <c r="L179" s="26"/>
      <c r="M179" s="134"/>
      <c r="T179" s="50"/>
      <c r="AT179" s="14" t="s">
        <v>145</v>
      </c>
      <c r="AU179" s="14" t="s">
        <v>19</v>
      </c>
    </row>
    <row r="180" spans="2:65" s="11" customFormat="1">
      <c r="B180" s="136"/>
      <c r="C180" s="164"/>
      <c r="D180" s="161" t="s">
        <v>147</v>
      </c>
      <c r="E180" s="165" t="s">
        <v>2017</v>
      </c>
      <c r="F180" s="166" t="s">
        <v>2018</v>
      </c>
      <c r="G180" s="164"/>
      <c r="H180" s="167">
        <v>58.599999999999994</v>
      </c>
      <c r="I180" s="164"/>
      <c r="J180" s="164"/>
      <c r="K180" s="164"/>
      <c r="L180" s="136"/>
      <c r="M180" s="140"/>
      <c r="T180" s="141"/>
      <c r="AT180" s="137" t="s">
        <v>147</v>
      </c>
      <c r="AU180" s="137" t="s">
        <v>19</v>
      </c>
      <c r="AV180" s="11" t="s">
        <v>149</v>
      </c>
      <c r="AW180" s="11" t="s">
        <v>39</v>
      </c>
      <c r="AX180" s="11" t="s">
        <v>81</v>
      </c>
      <c r="AY180" s="137" t="s">
        <v>136</v>
      </c>
    </row>
    <row r="181" spans="2:65" s="11" customFormat="1">
      <c r="B181" s="136"/>
      <c r="C181" s="164"/>
      <c r="D181" s="161" t="s">
        <v>147</v>
      </c>
      <c r="E181" s="165" t="s">
        <v>2019</v>
      </c>
      <c r="F181" s="166" t="s">
        <v>2020</v>
      </c>
      <c r="G181" s="164"/>
      <c r="H181" s="167">
        <v>12.1</v>
      </c>
      <c r="I181" s="164"/>
      <c r="J181" s="164"/>
      <c r="K181" s="164"/>
      <c r="L181" s="136"/>
      <c r="M181" s="140"/>
      <c r="T181" s="141"/>
      <c r="AT181" s="137" t="s">
        <v>147</v>
      </c>
      <c r="AU181" s="137" t="s">
        <v>19</v>
      </c>
      <c r="AV181" s="11" t="s">
        <v>149</v>
      </c>
      <c r="AW181" s="11" t="s">
        <v>39</v>
      </c>
      <c r="AX181" s="11" t="s">
        <v>81</v>
      </c>
      <c r="AY181" s="137" t="s">
        <v>136</v>
      </c>
    </row>
    <row r="182" spans="2:65" s="11" customFormat="1">
      <c r="B182" s="136"/>
      <c r="C182" s="164"/>
      <c r="D182" s="161" t="s">
        <v>147</v>
      </c>
      <c r="E182" s="165" t="s">
        <v>1</v>
      </c>
      <c r="F182" s="166" t="s">
        <v>2021</v>
      </c>
      <c r="G182" s="164"/>
      <c r="H182" s="167">
        <v>70.7</v>
      </c>
      <c r="I182" s="164"/>
      <c r="J182" s="164"/>
      <c r="K182" s="164"/>
      <c r="L182" s="136"/>
      <c r="M182" s="140"/>
      <c r="T182" s="141"/>
      <c r="AT182" s="137" t="s">
        <v>147</v>
      </c>
      <c r="AU182" s="137" t="s">
        <v>19</v>
      </c>
      <c r="AV182" s="11" t="s">
        <v>149</v>
      </c>
      <c r="AW182" s="11" t="s">
        <v>39</v>
      </c>
      <c r="AX182" s="11" t="s">
        <v>19</v>
      </c>
      <c r="AY182" s="137" t="s">
        <v>136</v>
      </c>
    </row>
    <row r="183" spans="2:65" s="10" customFormat="1" ht="25.95" customHeight="1">
      <c r="B183" s="110"/>
      <c r="D183" s="111" t="s">
        <v>80</v>
      </c>
      <c r="E183" s="112" t="s">
        <v>197</v>
      </c>
      <c r="F183" s="112" t="s">
        <v>698</v>
      </c>
      <c r="J183" s="113">
        <f>BK183</f>
        <v>0</v>
      </c>
      <c r="L183" s="110"/>
      <c r="M183" s="114"/>
      <c r="P183" s="115">
        <f>SUM(P184:P208)</f>
        <v>0</v>
      </c>
      <c r="R183" s="115">
        <f>SUM(R184:R208)</f>
        <v>0</v>
      </c>
      <c r="T183" s="116">
        <f>SUM(T184:T208)</f>
        <v>0</v>
      </c>
      <c r="AR183" s="111" t="s">
        <v>135</v>
      </c>
      <c r="AT183" s="117" t="s">
        <v>80</v>
      </c>
      <c r="AU183" s="117" t="s">
        <v>81</v>
      </c>
      <c r="AY183" s="111" t="s">
        <v>136</v>
      </c>
      <c r="BK183" s="118">
        <f>SUM(BK184:BK208)</f>
        <v>0</v>
      </c>
    </row>
    <row r="184" spans="2:65" s="1" customFormat="1" ht="16.5" customHeight="1">
      <c r="B184" s="119"/>
      <c r="C184" s="154" t="s">
        <v>784</v>
      </c>
      <c r="D184" s="154" t="s">
        <v>137</v>
      </c>
      <c r="E184" s="155" t="s">
        <v>2022</v>
      </c>
      <c r="F184" s="156" t="s">
        <v>2023</v>
      </c>
      <c r="G184" s="157" t="s">
        <v>152</v>
      </c>
      <c r="H184" s="158">
        <v>4</v>
      </c>
      <c r="I184" s="159">
        <v>0</v>
      </c>
      <c r="J184" s="159">
        <f>ROUND(I184*H184,2)</f>
        <v>0</v>
      </c>
      <c r="K184" s="156" t="s">
        <v>141</v>
      </c>
      <c r="L184" s="26"/>
      <c r="M184" s="126" t="s">
        <v>1</v>
      </c>
      <c r="N184" s="127" t="s">
        <v>46</v>
      </c>
      <c r="O184" s="128">
        <v>0</v>
      </c>
      <c r="P184" s="128">
        <f>O184*H184</f>
        <v>0</v>
      </c>
      <c r="Q184" s="128">
        <v>0</v>
      </c>
      <c r="R184" s="128">
        <f>Q184*H184</f>
        <v>0</v>
      </c>
      <c r="S184" s="128">
        <v>0</v>
      </c>
      <c r="T184" s="129">
        <f>S184*H184</f>
        <v>0</v>
      </c>
      <c r="AR184" s="130" t="s">
        <v>135</v>
      </c>
      <c r="AT184" s="130" t="s">
        <v>137</v>
      </c>
      <c r="AU184" s="130" t="s">
        <v>19</v>
      </c>
      <c r="AY184" s="14" t="s">
        <v>136</v>
      </c>
      <c r="BE184" s="131">
        <f>IF(N184="základní",J184,0)</f>
        <v>0</v>
      </c>
      <c r="BF184" s="131">
        <f>IF(N184="snížená",J184,0)</f>
        <v>0</v>
      </c>
      <c r="BG184" s="131">
        <f>IF(N184="zákl. přenesená",J184,0)</f>
        <v>0</v>
      </c>
      <c r="BH184" s="131">
        <f>IF(N184="sníž. přenesená",J184,0)</f>
        <v>0</v>
      </c>
      <c r="BI184" s="131">
        <f>IF(N184="nulová",J184,0)</f>
        <v>0</v>
      </c>
      <c r="BJ184" s="14" t="s">
        <v>19</v>
      </c>
      <c r="BK184" s="131">
        <f>ROUND(I184*H184,2)</f>
        <v>0</v>
      </c>
      <c r="BL184" s="14" t="s">
        <v>135</v>
      </c>
      <c r="BM184" s="130" t="s">
        <v>2024</v>
      </c>
    </row>
    <row r="185" spans="2:65" s="1" customFormat="1">
      <c r="B185" s="26"/>
      <c r="C185" s="160"/>
      <c r="D185" s="161" t="s">
        <v>143</v>
      </c>
      <c r="E185" s="160"/>
      <c r="F185" s="162" t="s">
        <v>2023</v>
      </c>
      <c r="G185" s="160"/>
      <c r="H185" s="160"/>
      <c r="I185" s="160"/>
      <c r="J185" s="160"/>
      <c r="K185" s="160"/>
      <c r="L185" s="26"/>
      <c r="M185" s="134"/>
      <c r="T185" s="50"/>
      <c r="AT185" s="14" t="s">
        <v>143</v>
      </c>
      <c r="AU185" s="14" t="s">
        <v>19</v>
      </c>
    </row>
    <row r="186" spans="2:65" s="1" customFormat="1" ht="38.4">
      <c r="B186" s="26"/>
      <c r="C186" s="160"/>
      <c r="D186" s="161" t="s">
        <v>145</v>
      </c>
      <c r="E186" s="160"/>
      <c r="F186" s="163" t="s">
        <v>2025</v>
      </c>
      <c r="G186" s="160"/>
      <c r="H186" s="160"/>
      <c r="I186" s="160"/>
      <c r="J186" s="160"/>
      <c r="K186" s="160"/>
      <c r="L186" s="26"/>
      <c r="M186" s="134"/>
      <c r="T186" s="50"/>
      <c r="AT186" s="14" t="s">
        <v>145</v>
      </c>
      <c r="AU186" s="14" t="s">
        <v>19</v>
      </c>
    </row>
    <row r="187" spans="2:65" s="1" customFormat="1" ht="16.5" customHeight="1">
      <c r="B187" s="119"/>
      <c r="C187" s="154" t="s">
        <v>834</v>
      </c>
      <c r="D187" s="154" t="s">
        <v>137</v>
      </c>
      <c r="E187" s="155" t="s">
        <v>2026</v>
      </c>
      <c r="F187" s="156" t="s">
        <v>2027</v>
      </c>
      <c r="G187" s="157" t="s">
        <v>260</v>
      </c>
      <c r="H187" s="158">
        <v>4</v>
      </c>
      <c r="I187" s="159">
        <v>0</v>
      </c>
      <c r="J187" s="159">
        <f>ROUND(I187*H187,2)</f>
        <v>0</v>
      </c>
      <c r="K187" s="156" t="s">
        <v>141</v>
      </c>
      <c r="L187" s="26"/>
      <c r="M187" s="126" t="s">
        <v>1</v>
      </c>
      <c r="N187" s="127" t="s">
        <v>46</v>
      </c>
      <c r="O187" s="128">
        <v>0</v>
      </c>
      <c r="P187" s="128">
        <f>O187*H187</f>
        <v>0</v>
      </c>
      <c r="Q187" s="128">
        <v>0</v>
      </c>
      <c r="R187" s="128">
        <f>Q187*H187</f>
        <v>0</v>
      </c>
      <c r="S187" s="128">
        <v>0</v>
      </c>
      <c r="T187" s="129">
        <f>S187*H187</f>
        <v>0</v>
      </c>
      <c r="AR187" s="130" t="s">
        <v>135</v>
      </c>
      <c r="AT187" s="130" t="s">
        <v>137</v>
      </c>
      <c r="AU187" s="130" t="s">
        <v>19</v>
      </c>
      <c r="AY187" s="14" t="s">
        <v>136</v>
      </c>
      <c r="BE187" s="131">
        <f>IF(N187="základní",J187,0)</f>
        <v>0</v>
      </c>
      <c r="BF187" s="131">
        <f>IF(N187="snížená",J187,0)</f>
        <v>0</v>
      </c>
      <c r="BG187" s="131">
        <f>IF(N187="zákl. přenesená",J187,0)</f>
        <v>0</v>
      </c>
      <c r="BH187" s="131">
        <f>IF(N187="sníž. přenesená",J187,0)</f>
        <v>0</v>
      </c>
      <c r="BI187" s="131">
        <f>IF(N187="nulová",J187,0)</f>
        <v>0</v>
      </c>
      <c r="BJ187" s="14" t="s">
        <v>19</v>
      </c>
      <c r="BK187" s="131">
        <f>ROUND(I187*H187,2)</f>
        <v>0</v>
      </c>
      <c r="BL187" s="14" t="s">
        <v>135</v>
      </c>
      <c r="BM187" s="130" t="s">
        <v>2028</v>
      </c>
    </row>
    <row r="188" spans="2:65" s="1" customFormat="1">
      <c r="B188" s="26"/>
      <c r="C188" s="160"/>
      <c r="D188" s="161" t="s">
        <v>143</v>
      </c>
      <c r="E188" s="160"/>
      <c r="F188" s="162" t="s">
        <v>2027</v>
      </c>
      <c r="G188" s="160"/>
      <c r="H188" s="160"/>
      <c r="I188" s="160"/>
      <c r="J188" s="160"/>
      <c r="K188" s="160"/>
      <c r="L188" s="26"/>
      <c r="M188" s="134"/>
      <c r="T188" s="50"/>
      <c r="AT188" s="14" t="s">
        <v>143</v>
      </c>
      <c r="AU188" s="14" t="s">
        <v>19</v>
      </c>
    </row>
    <row r="189" spans="2:65" s="1" customFormat="1" ht="28.8">
      <c r="B189" s="26"/>
      <c r="C189" s="160"/>
      <c r="D189" s="161" t="s">
        <v>145</v>
      </c>
      <c r="E189" s="160"/>
      <c r="F189" s="163" t="s">
        <v>2029</v>
      </c>
      <c r="G189" s="160"/>
      <c r="H189" s="160"/>
      <c r="I189" s="160"/>
      <c r="J189" s="160"/>
      <c r="K189" s="160"/>
      <c r="L189" s="26"/>
      <c r="M189" s="134"/>
      <c r="T189" s="50"/>
      <c r="AT189" s="14" t="s">
        <v>145</v>
      </c>
      <c r="AU189" s="14" t="s">
        <v>19</v>
      </c>
    </row>
    <row r="190" spans="2:65" s="11" customFormat="1">
      <c r="B190" s="136"/>
      <c r="C190" s="164"/>
      <c r="D190" s="161" t="s">
        <v>147</v>
      </c>
      <c r="E190" s="165" t="s">
        <v>2030</v>
      </c>
      <c r="F190" s="166" t="s">
        <v>2031</v>
      </c>
      <c r="G190" s="164"/>
      <c r="H190" s="167">
        <v>4</v>
      </c>
      <c r="I190" s="164"/>
      <c r="J190" s="164"/>
      <c r="K190" s="164"/>
      <c r="L190" s="136"/>
      <c r="M190" s="140"/>
      <c r="T190" s="141"/>
      <c r="AT190" s="137" t="s">
        <v>147</v>
      </c>
      <c r="AU190" s="137" t="s">
        <v>19</v>
      </c>
      <c r="AV190" s="11" t="s">
        <v>149</v>
      </c>
      <c r="AW190" s="11" t="s">
        <v>39</v>
      </c>
      <c r="AX190" s="11" t="s">
        <v>19</v>
      </c>
      <c r="AY190" s="137" t="s">
        <v>136</v>
      </c>
    </row>
    <row r="191" spans="2:65" s="1" customFormat="1" ht="16.5" customHeight="1">
      <c r="B191" s="119"/>
      <c r="C191" s="154" t="s">
        <v>858</v>
      </c>
      <c r="D191" s="154" t="s">
        <v>137</v>
      </c>
      <c r="E191" s="155" t="s">
        <v>2032</v>
      </c>
      <c r="F191" s="156" t="s">
        <v>2033</v>
      </c>
      <c r="G191" s="157" t="s">
        <v>2034</v>
      </c>
      <c r="H191" s="158">
        <v>4</v>
      </c>
      <c r="I191" s="159">
        <v>0</v>
      </c>
      <c r="J191" s="159">
        <f>ROUND(I191*H191,2)</f>
        <v>0</v>
      </c>
      <c r="K191" s="156" t="s">
        <v>141</v>
      </c>
      <c r="L191" s="26"/>
      <c r="M191" s="126" t="s">
        <v>1</v>
      </c>
      <c r="N191" s="127" t="s">
        <v>46</v>
      </c>
      <c r="O191" s="128">
        <v>0</v>
      </c>
      <c r="P191" s="128">
        <f>O191*H191</f>
        <v>0</v>
      </c>
      <c r="Q191" s="128">
        <v>0</v>
      </c>
      <c r="R191" s="128">
        <f>Q191*H191</f>
        <v>0</v>
      </c>
      <c r="S191" s="128">
        <v>0</v>
      </c>
      <c r="T191" s="129">
        <f>S191*H191</f>
        <v>0</v>
      </c>
      <c r="AR191" s="130" t="s">
        <v>135</v>
      </c>
      <c r="AT191" s="130" t="s">
        <v>137</v>
      </c>
      <c r="AU191" s="130" t="s">
        <v>19</v>
      </c>
      <c r="AY191" s="14" t="s">
        <v>136</v>
      </c>
      <c r="BE191" s="131">
        <f>IF(N191="základní",J191,0)</f>
        <v>0</v>
      </c>
      <c r="BF191" s="131">
        <f>IF(N191="snížená",J191,0)</f>
        <v>0</v>
      </c>
      <c r="BG191" s="131">
        <f>IF(N191="zákl. přenesená",J191,0)</f>
        <v>0</v>
      </c>
      <c r="BH191" s="131">
        <f>IF(N191="sníž. přenesená",J191,0)</f>
        <v>0</v>
      </c>
      <c r="BI191" s="131">
        <f>IF(N191="nulová",J191,0)</f>
        <v>0</v>
      </c>
      <c r="BJ191" s="14" t="s">
        <v>19</v>
      </c>
      <c r="BK191" s="131">
        <f>ROUND(I191*H191,2)</f>
        <v>0</v>
      </c>
      <c r="BL191" s="14" t="s">
        <v>135</v>
      </c>
      <c r="BM191" s="130" t="s">
        <v>2035</v>
      </c>
    </row>
    <row r="192" spans="2:65" s="1" customFormat="1">
      <c r="B192" s="26"/>
      <c r="C192" s="160"/>
      <c r="D192" s="161" t="s">
        <v>143</v>
      </c>
      <c r="E192" s="160"/>
      <c r="F192" s="162" t="s">
        <v>2036</v>
      </c>
      <c r="G192" s="160"/>
      <c r="H192" s="160"/>
      <c r="I192" s="160"/>
      <c r="J192" s="160"/>
      <c r="K192" s="160"/>
      <c r="L192" s="26"/>
      <c r="M192" s="134"/>
      <c r="T192" s="50"/>
      <c r="AT192" s="14" t="s">
        <v>143</v>
      </c>
      <c r="AU192" s="14" t="s">
        <v>19</v>
      </c>
    </row>
    <row r="193" spans="2:65" s="1" customFormat="1" ht="259.2">
      <c r="B193" s="26"/>
      <c r="C193" s="160"/>
      <c r="D193" s="161" t="s">
        <v>145</v>
      </c>
      <c r="E193" s="160"/>
      <c r="F193" s="163" t="s">
        <v>2037</v>
      </c>
      <c r="G193" s="160"/>
      <c r="H193" s="160"/>
      <c r="I193" s="160"/>
      <c r="J193" s="160"/>
      <c r="K193" s="160"/>
      <c r="L193" s="26"/>
      <c r="M193" s="134"/>
      <c r="T193" s="50"/>
      <c r="AT193" s="14" t="s">
        <v>145</v>
      </c>
      <c r="AU193" s="14" t="s">
        <v>19</v>
      </c>
    </row>
    <row r="194" spans="2:65" s="11" customFormat="1">
      <c r="B194" s="136"/>
      <c r="C194" s="164"/>
      <c r="D194" s="161" t="s">
        <v>147</v>
      </c>
      <c r="E194" s="165" t="s">
        <v>2038</v>
      </c>
      <c r="F194" s="166" t="s">
        <v>2039</v>
      </c>
      <c r="G194" s="164"/>
      <c r="H194" s="167">
        <v>4</v>
      </c>
      <c r="I194" s="164"/>
      <c r="J194" s="164"/>
      <c r="K194" s="164"/>
      <c r="L194" s="136"/>
      <c r="M194" s="140"/>
      <c r="T194" s="141"/>
      <c r="AT194" s="137" t="s">
        <v>147</v>
      </c>
      <c r="AU194" s="137" t="s">
        <v>19</v>
      </c>
      <c r="AV194" s="11" t="s">
        <v>149</v>
      </c>
      <c r="AW194" s="11" t="s">
        <v>39</v>
      </c>
      <c r="AX194" s="11" t="s">
        <v>19</v>
      </c>
      <c r="AY194" s="137" t="s">
        <v>136</v>
      </c>
    </row>
    <row r="195" spans="2:65" s="1" customFormat="1" ht="24.15" customHeight="1">
      <c r="B195" s="119"/>
      <c r="C195" s="154" t="s">
        <v>864</v>
      </c>
      <c r="D195" s="154" t="s">
        <v>137</v>
      </c>
      <c r="E195" s="155" t="s">
        <v>2040</v>
      </c>
      <c r="F195" s="156" t="s">
        <v>2041</v>
      </c>
      <c r="G195" s="157" t="s">
        <v>260</v>
      </c>
      <c r="H195" s="158">
        <v>292.60000000000002</v>
      </c>
      <c r="I195" s="159">
        <v>0</v>
      </c>
      <c r="J195" s="159">
        <f>ROUND(I195*H195,2)</f>
        <v>0</v>
      </c>
      <c r="K195" s="156" t="s">
        <v>141</v>
      </c>
      <c r="L195" s="26"/>
      <c r="M195" s="126" t="s">
        <v>1</v>
      </c>
      <c r="N195" s="127" t="s">
        <v>46</v>
      </c>
      <c r="O195" s="128">
        <v>0</v>
      </c>
      <c r="P195" s="128">
        <f>O195*H195</f>
        <v>0</v>
      </c>
      <c r="Q195" s="128">
        <v>0</v>
      </c>
      <c r="R195" s="128">
        <f>Q195*H195</f>
        <v>0</v>
      </c>
      <c r="S195" s="128">
        <v>0</v>
      </c>
      <c r="T195" s="129">
        <f>S195*H195</f>
        <v>0</v>
      </c>
      <c r="AR195" s="130" t="s">
        <v>135</v>
      </c>
      <c r="AT195" s="130" t="s">
        <v>137</v>
      </c>
      <c r="AU195" s="130" t="s">
        <v>19</v>
      </c>
      <c r="AY195" s="14" t="s">
        <v>136</v>
      </c>
      <c r="BE195" s="131">
        <f>IF(N195="základní",J195,0)</f>
        <v>0</v>
      </c>
      <c r="BF195" s="131">
        <f>IF(N195="snížená",J195,0)</f>
        <v>0</v>
      </c>
      <c r="BG195" s="131">
        <f>IF(N195="zákl. přenesená",J195,0)</f>
        <v>0</v>
      </c>
      <c r="BH195" s="131">
        <f>IF(N195="sníž. přenesená",J195,0)</f>
        <v>0</v>
      </c>
      <c r="BI195" s="131">
        <f>IF(N195="nulová",J195,0)</f>
        <v>0</v>
      </c>
      <c r="BJ195" s="14" t="s">
        <v>19</v>
      </c>
      <c r="BK195" s="131">
        <f>ROUND(I195*H195,2)</f>
        <v>0</v>
      </c>
      <c r="BL195" s="14" t="s">
        <v>135</v>
      </c>
      <c r="BM195" s="130" t="s">
        <v>2042</v>
      </c>
    </row>
    <row r="196" spans="2:65" s="1" customFormat="1">
      <c r="B196" s="26"/>
      <c r="C196" s="160"/>
      <c r="D196" s="161" t="s">
        <v>143</v>
      </c>
      <c r="E196" s="160"/>
      <c r="F196" s="162" t="s">
        <v>2043</v>
      </c>
      <c r="G196" s="160"/>
      <c r="H196" s="160"/>
      <c r="I196" s="160"/>
      <c r="J196" s="160"/>
      <c r="K196" s="160"/>
      <c r="L196" s="26"/>
      <c r="M196" s="134"/>
      <c r="T196" s="50"/>
      <c r="AT196" s="14" t="s">
        <v>143</v>
      </c>
      <c r="AU196" s="14" t="s">
        <v>19</v>
      </c>
    </row>
    <row r="197" spans="2:65" s="1" customFormat="1" ht="28.8">
      <c r="B197" s="26"/>
      <c r="C197" s="160"/>
      <c r="D197" s="161" t="s">
        <v>145</v>
      </c>
      <c r="E197" s="160"/>
      <c r="F197" s="163" t="s">
        <v>2044</v>
      </c>
      <c r="G197" s="160"/>
      <c r="H197" s="160"/>
      <c r="I197" s="160"/>
      <c r="J197" s="160"/>
      <c r="K197" s="160"/>
      <c r="L197" s="26"/>
      <c r="M197" s="134"/>
      <c r="T197" s="50"/>
      <c r="AT197" s="14" t="s">
        <v>145</v>
      </c>
      <c r="AU197" s="14" t="s">
        <v>19</v>
      </c>
    </row>
    <row r="198" spans="2:65" s="11" customFormat="1">
      <c r="B198" s="136"/>
      <c r="C198" s="164"/>
      <c r="D198" s="161" t="s">
        <v>147</v>
      </c>
      <c r="E198" s="165" t="s">
        <v>2045</v>
      </c>
      <c r="F198" s="166" t="s">
        <v>2046</v>
      </c>
      <c r="G198" s="164"/>
      <c r="H198" s="167">
        <v>215.60000000000002</v>
      </c>
      <c r="I198" s="164"/>
      <c r="J198" s="164"/>
      <c r="K198" s="164"/>
      <c r="L198" s="136"/>
      <c r="M198" s="140"/>
      <c r="T198" s="141"/>
      <c r="AT198" s="137" t="s">
        <v>147</v>
      </c>
      <c r="AU198" s="137" t="s">
        <v>19</v>
      </c>
      <c r="AV198" s="11" t="s">
        <v>149</v>
      </c>
      <c r="AW198" s="11" t="s">
        <v>39</v>
      </c>
      <c r="AX198" s="11" t="s">
        <v>81</v>
      </c>
      <c r="AY198" s="137" t="s">
        <v>136</v>
      </c>
    </row>
    <row r="199" spans="2:65" s="11" customFormat="1">
      <c r="B199" s="136"/>
      <c r="C199" s="164"/>
      <c r="D199" s="161" t="s">
        <v>147</v>
      </c>
      <c r="E199" s="165" t="s">
        <v>2047</v>
      </c>
      <c r="F199" s="166" t="s">
        <v>2048</v>
      </c>
      <c r="G199" s="164"/>
      <c r="H199" s="167">
        <v>77</v>
      </c>
      <c r="I199" s="164"/>
      <c r="J199" s="164"/>
      <c r="K199" s="164"/>
      <c r="L199" s="136"/>
      <c r="M199" s="140"/>
      <c r="T199" s="141"/>
      <c r="AT199" s="137" t="s">
        <v>147</v>
      </c>
      <c r="AU199" s="137" t="s">
        <v>19</v>
      </c>
      <c r="AV199" s="11" t="s">
        <v>149</v>
      </c>
      <c r="AW199" s="11" t="s">
        <v>39</v>
      </c>
      <c r="AX199" s="11" t="s">
        <v>81</v>
      </c>
      <c r="AY199" s="137" t="s">
        <v>136</v>
      </c>
    </row>
    <row r="200" spans="2:65" s="11" customFormat="1">
      <c r="B200" s="136"/>
      <c r="C200" s="164"/>
      <c r="D200" s="161" t="s">
        <v>147</v>
      </c>
      <c r="E200" s="165" t="s">
        <v>1</v>
      </c>
      <c r="F200" s="166" t="s">
        <v>2049</v>
      </c>
      <c r="G200" s="164"/>
      <c r="H200" s="167">
        <v>292.60000000000002</v>
      </c>
      <c r="I200" s="164"/>
      <c r="J200" s="164"/>
      <c r="K200" s="164"/>
      <c r="L200" s="136"/>
      <c r="M200" s="140"/>
      <c r="T200" s="141"/>
      <c r="AT200" s="137" t="s">
        <v>147</v>
      </c>
      <c r="AU200" s="137" t="s">
        <v>19</v>
      </c>
      <c r="AV200" s="11" t="s">
        <v>149</v>
      </c>
      <c r="AW200" s="11" t="s">
        <v>39</v>
      </c>
      <c r="AX200" s="11" t="s">
        <v>19</v>
      </c>
      <c r="AY200" s="137" t="s">
        <v>136</v>
      </c>
    </row>
    <row r="201" spans="2:65" s="1" customFormat="1" ht="24.15" customHeight="1">
      <c r="B201" s="119"/>
      <c r="C201" s="154" t="s">
        <v>871</v>
      </c>
      <c r="D201" s="154" t="s">
        <v>137</v>
      </c>
      <c r="E201" s="155" t="s">
        <v>2050</v>
      </c>
      <c r="F201" s="156" t="s">
        <v>2051</v>
      </c>
      <c r="G201" s="157" t="s">
        <v>260</v>
      </c>
      <c r="H201" s="158">
        <v>292.60000000000002</v>
      </c>
      <c r="I201" s="159">
        <v>0</v>
      </c>
      <c r="J201" s="159">
        <f>ROUND(I201*H201,2)</f>
        <v>0</v>
      </c>
      <c r="K201" s="156" t="s">
        <v>141</v>
      </c>
      <c r="L201" s="26"/>
      <c r="M201" s="126" t="s">
        <v>1</v>
      </c>
      <c r="N201" s="127" t="s">
        <v>46</v>
      </c>
      <c r="O201" s="128">
        <v>0</v>
      </c>
      <c r="P201" s="128">
        <f>O201*H201</f>
        <v>0</v>
      </c>
      <c r="Q201" s="128">
        <v>0</v>
      </c>
      <c r="R201" s="128">
        <f>Q201*H201</f>
        <v>0</v>
      </c>
      <c r="S201" s="128">
        <v>0</v>
      </c>
      <c r="T201" s="129">
        <f>S201*H201</f>
        <v>0</v>
      </c>
      <c r="AR201" s="130" t="s">
        <v>135</v>
      </c>
      <c r="AT201" s="130" t="s">
        <v>137</v>
      </c>
      <c r="AU201" s="130" t="s">
        <v>19</v>
      </c>
      <c r="AY201" s="14" t="s">
        <v>136</v>
      </c>
      <c r="BE201" s="131">
        <f>IF(N201="základní",J201,0)</f>
        <v>0</v>
      </c>
      <c r="BF201" s="131">
        <f>IF(N201="snížená",J201,0)</f>
        <v>0</v>
      </c>
      <c r="BG201" s="131">
        <f>IF(N201="zákl. přenesená",J201,0)</f>
        <v>0</v>
      </c>
      <c r="BH201" s="131">
        <f>IF(N201="sníž. přenesená",J201,0)</f>
        <v>0</v>
      </c>
      <c r="BI201" s="131">
        <f>IF(N201="nulová",J201,0)</f>
        <v>0</v>
      </c>
      <c r="BJ201" s="14" t="s">
        <v>19</v>
      </c>
      <c r="BK201" s="131">
        <f>ROUND(I201*H201,2)</f>
        <v>0</v>
      </c>
      <c r="BL201" s="14" t="s">
        <v>135</v>
      </c>
      <c r="BM201" s="130" t="s">
        <v>2052</v>
      </c>
    </row>
    <row r="202" spans="2:65" s="1" customFormat="1">
      <c r="B202" s="26"/>
      <c r="C202" s="160"/>
      <c r="D202" s="161" t="s">
        <v>143</v>
      </c>
      <c r="E202" s="160"/>
      <c r="F202" s="162" t="s">
        <v>2043</v>
      </c>
      <c r="G202" s="160"/>
      <c r="H202" s="160"/>
      <c r="I202" s="160"/>
      <c r="J202" s="160"/>
      <c r="K202" s="160"/>
      <c r="L202" s="26"/>
      <c r="M202" s="134"/>
      <c r="T202" s="50"/>
      <c r="AT202" s="14" t="s">
        <v>143</v>
      </c>
      <c r="AU202" s="14" t="s">
        <v>19</v>
      </c>
    </row>
    <row r="203" spans="2:65" s="1" customFormat="1" ht="28.8">
      <c r="B203" s="26"/>
      <c r="C203" s="160"/>
      <c r="D203" s="161" t="s">
        <v>145</v>
      </c>
      <c r="E203" s="160"/>
      <c r="F203" s="163" t="s">
        <v>2044</v>
      </c>
      <c r="G203" s="160"/>
      <c r="H203" s="160"/>
      <c r="I203" s="160"/>
      <c r="J203" s="160"/>
      <c r="K203" s="160"/>
      <c r="L203" s="26"/>
      <c r="M203" s="134"/>
      <c r="T203" s="50"/>
      <c r="AT203" s="14" t="s">
        <v>145</v>
      </c>
      <c r="AU203" s="14" t="s">
        <v>19</v>
      </c>
    </row>
    <row r="204" spans="2:65" s="11" customFormat="1">
      <c r="B204" s="136"/>
      <c r="C204" s="164"/>
      <c r="D204" s="161" t="s">
        <v>147</v>
      </c>
      <c r="E204" s="165" t="s">
        <v>2053</v>
      </c>
      <c r="F204" s="166" t="s">
        <v>2054</v>
      </c>
      <c r="G204" s="164"/>
      <c r="H204" s="167">
        <v>292.60000000000002</v>
      </c>
      <c r="I204" s="164"/>
      <c r="J204" s="164"/>
      <c r="K204" s="164"/>
      <c r="L204" s="136"/>
      <c r="M204" s="140"/>
      <c r="T204" s="141"/>
      <c r="AT204" s="137" t="s">
        <v>147</v>
      </c>
      <c r="AU204" s="137" t="s">
        <v>19</v>
      </c>
      <c r="AV204" s="11" t="s">
        <v>149</v>
      </c>
      <c r="AW204" s="11" t="s">
        <v>39</v>
      </c>
      <c r="AX204" s="11" t="s">
        <v>19</v>
      </c>
      <c r="AY204" s="137" t="s">
        <v>136</v>
      </c>
    </row>
    <row r="205" spans="2:65" s="1" customFormat="1" ht="16.5" customHeight="1">
      <c r="B205" s="119"/>
      <c r="C205" s="154" t="s">
        <v>1427</v>
      </c>
      <c r="D205" s="154" t="s">
        <v>137</v>
      </c>
      <c r="E205" s="155" t="s">
        <v>2055</v>
      </c>
      <c r="F205" s="156" t="s">
        <v>2056</v>
      </c>
      <c r="G205" s="157" t="s">
        <v>260</v>
      </c>
      <c r="H205" s="158">
        <v>99</v>
      </c>
      <c r="I205" s="159">
        <v>0</v>
      </c>
      <c r="J205" s="159">
        <f>ROUND(I205*H205,2)</f>
        <v>0</v>
      </c>
      <c r="K205" s="156" t="s">
        <v>141</v>
      </c>
      <c r="L205" s="26"/>
      <c r="M205" s="126" t="s">
        <v>1</v>
      </c>
      <c r="N205" s="127" t="s">
        <v>46</v>
      </c>
      <c r="O205" s="128">
        <v>0</v>
      </c>
      <c r="P205" s="128">
        <f>O205*H205</f>
        <v>0</v>
      </c>
      <c r="Q205" s="128">
        <v>0</v>
      </c>
      <c r="R205" s="128">
        <f>Q205*H205</f>
        <v>0</v>
      </c>
      <c r="S205" s="128">
        <v>0</v>
      </c>
      <c r="T205" s="129">
        <f>S205*H205</f>
        <v>0</v>
      </c>
      <c r="AR205" s="130" t="s">
        <v>135</v>
      </c>
      <c r="AT205" s="130" t="s">
        <v>137</v>
      </c>
      <c r="AU205" s="130" t="s">
        <v>19</v>
      </c>
      <c r="AY205" s="14" t="s">
        <v>136</v>
      </c>
      <c r="BE205" s="131">
        <f>IF(N205="základní",J205,0)</f>
        <v>0</v>
      </c>
      <c r="BF205" s="131">
        <f>IF(N205="snížená",J205,0)</f>
        <v>0</v>
      </c>
      <c r="BG205" s="131">
        <f>IF(N205="zákl. přenesená",J205,0)</f>
        <v>0</v>
      </c>
      <c r="BH205" s="131">
        <f>IF(N205="sníž. přenesená",J205,0)</f>
        <v>0</v>
      </c>
      <c r="BI205" s="131">
        <f>IF(N205="nulová",J205,0)</f>
        <v>0</v>
      </c>
      <c r="BJ205" s="14" t="s">
        <v>19</v>
      </c>
      <c r="BK205" s="131">
        <f>ROUND(I205*H205,2)</f>
        <v>0</v>
      </c>
      <c r="BL205" s="14" t="s">
        <v>135</v>
      </c>
      <c r="BM205" s="130" t="s">
        <v>2057</v>
      </c>
    </row>
    <row r="206" spans="2:65" s="1" customFormat="1" ht="28.8">
      <c r="B206" s="26"/>
      <c r="C206" s="160"/>
      <c r="D206" s="161" t="s">
        <v>143</v>
      </c>
      <c r="E206" s="160"/>
      <c r="F206" s="162" t="s">
        <v>2058</v>
      </c>
      <c r="G206" s="160"/>
      <c r="H206" s="160"/>
      <c r="I206" s="160"/>
      <c r="J206" s="160"/>
      <c r="K206" s="160"/>
      <c r="L206" s="26"/>
      <c r="M206" s="134"/>
      <c r="T206" s="50"/>
      <c r="AT206" s="14" t="s">
        <v>143</v>
      </c>
      <c r="AU206" s="14" t="s">
        <v>19</v>
      </c>
    </row>
    <row r="207" spans="2:65" s="1" customFormat="1" ht="86.4">
      <c r="B207" s="26"/>
      <c r="C207" s="160"/>
      <c r="D207" s="161" t="s">
        <v>145</v>
      </c>
      <c r="E207" s="160"/>
      <c r="F207" s="163" t="s">
        <v>2059</v>
      </c>
      <c r="G207" s="160"/>
      <c r="H207" s="160"/>
      <c r="I207" s="160"/>
      <c r="J207" s="160"/>
      <c r="K207" s="160"/>
      <c r="L207" s="26"/>
      <c r="M207" s="134"/>
      <c r="T207" s="50"/>
      <c r="AT207" s="14" t="s">
        <v>145</v>
      </c>
      <c r="AU207" s="14" t="s">
        <v>19</v>
      </c>
    </row>
    <row r="208" spans="2:65" s="11" customFormat="1">
      <c r="B208" s="136"/>
      <c r="C208" s="164"/>
      <c r="D208" s="161" t="s">
        <v>147</v>
      </c>
      <c r="E208" s="165" t="s">
        <v>2060</v>
      </c>
      <c r="F208" s="166" t="s">
        <v>1969</v>
      </c>
      <c r="G208" s="164"/>
      <c r="H208" s="167">
        <v>99</v>
      </c>
      <c r="I208" s="164"/>
      <c r="J208" s="164"/>
      <c r="K208" s="164"/>
      <c r="L208" s="136"/>
      <c r="M208" s="142"/>
      <c r="N208" s="143"/>
      <c r="O208" s="143"/>
      <c r="P208" s="143"/>
      <c r="Q208" s="143"/>
      <c r="R208" s="143"/>
      <c r="S208" s="143"/>
      <c r="T208" s="144"/>
      <c r="AT208" s="137" t="s">
        <v>147</v>
      </c>
      <c r="AU208" s="137" t="s">
        <v>19</v>
      </c>
      <c r="AV208" s="11" t="s">
        <v>149</v>
      </c>
      <c r="AW208" s="11" t="s">
        <v>39</v>
      </c>
      <c r="AX208" s="11" t="s">
        <v>19</v>
      </c>
      <c r="AY208" s="137" t="s">
        <v>136</v>
      </c>
    </row>
    <row r="209" spans="2:12" s="1" customFormat="1" ht="6.9" customHeight="1">
      <c r="B209" s="38"/>
      <c r="C209" s="39"/>
      <c r="D209" s="39"/>
      <c r="E209" s="39"/>
      <c r="F209" s="39"/>
      <c r="G209" s="39"/>
      <c r="H209" s="39"/>
      <c r="I209" s="39"/>
      <c r="J209" s="39"/>
      <c r="K209" s="39"/>
      <c r="L209" s="26"/>
    </row>
  </sheetData>
  <autoFilter ref="C16:K208" xr:uid="{00000000-0009-0000-0000-000006000000}"/>
  <mergeCells count="2">
    <mergeCell ref="E7:H7"/>
    <mergeCell ref="E9:H9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B3:BM360"/>
  <sheetViews>
    <sheetView showGridLines="0" workbookViewId="0">
      <selection activeCell="A109" sqref="A1:XFD109"/>
    </sheetView>
  </sheetViews>
  <sheetFormatPr defaultRowHeight="10.199999999999999"/>
  <cols>
    <col min="1" max="1" width="8.28515625" customWidth="1"/>
    <col min="2" max="2" width="1.140625" customWidth="1"/>
    <col min="3" max="3" width="4.140625" customWidth="1"/>
    <col min="4" max="4" width="4.28515625" customWidth="1"/>
    <col min="5" max="5" width="17.140625" customWidth="1"/>
    <col min="6" max="6" width="50.85546875" customWidth="1"/>
    <col min="7" max="7" width="7.42578125" customWidth="1"/>
    <col min="8" max="8" width="14" customWidth="1"/>
    <col min="9" max="9" width="15.85546875" customWidth="1"/>
    <col min="10" max="11" width="22.28515625" customWidth="1"/>
    <col min="12" max="12" width="9.28515625" customWidth="1"/>
    <col min="13" max="13" width="10.85546875" hidden="1" customWidth="1"/>
    <col min="14" max="14" width="9.28515625" hidden="1"/>
    <col min="15" max="20" width="14.140625" hidden="1" customWidth="1"/>
    <col min="21" max="21" width="16.28515625" hidden="1" customWidth="1"/>
    <col min="22" max="22" width="12.28515625" customWidth="1"/>
    <col min="23" max="23" width="16.28515625" customWidth="1"/>
    <col min="24" max="24" width="12.28515625" customWidth="1"/>
    <col min="25" max="25" width="15" customWidth="1"/>
    <col min="26" max="26" width="11" customWidth="1"/>
    <col min="27" max="27" width="15" customWidth="1"/>
    <col min="28" max="28" width="16.28515625" customWidth="1"/>
    <col min="29" max="29" width="11" customWidth="1"/>
    <col min="30" max="30" width="15" customWidth="1"/>
    <col min="31" max="31" width="16.28515625" customWidth="1"/>
    <col min="44" max="65" width="9.28515625" hidden="1"/>
  </cols>
  <sheetData>
    <row r="3" spans="2:20" s="1" customFormat="1" ht="6.9" customHeight="1">
      <c r="B3" s="40"/>
      <c r="C3" s="41"/>
      <c r="D3" s="41"/>
      <c r="E3" s="41"/>
      <c r="F3" s="41"/>
      <c r="G3" s="41"/>
      <c r="H3" s="41"/>
      <c r="I3" s="41"/>
      <c r="J3" s="41"/>
      <c r="K3" s="41"/>
      <c r="L3" s="26"/>
    </row>
    <row r="4" spans="2:20" s="1" customFormat="1" ht="24.9" customHeight="1">
      <c r="B4" s="26"/>
      <c r="C4" s="18" t="s">
        <v>121</v>
      </c>
      <c r="L4" s="26"/>
    </row>
    <row r="5" spans="2:20" s="1" customFormat="1" ht="6.9" customHeight="1">
      <c r="B5" s="26"/>
      <c r="L5" s="26"/>
    </row>
    <row r="6" spans="2:20" s="1" customFormat="1" ht="12" customHeight="1">
      <c r="B6" s="26"/>
      <c r="C6" s="23" t="s">
        <v>14</v>
      </c>
      <c r="L6" s="26"/>
    </row>
    <row r="7" spans="2:20" s="1" customFormat="1" ht="16.5" customHeight="1">
      <c r="B7" s="26"/>
      <c r="E7" s="203" t="e">
        <f>#REF!</f>
        <v>#REF!</v>
      </c>
      <c r="F7" s="204"/>
      <c r="G7" s="204"/>
      <c r="H7" s="204"/>
      <c r="L7" s="26"/>
    </row>
    <row r="8" spans="2:20" s="1" customFormat="1" ht="12" customHeight="1">
      <c r="B8" s="26"/>
      <c r="C8" s="23" t="s">
        <v>113</v>
      </c>
      <c r="L8" s="26"/>
    </row>
    <row r="9" spans="2:20" s="1" customFormat="1" ht="16.5" customHeight="1">
      <c r="B9" s="26"/>
      <c r="E9" s="168" t="e">
        <f>#REF!</f>
        <v>#REF!</v>
      </c>
      <c r="F9" s="202"/>
      <c r="G9" s="202"/>
      <c r="H9" s="202"/>
      <c r="L9" s="26"/>
    </row>
    <row r="10" spans="2:20" s="1" customFormat="1" ht="6.9" customHeight="1">
      <c r="B10" s="26"/>
      <c r="L10" s="26"/>
    </row>
    <row r="11" spans="2:20" s="1" customFormat="1" ht="12" customHeight="1">
      <c r="B11" s="26"/>
      <c r="C11" s="23" t="s">
        <v>20</v>
      </c>
      <c r="F11" s="21" t="e">
        <f>#REF!</f>
        <v>#REF!</v>
      </c>
      <c r="I11" s="23" t="s">
        <v>22</v>
      </c>
      <c r="J11" s="46" t="e">
        <f>IF(#REF!="","",#REF!)</f>
        <v>#REF!</v>
      </c>
      <c r="L11" s="26"/>
    </row>
    <row r="12" spans="2:20" s="1" customFormat="1" ht="6.9" customHeight="1">
      <c r="B12" s="26"/>
      <c r="L12" s="26"/>
    </row>
    <row r="13" spans="2:20" s="1" customFormat="1" ht="15.15" customHeight="1">
      <c r="B13" s="26"/>
      <c r="C13" s="23" t="s">
        <v>26</v>
      </c>
      <c r="F13" s="21" t="e">
        <f>#REF!</f>
        <v>#REF!</v>
      </c>
      <c r="I13" s="23" t="s">
        <v>33</v>
      </c>
      <c r="J13" s="24" t="e">
        <f>#REF!</f>
        <v>#REF!</v>
      </c>
      <c r="L13" s="26"/>
    </row>
    <row r="14" spans="2:20" s="1" customFormat="1" ht="15.15" customHeight="1">
      <c r="B14" s="26"/>
      <c r="C14" s="23" t="s">
        <v>32</v>
      </c>
      <c r="F14" s="21" t="e">
        <f>IF(#REF!="","",#REF!)</f>
        <v>#REF!</v>
      </c>
      <c r="I14" s="23" t="s">
        <v>37</v>
      </c>
      <c r="J14" s="24" t="e">
        <f>#REF!</f>
        <v>#REF!</v>
      </c>
      <c r="L14" s="26"/>
    </row>
    <row r="15" spans="2:20" s="1" customFormat="1" ht="10.35" customHeight="1">
      <c r="B15" s="26"/>
      <c r="L15" s="26"/>
    </row>
    <row r="16" spans="2:20" s="9" customFormat="1" ht="29.25" customHeight="1">
      <c r="B16" s="102"/>
      <c r="C16" s="103" t="s">
        <v>122</v>
      </c>
      <c r="D16" s="104" t="s">
        <v>66</v>
      </c>
      <c r="E16" s="104" t="s">
        <v>62</v>
      </c>
      <c r="F16" s="104" t="s">
        <v>63</v>
      </c>
      <c r="G16" s="104" t="s">
        <v>123</v>
      </c>
      <c r="H16" s="104" t="s">
        <v>124</v>
      </c>
      <c r="I16" s="104" t="s">
        <v>125</v>
      </c>
      <c r="J16" s="104" t="s">
        <v>117</v>
      </c>
      <c r="K16" s="105" t="s">
        <v>126</v>
      </c>
      <c r="L16" s="102"/>
      <c r="M16" s="53" t="s">
        <v>1</v>
      </c>
      <c r="N16" s="54" t="s">
        <v>45</v>
      </c>
      <c r="O16" s="54" t="s">
        <v>127</v>
      </c>
      <c r="P16" s="54" t="s">
        <v>128</v>
      </c>
      <c r="Q16" s="54" t="s">
        <v>129</v>
      </c>
      <c r="R16" s="54" t="s">
        <v>130</v>
      </c>
      <c r="S16" s="54" t="s">
        <v>131</v>
      </c>
      <c r="T16" s="55" t="s">
        <v>132</v>
      </c>
    </row>
    <row r="17" spans="2:65" s="1" customFormat="1" ht="22.95" customHeight="1">
      <c r="B17" s="26"/>
      <c r="C17" s="58" t="s">
        <v>133</v>
      </c>
      <c r="J17" s="106" t="e">
        <f>BK17</f>
        <v>#REF!</v>
      </c>
      <c r="L17" s="26"/>
      <c r="M17" s="56"/>
      <c r="N17" s="47"/>
      <c r="O17" s="47"/>
      <c r="P17" s="107" t="e">
        <f>P18+P60+P61+P106+P149+P193+P194+P218+P286+P287</f>
        <v>#REF!</v>
      </c>
      <c r="Q17" s="47"/>
      <c r="R17" s="107" t="e">
        <f>R18+R60+R61+R106+R149+R193+R194+R218+R286+R287</f>
        <v>#REF!</v>
      </c>
      <c r="S17" s="47"/>
      <c r="T17" s="108" t="e">
        <f>T18+T60+T61+T106+T149+T193+T194+T218+T286+T287</f>
        <v>#REF!</v>
      </c>
      <c r="AT17" s="14" t="s">
        <v>80</v>
      </c>
      <c r="AU17" s="14" t="s">
        <v>90</v>
      </c>
      <c r="BK17" s="109" t="e">
        <f>BK18+BK60+BK61+BK106+BK149+BK193+BK194+BK218+BK286+BK287</f>
        <v>#REF!</v>
      </c>
    </row>
    <row r="18" spans="2:65" s="10" customFormat="1" ht="25.95" customHeight="1">
      <c r="B18" s="110"/>
      <c r="D18" s="111" t="s">
        <v>80</v>
      </c>
      <c r="E18" s="112" t="s">
        <v>81</v>
      </c>
      <c r="F18" s="112" t="s">
        <v>134</v>
      </c>
      <c r="J18" s="113">
        <f>BK18</f>
        <v>0</v>
      </c>
      <c r="L18" s="110"/>
      <c r="M18" s="114"/>
      <c r="P18" s="115">
        <f>SUM(P19:P59)</f>
        <v>0</v>
      </c>
      <c r="R18" s="115">
        <f>SUM(R19:R59)</f>
        <v>0</v>
      </c>
      <c r="T18" s="116">
        <f>SUM(T19:T59)</f>
        <v>0</v>
      </c>
      <c r="AR18" s="111" t="s">
        <v>135</v>
      </c>
      <c r="AT18" s="117" t="s">
        <v>80</v>
      </c>
      <c r="AU18" s="117" t="s">
        <v>81</v>
      </c>
      <c r="AY18" s="111" t="s">
        <v>136</v>
      </c>
      <c r="BK18" s="118">
        <f>SUM(BK19:BK59)</f>
        <v>0</v>
      </c>
    </row>
    <row r="19" spans="2:65" s="1" customFormat="1" ht="16.5" customHeight="1">
      <c r="B19" s="119"/>
      <c r="C19" s="120" t="s">
        <v>19</v>
      </c>
      <c r="D19" s="120" t="s">
        <v>137</v>
      </c>
      <c r="E19" s="121" t="s">
        <v>214</v>
      </c>
      <c r="F19" s="122" t="s">
        <v>215</v>
      </c>
      <c r="G19" s="123" t="s">
        <v>216</v>
      </c>
      <c r="H19" s="124">
        <v>529.20000000000005</v>
      </c>
      <c r="I19" s="125">
        <v>0</v>
      </c>
      <c r="J19" s="125">
        <f>ROUND(I19*H19,2)</f>
        <v>0</v>
      </c>
      <c r="K19" s="122" t="s">
        <v>141</v>
      </c>
      <c r="L19" s="26"/>
      <c r="M19" s="126" t="s">
        <v>1</v>
      </c>
      <c r="N19" s="127" t="s">
        <v>46</v>
      </c>
      <c r="O19" s="128">
        <v>0</v>
      </c>
      <c r="P19" s="128">
        <f>O19*H19</f>
        <v>0</v>
      </c>
      <c r="Q19" s="128">
        <v>0</v>
      </c>
      <c r="R19" s="128">
        <f>Q19*H19</f>
        <v>0</v>
      </c>
      <c r="S19" s="128">
        <v>0</v>
      </c>
      <c r="T19" s="129">
        <f>S19*H19</f>
        <v>0</v>
      </c>
      <c r="AR19" s="130" t="s">
        <v>135</v>
      </c>
      <c r="AT19" s="130" t="s">
        <v>137</v>
      </c>
      <c r="AU19" s="130" t="s">
        <v>19</v>
      </c>
      <c r="AY19" s="14" t="s">
        <v>136</v>
      </c>
      <c r="BE19" s="131">
        <f>IF(N19="základní",J19,0)</f>
        <v>0</v>
      </c>
      <c r="BF19" s="131">
        <f>IF(N19="snížená",J19,0)</f>
        <v>0</v>
      </c>
      <c r="BG19" s="131">
        <f>IF(N19="zákl. přenesená",J19,0)</f>
        <v>0</v>
      </c>
      <c r="BH19" s="131">
        <f>IF(N19="sníž. přenesená",J19,0)</f>
        <v>0</v>
      </c>
      <c r="BI19" s="131">
        <f>IF(N19="nulová",J19,0)</f>
        <v>0</v>
      </c>
      <c r="BJ19" s="14" t="s">
        <v>19</v>
      </c>
      <c r="BK19" s="131">
        <f>ROUND(I19*H19,2)</f>
        <v>0</v>
      </c>
      <c r="BL19" s="14" t="s">
        <v>135</v>
      </c>
      <c r="BM19" s="130" t="s">
        <v>2065</v>
      </c>
    </row>
    <row r="20" spans="2:65" s="1" customFormat="1">
      <c r="B20" s="26"/>
      <c r="D20" s="132" t="s">
        <v>143</v>
      </c>
      <c r="F20" s="133" t="s">
        <v>2066</v>
      </c>
      <c r="L20" s="26"/>
      <c r="M20" s="134"/>
      <c r="T20" s="50"/>
      <c r="AT20" s="14" t="s">
        <v>143</v>
      </c>
      <c r="AU20" s="14" t="s">
        <v>19</v>
      </c>
    </row>
    <row r="21" spans="2:65" s="1" customFormat="1" ht="38.4">
      <c r="B21" s="26"/>
      <c r="D21" s="132" t="s">
        <v>145</v>
      </c>
      <c r="F21" s="135" t="s">
        <v>218</v>
      </c>
      <c r="L21" s="26"/>
      <c r="M21" s="134"/>
      <c r="T21" s="50"/>
      <c r="AT21" s="14" t="s">
        <v>145</v>
      </c>
      <c r="AU21" s="14" t="s">
        <v>19</v>
      </c>
    </row>
    <row r="22" spans="2:65" s="11" customFormat="1">
      <c r="B22" s="136"/>
      <c r="D22" s="132" t="s">
        <v>147</v>
      </c>
      <c r="E22" s="137" t="s">
        <v>2067</v>
      </c>
      <c r="F22" s="138" t="s">
        <v>2068</v>
      </c>
      <c r="H22" s="139">
        <v>529.20000000000005</v>
      </c>
      <c r="L22" s="136"/>
      <c r="M22" s="140"/>
      <c r="T22" s="141"/>
      <c r="AT22" s="137" t="s">
        <v>147</v>
      </c>
      <c r="AU22" s="137" t="s">
        <v>19</v>
      </c>
      <c r="AV22" s="11" t="s">
        <v>149</v>
      </c>
      <c r="AW22" s="11" t="s">
        <v>39</v>
      </c>
      <c r="AX22" s="11" t="s">
        <v>81</v>
      </c>
      <c r="AY22" s="137" t="s">
        <v>136</v>
      </c>
    </row>
    <row r="23" spans="2:65" s="11" customFormat="1">
      <c r="B23" s="136"/>
      <c r="D23" s="132" t="s">
        <v>147</v>
      </c>
      <c r="E23" s="137" t="s">
        <v>1</v>
      </c>
      <c r="F23" s="138" t="s">
        <v>2069</v>
      </c>
      <c r="H23" s="139">
        <v>529.20000000000005</v>
      </c>
      <c r="L23" s="136"/>
      <c r="M23" s="140"/>
      <c r="T23" s="141"/>
      <c r="AT23" s="137" t="s">
        <v>147</v>
      </c>
      <c r="AU23" s="137" t="s">
        <v>19</v>
      </c>
      <c r="AV23" s="11" t="s">
        <v>149</v>
      </c>
      <c r="AW23" s="11" t="s">
        <v>39</v>
      </c>
      <c r="AX23" s="11" t="s">
        <v>19</v>
      </c>
      <c r="AY23" s="137" t="s">
        <v>136</v>
      </c>
    </row>
    <row r="24" spans="2:65" s="1" customFormat="1" ht="16.5" customHeight="1">
      <c r="B24" s="119"/>
      <c r="C24" s="120" t="s">
        <v>149</v>
      </c>
      <c r="D24" s="120" t="s">
        <v>137</v>
      </c>
      <c r="E24" s="121" t="s">
        <v>2070</v>
      </c>
      <c r="F24" s="122" t="s">
        <v>215</v>
      </c>
      <c r="G24" s="123" t="s">
        <v>216</v>
      </c>
      <c r="H24" s="124">
        <v>163.14099999999999</v>
      </c>
      <c r="I24" s="125">
        <v>0</v>
      </c>
      <c r="J24" s="125">
        <f>ROUND(I24*H24,2)</f>
        <v>0</v>
      </c>
      <c r="K24" s="122" t="s">
        <v>141</v>
      </c>
      <c r="L24" s="26"/>
      <c r="M24" s="126" t="s">
        <v>1</v>
      </c>
      <c r="N24" s="127" t="s">
        <v>46</v>
      </c>
      <c r="O24" s="128">
        <v>0</v>
      </c>
      <c r="P24" s="128">
        <f>O24*H24</f>
        <v>0</v>
      </c>
      <c r="Q24" s="128">
        <v>0</v>
      </c>
      <c r="R24" s="128">
        <f>Q24*H24</f>
        <v>0</v>
      </c>
      <c r="S24" s="128">
        <v>0</v>
      </c>
      <c r="T24" s="129">
        <f>S24*H24</f>
        <v>0</v>
      </c>
      <c r="AR24" s="130" t="s">
        <v>135</v>
      </c>
      <c r="AT24" s="130" t="s">
        <v>137</v>
      </c>
      <c r="AU24" s="130" t="s">
        <v>19</v>
      </c>
      <c r="AY24" s="14" t="s">
        <v>136</v>
      </c>
      <c r="BE24" s="131">
        <f>IF(N24="základní",J24,0)</f>
        <v>0</v>
      </c>
      <c r="BF24" s="131">
        <f>IF(N24="snížená",J24,0)</f>
        <v>0</v>
      </c>
      <c r="BG24" s="131">
        <f>IF(N24="zákl. přenesená",J24,0)</f>
        <v>0</v>
      </c>
      <c r="BH24" s="131">
        <f>IF(N24="sníž. přenesená",J24,0)</f>
        <v>0</v>
      </c>
      <c r="BI24" s="131">
        <f>IF(N24="nulová",J24,0)</f>
        <v>0</v>
      </c>
      <c r="BJ24" s="14" t="s">
        <v>19</v>
      </c>
      <c r="BK24" s="131">
        <f>ROUND(I24*H24,2)</f>
        <v>0</v>
      </c>
      <c r="BL24" s="14" t="s">
        <v>135</v>
      </c>
      <c r="BM24" s="130" t="s">
        <v>2071</v>
      </c>
    </row>
    <row r="25" spans="2:65" s="1" customFormat="1">
      <c r="B25" s="26"/>
      <c r="D25" s="132" t="s">
        <v>143</v>
      </c>
      <c r="F25" s="133" t="s">
        <v>2072</v>
      </c>
      <c r="L25" s="26"/>
      <c r="M25" s="134"/>
      <c r="T25" s="50"/>
      <c r="AT25" s="14" t="s">
        <v>143</v>
      </c>
      <c r="AU25" s="14" t="s">
        <v>19</v>
      </c>
    </row>
    <row r="26" spans="2:65" s="1" customFormat="1" ht="38.4">
      <c r="B26" s="26"/>
      <c r="D26" s="132" t="s">
        <v>145</v>
      </c>
      <c r="F26" s="135" t="s">
        <v>218</v>
      </c>
      <c r="L26" s="26"/>
      <c r="M26" s="134"/>
      <c r="T26" s="50"/>
      <c r="AT26" s="14" t="s">
        <v>145</v>
      </c>
      <c r="AU26" s="14" t="s">
        <v>19</v>
      </c>
    </row>
    <row r="27" spans="2:65" s="11" customFormat="1">
      <c r="B27" s="136"/>
      <c r="D27" s="132" t="s">
        <v>147</v>
      </c>
      <c r="E27" s="137" t="s">
        <v>2061</v>
      </c>
      <c r="F27" s="138" t="s">
        <v>2073</v>
      </c>
      <c r="H27" s="139">
        <v>6.0640000000000001</v>
      </c>
      <c r="L27" s="136"/>
      <c r="M27" s="140"/>
      <c r="T27" s="141"/>
      <c r="AT27" s="137" t="s">
        <v>147</v>
      </c>
      <c r="AU27" s="137" t="s">
        <v>19</v>
      </c>
      <c r="AV27" s="11" t="s">
        <v>149</v>
      </c>
      <c r="AW27" s="11" t="s">
        <v>39</v>
      </c>
      <c r="AX27" s="11" t="s">
        <v>81</v>
      </c>
      <c r="AY27" s="137" t="s">
        <v>136</v>
      </c>
    </row>
    <row r="28" spans="2:65" s="11" customFormat="1">
      <c r="B28" s="136"/>
      <c r="D28" s="132" t="s">
        <v>147</v>
      </c>
      <c r="E28" s="137" t="s">
        <v>2074</v>
      </c>
      <c r="F28" s="138" t="s">
        <v>2075</v>
      </c>
      <c r="H28" s="139">
        <v>21.56</v>
      </c>
      <c r="L28" s="136"/>
      <c r="M28" s="140"/>
      <c r="T28" s="141"/>
      <c r="AT28" s="137" t="s">
        <v>147</v>
      </c>
      <c r="AU28" s="137" t="s">
        <v>19</v>
      </c>
      <c r="AV28" s="11" t="s">
        <v>149</v>
      </c>
      <c r="AW28" s="11" t="s">
        <v>39</v>
      </c>
      <c r="AX28" s="11" t="s">
        <v>81</v>
      </c>
      <c r="AY28" s="137" t="s">
        <v>136</v>
      </c>
    </row>
    <row r="29" spans="2:65" s="11" customFormat="1">
      <c r="B29" s="136"/>
      <c r="D29" s="132" t="s">
        <v>147</v>
      </c>
      <c r="E29" s="137" t="s">
        <v>2076</v>
      </c>
      <c r="F29" s="138" t="s">
        <v>2077</v>
      </c>
      <c r="H29" s="139">
        <v>126.349</v>
      </c>
      <c r="L29" s="136"/>
      <c r="M29" s="140"/>
      <c r="T29" s="141"/>
      <c r="AT29" s="137" t="s">
        <v>147</v>
      </c>
      <c r="AU29" s="137" t="s">
        <v>19</v>
      </c>
      <c r="AV29" s="11" t="s">
        <v>149</v>
      </c>
      <c r="AW29" s="11" t="s">
        <v>39</v>
      </c>
      <c r="AX29" s="11" t="s">
        <v>81</v>
      </c>
      <c r="AY29" s="137" t="s">
        <v>136</v>
      </c>
    </row>
    <row r="30" spans="2:65" s="11" customFormat="1">
      <c r="B30" s="136"/>
      <c r="D30" s="132" t="s">
        <v>147</v>
      </c>
      <c r="E30" s="137" t="s">
        <v>2078</v>
      </c>
      <c r="F30" s="138" t="s">
        <v>2079</v>
      </c>
      <c r="H30" s="139">
        <v>6.6000000000000005</v>
      </c>
      <c r="L30" s="136"/>
      <c r="M30" s="140"/>
      <c r="T30" s="141"/>
      <c r="AT30" s="137" t="s">
        <v>147</v>
      </c>
      <c r="AU30" s="137" t="s">
        <v>19</v>
      </c>
      <c r="AV30" s="11" t="s">
        <v>149</v>
      </c>
      <c r="AW30" s="11" t="s">
        <v>39</v>
      </c>
      <c r="AX30" s="11" t="s">
        <v>81</v>
      </c>
      <c r="AY30" s="137" t="s">
        <v>136</v>
      </c>
    </row>
    <row r="31" spans="2:65" s="11" customFormat="1">
      <c r="B31" s="136"/>
      <c r="D31" s="132" t="s">
        <v>147</v>
      </c>
      <c r="E31" s="137" t="s">
        <v>2080</v>
      </c>
      <c r="F31" s="138" t="s">
        <v>2081</v>
      </c>
      <c r="H31" s="139">
        <v>0.72000000000000008</v>
      </c>
      <c r="L31" s="136"/>
      <c r="M31" s="140"/>
      <c r="T31" s="141"/>
      <c r="AT31" s="137" t="s">
        <v>147</v>
      </c>
      <c r="AU31" s="137" t="s">
        <v>19</v>
      </c>
      <c r="AV31" s="11" t="s">
        <v>149</v>
      </c>
      <c r="AW31" s="11" t="s">
        <v>39</v>
      </c>
      <c r="AX31" s="11" t="s">
        <v>81</v>
      </c>
      <c r="AY31" s="137" t="s">
        <v>136</v>
      </c>
    </row>
    <row r="32" spans="2:65" s="11" customFormat="1" ht="30.6">
      <c r="B32" s="136"/>
      <c r="D32" s="132" t="s">
        <v>147</v>
      </c>
      <c r="E32" s="137" t="s">
        <v>2082</v>
      </c>
      <c r="F32" s="138" t="s">
        <v>2083</v>
      </c>
      <c r="H32" s="139">
        <v>1.8478900000000005</v>
      </c>
      <c r="L32" s="136"/>
      <c r="M32" s="140"/>
      <c r="T32" s="141"/>
      <c r="AT32" s="137" t="s">
        <v>147</v>
      </c>
      <c r="AU32" s="137" t="s">
        <v>19</v>
      </c>
      <c r="AV32" s="11" t="s">
        <v>149</v>
      </c>
      <c r="AW32" s="11" t="s">
        <v>39</v>
      </c>
      <c r="AX32" s="11" t="s">
        <v>81</v>
      </c>
      <c r="AY32" s="137" t="s">
        <v>136</v>
      </c>
    </row>
    <row r="33" spans="2:65" s="11" customFormat="1">
      <c r="B33" s="136"/>
      <c r="D33" s="132" t="s">
        <v>147</v>
      </c>
      <c r="E33" s="137" t="s">
        <v>1</v>
      </c>
      <c r="F33" s="138" t="s">
        <v>2084</v>
      </c>
      <c r="H33" s="139">
        <v>163.14099999999999</v>
      </c>
      <c r="L33" s="136"/>
      <c r="M33" s="140"/>
      <c r="T33" s="141"/>
      <c r="AT33" s="137" t="s">
        <v>147</v>
      </c>
      <c r="AU33" s="137" t="s">
        <v>19</v>
      </c>
      <c r="AV33" s="11" t="s">
        <v>149</v>
      </c>
      <c r="AW33" s="11" t="s">
        <v>39</v>
      </c>
      <c r="AX33" s="11" t="s">
        <v>19</v>
      </c>
      <c r="AY33" s="137" t="s">
        <v>136</v>
      </c>
    </row>
    <row r="34" spans="2:65" s="1" customFormat="1" ht="16.5" customHeight="1">
      <c r="B34" s="119"/>
      <c r="C34" s="120" t="s">
        <v>157</v>
      </c>
      <c r="D34" s="120" t="s">
        <v>137</v>
      </c>
      <c r="E34" s="121" t="s">
        <v>2085</v>
      </c>
      <c r="F34" s="122" t="s">
        <v>215</v>
      </c>
      <c r="G34" s="123" t="s">
        <v>673</v>
      </c>
      <c r="H34" s="124">
        <v>4.1820000000000004</v>
      </c>
      <c r="I34" s="125">
        <v>0</v>
      </c>
      <c r="J34" s="125">
        <f>ROUND(I34*H34,2)</f>
        <v>0</v>
      </c>
      <c r="K34" s="122" t="s">
        <v>141</v>
      </c>
      <c r="L34" s="26"/>
      <c r="M34" s="126" t="s">
        <v>1</v>
      </c>
      <c r="N34" s="127" t="s">
        <v>46</v>
      </c>
      <c r="O34" s="128">
        <v>0</v>
      </c>
      <c r="P34" s="128">
        <f>O34*H34</f>
        <v>0</v>
      </c>
      <c r="Q34" s="128">
        <v>0</v>
      </c>
      <c r="R34" s="128">
        <f>Q34*H34</f>
        <v>0</v>
      </c>
      <c r="S34" s="128">
        <v>0</v>
      </c>
      <c r="T34" s="129">
        <f>S34*H34</f>
        <v>0</v>
      </c>
      <c r="AR34" s="130" t="s">
        <v>135</v>
      </c>
      <c r="AT34" s="130" t="s">
        <v>137</v>
      </c>
      <c r="AU34" s="130" t="s">
        <v>19</v>
      </c>
      <c r="AY34" s="14" t="s">
        <v>136</v>
      </c>
      <c r="BE34" s="131">
        <f>IF(N34="základní",J34,0)</f>
        <v>0</v>
      </c>
      <c r="BF34" s="131">
        <f>IF(N34="snížená",J34,0)</f>
        <v>0</v>
      </c>
      <c r="BG34" s="131">
        <f>IF(N34="zákl. přenesená",J34,0)</f>
        <v>0</v>
      </c>
      <c r="BH34" s="131">
        <f>IF(N34="sníž. přenesená",J34,0)</f>
        <v>0</v>
      </c>
      <c r="BI34" s="131">
        <f>IF(N34="nulová",J34,0)</f>
        <v>0</v>
      </c>
      <c r="BJ34" s="14" t="s">
        <v>19</v>
      </c>
      <c r="BK34" s="131">
        <f>ROUND(I34*H34,2)</f>
        <v>0</v>
      </c>
      <c r="BL34" s="14" t="s">
        <v>135</v>
      </c>
      <c r="BM34" s="130" t="s">
        <v>2086</v>
      </c>
    </row>
    <row r="35" spans="2:65" s="1" customFormat="1">
      <c r="B35" s="26"/>
      <c r="D35" s="132" t="s">
        <v>143</v>
      </c>
      <c r="F35" s="133" t="s">
        <v>2087</v>
      </c>
      <c r="L35" s="26"/>
      <c r="M35" s="134"/>
      <c r="T35" s="50"/>
      <c r="AT35" s="14" t="s">
        <v>143</v>
      </c>
      <c r="AU35" s="14" t="s">
        <v>19</v>
      </c>
    </row>
    <row r="36" spans="2:65" s="1" customFormat="1" ht="38.4">
      <c r="B36" s="26"/>
      <c r="D36" s="132" t="s">
        <v>145</v>
      </c>
      <c r="F36" s="135" t="s">
        <v>218</v>
      </c>
      <c r="L36" s="26"/>
      <c r="M36" s="134"/>
      <c r="T36" s="50"/>
      <c r="AT36" s="14" t="s">
        <v>145</v>
      </c>
      <c r="AU36" s="14" t="s">
        <v>19</v>
      </c>
    </row>
    <row r="37" spans="2:65" s="11" customFormat="1">
      <c r="B37" s="136"/>
      <c r="D37" s="132" t="s">
        <v>147</v>
      </c>
      <c r="E37" s="137" t="s">
        <v>2088</v>
      </c>
      <c r="F37" s="138" t="s">
        <v>2089</v>
      </c>
      <c r="H37" s="139">
        <v>4.1817000000000002</v>
      </c>
      <c r="L37" s="136"/>
      <c r="M37" s="140"/>
      <c r="T37" s="141"/>
      <c r="AT37" s="137" t="s">
        <v>147</v>
      </c>
      <c r="AU37" s="137" t="s">
        <v>19</v>
      </c>
      <c r="AV37" s="11" t="s">
        <v>149</v>
      </c>
      <c r="AW37" s="11" t="s">
        <v>39</v>
      </c>
      <c r="AX37" s="11" t="s">
        <v>19</v>
      </c>
      <c r="AY37" s="137" t="s">
        <v>136</v>
      </c>
    </row>
    <row r="38" spans="2:65" s="1" customFormat="1" ht="24.15" customHeight="1">
      <c r="B38" s="119"/>
      <c r="C38" s="120" t="s">
        <v>135</v>
      </c>
      <c r="D38" s="120" t="s">
        <v>137</v>
      </c>
      <c r="E38" s="121" t="s">
        <v>150</v>
      </c>
      <c r="F38" s="122" t="s">
        <v>151</v>
      </c>
      <c r="G38" s="123" t="s">
        <v>152</v>
      </c>
      <c r="H38" s="124">
        <v>6</v>
      </c>
      <c r="I38" s="125">
        <v>0</v>
      </c>
      <c r="J38" s="125">
        <f>ROUND(I38*H38,2)</f>
        <v>0</v>
      </c>
      <c r="K38" s="122" t="s">
        <v>141</v>
      </c>
      <c r="L38" s="26"/>
      <c r="M38" s="126" t="s">
        <v>1</v>
      </c>
      <c r="N38" s="127" t="s">
        <v>46</v>
      </c>
      <c r="O38" s="128">
        <v>0</v>
      </c>
      <c r="P38" s="128">
        <f>O38*H38</f>
        <v>0</v>
      </c>
      <c r="Q38" s="128">
        <v>0</v>
      </c>
      <c r="R38" s="128">
        <f>Q38*H38</f>
        <v>0</v>
      </c>
      <c r="S38" s="128">
        <v>0</v>
      </c>
      <c r="T38" s="129">
        <f>S38*H38</f>
        <v>0</v>
      </c>
      <c r="AR38" s="130" t="s">
        <v>135</v>
      </c>
      <c r="AT38" s="130" t="s">
        <v>137</v>
      </c>
      <c r="AU38" s="130" t="s">
        <v>19</v>
      </c>
      <c r="AY38" s="14" t="s">
        <v>136</v>
      </c>
      <c r="BE38" s="131">
        <f>IF(N38="základní",J38,0)</f>
        <v>0</v>
      </c>
      <c r="BF38" s="131">
        <f>IF(N38="snížená",J38,0)</f>
        <v>0</v>
      </c>
      <c r="BG38" s="131">
        <f>IF(N38="zákl. přenesená",J38,0)</f>
        <v>0</v>
      </c>
      <c r="BH38" s="131">
        <f>IF(N38="sníž. přenesená",J38,0)</f>
        <v>0</v>
      </c>
      <c r="BI38" s="131">
        <f>IF(N38="nulová",J38,0)</f>
        <v>0</v>
      </c>
      <c r="BJ38" s="14" t="s">
        <v>19</v>
      </c>
      <c r="BK38" s="131">
        <f>ROUND(I38*H38,2)</f>
        <v>0</v>
      </c>
      <c r="BL38" s="14" t="s">
        <v>135</v>
      </c>
      <c r="BM38" s="130" t="s">
        <v>2090</v>
      </c>
    </row>
    <row r="39" spans="2:65" s="1" customFormat="1" ht="28.8">
      <c r="B39" s="26"/>
      <c r="D39" s="132" t="s">
        <v>143</v>
      </c>
      <c r="F39" s="133" t="s">
        <v>2091</v>
      </c>
      <c r="L39" s="26"/>
      <c r="M39" s="134"/>
      <c r="T39" s="50"/>
      <c r="AT39" s="14" t="s">
        <v>143</v>
      </c>
      <c r="AU39" s="14" t="s">
        <v>19</v>
      </c>
    </row>
    <row r="40" spans="2:65" s="1" customFormat="1" ht="57.6">
      <c r="B40" s="26"/>
      <c r="D40" s="132" t="s">
        <v>145</v>
      </c>
      <c r="F40" s="135" t="s">
        <v>155</v>
      </c>
      <c r="L40" s="26"/>
      <c r="M40" s="134"/>
      <c r="T40" s="50"/>
      <c r="AT40" s="14" t="s">
        <v>145</v>
      </c>
      <c r="AU40" s="14" t="s">
        <v>19</v>
      </c>
    </row>
    <row r="41" spans="2:65" s="1" customFormat="1" ht="24.15" customHeight="1">
      <c r="B41" s="119"/>
      <c r="C41" s="154" t="s">
        <v>169</v>
      </c>
      <c r="D41" s="154" t="s">
        <v>137</v>
      </c>
      <c r="E41" s="155" t="s">
        <v>1814</v>
      </c>
      <c r="F41" s="156" t="s">
        <v>1815</v>
      </c>
      <c r="G41" s="157" t="s">
        <v>152</v>
      </c>
      <c r="H41" s="158">
        <v>2</v>
      </c>
      <c r="I41" s="159">
        <v>0</v>
      </c>
      <c r="J41" s="159">
        <f>ROUND(I41*H41,2)</f>
        <v>0</v>
      </c>
      <c r="K41" s="156" t="s">
        <v>141</v>
      </c>
      <c r="L41" s="26"/>
      <c r="M41" s="126" t="s">
        <v>1</v>
      </c>
      <c r="N41" s="127" t="s">
        <v>46</v>
      </c>
      <c r="O41" s="128">
        <v>0</v>
      </c>
      <c r="P41" s="128">
        <f>O41*H41</f>
        <v>0</v>
      </c>
      <c r="Q41" s="128">
        <v>0</v>
      </c>
      <c r="R41" s="128">
        <f>Q41*H41</f>
        <v>0</v>
      </c>
      <c r="S41" s="128">
        <v>0</v>
      </c>
      <c r="T41" s="129">
        <f>S41*H41</f>
        <v>0</v>
      </c>
      <c r="AR41" s="130" t="s">
        <v>135</v>
      </c>
      <c r="AT41" s="130" t="s">
        <v>137</v>
      </c>
      <c r="AU41" s="130" t="s">
        <v>19</v>
      </c>
      <c r="AY41" s="14" t="s">
        <v>136</v>
      </c>
      <c r="BE41" s="131">
        <f>IF(N41="základní",J41,0)</f>
        <v>0</v>
      </c>
      <c r="BF41" s="131">
        <f>IF(N41="snížená",J41,0)</f>
        <v>0</v>
      </c>
      <c r="BG41" s="131">
        <f>IF(N41="zákl. přenesená",J41,0)</f>
        <v>0</v>
      </c>
      <c r="BH41" s="131">
        <f>IF(N41="sníž. přenesená",J41,0)</f>
        <v>0</v>
      </c>
      <c r="BI41" s="131">
        <f>IF(N41="nulová",J41,0)</f>
        <v>0</v>
      </c>
      <c r="BJ41" s="14" t="s">
        <v>19</v>
      </c>
      <c r="BK41" s="131">
        <f>ROUND(I41*H41,2)</f>
        <v>0</v>
      </c>
      <c r="BL41" s="14" t="s">
        <v>135</v>
      </c>
      <c r="BM41" s="130" t="s">
        <v>2092</v>
      </c>
    </row>
    <row r="42" spans="2:65" s="1" customFormat="1">
      <c r="B42" s="26"/>
      <c r="C42" s="160"/>
      <c r="D42" s="161" t="s">
        <v>143</v>
      </c>
      <c r="E42" s="160"/>
      <c r="F42" s="162" t="s">
        <v>2093</v>
      </c>
      <c r="G42" s="160"/>
      <c r="H42" s="160"/>
      <c r="I42" s="160"/>
      <c r="J42" s="160"/>
      <c r="K42" s="160"/>
      <c r="L42" s="26"/>
      <c r="M42" s="134"/>
      <c r="T42" s="50"/>
      <c r="AT42" s="14" t="s">
        <v>143</v>
      </c>
      <c r="AU42" s="14" t="s">
        <v>19</v>
      </c>
    </row>
    <row r="43" spans="2:65" s="1" customFormat="1" ht="38.4">
      <c r="B43" s="26"/>
      <c r="C43" s="160"/>
      <c r="D43" s="161" t="s">
        <v>145</v>
      </c>
      <c r="E43" s="160"/>
      <c r="F43" s="163" t="s">
        <v>162</v>
      </c>
      <c r="G43" s="160"/>
      <c r="H43" s="160"/>
      <c r="I43" s="160"/>
      <c r="J43" s="160"/>
      <c r="K43" s="160"/>
      <c r="L43" s="26"/>
      <c r="M43" s="134"/>
      <c r="T43" s="50"/>
      <c r="AT43" s="14" t="s">
        <v>145</v>
      </c>
      <c r="AU43" s="14" t="s">
        <v>19</v>
      </c>
    </row>
    <row r="44" spans="2:65" s="11" customFormat="1">
      <c r="B44" s="136"/>
      <c r="C44" s="164"/>
      <c r="D44" s="161" t="s">
        <v>147</v>
      </c>
      <c r="E44" s="165" t="s">
        <v>2094</v>
      </c>
      <c r="F44" s="166" t="s">
        <v>2095</v>
      </c>
      <c r="G44" s="164"/>
      <c r="H44" s="167">
        <v>2</v>
      </c>
      <c r="I44" s="164"/>
      <c r="J44" s="164"/>
      <c r="K44" s="164"/>
      <c r="L44" s="136"/>
      <c r="M44" s="140"/>
      <c r="T44" s="141"/>
      <c r="AT44" s="137" t="s">
        <v>147</v>
      </c>
      <c r="AU44" s="137" t="s">
        <v>19</v>
      </c>
      <c r="AV44" s="11" t="s">
        <v>149</v>
      </c>
      <c r="AW44" s="11" t="s">
        <v>39</v>
      </c>
      <c r="AX44" s="11" t="s">
        <v>81</v>
      </c>
      <c r="AY44" s="137" t="s">
        <v>136</v>
      </c>
    </row>
    <row r="45" spans="2:65" s="11" customFormat="1">
      <c r="B45" s="136"/>
      <c r="C45" s="164"/>
      <c r="D45" s="161" t="s">
        <v>147</v>
      </c>
      <c r="E45" s="165" t="s">
        <v>1</v>
      </c>
      <c r="F45" s="166" t="s">
        <v>2096</v>
      </c>
      <c r="G45" s="164"/>
      <c r="H45" s="167">
        <v>2</v>
      </c>
      <c r="I45" s="164"/>
      <c r="J45" s="164"/>
      <c r="K45" s="164"/>
      <c r="L45" s="136"/>
      <c r="M45" s="140"/>
      <c r="T45" s="141"/>
      <c r="AT45" s="137" t="s">
        <v>147</v>
      </c>
      <c r="AU45" s="137" t="s">
        <v>19</v>
      </c>
      <c r="AV45" s="11" t="s">
        <v>149</v>
      </c>
      <c r="AW45" s="11" t="s">
        <v>39</v>
      </c>
      <c r="AX45" s="11" t="s">
        <v>19</v>
      </c>
      <c r="AY45" s="137" t="s">
        <v>136</v>
      </c>
    </row>
    <row r="46" spans="2:65" s="1" customFormat="1" ht="24.15" customHeight="1">
      <c r="B46" s="119"/>
      <c r="C46" s="120" t="s">
        <v>176</v>
      </c>
      <c r="D46" s="120" t="s">
        <v>137</v>
      </c>
      <c r="E46" s="121" t="s">
        <v>163</v>
      </c>
      <c r="F46" s="122" t="s">
        <v>164</v>
      </c>
      <c r="G46" s="123" t="s">
        <v>140</v>
      </c>
      <c r="H46" s="124">
        <v>1</v>
      </c>
      <c r="I46" s="125">
        <v>0</v>
      </c>
      <c r="J46" s="125">
        <f>ROUND(I46*H46,2)</f>
        <v>0</v>
      </c>
      <c r="K46" s="122" t="s">
        <v>141</v>
      </c>
      <c r="L46" s="26"/>
      <c r="M46" s="126" t="s">
        <v>1</v>
      </c>
      <c r="N46" s="127" t="s">
        <v>46</v>
      </c>
      <c r="O46" s="128">
        <v>0</v>
      </c>
      <c r="P46" s="128">
        <f>O46*H46</f>
        <v>0</v>
      </c>
      <c r="Q46" s="128">
        <v>0</v>
      </c>
      <c r="R46" s="128">
        <f>Q46*H46</f>
        <v>0</v>
      </c>
      <c r="S46" s="128">
        <v>0</v>
      </c>
      <c r="T46" s="129">
        <f>S46*H46</f>
        <v>0</v>
      </c>
      <c r="AR46" s="130" t="s">
        <v>135</v>
      </c>
      <c r="AT46" s="130" t="s">
        <v>137</v>
      </c>
      <c r="AU46" s="130" t="s">
        <v>19</v>
      </c>
      <c r="AY46" s="14" t="s">
        <v>136</v>
      </c>
      <c r="BE46" s="131">
        <f>IF(N46="základní",J46,0)</f>
        <v>0</v>
      </c>
      <c r="BF46" s="131">
        <f>IF(N46="snížená",J46,0)</f>
        <v>0</v>
      </c>
      <c r="BG46" s="131">
        <f>IF(N46="zákl. přenesená",J46,0)</f>
        <v>0</v>
      </c>
      <c r="BH46" s="131">
        <f>IF(N46="sníž. přenesená",J46,0)</f>
        <v>0</v>
      </c>
      <c r="BI46" s="131">
        <f>IF(N46="nulová",J46,0)</f>
        <v>0</v>
      </c>
      <c r="BJ46" s="14" t="s">
        <v>19</v>
      </c>
      <c r="BK46" s="131">
        <f>ROUND(I46*H46,2)</f>
        <v>0</v>
      </c>
      <c r="BL46" s="14" t="s">
        <v>135</v>
      </c>
      <c r="BM46" s="130" t="s">
        <v>2097</v>
      </c>
    </row>
    <row r="47" spans="2:65" s="1" customFormat="1">
      <c r="B47" s="26"/>
      <c r="D47" s="132" t="s">
        <v>143</v>
      </c>
      <c r="F47" s="133" t="s">
        <v>2093</v>
      </c>
      <c r="L47" s="26"/>
      <c r="M47" s="134"/>
      <c r="T47" s="50"/>
      <c r="AT47" s="14" t="s">
        <v>143</v>
      </c>
      <c r="AU47" s="14" t="s">
        <v>19</v>
      </c>
    </row>
    <row r="48" spans="2:65" s="1" customFormat="1" ht="86.4">
      <c r="B48" s="26"/>
      <c r="D48" s="132" t="s">
        <v>145</v>
      </c>
      <c r="F48" s="135" t="s">
        <v>167</v>
      </c>
      <c r="L48" s="26"/>
      <c r="M48" s="134"/>
      <c r="T48" s="50"/>
      <c r="AT48" s="14" t="s">
        <v>145</v>
      </c>
      <c r="AU48" s="14" t="s">
        <v>19</v>
      </c>
    </row>
    <row r="49" spans="2:65" s="11" customFormat="1">
      <c r="B49" s="136"/>
      <c r="D49" s="132" t="s">
        <v>147</v>
      </c>
      <c r="E49" s="137" t="s">
        <v>2098</v>
      </c>
      <c r="F49" s="138" t="s">
        <v>2099</v>
      </c>
      <c r="H49" s="139">
        <v>1</v>
      </c>
      <c r="L49" s="136"/>
      <c r="M49" s="140"/>
      <c r="T49" s="141"/>
      <c r="AT49" s="137" t="s">
        <v>147</v>
      </c>
      <c r="AU49" s="137" t="s">
        <v>19</v>
      </c>
      <c r="AV49" s="11" t="s">
        <v>149</v>
      </c>
      <c r="AW49" s="11" t="s">
        <v>39</v>
      </c>
      <c r="AX49" s="11" t="s">
        <v>81</v>
      </c>
      <c r="AY49" s="137" t="s">
        <v>136</v>
      </c>
    </row>
    <row r="50" spans="2:65" s="11" customFormat="1">
      <c r="B50" s="136"/>
      <c r="D50" s="132" t="s">
        <v>147</v>
      </c>
      <c r="E50" s="137" t="s">
        <v>1</v>
      </c>
      <c r="F50" s="138" t="s">
        <v>2100</v>
      </c>
      <c r="H50" s="139">
        <v>1</v>
      </c>
      <c r="L50" s="136"/>
      <c r="M50" s="140"/>
      <c r="T50" s="141"/>
      <c r="AT50" s="137" t="s">
        <v>147</v>
      </c>
      <c r="AU50" s="137" t="s">
        <v>19</v>
      </c>
      <c r="AV50" s="11" t="s">
        <v>149</v>
      </c>
      <c r="AW50" s="11" t="s">
        <v>39</v>
      </c>
      <c r="AX50" s="11" t="s">
        <v>19</v>
      </c>
      <c r="AY50" s="137" t="s">
        <v>136</v>
      </c>
    </row>
    <row r="51" spans="2:65" s="1" customFormat="1" ht="16.5" customHeight="1">
      <c r="B51" s="119"/>
      <c r="C51" s="120" t="s">
        <v>182</v>
      </c>
      <c r="D51" s="120" t="s">
        <v>137</v>
      </c>
      <c r="E51" s="121" t="s">
        <v>2101</v>
      </c>
      <c r="F51" s="122" t="s">
        <v>2102</v>
      </c>
      <c r="G51" s="123" t="s">
        <v>140</v>
      </c>
      <c r="H51" s="124">
        <v>1</v>
      </c>
      <c r="I51" s="125">
        <v>0</v>
      </c>
      <c r="J51" s="125">
        <f>ROUND(I51*H51,2)</f>
        <v>0</v>
      </c>
      <c r="K51" s="122" t="s">
        <v>1</v>
      </c>
      <c r="L51" s="26"/>
      <c r="M51" s="126" t="s">
        <v>1</v>
      </c>
      <c r="N51" s="127" t="s">
        <v>46</v>
      </c>
      <c r="O51" s="128">
        <v>0</v>
      </c>
      <c r="P51" s="128">
        <f>O51*H51</f>
        <v>0</v>
      </c>
      <c r="Q51" s="128">
        <v>0</v>
      </c>
      <c r="R51" s="128">
        <f>Q51*H51</f>
        <v>0</v>
      </c>
      <c r="S51" s="128">
        <v>0</v>
      </c>
      <c r="T51" s="129">
        <f>S51*H51</f>
        <v>0</v>
      </c>
      <c r="AR51" s="130" t="s">
        <v>135</v>
      </c>
      <c r="AT51" s="130" t="s">
        <v>137</v>
      </c>
      <c r="AU51" s="130" t="s">
        <v>19</v>
      </c>
      <c r="AY51" s="14" t="s">
        <v>136</v>
      </c>
      <c r="BE51" s="131">
        <f>IF(N51="základní",J51,0)</f>
        <v>0</v>
      </c>
      <c r="BF51" s="131">
        <f>IF(N51="snížená",J51,0)</f>
        <v>0</v>
      </c>
      <c r="BG51" s="131">
        <f>IF(N51="zákl. přenesená",J51,0)</f>
        <v>0</v>
      </c>
      <c r="BH51" s="131">
        <f>IF(N51="sníž. přenesená",J51,0)</f>
        <v>0</v>
      </c>
      <c r="BI51" s="131">
        <f>IF(N51="nulová",J51,0)</f>
        <v>0</v>
      </c>
      <c r="BJ51" s="14" t="s">
        <v>19</v>
      </c>
      <c r="BK51" s="131">
        <f>ROUND(I51*H51,2)</f>
        <v>0</v>
      </c>
      <c r="BL51" s="14" t="s">
        <v>135</v>
      </c>
      <c r="BM51" s="130" t="s">
        <v>2103</v>
      </c>
    </row>
    <row r="52" spans="2:65" s="1" customFormat="1" ht="38.4">
      <c r="B52" s="26"/>
      <c r="D52" s="132" t="s">
        <v>143</v>
      </c>
      <c r="F52" s="133" t="s">
        <v>2104</v>
      </c>
      <c r="L52" s="26"/>
      <c r="M52" s="134"/>
      <c r="T52" s="50"/>
      <c r="AT52" s="14" t="s">
        <v>143</v>
      </c>
      <c r="AU52" s="14" t="s">
        <v>19</v>
      </c>
    </row>
    <row r="53" spans="2:65" s="11" customFormat="1">
      <c r="B53" s="136"/>
      <c r="D53" s="132" t="s">
        <v>147</v>
      </c>
      <c r="E53" s="137" t="s">
        <v>2105</v>
      </c>
      <c r="F53" s="138" t="s">
        <v>2099</v>
      </c>
      <c r="H53" s="139">
        <v>1</v>
      </c>
      <c r="L53" s="136"/>
      <c r="M53" s="140"/>
      <c r="T53" s="141"/>
      <c r="AT53" s="137" t="s">
        <v>147</v>
      </c>
      <c r="AU53" s="137" t="s">
        <v>19</v>
      </c>
      <c r="AV53" s="11" t="s">
        <v>149</v>
      </c>
      <c r="AW53" s="11" t="s">
        <v>39</v>
      </c>
      <c r="AX53" s="11" t="s">
        <v>81</v>
      </c>
      <c r="AY53" s="137" t="s">
        <v>136</v>
      </c>
    </row>
    <row r="54" spans="2:65" s="11" customFormat="1">
      <c r="B54" s="136"/>
      <c r="D54" s="132" t="s">
        <v>147</v>
      </c>
      <c r="E54" s="137" t="s">
        <v>1</v>
      </c>
      <c r="F54" s="138" t="s">
        <v>2100</v>
      </c>
      <c r="H54" s="139">
        <v>1</v>
      </c>
      <c r="L54" s="136"/>
      <c r="M54" s="140"/>
      <c r="T54" s="141"/>
      <c r="AT54" s="137" t="s">
        <v>147</v>
      </c>
      <c r="AU54" s="137" t="s">
        <v>19</v>
      </c>
      <c r="AV54" s="11" t="s">
        <v>149</v>
      </c>
      <c r="AW54" s="11" t="s">
        <v>39</v>
      </c>
      <c r="AX54" s="11" t="s">
        <v>19</v>
      </c>
      <c r="AY54" s="137" t="s">
        <v>136</v>
      </c>
    </row>
    <row r="55" spans="2:65" s="1" customFormat="1" ht="21.75" customHeight="1">
      <c r="B55" s="119"/>
      <c r="C55" s="154" t="s">
        <v>189</v>
      </c>
      <c r="D55" s="154" t="s">
        <v>137</v>
      </c>
      <c r="E55" s="155" t="s">
        <v>1819</v>
      </c>
      <c r="F55" s="156" t="s">
        <v>1820</v>
      </c>
      <c r="G55" s="157" t="s">
        <v>152</v>
      </c>
      <c r="H55" s="158">
        <v>2</v>
      </c>
      <c r="I55" s="159">
        <v>0</v>
      </c>
      <c r="J55" s="159">
        <f>ROUND(I55*H55,2)</f>
        <v>0</v>
      </c>
      <c r="K55" s="156" t="s">
        <v>141</v>
      </c>
      <c r="L55" s="26"/>
      <c r="M55" s="126" t="s">
        <v>1</v>
      </c>
      <c r="N55" s="127" t="s">
        <v>46</v>
      </c>
      <c r="O55" s="128">
        <v>0</v>
      </c>
      <c r="P55" s="128">
        <f>O55*H55</f>
        <v>0</v>
      </c>
      <c r="Q55" s="128">
        <v>0</v>
      </c>
      <c r="R55" s="128">
        <f>Q55*H55</f>
        <v>0</v>
      </c>
      <c r="S55" s="128">
        <v>0</v>
      </c>
      <c r="T55" s="129">
        <f>S55*H55</f>
        <v>0</v>
      </c>
      <c r="AR55" s="130" t="s">
        <v>135</v>
      </c>
      <c r="AT55" s="130" t="s">
        <v>137</v>
      </c>
      <c r="AU55" s="130" t="s">
        <v>19</v>
      </c>
      <c r="AY55" s="14" t="s">
        <v>136</v>
      </c>
      <c r="BE55" s="131">
        <f>IF(N55="základní",J55,0)</f>
        <v>0</v>
      </c>
      <c r="BF55" s="131">
        <f>IF(N55="snížená",J55,0)</f>
        <v>0</v>
      </c>
      <c r="BG55" s="131">
        <f>IF(N55="zákl. přenesená",J55,0)</f>
        <v>0</v>
      </c>
      <c r="BH55" s="131">
        <f>IF(N55="sníž. přenesená",J55,0)</f>
        <v>0</v>
      </c>
      <c r="BI55" s="131">
        <f>IF(N55="nulová",J55,0)</f>
        <v>0</v>
      </c>
      <c r="BJ55" s="14" t="s">
        <v>19</v>
      </c>
      <c r="BK55" s="131">
        <f>ROUND(I55*H55,2)</f>
        <v>0</v>
      </c>
      <c r="BL55" s="14" t="s">
        <v>135</v>
      </c>
      <c r="BM55" s="130" t="s">
        <v>2106</v>
      </c>
    </row>
    <row r="56" spans="2:65" s="1" customFormat="1">
      <c r="B56" s="26"/>
      <c r="C56" s="160"/>
      <c r="D56" s="161" t="s">
        <v>143</v>
      </c>
      <c r="E56" s="160"/>
      <c r="F56" s="162" t="s">
        <v>2093</v>
      </c>
      <c r="G56" s="160"/>
      <c r="H56" s="160"/>
      <c r="I56" s="160"/>
      <c r="J56" s="160"/>
      <c r="K56" s="160"/>
      <c r="L56" s="26"/>
      <c r="M56" s="134"/>
      <c r="T56" s="50"/>
      <c r="AT56" s="14" t="s">
        <v>143</v>
      </c>
      <c r="AU56" s="14" t="s">
        <v>19</v>
      </c>
    </row>
    <row r="57" spans="2:65" s="1" customFormat="1" ht="48">
      <c r="B57" s="26"/>
      <c r="C57" s="160"/>
      <c r="D57" s="161" t="s">
        <v>145</v>
      </c>
      <c r="E57" s="160"/>
      <c r="F57" s="163" t="s">
        <v>2107</v>
      </c>
      <c r="G57" s="160"/>
      <c r="H57" s="160"/>
      <c r="I57" s="160"/>
      <c r="J57" s="160"/>
      <c r="K57" s="160"/>
      <c r="L57" s="26"/>
      <c r="M57" s="134"/>
      <c r="T57" s="50"/>
      <c r="AT57" s="14" t="s">
        <v>145</v>
      </c>
      <c r="AU57" s="14" t="s">
        <v>19</v>
      </c>
    </row>
    <row r="58" spans="2:65" s="11" customFormat="1">
      <c r="B58" s="136"/>
      <c r="C58" s="164"/>
      <c r="D58" s="161" t="s">
        <v>147</v>
      </c>
      <c r="E58" s="165" t="s">
        <v>2108</v>
      </c>
      <c r="F58" s="166" t="s">
        <v>2095</v>
      </c>
      <c r="G58" s="164"/>
      <c r="H58" s="167">
        <v>2</v>
      </c>
      <c r="I58" s="164"/>
      <c r="J58" s="164"/>
      <c r="K58" s="164"/>
      <c r="L58" s="136"/>
      <c r="M58" s="140"/>
      <c r="T58" s="141"/>
      <c r="AT58" s="137" t="s">
        <v>147</v>
      </c>
      <c r="AU58" s="137" t="s">
        <v>19</v>
      </c>
      <c r="AV58" s="11" t="s">
        <v>149</v>
      </c>
      <c r="AW58" s="11" t="s">
        <v>39</v>
      </c>
      <c r="AX58" s="11" t="s">
        <v>81</v>
      </c>
      <c r="AY58" s="137" t="s">
        <v>136</v>
      </c>
    </row>
    <row r="59" spans="2:65" s="11" customFormat="1">
      <c r="B59" s="136"/>
      <c r="C59" s="164"/>
      <c r="D59" s="161" t="s">
        <v>147</v>
      </c>
      <c r="E59" s="165" t="s">
        <v>1</v>
      </c>
      <c r="F59" s="166" t="s">
        <v>2096</v>
      </c>
      <c r="G59" s="164"/>
      <c r="H59" s="167">
        <v>2</v>
      </c>
      <c r="I59" s="164"/>
      <c r="J59" s="164"/>
      <c r="K59" s="164"/>
      <c r="L59" s="136"/>
      <c r="M59" s="140"/>
      <c r="T59" s="141"/>
      <c r="AT59" s="137" t="s">
        <v>147</v>
      </c>
      <c r="AU59" s="137" t="s">
        <v>19</v>
      </c>
      <c r="AV59" s="11" t="s">
        <v>149</v>
      </c>
      <c r="AW59" s="11" t="s">
        <v>39</v>
      </c>
      <c r="AX59" s="11" t="s">
        <v>19</v>
      </c>
      <c r="AY59" s="137" t="s">
        <v>136</v>
      </c>
    </row>
    <row r="60" spans="2:65" s="10" customFormat="1" ht="25.95" customHeight="1">
      <c r="B60" s="110"/>
      <c r="D60" s="111" t="s">
        <v>80</v>
      </c>
      <c r="E60" s="112" t="s">
        <v>19</v>
      </c>
      <c r="F60" s="112" t="s">
        <v>196</v>
      </c>
      <c r="J60" s="113" t="e">
        <f>BK60</f>
        <v>#REF!</v>
      </c>
      <c r="L60" s="110"/>
      <c r="M60" s="114"/>
      <c r="P60" s="115" t="e">
        <f>SUM(#REF!)</f>
        <v>#REF!</v>
      </c>
      <c r="R60" s="115" t="e">
        <f>SUM(#REF!)</f>
        <v>#REF!</v>
      </c>
      <c r="T60" s="116" t="e">
        <f>SUM(#REF!)</f>
        <v>#REF!</v>
      </c>
      <c r="AR60" s="111" t="s">
        <v>135</v>
      </c>
      <c r="AT60" s="117" t="s">
        <v>80</v>
      </c>
      <c r="AU60" s="117" t="s">
        <v>81</v>
      </c>
      <c r="AY60" s="111" t="s">
        <v>136</v>
      </c>
      <c r="BK60" s="118" t="e">
        <f>SUM(#REF!)</f>
        <v>#REF!</v>
      </c>
    </row>
    <row r="61" spans="2:65" s="10" customFormat="1" ht="25.95" customHeight="1">
      <c r="B61" s="110"/>
      <c r="D61" s="111" t="s">
        <v>80</v>
      </c>
      <c r="E61" s="112" t="s">
        <v>149</v>
      </c>
      <c r="F61" s="112" t="s">
        <v>459</v>
      </c>
      <c r="J61" s="113">
        <f>BK61</f>
        <v>0</v>
      </c>
      <c r="L61" s="110"/>
      <c r="M61" s="114"/>
      <c r="P61" s="115">
        <f>SUM(P62:P105)</f>
        <v>0</v>
      </c>
      <c r="R61" s="115">
        <f>SUM(R62:R105)</f>
        <v>0</v>
      </c>
      <c r="T61" s="116">
        <f>SUM(T62:T105)</f>
        <v>0</v>
      </c>
      <c r="AR61" s="111" t="s">
        <v>135</v>
      </c>
      <c r="AT61" s="117" t="s">
        <v>80</v>
      </c>
      <c r="AU61" s="117" t="s">
        <v>81</v>
      </c>
      <c r="AY61" s="111" t="s">
        <v>136</v>
      </c>
      <c r="BK61" s="118">
        <f>SUM(BK62:BK105)</f>
        <v>0</v>
      </c>
    </row>
    <row r="62" spans="2:65" s="1" customFormat="1" ht="21.75" customHeight="1">
      <c r="B62" s="119"/>
      <c r="C62" s="154" t="s">
        <v>385</v>
      </c>
      <c r="D62" s="154" t="s">
        <v>137</v>
      </c>
      <c r="E62" s="155" t="s">
        <v>2109</v>
      </c>
      <c r="F62" s="156" t="s">
        <v>2110</v>
      </c>
      <c r="G62" s="157" t="s">
        <v>216</v>
      </c>
      <c r="H62" s="158">
        <v>0.66800000000000004</v>
      </c>
      <c r="I62" s="159">
        <v>0</v>
      </c>
      <c r="J62" s="159">
        <f>ROUND(I62*H62,2)</f>
        <v>0</v>
      </c>
      <c r="K62" s="156" t="s">
        <v>141</v>
      </c>
      <c r="L62" s="26"/>
      <c r="M62" s="126" t="s">
        <v>1</v>
      </c>
      <c r="N62" s="127" t="s">
        <v>46</v>
      </c>
      <c r="O62" s="128">
        <v>0</v>
      </c>
      <c r="P62" s="128">
        <f>O62*H62</f>
        <v>0</v>
      </c>
      <c r="Q62" s="128">
        <v>0</v>
      </c>
      <c r="R62" s="128">
        <f>Q62*H62</f>
        <v>0</v>
      </c>
      <c r="S62" s="128">
        <v>0</v>
      </c>
      <c r="T62" s="129">
        <f>S62*H62</f>
        <v>0</v>
      </c>
      <c r="AR62" s="130" t="s">
        <v>135</v>
      </c>
      <c r="AT62" s="130" t="s">
        <v>137</v>
      </c>
      <c r="AU62" s="130" t="s">
        <v>19</v>
      </c>
      <c r="AY62" s="14" t="s">
        <v>136</v>
      </c>
      <c r="BE62" s="131">
        <f>IF(N62="základní",J62,0)</f>
        <v>0</v>
      </c>
      <c r="BF62" s="131">
        <f>IF(N62="snížená",J62,0)</f>
        <v>0</v>
      </c>
      <c r="BG62" s="131">
        <f>IF(N62="zákl. přenesená",J62,0)</f>
        <v>0</v>
      </c>
      <c r="BH62" s="131">
        <f>IF(N62="sníž. přenesená",J62,0)</f>
        <v>0</v>
      </c>
      <c r="BI62" s="131">
        <f>IF(N62="nulová",J62,0)</f>
        <v>0</v>
      </c>
      <c r="BJ62" s="14" t="s">
        <v>19</v>
      </c>
      <c r="BK62" s="131">
        <f>ROUND(I62*H62,2)</f>
        <v>0</v>
      </c>
      <c r="BL62" s="14" t="s">
        <v>135</v>
      </c>
      <c r="BM62" s="130" t="s">
        <v>2111</v>
      </c>
    </row>
    <row r="63" spans="2:65" s="1" customFormat="1">
      <c r="B63" s="26"/>
      <c r="C63" s="160"/>
      <c r="D63" s="161" t="s">
        <v>143</v>
      </c>
      <c r="E63" s="160"/>
      <c r="F63" s="162" t="s">
        <v>2110</v>
      </c>
      <c r="G63" s="160"/>
      <c r="H63" s="160"/>
      <c r="I63" s="160"/>
      <c r="J63" s="160"/>
      <c r="K63" s="160"/>
      <c r="L63" s="26"/>
      <c r="M63" s="134"/>
      <c r="T63" s="50"/>
      <c r="AT63" s="14" t="s">
        <v>143</v>
      </c>
      <c r="AU63" s="14" t="s">
        <v>19</v>
      </c>
    </row>
    <row r="64" spans="2:65" s="1" customFormat="1" ht="48">
      <c r="B64" s="26"/>
      <c r="C64" s="160"/>
      <c r="D64" s="161" t="s">
        <v>145</v>
      </c>
      <c r="E64" s="160"/>
      <c r="F64" s="163" t="s">
        <v>2112</v>
      </c>
      <c r="G64" s="160"/>
      <c r="H64" s="160"/>
      <c r="I64" s="160"/>
      <c r="J64" s="160"/>
      <c r="K64" s="160"/>
      <c r="L64" s="26"/>
      <c r="M64" s="134"/>
      <c r="T64" s="50"/>
      <c r="AT64" s="14" t="s">
        <v>145</v>
      </c>
      <c r="AU64" s="14" t="s">
        <v>19</v>
      </c>
    </row>
    <row r="65" spans="2:65" s="11" customFormat="1">
      <c r="B65" s="136"/>
      <c r="C65" s="164"/>
      <c r="D65" s="161" t="s">
        <v>147</v>
      </c>
      <c r="E65" s="165" t="s">
        <v>2113</v>
      </c>
      <c r="F65" s="166" t="s">
        <v>2114</v>
      </c>
      <c r="G65" s="164"/>
      <c r="H65" s="167">
        <v>0.51359999999999995</v>
      </c>
      <c r="I65" s="164"/>
      <c r="J65" s="164"/>
      <c r="K65" s="164"/>
      <c r="L65" s="136"/>
      <c r="M65" s="140"/>
      <c r="T65" s="141"/>
      <c r="AT65" s="137" t="s">
        <v>147</v>
      </c>
      <c r="AU65" s="137" t="s">
        <v>19</v>
      </c>
      <c r="AV65" s="11" t="s">
        <v>149</v>
      </c>
      <c r="AW65" s="11" t="s">
        <v>39</v>
      </c>
      <c r="AX65" s="11" t="s">
        <v>81</v>
      </c>
      <c r="AY65" s="137" t="s">
        <v>136</v>
      </c>
    </row>
    <row r="66" spans="2:65" s="11" customFormat="1">
      <c r="B66" s="136"/>
      <c r="C66" s="164"/>
      <c r="D66" s="161" t="s">
        <v>147</v>
      </c>
      <c r="E66" s="165" t="s">
        <v>2115</v>
      </c>
      <c r="F66" s="166" t="s">
        <v>2116</v>
      </c>
      <c r="G66" s="164"/>
      <c r="H66" s="167">
        <v>0.15360000000000001</v>
      </c>
      <c r="I66" s="164"/>
      <c r="J66" s="164"/>
      <c r="K66" s="164"/>
      <c r="L66" s="136"/>
      <c r="M66" s="140"/>
      <c r="T66" s="141"/>
      <c r="AT66" s="137" t="s">
        <v>147</v>
      </c>
      <c r="AU66" s="137" t="s">
        <v>19</v>
      </c>
      <c r="AV66" s="11" t="s">
        <v>149</v>
      </c>
      <c r="AW66" s="11" t="s">
        <v>39</v>
      </c>
      <c r="AX66" s="11" t="s">
        <v>81</v>
      </c>
      <c r="AY66" s="137" t="s">
        <v>136</v>
      </c>
    </row>
    <row r="67" spans="2:65" s="11" customFormat="1">
      <c r="B67" s="136"/>
      <c r="C67" s="164"/>
      <c r="D67" s="161" t="s">
        <v>147</v>
      </c>
      <c r="E67" s="165" t="s">
        <v>1</v>
      </c>
      <c r="F67" s="166" t="s">
        <v>2117</v>
      </c>
      <c r="G67" s="164"/>
      <c r="H67" s="167">
        <v>0.66800000000000004</v>
      </c>
      <c r="I67" s="164"/>
      <c r="J67" s="164"/>
      <c r="K67" s="164"/>
      <c r="L67" s="136"/>
      <c r="M67" s="140"/>
      <c r="T67" s="141"/>
      <c r="AT67" s="137" t="s">
        <v>147</v>
      </c>
      <c r="AU67" s="137" t="s">
        <v>19</v>
      </c>
      <c r="AV67" s="11" t="s">
        <v>149</v>
      </c>
      <c r="AW67" s="11" t="s">
        <v>39</v>
      </c>
      <c r="AX67" s="11" t="s">
        <v>19</v>
      </c>
      <c r="AY67" s="137" t="s">
        <v>136</v>
      </c>
    </row>
    <row r="68" spans="2:65" s="1" customFormat="1" ht="16.5" customHeight="1">
      <c r="B68" s="119"/>
      <c r="C68" s="154" t="s">
        <v>392</v>
      </c>
      <c r="D68" s="154" t="s">
        <v>137</v>
      </c>
      <c r="E68" s="155" t="s">
        <v>2118</v>
      </c>
      <c r="F68" s="156" t="s">
        <v>2119</v>
      </c>
      <c r="G68" s="157" t="s">
        <v>673</v>
      </c>
      <c r="H68" s="158">
        <v>4</v>
      </c>
      <c r="I68" s="159">
        <v>0</v>
      </c>
      <c r="J68" s="159">
        <f>ROUND(I68*H68,2)</f>
        <v>0</v>
      </c>
      <c r="K68" s="156" t="s">
        <v>141</v>
      </c>
      <c r="L68" s="26"/>
      <c r="M68" s="126" t="s">
        <v>1</v>
      </c>
      <c r="N68" s="127" t="s">
        <v>46</v>
      </c>
      <c r="O68" s="128">
        <v>0</v>
      </c>
      <c r="P68" s="128">
        <f>O68*H68</f>
        <v>0</v>
      </c>
      <c r="Q68" s="128">
        <v>0</v>
      </c>
      <c r="R68" s="128">
        <f>Q68*H68</f>
        <v>0</v>
      </c>
      <c r="S68" s="128">
        <v>0</v>
      </c>
      <c r="T68" s="129">
        <f>S68*H68</f>
        <v>0</v>
      </c>
      <c r="AR68" s="130" t="s">
        <v>135</v>
      </c>
      <c r="AT68" s="130" t="s">
        <v>137</v>
      </c>
      <c r="AU68" s="130" t="s">
        <v>19</v>
      </c>
      <c r="AY68" s="14" t="s">
        <v>136</v>
      </c>
      <c r="BE68" s="131">
        <f>IF(N68="základní",J68,0)</f>
        <v>0</v>
      </c>
      <c r="BF68" s="131">
        <f>IF(N68="snížená",J68,0)</f>
        <v>0</v>
      </c>
      <c r="BG68" s="131">
        <f>IF(N68="zákl. přenesená",J68,0)</f>
        <v>0</v>
      </c>
      <c r="BH68" s="131">
        <f>IF(N68="sníž. přenesená",J68,0)</f>
        <v>0</v>
      </c>
      <c r="BI68" s="131">
        <f>IF(N68="nulová",J68,0)</f>
        <v>0</v>
      </c>
      <c r="BJ68" s="14" t="s">
        <v>19</v>
      </c>
      <c r="BK68" s="131">
        <f>ROUND(I68*H68,2)</f>
        <v>0</v>
      </c>
      <c r="BL68" s="14" t="s">
        <v>135</v>
      </c>
      <c r="BM68" s="130" t="s">
        <v>2120</v>
      </c>
    </row>
    <row r="69" spans="2:65" s="1" customFormat="1" ht="48">
      <c r="B69" s="26"/>
      <c r="C69" s="160"/>
      <c r="D69" s="161" t="s">
        <v>143</v>
      </c>
      <c r="E69" s="160"/>
      <c r="F69" s="162" t="s">
        <v>2121</v>
      </c>
      <c r="G69" s="160"/>
      <c r="H69" s="160"/>
      <c r="I69" s="160"/>
      <c r="J69" s="160"/>
      <c r="K69" s="160"/>
      <c r="L69" s="26"/>
      <c r="M69" s="134"/>
      <c r="T69" s="50"/>
      <c r="AT69" s="14" t="s">
        <v>143</v>
      </c>
      <c r="AU69" s="14" t="s">
        <v>19</v>
      </c>
    </row>
    <row r="70" spans="2:65" s="1" customFormat="1" ht="57.6">
      <c r="B70" s="26"/>
      <c r="C70" s="160"/>
      <c r="D70" s="161" t="s">
        <v>145</v>
      </c>
      <c r="E70" s="160"/>
      <c r="F70" s="163" t="s">
        <v>2122</v>
      </c>
      <c r="G70" s="160"/>
      <c r="H70" s="160"/>
      <c r="I70" s="160"/>
      <c r="J70" s="160"/>
      <c r="K70" s="160"/>
      <c r="L70" s="26"/>
      <c r="M70" s="134"/>
      <c r="T70" s="50"/>
      <c r="AT70" s="14" t="s">
        <v>145</v>
      </c>
      <c r="AU70" s="14" t="s">
        <v>19</v>
      </c>
    </row>
    <row r="71" spans="2:65" s="11" customFormat="1">
      <c r="B71" s="136"/>
      <c r="C71" s="164"/>
      <c r="D71" s="161" t="s">
        <v>147</v>
      </c>
      <c r="E71" s="165" t="s">
        <v>2123</v>
      </c>
      <c r="F71" s="166" t="s">
        <v>2124</v>
      </c>
      <c r="G71" s="164"/>
      <c r="H71" s="167">
        <v>2</v>
      </c>
      <c r="I71" s="164"/>
      <c r="J71" s="164"/>
      <c r="K71" s="164"/>
      <c r="L71" s="136"/>
      <c r="M71" s="140"/>
      <c r="T71" s="141"/>
      <c r="AT71" s="137" t="s">
        <v>147</v>
      </c>
      <c r="AU71" s="137" t="s">
        <v>19</v>
      </c>
      <c r="AV71" s="11" t="s">
        <v>149</v>
      </c>
      <c r="AW71" s="11" t="s">
        <v>39</v>
      </c>
      <c r="AX71" s="11" t="s">
        <v>81</v>
      </c>
      <c r="AY71" s="137" t="s">
        <v>136</v>
      </c>
    </row>
    <row r="72" spans="2:65" s="11" customFormat="1">
      <c r="B72" s="136"/>
      <c r="C72" s="164"/>
      <c r="D72" s="161" t="s">
        <v>147</v>
      </c>
      <c r="E72" s="165" t="s">
        <v>2125</v>
      </c>
      <c r="F72" s="166" t="s">
        <v>2126</v>
      </c>
      <c r="G72" s="164"/>
      <c r="H72" s="167">
        <v>2</v>
      </c>
      <c r="I72" s="164"/>
      <c r="J72" s="164"/>
      <c r="K72" s="164"/>
      <c r="L72" s="136"/>
      <c r="M72" s="140"/>
      <c r="T72" s="141"/>
      <c r="AT72" s="137" t="s">
        <v>147</v>
      </c>
      <c r="AU72" s="137" t="s">
        <v>19</v>
      </c>
      <c r="AV72" s="11" t="s">
        <v>149</v>
      </c>
      <c r="AW72" s="11" t="s">
        <v>39</v>
      </c>
      <c r="AX72" s="11" t="s">
        <v>81</v>
      </c>
      <c r="AY72" s="137" t="s">
        <v>136</v>
      </c>
    </row>
    <row r="73" spans="2:65" s="11" customFormat="1">
      <c r="B73" s="136"/>
      <c r="C73" s="164"/>
      <c r="D73" s="161" t="s">
        <v>147</v>
      </c>
      <c r="E73" s="165" t="s">
        <v>1</v>
      </c>
      <c r="F73" s="166" t="s">
        <v>2127</v>
      </c>
      <c r="G73" s="164"/>
      <c r="H73" s="167">
        <v>4</v>
      </c>
      <c r="I73" s="164"/>
      <c r="J73" s="164"/>
      <c r="K73" s="164"/>
      <c r="L73" s="136"/>
      <c r="M73" s="140"/>
      <c r="T73" s="141"/>
      <c r="AT73" s="137" t="s">
        <v>147</v>
      </c>
      <c r="AU73" s="137" t="s">
        <v>19</v>
      </c>
      <c r="AV73" s="11" t="s">
        <v>149</v>
      </c>
      <c r="AW73" s="11" t="s">
        <v>39</v>
      </c>
      <c r="AX73" s="11" t="s">
        <v>19</v>
      </c>
      <c r="AY73" s="137" t="s">
        <v>136</v>
      </c>
    </row>
    <row r="74" spans="2:65" s="1" customFormat="1" ht="21.75" customHeight="1">
      <c r="B74" s="119"/>
      <c r="C74" s="154" t="s">
        <v>7</v>
      </c>
      <c r="D74" s="154" t="s">
        <v>137</v>
      </c>
      <c r="E74" s="155" t="s">
        <v>2128</v>
      </c>
      <c r="F74" s="156" t="s">
        <v>2129</v>
      </c>
      <c r="G74" s="157" t="s">
        <v>260</v>
      </c>
      <c r="H74" s="158">
        <v>20</v>
      </c>
      <c r="I74" s="159">
        <v>0</v>
      </c>
      <c r="J74" s="159">
        <f>ROUND(I74*H74,2)</f>
        <v>0</v>
      </c>
      <c r="K74" s="156" t="s">
        <v>141</v>
      </c>
      <c r="L74" s="26"/>
      <c r="M74" s="126" t="s">
        <v>1</v>
      </c>
      <c r="N74" s="127" t="s">
        <v>46</v>
      </c>
      <c r="O74" s="128">
        <v>0</v>
      </c>
      <c r="P74" s="128">
        <f>O74*H74</f>
        <v>0</v>
      </c>
      <c r="Q74" s="128">
        <v>0</v>
      </c>
      <c r="R74" s="128">
        <f>Q74*H74</f>
        <v>0</v>
      </c>
      <c r="S74" s="128">
        <v>0</v>
      </c>
      <c r="T74" s="129">
        <f>S74*H74</f>
        <v>0</v>
      </c>
      <c r="AR74" s="130" t="s">
        <v>135</v>
      </c>
      <c r="AT74" s="130" t="s">
        <v>137</v>
      </c>
      <c r="AU74" s="130" t="s">
        <v>19</v>
      </c>
      <c r="AY74" s="14" t="s">
        <v>136</v>
      </c>
      <c r="BE74" s="131">
        <f>IF(N74="základní",J74,0)</f>
        <v>0</v>
      </c>
      <c r="BF74" s="131">
        <f>IF(N74="snížená",J74,0)</f>
        <v>0</v>
      </c>
      <c r="BG74" s="131">
        <f>IF(N74="zákl. přenesená",J74,0)</f>
        <v>0</v>
      </c>
      <c r="BH74" s="131">
        <f>IF(N74="sníž. přenesená",J74,0)</f>
        <v>0</v>
      </c>
      <c r="BI74" s="131">
        <f>IF(N74="nulová",J74,0)</f>
        <v>0</v>
      </c>
      <c r="BJ74" s="14" t="s">
        <v>19</v>
      </c>
      <c r="BK74" s="131">
        <f>ROUND(I74*H74,2)</f>
        <v>0</v>
      </c>
      <c r="BL74" s="14" t="s">
        <v>135</v>
      </c>
      <c r="BM74" s="130" t="s">
        <v>2130</v>
      </c>
    </row>
    <row r="75" spans="2:65" s="1" customFormat="1">
      <c r="B75" s="26"/>
      <c r="C75" s="160"/>
      <c r="D75" s="161" t="s">
        <v>143</v>
      </c>
      <c r="E75" s="160"/>
      <c r="F75" s="162" t="s">
        <v>2129</v>
      </c>
      <c r="G75" s="160"/>
      <c r="H75" s="160"/>
      <c r="I75" s="160"/>
      <c r="J75" s="160"/>
      <c r="K75" s="160"/>
      <c r="L75" s="26"/>
      <c r="M75" s="134"/>
      <c r="T75" s="50"/>
      <c r="AT75" s="14" t="s">
        <v>143</v>
      </c>
      <c r="AU75" s="14" t="s">
        <v>19</v>
      </c>
    </row>
    <row r="76" spans="2:65" s="1" customFormat="1" ht="28.8">
      <c r="B76" s="26"/>
      <c r="C76" s="160"/>
      <c r="D76" s="161" t="s">
        <v>145</v>
      </c>
      <c r="E76" s="160"/>
      <c r="F76" s="163" t="s">
        <v>2131</v>
      </c>
      <c r="G76" s="160"/>
      <c r="H76" s="160"/>
      <c r="I76" s="160"/>
      <c r="J76" s="160"/>
      <c r="K76" s="160"/>
      <c r="L76" s="26"/>
      <c r="M76" s="134"/>
      <c r="T76" s="50"/>
      <c r="AT76" s="14" t="s">
        <v>145</v>
      </c>
      <c r="AU76" s="14" t="s">
        <v>19</v>
      </c>
    </row>
    <row r="77" spans="2:65" s="11" customFormat="1">
      <c r="B77" s="136"/>
      <c r="C77" s="164"/>
      <c r="D77" s="161" t="s">
        <v>147</v>
      </c>
      <c r="E77" s="165" t="s">
        <v>2132</v>
      </c>
      <c r="F77" s="166" t="s">
        <v>2133</v>
      </c>
      <c r="G77" s="164"/>
      <c r="H77" s="167">
        <v>10</v>
      </c>
      <c r="I77" s="164"/>
      <c r="J77" s="164"/>
      <c r="K77" s="164"/>
      <c r="L77" s="136"/>
      <c r="M77" s="140"/>
      <c r="T77" s="141"/>
      <c r="AT77" s="137" t="s">
        <v>147</v>
      </c>
      <c r="AU77" s="137" t="s">
        <v>19</v>
      </c>
      <c r="AV77" s="11" t="s">
        <v>149</v>
      </c>
      <c r="AW77" s="11" t="s">
        <v>39</v>
      </c>
      <c r="AX77" s="11" t="s">
        <v>81</v>
      </c>
      <c r="AY77" s="137" t="s">
        <v>136</v>
      </c>
    </row>
    <row r="78" spans="2:65" s="11" customFormat="1">
      <c r="B78" s="136"/>
      <c r="C78" s="164"/>
      <c r="D78" s="161" t="s">
        <v>147</v>
      </c>
      <c r="E78" s="165" t="s">
        <v>2134</v>
      </c>
      <c r="F78" s="166" t="s">
        <v>2135</v>
      </c>
      <c r="G78" s="164"/>
      <c r="H78" s="167">
        <v>10</v>
      </c>
      <c r="I78" s="164"/>
      <c r="J78" s="164"/>
      <c r="K78" s="164"/>
      <c r="L78" s="136"/>
      <c r="M78" s="140"/>
      <c r="T78" s="141"/>
      <c r="AT78" s="137" t="s">
        <v>147</v>
      </c>
      <c r="AU78" s="137" t="s">
        <v>19</v>
      </c>
      <c r="AV78" s="11" t="s">
        <v>149</v>
      </c>
      <c r="AW78" s="11" t="s">
        <v>39</v>
      </c>
      <c r="AX78" s="11" t="s">
        <v>81</v>
      </c>
      <c r="AY78" s="137" t="s">
        <v>136</v>
      </c>
    </row>
    <row r="79" spans="2:65" s="11" customFormat="1">
      <c r="B79" s="136"/>
      <c r="C79" s="164"/>
      <c r="D79" s="161" t="s">
        <v>147</v>
      </c>
      <c r="E79" s="165" t="s">
        <v>1</v>
      </c>
      <c r="F79" s="166" t="s">
        <v>2136</v>
      </c>
      <c r="G79" s="164"/>
      <c r="H79" s="167">
        <v>20</v>
      </c>
      <c r="I79" s="164"/>
      <c r="J79" s="164"/>
      <c r="K79" s="164"/>
      <c r="L79" s="136"/>
      <c r="M79" s="140"/>
      <c r="T79" s="141"/>
      <c r="AT79" s="137" t="s">
        <v>147</v>
      </c>
      <c r="AU79" s="137" t="s">
        <v>19</v>
      </c>
      <c r="AV79" s="11" t="s">
        <v>149</v>
      </c>
      <c r="AW79" s="11" t="s">
        <v>39</v>
      </c>
      <c r="AX79" s="11" t="s">
        <v>19</v>
      </c>
      <c r="AY79" s="137" t="s">
        <v>136</v>
      </c>
    </row>
    <row r="80" spans="2:65" s="1" customFormat="1" ht="24.15" customHeight="1">
      <c r="B80" s="119"/>
      <c r="C80" s="154" t="s">
        <v>411</v>
      </c>
      <c r="D80" s="154" t="s">
        <v>137</v>
      </c>
      <c r="E80" s="155" t="s">
        <v>2137</v>
      </c>
      <c r="F80" s="156" t="s">
        <v>2138</v>
      </c>
      <c r="G80" s="157" t="s">
        <v>312</v>
      </c>
      <c r="H80" s="158">
        <v>44.4</v>
      </c>
      <c r="I80" s="159">
        <v>0</v>
      </c>
      <c r="J80" s="159">
        <f>ROUND(I80*H80,2)</f>
        <v>0</v>
      </c>
      <c r="K80" s="156" t="s">
        <v>141</v>
      </c>
      <c r="L80" s="26"/>
      <c r="M80" s="126" t="s">
        <v>1</v>
      </c>
      <c r="N80" s="127" t="s">
        <v>46</v>
      </c>
      <c r="O80" s="128">
        <v>0</v>
      </c>
      <c r="P80" s="128">
        <f>O80*H80</f>
        <v>0</v>
      </c>
      <c r="Q80" s="128">
        <v>0</v>
      </c>
      <c r="R80" s="128">
        <f>Q80*H80</f>
        <v>0</v>
      </c>
      <c r="S80" s="128">
        <v>0</v>
      </c>
      <c r="T80" s="129">
        <f>S80*H80</f>
        <v>0</v>
      </c>
      <c r="AR80" s="130" t="s">
        <v>135</v>
      </c>
      <c r="AT80" s="130" t="s">
        <v>137</v>
      </c>
      <c r="AU80" s="130" t="s">
        <v>19</v>
      </c>
      <c r="AY80" s="14" t="s">
        <v>136</v>
      </c>
      <c r="BE80" s="131">
        <f>IF(N80="základní",J80,0)</f>
        <v>0</v>
      </c>
      <c r="BF80" s="131">
        <f>IF(N80="snížená",J80,0)</f>
        <v>0</v>
      </c>
      <c r="BG80" s="131">
        <f>IF(N80="zákl. přenesená",J80,0)</f>
        <v>0</v>
      </c>
      <c r="BH80" s="131">
        <f>IF(N80="sníž. přenesená",J80,0)</f>
        <v>0</v>
      </c>
      <c r="BI80" s="131">
        <f>IF(N80="nulová",J80,0)</f>
        <v>0</v>
      </c>
      <c r="BJ80" s="14" t="s">
        <v>19</v>
      </c>
      <c r="BK80" s="131">
        <f>ROUND(I80*H80,2)</f>
        <v>0</v>
      </c>
      <c r="BL80" s="14" t="s">
        <v>135</v>
      </c>
      <c r="BM80" s="130" t="s">
        <v>2139</v>
      </c>
    </row>
    <row r="81" spans="2:65" s="1" customFormat="1" ht="28.8">
      <c r="B81" s="26"/>
      <c r="C81" s="160"/>
      <c r="D81" s="161" t="s">
        <v>143</v>
      </c>
      <c r="E81" s="160"/>
      <c r="F81" s="162" t="s">
        <v>2140</v>
      </c>
      <c r="G81" s="160"/>
      <c r="H81" s="160"/>
      <c r="I81" s="160"/>
      <c r="J81" s="160"/>
      <c r="K81" s="160"/>
      <c r="L81" s="26"/>
      <c r="M81" s="134"/>
      <c r="T81" s="50"/>
      <c r="AT81" s="14" t="s">
        <v>143</v>
      </c>
      <c r="AU81" s="14" t="s">
        <v>19</v>
      </c>
    </row>
    <row r="82" spans="2:65" s="1" customFormat="1" ht="57.6">
      <c r="B82" s="26"/>
      <c r="C82" s="160"/>
      <c r="D82" s="161" t="s">
        <v>145</v>
      </c>
      <c r="E82" s="160"/>
      <c r="F82" s="163" t="s">
        <v>2141</v>
      </c>
      <c r="G82" s="160"/>
      <c r="H82" s="160"/>
      <c r="I82" s="160"/>
      <c r="J82" s="160"/>
      <c r="K82" s="160"/>
      <c r="L82" s="26"/>
      <c r="M82" s="134"/>
      <c r="T82" s="50"/>
      <c r="AT82" s="14" t="s">
        <v>145</v>
      </c>
      <c r="AU82" s="14" t="s">
        <v>19</v>
      </c>
    </row>
    <row r="83" spans="2:65" s="11" customFormat="1">
      <c r="B83" s="136"/>
      <c r="C83" s="164"/>
      <c r="D83" s="161" t="s">
        <v>147</v>
      </c>
      <c r="E83" s="165" t="s">
        <v>2142</v>
      </c>
      <c r="F83" s="166" t="s">
        <v>2143</v>
      </c>
      <c r="G83" s="164"/>
      <c r="H83" s="167">
        <v>20</v>
      </c>
      <c r="I83" s="164"/>
      <c r="J83" s="164"/>
      <c r="K83" s="164"/>
      <c r="L83" s="136"/>
      <c r="M83" s="140"/>
      <c r="T83" s="141"/>
      <c r="AT83" s="137" t="s">
        <v>147</v>
      </c>
      <c r="AU83" s="137" t="s">
        <v>19</v>
      </c>
      <c r="AV83" s="11" t="s">
        <v>149</v>
      </c>
      <c r="AW83" s="11" t="s">
        <v>39</v>
      </c>
      <c r="AX83" s="11" t="s">
        <v>81</v>
      </c>
      <c r="AY83" s="137" t="s">
        <v>136</v>
      </c>
    </row>
    <row r="84" spans="2:65" s="11" customFormat="1">
      <c r="B84" s="136"/>
      <c r="C84" s="164"/>
      <c r="D84" s="161" t="s">
        <v>147</v>
      </c>
      <c r="E84" s="165" t="s">
        <v>2144</v>
      </c>
      <c r="F84" s="166" t="s">
        <v>2145</v>
      </c>
      <c r="G84" s="164"/>
      <c r="H84" s="167">
        <v>20</v>
      </c>
      <c r="I84" s="164"/>
      <c r="J84" s="164"/>
      <c r="K84" s="164"/>
      <c r="L84" s="136"/>
      <c r="M84" s="140"/>
      <c r="T84" s="141"/>
      <c r="AT84" s="137" t="s">
        <v>147</v>
      </c>
      <c r="AU84" s="137" t="s">
        <v>19</v>
      </c>
      <c r="AV84" s="11" t="s">
        <v>149</v>
      </c>
      <c r="AW84" s="11" t="s">
        <v>39</v>
      </c>
      <c r="AX84" s="11" t="s">
        <v>81</v>
      </c>
      <c r="AY84" s="137" t="s">
        <v>136</v>
      </c>
    </row>
    <row r="85" spans="2:65" s="11" customFormat="1">
      <c r="B85" s="136"/>
      <c r="C85" s="164"/>
      <c r="D85" s="161" t="s">
        <v>147</v>
      </c>
      <c r="E85" s="165" t="s">
        <v>2146</v>
      </c>
      <c r="F85" s="166" t="s">
        <v>2147</v>
      </c>
      <c r="G85" s="164"/>
      <c r="H85" s="167">
        <v>2.2000000000000002</v>
      </c>
      <c r="I85" s="164"/>
      <c r="J85" s="164"/>
      <c r="K85" s="164"/>
      <c r="L85" s="136"/>
      <c r="M85" s="140"/>
      <c r="T85" s="141"/>
      <c r="AT85" s="137" t="s">
        <v>147</v>
      </c>
      <c r="AU85" s="137" t="s">
        <v>19</v>
      </c>
      <c r="AV85" s="11" t="s">
        <v>149</v>
      </c>
      <c r="AW85" s="11" t="s">
        <v>39</v>
      </c>
      <c r="AX85" s="11" t="s">
        <v>81</v>
      </c>
      <c r="AY85" s="137" t="s">
        <v>136</v>
      </c>
    </row>
    <row r="86" spans="2:65" s="11" customFormat="1">
      <c r="B86" s="136"/>
      <c r="C86" s="164"/>
      <c r="D86" s="161" t="s">
        <v>147</v>
      </c>
      <c r="E86" s="165" t="s">
        <v>2148</v>
      </c>
      <c r="F86" s="166" t="s">
        <v>2149</v>
      </c>
      <c r="G86" s="164"/>
      <c r="H86" s="167">
        <v>2.2000000000000002</v>
      </c>
      <c r="I86" s="164"/>
      <c r="J86" s="164"/>
      <c r="K86" s="164"/>
      <c r="L86" s="136"/>
      <c r="M86" s="140"/>
      <c r="T86" s="141"/>
      <c r="AT86" s="137" t="s">
        <v>147</v>
      </c>
      <c r="AU86" s="137" t="s">
        <v>19</v>
      </c>
      <c r="AV86" s="11" t="s">
        <v>149</v>
      </c>
      <c r="AW86" s="11" t="s">
        <v>39</v>
      </c>
      <c r="AX86" s="11" t="s">
        <v>81</v>
      </c>
      <c r="AY86" s="137" t="s">
        <v>136</v>
      </c>
    </row>
    <row r="87" spans="2:65" s="11" customFormat="1">
      <c r="B87" s="136"/>
      <c r="C87" s="164"/>
      <c r="D87" s="161" t="s">
        <v>147</v>
      </c>
      <c r="E87" s="165" t="s">
        <v>1</v>
      </c>
      <c r="F87" s="166" t="s">
        <v>2150</v>
      </c>
      <c r="G87" s="164"/>
      <c r="H87" s="167">
        <v>44.4</v>
      </c>
      <c r="I87" s="164"/>
      <c r="J87" s="164"/>
      <c r="K87" s="164"/>
      <c r="L87" s="136"/>
      <c r="M87" s="140"/>
      <c r="T87" s="141"/>
      <c r="AT87" s="137" t="s">
        <v>147</v>
      </c>
      <c r="AU87" s="137" t="s">
        <v>19</v>
      </c>
      <c r="AV87" s="11" t="s">
        <v>149</v>
      </c>
      <c r="AW87" s="11" t="s">
        <v>39</v>
      </c>
      <c r="AX87" s="11" t="s">
        <v>19</v>
      </c>
      <c r="AY87" s="137" t="s">
        <v>136</v>
      </c>
    </row>
    <row r="88" spans="2:65" s="1" customFormat="1" ht="24.15" customHeight="1">
      <c r="B88" s="119"/>
      <c r="C88" s="154" t="s">
        <v>418</v>
      </c>
      <c r="D88" s="154" t="s">
        <v>137</v>
      </c>
      <c r="E88" s="155" t="s">
        <v>2151</v>
      </c>
      <c r="F88" s="156" t="s">
        <v>2138</v>
      </c>
      <c r="G88" s="157" t="s">
        <v>312</v>
      </c>
      <c r="H88" s="158">
        <v>76</v>
      </c>
      <c r="I88" s="159">
        <v>0</v>
      </c>
      <c r="J88" s="159">
        <f>ROUND(I88*H88,2)</f>
        <v>0</v>
      </c>
      <c r="K88" s="156" t="s">
        <v>141</v>
      </c>
      <c r="L88" s="26"/>
      <c r="M88" s="126" t="s">
        <v>1</v>
      </c>
      <c r="N88" s="127" t="s">
        <v>46</v>
      </c>
      <c r="O88" s="128">
        <v>0</v>
      </c>
      <c r="P88" s="128">
        <f>O88*H88</f>
        <v>0</v>
      </c>
      <c r="Q88" s="128">
        <v>0</v>
      </c>
      <c r="R88" s="128">
        <f>Q88*H88</f>
        <v>0</v>
      </c>
      <c r="S88" s="128">
        <v>0</v>
      </c>
      <c r="T88" s="129">
        <f>S88*H88</f>
        <v>0</v>
      </c>
      <c r="AR88" s="130" t="s">
        <v>135</v>
      </c>
      <c r="AT88" s="130" t="s">
        <v>137</v>
      </c>
      <c r="AU88" s="130" t="s">
        <v>19</v>
      </c>
      <c r="AY88" s="14" t="s">
        <v>136</v>
      </c>
      <c r="BE88" s="131">
        <f>IF(N88="základní",J88,0)</f>
        <v>0</v>
      </c>
      <c r="BF88" s="131">
        <f>IF(N88="snížená",J88,0)</f>
        <v>0</v>
      </c>
      <c r="BG88" s="131">
        <f>IF(N88="zákl. přenesená",J88,0)</f>
        <v>0</v>
      </c>
      <c r="BH88" s="131">
        <f>IF(N88="sníž. přenesená",J88,0)</f>
        <v>0</v>
      </c>
      <c r="BI88" s="131">
        <f>IF(N88="nulová",J88,0)</f>
        <v>0</v>
      </c>
      <c r="BJ88" s="14" t="s">
        <v>19</v>
      </c>
      <c r="BK88" s="131">
        <f>ROUND(I88*H88,2)</f>
        <v>0</v>
      </c>
      <c r="BL88" s="14" t="s">
        <v>135</v>
      </c>
      <c r="BM88" s="130" t="s">
        <v>2152</v>
      </c>
    </row>
    <row r="89" spans="2:65" s="1" customFormat="1" ht="19.2">
      <c r="B89" s="26"/>
      <c r="C89" s="160"/>
      <c r="D89" s="161" t="s">
        <v>143</v>
      </c>
      <c r="E89" s="160"/>
      <c r="F89" s="162" t="s">
        <v>2153</v>
      </c>
      <c r="G89" s="160"/>
      <c r="H89" s="160"/>
      <c r="I89" s="160"/>
      <c r="J89" s="160"/>
      <c r="K89" s="160"/>
      <c r="L89" s="26"/>
      <c r="M89" s="134"/>
      <c r="T89" s="50"/>
      <c r="AT89" s="14" t="s">
        <v>143</v>
      </c>
      <c r="AU89" s="14" t="s">
        <v>19</v>
      </c>
    </row>
    <row r="90" spans="2:65" s="1" customFormat="1" ht="57.6">
      <c r="B90" s="26"/>
      <c r="C90" s="160"/>
      <c r="D90" s="161" t="s">
        <v>145</v>
      </c>
      <c r="E90" s="160"/>
      <c r="F90" s="163" t="s">
        <v>2141</v>
      </c>
      <c r="G90" s="160"/>
      <c r="H90" s="160"/>
      <c r="I90" s="160"/>
      <c r="J90" s="160"/>
      <c r="K90" s="160"/>
      <c r="L90" s="26"/>
      <c r="M90" s="134"/>
      <c r="T90" s="50"/>
      <c r="AT90" s="14" t="s">
        <v>145</v>
      </c>
      <c r="AU90" s="14" t="s">
        <v>19</v>
      </c>
    </row>
    <row r="91" spans="2:65" s="11" customFormat="1">
      <c r="B91" s="136"/>
      <c r="C91" s="164"/>
      <c r="D91" s="161" t="s">
        <v>147</v>
      </c>
      <c r="E91" s="165" t="s">
        <v>2154</v>
      </c>
      <c r="F91" s="166" t="s">
        <v>2155</v>
      </c>
      <c r="G91" s="164"/>
      <c r="H91" s="167">
        <v>38</v>
      </c>
      <c r="I91" s="164"/>
      <c r="J91" s="164"/>
      <c r="K91" s="164"/>
      <c r="L91" s="136"/>
      <c r="M91" s="140"/>
      <c r="T91" s="141"/>
      <c r="AT91" s="137" t="s">
        <v>147</v>
      </c>
      <c r="AU91" s="137" t="s">
        <v>19</v>
      </c>
      <c r="AV91" s="11" t="s">
        <v>149</v>
      </c>
      <c r="AW91" s="11" t="s">
        <v>39</v>
      </c>
      <c r="AX91" s="11" t="s">
        <v>81</v>
      </c>
      <c r="AY91" s="137" t="s">
        <v>136</v>
      </c>
    </row>
    <row r="92" spans="2:65" s="11" customFormat="1">
      <c r="B92" s="136"/>
      <c r="C92" s="164"/>
      <c r="D92" s="161" t="s">
        <v>147</v>
      </c>
      <c r="E92" s="165" t="s">
        <v>2156</v>
      </c>
      <c r="F92" s="166" t="s">
        <v>2157</v>
      </c>
      <c r="G92" s="164"/>
      <c r="H92" s="167">
        <v>38</v>
      </c>
      <c r="I92" s="164"/>
      <c r="J92" s="164"/>
      <c r="K92" s="164"/>
      <c r="L92" s="136"/>
      <c r="M92" s="140"/>
      <c r="T92" s="141"/>
      <c r="AT92" s="137" t="s">
        <v>147</v>
      </c>
      <c r="AU92" s="137" t="s">
        <v>19</v>
      </c>
      <c r="AV92" s="11" t="s">
        <v>149</v>
      </c>
      <c r="AW92" s="11" t="s">
        <v>39</v>
      </c>
      <c r="AX92" s="11" t="s">
        <v>81</v>
      </c>
      <c r="AY92" s="137" t="s">
        <v>136</v>
      </c>
    </row>
    <row r="93" spans="2:65" s="11" customFormat="1">
      <c r="B93" s="136"/>
      <c r="C93" s="164"/>
      <c r="D93" s="161" t="s">
        <v>147</v>
      </c>
      <c r="E93" s="165" t="s">
        <v>1</v>
      </c>
      <c r="F93" s="166" t="s">
        <v>2158</v>
      </c>
      <c r="G93" s="164"/>
      <c r="H93" s="167">
        <v>76</v>
      </c>
      <c r="I93" s="164"/>
      <c r="J93" s="164"/>
      <c r="K93" s="164"/>
      <c r="L93" s="136"/>
      <c r="M93" s="140"/>
      <c r="T93" s="141"/>
      <c r="AT93" s="137" t="s">
        <v>147</v>
      </c>
      <c r="AU93" s="137" t="s">
        <v>19</v>
      </c>
      <c r="AV93" s="11" t="s">
        <v>149</v>
      </c>
      <c r="AW93" s="11" t="s">
        <v>39</v>
      </c>
      <c r="AX93" s="11" t="s">
        <v>19</v>
      </c>
      <c r="AY93" s="137" t="s">
        <v>136</v>
      </c>
    </row>
    <row r="94" spans="2:65" s="1" customFormat="1" ht="24.15" customHeight="1">
      <c r="B94" s="119"/>
      <c r="C94" s="154" t="s">
        <v>431</v>
      </c>
      <c r="D94" s="154" t="s">
        <v>137</v>
      </c>
      <c r="E94" s="155" t="s">
        <v>2159</v>
      </c>
      <c r="F94" s="156" t="s">
        <v>2160</v>
      </c>
      <c r="G94" s="157" t="s">
        <v>152</v>
      </c>
      <c r="H94" s="158">
        <v>900</v>
      </c>
      <c r="I94" s="159">
        <v>0</v>
      </c>
      <c r="J94" s="159">
        <f>ROUND(I94*H94,2)</f>
        <v>0</v>
      </c>
      <c r="K94" s="156" t="s">
        <v>141</v>
      </c>
      <c r="L94" s="26"/>
      <c r="M94" s="126" t="s">
        <v>1</v>
      </c>
      <c r="N94" s="127" t="s">
        <v>46</v>
      </c>
      <c r="O94" s="128">
        <v>0</v>
      </c>
      <c r="P94" s="128">
        <f>O94*H94</f>
        <v>0</v>
      </c>
      <c r="Q94" s="128">
        <v>0</v>
      </c>
      <c r="R94" s="128">
        <f>Q94*H94</f>
        <v>0</v>
      </c>
      <c r="S94" s="128">
        <v>0</v>
      </c>
      <c r="T94" s="129">
        <f>S94*H94</f>
        <v>0</v>
      </c>
      <c r="AR94" s="130" t="s">
        <v>135</v>
      </c>
      <c r="AT94" s="130" t="s">
        <v>137</v>
      </c>
      <c r="AU94" s="130" t="s">
        <v>19</v>
      </c>
      <c r="AY94" s="14" t="s">
        <v>136</v>
      </c>
      <c r="BE94" s="131">
        <f>IF(N94="základní",J94,0)</f>
        <v>0</v>
      </c>
      <c r="BF94" s="131">
        <f>IF(N94="snížená",J94,0)</f>
        <v>0</v>
      </c>
      <c r="BG94" s="131">
        <f>IF(N94="zákl. přenesená",J94,0)</f>
        <v>0</v>
      </c>
      <c r="BH94" s="131">
        <f>IF(N94="sníž. přenesená",J94,0)</f>
        <v>0</v>
      </c>
      <c r="BI94" s="131">
        <f>IF(N94="nulová",J94,0)</f>
        <v>0</v>
      </c>
      <c r="BJ94" s="14" t="s">
        <v>19</v>
      </c>
      <c r="BK94" s="131">
        <f>ROUND(I94*H94,2)</f>
        <v>0</v>
      </c>
      <c r="BL94" s="14" t="s">
        <v>135</v>
      </c>
      <c r="BM94" s="130" t="s">
        <v>2161</v>
      </c>
    </row>
    <row r="95" spans="2:65" s="1" customFormat="1" ht="28.8">
      <c r="B95" s="26"/>
      <c r="C95" s="160"/>
      <c r="D95" s="161" t="s">
        <v>143</v>
      </c>
      <c r="E95" s="160"/>
      <c r="F95" s="162" t="s">
        <v>2162</v>
      </c>
      <c r="G95" s="160"/>
      <c r="H95" s="160"/>
      <c r="I95" s="160"/>
      <c r="J95" s="160"/>
      <c r="K95" s="160"/>
      <c r="L95" s="26"/>
      <c r="M95" s="134"/>
      <c r="T95" s="50"/>
      <c r="AT95" s="14" t="s">
        <v>143</v>
      </c>
      <c r="AU95" s="14" t="s">
        <v>19</v>
      </c>
    </row>
    <row r="96" spans="2:65" s="1" customFormat="1" ht="67.2">
      <c r="B96" s="26"/>
      <c r="C96" s="160"/>
      <c r="D96" s="161" t="s">
        <v>145</v>
      </c>
      <c r="E96" s="160"/>
      <c r="F96" s="163" t="s">
        <v>2163</v>
      </c>
      <c r="G96" s="160"/>
      <c r="H96" s="160"/>
      <c r="I96" s="160"/>
      <c r="J96" s="160"/>
      <c r="K96" s="160"/>
      <c r="L96" s="26"/>
      <c r="M96" s="134"/>
      <c r="T96" s="50"/>
      <c r="AT96" s="14" t="s">
        <v>145</v>
      </c>
      <c r="AU96" s="14" t="s">
        <v>19</v>
      </c>
    </row>
    <row r="97" spans="2:65" s="11" customFormat="1">
      <c r="B97" s="136"/>
      <c r="C97" s="164"/>
      <c r="D97" s="161" t="s">
        <v>147</v>
      </c>
      <c r="E97" s="165" t="s">
        <v>2164</v>
      </c>
      <c r="F97" s="166" t="s">
        <v>2165</v>
      </c>
      <c r="G97" s="164"/>
      <c r="H97" s="167">
        <v>193</v>
      </c>
      <c r="I97" s="164"/>
      <c r="J97" s="164"/>
      <c r="K97" s="164"/>
      <c r="L97" s="136"/>
      <c r="M97" s="140"/>
      <c r="T97" s="141"/>
      <c r="AT97" s="137" t="s">
        <v>147</v>
      </c>
      <c r="AU97" s="137" t="s">
        <v>19</v>
      </c>
      <c r="AV97" s="11" t="s">
        <v>149</v>
      </c>
      <c r="AW97" s="11" t="s">
        <v>39</v>
      </c>
      <c r="AX97" s="11" t="s">
        <v>81</v>
      </c>
      <c r="AY97" s="137" t="s">
        <v>136</v>
      </c>
    </row>
    <row r="98" spans="2:65" s="11" customFormat="1">
      <c r="B98" s="136"/>
      <c r="C98" s="164"/>
      <c r="D98" s="161" t="s">
        <v>147</v>
      </c>
      <c r="E98" s="165" t="s">
        <v>2166</v>
      </c>
      <c r="F98" s="166" t="s">
        <v>2167</v>
      </c>
      <c r="G98" s="164"/>
      <c r="H98" s="167">
        <v>32</v>
      </c>
      <c r="I98" s="164"/>
      <c r="J98" s="164"/>
      <c r="K98" s="164"/>
      <c r="L98" s="136"/>
      <c r="M98" s="140"/>
      <c r="T98" s="141"/>
      <c r="AT98" s="137" t="s">
        <v>147</v>
      </c>
      <c r="AU98" s="137" t="s">
        <v>19</v>
      </c>
      <c r="AV98" s="11" t="s">
        <v>149</v>
      </c>
      <c r="AW98" s="11" t="s">
        <v>39</v>
      </c>
      <c r="AX98" s="11" t="s">
        <v>81</v>
      </c>
      <c r="AY98" s="137" t="s">
        <v>136</v>
      </c>
    </row>
    <row r="99" spans="2:65" s="11" customFormat="1">
      <c r="B99" s="136"/>
      <c r="C99" s="164"/>
      <c r="D99" s="161" t="s">
        <v>147</v>
      </c>
      <c r="E99" s="165" t="s">
        <v>2168</v>
      </c>
      <c r="F99" s="166" t="s">
        <v>2169</v>
      </c>
      <c r="G99" s="164"/>
      <c r="H99" s="167">
        <v>193</v>
      </c>
      <c r="I99" s="164"/>
      <c r="J99" s="164"/>
      <c r="K99" s="164"/>
      <c r="L99" s="136"/>
      <c r="M99" s="140"/>
      <c r="T99" s="141"/>
      <c r="AT99" s="137" t="s">
        <v>147</v>
      </c>
      <c r="AU99" s="137" t="s">
        <v>19</v>
      </c>
      <c r="AV99" s="11" t="s">
        <v>149</v>
      </c>
      <c r="AW99" s="11" t="s">
        <v>39</v>
      </c>
      <c r="AX99" s="11" t="s">
        <v>81</v>
      </c>
      <c r="AY99" s="137" t="s">
        <v>136</v>
      </c>
    </row>
    <row r="100" spans="2:65" s="11" customFormat="1">
      <c r="B100" s="136"/>
      <c r="C100" s="164"/>
      <c r="D100" s="161" t="s">
        <v>147</v>
      </c>
      <c r="E100" s="165" t="s">
        <v>2170</v>
      </c>
      <c r="F100" s="166" t="s">
        <v>2171</v>
      </c>
      <c r="G100" s="164"/>
      <c r="H100" s="167">
        <v>32</v>
      </c>
      <c r="I100" s="164"/>
      <c r="J100" s="164"/>
      <c r="K100" s="164"/>
      <c r="L100" s="136"/>
      <c r="M100" s="140"/>
      <c r="T100" s="141"/>
      <c r="AT100" s="137" t="s">
        <v>147</v>
      </c>
      <c r="AU100" s="137" t="s">
        <v>19</v>
      </c>
      <c r="AV100" s="11" t="s">
        <v>149</v>
      </c>
      <c r="AW100" s="11" t="s">
        <v>39</v>
      </c>
      <c r="AX100" s="11" t="s">
        <v>81</v>
      </c>
      <c r="AY100" s="137" t="s">
        <v>136</v>
      </c>
    </row>
    <row r="101" spans="2:65" s="11" customFormat="1">
      <c r="B101" s="136"/>
      <c r="C101" s="164"/>
      <c r="D101" s="161" t="s">
        <v>147</v>
      </c>
      <c r="E101" s="165" t="s">
        <v>2172</v>
      </c>
      <c r="F101" s="166" t="s">
        <v>2173</v>
      </c>
      <c r="G101" s="164"/>
      <c r="H101" s="167">
        <v>193</v>
      </c>
      <c r="I101" s="164"/>
      <c r="J101" s="164"/>
      <c r="K101" s="164"/>
      <c r="L101" s="136"/>
      <c r="M101" s="140"/>
      <c r="T101" s="141"/>
      <c r="AT101" s="137" t="s">
        <v>147</v>
      </c>
      <c r="AU101" s="137" t="s">
        <v>19</v>
      </c>
      <c r="AV101" s="11" t="s">
        <v>149</v>
      </c>
      <c r="AW101" s="11" t="s">
        <v>39</v>
      </c>
      <c r="AX101" s="11" t="s">
        <v>81</v>
      </c>
      <c r="AY101" s="137" t="s">
        <v>136</v>
      </c>
    </row>
    <row r="102" spans="2:65" s="11" customFormat="1">
      <c r="B102" s="136"/>
      <c r="C102" s="164"/>
      <c r="D102" s="161" t="s">
        <v>147</v>
      </c>
      <c r="E102" s="165" t="s">
        <v>2174</v>
      </c>
      <c r="F102" s="166" t="s">
        <v>2175</v>
      </c>
      <c r="G102" s="164"/>
      <c r="H102" s="167">
        <v>32</v>
      </c>
      <c r="I102" s="164"/>
      <c r="J102" s="164"/>
      <c r="K102" s="164"/>
      <c r="L102" s="136"/>
      <c r="M102" s="140"/>
      <c r="T102" s="141"/>
      <c r="AT102" s="137" t="s">
        <v>147</v>
      </c>
      <c r="AU102" s="137" t="s">
        <v>19</v>
      </c>
      <c r="AV102" s="11" t="s">
        <v>149</v>
      </c>
      <c r="AW102" s="11" t="s">
        <v>39</v>
      </c>
      <c r="AX102" s="11" t="s">
        <v>81</v>
      </c>
      <c r="AY102" s="137" t="s">
        <v>136</v>
      </c>
    </row>
    <row r="103" spans="2:65" s="11" customFormat="1">
      <c r="B103" s="136"/>
      <c r="C103" s="164"/>
      <c r="D103" s="161" t="s">
        <v>147</v>
      </c>
      <c r="E103" s="165" t="s">
        <v>2176</v>
      </c>
      <c r="F103" s="166" t="s">
        <v>2177</v>
      </c>
      <c r="G103" s="164"/>
      <c r="H103" s="167">
        <v>193</v>
      </c>
      <c r="I103" s="164"/>
      <c r="J103" s="164"/>
      <c r="K103" s="164"/>
      <c r="L103" s="136"/>
      <c r="M103" s="140"/>
      <c r="T103" s="141"/>
      <c r="AT103" s="137" t="s">
        <v>147</v>
      </c>
      <c r="AU103" s="137" t="s">
        <v>19</v>
      </c>
      <c r="AV103" s="11" t="s">
        <v>149</v>
      </c>
      <c r="AW103" s="11" t="s">
        <v>39</v>
      </c>
      <c r="AX103" s="11" t="s">
        <v>81</v>
      </c>
      <c r="AY103" s="137" t="s">
        <v>136</v>
      </c>
    </row>
    <row r="104" spans="2:65" s="11" customFormat="1">
      <c r="B104" s="136"/>
      <c r="C104" s="164"/>
      <c r="D104" s="161" t="s">
        <v>147</v>
      </c>
      <c r="E104" s="165" t="s">
        <v>2178</v>
      </c>
      <c r="F104" s="166" t="s">
        <v>2175</v>
      </c>
      <c r="G104" s="164"/>
      <c r="H104" s="167">
        <v>32</v>
      </c>
      <c r="I104" s="164"/>
      <c r="J104" s="164"/>
      <c r="K104" s="164"/>
      <c r="L104" s="136"/>
      <c r="M104" s="140"/>
      <c r="T104" s="141"/>
      <c r="AT104" s="137" t="s">
        <v>147</v>
      </c>
      <c r="AU104" s="137" t="s">
        <v>19</v>
      </c>
      <c r="AV104" s="11" t="s">
        <v>149</v>
      </c>
      <c r="AW104" s="11" t="s">
        <v>39</v>
      </c>
      <c r="AX104" s="11" t="s">
        <v>81</v>
      </c>
      <c r="AY104" s="137" t="s">
        <v>136</v>
      </c>
    </row>
    <row r="105" spans="2:65" s="11" customFormat="1">
      <c r="B105" s="136"/>
      <c r="C105" s="164"/>
      <c r="D105" s="161" t="s">
        <v>147</v>
      </c>
      <c r="E105" s="165" t="s">
        <v>1</v>
      </c>
      <c r="F105" s="166" t="s">
        <v>2179</v>
      </c>
      <c r="G105" s="164"/>
      <c r="H105" s="167">
        <v>900</v>
      </c>
      <c r="I105" s="164"/>
      <c r="J105" s="164"/>
      <c r="K105" s="164"/>
      <c r="L105" s="136"/>
      <c r="M105" s="140"/>
      <c r="T105" s="141"/>
      <c r="AT105" s="137" t="s">
        <v>147</v>
      </c>
      <c r="AU105" s="137" t="s">
        <v>19</v>
      </c>
      <c r="AV105" s="11" t="s">
        <v>149</v>
      </c>
      <c r="AW105" s="11" t="s">
        <v>39</v>
      </c>
      <c r="AX105" s="11" t="s">
        <v>19</v>
      </c>
      <c r="AY105" s="137" t="s">
        <v>136</v>
      </c>
    </row>
    <row r="106" spans="2:65" s="10" customFormat="1" ht="25.95" customHeight="1">
      <c r="B106" s="110"/>
      <c r="D106" s="111" t="s">
        <v>80</v>
      </c>
      <c r="E106" s="112" t="s">
        <v>157</v>
      </c>
      <c r="F106" s="112" t="s">
        <v>478</v>
      </c>
      <c r="J106" s="113">
        <f>BK106</f>
        <v>0</v>
      </c>
      <c r="L106" s="110"/>
      <c r="M106" s="114"/>
      <c r="P106" s="115">
        <f>SUM(P107:P148)</f>
        <v>0</v>
      </c>
      <c r="R106" s="115">
        <f>SUM(R107:R148)</f>
        <v>0</v>
      </c>
      <c r="T106" s="116">
        <f>SUM(T107:T148)</f>
        <v>0</v>
      </c>
      <c r="AR106" s="111" t="s">
        <v>135</v>
      </c>
      <c r="AT106" s="117" t="s">
        <v>80</v>
      </c>
      <c r="AU106" s="117" t="s">
        <v>81</v>
      </c>
      <c r="AY106" s="111" t="s">
        <v>136</v>
      </c>
      <c r="BK106" s="118">
        <f>SUM(BK107:BK148)</f>
        <v>0</v>
      </c>
    </row>
    <row r="107" spans="2:65" s="1" customFormat="1" ht="21.75" customHeight="1">
      <c r="B107" s="119"/>
      <c r="C107" s="154" t="s">
        <v>445</v>
      </c>
      <c r="D107" s="154" t="s">
        <v>137</v>
      </c>
      <c r="E107" s="155" t="s">
        <v>2180</v>
      </c>
      <c r="F107" s="156" t="s">
        <v>2181</v>
      </c>
      <c r="G107" s="157" t="s">
        <v>216</v>
      </c>
      <c r="H107" s="158">
        <v>6.4980000000000002</v>
      </c>
      <c r="I107" s="159">
        <v>0</v>
      </c>
      <c r="J107" s="159">
        <f>ROUND(I107*H107,2)</f>
        <v>0</v>
      </c>
      <c r="K107" s="156" t="s">
        <v>141</v>
      </c>
      <c r="L107" s="26"/>
      <c r="M107" s="126" t="s">
        <v>1</v>
      </c>
      <c r="N107" s="127" t="s">
        <v>46</v>
      </c>
      <c r="O107" s="128">
        <v>0</v>
      </c>
      <c r="P107" s="128">
        <f>O107*H107</f>
        <v>0</v>
      </c>
      <c r="Q107" s="128">
        <v>0</v>
      </c>
      <c r="R107" s="128">
        <f>Q107*H107</f>
        <v>0</v>
      </c>
      <c r="S107" s="128">
        <v>0</v>
      </c>
      <c r="T107" s="129">
        <f>S107*H107</f>
        <v>0</v>
      </c>
      <c r="AR107" s="130" t="s">
        <v>135</v>
      </c>
      <c r="AT107" s="130" t="s">
        <v>137</v>
      </c>
      <c r="AU107" s="130" t="s">
        <v>19</v>
      </c>
      <c r="AY107" s="14" t="s">
        <v>136</v>
      </c>
      <c r="BE107" s="131">
        <f>IF(N107="základní",J107,0)</f>
        <v>0</v>
      </c>
      <c r="BF107" s="131">
        <f>IF(N107="snížená",J107,0)</f>
        <v>0</v>
      </c>
      <c r="BG107" s="131">
        <f>IF(N107="zákl. přenesená",J107,0)</f>
        <v>0</v>
      </c>
      <c r="BH107" s="131">
        <f>IF(N107="sníž. přenesená",J107,0)</f>
        <v>0</v>
      </c>
      <c r="BI107" s="131">
        <f>IF(N107="nulová",J107,0)</f>
        <v>0</v>
      </c>
      <c r="BJ107" s="14" t="s">
        <v>19</v>
      </c>
      <c r="BK107" s="131">
        <f>ROUND(I107*H107,2)</f>
        <v>0</v>
      </c>
      <c r="BL107" s="14" t="s">
        <v>135</v>
      </c>
      <c r="BM107" s="130" t="s">
        <v>2182</v>
      </c>
    </row>
    <row r="108" spans="2:65" s="1" customFormat="1">
      <c r="B108" s="26"/>
      <c r="C108" s="160"/>
      <c r="D108" s="161" t="s">
        <v>143</v>
      </c>
      <c r="E108" s="160"/>
      <c r="F108" s="162" t="s">
        <v>2183</v>
      </c>
      <c r="G108" s="160"/>
      <c r="H108" s="160"/>
      <c r="I108" s="160"/>
      <c r="J108" s="160"/>
      <c r="K108" s="160"/>
      <c r="L108" s="26"/>
      <c r="M108" s="134"/>
      <c r="T108" s="50"/>
      <c r="AT108" s="14" t="s">
        <v>143</v>
      </c>
      <c r="AU108" s="14" t="s">
        <v>19</v>
      </c>
    </row>
    <row r="109" spans="2:65" s="1" customFormat="1" ht="192">
      <c r="B109" s="26"/>
      <c r="C109" s="160"/>
      <c r="D109" s="161" t="s">
        <v>145</v>
      </c>
      <c r="E109" s="160"/>
      <c r="F109" s="163" t="s">
        <v>2184</v>
      </c>
      <c r="G109" s="160"/>
      <c r="H109" s="160"/>
      <c r="I109" s="160"/>
      <c r="J109" s="160"/>
      <c r="K109" s="160"/>
      <c r="L109" s="26"/>
      <c r="M109" s="134"/>
      <c r="T109" s="50"/>
      <c r="AT109" s="14" t="s">
        <v>145</v>
      </c>
      <c r="AU109" s="14" t="s">
        <v>19</v>
      </c>
    </row>
    <row r="110" spans="2:65" s="11" customFormat="1">
      <c r="B110" s="136"/>
      <c r="C110" s="164"/>
      <c r="D110" s="161" t="s">
        <v>147</v>
      </c>
      <c r="E110" s="165" t="s">
        <v>2185</v>
      </c>
      <c r="F110" s="166" t="s">
        <v>2186</v>
      </c>
      <c r="G110" s="164"/>
      <c r="H110" s="167">
        <v>3.2490000000000001</v>
      </c>
      <c r="I110" s="164"/>
      <c r="J110" s="164"/>
      <c r="K110" s="164"/>
      <c r="L110" s="136"/>
      <c r="M110" s="140"/>
      <c r="T110" s="141"/>
      <c r="AT110" s="137" t="s">
        <v>147</v>
      </c>
      <c r="AU110" s="137" t="s">
        <v>19</v>
      </c>
      <c r="AV110" s="11" t="s">
        <v>149</v>
      </c>
      <c r="AW110" s="11" t="s">
        <v>39</v>
      </c>
      <c r="AX110" s="11" t="s">
        <v>81</v>
      </c>
      <c r="AY110" s="137" t="s">
        <v>136</v>
      </c>
    </row>
    <row r="111" spans="2:65" s="11" customFormat="1">
      <c r="B111" s="136"/>
      <c r="C111" s="164"/>
      <c r="D111" s="161" t="s">
        <v>147</v>
      </c>
      <c r="E111" s="165" t="s">
        <v>2187</v>
      </c>
      <c r="F111" s="166" t="s">
        <v>2188</v>
      </c>
      <c r="G111" s="164"/>
      <c r="H111" s="167">
        <v>3.2490000000000001</v>
      </c>
      <c r="I111" s="164"/>
      <c r="J111" s="164"/>
      <c r="K111" s="164"/>
      <c r="L111" s="136"/>
      <c r="M111" s="140"/>
      <c r="T111" s="141"/>
      <c r="AT111" s="137" t="s">
        <v>147</v>
      </c>
      <c r="AU111" s="137" t="s">
        <v>19</v>
      </c>
      <c r="AV111" s="11" t="s">
        <v>149</v>
      </c>
      <c r="AW111" s="11" t="s">
        <v>39</v>
      </c>
      <c r="AX111" s="11" t="s">
        <v>81</v>
      </c>
      <c r="AY111" s="137" t="s">
        <v>136</v>
      </c>
    </row>
    <row r="112" spans="2:65" s="11" customFormat="1">
      <c r="B112" s="136"/>
      <c r="C112" s="164"/>
      <c r="D112" s="161" t="s">
        <v>147</v>
      </c>
      <c r="E112" s="165" t="s">
        <v>1</v>
      </c>
      <c r="F112" s="166" t="s">
        <v>2189</v>
      </c>
      <c r="G112" s="164"/>
      <c r="H112" s="167">
        <v>6.4980000000000002</v>
      </c>
      <c r="I112" s="164"/>
      <c r="J112" s="164"/>
      <c r="K112" s="164"/>
      <c r="L112" s="136"/>
      <c r="M112" s="140"/>
      <c r="T112" s="141"/>
      <c r="AT112" s="137" t="s">
        <v>147</v>
      </c>
      <c r="AU112" s="137" t="s">
        <v>19</v>
      </c>
      <c r="AV112" s="11" t="s">
        <v>149</v>
      </c>
      <c r="AW112" s="11" t="s">
        <v>39</v>
      </c>
      <c r="AX112" s="11" t="s">
        <v>19</v>
      </c>
      <c r="AY112" s="137" t="s">
        <v>136</v>
      </c>
    </row>
    <row r="113" spans="2:65" s="1" customFormat="1" ht="16.5" customHeight="1">
      <c r="B113" s="119"/>
      <c r="C113" s="154" t="s">
        <v>452</v>
      </c>
      <c r="D113" s="154" t="s">
        <v>137</v>
      </c>
      <c r="E113" s="155" t="s">
        <v>2190</v>
      </c>
      <c r="F113" s="156" t="s">
        <v>2191</v>
      </c>
      <c r="G113" s="157" t="s">
        <v>2034</v>
      </c>
      <c r="H113" s="158">
        <v>300</v>
      </c>
      <c r="I113" s="159">
        <v>0</v>
      </c>
      <c r="J113" s="159">
        <f>ROUND(I113*H113,2)</f>
        <v>0</v>
      </c>
      <c r="K113" s="156" t="s">
        <v>141</v>
      </c>
      <c r="L113" s="26"/>
      <c r="M113" s="126" t="s">
        <v>1</v>
      </c>
      <c r="N113" s="127" t="s">
        <v>46</v>
      </c>
      <c r="O113" s="128">
        <v>0</v>
      </c>
      <c r="P113" s="128">
        <f>O113*H113</f>
        <v>0</v>
      </c>
      <c r="Q113" s="128">
        <v>0</v>
      </c>
      <c r="R113" s="128">
        <f>Q113*H113</f>
        <v>0</v>
      </c>
      <c r="S113" s="128">
        <v>0</v>
      </c>
      <c r="T113" s="129">
        <f>S113*H113</f>
        <v>0</v>
      </c>
      <c r="AR113" s="130" t="s">
        <v>135</v>
      </c>
      <c r="AT113" s="130" t="s">
        <v>137</v>
      </c>
      <c r="AU113" s="130" t="s">
        <v>19</v>
      </c>
      <c r="AY113" s="14" t="s">
        <v>136</v>
      </c>
      <c r="BE113" s="131">
        <f>IF(N113="základní",J113,0)</f>
        <v>0</v>
      </c>
      <c r="BF113" s="131">
        <f>IF(N113="snížená",J113,0)</f>
        <v>0</v>
      </c>
      <c r="BG113" s="131">
        <f>IF(N113="zákl. přenesená",J113,0)</f>
        <v>0</v>
      </c>
      <c r="BH113" s="131">
        <f>IF(N113="sníž. přenesená",J113,0)</f>
        <v>0</v>
      </c>
      <c r="BI113" s="131">
        <f>IF(N113="nulová",J113,0)</f>
        <v>0</v>
      </c>
      <c r="BJ113" s="14" t="s">
        <v>19</v>
      </c>
      <c r="BK113" s="131">
        <f>ROUND(I113*H113,2)</f>
        <v>0</v>
      </c>
      <c r="BL113" s="14" t="s">
        <v>135</v>
      </c>
      <c r="BM113" s="130" t="s">
        <v>2192</v>
      </c>
    </row>
    <row r="114" spans="2:65" s="1" customFormat="1">
      <c r="B114" s="26"/>
      <c r="C114" s="160"/>
      <c r="D114" s="161" t="s">
        <v>143</v>
      </c>
      <c r="E114" s="160"/>
      <c r="F114" s="162" t="s">
        <v>2193</v>
      </c>
      <c r="G114" s="160"/>
      <c r="H114" s="160"/>
      <c r="I114" s="160"/>
      <c r="J114" s="160"/>
      <c r="K114" s="160"/>
      <c r="L114" s="26"/>
      <c r="M114" s="134"/>
      <c r="T114" s="50"/>
      <c r="AT114" s="14" t="s">
        <v>143</v>
      </c>
      <c r="AU114" s="14" t="s">
        <v>19</v>
      </c>
    </row>
    <row r="115" spans="2:65" s="1" customFormat="1" ht="48">
      <c r="B115" s="26"/>
      <c r="C115" s="160"/>
      <c r="D115" s="161" t="s">
        <v>145</v>
      </c>
      <c r="E115" s="160"/>
      <c r="F115" s="163" t="s">
        <v>2194</v>
      </c>
      <c r="G115" s="160"/>
      <c r="H115" s="160"/>
      <c r="I115" s="160"/>
      <c r="J115" s="160"/>
      <c r="K115" s="160"/>
      <c r="L115" s="26"/>
      <c r="M115" s="134"/>
      <c r="T115" s="50"/>
      <c r="AT115" s="14" t="s">
        <v>145</v>
      </c>
      <c r="AU115" s="14" t="s">
        <v>19</v>
      </c>
    </row>
    <row r="116" spans="2:65" s="11" customFormat="1">
      <c r="B116" s="136"/>
      <c r="C116" s="164"/>
      <c r="D116" s="161" t="s">
        <v>147</v>
      </c>
      <c r="E116" s="165" t="s">
        <v>2062</v>
      </c>
      <c r="F116" s="166" t="s">
        <v>2195</v>
      </c>
      <c r="G116" s="164"/>
      <c r="H116" s="167">
        <v>25</v>
      </c>
      <c r="I116" s="164"/>
      <c r="J116" s="164"/>
      <c r="K116" s="164"/>
      <c r="L116" s="136"/>
      <c r="M116" s="140"/>
      <c r="T116" s="141"/>
      <c r="AT116" s="137" t="s">
        <v>147</v>
      </c>
      <c r="AU116" s="137" t="s">
        <v>19</v>
      </c>
      <c r="AV116" s="11" t="s">
        <v>149</v>
      </c>
      <c r="AW116" s="11" t="s">
        <v>39</v>
      </c>
      <c r="AX116" s="11" t="s">
        <v>81</v>
      </c>
      <c r="AY116" s="137" t="s">
        <v>136</v>
      </c>
    </row>
    <row r="117" spans="2:65" s="11" customFormat="1">
      <c r="B117" s="136"/>
      <c r="C117" s="164"/>
      <c r="D117" s="161" t="s">
        <v>147</v>
      </c>
      <c r="E117" s="165" t="s">
        <v>2063</v>
      </c>
      <c r="F117" s="166" t="s">
        <v>2196</v>
      </c>
      <c r="G117" s="164"/>
      <c r="H117" s="167">
        <v>25</v>
      </c>
      <c r="I117" s="164"/>
      <c r="J117" s="164"/>
      <c r="K117" s="164"/>
      <c r="L117" s="136"/>
      <c r="M117" s="140"/>
      <c r="T117" s="141"/>
      <c r="AT117" s="137" t="s">
        <v>147</v>
      </c>
      <c r="AU117" s="137" t="s">
        <v>19</v>
      </c>
      <c r="AV117" s="11" t="s">
        <v>149</v>
      </c>
      <c r="AW117" s="11" t="s">
        <v>39</v>
      </c>
      <c r="AX117" s="11" t="s">
        <v>81</v>
      </c>
      <c r="AY117" s="137" t="s">
        <v>136</v>
      </c>
    </row>
    <row r="118" spans="2:65" s="11" customFormat="1">
      <c r="B118" s="136"/>
      <c r="C118" s="164"/>
      <c r="D118" s="161" t="s">
        <v>147</v>
      </c>
      <c r="E118" s="165" t="s">
        <v>1</v>
      </c>
      <c r="F118" s="166" t="s">
        <v>2197</v>
      </c>
      <c r="G118" s="164"/>
      <c r="H118" s="167">
        <v>300</v>
      </c>
      <c r="I118" s="164"/>
      <c r="J118" s="164"/>
      <c r="K118" s="164"/>
      <c r="L118" s="136"/>
      <c r="M118" s="140"/>
      <c r="T118" s="141"/>
      <c r="AT118" s="137" t="s">
        <v>147</v>
      </c>
      <c r="AU118" s="137" t="s">
        <v>19</v>
      </c>
      <c r="AV118" s="11" t="s">
        <v>149</v>
      </c>
      <c r="AW118" s="11" t="s">
        <v>39</v>
      </c>
      <c r="AX118" s="11" t="s">
        <v>19</v>
      </c>
      <c r="AY118" s="137" t="s">
        <v>136</v>
      </c>
    </row>
    <row r="119" spans="2:65" s="1" customFormat="1" ht="16.5" customHeight="1">
      <c r="B119" s="119"/>
      <c r="C119" s="154" t="s">
        <v>460</v>
      </c>
      <c r="D119" s="154" t="s">
        <v>137</v>
      </c>
      <c r="E119" s="155" t="s">
        <v>1853</v>
      </c>
      <c r="F119" s="156" t="s">
        <v>2198</v>
      </c>
      <c r="G119" s="157" t="s">
        <v>216</v>
      </c>
      <c r="H119" s="158">
        <v>34.973999999999997</v>
      </c>
      <c r="I119" s="159">
        <v>0</v>
      </c>
      <c r="J119" s="159">
        <f>ROUND(I119*H119,2)</f>
        <v>0</v>
      </c>
      <c r="K119" s="156" t="s">
        <v>141</v>
      </c>
      <c r="L119" s="26"/>
      <c r="M119" s="126" t="s">
        <v>1</v>
      </c>
      <c r="N119" s="127" t="s">
        <v>46</v>
      </c>
      <c r="O119" s="128">
        <v>0</v>
      </c>
      <c r="P119" s="128">
        <f>O119*H119</f>
        <v>0</v>
      </c>
      <c r="Q119" s="128">
        <v>0</v>
      </c>
      <c r="R119" s="128">
        <f>Q119*H119</f>
        <v>0</v>
      </c>
      <c r="S119" s="128">
        <v>0</v>
      </c>
      <c r="T119" s="129">
        <f>S119*H119</f>
        <v>0</v>
      </c>
      <c r="AR119" s="130" t="s">
        <v>135</v>
      </c>
      <c r="AT119" s="130" t="s">
        <v>137</v>
      </c>
      <c r="AU119" s="130" t="s">
        <v>19</v>
      </c>
      <c r="AY119" s="14" t="s">
        <v>136</v>
      </c>
      <c r="BE119" s="131">
        <f>IF(N119="základní",J119,0)</f>
        <v>0</v>
      </c>
      <c r="BF119" s="131">
        <f>IF(N119="snížená",J119,0)</f>
        <v>0</v>
      </c>
      <c r="BG119" s="131">
        <f>IF(N119="zákl. přenesená",J119,0)</f>
        <v>0</v>
      </c>
      <c r="BH119" s="131">
        <f>IF(N119="sníž. přenesená",J119,0)</f>
        <v>0</v>
      </c>
      <c r="BI119" s="131">
        <f>IF(N119="nulová",J119,0)</f>
        <v>0</v>
      </c>
      <c r="BJ119" s="14" t="s">
        <v>19</v>
      </c>
      <c r="BK119" s="131">
        <f>ROUND(I119*H119,2)</f>
        <v>0</v>
      </c>
      <c r="BL119" s="14" t="s">
        <v>135</v>
      </c>
      <c r="BM119" s="130" t="s">
        <v>2199</v>
      </c>
    </row>
    <row r="120" spans="2:65" s="1" customFormat="1">
      <c r="B120" s="26"/>
      <c r="C120" s="160"/>
      <c r="D120" s="161" t="s">
        <v>143</v>
      </c>
      <c r="E120" s="160"/>
      <c r="F120" s="162" t="s">
        <v>2198</v>
      </c>
      <c r="G120" s="160"/>
      <c r="H120" s="160"/>
      <c r="I120" s="160"/>
      <c r="J120" s="160"/>
      <c r="K120" s="160"/>
      <c r="L120" s="26"/>
      <c r="M120" s="134"/>
      <c r="T120" s="50"/>
      <c r="AT120" s="14" t="s">
        <v>143</v>
      </c>
      <c r="AU120" s="14" t="s">
        <v>19</v>
      </c>
    </row>
    <row r="121" spans="2:65" s="1" customFormat="1" ht="297.60000000000002">
      <c r="B121" s="26"/>
      <c r="C121" s="160"/>
      <c r="D121" s="161" t="s">
        <v>145</v>
      </c>
      <c r="E121" s="160"/>
      <c r="F121" s="163" t="s">
        <v>2200</v>
      </c>
      <c r="G121" s="160"/>
      <c r="H121" s="160"/>
      <c r="I121" s="160"/>
      <c r="J121" s="160"/>
      <c r="K121" s="160"/>
      <c r="L121" s="26"/>
      <c r="M121" s="134"/>
      <c r="T121" s="50"/>
      <c r="AT121" s="14" t="s">
        <v>145</v>
      </c>
      <c r="AU121" s="14" t="s">
        <v>19</v>
      </c>
    </row>
    <row r="122" spans="2:65" s="11" customFormat="1">
      <c r="B122" s="136"/>
      <c r="C122" s="164"/>
      <c r="D122" s="161" t="s">
        <v>147</v>
      </c>
      <c r="E122" s="165" t="s">
        <v>2201</v>
      </c>
      <c r="F122" s="166" t="s">
        <v>2202</v>
      </c>
      <c r="G122" s="164"/>
      <c r="H122" s="167">
        <v>6.1370000000000005</v>
      </c>
      <c r="I122" s="164"/>
      <c r="J122" s="164"/>
      <c r="K122" s="164"/>
      <c r="L122" s="136"/>
      <c r="M122" s="140"/>
      <c r="T122" s="141"/>
      <c r="AT122" s="137" t="s">
        <v>147</v>
      </c>
      <c r="AU122" s="137" t="s">
        <v>19</v>
      </c>
      <c r="AV122" s="11" t="s">
        <v>149</v>
      </c>
      <c r="AW122" s="11" t="s">
        <v>39</v>
      </c>
      <c r="AX122" s="11" t="s">
        <v>81</v>
      </c>
      <c r="AY122" s="137" t="s">
        <v>136</v>
      </c>
    </row>
    <row r="123" spans="2:65" s="11" customFormat="1">
      <c r="B123" s="136"/>
      <c r="C123" s="164"/>
      <c r="D123" s="161" t="s">
        <v>147</v>
      </c>
      <c r="E123" s="165" t="s">
        <v>2203</v>
      </c>
      <c r="F123" s="166" t="s">
        <v>2204</v>
      </c>
      <c r="G123" s="164"/>
      <c r="H123" s="167">
        <v>11.122999999999999</v>
      </c>
      <c r="I123" s="164"/>
      <c r="J123" s="164"/>
      <c r="K123" s="164"/>
      <c r="L123" s="136"/>
      <c r="M123" s="140"/>
      <c r="T123" s="141"/>
      <c r="AT123" s="137" t="s">
        <v>147</v>
      </c>
      <c r="AU123" s="137" t="s">
        <v>19</v>
      </c>
      <c r="AV123" s="11" t="s">
        <v>149</v>
      </c>
      <c r="AW123" s="11" t="s">
        <v>39</v>
      </c>
      <c r="AX123" s="11" t="s">
        <v>81</v>
      </c>
      <c r="AY123" s="137" t="s">
        <v>136</v>
      </c>
    </row>
    <row r="124" spans="2:65" s="11" customFormat="1">
      <c r="B124" s="136"/>
      <c r="C124" s="164"/>
      <c r="D124" s="161" t="s">
        <v>147</v>
      </c>
      <c r="E124" s="165" t="s">
        <v>2205</v>
      </c>
      <c r="F124" s="166" t="s">
        <v>2206</v>
      </c>
      <c r="G124" s="164"/>
      <c r="H124" s="167">
        <v>11.577</v>
      </c>
      <c r="I124" s="164"/>
      <c r="J124" s="164"/>
      <c r="K124" s="164"/>
      <c r="L124" s="136"/>
      <c r="M124" s="140"/>
      <c r="T124" s="141"/>
      <c r="AT124" s="137" t="s">
        <v>147</v>
      </c>
      <c r="AU124" s="137" t="s">
        <v>19</v>
      </c>
      <c r="AV124" s="11" t="s">
        <v>149</v>
      </c>
      <c r="AW124" s="11" t="s">
        <v>39</v>
      </c>
      <c r="AX124" s="11" t="s">
        <v>81</v>
      </c>
      <c r="AY124" s="137" t="s">
        <v>136</v>
      </c>
    </row>
    <row r="125" spans="2:65" s="11" customFormat="1">
      <c r="B125" s="136"/>
      <c r="C125" s="164"/>
      <c r="D125" s="161" t="s">
        <v>147</v>
      </c>
      <c r="E125" s="165" t="s">
        <v>2207</v>
      </c>
      <c r="F125" s="166" t="s">
        <v>2208</v>
      </c>
      <c r="G125" s="164"/>
      <c r="H125" s="167">
        <v>6.1370000000000005</v>
      </c>
      <c r="I125" s="164"/>
      <c r="J125" s="164"/>
      <c r="K125" s="164"/>
      <c r="L125" s="136"/>
      <c r="M125" s="140"/>
      <c r="T125" s="141"/>
      <c r="AT125" s="137" t="s">
        <v>147</v>
      </c>
      <c r="AU125" s="137" t="s">
        <v>19</v>
      </c>
      <c r="AV125" s="11" t="s">
        <v>149</v>
      </c>
      <c r="AW125" s="11" t="s">
        <v>39</v>
      </c>
      <c r="AX125" s="11" t="s">
        <v>81</v>
      </c>
      <c r="AY125" s="137" t="s">
        <v>136</v>
      </c>
    </row>
    <row r="126" spans="2:65" s="11" customFormat="1">
      <c r="B126" s="136"/>
      <c r="C126" s="164"/>
      <c r="D126" s="161" t="s">
        <v>147</v>
      </c>
      <c r="E126" s="165" t="s">
        <v>1</v>
      </c>
      <c r="F126" s="166" t="s">
        <v>2209</v>
      </c>
      <c r="G126" s="164"/>
      <c r="H126" s="167">
        <v>34.973999999999997</v>
      </c>
      <c r="I126" s="164"/>
      <c r="J126" s="164"/>
      <c r="K126" s="164"/>
      <c r="L126" s="136"/>
      <c r="M126" s="140"/>
      <c r="T126" s="141"/>
      <c r="AT126" s="137" t="s">
        <v>147</v>
      </c>
      <c r="AU126" s="137" t="s">
        <v>19</v>
      </c>
      <c r="AV126" s="11" t="s">
        <v>149</v>
      </c>
      <c r="AW126" s="11" t="s">
        <v>39</v>
      </c>
      <c r="AX126" s="11" t="s">
        <v>19</v>
      </c>
      <c r="AY126" s="137" t="s">
        <v>136</v>
      </c>
    </row>
    <row r="127" spans="2:65" s="1" customFormat="1" ht="16.5" customHeight="1">
      <c r="B127" s="119"/>
      <c r="C127" s="154" t="s">
        <v>467</v>
      </c>
      <c r="D127" s="154" t="s">
        <v>137</v>
      </c>
      <c r="E127" s="155" t="s">
        <v>1863</v>
      </c>
      <c r="F127" s="156" t="s">
        <v>1864</v>
      </c>
      <c r="G127" s="157" t="s">
        <v>673</v>
      </c>
      <c r="H127" s="158">
        <v>4.7</v>
      </c>
      <c r="I127" s="159">
        <v>0</v>
      </c>
      <c r="J127" s="159">
        <f>ROUND(I127*H127,2)</f>
        <v>0</v>
      </c>
      <c r="K127" s="156" t="s">
        <v>141</v>
      </c>
      <c r="L127" s="26"/>
      <c r="M127" s="126" t="s">
        <v>1</v>
      </c>
      <c r="N127" s="127" t="s">
        <v>46</v>
      </c>
      <c r="O127" s="128">
        <v>0</v>
      </c>
      <c r="P127" s="128">
        <f>O127*H127</f>
        <v>0</v>
      </c>
      <c r="Q127" s="128">
        <v>0</v>
      </c>
      <c r="R127" s="128">
        <f>Q127*H127</f>
        <v>0</v>
      </c>
      <c r="S127" s="128">
        <v>0</v>
      </c>
      <c r="T127" s="129">
        <f>S127*H127</f>
        <v>0</v>
      </c>
      <c r="AR127" s="130" t="s">
        <v>135</v>
      </c>
      <c r="AT127" s="130" t="s">
        <v>137</v>
      </c>
      <c r="AU127" s="130" t="s">
        <v>19</v>
      </c>
      <c r="AY127" s="14" t="s">
        <v>136</v>
      </c>
      <c r="BE127" s="131">
        <f>IF(N127="základní",J127,0)</f>
        <v>0</v>
      </c>
      <c r="BF127" s="131">
        <f>IF(N127="snížená",J127,0)</f>
        <v>0</v>
      </c>
      <c r="BG127" s="131">
        <f>IF(N127="zákl. přenesená",J127,0)</f>
        <v>0</v>
      </c>
      <c r="BH127" s="131">
        <f>IF(N127="sníž. přenesená",J127,0)</f>
        <v>0</v>
      </c>
      <c r="BI127" s="131">
        <f>IF(N127="nulová",J127,0)</f>
        <v>0</v>
      </c>
      <c r="BJ127" s="14" t="s">
        <v>19</v>
      </c>
      <c r="BK127" s="131">
        <f>ROUND(I127*H127,2)</f>
        <v>0</v>
      </c>
      <c r="BL127" s="14" t="s">
        <v>135</v>
      </c>
      <c r="BM127" s="130" t="s">
        <v>2210</v>
      </c>
    </row>
    <row r="128" spans="2:65" s="1" customFormat="1">
      <c r="B128" s="26"/>
      <c r="C128" s="160"/>
      <c r="D128" s="161" t="s">
        <v>143</v>
      </c>
      <c r="E128" s="160"/>
      <c r="F128" s="162" t="s">
        <v>1864</v>
      </c>
      <c r="G128" s="160"/>
      <c r="H128" s="160"/>
      <c r="I128" s="160"/>
      <c r="J128" s="160"/>
      <c r="K128" s="160"/>
      <c r="L128" s="26"/>
      <c r="M128" s="134"/>
      <c r="T128" s="50"/>
      <c r="AT128" s="14" t="s">
        <v>143</v>
      </c>
      <c r="AU128" s="14" t="s">
        <v>19</v>
      </c>
    </row>
    <row r="129" spans="2:65" s="1" customFormat="1" ht="220.8">
      <c r="B129" s="26"/>
      <c r="C129" s="160"/>
      <c r="D129" s="161" t="s">
        <v>145</v>
      </c>
      <c r="E129" s="160"/>
      <c r="F129" s="163" t="s">
        <v>2211</v>
      </c>
      <c r="G129" s="160"/>
      <c r="H129" s="160"/>
      <c r="I129" s="160"/>
      <c r="J129" s="160"/>
      <c r="K129" s="160"/>
      <c r="L129" s="26"/>
      <c r="M129" s="134"/>
      <c r="T129" s="50"/>
      <c r="AT129" s="14" t="s">
        <v>145</v>
      </c>
      <c r="AU129" s="14" t="s">
        <v>19</v>
      </c>
    </row>
    <row r="130" spans="2:65" s="11" customFormat="1">
      <c r="B130" s="136"/>
      <c r="C130" s="164"/>
      <c r="D130" s="161" t="s">
        <v>147</v>
      </c>
      <c r="E130" s="165" t="s">
        <v>2212</v>
      </c>
      <c r="F130" s="166" t="s">
        <v>2213</v>
      </c>
      <c r="G130" s="164"/>
      <c r="H130" s="167">
        <v>4.7</v>
      </c>
      <c r="I130" s="164"/>
      <c r="J130" s="164"/>
      <c r="K130" s="164"/>
      <c r="L130" s="136"/>
      <c r="M130" s="140"/>
      <c r="T130" s="141"/>
      <c r="AT130" s="137" t="s">
        <v>147</v>
      </c>
      <c r="AU130" s="137" t="s">
        <v>19</v>
      </c>
      <c r="AV130" s="11" t="s">
        <v>149</v>
      </c>
      <c r="AW130" s="11" t="s">
        <v>39</v>
      </c>
      <c r="AX130" s="11" t="s">
        <v>81</v>
      </c>
      <c r="AY130" s="137" t="s">
        <v>136</v>
      </c>
    </row>
    <row r="131" spans="2:65" s="11" customFormat="1">
      <c r="B131" s="136"/>
      <c r="C131" s="164"/>
      <c r="D131" s="161" t="s">
        <v>147</v>
      </c>
      <c r="E131" s="165" t="s">
        <v>1</v>
      </c>
      <c r="F131" s="166" t="s">
        <v>2214</v>
      </c>
      <c r="G131" s="164"/>
      <c r="H131" s="167">
        <v>4.7</v>
      </c>
      <c r="I131" s="164"/>
      <c r="J131" s="164"/>
      <c r="K131" s="164"/>
      <c r="L131" s="136"/>
      <c r="M131" s="140"/>
      <c r="T131" s="141"/>
      <c r="AT131" s="137" t="s">
        <v>147</v>
      </c>
      <c r="AU131" s="137" t="s">
        <v>19</v>
      </c>
      <c r="AV131" s="11" t="s">
        <v>149</v>
      </c>
      <c r="AW131" s="11" t="s">
        <v>39</v>
      </c>
      <c r="AX131" s="11" t="s">
        <v>19</v>
      </c>
      <c r="AY131" s="137" t="s">
        <v>136</v>
      </c>
    </row>
    <row r="132" spans="2:65" s="1" customFormat="1" ht="24.15" customHeight="1">
      <c r="B132" s="119"/>
      <c r="C132" s="154" t="s">
        <v>479</v>
      </c>
      <c r="D132" s="154" t="s">
        <v>137</v>
      </c>
      <c r="E132" s="155" t="s">
        <v>2215</v>
      </c>
      <c r="F132" s="156" t="s">
        <v>2216</v>
      </c>
      <c r="G132" s="157" t="s">
        <v>216</v>
      </c>
      <c r="H132" s="158">
        <v>45.62</v>
      </c>
      <c r="I132" s="159">
        <v>0</v>
      </c>
      <c r="J132" s="159">
        <f>ROUND(I132*H132,2)</f>
        <v>0</v>
      </c>
      <c r="K132" s="156" t="s">
        <v>141</v>
      </c>
      <c r="L132" s="26"/>
      <c r="M132" s="126" t="s">
        <v>1</v>
      </c>
      <c r="N132" s="127" t="s">
        <v>46</v>
      </c>
      <c r="O132" s="128">
        <v>0</v>
      </c>
      <c r="P132" s="128">
        <f>O132*H132</f>
        <v>0</v>
      </c>
      <c r="Q132" s="128">
        <v>0</v>
      </c>
      <c r="R132" s="128">
        <f>Q132*H132</f>
        <v>0</v>
      </c>
      <c r="S132" s="128">
        <v>0</v>
      </c>
      <c r="T132" s="129">
        <f>S132*H132</f>
        <v>0</v>
      </c>
      <c r="AR132" s="130" t="s">
        <v>135</v>
      </c>
      <c r="AT132" s="130" t="s">
        <v>137</v>
      </c>
      <c r="AU132" s="130" t="s">
        <v>19</v>
      </c>
      <c r="AY132" s="14" t="s">
        <v>136</v>
      </c>
      <c r="BE132" s="131">
        <f>IF(N132="základní",J132,0)</f>
        <v>0</v>
      </c>
      <c r="BF132" s="131">
        <f>IF(N132="snížená",J132,0)</f>
        <v>0</v>
      </c>
      <c r="BG132" s="131">
        <f>IF(N132="zákl. přenesená",J132,0)</f>
        <v>0</v>
      </c>
      <c r="BH132" s="131">
        <f>IF(N132="sníž. přenesená",J132,0)</f>
        <v>0</v>
      </c>
      <c r="BI132" s="131">
        <f>IF(N132="nulová",J132,0)</f>
        <v>0</v>
      </c>
      <c r="BJ132" s="14" t="s">
        <v>19</v>
      </c>
      <c r="BK132" s="131">
        <f>ROUND(I132*H132,2)</f>
        <v>0</v>
      </c>
      <c r="BL132" s="14" t="s">
        <v>135</v>
      </c>
      <c r="BM132" s="130" t="s">
        <v>2217</v>
      </c>
    </row>
    <row r="133" spans="2:65" s="1" customFormat="1" ht="19.2">
      <c r="B133" s="26"/>
      <c r="C133" s="160"/>
      <c r="D133" s="161" t="s">
        <v>143</v>
      </c>
      <c r="E133" s="160"/>
      <c r="F133" s="162" t="s">
        <v>2216</v>
      </c>
      <c r="G133" s="160"/>
      <c r="H133" s="160"/>
      <c r="I133" s="160"/>
      <c r="J133" s="160"/>
      <c r="K133" s="160"/>
      <c r="L133" s="26"/>
      <c r="M133" s="134"/>
      <c r="T133" s="50"/>
      <c r="AT133" s="14" t="s">
        <v>143</v>
      </c>
      <c r="AU133" s="14" t="s">
        <v>19</v>
      </c>
    </row>
    <row r="134" spans="2:65" s="1" customFormat="1" ht="297.60000000000002">
      <c r="B134" s="26"/>
      <c r="C134" s="160"/>
      <c r="D134" s="161" t="s">
        <v>145</v>
      </c>
      <c r="E134" s="160"/>
      <c r="F134" s="163" t="s">
        <v>2200</v>
      </c>
      <c r="G134" s="160"/>
      <c r="H134" s="160"/>
      <c r="I134" s="160"/>
      <c r="J134" s="160"/>
      <c r="K134" s="160"/>
      <c r="L134" s="26"/>
      <c r="M134" s="134"/>
      <c r="T134" s="50"/>
      <c r="AT134" s="14" t="s">
        <v>145</v>
      </c>
      <c r="AU134" s="14" t="s">
        <v>19</v>
      </c>
    </row>
    <row r="135" spans="2:65" s="11" customFormat="1">
      <c r="B135" s="136"/>
      <c r="C135" s="164"/>
      <c r="D135" s="161" t="s">
        <v>147</v>
      </c>
      <c r="E135" s="165" t="s">
        <v>2218</v>
      </c>
      <c r="F135" s="166" t="s">
        <v>2219</v>
      </c>
      <c r="G135" s="164"/>
      <c r="H135" s="167">
        <v>8.82</v>
      </c>
      <c r="I135" s="164"/>
      <c r="J135" s="164"/>
      <c r="K135" s="164"/>
      <c r="L135" s="136"/>
      <c r="M135" s="140"/>
      <c r="T135" s="141"/>
      <c r="AT135" s="137" t="s">
        <v>147</v>
      </c>
      <c r="AU135" s="137" t="s">
        <v>19</v>
      </c>
      <c r="AV135" s="11" t="s">
        <v>149</v>
      </c>
      <c r="AW135" s="11" t="s">
        <v>39</v>
      </c>
      <c r="AX135" s="11" t="s">
        <v>81</v>
      </c>
      <c r="AY135" s="137" t="s">
        <v>136</v>
      </c>
    </row>
    <row r="136" spans="2:65" s="11" customFormat="1">
      <c r="B136" s="136"/>
      <c r="C136" s="164"/>
      <c r="D136" s="161" t="s">
        <v>147</v>
      </c>
      <c r="E136" s="165" t="s">
        <v>2220</v>
      </c>
      <c r="F136" s="166" t="s">
        <v>2221</v>
      </c>
      <c r="G136" s="164"/>
      <c r="H136" s="167">
        <v>2.64</v>
      </c>
      <c r="I136" s="164"/>
      <c r="J136" s="164"/>
      <c r="K136" s="164"/>
      <c r="L136" s="136"/>
      <c r="M136" s="140"/>
      <c r="T136" s="141"/>
      <c r="AT136" s="137" t="s">
        <v>147</v>
      </c>
      <c r="AU136" s="137" t="s">
        <v>19</v>
      </c>
      <c r="AV136" s="11" t="s">
        <v>149</v>
      </c>
      <c r="AW136" s="11" t="s">
        <v>39</v>
      </c>
      <c r="AX136" s="11" t="s">
        <v>81</v>
      </c>
      <c r="AY136" s="137" t="s">
        <v>136</v>
      </c>
    </row>
    <row r="137" spans="2:65" s="11" customFormat="1">
      <c r="B137" s="136"/>
      <c r="C137" s="164"/>
      <c r="D137" s="161" t="s">
        <v>147</v>
      </c>
      <c r="E137" s="165" t="s">
        <v>2222</v>
      </c>
      <c r="F137" s="166" t="s">
        <v>2223</v>
      </c>
      <c r="G137" s="164"/>
      <c r="H137" s="167">
        <v>8.82</v>
      </c>
      <c r="I137" s="164"/>
      <c r="J137" s="164"/>
      <c r="K137" s="164"/>
      <c r="L137" s="136"/>
      <c r="M137" s="140"/>
      <c r="T137" s="141"/>
      <c r="AT137" s="137" t="s">
        <v>147</v>
      </c>
      <c r="AU137" s="137" t="s">
        <v>19</v>
      </c>
      <c r="AV137" s="11" t="s">
        <v>149</v>
      </c>
      <c r="AW137" s="11" t="s">
        <v>39</v>
      </c>
      <c r="AX137" s="11" t="s">
        <v>81</v>
      </c>
      <c r="AY137" s="137" t="s">
        <v>136</v>
      </c>
    </row>
    <row r="138" spans="2:65" s="11" customFormat="1">
      <c r="B138" s="136"/>
      <c r="C138" s="164"/>
      <c r="D138" s="161" t="s">
        <v>147</v>
      </c>
      <c r="E138" s="165" t="s">
        <v>2224</v>
      </c>
      <c r="F138" s="166" t="s">
        <v>2225</v>
      </c>
      <c r="G138" s="164"/>
      <c r="H138" s="167">
        <v>2.5299999999999998</v>
      </c>
      <c r="I138" s="164"/>
      <c r="J138" s="164"/>
      <c r="K138" s="164"/>
      <c r="L138" s="136"/>
      <c r="M138" s="140"/>
      <c r="T138" s="141"/>
      <c r="AT138" s="137" t="s">
        <v>147</v>
      </c>
      <c r="AU138" s="137" t="s">
        <v>19</v>
      </c>
      <c r="AV138" s="11" t="s">
        <v>149</v>
      </c>
      <c r="AW138" s="11" t="s">
        <v>39</v>
      </c>
      <c r="AX138" s="11" t="s">
        <v>81</v>
      </c>
      <c r="AY138" s="137" t="s">
        <v>136</v>
      </c>
    </row>
    <row r="139" spans="2:65" s="11" customFormat="1">
      <c r="B139" s="136"/>
      <c r="C139" s="164"/>
      <c r="D139" s="161" t="s">
        <v>147</v>
      </c>
      <c r="E139" s="165" t="s">
        <v>2226</v>
      </c>
      <c r="F139" s="166" t="s">
        <v>2227</v>
      </c>
      <c r="G139" s="164"/>
      <c r="H139" s="167">
        <v>8.82</v>
      </c>
      <c r="I139" s="164"/>
      <c r="J139" s="164"/>
      <c r="K139" s="164"/>
      <c r="L139" s="136"/>
      <c r="M139" s="140"/>
      <c r="T139" s="141"/>
      <c r="AT139" s="137" t="s">
        <v>147</v>
      </c>
      <c r="AU139" s="137" t="s">
        <v>19</v>
      </c>
      <c r="AV139" s="11" t="s">
        <v>149</v>
      </c>
      <c r="AW139" s="11" t="s">
        <v>39</v>
      </c>
      <c r="AX139" s="11" t="s">
        <v>81</v>
      </c>
      <c r="AY139" s="137" t="s">
        <v>136</v>
      </c>
    </row>
    <row r="140" spans="2:65" s="11" customFormat="1">
      <c r="B140" s="136"/>
      <c r="C140" s="164"/>
      <c r="D140" s="161" t="s">
        <v>147</v>
      </c>
      <c r="E140" s="165" t="s">
        <v>2228</v>
      </c>
      <c r="F140" s="166" t="s">
        <v>2229</v>
      </c>
      <c r="G140" s="164"/>
      <c r="H140" s="167">
        <v>2.64</v>
      </c>
      <c r="I140" s="164"/>
      <c r="J140" s="164"/>
      <c r="K140" s="164"/>
      <c r="L140" s="136"/>
      <c r="M140" s="140"/>
      <c r="T140" s="141"/>
      <c r="AT140" s="137" t="s">
        <v>147</v>
      </c>
      <c r="AU140" s="137" t="s">
        <v>19</v>
      </c>
      <c r="AV140" s="11" t="s">
        <v>149</v>
      </c>
      <c r="AW140" s="11" t="s">
        <v>39</v>
      </c>
      <c r="AX140" s="11" t="s">
        <v>81</v>
      </c>
      <c r="AY140" s="137" t="s">
        <v>136</v>
      </c>
    </row>
    <row r="141" spans="2:65" s="11" customFormat="1">
      <c r="B141" s="136"/>
      <c r="C141" s="164"/>
      <c r="D141" s="161" t="s">
        <v>147</v>
      </c>
      <c r="E141" s="165" t="s">
        <v>2230</v>
      </c>
      <c r="F141" s="166" t="s">
        <v>2231</v>
      </c>
      <c r="G141" s="164"/>
      <c r="H141" s="167">
        <v>8.82</v>
      </c>
      <c r="I141" s="164"/>
      <c r="J141" s="164"/>
      <c r="K141" s="164"/>
      <c r="L141" s="136"/>
      <c r="M141" s="140"/>
      <c r="T141" s="141"/>
      <c r="AT141" s="137" t="s">
        <v>147</v>
      </c>
      <c r="AU141" s="137" t="s">
        <v>19</v>
      </c>
      <c r="AV141" s="11" t="s">
        <v>149</v>
      </c>
      <c r="AW141" s="11" t="s">
        <v>39</v>
      </c>
      <c r="AX141" s="11" t="s">
        <v>81</v>
      </c>
      <c r="AY141" s="137" t="s">
        <v>136</v>
      </c>
    </row>
    <row r="142" spans="2:65" s="11" customFormat="1">
      <c r="B142" s="136"/>
      <c r="C142" s="164"/>
      <c r="D142" s="161" t="s">
        <v>147</v>
      </c>
      <c r="E142" s="165" t="s">
        <v>2232</v>
      </c>
      <c r="F142" s="166" t="s">
        <v>2233</v>
      </c>
      <c r="G142" s="164"/>
      <c r="H142" s="167">
        <v>2.5299999999999998</v>
      </c>
      <c r="I142" s="164"/>
      <c r="J142" s="164"/>
      <c r="K142" s="164"/>
      <c r="L142" s="136"/>
      <c r="M142" s="140"/>
      <c r="T142" s="141"/>
      <c r="AT142" s="137" t="s">
        <v>147</v>
      </c>
      <c r="AU142" s="137" t="s">
        <v>19</v>
      </c>
      <c r="AV142" s="11" t="s">
        <v>149</v>
      </c>
      <c r="AW142" s="11" t="s">
        <v>39</v>
      </c>
      <c r="AX142" s="11" t="s">
        <v>81</v>
      </c>
      <c r="AY142" s="137" t="s">
        <v>136</v>
      </c>
    </row>
    <row r="143" spans="2:65" s="11" customFormat="1">
      <c r="B143" s="136"/>
      <c r="C143" s="164"/>
      <c r="D143" s="161" t="s">
        <v>147</v>
      </c>
      <c r="E143" s="165" t="s">
        <v>1</v>
      </c>
      <c r="F143" s="166" t="s">
        <v>2234</v>
      </c>
      <c r="G143" s="164"/>
      <c r="H143" s="167">
        <v>45.62</v>
      </c>
      <c r="I143" s="164"/>
      <c r="J143" s="164"/>
      <c r="K143" s="164"/>
      <c r="L143" s="136"/>
      <c r="M143" s="140"/>
      <c r="T143" s="141"/>
      <c r="AT143" s="137" t="s">
        <v>147</v>
      </c>
      <c r="AU143" s="137" t="s">
        <v>19</v>
      </c>
      <c r="AV143" s="11" t="s">
        <v>149</v>
      </c>
      <c r="AW143" s="11" t="s">
        <v>39</v>
      </c>
      <c r="AX143" s="11" t="s">
        <v>19</v>
      </c>
      <c r="AY143" s="137" t="s">
        <v>136</v>
      </c>
    </row>
    <row r="144" spans="2:65" s="1" customFormat="1" ht="24.15" customHeight="1">
      <c r="B144" s="119"/>
      <c r="C144" s="154" t="s">
        <v>491</v>
      </c>
      <c r="D144" s="154" t="s">
        <v>137</v>
      </c>
      <c r="E144" s="155" t="s">
        <v>2235</v>
      </c>
      <c r="F144" s="156" t="s">
        <v>2236</v>
      </c>
      <c r="G144" s="157" t="s">
        <v>673</v>
      </c>
      <c r="H144" s="158">
        <v>7.4130000000000003</v>
      </c>
      <c r="I144" s="159">
        <v>0</v>
      </c>
      <c r="J144" s="159">
        <f>ROUND(I144*H144,2)</f>
        <v>0</v>
      </c>
      <c r="K144" s="156" t="s">
        <v>141</v>
      </c>
      <c r="L144" s="26"/>
      <c r="M144" s="126" t="s">
        <v>1</v>
      </c>
      <c r="N144" s="127" t="s">
        <v>46</v>
      </c>
      <c r="O144" s="128">
        <v>0</v>
      </c>
      <c r="P144" s="128">
        <f>O144*H144</f>
        <v>0</v>
      </c>
      <c r="Q144" s="128">
        <v>0</v>
      </c>
      <c r="R144" s="128">
        <f>Q144*H144</f>
        <v>0</v>
      </c>
      <c r="S144" s="128">
        <v>0</v>
      </c>
      <c r="T144" s="129">
        <f>S144*H144</f>
        <v>0</v>
      </c>
      <c r="AR144" s="130" t="s">
        <v>135</v>
      </c>
      <c r="AT144" s="130" t="s">
        <v>137</v>
      </c>
      <c r="AU144" s="130" t="s">
        <v>19</v>
      </c>
      <c r="AY144" s="14" t="s">
        <v>136</v>
      </c>
      <c r="BE144" s="131">
        <f>IF(N144="základní",J144,0)</f>
        <v>0</v>
      </c>
      <c r="BF144" s="131">
        <f>IF(N144="snížená",J144,0)</f>
        <v>0</v>
      </c>
      <c r="BG144" s="131">
        <f>IF(N144="zákl. přenesená",J144,0)</f>
        <v>0</v>
      </c>
      <c r="BH144" s="131">
        <f>IF(N144="sníž. přenesená",J144,0)</f>
        <v>0</v>
      </c>
      <c r="BI144" s="131">
        <f>IF(N144="nulová",J144,0)</f>
        <v>0</v>
      </c>
      <c r="BJ144" s="14" t="s">
        <v>19</v>
      </c>
      <c r="BK144" s="131">
        <f>ROUND(I144*H144,2)</f>
        <v>0</v>
      </c>
      <c r="BL144" s="14" t="s">
        <v>135</v>
      </c>
      <c r="BM144" s="130" t="s">
        <v>2237</v>
      </c>
    </row>
    <row r="145" spans="2:65" s="1" customFormat="1">
      <c r="B145" s="26"/>
      <c r="C145" s="160"/>
      <c r="D145" s="161" t="s">
        <v>143</v>
      </c>
      <c r="E145" s="160"/>
      <c r="F145" s="162" t="s">
        <v>2236</v>
      </c>
      <c r="G145" s="160"/>
      <c r="H145" s="160"/>
      <c r="I145" s="160"/>
      <c r="J145" s="160"/>
      <c r="K145" s="160"/>
      <c r="L145" s="26"/>
      <c r="M145" s="134"/>
      <c r="T145" s="50"/>
      <c r="AT145" s="14" t="s">
        <v>143</v>
      </c>
      <c r="AU145" s="14" t="s">
        <v>19</v>
      </c>
    </row>
    <row r="146" spans="2:65" s="1" customFormat="1" ht="220.8">
      <c r="B146" s="26"/>
      <c r="C146" s="160"/>
      <c r="D146" s="161" t="s">
        <v>145</v>
      </c>
      <c r="E146" s="160"/>
      <c r="F146" s="163" t="s">
        <v>2211</v>
      </c>
      <c r="G146" s="160"/>
      <c r="H146" s="160"/>
      <c r="I146" s="160"/>
      <c r="J146" s="160"/>
      <c r="K146" s="160"/>
      <c r="L146" s="26"/>
      <c r="M146" s="134"/>
      <c r="T146" s="50"/>
      <c r="AT146" s="14" t="s">
        <v>145</v>
      </c>
      <c r="AU146" s="14" t="s">
        <v>19</v>
      </c>
    </row>
    <row r="147" spans="2:65" s="11" customFormat="1">
      <c r="B147" s="136"/>
      <c r="C147" s="164"/>
      <c r="D147" s="161" t="s">
        <v>147</v>
      </c>
      <c r="E147" s="165" t="s">
        <v>2238</v>
      </c>
      <c r="F147" s="166" t="s">
        <v>2239</v>
      </c>
      <c r="G147" s="164"/>
      <c r="H147" s="167">
        <v>7.4130000000000003</v>
      </c>
      <c r="I147" s="164"/>
      <c r="J147" s="164"/>
      <c r="K147" s="164"/>
      <c r="L147" s="136"/>
      <c r="M147" s="140"/>
      <c r="T147" s="141"/>
      <c r="AT147" s="137" t="s">
        <v>147</v>
      </c>
      <c r="AU147" s="137" t="s">
        <v>19</v>
      </c>
      <c r="AV147" s="11" t="s">
        <v>149</v>
      </c>
      <c r="AW147" s="11" t="s">
        <v>39</v>
      </c>
      <c r="AX147" s="11" t="s">
        <v>81</v>
      </c>
      <c r="AY147" s="137" t="s">
        <v>136</v>
      </c>
    </row>
    <row r="148" spans="2:65" s="11" customFormat="1">
      <c r="B148" s="136"/>
      <c r="C148" s="164"/>
      <c r="D148" s="161" t="s">
        <v>147</v>
      </c>
      <c r="E148" s="165" t="s">
        <v>1</v>
      </c>
      <c r="F148" s="166" t="s">
        <v>2240</v>
      </c>
      <c r="G148" s="164"/>
      <c r="H148" s="167">
        <v>7.4130000000000003</v>
      </c>
      <c r="I148" s="164"/>
      <c r="J148" s="164"/>
      <c r="K148" s="164"/>
      <c r="L148" s="136"/>
      <c r="M148" s="140"/>
      <c r="T148" s="141"/>
      <c r="AT148" s="137" t="s">
        <v>147</v>
      </c>
      <c r="AU148" s="137" t="s">
        <v>19</v>
      </c>
      <c r="AV148" s="11" t="s">
        <v>149</v>
      </c>
      <c r="AW148" s="11" t="s">
        <v>39</v>
      </c>
      <c r="AX148" s="11" t="s">
        <v>19</v>
      </c>
      <c r="AY148" s="137" t="s">
        <v>136</v>
      </c>
    </row>
    <row r="149" spans="2:65" s="10" customFormat="1" ht="25.95" customHeight="1">
      <c r="B149" s="110"/>
      <c r="D149" s="111" t="s">
        <v>80</v>
      </c>
      <c r="E149" s="112" t="s">
        <v>135</v>
      </c>
      <c r="F149" s="112" t="s">
        <v>498</v>
      </c>
      <c r="J149" s="113">
        <f>BK149</f>
        <v>0</v>
      </c>
      <c r="L149" s="110"/>
      <c r="M149" s="114"/>
      <c r="P149" s="115">
        <f>SUM(P150:P192)</f>
        <v>0</v>
      </c>
      <c r="R149" s="115">
        <f>SUM(R150:R192)</f>
        <v>0</v>
      </c>
      <c r="T149" s="116">
        <f>SUM(T150:T192)</f>
        <v>0</v>
      </c>
      <c r="AR149" s="111" t="s">
        <v>135</v>
      </c>
      <c r="AT149" s="117" t="s">
        <v>80</v>
      </c>
      <c r="AU149" s="117" t="s">
        <v>81</v>
      </c>
      <c r="AY149" s="111" t="s">
        <v>136</v>
      </c>
      <c r="BK149" s="118">
        <f>SUM(BK150:BK192)</f>
        <v>0</v>
      </c>
    </row>
    <row r="150" spans="2:65" s="1" customFormat="1" ht="16.5" customHeight="1">
      <c r="B150" s="119"/>
      <c r="C150" s="154" t="s">
        <v>499</v>
      </c>
      <c r="D150" s="154" t="s">
        <v>137</v>
      </c>
      <c r="E150" s="155" t="s">
        <v>2241</v>
      </c>
      <c r="F150" s="156" t="s">
        <v>2242</v>
      </c>
      <c r="G150" s="157" t="s">
        <v>152</v>
      </c>
      <c r="H150" s="158">
        <v>8</v>
      </c>
      <c r="I150" s="159">
        <v>0</v>
      </c>
      <c r="J150" s="159">
        <f>ROUND(I150*H150,2)</f>
        <v>0</v>
      </c>
      <c r="K150" s="156" t="s">
        <v>141</v>
      </c>
      <c r="L150" s="26"/>
      <c r="M150" s="126" t="s">
        <v>1</v>
      </c>
      <c r="N150" s="127" t="s">
        <v>46</v>
      </c>
      <c r="O150" s="128">
        <v>0</v>
      </c>
      <c r="P150" s="128">
        <f>O150*H150</f>
        <v>0</v>
      </c>
      <c r="Q150" s="128">
        <v>0</v>
      </c>
      <c r="R150" s="128">
        <f>Q150*H150</f>
        <v>0</v>
      </c>
      <c r="S150" s="128">
        <v>0</v>
      </c>
      <c r="T150" s="129">
        <f>S150*H150</f>
        <v>0</v>
      </c>
      <c r="AR150" s="130" t="s">
        <v>135</v>
      </c>
      <c r="AT150" s="130" t="s">
        <v>137</v>
      </c>
      <c r="AU150" s="130" t="s">
        <v>19</v>
      </c>
      <c r="AY150" s="14" t="s">
        <v>136</v>
      </c>
      <c r="BE150" s="131">
        <f>IF(N150="základní",J150,0)</f>
        <v>0</v>
      </c>
      <c r="BF150" s="131">
        <f>IF(N150="snížená",J150,0)</f>
        <v>0</v>
      </c>
      <c r="BG150" s="131">
        <f>IF(N150="zákl. přenesená",J150,0)</f>
        <v>0</v>
      </c>
      <c r="BH150" s="131">
        <f>IF(N150="sníž. přenesená",J150,0)</f>
        <v>0</v>
      </c>
      <c r="BI150" s="131">
        <f>IF(N150="nulová",J150,0)</f>
        <v>0</v>
      </c>
      <c r="BJ150" s="14" t="s">
        <v>19</v>
      </c>
      <c r="BK150" s="131">
        <f>ROUND(I150*H150,2)</f>
        <v>0</v>
      </c>
      <c r="BL150" s="14" t="s">
        <v>135</v>
      </c>
      <c r="BM150" s="130" t="s">
        <v>2243</v>
      </c>
    </row>
    <row r="151" spans="2:65" s="1" customFormat="1" ht="19.2">
      <c r="B151" s="26"/>
      <c r="C151" s="160"/>
      <c r="D151" s="161" t="s">
        <v>143</v>
      </c>
      <c r="E151" s="160"/>
      <c r="F151" s="162" t="s">
        <v>2244</v>
      </c>
      <c r="G151" s="160"/>
      <c r="H151" s="160"/>
      <c r="I151" s="160"/>
      <c r="J151" s="160"/>
      <c r="K151" s="160"/>
      <c r="L151" s="26"/>
      <c r="M151" s="134"/>
      <c r="T151" s="50"/>
      <c r="AT151" s="14" t="s">
        <v>143</v>
      </c>
      <c r="AU151" s="14" t="s">
        <v>19</v>
      </c>
    </row>
    <row r="152" spans="2:65" s="1" customFormat="1" ht="57.6">
      <c r="B152" s="26"/>
      <c r="C152" s="160"/>
      <c r="D152" s="161" t="s">
        <v>145</v>
      </c>
      <c r="E152" s="160"/>
      <c r="F152" s="163" t="s">
        <v>2245</v>
      </c>
      <c r="G152" s="160"/>
      <c r="H152" s="160"/>
      <c r="I152" s="160"/>
      <c r="J152" s="160"/>
      <c r="K152" s="160"/>
      <c r="L152" s="26"/>
      <c r="M152" s="134"/>
      <c r="T152" s="50"/>
      <c r="AT152" s="14" t="s">
        <v>145</v>
      </c>
      <c r="AU152" s="14" t="s">
        <v>19</v>
      </c>
    </row>
    <row r="153" spans="2:65" s="11" customFormat="1">
      <c r="B153" s="136"/>
      <c r="C153" s="164"/>
      <c r="D153" s="161" t="s">
        <v>147</v>
      </c>
      <c r="E153" s="165" t="s">
        <v>2246</v>
      </c>
      <c r="F153" s="166" t="s">
        <v>2247</v>
      </c>
      <c r="G153" s="164"/>
      <c r="H153" s="167">
        <v>8</v>
      </c>
      <c r="I153" s="164"/>
      <c r="J153" s="164"/>
      <c r="K153" s="164"/>
      <c r="L153" s="136"/>
      <c r="M153" s="140"/>
      <c r="T153" s="141"/>
      <c r="AT153" s="137" t="s">
        <v>147</v>
      </c>
      <c r="AU153" s="137" t="s">
        <v>19</v>
      </c>
      <c r="AV153" s="11" t="s">
        <v>149</v>
      </c>
      <c r="AW153" s="11" t="s">
        <v>39</v>
      </c>
      <c r="AX153" s="11" t="s">
        <v>81</v>
      </c>
      <c r="AY153" s="137" t="s">
        <v>136</v>
      </c>
    </row>
    <row r="154" spans="2:65" s="11" customFormat="1">
      <c r="B154" s="136"/>
      <c r="C154" s="164"/>
      <c r="D154" s="161" t="s">
        <v>147</v>
      </c>
      <c r="E154" s="165" t="s">
        <v>1</v>
      </c>
      <c r="F154" s="166" t="s">
        <v>1933</v>
      </c>
      <c r="G154" s="164"/>
      <c r="H154" s="167">
        <v>8</v>
      </c>
      <c r="I154" s="164"/>
      <c r="J154" s="164"/>
      <c r="K154" s="164"/>
      <c r="L154" s="136"/>
      <c r="M154" s="140"/>
      <c r="T154" s="141"/>
      <c r="AT154" s="137" t="s">
        <v>147</v>
      </c>
      <c r="AU154" s="137" t="s">
        <v>19</v>
      </c>
      <c r="AV154" s="11" t="s">
        <v>149</v>
      </c>
      <c r="AW154" s="11" t="s">
        <v>39</v>
      </c>
      <c r="AX154" s="11" t="s">
        <v>19</v>
      </c>
      <c r="AY154" s="137" t="s">
        <v>136</v>
      </c>
    </row>
    <row r="155" spans="2:65" s="1" customFormat="1" ht="16.5" customHeight="1">
      <c r="B155" s="119"/>
      <c r="C155" s="154" t="s">
        <v>506</v>
      </c>
      <c r="D155" s="154" t="s">
        <v>137</v>
      </c>
      <c r="E155" s="155" t="s">
        <v>2248</v>
      </c>
      <c r="F155" s="156" t="s">
        <v>2249</v>
      </c>
      <c r="G155" s="157" t="s">
        <v>152</v>
      </c>
      <c r="H155" s="158">
        <v>40</v>
      </c>
      <c r="I155" s="159">
        <v>0</v>
      </c>
      <c r="J155" s="159">
        <f>ROUND(I155*H155,2)</f>
        <v>0</v>
      </c>
      <c r="K155" s="156" t="s">
        <v>141</v>
      </c>
      <c r="L155" s="26"/>
      <c r="M155" s="126" t="s">
        <v>1</v>
      </c>
      <c r="N155" s="127" t="s">
        <v>46</v>
      </c>
      <c r="O155" s="128">
        <v>0</v>
      </c>
      <c r="P155" s="128">
        <f>O155*H155</f>
        <v>0</v>
      </c>
      <c r="Q155" s="128">
        <v>0</v>
      </c>
      <c r="R155" s="128">
        <f>Q155*H155</f>
        <v>0</v>
      </c>
      <c r="S155" s="128">
        <v>0</v>
      </c>
      <c r="T155" s="129">
        <f>S155*H155</f>
        <v>0</v>
      </c>
      <c r="AR155" s="130" t="s">
        <v>135</v>
      </c>
      <c r="AT155" s="130" t="s">
        <v>137</v>
      </c>
      <c r="AU155" s="130" t="s">
        <v>19</v>
      </c>
      <c r="AY155" s="14" t="s">
        <v>136</v>
      </c>
      <c r="BE155" s="131">
        <f>IF(N155="základní",J155,0)</f>
        <v>0</v>
      </c>
      <c r="BF155" s="131">
        <f>IF(N155="snížená",J155,0)</f>
        <v>0</v>
      </c>
      <c r="BG155" s="131">
        <f>IF(N155="zákl. přenesená",J155,0)</f>
        <v>0</v>
      </c>
      <c r="BH155" s="131">
        <f>IF(N155="sníž. přenesená",J155,0)</f>
        <v>0</v>
      </c>
      <c r="BI155" s="131">
        <f>IF(N155="nulová",J155,0)</f>
        <v>0</v>
      </c>
      <c r="BJ155" s="14" t="s">
        <v>19</v>
      </c>
      <c r="BK155" s="131">
        <f>ROUND(I155*H155,2)</f>
        <v>0</v>
      </c>
      <c r="BL155" s="14" t="s">
        <v>135</v>
      </c>
      <c r="BM155" s="130" t="s">
        <v>2250</v>
      </c>
    </row>
    <row r="156" spans="2:65" s="1" customFormat="1" ht="28.8">
      <c r="B156" s="26"/>
      <c r="C156" s="160"/>
      <c r="D156" s="161" t="s">
        <v>143</v>
      </c>
      <c r="E156" s="160"/>
      <c r="F156" s="162" t="s">
        <v>2251</v>
      </c>
      <c r="G156" s="160"/>
      <c r="H156" s="160"/>
      <c r="I156" s="160"/>
      <c r="J156" s="160"/>
      <c r="K156" s="160"/>
      <c r="L156" s="26"/>
      <c r="M156" s="134"/>
      <c r="T156" s="50"/>
      <c r="AT156" s="14" t="s">
        <v>143</v>
      </c>
      <c r="AU156" s="14" t="s">
        <v>19</v>
      </c>
    </row>
    <row r="157" spans="2:65" s="1" customFormat="1" ht="172.8">
      <c r="B157" s="26"/>
      <c r="C157" s="160"/>
      <c r="D157" s="161" t="s">
        <v>145</v>
      </c>
      <c r="E157" s="160"/>
      <c r="F157" s="163" t="s">
        <v>2252</v>
      </c>
      <c r="G157" s="160"/>
      <c r="H157" s="160"/>
      <c r="I157" s="160"/>
      <c r="J157" s="160"/>
      <c r="K157" s="160"/>
      <c r="L157" s="26"/>
      <c r="M157" s="134"/>
      <c r="T157" s="50"/>
      <c r="AT157" s="14" t="s">
        <v>145</v>
      </c>
      <c r="AU157" s="14" t="s">
        <v>19</v>
      </c>
    </row>
    <row r="158" spans="2:65" s="11" customFormat="1">
      <c r="B158" s="136"/>
      <c r="C158" s="164"/>
      <c r="D158" s="161" t="s">
        <v>147</v>
      </c>
      <c r="E158" s="165" t="s">
        <v>2253</v>
      </c>
      <c r="F158" s="166" t="s">
        <v>2254</v>
      </c>
      <c r="G158" s="164"/>
      <c r="H158" s="167">
        <v>40</v>
      </c>
      <c r="I158" s="164"/>
      <c r="J158" s="164"/>
      <c r="K158" s="164"/>
      <c r="L158" s="136"/>
      <c r="M158" s="140"/>
      <c r="T158" s="141"/>
      <c r="AT158" s="137" t="s">
        <v>147</v>
      </c>
      <c r="AU158" s="137" t="s">
        <v>19</v>
      </c>
      <c r="AV158" s="11" t="s">
        <v>149</v>
      </c>
      <c r="AW158" s="11" t="s">
        <v>39</v>
      </c>
      <c r="AX158" s="11" t="s">
        <v>81</v>
      </c>
      <c r="AY158" s="137" t="s">
        <v>136</v>
      </c>
    </row>
    <row r="159" spans="2:65" s="11" customFormat="1">
      <c r="B159" s="136"/>
      <c r="C159" s="164"/>
      <c r="D159" s="161" t="s">
        <v>147</v>
      </c>
      <c r="E159" s="165" t="s">
        <v>1</v>
      </c>
      <c r="F159" s="166" t="s">
        <v>2255</v>
      </c>
      <c r="G159" s="164"/>
      <c r="H159" s="167">
        <v>40</v>
      </c>
      <c r="I159" s="164"/>
      <c r="J159" s="164"/>
      <c r="K159" s="164"/>
      <c r="L159" s="136"/>
      <c r="M159" s="140"/>
      <c r="T159" s="141"/>
      <c r="AT159" s="137" t="s">
        <v>147</v>
      </c>
      <c r="AU159" s="137" t="s">
        <v>19</v>
      </c>
      <c r="AV159" s="11" t="s">
        <v>149</v>
      </c>
      <c r="AW159" s="11" t="s">
        <v>39</v>
      </c>
      <c r="AX159" s="11" t="s">
        <v>19</v>
      </c>
      <c r="AY159" s="137" t="s">
        <v>136</v>
      </c>
    </row>
    <row r="160" spans="2:65" s="1" customFormat="1" ht="24.15" customHeight="1">
      <c r="B160" s="119"/>
      <c r="C160" s="154" t="s">
        <v>520</v>
      </c>
      <c r="D160" s="154" t="s">
        <v>137</v>
      </c>
      <c r="E160" s="155" t="s">
        <v>1898</v>
      </c>
      <c r="F160" s="156" t="s">
        <v>1899</v>
      </c>
      <c r="G160" s="157" t="s">
        <v>216</v>
      </c>
      <c r="H160" s="158">
        <v>11.568</v>
      </c>
      <c r="I160" s="159">
        <v>0</v>
      </c>
      <c r="J160" s="159">
        <f>ROUND(I160*H160,2)</f>
        <v>0</v>
      </c>
      <c r="K160" s="156" t="s">
        <v>141</v>
      </c>
      <c r="L160" s="26"/>
      <c r="M160" s="126" t="s">
        <v>1</v>
      </c>
      <c r="N160" s="127" t="s">
        <v>46</v>
      </c>
      <c r="O160" s="128">
        <v>0</v>
      </c>
      <c r="P160" s="128">
        <f>O160*H160</f>
        <v>0</v>
      </c>
      <c r="Q160" s="128">
        <v>0</v>
      </c>
      <c r="R160" s="128">
        <f>Q160*H160</f>
        <v>0</v>
      </c>
      <c r="S160" s="128">
        <v>0</v>
      </c>
      <c r="T160" s="129">
        <f>S160*H160</f>
        <v>0</v>
      </c>
      <c r="AR160" s="130" t="s">
        <v>135</v>
      </c>
      <c r="AT160" s="130" t="s">
        <v>137</v>
      </c>
      <c r="AU160" s="130" t="s">
        <v>19</v>
      </c>
      <c r="AY160" s="14" t="s">
        <v>136</v>
      </c>
      <c r="BE160" s="131">
        <f>IF(N160="základní",J160,0)</f>
        <v>0</v>
      </c>
      <c r="BF160" s="131">
        <f>IF(N160="snížená",J160,0)</f>
        <v>0</v>
      </c>
      <c r="BG160" s="131">
        <f>IF(N160="zákl. přenesená",J160,0)</f>
        <v>0</v>
      </c>
      <c r="BH160" s="131">
        <f>IF(N160="sníž. přenesená",J160,0)</f>
        <v>0</v>
      </c>
      <c r="BI160" s="131">
        <f>IF(N160="nulová",J160,0)</f>
        <v>0</v>
      </c>
      <c r="BJ160" s="14" t="s">
        <v>19</v>
      </c>
      <c r="BK160" s="131">
        <f>ROUND(I160*H160,2)</f>
        <v>0</v>
      </c>
      <c r="BL160" s="14" t="s">
        <v>135</v>
      </c>
      <c r="BM160" s="130" t="s">
        <v>2256</v>
      </c>
    </row>
    <row r="161" spans="2:65" s="1" customFormat="1" ht="19.2">
      <c r="B161" s="26"/>
      <c r="C161" s="160"/>
      <c r="D161" s="161" t="s">
        <v>143</v>
      </c>
      <c r="E161" s="160"/>
      <c r="F161" s="162" t="s">
        <v>1899</v>
      </c>
      <c r="G161" s="160"/>
      <c r="H161" s="160"/>
      <c r="I161" s="160"/>
      <c r="J161" s="160"/>
      <c r="K161" s="160"/>
      <c r="L161" s="26"/>
      <c r="M161" s="134"/>
      <c r="T161" s="50"/>
      <c r="AT161" s="14" t="s">
        <v>143</v>
      </c>
      <c r="AU161" s="14" t="s">
        <v>19</v>
      </c>
    </row>
    <row r="162" spans="2:65" s="1" customFormat="1" ht="297.60000000000002">
      <c r="B162" s="26"/>
      <c r="C162" s="160"/>
      <c r="D162" s="161" t="s">
        <v>145</v>
      </c>
      <c r="E162" s="160"/>
      <c r="F162" s="163" t="s">
        <v>503</v>
      </c>
      <c r="G162" s="160"/>
      <c r="H162" s="160"/>
      <c r="I162" s="160"/>
      <c r="J162" s="160"/>
      <c r="K162" s="160"/>
      <c r="L162" s="26"/>
      <c r="M162" s="134"/>
      <c r="T162" s="50"/>
      <c r="AT162" s="14" t="s">
        <v>145</v>
      </c>
      <c r="AU162" s="14" t="s">
        <v>19</v>
      </c>
    </row>
    <row r="163" spans="2:65" s="11" customFormat="1">
      <c r="B163" s="136"/>
      <c r="C163" s="164"/>
      <c r="D163" s="161" t="s">
        <v>147</v>
      </c>
      <c r="E163" s="165" t="s">
        <v>2257</v>
      </c>
      <c r="F163" s="166" t="s">
        <v>2258</v>
      </c>
      <c r="G163" s="164"/>
      <c r="H163" s="167">
        <v>5.5439999999999996</v>
      </c>
      <c r="I163" s="164"/>
      <c r="J163" s="164"/>
      <c r="K163" s="164"/>
      <c r="L163" s="136"/>
      <c r="M163" s="140"/>
      <c r="T163" s="141"/>
      <c r="AT163" s="137" t="s">
        <v>147</v>
      </c>
      <c r="AU163" s="137" t="s">
        <v>19</v>
      </c>
      <c r="AV163" s="11" t="s">
        <v>149</v>
      </c>
      <c r="AW163" s="11" t="s">
        <v>39</v>
      </c>
      <c r="AX163" s="11" t="s">
        <v>81</v>
      </c>
      <c r="AY163" s="137" t="s">
        <v>136</v>
      </c>
    </row>
    <row r="164" spans="2:65" s="11" customFormat="1">
      <c r="B164" s="136"/>
      <c r="C164" s="164"/>
      <c r="D164" s="161" t="s">
        <v>147</v>
      </c>
      <c r="E164" s="165" t="s">
        <v>2259</v>
      </c>
      <c r="F164" s="166" t="s">
        <v>2260</v>
      </c>
      <c r="G164" s="164"/>
      <c r="H164" s="167">
        <v>5.5439999999999996</v>
      </c>
      <c r="I164" s="164"/>
      <c r="J164" s="164"/>
      <c r="K164" s="164"/>
      <c r="L164" s="136"/>
      <c r="M164" s="140"/>
      <c r="T164" s="141"/>
      <c r="AT164" s="137" t="s">
        <v>147</v>
      </c>
      <c r="AU164" s="137" t="s">
        <v>19</v>
      </c>
      <c r="AV164" s="11" t="s">
        <v>149</v>
      </c>
      <c r="AW164" s="11" t="s">
        <v>39</v>
      </c>
      <c r="AX164" s="11" t="s">
        <v>81</v>
      </c>
      <c r="AY164" s="137" t="s">
        <v>136</v>
      </c>
    </row>
    <row r="165" spans="2:65" s="11" customFormat="1">
      <c r="B165" s="136"/>
      <c r="C165" s="164"/>
      <c r="D165" s="161" t="s">
        <v>147</v>
      </c>
      <c r="E165" s="165" t="s">
        <v>2261</v>
      </c>
      <c r="F165" s="166" t="s">
        <v>2262</v>
      </c>
      <c r="G165" s="164"/>
      <c r="H165" s="167">
        <v>0.24</v>
      </c>
      <c r="I165" s="164"/>
      <c r="J165" s="164"/>
      <c r="K165" s="164"/>
      <c r="L165" s="136"/>
      <c r="M165" s="140"/>
      <c r="T165" s="141"/>
      <c r="AT165" s="137" t="s">
        <v>147</v>
      </c>
      <c r="AU165" s="137" t="s">
        <v>19</v>
      </c>
      <c r="AV165" s="11" t="s">
        <v>149</v>
      </c>
      <c r="AW165" s="11" t="s">
        <v>39</v>
      </c>
      <c r="AX165" s="11" t="s">
        <v>81</v>
      </c>
      <c r="AY165" s="137" t="s">
        <v>136</v>
      </c>
    </row>
    <row r="166" spans="2:65" s="11" customFormat="1">
      <c r="B166" s="136"/>
      <c r="C166" s="164"/>
      <c r="D166" s="161" t="s">
        <v>147</v>
      </c>
      <c r="E166" s="165" t="s">
        <v>2263</v>
      </c>
      <c r="F166" s="166" t="s">
        <v>2264</v>
      </c>
      <c r="G166" s="164"/>
      <c r="H166" s="167">
        <v>0.24</v>
      </c>
      <c r="I166" s="164"/>
      <c r="J166" s="164"/>
      <c r="K166" s="164"/>
      <c r="L166" s="136"/>
      <c r="M166" s="140"/>
      <c r="T166" s="141"/>
      <c r="AT166" s="137" t="s">
        <v>147</v>
      </c>
      <c r="AU166" s="137" t="s">
        <v>19</v>
      </c>
      <c r="AV166" s="11" t="s">
        <v>149</v>
      </c>
      <c r="AW166" s="11" t="s">
        <v>39</v>
      </c>
      <c r="AX166" s="11" t="s">
        <v>81</v>
      </c>
      <c r="AY166" s="137" t="s">
        <v>136</v>
      </c>
    </row>
    <row r="167" spans="2:65" s="11" customFormat="1">
      <c r="B167" s="136"/>
      <c r="C167" s="164"/>
      <c r="D167" s="161" t="s">
        <v>147</v>
      </c>
      <c r="E167" s="165" t="s">
        <v>1</v>
      </c>
      <c r="F167" s="166" t="s">
        <v>2265</v>
      </c>
      <c r="G167" s="164"/>
      <c r="H167" s="167">
        <v>11.568</v>
      </c>
      <c r="I167" s="164"/>
      <c r="J167" s="164"/>
      <c r="K167" s="164"/>
      <c r="L167" s="136"/>
      <c r="M167" s="140"/>
      <c r="T167" s="141"/>
      <c r="AT167" s="137" t="s">
        <v>147</v>
      </c>
      <c r="AU167" s="137" t="s">
        <v>19</v>
      </c>
      <c r="AV167" s="11" t="s">
        <v>149</v>
      </c>
      <c r="AW167" s="11" t="s">
        <v>39</v>
      </c>
      <c r="AX167" s="11" t="s">
        <v>19</v>
      </c>
      <c r="AY167" s="137" t="s">
        <v>136</v>
      </c>
    </row>
    <row r="168" spans="2:65" s="1" customFormat="1" ht="24.15" customHeight="1">
      <c r="B168" s="119"/>
      <c r="C168" s="154" t="s">
        <v>526</v>
      </c>
      <c r="D168" s="154" t="s">
        <v>137</v>
      </c>
      <c r="E168" s="155" t="s">
        <v>2266</v>
      </c>
      <c r="F168" s="156" t="s">
        <v>2267</v>
      </c>
      <c r="G168" s="157" t="s">
        <v>216</v>
      </c>
      <c r="H168" s="158">
        <v>18.628</v>
      </c>
      <c r="I168" s="159">
        <v>0</v>
      </c>
      <c r="J168" s="159">
        <f>ROUND(I168*H168,2)</f>
        <v>0</v>
      </c>
      <c r="K168" s="156" t="s">
        <v>141</v>
      </c>
      <c r="L168" s="26"/>
      <c r="M168" s="126" t="s">
        <v>1</v>
      </c>
      <c r="N168" s="127" t="s">
        <v>46</v>
      </c>
      <c r="O168" s="128">
        <v>0</v>
      </c>
      <c r="P168" s="128">
        <f>O168*H168</f>
        <v>0</v>
      </c>
      <c r="Q168" s="128">
        <v>0</v>
      </c>
      <c r="R168" s="128">
        <f>Q168*H168</f>
        <v>0</v>
      </c>
      <c r="S168" s="128">
        <v>0</v>
      </c>
      <c r="T168" s="129">
        <f>S168*H168</f>
        <v>0</v>
      </c>
      <c r="AR168" s="130" t="s">
        <v>135</v>
      </c>
      <c r="AT168" s="130" t="s">
        <v>137</v>
      </c>
      <c r="AU168" s="130" t="s">
        <v>19</v>
      </c>
      <c r="AY168" s="14" t="s">
        <v>136</v>
      </c>
      <c r="BE168" s="131">
        <f>IF(N168="základní",J168,0)</f>
        <v>0</v>
      </c>
      <c r="BF168" s="131">
        <f>IF(N168="snížená",J168,0)</f>
        <v>0</v>
      </c>
      <c r="BG168" s="131">
        <f>IF(N168="zákl. přenesená",J168,0)</f>
        <v>0</v>
      </c>
      <c r="BH168" s="131">
        <f>IF(N168="sníž. přenesená",J168,0)</f>
        <v>0</v>
      </c>
      <c r="BI168" s="131">
        <f>IF(N168="nulová",J168,0)</f>
        <v>0</v>
      </c>
      <c r="BJ168" s="14" t="s">
        <v>19</v>
      </c>
      <c r="BK168" s="131">
        <f>ROUND(I168*H168,2)</f>
        <v>0</v>
      </c>
      <c r="BL168" s="14" t="s">
        <v>135</v>
      </c>
      <c r="BM168" s="130" t="s">
        <v>2268</v>
      </c>
    </row>
    <row r="169" spans="2:65" s="1" customFormat="1" ht="19.2">
      <c r="B169" s="26"/>
      <c r="C169" s="160"/>
      <c r="D169" s="161" t="s">
        <v>143</v>
      </c>
      <c r="E169" s="160"/>
      <c r="F169" s="162" t="s">
        <v>2269</v>
      </c>
      <c r="G169" s="160"/>
      <c r="H169" s="160"/>
      <c r="I169" s="160"/>
      <c r="J169" s="160"/>
      <c r="K169" s="160"/>
      <c r="L169" s="26"/>
      <c r="M169" s="134"/>
      <c r="T169" s="50"/>
      <c r="AT169" s="14" t="s">
        <v>143</v>
      </c>
      <c r="AU169" s="14" t="s">
        <v>19</v>
      </c>
    </row>
    <row r="170" spans="2:65" s="1" customFormat="1" ht="297.60000000000002">
      <c r="B170" s="26"/>
      <c r="C170" s="160"/>
      <c r="D170" s="161" t="s">
        <v>145</v>
      </c>
      <c r="E170" s="160"/>
      <c r="F170" s="163" t="s">
        <v>503</v>
      </c>
      <c r="G170" s="160"/>
      <c r="H170" s="160"/>
      <c r="I170" s="160"/>
      <c r="J170" s="160"/>
      <c r="K170" s="160"/>
      <c r="L170" s="26"/>
      <c r="M170" s="134"/>
      <c r="T170" s="50"/>
      <c r="AT170" s="14" t="s">
        <v>145</v>
      </c>
      <c r="AU170" s="14" t="s">
        <v>19</v>
      </c>
    </row>
    <row r="171" spans="2:65" s="11" customFormat="1">
      <c r="B171" s="136"/>
      <c r="C171" s="164"/>
      <c r="D171" s="161" t="s">
        <v>147</v>
      </c>
      <c r="E171" s="165" t="s">
        <v>2270</v>
      </c>
      <c r="F171" s="166" t="s">
        <v>2271</v>
      </c>
      <c r="G171" s="164"/>
      <c r="H171" s="167">
        <v>117.52</v>
      </c>
      <c r="I171" s="164"/>
      <c r="J171" s="164"/>
      <c r="K171" s="164"/>
      <c r="L171" s="136"/>
      <c r="M171" s="140"/>
      <c r="T171" s="141"/>
      <c r="AT171" s="137" t="s">
        <v>147</v>
      </c>
      <c r="AU171" s="137" t="s">
        <v>19</v>
      </c>
      <c r="AV171" s="11" t="s">
        <v>149</v>
      </c>
      <c r="AW171" s="11" t="s">
        <v>39</v>
      </c>
      <c r="AX171" s="11" t="s">
        <v>81</v>
      </c>
      <c r="AY171" s="137" t="s">
        <v>136</v>
      </c>
    </row>
    <row r="172" spans="2:65" s="11" customFormat="1">
      <c r="B172" s="136"/>
      <c r="C172" s="164"/>
      <c r="D172" s="161" t="s">
        <v>147</v>
      </c>
      <c r="E172" s="165" t="s">
        <v>2064</v>
      </c>
      <c r="F172" s="166" t="s">
        <v>2272</v>
      </c>
      <c r="G172" s="164"/>
      <c r="H172" s="167">
        <v>1</v>
      </c>
      <c r="I172" s="164"/>
      <c r="J172" s="164"/>
      <c r="K172" s="164"/>
      <c r="L172" s="136"/>
      <c r="M172" s="140"/>
      <c r="T172" s="141"/>
      <c r="AT172" s="137" t="s">
        <v>147</v>
      </c>
      <c r="AU172" s="137" t="s">
        <v>19</v>
      </c>
      <c r="AV172" s="11" t="s">
        <v>149</v>
      </c>
      <c r="AW172" s="11" t="s">
        <v>39</v>
      </c>
      <c r="AX172" s="11" t="s">
        <v>81</v>
      </c>
      <c r="AY172" s="137" t="s">
        <v>136</v>
      </c>
    </row>
    <row r="173" spans="2:65" s="11" customFormat="1">
      <c r="B173" s="136"/>
      <c r="C173" s="164"/>
      <c r="D173" s="161" t="s">
        <v>147</v>
      </c>
      <c r="E173" s="165" t="s">
        <v>1</v>
      </c>
      <c r="F173" s="166" t="s">
        <v>2273</v>
      </c>
      <c r="G173" s="164"/>
      <c r="H173" s="167">
        <v>18.628</v>
      </c>
      <c r="I173" s="164"/>
      <c r="J173" s="164"/>
      <c r="K173" s="164"/>
      <c r="L173" s="136"/>
      <c r="M173" s="140"/>
      <c r="T173" s="141"/>
      <c r="AT173" s="137" t="s">
        <v>147</v>
      </c>
      <c r="AU173" s="137" t="s">
        <v>19</v>
      </c>
      <c r="AV173" s="11" t="s">
        <v>149</v>
      </c>
      <c r="AW173" s="11" t="s">
        <v>39</v>
      </c>
      <c r="AX173" s="11" t="s">
        <v>19</v>
      </c>
      <c r="AY173" s="137" t="s">
        <v>136</v>
      </c>
    </row>
    <row r="174" spans="2:65" s="1" customFormat="1" ht="24.15" customHeight="1">
      <c r="B174" s="119"/>
      <c r="C174" s="154" t="s">
        <v>539</v>
      </c>
      <c r="D174" s="154" t="s">
        <v>137</v>
      </c>
      <c r="E174" s="155" t="s">
        <v>2274</v>
      </c>
      <c r="F174" s="156" t="s">
        <v>2275</v>
      </c>
      <c r="G174" s="157" t="s">
        <v>216</v>
      </c>
      <c r="H174" s="158">
        <v>360.36</v>
      </c>
      <c r="I174" s="159">
        <v>0</v>
      </c>
      <c r="J174" s="159">
        <f>ROUND(I174*H174,2)</f>
        <v>0</v>
      </c>
      <c r="K174" s="156" t="s">
        <v>141</v>
      </c>
      <c r="L174" s="26"/>
      <c r="M174" s="126" t="s">
        <v>1</v>
      </c>
      <c r="N174" s="127" t="s">
        <v>46</v>
      </c>
      <c r="O174" s="128">
        <v>0</v>
      </c>
      <c r="P174" s="128">
        <f>O174*H174</f>
        <v>0</v>
      </c>
      <c r="Q174" s="128">
        <v>0</v>
      </c>
      <c r="R174" s="128">
        <f>Q174*H174</f>
        <v>0</v>
      </c>
      <c r="S174" s="128">
        <v>0</v>
      </c>
      <c r="T174" s="129">
        <f>S174*H174</f>
        <v>0</v>
      </c>
      <c r="AR174" s="130" t="s">
        <v>135</v>
      </c>
      <c r="AT174" s="130" t="s">
        <v>137</v>
      </c>
      <c r="AU174" s="130" t="s">
        <v>19</v>
      </c>
      <c r="AY174" s="14" t="s">
        <v>136</v>
      </c>
      <c r="BE174" s="131">
        <f>IF(N174="základní",J174,0)</f>
        <v>0</v>
      </c>
      <c r="BF174" s="131">
        <f>IF(N174="snížená",J174,0)</f>
        <v>0</v>
      </c>
      <c r="BG174" s="131">
        <f>IF(N174="zákl. přenesená",J174,0)</f>
        <v>0</v>
      </c>
      <c r="BH174" s="131">
        <f>IF(N174="sníž. přenesená",J174,0)</f>
        <v>0</v>
      </c>
      <c r="BI174" s="131">
        <f>IF(N174="nulová",J174,0)</f>
        <v>0</v>
      </c>
      <c r="BJ174" s="14" t="s">
        <v>19</v>
      </c>
      <c r="BK174" s="131">
        <f>ROUND(I174*H174,2)</f>
        <v>0</v>
      </c>
      <c r="BL174" s="14" t="s">
        <v>135</v>
      </c>
      <c r="BM174" s="130" t="s">
        <v>2276</v>
      </c>
    </row>
    <row r="175" spans="2:65" s="1" customFormat="1">
      <c r="B175" s="26"/>
      <c r="C175" s="160"/>
      <c r="D175" s="161" t="s">
        <v>143</v>
      </c>
      <c r="E175" s="160"/>
      <c r="F175" s="162" t="s">
        <v>2275</v>
      </c>
      <c r="G175" s="160"/>
      <c r="H175" s="160"/>
      <c r="I175" s="160"/>
      <c r="J175" s="160"/>
      <c r="K175" s="160"/>
      <c r="L175" s="26"/>
      <c r="M175" s="134"/>
      <c r="T175" s="50"/>
      <c r="AT175" s="14" t="s">
        <v>143</v>
      </c>
      <c r="AU175" s="14" t="s">
        <v>19</v>
      </c>
    </row>
    <row r="176" spans="2:65" s="1" customFormat="1" ht="48">
      <c r="B176" s="26"/>
      <c r="C176" s="160"/>
      <c r="D176" s="161" t="s">
        <v>145</v>
      </c>
      <c r="E176" s="160"/>
      <c r="F176" s="163" t="s">
        <v>2277</v>
      </c>
      <c r="G176" s="160"/>
      <c r="H176" s="160"/>
      <c r="I176" s="160"/>
      <c r="J176" s="160"/>
      <c r="K176" s="160"/>
      <c r="L176" s="26"/>
      <c r="M176" s="134"/>
      <c r="T176" s="50"/>
      <c r="AT176" s="14" t="s">
        <v>145</v>
      </c>
      <c r="AU176" s="14" t="s">
        <v>19</v>
      </c>
    </row>
    <row r="177" spans="2:65" s="11" customFormat="1">
      <c r="B177" s="136"/>
      <c r="C177" s="164"/>
      <c r="D177" s="161" t="s">
        <v>147</v>
      </c>
      <c r="E177" s="165" t="s">
        <v>2278</v>
      </c>
      <c r="F177" s="166" t="s">
        <v>2279</v>
      </c>
      <c r="G177" s="164"/>
      <c r="H177" s="167">
        <v>194.04</v>
      </c>
      <c r="I177" s="164"/>
      <c r="J177" s="164"/>
      <c r="K177" s="164"/>
      <c r="L177" s="136"/>
      <c r="M177" s="140"/>
      <c r="T177" s="141"/>
      <c r="AT177" s="137" t="s">
        <v>147</v>
      </c>
      <c r="AU177" s="137" t="s">
        <v>19</v>
      </c>
      <c r="AV177" s="11" t="s">
        <v>149</v>
      </c>
      <c r="AW177" s="11" t="s">
        <v>39</v>
      </c>
      <c r="AX177" s="11" t="s">
        <v>81</v>
      </c>
      <c r="AY177" s="137" t="s">
        <v>136</v>
      </c>
    </row>
    <row r="178" spans="2:65" s="11" customFormat="1">
      <c r="B178" s="136"/>
      <c r="C178" s="164"/>
      <c r="D178" s="161" t="s">
        <v>147</v>
      </c>
      <c r="E178" s="165" t="s">
        <v>2280</v>
      </c>
      <c r="F178" s="166" t="s">
        <v>2281</v>
      </c>
      <c r="G178" s="164"/>
      <c r="H178" s="167">
        <v>166.32</v>
      </c>
      <c r="I178" s="164"/>
      <c r="J178" s="164"/>
      <c r="K178" s="164"/>
      <c r="L178" s="136"/>
      <c r="M178" s="140"/>
      <c r="T178" s="141"/>
      <c r="AT178" s="137" t="s">
        <v>147</v>
      </c>
      <c r="AU178" s="137" t="s">
        <v>19</v>
      </c>
      <c r="AV178" s="11" t="s">
        <v>149</v>
      </c>
      <c r="AW178" s="11" t="s">
        <v>39</v>
      </c>
      <c r="AX178" s="11" t="s">
        <v>81</v>
      </c>
      <c r="AY178" s="137" t="s">
        <v>136</v>
      </c>
    </row>
    <row r="179" spans="2:65" s="11" customFormat="1">
      <c r="B179" s="136"/>
      <c r="C179" s="164"/>
      <c r="D179" s="161" t="s">
        <v>147</v>
      </c>
      <c r="E179" s="165" t="s">
        <v>1</v>
      </c>
      <c r="F179" s="166" t="s">
        <v>2282</v>
      </c>
      <c r="G179" s="164"/>
      <c r="H179" s="167">
        <v>360.36</v>
      </c>
      <c r="I179" s="164"/>
      <c r="J179" s="164"/>
      <c r="K179" s="164"/>
      <c r="L179" s="136"/>
      <c r="M179" s="140"/>
      <c r="T179" s="141"/>
      <c r="AT179" s="137" t="s">
        <v>147</v>
      </c>
      <c r="AU179" s="137" t="s">
        <v>19</v>
      </c>
      <c r="AV179" s="11" t="s">
        <v>149</v>
      </c>
      <c r="AW179" s="11" t="s">
        <v>39</v>
      </c>
      <c r="AX179" s="11" t="s">
        <v>19</v>
      </c>
      <c r="AY179" s="137" t="s">
        <v>136</v>
      </c>
    </row>
    <row r="180" spans="2:65" s="1" customFormat="1" ht="16.5" customHeight="1">
      <c r="B180" s="119"/>
      <c r="C180" s="154" t="s">
        <v>547</v>
      </c>
      <c r="D180" s="154" t="s">
        <v>137</v>
      </c>
      <c r="E180" s="155" t="s">
        <v>1924</v>
      </c>
      <c r="F180" s="156" t="s">
        <v>1925</v>
      </c>
      <c r="G180" s="157" t="s">
        <v>216</v>
      </c>
      <c r="H180" s="158">
        <v>23.504000000000001</v>
      </c>
      <c r="I180" s="159">
        <v>0</v>
      </c>
      <c r="J180" s="159">
        <f>ROUND(I180*H180,2)</f>
        <v>0</v>
      </c>
      <c r="K180" s="156" t="s">
        <v>141</v>
      </c>
      <c r="L180" s="26"/>
      <c r="M180" s="126" t="s">
        <v>1</v>
      </c>
      <c r="N180" s="127" t="s">
        <v>46</v>
      </c>
      <c r="O180" s="128">
        <v>0</v>
      </c>
      <c r="P180" s="128">
        <f>O180*H180</f>
        <v>0</v>
      </c>
      <c r="Q180" s="128">
        <v>0</v>
      </c>
      <c r="R180" s="128">
        <f>Q180*H180</f>
        <v>0</v>
      </c>
      <c r="S180" s="128">
        <v>0</v>
      </c>
      <c r="T180" s="129">
        <f>S180*H180</f>
        <v>0</v>
      </c>
      <c r="AR180" s="130" t="s">
        <v>135</v>
      </c>
      <c r="AT180" s="130" t="s">
        <v>137</v>
      </c>
      <c r="AU180" s="130" t="s">
        <v>19</v>
      </c>
      <c r="AY180" s="14" t="s">
        <v>136</v>
      </c>
      <c r="BE180" s="131">
        <f>IF(N180="základní",J180,0)</f>
        <v>0</v>
      </c>
      <c r="BF180" s="131">
        <f>IF(N180="snížená",J180,0)</f>
        <v>0</v>
      </c>
      <c r="BG180" s="131">
        <f>IF(N180="zákl. přenesená",J180,0)</f>
        <v>0</v>
      </c>
      <c r="BH180" s="131">
        <f>IF(N180="sníž. přenesená",J180,0)</f>
        <v>0</v>
      </c>
      <c r="BI180" s="131">
        <f>IF(N180="nulová",J180,0)</f>
        <v>0</v>
      </c>
      <c r="BJ180" s="14" t="s">
        <v>19</v>
      </c>
      <c r="BK180" s="131">
        <f>ROUND(I180*H180,2)</f>
        <v>0</v>
      </c>
      <c r="BL180" s="14" t="s">
        <v>135</v>
      </c>
      <c r="BM180" s="130" t="s">
        <v>2283</v>
      </c>
    </row>
    <row r="181" spans="2:65" s="1" customFormat="1">
      <c r="B181" s="26"/>
      <c r="C181" s="160"/>
      <c r="D181" s="161" t="s">
        <v>143</v>
      </c>
      <c r="E181" s="160"/>
      <c r="F181" s="162" t="s">
        <v>2284</v>
      </c>
      <c r="G181" s="160"/>
      <c r="H181" s="160"/>
      <c r="I181" s="160"/>
      <c r="J181" s="160"/>
      <c r="K181" s="160"/>
      <c r="L181" s="26"/>
      <c r="M181" s="134"/>
      <c r="T181" s="50"/>
      <c r="AT181" s="14" t="s">
        <v>143</v>
      </c>
      <c r="AU181" s="14" t="s">
        <v>19</v>
      </c>
    </row>
    <row r="182" spans="2:65" s="1" customFormat="1" ht="86.4">
      <c r="B182" s="26"/>
      <c r="C182" s="160"/>
      <c r="D182" s="161" t="s">
        <v>145</v>
      </c>
      <c r="E182" s="160"/>
      <c r="F182" s="163" t="s">
        <v>2285</v>
      </c>
      <c r="G182" s="160"/>
      <c r="H182" s="160"/>
      <c r="I182" s="160"/>
      <c r="J182" s="160"/>
      <c r="K182" s="160"/>
      <c r="L182" s="26"/>
      <c r="M182" s="134"/>
      <c r="T182" s="50"/>
      <c r="AT182" s="14" t="s">
        <v>145</v>
      </c>
      <c r="AU182" s="14" t="s">
        <v>19</v>
      </c>
    </row>
    <row r="183" spans="2:65" s="11" customFormat="1">
      <c r="B183" s="136"/>
      <c r="C183" s="164"/>
      <c r="D183" s="161" t="s">
        <v>147</v>
      </c>
      <c r="E183" s="165" t="s">
        <v>2286</v>
      </c>
      <c r="F183" s="166" t="s">
        <v>2287</v>
      </c>
      <c r="G183" s="164"/>
      <c r="H183" s="167">
        <v>11</v>
      </c>
      <c r="I183" s="164"/>
      <c r="J183" s="164"/>
      <c r="K183" s="164"/>
      <c r="L183" s="136"/>
      <c r="M183" s="140"/>
      <c r="T183" s="141"/>
      <c r="AT183" s="137" t="s">
        <v>147</v>
      </c>
      <c r="AU183" s="137" t="s">
        <v>19</v>
      </c>
      <c r="AV183" s="11" t="s">
        <v>149</v>
      </c>
      <c r="AW183" s="11" t="s">
        <v>39</v>
      </c>
      <c r="AX183" s="11" t="s">
        <v>81</v>
      </c>
      <c r="AY183" s="137" t="s">
        <v>136</v>
      </c>
    </row>
    <row r="184" spans="2:65" s="11" customFormat="1">
      <c r="B184" s="136"/>
      <c r="C184" s="164"/>
      <c r="D184" s="161" t="s">
        <v>147</v>
      </c>
      <c r="E184" s="165" t="s">
        <v>2288</v>
      </c>
      <c r="F184" s="166" t="s">
        <v>2289</v>
      </c>
      <c r="G184" s="164"/>
      <c r="H184" s="167">
        <v>13.5</v>
      </c>
      <c r="I184" s="164"/>
      <c r="J184" s="164"/>
      <c r="K184" s="164"/>
      <c r="L184" s="136"/>
      <c r="M184" s="140"/>
      <c r="T184" s="141"/>
      <c r="AT184" s="137" t="s">
        <v>147</v>
      </c>
      <c r="AU184" s="137" t="s">
        <v>19</v>
      </c>
      <c r="AV184" s="11" t="s">
        <v>149</v>
      </c>
      <c r="AW184" s="11" t="s">
        <v>39</v>
      </c>
      <c r="AX184" s="11" t="s">
        <v>81</v>
      </c>
      <c r="AY184" s="137" t="s">
        <v>136</v>
      </c>
    </row>
    <row r="185" spans="2:65" s="11" customFormat="1">
      <c r="B185" s="136"/>
      <c r="C185" s="164"/>
      <c r="D185" s="161" t="s">
        <v>147</v>
      </c>
      <c r="E185" s="165" t="s">
        <v>2290</v>
      </c>
      <c r="F185" s="166" t="s">
        <v>2291</v>
      </c>
      <c r="G185" s="164"/>
      <c r="H185" s="167">
        <v>6.15</v>
      </c>
      <c r="I185" s="164"/>
      <c r="J185" s="164"/>
      <c r="K185" s="164"/>
      <c r="L185" s="136"/>
      <c r="M185" s="140"/>
      <c r="T185" s="141"/>
      <c r="AT185" s="137" t="s">
        <v>147</v>
      </c>
      <c r="AU185" s="137" t="s">
        <v>19</v>
      </c>
      <c r="AV185" s="11" t="s">
        <v>149</v>
      </c>
      <c r="AW185" s="11" t="s">
        <v>39</v>
      </c>
      <c r="AX185" s="11" t="s">
        <v>81</v>
      </c>
      <c r="AY185" s="137" t="s">
        <v>136</v>
      </c>
    </row>
    <row r="186" spans="2:65" s="11" customFormat="1">
      <c r="B186" s="136"/>
      <c r="C186" s="164"/>
      <c r="D186" s="161" t="s">
        <v>147</v>
      </c>
      <c r="E186" s="165" t="s">
        <v>2292</v>
      </c>
      <c r="F186" s="166" t="s">
        <v>2293</v>
      </c>
      <c r="G186" s="164"/>
      <c r="H186" s="167">
        <v>5.25</v>
      </c>
      <c r="I186" s="164"/>
      <c r="J186" s="164"/>
      <c r="K186" s="164"/>
      <c r="L186" s="136"/>
      <c r="M186" s="140"/>
      <c r="T186" s="141"/>
      <c r="AT186" s="137" t="s">
        <v>147</v>
      </c>
      <c r="AU186" s="137" t="s">
        <v>19</v>
      </c>
      <c r="AV186" s="11" t="s">
        <v>149</v>
      </c>
      <c r="AW186" s="11" t="s">
        <v>39</v>
      </c>
      <c r="AX186" s="11" t="s">
        <v>81</v>
      </c>
      <c r="AY186" s="137" t="s">
        <v>136</v>
      </c>
    </row>
    <row r="187" spans="2:65" s="11" customFormat="1">
      <c r="B187" s="136"/>
      <c r="C187" s="164"/>
      <c r="D187" s="161" t="s">
        <v>147</v>
      </c>
      <c r="E187" s="165" t="s">
        <v>2294</v>
      </c>
      <c r="F187" s="166" t="s">
        <v>2295</v>
      </c>
      <c r="G187" s="164"/>
      <c r="H187" s="167">
        <v>6.2</v>
      </c>
      <c r="I187" s="164"/>
      <c r="J187" s="164"/>
      <c r="K187" s="164"/>
      <c r="L187" s="136"/>
      <c r="M187" s="140"/>
      <c r="T187" s="141"/>
      <c r="AT187" s="137" t="s">
        <v>147</v>
      </c>
      <c r="AU187" s="137" t="s">
        <v>19</v>
      </c>
      <c r="AV187" s="11" t="s">
        <v>149</v>
      </c>
      <c r="AW187" s="11" t="s">
        <v>39</v>
      </c>
      <c r="AX187" s="11" t="s">
        <v>81</v>
      </c>
      <c r="AY187" s="137" t="s">
        <v>136</v>
      </c>
    </row>
    <row r="188" spans="2:65" s="11" customFormat="1">
      <c r="B188" s="136"/>
      <c r="C188" s="164"/>
      <c r="D188" s="161" t="s">
        <v>147</v>
      </c>
      <c r="E188" s="165" t="s">
        <v>2296</v>
      </c>
      <c r="F188" s="166" t="s">
        <v>2297</v>
      </c>
      <c r="G188" s="164"/>
      <c r="H188" s="167">
        <v>5.35</v>
      </c>
      <c r="I188" s="164"/>
      <c r="J188" s="164"/>
      <c r="K188" s="164"/>
      <c r="L188" s="136"/>
      <c r="M188" s="140"/>
      <c r="T188" s="141"/>
      <c r="AT188" s="137" t="s">
        <v>147</v>
      </c>
      <c r="AU188" s="137" t="s">
        <v>19</v>
      </c>
      <c r="AV188" s="11" t="s">
        <v>149</v>
      </c>
      <c r="AW188" s="11" t="s">
        <v>39</v>
      </c>
      <c r="AX188" s="11" t="s">
        <v>81</v>
      </c>
      <c r="AY188" s="137" t="s">
        <v>136</v>
      </c>
    </row>
    <row r="189" spans="2:65" s="11" customFormat="1">
      <c r="B189" s="136"/>
      <c r="C189" s="164"/>
      <c r="D189" s="161" t="s">
        <v>147</v>
      </c>
      <c r="E189" s="165" t="s">
        <v>2298</v>
      </c>
      <c r="F189" s="166" t="s">
        <v>2299</v>
      </c>
      <c r="G189" s="164"/>
      <c r="H189" s="167">
        <v>45.75</v>
      </c>
      <c r="I189" s="164"/>
      <c r="J189" s="164"/>
      <c r="K189" s="164"/>
      <c r="L189" s="136"/>
      <c r="M189" s="140"/>
      <c r="T189" s="141"/>
      <c r="AT189" s="137" t="s">
        <v>147</v>
      </c>
      <c r="AU189" s="137" t="s">
        <v>19</v>
      </c>
      <c r="AV189" s="11" t="s">
        <v>149</v>
      </c>
      <c r="AW189" s="11" t="s">
        <v>39</v>
      </c>
      <c r="AX189" s="11" t="s">
        <v>81</v>
      </c>
      <c r="AY189" s="137" t="s">
        <v>136</v>
      </c>
    </row>
    <row r="190" spans="2:65" s="11" customFormat="1">
      <c r="B190" s="136"/>
      <c r="C190" s="164"/>
      <c r="D190" s="161" t="s">
        <v>147</v>
      </c>
      <c r="E190" s="165" t="s">
        <v>2300</v>
      </c>
      <c r="F190" s="166" t="s">
        <v>2301</v>
      </c>
      <c r="G190" s="164"/>
      <c r="H190" s="167">
        <v>24.32</v>
      </c>
      <c r="I190" s="164"/>
      <c r="J190" s="164"/>
      <c r="K190" s="164"/>
      <c r="L190" s="136"/>
      <c r="M190" s="140"/>
      <c r="T190" s="141"/>
      <c r="AT190" s="137" t="s">
        <v>147</v>
      </c>
      <c r="AU190" s="137" t="s">
        <v>19</v>
      </c>
      <c r="AV190" s="11" t="s">
        <v>149</v>
      </c>
      <c r="AW190" s="11" t="s">
        <v>39</v>
      </c>
      <c r="AX190" s="11" t="s">
        <v>81</v>
      </c>
      <c r="AY190" s="137" t="s">
        <v>136</v>
      </c>
    </row>
    <row r="191" spans="2:65" s="11" customFormat="1">
      <c r="B191" s="136"/>
      <c r="C191" s="164"/>
      <c r="D191" s="161" t="s">
        <v>147</v>
      </c>
      <c r="E191" s="165" t="s">
        <v>2302</v>
      </c>
      <c r="F191" s="166" t="s">
        <v>2303</v>
      </c>
      <c r="G191" s="164"/>
      <c r="H191" s="167">
        <v>117.52</v>
      </c>
      <c r="I191" s="164"/>
      <c r="J191" s="164"/>
      <c r="K191" s="164"/>
      <c r="L191" s="136"/>
      <c r="M191" s="140"/>
      <c r="T191" s="141"/>
      <c r="AT191" s="137" t="s">
        <v>147</v>
      </c>
      <c r="AU191" s="137" t="s">
        <v>19</v>
      </c>
      <c r="AV191" s="11" t="s">
        <v>149</v>
      </c>
      <c r="AW191" s="11" t="s">
        <v>39</v>
      </c>
      <c r="AX191" s="11" t="s">
        <v>81</v>
      </c>
      <c r="AY191" s="137" t="s">
        <v>136</v>
      </c>
    </row>
    <row r="192" spans="2:65" s="11" customFormat="1">
      <c r="B192" s="136"/>
      <c r="C192" s="164"/>
      <c r="D192" s="161" t="s">
        <v>147</v>
      </c>
      <c r="E192" s="165" t="s">
        <v>1</v>
      </c>
      <c r="F192" s="166" t="s">
        <v>2304</v>
      </c>
      <c r="G192" s="164"/>
      <c r="H192" s="167">
        <v>23.504000000000001</v>
      </c>
      <c r="I192" s="164"/>
      <c r="J192" s="164"/>
      <c r="K192" s="164"/>
      <c r="L192" s="136"/>
      <c r="M192" s="140"/>
      <c r="T192" s="141"/>
      <c r="AT192" s="137" t="s">
        <v>147</v>
      </c>
      <c r="AU192" s="137" t="s">
        <v>19</v>
      </c>
      <c r="AV192" s="11" t="s">
        <v>149</v>
      </c>
      <c r="AW192" s="11" t="s">
        <v>39</v>
      </c>
      <c r="AX192" s="11" t="s">
        <v>19</v>
      </c>
      <c r="AY192" s="137" t="s">
        <v>136</v>
      </c>
    </row>
    <row r="193" spans="2:65" s="10" customFormat="1" ht="25.95" customHeight="1">
      <c r="B193" s="110"/>
      <c r="D193" s="111" t="s">
        <v>80</v>
      </c>
      <c r="E193" s="112" t="s">
        <v>169</v>
      </c>
      <c r="F193" s="112" t="s">
        <v>546</v>
      </c>
      <c r="J193" s="113" t="e">
        <f>BK193</f>
        <v>#REF!</v>
      </c>
      <c r="L193" s="110"/>
      <c r="M193" s="114"/>
      <c r="P193" s="115" t="e">
        <f>SUM(#REF!)</f>
        <v>#REF!</v>
      </c>
      <c r="R193" s="115" t="e">
        <f>SUM(#REF!)</f>
        <v>#REF!</v>
      </c>
      <c r="T193" s="116" t="e">
        <f>SUM(#REF!)</f>
        <v>#REF!</v>
      </c>
      <c r="AR193" s="111" t="s">
        <v>135</v>
      </c>
      <c r="AT193" s="117" t="s">
        <v>80</v>
      </c>
      <c r="AU193" s="117" t="s">
        <v>81</v>
      </c>
      <c r="AY193" s="111" t="s">
        <v>136</v>
      </c>
      <c r="BK193" s="118" t="e">
        <f>SUM(#REF!)</f>
        <v>#REF!</v>
      </c>
    </row>
    <row r="194" spans="2:65" s="10" customFormat="1" ht="25.95" customHeight="1">
      <c r="B194" s="110"/>
      <c r="D194" s="111" t="s">
        <v>80</v>
      </c>
      <c r="E194" s="112" t="s">
        <v>176</v>
      </c>
      <c r="F194" s="112" t="s">
        <v>1934</v>
      </c>
      <c r="J194" s="113">
        <f>BK194</f>
        <v>0</v>
      </c>
      <c r="L194" s="110"/>
      <c r="M194" s="114"/>
      <c r="P194" s="115">
        <f>SUM(P195:P217)</f>
        <v>0</v>
      </c>
      <c r="R194" s="115">
        <f>SUM(R195:R217)</f>
        <v>0</v>
      </c>
      <c r="T194" s="116">
        <f>SUM(T195:T217)</f>
        <v>0</v>
      </c>
      <c r="AR194" s="111" t="s">
        <v>135</v>
      </c>
      <c r="AT194" s="117" t="s">
        <v>80</v>
      </c>
      <c r="AU194" s="117" t="s">
        <v>81</v>
      </c>
      <c r="AY194" s="111" t="s">
        <v>136</v>
      </c>
      <c r="BK194" s="118">
        <f>SUM(BK195:BK217)</f>
        <v>0</v>
      </c>
    </row>
    <row r="195" spans="2:65" s="1" customFormat="1" ht="24.15" customHeight="1">
      <c r="B195" s="119"/>
      <c r="C195" s="154" t="s">
        <v>662</v>
      </c>
      <c r="D195" s="154" t="s">
        <v>137</v>
      </c>
      <c r="E195" s="155" t="s">
        <v>2305</v>
      </c>
      <c r="F195" s="156" t="s">
        <v>2306</v>
      </c>
      <c r="G195" s="157" t="s">
        <v>260</v>
      </c>
      <c r="H195" s="158">
        <v>134.22900000000001</v>
      </c>
      <c r="I195" s="159">
        <v>0</v>
      </c>
      <c r="J195" s="159">
        <f>ROUND(I195*H195,2)</f>
        <v>0</v>
      </c>
      <c r="K195" s="156" t="s">
        <v>141</v>
      </c>
      <c r="L195" s="26"/>
      <c r="M195" s="126" t="s">
        <v>1</v>
      </c>
      <c r="N195" s="127" t="s">
        <v>46</v>
      </c>
      <c r="O195" s="128">
        <v>0</v>
      </c>
      <c r="P195" s="128">
        <f>O195*H195</f>
        <v>0</v>
      </c>
      <c r="Q195" s="128">
        <v>0</v>
      </c>
      <c r="R195" s="128">
        <f>Q195*H195</f>
        <v>0</v>
      </c>
      <c r="S195" s="128">
        <v>0</v>
      </c>
      <c r="T195" s="129">
        <f>S195*H195</f>
        <v>0</v>
      </c>
      <c r="AR195" s="130" t="s">
        <v>135</v>
      </c>
      <c r="AT195" s="130" t="s">
        <v>137</v>
      </c>
      <c r="AU195" s="130" t="s">
        <v>19</v>
      </c>
      <c r="AY195" s="14" t="s">
        <v>136</v>
      </c>
      <c r="BE195" s="131">
        <f>IF(N195="základní",J195,0)</f>
        <v>0</v>
      </c>
      <c r="BF195" s="131">
        <f>IF(N195="snížená",J195,0)</f>
        <v>0</v>
      </c>
      <c r="BG195" s="131">
        <f>IF(N195="zákl. přenesená",J195,0)</f>
        <v>0</v>
      </c>
      <c r="BH195" s="131">
        <f>IF(N195="sníž. přenesená",J195,0)</f>
        <v>0</v>
      </c>
      <c r="BI195" s="131">
        <f>IF(N195="nulová",J195,0)</f>
        <v>0</v>
      </c>
      <c r="BJ195" s="14" t="s">
        <v>19</v>
      </c>
      <c r="BK195" s="131">
        <f>ROUND(I195*H195,2)</f>
        <v>0</v>
      </c>
      <c r="BL195" s="14" t="s">
        <v>135</v>
      </c>
      <c r="BM195" s="130" t="s">
        <v>2307</v>
      </c>
    </row>
    <row r="196" spans="2:65" s="1" customFormat="1">
      <c r="B196" s="26"/>
      <c r="C196" s="160"/>
      <c r="D196" s="161" t="s">
        <v>143</v>
      </c>
      <c r="E196" s="160"/>
      <c r="F196" s="162" t="s">
        <v>2308</v>
      </c>
      <c r="G196" s="160"/>
      <c r="H196" s="160"/>
      <c r="I196" s="160"/>
      <c r="J196" s="160"/>
      <c r="K196" s="160"/>
      <c r="L196" s="26"/>
      <c r="M196" s="134"/>
      <c r="T196" s="50"/>
      <c r="AT196" s="14" t="s">
        <v>143</v>
      </c>
      <c r="AU196" s="14" t="s">
        <v>19</v>
      </c>
    </row>
    <row r="197" spans="2:65" s="1" customFormat="1" ht="57.6">
      <c r="B197" s="26"/>
      <c r="C197" s="160"/>
      <c r="D197" s="161" t="s">
        <v>145</v>
      </c>
      <c r="E197" s="160"/>
      <c r="F197" s="163" t="s">
        <v>2309</v>
      </c>
      <c r="G197" s="160"/>
      <c r="H197" s="160"/>
      <c r="I197" s="160"/>
      <c r="J197" s="160"/>
      <c r="K197" s="160"/>
      <c r="L197" s="26"/>
      <c r="M197" s="134"/>
      <c r="T197" s="50"/>
      <c r="AT197" s="14" t="s">
        <v>145</v>
      </c>
      <c r="AU197" s="14" t="s">
        <v>19</v>
      </c>
    </row>
    <row r="198" spans="2:65" s="11" customFormat="1">
      <c r="B198" s="136"/>
      <c r="C198" s="164"/>
      <c r="D198" s="161" t="s">
        <v>147</v>
      </c>
      <c r="E198" s="165" t="s">
        <v>2310</v>
      </c>
      <c r="F198" s="166" t="s">
        <v>2311</v>
      </c>
      <c r="G198" s="164"/>
      <c r="H198" s="167">
        <v>134.22900000000001</v>
      </c>
      <c r="I198" s="164"/>
      <c r="J198" s="164"/>
      <c r="K198" s="164"/>
      <c r="L198" s="136"/>
      <c r="M198" s="140"/>
      <c r="T198" s="141"/>
      <c r="AT198" s="137" t="s">
        <v>147</v>
      </c>
      <c r="AU198" s="137" t="s">
        <v>19</v>
      </c>
      <c r="AV198" s="11" t="s">
        <v>149</v>
      </c>
      <c r="AW198" s="11" t="s">
        <v>39</v>
      </c>
      <c r="AX198" s="11" t="s">
        <v>81</v>
      </c>
      <c r="AY198" s="137" t="s">
        <v>136</v>
      </c>
    </row>
    <row r="199" spans="2:65" s="11" customFormat="1">
      <c r="B199" s="136"/>
      <c r="C199" s="164"/>
      <c r="D199" s="161" t="s">
        <v>147</v>
      </c>
      <c r="E199" s="165" t="s">
        <v>1</v>
      </c>
      <c r="F199" s="166" t="s">
        <v>2312</v>
      </c>
      <c r="G199" s="164"/>
      <c r="H199" s="167">
        <v>134.22900000000001</v>
      </c>
      <c r="I199" s="164"/>
      <c r="J199" s="164"/>
      <c r="K199" s="164"/>
      <c r="L199" s="136"/>
      <c r="M199" s="140"/>
      <c r="T199" s="141"/>
      <c r="AT199" s="137" t="s">
        <v>147</v>
      </c>
      <c r="AU199" s="137" t="s">
        <v>19</v>
      </c>
      <c r="AV199" s="11" t="s">
        <v>149</v>
      </c>
      <c r="AW199" s="11" t="s">
        <v>39</v>
      </c>
      <c r="AX199" s="11" t="s">
        <v>19</v>
      </c>
      <c r="AY199" s="137" t="s">
        <v>136</v>
      </c>
    </row>
    <row r="200" spans="2:65" s="1" customFormat="1" ht="24.15" customHeight="1">
      <c r="B200" s="119"/>
      <c r="C200" s="154" t="s">
        <v>670</v>
      </c>
      <c r="D200" s="154" t="s">
        <v>137</v>
      </c>
      <c r="E200" s="155" t="s">
        <v>2313</v>
      </c>
      <c r="F200" s="156" t="s">
        <v>2314</v>
      </c>
      <c r="G200" s="157" t="s">
        <v>260</v>
      </c>
      <c r="H200" s="158">
        <v>538.77</v>
      </c>
      <c r="I200" s="159">
        <v>0</v>
      </c>
      <c r="J200" s="159">
        <f>ROUND(I200*H200,2)</f>
        <v>0</v>
      </c>
      <c r="K200" s="156" t="s">
        <v>141</v>
      </c>
      <c r="L200" s="26"/>
      <c r="M200" s="126" t="s">
        <v>1</v>
      </c>
      <c r="N200" s="127" t="s">
        <v>46</v>
      </c>
      <c r="O200" s="128">
        <v>0</v>
      </c>
      <c r="P200" s="128">
        <f>O200*H200</f>
        <v>0</v>
      </c>
      <c r="Q200" s="128">
        <v>0</v>
      </c>
      <c r="R200" s="128">
        <f>Q200*H200</f>
        <v>0</v>
      </c>
      <c r="S200" s="128">
        <v>0</v>
      </c>
      <c r="T200" s="129">
        <f>S200*H200</f>
        <v>0</v>
      </c>
      <c r="AR200" s="130" t="s">
        <v>135</v>
      </c>
      <c r="AT200" s="130" t="s">
        <v>137</v>
      </c>
      <c r="AU200" s="130" t="s">
        <v>19</v>
      </c>
      <c r="AY200" s="14" t="s">
        <v>136</v>
      </c>
      <c r="BE200" s="131">
        <f>IF(N200="základní",J200,0)</f>
        <v>0</v>
      </c>
      <c r="BF200" s="131">
        <f>IF(N200="snížená",J200,0)</f>
        <v>0</v>
      </c>
      <c r="BG200" s="131">
        <f>IF(N200="zákl. přenesená",J200,0)</f>
        <v>0</v>
      </c>
      <c r="BH200" s="131">
        <f>IF(N200="sníž. přenesená",J200,0)</f>
        <v>0</v>
      </c>
      <c r="BI200" s="131">
        <f>IF(N200="nulová",J200,0)</f>
        <v>0</v>
      </c>
      <c r="BJ200" s="14" t="s">
        <v>19</v>
      </c>
      <c r="BK200" s="131">
        <f>ROUND(I200*H200,2)</f>
        <v>0</v>
      </c>
      <c r="BL200" s="14" t="s">
        <v>135</v>
      </c>
      <c r="BM200" s="130" t="s">
        <v>2315</v>
      </c>
    </row>
    <row r="201" spans="2:65" s="1" customFormat="1">
      <c r="B201" s="26"/>
      <c r="C201" s="160"/>
      <c r="D201" s="161" t="s">
        <v>143</v>
      </c>
      <c r="E201" s="160"/>
      <c r="F201" s="162" t="s">
        <v>2316</v>
      </c>
      <c r="G201" s="160"/>
      <c r="H201" s="160"/>
      <c r="I201" s="160"/>
      <c r="J201" s="160"/>
      <c r="K201" s="160"/>
      <c r="L201" s="26"/>
      <c r="M201" s="134"/>
      <c r="T201" s="50"/>
      <c r="AT201" s="14" t="s">
        <v>143</v>
      </c>
      <c r="AU201" s="14" t="s">
        <v>19</v>
      </c>
    </row>
    <row r="202" spans="2:65" s="1" customFormat="1" ht="57.6">
      <c r="B202" s="26"/>
      <c r="C202" s="160"/>
      <c r="D202" s="161" t="s">
        <v>145</v>
      </c>
      <c r="E202" s="160"/>
      <c r="F202" s="163" t="s">
        <v>2309</v>
      </c>
      <c r="G202" s="160"/>
      <c r="H202" s="160"/>
      <c r="I202" s="160"/>
      <c r="J202" s="160"/>
      <c r="K202" s="160"/>
      <c r="L202" s="26"/>
      <c r="M202" s="134"/>
      <c r="T202" s="50"/>
      <c r="AT202" s="14" t="s">
        <v>145</v>
      </c>
      <c r="AU202" s="14" t="s">
        <v>19</v>
      </c>
    </row>
    <row r="203" spans="2:65" s="11" customFormat="1">
      <c r="B203" s="136"/>
      <c r="C203" s="164"/>
      <c r="D203" s="161" t="s">
        <v>147</v>
      </c>
      <c r="E203" s="165" t="s">
        <v>2317</v>
      </c>
      <c r="F203" s="166" t="s">
        <v>2318</v>
      </c>
      <c r="G203" s="164"/>
      <c r="H203" s="167">
        <v>107.30999999999997</v>
      </c>
      <c r="I203" s="164"/>
      <c r="J203" s="164"/>
      <c r="K203" s="164"/>
      <c r="L203" s="136"/>
      <c r="M203" s="140"/>
      <c r="T203" s="141"/>
      <c r="AT203" s="137" t="s">
        <v>147</v>
      </c>
      <c r="AU203" s="137" t="s">
        <v>19</v>
      </c>
      <c r="AV203" s="11" t="s">
        <v>149</v>
      </c>
      <c r="AW203" s="11" t="s">
        <v>39</v>
      </c>
      <c r="AX203" s="11" t="s">
        <v>81</v>
      </c>
      <c r="AY203" s="137" t="s">
        <v>136</v>
      </c>
    </row>
    <row r="204" spans="2:65" s="11" customFormat="1">
      <c r="B204" s="136"/>
      <c r="C204" s="164"/>
      <c r="D204" s="161" t="s">
        <v>147</v>
      </c>
      <c r="E204" s="165" t="s">
        <v>2319</v>
      </c>
      <c r="F204" s="166" t="s">
        <v>2320</v>
      </c>
      <c r="G204" s="164"/>
      <c r="H204" s="167">
        <v>28</v>
      </c>
      <c r="I204" s="164"/>
      <c r="J204" s="164"/>
      <c r="K204" s="164"/>
      <c r="L204" s="136"/>
      <c r="M204" s="140"/>
      <c r="T204" s="141"/>
      <c r="AT204" s="137" t="s">
        <v>147</v>
      </c>
      <c r="AU204" s="137" t="s">
        <v>19</v>
      </c>
      <c r="AV204" s="11" t="s">
        <v>149</v>
      </c>
      <c r="AW204" s="11" t="s">
        <v>39</v>
      </c>
      <c r="AX204" s="11" t="s">
        <v>81</v>
      </c>
      <c r="AY204" s="137" t="s">
        <v>136</v>
      </c>
    </row>
    <row r="205" spans="2:65" s="11" customFormat="1">
      <c r="B205" s="136"/>
      <c r="C205" s="164"/>
      <c r="D205" s="161" t="s">
        <v>147</v>
      </c>
      <c r="E205" s="165" t="s">
        <v>2321</v>
      </c>
      <c r="F205" s="166" t="s">
        <v>2322</v>
      </c>
      <c r="G205" s="164"/>
      <c r="H205" s="167">
        <v>104.36999999999999</v>
      </c>
      <c r="I205" s="164"/>
      <c r="J205" s="164"/>
      <c r="K205" s="164"/>
      <c r="L205" s="136"/>
      <c r="M205" s="140"/>
      <c r="T205" s="141"/>
      <c r="AT205" s="137" t="s">
        <v>147</v>
      </c>
      <c r="AU205" s="137" t="s">
        <v>19</v>
      </c>
      <c r="AV205" s="11" t="s">
        <v>149</v>
      </c>
      <c r="AW205" s="11" t="s">
        <v>39</v>
      </c>
      <c r="AX205" s="11" t="s">
        <v>81</v>
      </c>
      <c r="AY205" s="137" t="s">
        <v>136</v>
      </c>
    </row>
    <row r="206" spans="2:65" s="11" customFormat="1">
      <c r="B206" s="136"/>
      <c r="C206" s="164"/>
      <c r="D206" s="161" t="s">
        <v>147</v>
      </c>
      <c r="E206" s="165" t="s">
        <v>2323</v>
      </c>
      <c r="F206" s="166" t="s">
        <v>2324</v>
      </c>
      <c r="G206" s="164"/>
      <c r="H206" s="167">
        <v>25</v>
      </c>
      <c r="I206" s="164"/>
      <c r="J206" s="164"/>
      <c r="K206" s="164"/>
      <c r="L206" s="136"/>
      <c r="M206" s="140"/>
      <c r="T206" s="141"/>
      <c r="AT206" s="137" t="s">
        <v>147</v>
      </c>
      <c r="AU206" s="137" t="s">
        <v>19</v>
      </c>
      <c r="AV206" s="11" t="s">
        <v>149</v>
      </c>
      <c r="AW206" s="11" t="s">
        <v>39</v>
      </c>
      <c r="AX206" s="11" t="s">
        <v>81</v>
      </c>
      <c r="AY206" s="137" t="s">
        <v>136</v>
      </c>
    </row>
    <row r="207" spans="2:65" s="11" customFormat="1">
      <c r="B207" s="136"/>
      <c r="C207" s="164"/>
      <c r="D207" s="161" t="s">
        <v>147</v>
      </c>
      <c r="E207" s="165" t="s">
        <v>2325</v>
      </c>
      <c r="F207" s="166" t="s">
        <v>2326</v>
      </c>
      <c r="G207" s="164"/>
      <c r="H207" s="167">
        <v>110.25</v>
      </c>
      <c r="I207" s="164"/>
      <c r="J207" s="164"/>
      <c r="K207" s="164"/>
      <c r="L207" s="136"/>
      <c r="M207" s="140"/>
      <c r="T207" s="141"/>
      <c r="AT207" s="137" t="s">
        <v>147</v>
      </c>
      <c r="AU207" s="137" t="s">
        <v>19</v>
      </c>
      <c r="AV207" s="11" t="s">
        <v>149</v>
      </c>
      <c r="AW207" s="11" t="s">
        <v>39</v>
      </c>
      <c r="AX207" s="11" t="s">
        <v>81</v>
      </c>
      <c r="AY207" s="137" t="s">
        <v>136</v>
      </c>
    </row>
    <row r="208" spans="2:65" s="11" customFormat="1">
      <c r="B208" s="136"/>
      <c r="C208" s="164"/>
      <c r="D208" s="161" t="s">
        <v>147</v>
      </c>
      <c r="E208" s="165" t="s">
        <v>2327</v>
      </c>
      <c r="F208" s="166" t="s">
        <v>2328</v>
      </c>
      <c r="G208" s="164"/>
      <c r="H208" s="167">
        <v>32</v>
      </c>
      <c r="I208" s="164"/>
      <c r="J208" s="164"/>
      <c r="K208" s="164"/>
      <c r="L208" s="136"/>
      <c r="M208" s="140"/>
      <c r="T208" s="141"/>
      <c r="AT208" s="137" t="s">
        <v>147</v>
      </c>
      <c r="AU208" s="137" t="s">
        <v>19</v>
      </c>
      <c r="AV208" s="11" t="s">
        <v>149</v>
      </c>
      <c r="AW208" s="11" t="s">
        <v>39</v>
      </c>
      <c r="AX208" s="11" t="s">
        <v>81</v>
      </c>
      <c r="AY208" s="137" t="s">
        <v>136</v>
      </c>
    </row>
    <row r="209" spans="2:65" s="11" customFormat="1">
      <c r="B209" s="136"/>
      <c r="C209" s="164"/>
      <c r="D209" s="161" t="s">
        <v>147</v>
      </c>
      <c r="E209" s="165" t="s">
        <v>2329</v>
      </c>
      <c r="F209" s="166" t="s">
        <v>2330</v>
      </c>
      <c r="G209" s="164"/>
      <c r="H209" s="167">
        <v>105.83999999999999</v>
      </c>
      <c r="I209" s="164"/>
      <c r="J209" s="164"/>
      <c r="K209" s="164"/>
      <c r="L209" s="136"/>
      <c r="M209" s="140"/>
      <c r="T209" s="141"/>
      <c r="AT209" s="137" t="s">
        <v>147</v>
      </c>
      <c r="AU209" s="137" t="s">
        <v>19</v>
      </c>
      <c r="AV209" s="11" t="s">
        <v>149</v>
      </c>
      <c r="AW209" s="11" t="s">
        <v>39</v>
      </c>
      <c r="AX209" s="11" t="s">
        <v>81</v>
      </c>
      <c r="AY209" s="137" t="s">
        <v>136</v>
      </c>
    </row>
    <row r="210" spans="2:65" s="11" customFormat="1">
      <c r="B210" s="136"/>
      <c r="C210" s="164"/>
      <c r="D210" s="161" t="s">
        <v>147</v>
      </c>
      <c r="E210" s="165" t="s">
        <v>2331</v>
      </c>
      <c r="F210" s="166" t="s">
        <v>2332</v>
      </c>
      <c r="G210" s="164"/>
      <c r="H210" s="167">
        <v>26</v>
      </c>
      <c r="I210" s="164"/>
      <c r="J210" s="164"/>
      <c r="K210" s="164"/>
      <c r="L210" s="136"/>
      <c r="M210" s="140"/>
      <c r="T210" s="141"/>
      <c r="AT210" s="137" t="s">
        <v>147</v>
      </c>
      <c r="AU210" s="137" t="s">
        <v>19</v>
      </c>
      <c r="AV210" s="11" t="s">
        <v>149</v>
      </c>
      <c r="AW210" s="11" t="s">
        <v>39</v>
      </c>
      <c r="AX210" s="11" t="s">
        <v>81</v>
      </c>
      <c r="AY210" s="137" t="s">
        <v>136</v>
      </c>
    </row>
    <row r="211" spans="2:65" s="11" customFormat="1">
      <c r="B211" s="136"/>
      <c r="C211" s="164"/>
      <c r="D211" s="161" t="s">
        <v>147</v>
      </c>
      <c r="E211" s="165" t="s">
        <v>1</v>
      </c>
      <c r="F211" s="166" t="s">
        <v>2333</v>
      </c>
      <c r="G211" s="164"/>
      <c r="H211" s="167">
        <v>538.77</v>
      </c>
      <c r="I211" s="164"/>
      <c r="J211" s="164"/>
      <c r="K211" s="164"/>
      <c r="L211" s="136"/>
      <c r="M211" s="140"/>
      <c r="T211" s="141"/>
      <c r="AT211" s="137" t="s">
        <v>147</v>
      </c>
      <c r="AU211" s="137" t="s">
        <v>19</v>
      </c>
      <c r="AV211" s="11" t="s">
        <v>149</v>
      </c>
      <c r="AW211" s="11" t="s">
        <v>39</v>
      </c>
      <c r="AX211" s="11" t="s">
        <v>19</v>
      </c>
      <c r="AY211" s="137" t="s">
        <v>136</v>
      </c>
    </row>
    <row r="212" spans="2:65" s="1" customFormat="1" ht="24.15" customHeight="1">
      <c r="B212" s="119"/>
      <c r="C212" s="154" t="s">
        <v>684</v>
      </c>
      <c r="D212" s="154" t="s">
        <v>137</v>
      </c>
      <c r="E212" s="155" t="s">
        <v>2334</v>
      </c>
      <c r="F212" s="156" t="s">
        <v>2335</v>
      </c>
      <c r="G212" s="157" t="s">
        <v>260</v>
      </c>
      <c r="H212" s="158">
        <v>51.84</v>
      </c>
      <c r="I212" s="159">
        <v>0</v>
      </c>
      <c r="J212" s="159">
        <f>ROUND(I212*H212,2)</f>
        <v>0</v>
      </c>
      <c r="K212" s="156" t="s">
        <v>141</v>
      </c>
      <c r="L212" s="26"/>
      <c r="M212" s="126" t="s">
        <v>1</v>
      </c>
      <c r="N212" s="127" t="s">
        <v>46</v>
      </c>
      <c r="O212" s="128">
        <v>0</v>
      </c>
      <c r="P212" s="128">
        <f>O212*H212</f>
        <v>0</v>
      </c>
      <c r="Q212" s="128">
        <v>0</v>
      </c>
      <c r="R212" s="128">
        <f>Q212*H212</f>
        <v>0</v>
      </c>
      <c r="S212" s="128">
        <v>0</v>
      </c>
      <c r="T212" s="129">
        <f>S212*H212</f>
        <v>0</v>
      </c>
      <c r="AR212" s="130" t="s">
        <v>135</v>
      </c>
      <c r="AT212" s="130" t="s">
        <v>137</v>
      </c>
      <c r="AU212" s="130" t="s">
        <v>19</v>
      </c>
      <c r="AY212" s="14" t="s">
        <v>136</v>
      </c>
      <c r="BE212" s="131">
        <f>IF(N212="základní",J212,0)</f>
        <v>0</v>
      </c>
      <c r="BF212" s="131">
        <f>IF(N212="snížená",J212,0)</f>
        <v>0</v>
      </c>
      <c r="BG212" s="131">
        <f>IF(N212="zákl. přenesená",J212,0)</f>
        <v>0</v>
      </c>
      <c r="BH212" s="131">
        <f>IF(N212="sníž. přenesená",J212,0)</f>
        <v>0</v>
      </c>
      <c r="BI212" s="131">
        <f>IF(N212="nulová",J212,0)</f>
        <v>0</v>
      </c>
      <c r="BJ212" s="14" t="s">
        <v>19</v>
      </c>
      <c r="BK212" s="131">
        <f>ROUND(I212*H212,2)</f>
        <v>0</v>
      </c>
      <c r="BL212" s="14" t="s">
        <v>135</v>
      </c>
      <c r="BM212" s="130" t="s">
        <v>2336</v>
      </c>
    </row>
    <row r="213" spans="2:65" s="1" customFormat="1" ht="19.2">
      <c r="B213" s="26"/>
      <c r="C213" s="160"/>
      <c r="D213" s="161" t="s">
        <v>143</v>
      </c>
      <c r="E213" s="160"/>
      <c r="F213" s="162" t="s">
        <v>2335</v>
      </c>
      <c r="G213" s="160"/>
      <c r="H213" s="160"/>
      <c r="I213" s="160"/>
      <c r="J213" s="160"/>
      <c r="K213" s="160"/>
      <c r="L213" s="26"/>
      <c r="M213" s="134"/>
      <c r="T213" s="50"/>
      <c r="AT213" s="14" t="s">
        <v>143</v>
      </c>
      <c r="AU213" s="14" t="s">
        <v>19</v>
      </c>
    </row>
    <row r="214" spans="2:65" s="1" customFormat="1" ht="57.6">
      <c r="B214" s="26"/>
      <c r="C214" s="160"/>
      <c r="D214" s="161" t="s">
        <v>145</v>
      </c>
      <c r="E214" s="160"/>
      <c r="F214" s="163" t="s">
        <v>2337</v>
      </c>
      <c r="G214" s="160"/>
      <c r="H214" s="160"/>
      <c r="I214" s="160"/>
      <c r="J214" s="160"/>
      <c r="K214" s="160"/>
      <c r="L214" s="26"/>
      <c r="M214" s="134"/>
      <c r="T214" s="50"/>
      <c r="AT214" s="14" t="s">
        <v>145</v>
      </c>
      <c r="AU214" s="14" t="s">
        <v>19</v>
      </c>
    </row>
    <row r="215" spans="2:65" s="11" customFormat="1">
      <c r="B215" s="136"/>
      <c r="C215" s="164"/>
      <c r="D215" s="161" t="s">
        <v>147</v>
      </c>
      <c r="E215" s="165" t="s">
        <v>2338</v>
      </c>
      <c r="F215" s="166" t="s">
        <v>2339</v>
      </c>
      <c r="G215" s="164"/>
      <c r="H215" s="167">
        <v>21.84</v>
      </c>
      <c r="I215" s="164"/>
      <c r="J215" s="164"/>
      <c r="K215" s="164"/>
      <c r="L215" s="136"/>
      <c r="M215" s="140"/>
      <c r="T215" s="141"/>
      <c r="AT215" s="137" t="s">
        <v>147</v>
      </c>
      <c r="AU215" s="137" t="s">
        <v>19</v>
      </c>
      <c r="AV215" s="11" t="s">
        <v>149</v>
      </c>
      <c r="AW215" s="11" t="s">
        <v>39</v>
      </c>
      <c r="AX215" s="11" t="s">
        <v>81</v>
      </c>
      <c r="AY215" s="137" t="s">
        <v>136</v>
      </c>
    </row>
    <row r="216" spans="2:65" s="11" customFormat="1">
      <c r="B216" s="136"/>
      <c r="C216" s="164"/>
      <c r="D216" s="161" t="s">
        <v>147</v>
      </c>
      <c r="E216" s="165" t="s">
        <v>2340</v>
      </c>
      <c r="F216" s="166" t="s">
        <v>2341</v>
      </c>
      <c r="G216" s="164"/>
      <c r="H216" s="167">
        <v>30</v>
      </c>
      <c r="I216" s="164"/>
      <c r="J216" s="164"/>
      <c r="K216" s="164"/>
      <c r="L216" s="136"/>
      <c r="M216" s="140"/>
      <c r="T216" s="141"/>
      <c r="AT216" s="137" t="s">
        <v>147</v>
      </c>
      <c r="AU216" s="137" t="s">
        <v>19</v>
      </c>
      <c r="AV216" s="11" t="s">
        <v>149</v>
      </c>
      <c r="AW216" s="11" t="s">
        <v>39</v>
      </c>
      <c r="AX216" s="11" t="s">
        <v>81</v>
      </c>
      <c r="AY216" s="137" t="s">
        <v>136</v>
      </c>
    </row>
    <row r="217" spans="2:65" s="11" customFormat="1">
      <c r="B217" s="136"/>
      <c r="C217" s="164"/>
      <c r="D217" s="161" t="s">
        <v>147</v>
      </c>
      <c r="E217" s="165" t="s">
        <v>1</v>
      </c>
      <c r="F217" s="166" t="s">
        <v>2342</v>
      </c>
      <c r="G217" s="164"/>
      <c r="H217" s="167">
        <v>51.84</v>
      </c>
      <c r="I217" s="164"/>
      <c r="J217" s="164"/>
      <c r="K217" s="164"/>
      <c r="L217" s="136"/>
      <c r="M217" s="140"/>
      <c r="T217" s="141"/>
      <c r="AT217" s="137" t="s">
        <v>147</v>
      </c>
      <c r="AU217" s="137" t="s">
        <v>19</v>
      </c>
      <c r="AV217" s="11" t="s">
        <v>149</v>
      </c>
      <c r="AW217" s="11" t="s">
        <v>39</v>
      </c>
      <c r="AX217" s="11" t="s">
        <v>19</v>
      </c>
      <c r="AY217" s="137" t="s">
        <v>136</v>
      </c>
    </row>
    <row r="218" spans="2:65" s="10" customFormat="1" ht="25.95" customHeight="1">
      <c r="B218" s="110"/>
      <c r="D218" s="111" t="s">
        <v>80</v>
      </c>
      <c r="E218" s="112" t="s">
        <v>182</v>
      </c>
      <c r="F218" s="112" t="s">
        <v>654</v>
      </c>
      <c r="J218" s="113">
        <f>BK218</f>
        <v>0</v>
      </c>
      <c r="L218" s="110"/>
      <c r="M218" s="114"/>
      <c r="P218" s="115">
        <f>SUM(P219:P285)</f>
        <v>0</v>
      </c>
      <c r="R218" s="115">
        <f>SUM(R219:R285)</f>
        <v>0</v>
      </c>
      <c r="T218" s="116">
        <f>SUM(T219:T285)</f>
        <v>0</v>
      </c>
      <c r="AR218" s="111" t="s">
        <v>135</v>
      </c>
      <c r="AT218" s="117" t="s">
        <v>80</v>
      </c>
      <c r="AU218" s="117" t="s">
        <v>81</v>
      </c>
      <c r="AY218" s="111" t="s">
        <v>136</v>
      </c>
      <c r="BK218" s="118">
        <f>SUM(BK219:BK285)</f>
        <v>0</v>
      </c>
    </row>
    <row r="219" spans="2:65" s="1" customFormat="1" ht="24.15" customHeight="1">
      <c r="B219" s="119"/>
      <c r="C219" s="154" t="s">
        <v>691</v>
      </c>
      <c r="D219" s="154" t="s">
        <v>137</v>
      </c>
      <c r="E219" s="155" t="s">
        <v>2343</v>
      </c>
      <c r="F219" s="156" t="s">
        <v>2344</v>
      </c>
      <c r="G219" s="157" t="s">
        <v>260</v>
      </c>
      <c r="H219" s="158">
        <v>268.89999999999998</v>
      </c>
      <c r="I219" s="159">
        <v>0</v>
      </c>
      <c r="J219" s="159">
        <f>ROUND(I219*H219,2)</f>
        <v>0</v>
      </c>
      <c r="K219" s="156" t="s">
        <v>141</v>
      </c>
      <c r="L219" s="26"/>
      <c r="M219" s="126" t="s">
        <v>1</v>
      </c>
      <c r="N219" s="127" t="s">
        <v>46</v>
      </c>
      <c r="O219" s="128">
        <v>0</v>
      </c>
      <c r="P219" s="128">
        <f>O219*H219</f>
        <v>0</v>
      </c>
      <c r="Q219" s="128">
        <v>0</v>
      </c>
      <c r="R219" s="128">
        <f>Q219*H219</f>
        <v>0</v>
      </c>
      <c r="S219" s="128">
        <v>0</v>
      </c>
      <c r="T219" s="129">
        <f>S219*H219</f>
        <v>0</v>
      </c>
      <c r="AR219" s="130" t="s">
        <v>135</v>
      </c>
      <c r="AT219" s="130" t="s">
        <v>137</v>
      </c>
      <c r="AU219" s="130" t="s">
        <v>19</v>
      </c>
      <c r="AY219" s="14" t="s">
        <v>136</v>
      </c>
      <c r="BE219" s="131">
        <f>IF(N219="základní",J219,0)</f>
        <v>0</v>
      </c>
      <c r="BF219" s="131">
        <f>IF(N219="snížená",J219,0)</f>
        <v>0</v>
      </c>
      <c r="BG219" s="131">
        <f>IF(N219="zákl. přenesená",J219,0)</f>
        <v>0</v>
      </c>
      <c r="BH219" s="131">
        <f>IF(N219="sníž. přenesená",J219,0)</f>
        <v>0</v>
      </c>
      <c r="BI219" s="131">
        <f>IF(N219="nulová",J219,0)</f>
        <v>0</v>
      </c>
      <c r="BJ219" s="14" t="s">
        <v>19</v>
      </c>
      <c r="BK219" s="131">
        <f>ROUND(I219*H219,2)</f>
        <v>0</v>
      </c>
      <c r="BL219" s="14" t="s">
        <v>135</v>
      </c>
      <c r="BM219" s="130" t="s">
        <v>2345</v>
      </c>
    </row>
    <row r="220" spans="2:65" s="1" customFormat="1">
      <c r="B220" s="26"/>
      <c r="C220" s="160"/>
      <c r="D220" s="161" t="s">
        <v>143</v>
      </c>
      <c r="E220" s="160"/>
      <c r="F220" s="162" t="s">
        <v>2346</v>
      </c>
      <c r="G220" s="160"/>
      <c r="H220" s="160"/>
      <c r="I220" s="160"/>
      <c r="J220" s="160"/>
      <c r="K220" s="160"/>
      <c r="L220" s="26"/>
      <c r="M220" s="134"/>
      <c r="T220" s="50"/>
      <c r="AT220" s="14" t="s">
        <v>143</v>
      </c>
      <c r="AU220" s="14" t="s">
        <v>19</v>
      </c>
    </row>
    <row r="221" spans="2:65" s="1" customFormat="1" ht="153.6">
      <c r="B221" s="26"/>
      <c r="C221" s="160"/>
      <c r="D221" s="161" t="s">
        <v>145</v>
      </c>
      <c r="E221" s="160"/>
      <c r="F221" s="163" t="s">
        <v>2347</v>
      </c>
      <c r="G221" s="160"/>
      <c r="H221" s="160"/>
      <c r="I221" s="160"/>
      <c r="J221" s="160"/>
      <c r="K221" s="160"/>
      <c r="L221" s="26"/>
      <c r="M221" s="134"/>
      <c r="T221" s="50"/>
      <c r="AT221" s="14" t="s">
        <v>145</v>
      </c>
      <c r="AU221" s="14" t="s">
        <v>19</v>
      </c>
    </row>
    <row r="222" spans="2:65" s="11" customFormat="1">
      <c r="B222" s="136"/>
      <c r="C222" s="164"/>
      <c r="D222" s="161" t="s">
        <v>147</v>
      </c>
      <c r="E222" s="165" t="s">
        <v>2348</v>
      </c>
      <c r="F222" s="166" t="s">
        <v>2349</v>
      </c>
      <c r="G222" s="164"/>
      <c r="H222" s="167">
        <v>268.89999999999998</v>
      </c>
      <c r="I222" s="164"/>
      <c r="J222" s="164"/>
      <c r="K222" s="164"/>
      <c r="L222" s="136"/>
      <c r="M222" s="140"/>
      <c r="T222" s="141"/>
      <c r="AT222" s="137" t="s">
        <v>147</v>
      </c>
      <c r="AU222" s="137" t="s">
        <v>19</v>
      </c>
      <c r="AV222" s="11" t="s">
        <v>149</v>
      </c>
      <c r="AW222" s="11" t="s">
        <v>39</v>
      </c>
      <c r="AX222" s="11" t="s">
        <v>81</v>
      </c>
      <c r="AY222" s="137" t="s">
        <v>136</v>
      </c>
    </row>
    <row r="223" spans="2:65" s="11" customFormat="1">
      <c r="B223" s="136"/>
      <c r="C223" s="164"/>
      <c r="D223" s="161" t="s">
        <v>147</v>
      </c>
      <c r="E223" s="165" t="s">
        <v>1</v>
      </c>
      <c r="F223" s="166" t="s">
        <v>2350</v>
      </c>
      <c r="G223" s="164"/>
      <c r="H223" s="167">
        <v>268.89999999999998</v>
      </c>
      <c r="I223" s="164"/>
      <c r="J223" s="164"/>
      <c r="K223" s="164"/>
      <c r="L223" s="136"/>
      <c r="M223" s="140"/>
      <c r="T223" s="141"/>
      <c r="AT223" s="137" t="s">
        <v>147</v>
      </c>
      <c r="AU223" s="137" t="s">
        <v>19</v>
      </c>
      <c r="AV223" s="11" t="s">
        <v>149</v>
      </c>
      <c r="AW223" s="11" t="s">
        <v>39</v>
      </c>
      <c r="AX223" s="11" t="s">
        <v>19</v>
      </c>
      <c r="AY223" s="137" t="s">
        <v>136</v>
      </c>
    </row>
    <row r="224" spans="2:65" s="1" customFormat="1" ht="24.15" customHeight="1">
      <c r="B224" s="119"/>
      <c r="C224" s="154" t="s">
        <v>699</v>
      </c>
      <c r="D224" s="154" t="s">
        <v>137</v>
      </c>
      <c r="E224" s="155" t="s">
        <v>2351</v>
      </c>
      <c r="F224" s="156" t="s">
        <v>2352</v>
      </c>
      <c r="G224" s="157" t="s">
        <v>260</v>
      </c>
      <c r="H224" s="158">
        <v>268.89999999999998</v>
      </c>
      <c r="I224" s="159">
        <v>0</v>
      </c>
      <c r="J224" s="159">
        <f>ROUND(I224*H224,2)</f>
        <v>0</v>
      </c>
      <c r="K224" s="156" t="s">
        <v>141</v>
      </c>
      <c r="L224" s="26"/>
      <c r="M224" s="126" t="s">
        <v>1</v>
      </c>
      <c r="N224" s="127" t="s">
        <v>46</v>
      </c>
      <c r="O224" s="128">
        <v>0</v>
      </c>
      <c r="P224" s="128">
        <f>O224*H224</f>
        <v>0</v>
      </c>
      <c r="Q224" s="128">
        <v>0</v>
      </c>
      <c r="R224" s="128">
        <f>Q224*H224</f>
        <v>0</v>
      </c>
      <c r="S224" s="128">
        <v>0</v>
      </c>
      <c r="T224" s="129">
        <f>S224*H224</f>
        <v>0</v>
      </c>
      <c r="AR224" s="130" t="s">
        <v>135</v>
      </c>
      <c r="AT224" s="130" t="s">
        <v>137</v>
      </c>
      <c r="AU224" s="130" t="s">
        <v>19</v>
      </c>
      <c r="AY224" s="14" t="s">
        <v>136</v>
      </c>
      <c r="BE224" s="131">
        <f>IF(N224="základní",J224,0)</f>
        <v>0</v>
      </c>
      <c r="BF224" s="131">
        <f>IF(N224="snížená",J224,0)</f>
        <v>0</v>
      </c>
      <c r="BG224" s="131">
        <f>IF(N224="zákl. přenesená",J224,0)</f>
        <v>0</v>
      </c>
      <c r="BH224" s="131">
        <f>IF(N224="sníž. přenesená",J224,0)</f>
        <v>0</v>
      </c>
      <c r="BI224" s="131">
        <f>IF(N224="nulová",J224,0)</f>
        <v>0</v>
      </c>
      <c r="BJ224" s="14" t="s">
        <v>19</v>
      </c>
      <c r="BK224" s="131">
        <f>ROUND(I224*H224,2)</f>
        <v>0</v>
      </c>
      <c r="BL224" s="14" t="s">
        <v>135</v>
      </c>
      <c r="BM224" s="130" t="s">
        <v>2353</v>
      </c>
    </row>
    <row r="225" spans="2:65" s="1" customFormat="1">
      <c r="B225" s="26"/>
      <c r="C225" s="160"/>
      <c r="D225" s="161" t="s">
        <v>143</v>
      </c>
      <c r="E225" s="160"/>
      <c r="F225" s="162" t="s">
        <v>2354</v>
      </c>
      <c r="G225" s="160"/>
      <c r="H225" s="160"/>
      <c r="I225" s="160"/>
      <c r="J225" s="160"/>
      <c r="K225" s="160"/>
      <c r="L225" s="26"/>
      <c r="M225" s="134"/>
      <c r="T225" s="50"/>
      <c r="AT225" s="14" t="s">
        <v>143</v>
      </c>
      <c r="AU225" s="14" t="s">
        <v>19</v>
      </c>
    </row>
    <row r="226" spans="2:65" s="1" customFormat="1" ht="153.6">
      <c r="B226" s="26"/>
      <c r="C226" s="160"/>
      <c r="D226" s="161" t="s">
        <v>145</v>
      </c>
      <c r="E226" s="160"/>
      <c r="F226" s="163" t="s">
        <v>2347</v>
      </c>
      <c r="G226" s="160"/>
      <c r="H226" s="160"/>
      <c r="I226" s="160"/>
      <c r="J226" s="160"/>
      <c r="K226" s="160"/>
      <c r="L226" s="26"/>
      <c r="M226" s="134"/>
      <c r="T226" s="50"/>
      <c r="AT226" s="14" t="s">
        <v>145</v>
      </c>
      <c r="AU226" s="14" t="s">
        <v>19</v>
      </c>
    </row>
    <row r="227" spans="2:65" s="11" customFormat="1">
      <c r="B227" s="136"/>
      <c r="C227" s="164"/>
      <c r="D227" s="161" t="s">
        <v>147</v>
      </c>
      <c r="E227" s="165" t="s">
        <v>2355</v>
      </c>
      <c r="F227" s="166" t="s">
        <v>2356</v>
      </c>
      <c r="G227" s="164"/>
      <c r="H227" s="167">
        <v>42.699999999999996</v>
      </c>
      <c r="I227" s="164"/>
      <c r="J227" s="164"/>
      <c r="K227" s="164"/>
      <c r="L227" s="136"/>
      <c r="M227" s="140"/>
      <c r="T227" s="141"/>
      <c r="AT227" s="137" t="s">
        <v>147</v>
      </c>
      <c r="AU227" s="137" t="s">
        <v>19</v>
      </c>
      <c r="AV227" s="11" t="s">
        <v>149</v>
      </c>
      <c r="AW227" s="11" t="s">
        <v>39</v>
      </c>
      <c r="AX227" s="11" t="s">
        <v>81</v>
      </c>
      <c r="AY227" s="137" t="s">
        <v>136</v>
      </c>
    </row>
    <row r="228" spans="2:65" s="11" customFormat="1">
      <c r="B228" s="136"/>
      <c r="C228" s="164"/>
      <c r="D228" s="161" t="s">
        <v>147</v>
      </c>
      <c r="E228" s="165" t="s">
        <v>2357</v>
      </c>
      <c r="F228" s="166" t="s">
        <v>2358</v>
      </c>
      <c r="G228" s="164"/>
      <c r="H228" s="167">
        <v>42.699999999999996</v>
      </c>
      <c r="I228" s="164"/>
      <c r="J228" s="164"/>
      <c r="K228" s="164"/>
      <c r="L228" s="136"/>
      <c r="M228" s="140"/>
      <c r="T228" s="141"/>
      <c r="AT228" s="137" t="s">
        <v>147</v>
      </c>
      <c r="AU228" s="137" t="s">
        <v>19</v>
      </c>
      <c r="AV228" s="11" t="s">
        <v>149</v>
      </c>
      <c r="AW228" s="11" t="s">
        <v>39</v>
      </c>
      <c r="AX228" s="11" t="s">
        <v>81</v>
      </c>
      <c r="AY228" s="137" t="s">
        <v>136</v>
      </c>
    </row>
    <row r="229" spans="2:65" s="11" customFormat="1">
      <c r="B229" s="136"/>
      <c r="C229" s="164"/>
      <c r="D229" s="161" t="s">
        <v>147</v>
      </c>
      <c r="E229" s="165" t="s">
        <v>2359</v>
      </c>
      <c r="F229" s="166" t="s">
        <v>2360</v>
      </c>
      <c r="G229" s="164"/>
      <c r="H229" s="167">
        <v>42.699999999999996</v>
      </c>
      <c r="I229" s="164"/>
      <c r="J229" s="164"/>
      <c r="K229" s="164"/>
      <c r="L229" s="136"/>
      <c r="M229" s="140"/>
      <c r="T229" s="141"/>
      <c r="AT229" s="137" t="s">
        <v>147</v>
      </c>
      <c r="AU229" s="137" t="s">
        <v>19</v>
      </c>
      <c r="AV229" s="11" t="s">
        <v>149</v>
      </c>
      <c r="AW229" s="11" t="s">
        <v>39</v>
      </c>
      <c r="AX229" s="11" t="s">
        <v>81</v>
      </c>
      <c r="AY229" s="137" t="s">
        <v>136</v>
      </c>
    </row>
    <row r="230" spans="2:65" s="11" customFormat="1">
      <c r="B230" s="136"/>
      <c r="C230" s="164"/>
      <c r="D230" s="161" t="s">
        <v>147</v>
      </c>
      <c r="E230" s="165" t="s">
        <v>2361</v>
      </c>
      <c r="F230" s="166" t="s">
        <v>2362</v>
      </c>
      <c r="G230" s="164"/>
      <c r="H230" s="167">
        <v>42.699999999999996</v>
      </c>
      <c r="I230" s="164"/>
      <c r="J230" s="164"/>
      <c r="K230" s="164"/>
      <c r="L230" s="136"/>
      <c r="M230" s="140"/>
      <c r="T230" s="141"/>
      <c r="AT230" s="137" t="s">
        <v>147</v>
      </c>
      <c r="AU230" s="137" t="s">
        <v>19</v>
      </c>
      <c r="AV230" s="11" t="s">
        <v>149</v>
      </c>
      <c r="AW230" s="11" t="s">
        <v>39</v>
      </c>
      <c r="AX230" s="11" t="s">
        <v>81</v>
      </c>
      <c r="AY230" s="137" t="s">
        <v>136</v>
      </c>
    </row>
    <row r="231" spans="2:65" s="11" customFormat="1">
      <c r="B231" s="136"/>
      <c r="C231" s="164"/>
      <c r="D231" s="161" t="s">
        <v>147</v>
      </c>
      <c r="E231" s="165" t="s">
        <v>2363</v>
      </c>
      <c r="F231" s="166" t="s">
        <v>2364</v>
      </c>
      <c r="G231" s="164"/>
      <c r="H231" s="167">
        <v>49.050000000000004</v>
      </c>
      <c r="I231" s="164"/>
      <c r="J231" s="164"/>
      <c r="K231" s="164"/>
      <c r="L231" s="136"/>
      <c r="M231" s="140"/>
      <c r="T231" s="141"/>
      <c r="AT231" s="137" t="s">
        <v>147</v>
      </c>
      <c r="AU231" s="137" t="s">
        <v>19</v>
      </c>
      <c r="AV231" s="11" t="s">
        <v>149</v>
      </c>
      <c r="AW231" s="11" t="s">
        <v>39</v>
      </c>
      <c r="AX231" s="11" t="s">
        <v>81</v>
      </c>
      <c r="AY231" s="137" t="s">
        <v>136</v>
      </c>
    </row>
    <row r="232" spans="2:65" s="11" customFormat="1">
      <c r="B232" s="136"/>
      <c r="C232" s="164"/>
      <c r="D232" s="161" t="s">
        <v>147</v>
      </c>
      <c r="E232" s="165" t="s">
        <v>2365</v>
      </c>
      <c r="F232" s="166" t="s">
        <v>2366</v>
      </c>
      <c r="G232" s="164"/>
      <c r="H232" s="167">
        <v>49.050000000000004</v>
      </c>
      <c r="I232" s="164"/>
      <c r="J232" s="164"/>
      <c r="K232" s="164"/>
      <c r="L232" s="136"/>
      <c r="M232" s="140"/>
      <c r="T232" s="141"/>
      <c r="AT232" s="137" t="s">
        <v>147</v>
      </c>
      <c r="AU232" s="137" t="s">
        <v>19</v>
      </c>
      <c r="AV232" s="11" t="s">
        <v>149</v>
      </c>
      <c r="AW232" s="11" t="s">
        <v>39</v>
      </c>
      <c r="AX232" s="11" t="s">
        <v>81</v>
      </c>
      <c r="AY232" s="137" t="s">
        <v>136</v>
      </c>
    </row>
    <row r="233" spans="2:65" s="11" customFormat="1">
      <c r="B233" s="136"/>
      <c r="C233" s="164"/>
      <c r="D233" s="161" t="s">
        <v>147</v>
      </c>
      <c r="E233" s="165" t="s">
        <v>1</v>
      </c>
      <c r="F233" s="166" t="s">
        <v>2350</v>
      </c>
      <c r="G233" s="164"/>
      <c r="H233" s="167">
        <v>268.89999999999998</v>
      </c>
      <c r="I233" s="164"/>
      <c r="J233" s="164"/>
      <c r="K233" s="164"/>
      <c r="L233" s="136"/>
      <c r="M233" s="140"/>
      <c r="T233" s="141"/>
      <c r="AT233" s="137" t="s">
        <v>147</v>
      </c>
      <c r="AU233" s="137" t="s">
        <v>19</v>
      </c>
      <c r="AV233" s="11" t="s">
        <v>149</v>
      </c>
      <c r="AW233" s="11" t="s">
        <v>39</v>
      </c>
      <c r="AX233" s="11" t="s">
        <v>19</v>
      </c>
      <c r="AY233" s="137" t="s">
        <v>136</v>
      </c>
    </row>
    <row r="234" spans="2:65" s="1" customFormat="1" ht="24.15" customHeight="1">
      <c r="B234" s="119"/>
      <c r="C234" s="154" t="s">
        <v>712</v>
      </c>
      <c r="D234" s="154" t="s">
        <v>137</v>
      </c>
      <c r="E234" s="155" t="s">
        <v>2367</v>
      </c>
      <c r="F234" s="156" t="s">
        <v>2368</v>
      </c>
      <c r="G234" s="157" t="s">
        <v>260</v>
      </c>
      <c r="H234" s="158">
        <v>569.24</v>
      </c>
      <c r="I234" s="159">
        <v>0</v>
      </c>
      <c r="J234" s="159">
        <f>ROUND(I234*H234,2)</f>
        <v>0</v>
      </c>
      <c r="K234" s="156" t="s">
        <v>141</v>
      </c>
      <c r="L234" s="26"/>
      <c r="M234" s="126" t="s">
        <v>1</v>
      </c>
      <c r="N234" s="127" t="s">
        <v>46</v>
      </c>
      <c r="O234" s="128">
        <v>0</v>
      </c>
      <c r="P234" s="128">
        <f>O234*H234</f>
        <v>0</v>
      </c>
      <c r="Q234" s="128">
        <v>0</v>
      </c>
      <c r="R234" s="128">
        <f>Q234*H234</f>
        <v>0</v>
      </c>
      <c r="S234" s="128">
        <v>0</v>
      </c>
      <c r="T234" s="129">
        <f>S234*H234</f>
        <v>0</v>
      </c>
      <c r="AR234" s="130" t="s">
        <v>135</v>
      </c>
      <c r="AT234" s="130" t="s">
        <v>137</v>
      </c>
      <c r="AU234" s="130" t="s">
        <v>19</v>
      </c>
      <c r="AY234" s="14" t="s">
        <v>136</v>
      </c>
      <c r="BE234" s="131">
        <f>IF(N234="základní",J234,0)</f>
        <v>0</v>
      </c>
      <c r="BF234" s="131">
        <f>IF(N234="snížená",J234,0)</f>
        <v>0</v>
      </c>
      <c r="BG234" s="131">
        <f>IF(N234="zákl. přenesená",J234,0)</f>
        <v>0</v>
      </c>
      <c r="BH234" s="131">
        <f>IF(N234="sníž. přenesená",J234,0)</f>
        <v>0</v>
      </c>
      <c r="BI234" s="131">
        <f>IF(N234="nulová",J234,0)</f>
        <v>0</v>
      </c>
      <c r="BJ234" s="14" t="s">
        <v>19</v>
      </c>
      <c r="BK234" s="131">
        <f>ROUND(I234*H234,2)</f>
        <v>0</v>
      </c>
      <c r="BL234" s="14" t="s">
        <v>135</v>
      </c>
      <c r="BM234" s="130" t="s">
        <v>2369</v>
      </c>
    </row>
    <row r="235" spans="2:65" s="1" customFormat="1">
      <c r="B235" s="26"/>
      <c r="C235" s="160"/>
      <c r="D235" s="161" t="s">
        <v>143</v>
      </c>
      <c r="E235" s="160"/>
      <c r="F235" s="162" t="s">
        <v>2370</v>
      </c>
      <c r="G235" s="160"/>
      <c r="H235" s="160"/>
      <c r="I235" s="160"/>
      <c r="J235" s="160"/>
      <c r="K235" s="160"/>
      <c r="L235" s="26"/>
      <c r="M235" s="134"/>
      <c r="T235" s="50"/>
      <c r="AT235" s="14" t="s">
        <v>143</v>
      </c>
      <c r="AU235" s="14" t="s">
        <v>19</v>
      </c>
    </row>
    <row r="236" spans="2:65" s="1" customFormat="1" ht="172.8">
      <c r="B236" s="26"/>
      <c r="C236" s="160"/>
      <c r="D236" s="161" t="s">
        <v>145</v>
      </c>
      <c r="E236" s="160"/>
      <c r="F236" s="163" t="s">
        <v>2371</v>
      </c>
      <c r="G236" s="160"/>
      <c r="H236" s="160"/>
      <c r="I236" s="160"/>
      <c r="J236" s="160"/>
      <c r="K236" s="160"/>
      <c r="L236" s="26"/>
      <c r="M236" s="134"/>
      <c r="T236" s="50"/>
      <c r="AT236" s="14" t="s">
        <v>145</v>
      </c>
      <c r="AU236" s="14" t="s">
        <v>19</v>
      </c>
    </row>
    <row r="237" spans="2:65" s="11" customFormat="1">
      <c r="B237" s="136"/>
      <c r="C237" s="164"/>
      <c r="D237" s="161" t="s">
        <v>147</v>
      </c>
      <c r="E237" s="165" t="s">
        <v>2372</v>
      </c>
      <c r="F237" s="166" t="s">
        <v>2373</v>
      </c>
      <c r="G237" s="164"/>
      <c r="H237" s="167">
        <v>284.62</v>
      </c>
      <c r="I237" s="164"/>
      <c r="J237" s="164"/>
      <c r="K237" s="164"/>
      <c r="L237" s="136"/>
      <c r="M237" s="140"/>
      <c r="T237" s="141"/>
      <c r="AT237" s="137" t="s">
        <v>147</v>
      </c>
      <c r="AU237" s="137" t="s">
        <v>19</v>
      </c>
      <c r="AV237" s="11" t="s">
        <v>149</v>
      </c>
      <c r="AW237" s="11" t="s">
        <v>39</v>
      </c>
      <c r="AX237" s="11" t="s">
        <v>81</v>
      </c>
      <c r="AY237" s="137" t="s">
        <v>136</v>
      </c>
    </row>
    <row r="238" spans="2:65" s="11" customFormat="1">
      <c r="B238" s="136"/>
      <c r="C238" s="164"/>
      <c r="D238" s="161" t="s">
        <v>147</v>
      </c>
      <c r="E238" s="165" t="s">
        <v>2374</v>
      </c>
      <c r="F238" s="166" t="s">
        <v>2375</v>
      </c>
      <c r="G238" s="164"/>
      <c r="H238" s="167">
        <v>284.62</v>
      </c>
      <c r="I238" s="164"/>
      <c r="J238" s="164"/>
      <c r="K238" s="164"/>
      <c r="L238" s="136"/>
      <c r="M238" s="140"/>
      <c r="T238" s="141"/>
      <c r="AT238" s="137" t="s">
        <v>147</v>
      </c>
      <c r="AU238" s="137" t="s">
        <v>19</v>
      </c>
      <c r="AV238" s="11" t="s">
        <v>149</v>
      </c>
      <c r="AW238" s="11" t="s">
        <v>39</v>
      </c>
      <c r="AX238" s="11" t="s">
        <v>81</v>
      </c>
      <c r="AY238" s="137" t="s">
        <v>136</v>
      </c>
    </row>
    <row r="239" spans="2:65" s="11" customFormat="1">
      <c r="B239" s="136"/>
      <c r="C239" s="164"/>
      <c r="D239" s="161" t="s">
        <v>147</v>
      </c>
      <c r="E239" s="165" t="s">
        <v>1</v>
      </c>
      <c r="F239" s="166" t="s">
        <v>2376</v>
      </c>
      <c r="G239" s="164"/>
      <c r="H239" s="167">
        <v>569.24</v>
      </c>
      <c r="I239" s="164"/>
      <c r="J239" s="164"/>
      <c r="K239" s="164"/>
      <c r="L239" s="136"/>
      <c r="M239" s="140"/>
      <c r="T239" s="141"/>
      <c r="AT239" s="137" t="s">
        <v>147</v>
      </c>
      <c r="AU239" s="137" t="s">
        <v>19</v>
      </c>
      <c r="AV239" s="11" t="s">
        <v>149</v>
      </c>
      <c r="AW239" s="11" t="s">
        <v>39</v>
      </c>
      <c r="AX239" s="11" t="s">
        <v>19</v>
      </c>
      <c r="AY239" s="137" t="s">
        <v>136</v>
      </c>
    </row>
    <row r="240" spans="2:65" s="1" customFormat="1" ht="24.15" customHeight="1">
      <c r="B240" s="119"/>
      <c r="C240" s="154" t="s">
        <v>725</v>
      </c>
      <c r="D240" s="154" t="s">
        <v>137</v>
      </c>
      <c r="E240" s="155" t="s">
        <v>2377</v>
      </c>
      <c r="F240" s="156" t="s">
        <v>2378</v>
      </c>
      <c r="G240" s="157" t="s">
        <v>260</v>
      </c>
      <c r="H240" s="158">
        <v>92.02</v>
      </c>
      <c r="I240" s="159">
        <v>0</v>
      </c>
      <c r="J240" s="159">
        <f>ROUND(I240*H240,2)</f>
        <v>0</v>
      </c>
      <c r="K240" s="156" t="s">
        <v>141</v>
      </c>
      <c r="L240" s="26"/>
      <c r="M240" s="126" t="s">
        <v>1</v>
      </c>
      <c r="N240" s="127" t="s">
        <v>46</v>
      </c>
      <c r="O240" s="128">
        <v>0</v>
      </c>
      <c r="P240" s="128">
        <f>O240*H240</f>
        <v>0</v>
      </c>
      <c r="Q240" s="128">
        <v>0</v>
      </c>
      <c r="R240" s="128">
        <f>Q240*H240</f>
        <v>0</v>
      </c>
      <c r="S240" s="128">
        <v>0</v>
      </c>
      <c r="T240" s="129">
        <f>S240*H240</f>
        <v>0</v>
      </c>
      <c r="AR240" s="130" t="s">
        <v>135</v>
      </c>
      <c r="AT240" s="130" t="s">
        <v>137</v>
      </c>
      <c r="AU240" s="130" t="s">
        <v>19</v>
      </c>
      <c r="AY240" s="14" t="s">
        <v>136</v>
      </c>
      <c r="BE240" s="131">
        <f>IF(N240="základní",J240,0)</f>
        <v>0</v>
      </c>
      <c r="BF240" s="131">
        <f>IF(N240="snížená",J240,0)</f>
        <v>0</v>
      </c>
      <c r="BG240" s="131">
        <f>IF(N240="zákl. přenesená",J240,0)</f>
        <v>0</v>
      </c>
      <c r="BH240" s="131">
        <f>IF(N240="sníž. přenesená",J240,0)</f>
        <v>0</v>
      </c>
      <c r="BI240" s="131">
        <f>IF(N240="nulová",J240,0)</f>
        <v>0</v>
      </c>
      <c r="BJ240" s="14" t="s">
        <v>19</v>
      </c>
      <c r="BK240" s="131">
        <f>ROUND(I240*H240,2)</f>
        <v>0</v>
      </c>
      <c r="BL240" s="14" t="s">
        <v>135</v>
      </c>
      <c r="BM240" s="130" t="s">
        <v>2379</v>
      </c>
    </row>
    <row r="241" spans="2:65" s="1" customFormat="1" ht="19.2">
      <c r="B241" s="26"/>
      <c r="C241" s="160"/>
      <c r="D241" s="161" t="s">
        <v>143</v>
      </c>
      <c r="E241" s="160"/>
      <c r="F241" s="162" t="s">
        <v>2380</v>
      </c>
      <c r="G241" s="160"/>
      <c r="H241" s="160"/>
      <c r="I241" s="160"/>
      <c r="J241" s="160"/>
      <c r="K241" s="160"/>
      <c r="L241" s="26"/>
      <c r="M241" s="134"/>
      <c r="T241" s="50"/>
      <c r="AT241" s="14" t="s">
        <v>143</v>
      </c>
      <c r="AU241" s="14" t="s">
        <v>19</v>
      </c>
    </row>
    <row r="242" spans="2:65" s="1" customFormat="1" ht="28.8">
      <c r="B242" s="26"/>
      <c r="C242" s="160"/>
      <c r="D242" s="161" t="s">
        <v>145</v>
      </c>
      <c r="E242" s="160"/>
      <c r="F242" s="163" t="s">
        <v>2381</v>
      </c>
      <c r="G242" s="160"/>
      <c r="H242" s="160"/>
      <c r="I242" s="160"/>
      <c r="J242" s="160"/>
      <c r="K242" s="160"/>
      <c r="L242" s="26"/>
      <c r="M242" s="134"/>
      <c r="T242" s="50"/>
      <c r="AT242" s="14" t="s">
        <v>145</v>
      </c>
      <c r="AU242" s="14" t="s">
        <v>19</v>
      </c>
    </row>
    <row r="243" spans="2:65" s="11" customFormat="1">
      <c r="B243" s="136"/>
      <c r="C243" s="164"/>
      <c r="D243" s="161" t="s">
        <v>147</v>
      </c>
      <c r="E243" s="165" t="s">
        <v>2382</v>
      </c>
      <c r="F243" s="166" t="s">
        <v>2383</v>
      </c>
      <c r="G243" s="164"/>
      <c r="H243" s="167">
        <v>16.049999999999997</v>
      </c>
      <c r="I243" s="164"/>
      <c r="J243" s="164"/>
      <c r="K243" s="164"/>
      <c r="L243" s="136"/>
      <c r="M243" s="140"/>
      <c r="T243" s="141"/>
      <c r="AT243" s="137" t="s">
        <v>147</v>
      </c>
      <c r="AU243" s="137" t="s">
        <v>19</v>
      </c>
      <c r="AV243" s="11" t="s">
        <v>149</v>
      </c>
      <c r="AW243" s="11" t="s">
        <v>39</v>
      </c>
      <c r="AX243" s="11" t="s">
        <v>81</v>
      </c>
      <c r="AY243" s="137" t="s">
        <v>136</v>
      </c>
    </row>
    <row r="244" spans="2:65" s="11" customFormat="1">
      <c r="B244" s="136"/>
      <c r="C244" s="164"/>
      <c r="D244" s="161" t="s">
        <v>147</v>
      </c>
      <c r="E244" s="165" t="s">
        <v>2384</v>
      </c>
      <c r="F244" s="166" t="s">
        <v>2385</v>
      </c>
      <c r="G244" s="164"/>
      <c r="H244" s="167">
        <v>29.959999999999997</v>
      </c>
      <c r="I244" s="164"/>
      <c r="J244" s="164"/>
      <c r="K244" s="164"/>
      <c r="L244" s="136"/>
      <c r="M244" s="140"/>
      <c r="T244" s="141"/>
      <c r="AT244" s="137" t="s">
        <v>147</v>
      </c>
      <c r="AU244" s="137" t="s">
        <v>19</v>
      </c>
      <c r="AV244" s="11" t="s">
        <v>149</v>
      </c>
      <c r="AW244" s="11" t="s">
        <v>39</v>
      </c>
      <c r="AX244" s="11" t="s">
        <v>81</v>
      </c>
      <c r="AY244" s="137" t="s">
        <v>136</v>
      </c>
    </row>
    <row r="245" spans="2:65" s="11" customFormat="1">
      <c r="B245" s="136"/>
      <c r="C245" s="164"/>
      <c r="D245" s="161" t="s">
        <v>147</v>
      </c>
      <c r="E245" s="165" t="s">
        <v>2386</v>
      </c>
      <c r="F245" s="166" t="s">
        <v>2387</v>
      </c>
      <c r="G245" s="164"/>
      <c r="H245" s="167">
        <v>29.959999999999997</v>
      </c>
      <c r="I245" s="164"/>
      <c r="J245" s="164"/>
      <c r="K245" s="164"/>
      <c r="L245" s="136"/>
      <c r="M245" s="140"/>
      <c r="T245" s="141"/>
      <c r="AT245" s="137" t="s">
        <v>147</v>
      </c>
      <c r="AU245" s="137" t="s">
        <v>19</v>
      </c>
      <c r="AV245" s="11" t="s">
        <v>149</v>
      </c>
      <c r="AW245" s="11" t="s">
        <v>39</v>
      </c>
      <c r="AX245" s="11" t="s">
        <v>81</v>
      </c>
      <c r="AY245" s="137" t="s">
        <v>136</v>
      </c>
    </row>
    <row r="246" spans="2:65" s="11" customFormat="1">
      <c r="B246" s="136"/>
      <c r="C246" s="164"/>
      <c r="D246" s="161" t="s">
        <v>147</v>
      </c>
      <c r="E246" s="165" t="s">
        <v>2388</v>
      </c>
      <c r="F246" s="166" t="s">
        <v>2389</v>
      </c>
      <c r="G246" s="164"/>
      <c r="H246" s="167">
        <v>16.049999999999997</v>
      </c>
      <c r="I246" s="164"/>
      <c r="J246" s="164"/>
      <c r="K246" s="164"/>
      <c r="L246" s="136"/>
      <c r="M246" s="140"/>
      <c r="T246" s="141"/>
      <c r="AT246" s="137" t="s">
        <v>147</v>
      </c>
      <c r="AU246" s="137" t="s">
        <v>19</v>
      </c>
      <c r="AV246" s="11" t="s">
        <v>149</v>
      </c>
      <c r="AW246" s="11" t="s">
        <v>39</v>
      </c>
      <c r="AX246" s="11" t="s">
        <v>81</v>
      </c>
      <c r="AY246" s="137" t="s">
        <v>136</v>
      </c>
    </row>
    <row r="247" spans="2:65" s="11" customFormat="1">
      <c r="B247" s="136"/>
      <c r="C247" s="164"/>
      <c r="D247" s="161" t="s">
        <v>147</v>
      </c>
      <c r="E247" s="165" t="s">
        <v>1</v>
      </c>
      <c r="F247" s="166" t="s">
        <v>2390</v>
      </c>
      <c r="G247" s="164"/>
      <c r="H247" s="167">
        <v>92.02</v>
      </c>
      <c r="I247" s="164"/>
      <c r="J247" s="164"/>
      <c r="K247" s="164"/>
      <c r="L247" s="136"/>
      <c r="M247" s="140"/>
      <c r="T247" s="141"/>
      <c r="AT247" s="137" t="s">
        <v>147</v>
      </c>
      <c r="AU247" s="137" t="s">
        <v>19</v>
      </c>
      <c r="AV247" s="11" t="s">
        <v>149</v>
      </c>
      <c r="AW247" s="11" t="s">
        <v>39</v>
      </c>
      <c r="AX247" s="11" t="s">
        <v>19</v>
      </c>
      <c r="AY247" s="137" t="s">
        <v>136</v>
      </c>
    </row>
    <row r="248" spans="2:65" s="1" customFormat="1" ht="16.5" customHeight="1">
      <c r="B248" s="119"/>
      <c r="C248" s="154" t="s">
        <v>738</v>
      </c>
      <c r="D248" s="154" t="s">
        <v>137</v>
      </c>
      <c r="E248" s="155" t="s">
        <v>1975</v>
      </c>
      <c r="F248" s="156" t="s">
        <v>1976</v>
      </c>
      <c r="G248" s="157" t="s">
        <v>260</v>
      </c>
      <c r="H248" s="158">
        <v>285.7</v>
      </c>
      <c r="I248" s="159">
        <v>0</v>
      </c>
      <c r="J248" s="159">
        <f>ROUND(I248*H248,2)</f>
        <v>0</v>
      </c>
      <c r="K248" s="156" t="s">
        <v>141</v>
      </c>
      <c r="L248" s="26"/>
      <c r="M248" s="126" t="s">
        <v>1</v>
      </c>
      <c r="N248" s="127" t="s">
        <v>46</v>
      </c>
      <c r="O248" s="128">
        <v>0</v>
      </c>
      <c r="P248" s="128">
        <f>O248*H248</f>
        <v>0</v>
      </c>
      <c r="Q248" s="128">
        <v>0</v>
      </c>
      <c r="R248" s="128">
        <f>Q248*H248</f>
        <v>0</v>
      </c>
      <c r="S248" s="128">
        <v>0</v>
      </c>
      <c r="T248" s="129">
        <f>S248*H248</f>
        <v>0</v>
      </c>
      <c r="AR248" s="130" t="s">
        <v>135</v>
      </c>
      <c r="AT248" s="130" t="s">
        <v>137</v>
      </c>
      <c r="AU248" s="130" t="s">
        <v>19</v>
      </c>
      <c r="AY248" s="14" t="s">
        <v>136</v>
      </c>
      <c r="BE248" s="131">
        <f>IF(N248="základní",J248,0)</f>
        <v>0</v>
      </c>
      <c r="BF248" s="131">
        <f>IF(N248="snížená",J248,0)</f>
        <v>0</v>
      </c>
      <c r="BG248" s="131">
        <f>IF(N248="zákl. přenesená",J248,0)</f>
        <v>0</v>
      </c>
      <c r="BH248" s="131">
        <f>IF(N248="sníž. přenesená",J248,0)</f>
        <v>0</v>
      </c>
      <c r="BI248" s="131">
        <f>IF(N248="nulová",J248,0)</f>
        <v>0</v>
      </c>
      <c r="BJ248" s="14" t="s">
        <v>19</v>
      </c>
      <c r="BK248" s="131">
        <f>ROUND(I248*H248,2)</f>
        <v>0</v>
      </c>
      <c r="BL248" s="14" t="s">
        <v>135</v>
      </c>
      <c r="BM248" s="130" t="s">
        <v>2391</v>
      </c>
    </row>
    <row r="249" spans="2:65" s="1" customFormat="1">
      <c r="B249" s="26"/>
      <c r="C249" s="160"/>
      <c r="D249" s="161" t="s">
        <v>143</v>
      </c>
      <c r="E249" s="160"/>
      <c r="F249" s="162" t="s">
        <v>1976</v>
      </c>
      <c r="G249" s="160"/>
      <c r="H249" s="160"/>
      <c r="I249" s="160"/>
      <c r="J249" s="160"/>
      <c r="K249" s="160"/>
      <c r="L249" s="26"/>
      <c r="M249" s="134"/>
      <c r="T249" s="50"/>
      <c r="AT249" s="14" t="s">
        <v>143</v>
      </c>
      <c r="AU249" s="14" t="s">
        <v>19</v>
      </c>
    </row>
    <row r="250" spans="2:65" s="1" customFormat="1" ht="28.8">
      <c r="B250" s="26"/>
      <c r="C250" s="160"/>
      <c r="D250" s="161" t="s">
        <v>145</v>
      </c>
      <c r="E250" s="160"/>
      <c r="F250" s="163" t="s">
        <v>2381</v>
      </c>
      <c r="G250" s="160"/>
      <c r="H250" s="160"/>
      <c r="I250" s="160"/>
      <c r="J250" s="160"/>
      <c r="K250" s="160"/>
      <c r="L250" s="26"/>
      <c r="M250" s="134"/>
      <c r="T250" s="50"/>
      <c r="AT250" s="14" t="s">
        <v>145</v>
      </c>
      <c r="AU250" s="14" t="s">
        <v>19</v>
      </c>
    </row>
    <row r="251" spans="2:65" s="11" customFormat="1">
      <c r="B251" s="136"/>
      <c r="C251" s="164"/>
      <c r="D251" s="161" t="s">
        <v>147</v>
      </c>
      <c r="E251" s="165" t="s">
        <v>2392</v>
      </c>
      <c r="F251" s="166" t="s">
        <v>2393</v>
      </c>
      <c r="G251" s="164"/>
      <c r="H251" s="167">
        <v>46.9</v>
      </c>
      <c r="I251" s="164"/>
      <c r="J251" s="164"/>
      <c r="K251" s="164"/>
      <c r="L251" s="136"/>
      <c r="M251" s="140"/>
      <c r="T251" s="141"/>
      <c r="AT251" s="137" t="s">
        <v>147</v>
      </c>
      <c r="AU251" s="137" t="s">
        <v>19</v>
      </c>
      <c r="AV251" s="11" t="s">
        <v>149</v>
      </c>
      <c r="AW251" s="11" t="s">
        <v>39</v>
      </c>
      <c r="AX251" s="11" t="s">
        <v>81</v>
      </c>
      <c r="AY251" s="137" t="s">
        <v>136</v>
      </c>
    </row>
    <row r="252" spans="2:65" s="11" customFormat="1">
      <c r="B252" s="136"/>
      <c r="C252" s="164"/>
      <c r="D252" s="161" t="s">
        <v>147</v>
      </c>
      <c r="E252" s="165" t="s">
        <v>2394</v>
      </c>
      <c r="F252" s="166" t="s">
        <v>2395</v>
      </c>
      <c r="G252" s="164"/>
      <c r="H252" s="167">
        <v>46.9</v>
      </c>
      <c r="I252" s="164"/>
      <c r="J252" s="164"/>
      <c r="K252" s="164"/>
      <c r="L252" s="136"/>
      <c r="M252" s="140"/>
      <c r="T252" s="141"/>
      <c r="AT252" s="137" t="s">
        <v>147</v>
      </c>
      <c r="AU252" s="137" t="s">
        <v>19</v>
      </c>
      <c r="AV252" s="11" t="s">
        <v>149</v>
      </c>
      <c r="AW252" s="11" t="s">
        <v>39</v>
      </c>
      <c r="AX252" s="11" t="s">
        <v>81</v>
      </c>
      <c r="AY252" s="137" t="s">
        <v>136</v>
      </c>
    </row>
    <row r="253" spans="2:65" s="11" customFormat="1">
      <c r="B253" s="136"/>
      <c r="C253" s="164"/>
      <c r="D253" s="161" t="s">
        <v>147</v>
      </c>
      <c r="E253" s="165" t="s">
        <v>2396</v>
      </c>
      <c r="F253" s="166" t="s">
        <v>2397</v>
      </c>
      <c r="G253" s="164"/>
      <c r="H253" s="167">
        <v>46.9</v>
      </c>
      <c r="I253" s="164"/>
      <c r="J253" s="164"/>
      <c r="K253" s="164"/>
      <c r="L253" s="136"/>
      <c r="M253" s="140"/>
      <c r="T253" s="141"/>
      <c r="AT253" s="137" t="s">
        <v>147</v>
      </c>
      <c r="AU253" s="137" t="s">
        <v>19</v>
      </c>
      <c r="AV253" s="11" t="s">
        <v>149</v>
      </c>
      <c r="AW253" s="11" t="s">
        <v>39</v>
      </c>
      <c r="AX253" s="11" t="s">
        <v>81</v>
      </c>
      <c r="AY253" s="137" t="s">
        <v>136</v>
      </c>
    </row>
    <row r="254" spans="2:65" s="11" customFormat="1">
      <c r="B254" s="136"/>
      <c r="C254" s="164"/>
      <c r="D254" s="161" t="s">
        <v>147</v>
      </c>
      <c r="E254" s="165" t="s">
        <v>2398</v>
      </c>
      <c r="F254" s="166" t="s">
        <v>2399</v>
      </c>
      <c r="G254" s="164"/>
      <c r="H254" s="167">
        <v>46.9</v>
      </c>
      <c r="I254" s="164"/>
      <c r="J254" s="164"/>
      <c r="K254" s="164"/>
      <c r="L254" s="136"/>
      <c r="M254" s="140"/>
      <c r="T254" s="141"/>
      <c r="AT254" s="137" t="s">
        <v>147</v>
      </c>
      <c r="AU254" s="137" t="s">
        <v>19</v>
      </c>
      <c r="AV254" s="11" t="s">
        <v>149</v>
      </c>
      <c r="AW254" s="11" t="s">
        <v>39</v>
      </c>
      <c r="AX254" s="11" t="s">
        <v>81</v>
      </c>
      <c r="AY254" s="137" t="s">
        <v>136</v>
      </c>
    </row>
    <row r="255" spans="2:65" s="11" customFormat="1">
      <c r="B255" s="136"/>
      <c r="C255" s="164"/>
      <c r="D255" s="161" t="s">
        <v>147</v>
      </c>
      <c r="E255" s="165" t="s">
        <v>2400</v>
      </c>
      <c r="F255" s="166" t="s">
        <v>2364</v>
      </c>
      <c r="G255" s="164"/>
      <c r="H255" s="167">
        <v>49.050000000000004</v>
      </c>
      <c r="I255" s="164"/>
      <c r="J255" s="164"/>
      <c r="K255" s="164"/>
      <c r="L255" s="136"/>
      <c r="M255" s="140"/>
      <c r="T255" s="141"/>
      <c r="AT255" s="137" t="s">
        <v>147</v>
      </c>
      <c r="AU255" s="137" t="s">
        <v>19</v>
      </c>
      <c r="AV255" s="11" t="s">
        <v>149</v>
      </c>
      <c r="AW255" s="11" t="s">
        <v>39</v>
      </c>
      <c r="AX255" s="11" t="s">
        <v>81</v>
      </c>
      <c r="AY255" s="137" t="s">
        <v>136</v>
      </c>
    </row>
    <row r="256" spans="2:65" s="11" customFormat="1">
      <c r="B256" s="136"/>
      <c r="C256" s="164"/>
      <c r="D256" s="161" t="s">
        <v>147</v>
      </c>
      <c r="E256" s="165" t="s">
        <v>2401</v>
      </c>
      <c r="F256" s="166" t="s">
        <v>2366</v>
      </c>
      <c r="G256" s="164"/>
      <c r="H256" s="167">
        <v>49.050000000000004</v>
      </c>
      <c r="I256" s="164"/>
      <c r="J256" s="164"/>
      <c r="K256" s="164"/>
      <c r="L256" s="136"/>
      <c r="M256" s="140"/>
      <c r="T256" s="141"/>
      <c r="AT256" s="137" t="s">
        <v>147</v>
      </c>
      <c r="AU256" s="137" t="s">
        <v>19</v>
      </c>
      <c r="AV256" s="11" t="s">
        <v>149</v>
      </c>
      <c r="AW256" s="11" t="s">
        <v>39</v>
      </c>
      <c r="AX256" s="11" t="s">
        <v>81</v>
      </c>
      <c r="AY256" s="137" t="s">
        <v>136</v>
      </c>
    </row>
    <row r="257" spans="2:65" s="11" customFormat="1">
      <c r="B257" s="136"/>
      <c r="C257" s="164"/>
      <c r="D257" s="161" t="s">
        <v>147</v>
      </c>
      <c r="E257" s="165" t="s">
        <v>1</v>
      </c>
      <c r="F257" s="166" t="s">
        <v>2402</v>
      </c>
      <c r="G257" s="164"/>
      <c r="H257" s="167">
        <v>285.7</v>
      </c>
      <c r="I257" s="164"/>
      <c r="J257" s="164"/>
      <c r="K257" s="164"/>
      <c r="L257" s="136"/>
      <c r="M257" s="140"/>
      <c r="T257" s="141"/>
      <c r="AT257" s="137" t="s">
        <v>147</v>
      </c>
      <c r="AU257" s="137" t="s">
        <v>19</v>
      </c>
      <c r="AV257" s="11" t="s">
        <v>149</v>
      </c>
      <c r="AW257" s="11" t="s">
        <v>39</v>
      </c>
      <c r="AX257" s="11" t="s">
        <v>19</v>
      </c>
      <c r="AY257" s="137" t="s">
        <v>136</v>
      </c>
    </row>
    <row r="258" spans="2:65" s="1" customFormat="1" ht="16.5" customHeight="1">
      <c r="B258" s="119"/>
      <c r="C258" s="154" t="s">
        <v>735</v>
      </c>
      <c r="D258" s="154" t="s">
        <v>137</v>
      </c>
      <c r="E258" s="155" t="s">
        <v>2403</v>
      </c>
      <c r="F258" s="156" t="s">
        <v>2404</v>
      </c>
      <c r="G258" s="157" t="s">
        <v>260</v>
      </c>
      <c r="H258" s="158">
        <v>119.44</v>
      </c>
      <c r="I258" s="159">
        <v>0</v>
      </c>
      <c r="J258" s="159">
        <f>ROUND(I258*H258,2)</f>
        <v>0</v>
      </c>
      <c r="K258" s="156" t="s">
        <v>141</v>
      </c>
      <c r="L258" s="26"/>
      <c r="M258" s="126" t="s">
        <v>1</v>
      </c>
      <c r="N258" s="127" t="s">
        <v>46</v>
      </c>
      <c r="O258" s="128">
        <v>0</v>
      </c>
      <c r="P258" s="128">
        <f>O258*H258</f>
        <v>0</v>
      </c>
      <c r="Q258" s="128">
        <v>0</v>
      </c>
      <c r="R258" s="128">
        <f>Q258*H258</f>
        <v>0</v>
      </c>
      <c r="S258" s="128">
        <v>0</v>
      </c>
      <c r="T258" s="129">
        <f>S258*H258</f>
        <v>0</v>
      </c>
      <c r="AR258" s="130" t="s">
        <v>135</v>
      </c>
      <c r="AT258" s="130" t="s">
        <v>137</v>
      </c>
      <c r="AU258" s="130" t="s">
        <v>19</v>
      </c>
      <c r="AY258" s="14" t="s">
        <v>136</v>
      </c>
      <c r="BE258" s="131">
        <f>IF(N258="základní",J258,0)</f>
        <v>0</v>
      </c>
      <c r="BF258" s="131">
        <f>IF(N258="snížená",J258,0)</f>
        <v>0</v>
      </c>
      <c r="BG258" s="131">
        <f>IF(N258="zákl. přenesená",J258,0)</f>
        <v>0</v>
      </c>
      <c r="BH258" s="131">
        <f>IF(N258="sníž. přenesená",J258,0)</f>
        <v>0</v>
      </c>
      <c r="BI258" s="131">
        <f>IF(N258="nulová",J258,0)</f>
        <v>0</v>
      </c>
      <c r="BJ258" s="14" t="s">
        <v>19</v>
      </c>
      <c r="BK258" s="131">
        <f>ROUND(I258*H258,2)</f>
        <v>0</v>
      </c>
      <c r="BL258" s="14" t="s">
        <v>135</v>
      </c>
      <c r="BM258" s="130" t="s">
        <v>2405</v>
      </c>
    </row>
    <row r="259" spans="2:65" s="1" customFormat="1">
      <c r="B259" s="26"/>
      <c r="C259" s="160"/>
      <c r="D259" s="161" t="s">
        <v>143</v>
      </c>
      <c r="E259" s="160"/>
      <c r="F259" s="162" t="s">
        <v>2406</v>
      </c>
      <c r="G259" s="160"/>
      <c r="H259" s="160"/>
      <c r="I259" s="160"/>
      <c r="J259" s="160"/>
      <c r="K259" s="160"/>
      <c r="L259" s="26"/>
      <c r="M259" s="134"/>
      <c r="T259" s="50"/>
      <c r="AT259" s="14" t="s">
        <v>143</v>
      </c>
      <c r="AU259" s="14" t="s">
        <v>19</v>
      </c>
    </row>
    <row r="260" spans="2:65" s="1" customFormat="1" ht="57.6">
      <c r="B260" s="26"/>
      <c r="C260" s="160"/>
      <c r="D260" s="161" t="s">
        <v>145</v>
      </c>
      <c r="E260" s="160"/>
      <c r="F260" s="163" t="s">
        <v>2407</v>
      </c>
      <c r="G260" s="160"/>
      <c r="H260" s="160"/>
      <c r="I260" s="160"/>
      <c r="J260" s="160"/>
      <c r="K260" s="160"/>
      <c r="L260" s="26"/>
      <c r="M260" s="134"/>
      <c r="T260" s="50"/>
      <c r="AT260" s="14" t="s">
        <v>145</v>
      </c>
      <c r="AU260" s="14" t="s">
        <v>19</v>
      </c>
    </row>
    <row r="261" spans="2:65" s="11" customFormat="1">
      <c r="B261" s="136"/>
      <c r="C261" s="164"/>
      <c r="D261" s="161" t="s">
        <v>147</v>
      </c>
      <c r="E261" s="165" t="s">
        <v>2408</v>
      </c>
      <c r="F261" s="166" t="s">
        <v>2409</v>
      </c>
      <c r="G261" s="164"/>
      <c r="H261" s="167">
        <v>31.16</v>
      </c>
      <c r="I261" s="164"/>
      <c r="J261" s="164"/>
      <c r="K261" s="164"/>
      <c r="L261" s="136"/>
      <c r="M261" s="140"/>
      <c r="T261" s="141"/>
      <c r="AT261" s="137" t="s">
        <v>147</v>
      </c>
      <c r="AU261" s="137" t="s">
        <v>19</v>
      </c>
      <c r="AV261" s="11" t="s">
        <v>149</v>
      </c>
      <c r="AW261" s="11" t="s">
        <v>39</v>
      </c>
      <c r="AX261" s="11" t="s">
        <v>81</v>
      </c>
      <c r="AY261" s="137" t="s">
        <v>136</v>
      </c>
    </row>
    <row r="262" spans="2:65" s="11" customFormat="1">
      <c r="B262" s="136"/>
      <c r="C262" s="164"/>
      <c r="D262" s="161" t="s">
        <v>147</v>
      </c>
      <c r="E262" s="165" t="s">
        <v>2410</v>
      </c>
      <c r="F262" s="166" t="s">
        <v>2411</v>
      </c>
      <c r="G262" s="164"/>
      <c r="H262" s="167">
        <v>28.559999999999995</v>
      </c>
      <c r="I262" s="164"/>
      <c r="J262" s="164"/>
      <c r="K262" s="164"/>
      <c r="L262" s="136"/>
      <c r="M262" s="140"/>
      <c r="T262" s="141"/>
      <c r="AT262" s="137" t="s">
        <v>147</v>
      </c>
      <c r="AU262" s="137" t="s">
        <v>19</v>
      </c>
      <c r="AV262" s="11" t="s">
        <v>149</v>
      </c>
      <c r="AW262" s="11" t="s">
        <v>39</v>
      </c>
      <c r="AX262" s="11" t="s">
        <v>81</v>
      </c>
      <c r="AY262" s="137" t="s">
        <v>136</v>
      </c>
    </row>
    <row r="263" spans="2:65" s="11" customFormat="1">
      <c r="B263" s="136"/>
      <c r="C263" s="164"/>
      <c r="D263" s="161" t="s">
        <v>147</v>
      </c>
      <c r="E263" s="165" t="s">
        <v>2412</v>
      </c>
      <c r="F263" s="166" t="s">
        <v>2413</v>
      </c>
      <c r="G263" s="164"/>
      <c r="H263" s="167">
        <v>31.16</v>
      </c>
      <c r="I263" s="164"/>
      <c r="J263" s="164"/>
      <c r="K263" s="164"/>
      <c r="L263" s="136"/>
      <c r="M263" s="140"/>
      <c r="T263" s="141"/>
      <c r="AT263" s="137" t="s">
        <v>147</v>
      </c>
      <c r="AU263" s="137" t="s">
        <v>19</v>
      </c>
      <c r="AV263" s="11" t="s">
        <v>149</v>
      </c>
      <c r="AW263" s="11" t="s">
        <v>39</v>
      </c>
      <c r="AX263" s="11" t="s">
        <v>81</v>
      </c>
      <c r="AY263" s="137" t="s">
        <v>136</v>
      </c>
    </row>
    <row r="264" spans="2:65" s="11" customFormat="1">
      <c r="B264" s="136"/>
      <c r="C264" s="164"/>
      <c r="D264" s="161" t="s">
        <v>147</v>
      </c>
      <c r="E264" s="165" t="s">
        <v>2414</v>
      </c>
      <c r="F264" s="166" t="s">
        <v>2415</v>
      </c>
      <c r="G264" s="164"/>
      <c r="H264" s="167">
        <v>28.559999999999995</v>
      </c>
      <c r="I264" s="164"/>
      <c r="J264" s="164"/>
      <c r="K264" s="164"/>
      <c r="L264" s="136"/>
      <c r="M264" s="140"/>
      <c r="T264" s="141"/>
      <c r="AT264" s="137" t="s">
        <v>147</v>
      </c>
      <c r="AU264" s="137" t="s">
        <v>19</v>
      </c>
      <c r="AV264" s="11" t="s">
        <v>149</v>
      </c>
      <c r="AW264" s="11" t="s">
        <v>39</v>
      </c>
      <c r="AX264" s="11" t="s">
        <v>81</v>
      </c>
      <c r="AY264" s="137" t="s">
        <v>136</v>
      </c>
    </row>
    <row r="265" spans="2:65" s="11" customFormat="1">
      <c r="B265" s="136"/>
      <c r="C265" s="164"/>
      <c r="D265" s="161" t="s">
        <v>147</v>
      </c>
      <c r="E265" s="165" t="s">
        <v>1</v>
      </c>
      <c r="F265" s="166" t="s">
        <v>2416</v>
      </c>
      <c r="G265" s="164"/>
      <c r="H265" s="167">
        <v>119.44</v>
      </c>
      <c r="I265" s="164"/>
      <c r="J265" s="164"/>
      <c r="K265" s="164"/>
      <c r="L265" s="136"/>
      <c r="M265" s="140"/>
      <c r="T265" s="141"/>
      <c r="AT265" s="137" t="s">
        <v>147</v>
      </c>
      <c r="AU265" s="137" t="s">
        <v>19</v>
      </c>
      <c r="AV265" s="11" t="s">
        <v>149</v>
      </c>
      <c r="AW265" s="11" t="s">
        <v>39</v>
      </c>
      <c r="AX265" s="11" t="s">
        <v>19</v>
      </c>
      <c r="AY265" s="137" t="s">
        <v>136</v>
      </c>
    </row>
    <row r="266" spans="2:65" s="1" customFormat="1" ht="16.5" customHeight="1">
      <c r="B266" s="119"/>
      <c r="C266" s="154" t="s">
        <v>758</v>
      </c>
      <c r="D266" s="154" t="s">
        <v>137</v>
      </c>
      <c r="E266" s="155" t="s">
        <v>2417</v>
      </c>
      <c r="F266" s="156" t="s">
        <v>2418</v>
      </c>
      <c r="G266" s="157" t="s">
        <v>260</v>
      </c>
      <c r="H266" s="158">
        <v>35.28</v>
      </c>
      <c r="I266" s="159">
        <v>0</v>
      </c>
      <c r="J266" s="159">
        <f>ROUND(I266*H266,2)</f>
        <v>0</v>
      </c>
      <c r="K266" s="156" t="s">
        <v>141</v>
      </c>
      <c r="L266" s="26"/>
      <c r="M266" s="126" t="s">
        <v>1</v>
      </c>
      <c r="N266" s="127" t="s">
        <v>46</v>
      </c>
      <c r="O266" s="128">
        <v>0</v>
      </c>
      <c r="P266" s="128">
        <f>O266*H266</f>
        <v>0</v>
      </c>
      <c r="Q266" s="128">
        <v>0</v>
      </c>
      <c r="R266" s="128">
        <f>Q266*H266</f>
        <v>0</v>
      </c>
      <c r="S266" s="128">
        <v>0</v>
      </c>
      <c r="T266" s="129">
        <f>S266*H266</f>
        <v>0</v>
      </c>
      <c r="AR266" s="130" t="s">
        <v>135</v>
      </c>
      <c r="AT266" s="130" t="s">
        <v>137</v>
      </c>
      <c r="AU266" s="130" t="s">
        <v>19</v>
      </c>
      <c r="AY266" s="14" t="s">
        <v>136</v>
      </c>
      <c r="BE266" s="131">
        <f>IF(N266="základní",J266,0)</f>
        <v>0</v>
      </c>
      <c r="BF266" s="131">
        <f>IF(N266="snížená",J266,0)</f>
        <v>0</v>
      </c>
      <c r="BG266" s="131">
        <f>IF(N266="zákl. přenesená",J266,0)</f>
        <v>0</v>
      </c>
      <c r="BH266" s="131">
        <f>IF(N266="sníž. přenesená",J266,0)</f>
        <v>0</v>
      </c>
      <c r="BI266" s="131">
        <f>IF(N266="nulová",J266,0)</f>
        <v>0</v>
      </c>
      <c r="BJ266" s="14" t="s">
        <v>19</v>
      </c>
      <c r="BK266" s="131">
        <f>ROUND(I266*H266,2)</f>
        <v>0</v>
      </c>
      <c r="BL266" s="14" t="s">
        <v>135</v>
      </c>
      <c r="BM266" s="130" t="s">
        <v>2419</v>
      </c>
    </row>
    <row r="267" spans="2:65" s="1" customFormat="1">
      <c r="B267" s="26"/>
      <c r="C267" s="160"/>
      <c r="D267" s="161" t="s">
        <v>143</v>
      </c>
      <c r="E267" s="160"/>
      <c r="F267" s="162" t="s">
        <v>2418</v>
      </c>
      <c r="G267" s="160"/>
      <c r="H267" s="160"/>
      <c r="I267" s="160"/>
      <c r="J267" s="160"/>
      <c r="K267" s="160"/>
      <c r="L267" s="26"/>
      <c r="M267" s="134"/>
      <c r="T267" s="50"/>
      <c r="AT267" s="14" t="s">
        <v>143</v>
      </c>
      <c r="AU267" s="14" t="s">
        <v>19</v>
      </c>
    </row>
    <row r="268" spans="2:65" s="1" customFormat="1" ht="57.6">
      <c r="B268" s="26"/>
      <c r="C268" s="160"/>
      <c r="D268" s="161" t="s">
        <v>145</v>
      </c>
      <c r="E268" s="160"/>
      <c r="F268" s="163" t="s">
        <v>2407</v>
      </c>
      <c r="G268" s="160"/>
      <c r="H268" s="160"/>
      <c r="I268" s="160"/>
      <c r="J268" s="160"/>
      <c r="K268" s="160"/>
      <c r="L268" s="26"/>
      <c r="M268" s="134"/>
      <c r="T268" s="50"/>
      <c r="AT268" s="14" t="s">
        <v>145</v>
      </c>
      <c r="AU268" s="14" t="s">
        <v>19</v>
      </c>
    </row>
    <row r="269" spans="2:65" s="11" customFormat="1">
      <c r="B269" s="136"/>
      <c r="C269" s="164"/>
      <c r="D269" s="161" t="s">
        <v>147</v>
      </c>
      <c r="E269" s="165" t="s">
        <v>2420</v>
      </c>
      <c r="F269" s="166" t="s">
        <v>2421</v>
      </c>
      <c r="G269" s="164"/>
      <c r="H269" s="167">
        <v>10.83</v>
      </c>
      <c r="I269" s="164"/>
      <c r="J269" s="164"/>
      <c r="K269" s="164"/>
      <c r="L269" s="136"/>
      <c r="M269" s="140"/>
      <c r="T269" s="141"/>
      <c r="AT269" s="137" t="s">
        <v>147</v>
      </c>
      <c r="AU269" s="137" t="s">
        <v>19</v>
      </c>
      <c r="AV269" s="11" t="s">
        <v>149</v>
      </c>
      <c r="AW269" s="11" t="s">
        <v>39</v>
      </c>
      <c r="AX269" s="11" t="s">
        <v>81</v>
      </c>
      <c r="AY269" s="137" t="s">
        <v>136</v>
      </c>
    </row>
    <row r="270" spans="2:65" s="11" customFormat="1">
      <c r="B270" s="136"/>
      <c r="C270" s="164"/>
      <c r="D270" s="161" t="s">
        <v>147</v>
      </c>
      <c r="E270" s="165" t="s">
        <v>2422</v>
      </c>
      <c r="F270" s="166" t="s">
        <v>2423</v>
      </c>
      <c r="G270" s="164"/>
      <c r="H270" s="167">
        <v>6.81</v>
      </c>
      <c r="I270" s="164"/>
      <c r="J270" s="164"/>
      <c r="K270" s="164"/>
      <c r="L270" s="136"/>
      <c r="M270" s="140"/>
      <c r="T270" s="141"/>
      <c r="AT270" s="137" t="s">
        <v>147</v>
      </c>
      <c r="AU270" s="137" t="s">
        <v>19</v>
      </c>
      <c r="AV270" s="11" t="s">
        <v>149</v>
      </c>
      <c r="AW270" s="11" t="s">
        <v>39</v>
      </c>
      <c r="AX270" s="11" t="s">
        <v>81</v>
      </c>
      <c r="AY270" s="137" t="s">
        <v>136</v>
      </c>
    </row>
    <row r="271" spans="2:65" s="11" customFormat="1">
      <c r="B271" s="136"/>
      <c r="C271" s="164"/>
      <c r="D271" s="161" t="s">
        <v>147</v>
      </c>
      <c r="E271" s="165" t="s">
        <v>2424</v>
      </c>
      <c r="F271" s="166" t="s">
        <v>2425</v>
      </c>
      <c r="G271" s="164"/>
      <c r="H271" s="167">
        <v>6.81</v>
      </c>
      <c r="I271" s="164"/>
      <c r="J271" s="164"/>
      <c r="K271" s="164"/>
      <c r="L271" s="136"/>
      <c r="M271" s="140"/>
      <c r="T271" s="141"/>
      <c r="AT271" s="137" t="s">
        <v>147</v>
      </c>
      <c r="AU271" s="137" t="s">
        <v>19</v>
      </c>
      <c r="AV271" s="11" t="s">
        <v>149</v>
      </c>
      <c r="AW271" s="11" t="s">
        <v>39</v>
      </c>
      <c r="AX271" s="11" t="s">
        <v>81</v>
      </c>
      <c r="AY271" s="137" t="s">
        <v>136</v>
      </c>
    </row>
    <row r="272" spans="2:65" s="11" customFormat="1">
      <c r="B272" s="136"/>
      <c r="C272" s="164"/>
      <c r="D272" s="161" t="s">
        <v>147</v>
      </c>
      <c r="E272" s="165" t="s">
        <v>2426</v>
      </c>
      <c r="F272" s="166" t="s">
        <v>2427</v>
      </c>
      <c r="G272" s="164"/>
      <c r="H272" s="167">
        <v>10.83</v>
      </c>
      <c r="I272" s="164"/>
      <c r="J272" s="164"/>
      <c r="K272" s="164"/>
      <c r="L272" s="136"/>
      <c r="M272" s="140"/>
      <c r="T272" s="141"/>
      <c r="AT272" s="137" t="s">
        <v>147</v>
      </c>
      <c r="AU272" s="137" t="s">
        <v>19</v>
      </c>
      <c r="AV272" s="11" t="s">
        <v>149</v>
      </c>
      <c r="AW272" s="11" t="s">
        <v>39</v>
      </c>
      <c r="AX272" s="11" t="s">
        <v>81</v>
      </c>
      <c r="AY272" s="137" t="s">
        <v>136</v>
      </c>
    </row>
    <row r="273" spans="2:65" s="11" customFormat="1">
      <c r="B273" s="136"/>
      <c r="C273" s="164"/>
      <c r="D273" s="161" t="s">
        <v>147</v>
      </c>
      <c r="E273" s="165" t="s">
        <v>1</v>
      </c>
      <c r="F273" s="166" t="s">
        <v>2428</v>
      </c>
      <c r="G273" s="164"/>
      <c r="H273" s="167">
        <v>35.28</v>
      </c>
      <c r="I273" s="164"/>
      <c r="J273" s="164"/>
      <c r="K273" s="164"/>
      <c r="L273" s="136"/>
      <c r="M273" s="140"/>
      <c r="T273" s="141"/>
      <c r="AT273" s="137" t="s">
        <v>147</v>
      </c>
      <c r="AU273" s="137" t="s">
        <v>19</v>
      </c>
      <c r="AV273" s="11" t="s">
        <v>149</v>
      </c>
      <c r="AW273" s="11" t="s">
        <v>39</v>
      </c>
      <c r="AX273" s="11" t="s">
        <v>19</v>
      </c>
      <c r="AY273" s="137" t="s">
        <v>136</v>
      </c>
    </row>
    <row r="274" spans="2:65" s="1" customFormat="1" ht="16.5" customHeight="1">
      <c r="B274" s="119"/>
      <c r="C274" s="154" t="s">
        <v>769</v>
      </c>
      <c r="D274" s="154" t="s">
        <v>137</v>
      </c>
      <c r="E274" s="155" t="s">
        <v>2429</v>
      </c>
      <c r="F274" s="156" t="s">
        <v>2430</v>
      </c>
      <c r="G274" s="157" t="s">
        <v>260</v>
      </c>
      <c r="H274" s="158">
        <v>409.41</v>
      </c>
      <c r="I274" s="159">
        <v>0</v>
      </c>
      <c r="J274" s="159">
        <f>ROUND(I274*H274,2)</f>
        <v>0</v>
      </c>
      <c r="K274" s="156" t="s">
        <v>141</v>
      </c>
      <c r="L274" s="26"/>
      <c r="M274" s="126" t="s">
        <v>1</v>
      </c>
      <c r="N274" s="127" t="s">
        <v>46</v>
      </c>
      <c r="O274" s="128">
        <v>0</v>
      </c>
      <c r="P274" s="128">
        <f>O274*H274</f>
        <v>0</v>
      </c>
      <c r="Q274" s="128">
        <v>0</v>
      </c>
      <c r="R274" s="128">
        <f>Q274*H274</f>
        <v>0</v>
      </c>
      <c r="S274" s="128">
        <v>0</v>
      </c>
      <c r="T274" s="129">
        <f>S274*H274</f>
        <v>0</v>
      </c>
      <c r="AR274" s="130" t="s">
        <v>135</v>
      </c>
      <c r="AT274" s="130" t="s">
        <v>137</v>
      </c>
      <c r="AU274" s="130" t="s">
        <v>19</v>
      </c>
      <c r="AY274" s="14" t="s">
        <v>136</v>
      </c>
      <c r="BE274" s="131">
        <f>IF(N274="základní",J274,0)</f>
        <v>0</v>
      </c>
      <c r="BF274" s="131">
        <f>IF(N274="snížená",J274,0)</f>
        <v>0</v>
      </c>
      <c r="BG274" s="131">
        <f>IF(N274="zákl. přenesená",J274,0)</f>
        <v>0</v>
      </c>
      <c r="BH274" s="131">
        <f>IF(N274="sníž. přenesená",J274,0)</f>
        <v>0</v>
      </c>
      <c r="BI274" s="131">
        <f>IF(N274="nulová",J274,0)</f>
        <v>0</v>
      </c>
      <c r="BJ274" s="14" t="s">
        <v>19</v>
      </c>
      <c r="BK274" s="131">
        <f>ROUND(I274*H274,2)</f>
        <v>0</v>
      </c>
      <c r="BL274" s="14" t="s">
        <v>135</v>
      </c>
      <c r="BM274" s="130" t="s">
        <v>2431</v>
      </c>
    </row>
    <row r="275" spans="2:65" s="1" customFormat="1" ht="19.2">
      <c r="B275" s="26"/>
      <c r="C275" s="160"/>
      <c r="D275" s="161" t="s">
        <v>143</v>
      </c>
      <c r="E275" s="160"/>
      <c r="F275" s="162" t="s">
        <v>2432</v>
      </c>
      <c r="G275" s="160"/>
      <c r="H275" s="160"/>
      <c r="I275" s="160"/>
      <c r="J275" s="160"/>
      <c r="K275" s="160"/>
      <c r="L275" s="26"/>
      <c r="M275" s="134"/>
      <c r="T275" s="50"/>
      <c r="AT275" s="14" t="s">
        <v>143</v>
      </c>
      <c r="AU275" s="14" t="s">
        <v>19</v>
      </c>
    </row>
    <row r="276" spans="2:65" s="1" customFormat="1" ht="57.6">
      <c r="B276" s="26"/>
      <c r="C276" s="160"/>
      <c r="D276" s="161" t="s">
        <v>145</v>
      </c>
      <c r="E276" s="160"/>
      <c r="F276" s="163" t="s">
        <v>2407</v>
      </c>
      <c r="G276" s="160"/>
      <c r="H276" s="160"/>
      <c r="I276" s="160"/>
      <c r="J276" s="160"/>
      <c r="K276" s="160"/>
      <c r="L276" s="26"/>
      <c r="M276" s="134"/>
      <c r="T276" s="50"/>
      <c r="AT276" s="14" t="s">
        <v>145</v>
      </c>
      <c r="AU276" s="14" t="s">
        <v>19</v>
      </c>
    </row>
    <row r="277" spans="2:65" s="11" customFormat="1">
      <c r="B277" s="136"/>
      <c r="C277" s="164"/>
      <c r="D277" s="161" t="s">
        <v>147</v>
      </c>
      <c r="E277" s="165" t="s">
        <v>2433</v>
      </c>
      <c r="F277" s="166" t="s">
        <v>2434</v>
      </c>
      <c r="G277" s="164"/>
      <c r="H277" s="167">
        <v>74.969999999999985</v>
      </c>
      <c r="I277" s="164"/>
      <c r="J277" s="164"/>
      <c r="K277" s="164"/>
      <c r="L277" s="136"/>
      <c r="M277" s="140"/>
      <c r="T277" s="141"/>
      <c r="AT277" s="137" t="s">
        <v>147</v>
      </c>
      <c r="AU277" s="137" t="s">
        <v>19</v>
      </c>
      <c r="AV277" s="11" t="s">
        <v>149</v>
      </c>
      <c r="AW277" s="11" t="s">
        <v>39</v>
      </c>
      <c r="AX277" s="11" t="s">
        <v>81</v>
      </c>
      <c r="AY277" s="137" t="s">
        <v>136</v>
      </c>
    </row>
    <row r="278" spans="2:65" s="11" customFormat="1">
      <c r="B278" s="136"/>
      <c r="C278" s="164"/>
      <c r="D278" s="161" t="s">
        <v>147</v>
      </c>
      <c r="E278" s="165" t="s">
        <v>2435</v>
      </c>
      <c r="F278" s="166" t="s">
        <v>2320</v>
      </c>
      <c r="G278" s="164"/>
      <c r="H278" s="167">
        <v>28</v>
      </c>
      <c r="I278" s="164"/>
      <c r="J278" s="164"/>
      <c r="K278" s="164"/>
      <c r="L278" s="136"/>
      <c r="M278" s="140"/>
      <c r="T278" s="141"/>
      <c r="AT278" s="137" t="s">
        <v>147</v>
      </c>
      <c r="AU278" s="137" t="s">
        <v>19</v>
      </c>
      <c r="AV278" s="11" t="s">
        <v>149</v>
      </c>
      <c r="AW278" s="11" t="s">
        <v>39</v>
      </c>
      <c r="AX278" s="11" t="s">
        <v>81</v>
      </c>
      <c r="AY278" s="137" t="s">
        <v>136</v>
      </c>
    </row>
    <row r="279" spans="2:65" s="11" customFormat="1">
      <c r="B279" s="136"/>
      <c r="C279" s="164"/>
      <c r="D279" s="161" t="s">
        <v>147</v>
      </c>
      <c r="E279" s="165" t="s">
        <v>2436</v>
      </c>
      <c r="F279" s="166" t="s">
        <v>2437</v>
      </c>
      <c r="G279" s="164"/>
      <c r="H279" s="167">
        <v>72.03</v>
      </c>
      <c r="I279" s="164"/>
      <c r="J279" s="164"/>
      <c r="K279" s="164"/>
      <c r="L279" s="136"/>
      <c r="M279" s="140"/>
      <c r="T279" s="141"/>
      <c r="AT279" s="137" t="s">
        <v>147</v>
      </c>
      <c r="AU279" s="137" t="s">
        <v>19</v>
      </c>
      <c r="AV279" s="11" t="s">
        <v>149</v>
      </c>
      <c r="AW279" s="11" t="s">
        <v>39</v>
      </c>
      <c r="AX279" s="11" t="s">
        <v>81</v>
      </c>
      <c r="AY279" s="137" t="s">
        <v>136</v>
      </c>
    </row>
    <row r="280" spans="2:65" s="11" customFormat="1">
      <c r="B280" s="136"/>
      <c r="C280" s="164"/>
      <c r="D280" s="161" t="s">
        <v>147</v>
      </c>
      <c r="E280" s="165" t="s">
        <v>2438</v>
      </c>
      <c r="F280" s="166" t="s">
        <v>2324</v>
      </c>
      <c r="G280" s="164"/>
      <c r="H280" s="167">
        <v>25</v>
      </c>
      <c r="I280" s="164"/>
      <c r="J280" s="164"/>
      <c r="K280" s="164"/>
      <c r="L280" s="136"/>
      <c r="M280" s="140"/>
      <c r="T280" s="141"/>
      <c r="AT280" s="137" t="s">
        <v>147</v>
      </c>
      <c r="AU280" s="137" t="s">
        <v>19</v>
      </c>
      <c r="AV280" s="11" t="s">
        <v>149</v>
      </c>
      <c r="AW280" s="11" t="s">
        <v>39</v>
      </c>
      <c r="AX280" s="11" t="s">
        <v>81</v>
      </c>
      <c r="AY280" s="137" t="s">
        <v>136</v>
      </c>
    </row>
    <row r="281" spans="2:65" s="11" customFormat="1">
      <c r="B281" s="136"/>
      <c r="C281" s="164"/>
      <c r="D281" s="161" t="s">
        <v>147</v>
      </c>
      <c r="E281" s="165" t="s">
        <v>2439</v>
      </c>
      <c r="F281" s="166" t="s">
        <v>2440</v>
      </c>
      <c r="G281" s="164"/>
      <c r="H281" s="167">
        <v>77.91</v>
      </c>
      <c r="I281" s="164"/>
      <c r="J281" s="164"/>
      <c r="K281" s="164"/>
      <c r="L281" s="136"/>
      <c r="M281" s="140"/>
      <c r="T281" s="141"/>
      <c r="AT281" s="137" t="s">
        <v>147</v>
      </c>
      <c r="AU281" s="137" t="s">
        <v>19</v>
      </c>
      <c r="AV281" s="11" t="s">
        <v>149</v>
      </c>
      <c r="AW281" s="11" t="s">
        <v>39</v>
      </c>
      <c r="AX281" s="11" t="s">
        <v>81</v>
      </c>
      <c r="AY281" s="137" t="s">
        <v>136</v>
      </c>
    </row>
    <row r="282" spans="2:65" s="11" customFormat="1">
      <c r="B282" s="136"/>
      <c r="C282" s="164"/>
      <c r="D282" s="161" t="s">
        <v>147</v>
      </c>
      <c r="E282" s="165" t="s">
        <v>2441</v>
      </c>
      <c r="F282" s="166" t="s">
        <v>2328</v>
      </c>
      <c r="G282" s="164"/>
      <c r="H282" s="167">
        <v>32</v>
      </c>
      <c r="I282" s="164"/>
      <c r="J282" s="164"/>
      <c r="K282" s="164"/>
      <c r="L282" s="136"/>
      <c r="M282" s="140"/>
      <c r="T282" s="141"/>
      <c r="AT282" s="137" t="s">
        <v>147</v>
      </c>
      <c r="AU282" s="137" t="s">
        <v>19</v>
      </c>
      <c r="AV282" s="11" t="s">
        <v>149</v>
      </c>
      <c r="AW282" s="11" t="s">
        <v>39</v>
      </c>
      <c r="AX282" s="11" t="s">
        <v>81</v>
      </c>
      <c r="AY282" s="137" t="s">
        <v>136</v>
      </c>
    </row>
    <row r="283" spans="2:65" s="11" customFormat="1">
      <c r="B283" s="136"/>
      <c r="C283" s="164"/>
      <c r="D283" s="161" t="s">
        <v>147</v>
      </c>
      <c r="E283" s="165" t="s">
        <v>2442</v>
      </c>
      <c r="F283" s="166" t="s">
        <v>2443</v>
      </c>
      <c r="G283" s="164"/>
      <c r="H283" s="167">
        <v>73.5</v>
      </c>
      <c r="I283" s="164"/>
      <c r="J283" s="164"/>
      <c r="K283" s="164"/>
      <c r="L283" s="136"/>
      <c r="M283" s="140"/>
      <c r="T283" s="141"/>
      <c r="AT283" s="137" t="s">
        <v>147</v>
      </c>
      <c r="AU283" s="137" t="s">
        <v>19</v>
      </c>
      <c r="AV283" s="11" t="s">
        <v>149</v>
      </c>
      <c r="AW283" s="11" t="s">
        <v>39</v>
      </c>
      <c r="AX283" s="11" t="s">
        <v>81</v>
      </c>
      <c r="AY283" s="137" t="s">
        <v>136</v>
      </c>
    </row>
    <row r="284" spans="2:65" s="11" customFormat="1">
      <c r="B284" s="136"/>
      <c r="C284" s="164"/>
      <c r="D284" s="161" t="s">
        <v>147</v>
      </c>
      <c r="E284" s="165" t="s">
        <v>2444</v>
      </c>
      <c r="F284" s="166" t="s">
        <v>2332</v>
      </c>
      <c r="G284" s="164"/>
      <c r="H284" s="167">
        <v>26</v>
      </c>
      <c r="I284" s="164"/>
      <c r="J284" s="164"/>
      <c r="K284" s="164"/>
      <c r="L284" s="136"/>
      <c r="M284" s="140"/>
      <c r="T284" s="141"/>
      <c r="AT284" s="137" t="s">
        <v>147</v>
      </c>
      <c r="AU284" s="137" t="s">
        <v>19</v>
      </c>
      <c r="AV284" s="11" t="s">
        <v>149</v>
      </c>
      <c r="AW284" s="11" t="s">
        <v>39</v>
      </c>
      <c r="AX284" s="11" t="s">
        <v>81</v>
      </c>
      <c r="AY284" s="137" t="s">
        <v>136</v>
      </c>
    </row>
    <row r="285" spans="2:65" s="11" customFormat="1">
      <c r="B285" s="136"/>
      <c r="C285" s="164"/>
      <c r="D285" s="161" t="s">
        <v>147</v>
      </c>
      <c r="E285" s="165" t="s">
        <v>1</v>
      </c>
      <c r="F285" s="166" t="s">
        <v>2445</v>
      </c>
      <c r="G285" s="164"/>
      <c r="H285" s="167">
        <v>409.41</v>
      </c>
      <c r="I285" s="164"/>
      <c r="J285" s="164"/>
      <c r="K285" s="164"/>
      <c r="L285" s="136"/>
      <c r="M285" s="140"/>
      <c r="T285" s="141"/>
      <c r="AT285" s="137" t="s">
        <v>147</v>
      </c>
      <c r="AU285" s="137" t="s">
        <v>19</v>
      </c>
      <c r="AV285" s="11" t="s">
        <v>149</v>
      </c>
      <c r="AW285" s="11" t="s">
        <v>39</v>
      </c>
      <c r="AX285" s="11" t="s">
        <v>19</v>
      </c>
      <c r="AY285" s="137" t="s">
        <v>136</v>
      </c>
    </row>
    <row r="286" spans="2:65" s="10" customFormat="1" ht="25.95" customHeight="1">
      <c r="B286" s="110"/>
      <c r="D286" s="111" t="s">
        <v>80</v>
      </c>
      <c r="E286" s="112" t="s">
        <v>189</v>
      </c>
      <c r="F286" s="112" t="s">
        <v>683</v>
      </c>
      <c r="J286" s="113" t="e">
        <f>BK286</f>
        <v>#REF!</v>
      </c>
      <c r="L286" s="110"/>
      <c r="M286" s="114"/>
      <c r="P286" s="115" t="e">
        <f>SUM(#REF!)</f>
        <v>#REF!</v>
      </c>
      <c r="R286" s="115" t="e">
        <f>SUM(#REF!)</f>
        <v>#REF!</v>
      </c>
      <c r="T286" s="116" t="e">
        <f>SUM(#REF!)</f>
        <v>#REF!</v>
      </c>
      <c r="AR286" s="111" t="s">
        <v>135</v>
      </c>
      <c r="AT286" s="117" t="s">
        <v>80</v>
      </c>
      <c r="AU286" s="117" t="s">
        <v>81</v>
      </c>
      <c r="AY286" s="111" t="s">
        <v>136</v>
      </c>
      <c r="BK286" s="118" t="e">
        <f>SUM(#REF!)</f>
        <v>#REF!</v>
      </c>
    </row>
    <row r="287" spans="2:65" s="10" customFormat="1" ht="25.95" customHeight="1">
      <c r="B287" s="110"/>
      <c r="D287" s="111" t="s">
        <v>80</v>
      </c>
      <c r="E287" s="112" t="s">
        <v>197</v>
      </c>
      <c r="F287" s="112" t="s">
        <v>698</v>
      </c>
      <c r="J287" s="113">
        <f>BK287</f>
        <v>0</v>
      </c>
      <c r="L287" s="110"/>
      <c r="M287" s="114"/>
      <c r="P287" s="115">
        <f>SUM(P288:P359)</f>
        <v>0</v>
      </c>
      <c r="R287" s="115">
        <f>SUM(R288:R359)</f>
        <v>0</v>
      </c>
      <c r="T287" s="116">
        <f>SUM(T288:T359)</f>
        <v>0</v>
      </c>
      <c r="AR287" s="111" t="s">
        <v>135</v>
      </c>
      <c r="AT287" s="117" t="s">
        <v>80</v>
      </c>
      <c r="AU287" s="117" t="s">
        <v>81</v>
      </c>
      <c r="AY287" s="111" t="s">
        <v>136</v>
      </c>
      <c r="BK287" s="118">
        <f>SUM(BK288:BK359)</f>
        <v>0</v>
      </c>
    </row>
    <row r="288" spans="2:65" s="1" customFormat="1" ht="16.5" customHeight="1">
      <c r="B288" s="119"/>
      <c r="C288" s="154" t="s">
        <v>871</v>
      </c>
      <c r="D288" s="154" t="s">
        <v>137</v>
      </c>
      <c r="E288" s="155" t="s">
        <v>2446</v>
      </c>
      <c r="F288" s="156" t="s">
        <v>2447</v>
      </c>
      <c r="G288" s="157" t="s">
        <v>152</v>
      </c>
      <c r="H288" s="158">
        <v>28</v>
      </c>
      <c r="I288" s="159">
        <v>0</v>
      </c>
      <c r="J288" s="159">
        <f>ROUND(I288*H288,2)</f>
        <v>0</v>
      </c>
      <c r="K288" s="156" t="s">
        <v>141</v>
      </c>
      <c r="L288" s="26"/>
      <c r="M288" s="126" t="s">
        <v>1</v>
      </c>
      <c r="N288" s="127" t="s">
        <v>46</v>
      </c>
      <c r="O288" s="128">
        <v>0</v>
      </c>
      <c r="P288" s="128">
        <f>O288*H288</f>
        <v>0</v>
      </c>
      <c r="Q288" s="128">
        <v>0</v>
      </c>
      <c r="R288" s="128">
        <f>Q288*H288</f>
        <v>0</v>
      </c>
      <c r="S288" s="128">
        <v>0</v>
      </c>
      <c r="T288" s="129">
        <f>S288*H288</f>
        <v>0</v>
      </c>
      <c r="AR288" s="130" t="s">
        <v>135</v>
      </c>
      <c r="AT288" s="130" t="s">
        <v>137</v>
      </c>
      <c r="AU288" s="130" t="s">
        <v>19</v>
      </c>
      <c r="AY288" s="14" t="s">
        <v>136</v>
      </c>
      <c r="BE288" s="131">
        <f>IF(N288="základní",J288,0)</f>
        <v>0</v>
      </c>
      <c r="BF288" s="131">
        <f>IF(N288="snížená",J288,0)</f>
        <v>0</v>
      </c>
      <c r="BG288" s="131">
        <f>IF(N288="zákl. přenesená",J288,0)</f>
        <v>0</v>
      </c>
      <c r="BH288" s="131">
        <f>IF(N288="sníž. přenesená",J288,0)</f>
        <v>0</v>
      </c>
      <c r="BI288" s="131">
        <f>IF(N288="nulová",J288,0)</f>
        <v>0</v>
      </c>
      <c r="BJ288" s="14" t="s">
        <v>19</v>
      </c>
      <c r="BK288" s="131">
        <f>ROUND(I288*H288,2)</f>
        <v>0</v>
      </c>
      <c r="BL288" s="14" t="s">
        <v>135</v>
      </c>
      <c r="BM288" s="130" t="s">
        <v>2448</v>
      </c>
    </row>
    <row r="289" spans="2:65" s="1" customFormat="1">
      <c r="B289" s="26"/>
      <c r="C289" s="160"/>
      <c r="D289" s="161" t="s">
        <v>143</v>
      </c>
      <c r="E289" s="160"/>
      <c r="F289" s="162" t="s">
        <v>2447</v>
      </c>
      <c r="G289" s="160"/>
      <c r="H289" s="160"/>
      <c r="I289" s="160"/>
      <c r="J289" s="160"/>
      <c r="K289" s="160"/>
      <c r="L289" s="26"/>
      <c r="M289" s="134"/>
      <c r="T289" s="50"/>
      <c r="AT289" s="14" t="s">
        <v>143</v>
      </c>
      <c r="AU289" s="14" t="s">
        <v>19</v>
      </c>
    </row>
    <row r="290" spans="2:65" s="1" customFormat="1" ht="38.4">
      <c r="B290" s="26"/>
      <c r="C290" s="160"/>
      <c r="D290" s="161" t="s">
        <v>145</v>
      </c>
      <c r="E290" s="160"/>
      <c r="F290" s="163" t="s">
        <v>2449</v>
      </c>
      <c r="G290" s="160"/>
      <c r="H290" s="160"/>
      <c r="I290" s="160"/>
      <c r="J290" s="160"/>
      <c r="K290" s="160"/>
      <c r="L290" s="26"/>
      <c r="M290" s="134"/>
      <c r="T290" s="50"/>
      <c r="AT290" s="14" t="s">
        <v>145</v>
      </c>
      <c r="AU290" s="14" t="s">
        <v>19</v>
      </c>
    </row>
    <row r="291" spans="2:65" s="11" customFormat="1">
      <c r="B291" s="136"/>
      <c r="C291" s="164"/>
      <c r="D291" s="161" t="s">
        <v>147</v>
      </c>
      <c r="E291" s="165" t="s">
        <v>2450</v>
      </c>
      <c r="F291" s="166" t="s">
        <v>2451</v>
      </c>
      <c r="G291" s="164"/>
      <c r="H291" s="167">
        <v>8</v>
      </c>
      <c r="I291" s="164"/>
      <c r="J291" s="164"/>
      <c r="K291" s="164"/>
      <c r="L291" s="136"/>
      <c r="M291" s="140"/>
      <c r="T291" s="141"/>
      <c r="AT291" s="137" t="s">
        <v>147</v>
      </c>
      <c r="AU291" s="137" t="s">
        <v>19</v>
      </c>
      <c r="AV291" s="11" t="s">
        <v>149</v>
      </c>
      <c r="AW291" s="11" t="s">
        <v>39</v>
      </c>
      <c r="AX291" s="11" t="s">
        <v>81</v>
      </c>
      <c r="AY291" s="137" t="s">
        <v>136</v>
      </c>
    </row>
    <row r="292" spans="2:65" s="11" customFormat="1">
      <c r="B292" s="136"/>
      <c r="C292" s="164"/>
      <c r="D292" s="161" t="s">
        <v>147</v>
      </c>
      <c r="E292" s="165" t="s">
        <v>2452</v>
      </c>
      <c r="F292" s="166" t="s">
        <v>2453</v>
      </c>
      <c r="G292" s="164"/>
      <c r="H292" s="167">
        <v>20</v>
      </c>
      <c r="I292" s="164"/>
      <c r="J292" s="164"/>
      <c r="K292" s="164"/>
      <c r="L292" s="136"/>
      <c r="M292" s="140"/>
      <c r="T292" s="141"/>
      <c r="AT292" s="137" t="s">
        <v>147</v>
      </c>
      <c r="AU292" s="137" t="s">
        <v>19</v>
      </c>
      <c r="AV292" s="11" t="s">
        <v>149</v>
      </c>
      <c r="AW292" s="11" t="s">
        <v>39</v>
      </c>
      <c r="AX292" s="11" t="s">
        <v>81</v>
      </c>
      <c r="AY292" s="137" t="s">
        <v>136</v>
      </c>
    </row>
    <row r="293" spans="2:65" s="11" customFormat="1">
      <c r="B293" s="136"/>
      <c r="C293" s="164"/>
      <c r="D293" s="161" t="s">
        <v>147</v>
      </c>
      <c r="E293" s="165" t="s">
        <v>1</v>
      </c>
      <c r="F293" s="166" t="s">
        <v>2454</v>
      </c>
      <c r="G293" s="164"/>
      <c r="H293" s="167">
        <v>28</v>
      </c>
      <c r="I293" s="164"/>
      <c r="J293" s="164"/>
      <c r="K293" s="164"/>
      <c r="L293" s="136"/>
      <c r="M293" s="140"/>
      <c r="T293" s="141"/>
      <c r="AT293" s="137" t="s">
        <v>147</v>
      </c>
      <c r="AU293" s="137" t="s">
        <v>19</v>
      </c>
      <c r="AV293" s="11" t="s">
        <v>149</v>
      </c>
      <c r="AW293" s="11" t="s">
        <v>39</v>
      </c>
      <c r="AX293" s="11" t="s">
        <v>19</v>
      </c>
      <c r="AY293" s="137" t="s">
        <v>136</v>
      </c>
    </row>
    <row r="294" spans="2:65" s="1" customFormat="1" ht="16.5" customHeight="1">
      <c r="B294" s="119"/>
      <c r="C294" s="154" t="s">
        <v>1406</v>
      </c>
      <c r="D294" s="154" t="s">
        <v>137</v>
      </c>
      <c r="E294" s="155" t="s">
        <v>2022</v>
      </c>
      <c r="F294" s="156" t="s">
        <v>2023</v>
      </c>
      <c r="G294" s="157" t="s">
        <v>152</v>
      </c>
      <c r="H294" s="158">
        <v>4</v>
      </c>
      <c r="I294" s="159">
        <v>0</v>
      </c>
      <c r="J294" s="159">
        <f>ROUND(I294*H294,2)</f>
        <v>0</v>
      </c>
      <c r="K294" s="156" t="s">
        <v>141</v>
      </c>
      <c r="L294" s="26"/>
      <c r="M294" s="126" t="s">
        <v>1</v>
      </c>
      <c r="N294" s="127" t="s">
        <v>46</v>
      </c>
      <c r="O294" s="128">
        <v>0</v>
      </c>
      <c r="P294" s="128">
        <f>O294*H294</f>
        <v>0</v>
      </c>
      <c r="Q294" s="128">
        <v>0</v>
      </c>
      <c r="R294" s="128">
        <f>Q294*H294</f>
        <v>0</v>
      </c>
      <c r="S294" s="128">
        <v>0</v>
      </c>
      <c r="T294" s="129">
        <f>S294*H294</f>
        <v>0</v>
      </c>
      <c r="AR294" s="130" t="s">
        <v>135</v>
      </c>
      <c r="AT294" s="130" t="s">
        <v>137</v>
      </c>
      <c r="AU294" s="130" t="s">
        <v>19</v>
      </c>
      <c r="AY294" s="14" t="s">
        <v>136</v>
      </c>
      <c r="BE294" s="131">
        <f>IF(N294="základní",J294,0)</f>
        <v>0</v>
      </c>
      <c r="BF294" s="131">
        <f>IF(N294="snížená",J294,0)</f>
        <v>0</v>
      </c>
      <c r="BG294" s="131">
        <f>IF(N294="zákl. přenesená",J294,0)</f>
        <v>0</v>
      </c>
      <c r="BH294" s="131">
        <f>IF(N294="sníž. přenesená",J294,0)</f>
        <v>0</v>
      </c>
      <c r="BI294" s="131">
        <f>IF(N294="nulová",J294,0)</f>
        <v>0</v>
      </c>
      <c r="BJ294" s="14" t="s">
        <v>19</v>
      </c>
      <c r="BK294" s="131">
        <f>ROUND(I294*H294,2)</f>
        <v>0</v>
      </c>
      <c r="BL294" s="14" t="s">
        <v>135</v>
      </c>
      <c r="BM294" s="130" t="s">
        <v>2455</v>
      </c>
    </row>
    <row r="295" spans="2:65" s="1" customFormat="1">
      <c r="B295" s="26"/>
      <c r="C295" s="160"/>
      <c r="D295" s="161" t="s">
        <v>143</v>
      </c>
      <c r="E295" s="160"/>
      <c r="F295" s="162" t="s">
        <v>2023</v>
      </c>
      <c r="G295" s="160"/>
      <c r="H295" s="160"/>
      <c r="I295" s="160"/>
      <c r="J295" s="160"/>
      <c r="K295" s="160"/>
      <c r="L295" s="26"/>
      <c r="M295" s="134"/>
      <c r="T295" s="50"/>
      <c r="AT295" s="14" t="s">
        <v>143</v>
      </c>
      <c r="AU295" s="14" t="s">
        <v>19</v>
      </c>
    </row>
    <row r="296" spans="2:65" s="1" customFormat="1" ht="38.4">
      <c r="B296" s="26"/>
      <c r="C296" s="160"/>
      <c r="D296" s="161" t="s">
        <v>145</v>
      </c>
      <c r="E296" s="160"/>
      <c r="F296" s="163" t="s">
        <v>2456</v>
      </c>
      <c r="G296" s="160"/>
      <c r="H296" s="160"/>
      <c r="I296" s="160"/>
      <c r="J296" s="160"/>
      <c r="K296" s="160"/>
      <c r="L296" s="26"/>
      <c r="M296" s="134"/>
      <c r="T296" s="50"/>
      <c r="AT296" s="14" t="s">
        <v>145</v>
      </c>
      <c r="AU296" s="14" t="s">
        <v>19</v>
      </c>
    </row>
    <row r="297" spans="2:65" s="11" customFormat="1">
      <c r="B297" s="136"/>
      <c r="C297" s="164"/>
      <c r="D297" s="161" t="s">
        <v>147</v>
      </c>
      <c r="E297" s="165" t="s">
        <v>2457</v>
      </c>
      <c r="F297" s="166" t="s">
        <v>2458</v>
      </c>
      <c r="G297" s="164"/>
      <c r="H297" s="167">
        <v>2</v>
      </c>
      <c r="I297" s="164"/>
      <c r="J297" s="164"/>
      <c r="K297" s="164"/>
      <c r="L297" s="136"/>
      <c r="M297" s="140"/>
      <c r="T297" s="141"/>
      <c r="AT297" s="137" t="s">
        <v>147</v>
      </c>
      <c r="AU297" s="137" t="s">
        <v>19</v>
      </c>
      <c r="AV297" s="11" t="s">
        <v>149</v>
      </c>
      <c r="AW297" s="11" t="s">
        <v>39</v>
      </c>
      <c r="AX297" s="11" t="s">
        <v>81</v>
      </c>
      <c r="AY297" s="137" t="s">
        <v>136</v>
      </c>
    </row>
    <row r="298" spans="2:65" s="11" customFormat="1">
      <c r="B298" s="136"/>
      <c r="C298" s="164"/>
      <c r="D298" s="161" t="s">
        <v>147</v>
      </c>
      <c r="E298" s="165" t="s">
        <v>2459</v>
      </c>
      <c r="F298" s="166" t="s">
        <v>2460</v>
      </c>
      <c r="G298" s="164"/>
      <c r="H298" s="167">
        <v>2</v>
      </c>
      <c r="I298" s="164"/>
      <c r="J298" s="164"/>
      <c r="K298" s="164"/>
      <c r="L298" s="136"/>
      <c r="M298" s="140"/>
      <c r="T298" s="141"/>
      <c r="AT298" s="137" t="s">
        <v>147</v>
      </c>
      <c r="AU298" s="137" t="s">
        <v>19</v>
      </c>
      <c r="AV298" s="11" t="s">
        <v>149</v>
      </c>
      <c r="AW298" s="11" t="s">
        <v>39</v>
      </c>
      <c r="AX298" s="11" t="s">
        <v>81</v>
      </c>
      <c r="AY298" s="137" t="s">
        <v>136</v>
      </c>
    </row>
    <row r="299" spans="2:65" s="11" customFormat="1">
      <c r="B299" s="136"/>
      <c r="C299" s="164"/>
      <c r="D299" s="161" t="s">
        <v>147</v>
      </c>
      <c r="E299" s="165" t="s">
        <v>1</v>
      </c>
      <c r="F299" s="166" t="s">
        <v>2127</v>
      </c>
      <c r="G299" s="164"/>
      <c r="H299" s="167">
        <v>4</v>
      </c>
      <c r="I299" s="164"/>
      <c r="J299" s="164"/>
      <c r="K299" s="164"/>
      <c r="L299" s="136"/>
      <c r="M299" s="140"/>
      <c r="T299" s="141"/>
      <c r="AT299" s="137" t="s">
        <v>147</v>
      </c>
      <c r="AU299" s="137" t="s">
        <v>19</v>
      </c>
      <c r="AV299" s="11" t="s">
        <v>149</v>
      </c>
      <c r="AW299" s="11" t="s">
        <v>39</v>
      </c>
      <c r="AX299" s="11" t="s">
        <v>19</v>
      </c>
      <c r="AY299" s="137" t="s">
        <v>136</v>
      </c>
    </row>
    <row r="300" spans="2:65" s="1" customFormat="1" ht="16.5" customHeight="1">
      <c r="B300" s="119"/>
      <c r="C300" s="154" t="s">
        <v>1453</v>
      </c>
      <c r="D300" s="154" t="s">
        <v>137</v>
      </c>
      <c r="E300" s="155" t="s">
        <v>2461</v>
      </c>
      <c r="F300" s="156" t="s">
        <v>2462</v>
      </c>
      <c r="G300" s="157" t="s">
        <v>260</v>
      </c>
      <c r="H300" s="158">
        <v>2.1</v>
      </c>
      <c r="I300" s="159">
        <v>0</v>
      </c>
      <c r="J300" s="159">
        <f>ROUND(I300*H300,2)</f>
        <v>0</v>
      </c>
      <c r="K300" s="156" t="s">
        <v>141</v>
      </c>
      <c r="L300" s="26"/>
      <c r="M300" s="126" t="s">
        <v>1</v>
      </c>
      <c r="N300" s="127" t="s">
        <v>46</v>
      </c>
      <c r="O300" s="128">
        <v>0</v>
      </c>
      <c r="P300" s="128">
        <f>O300*H300</f>
        <v>0</v>
      </c>
      <c r="Q300" s="128">
        <v>0</v>
      </c>
      <c r="R300" s="128">
        <f>Q300*H300</f>
        <v>0</v>
      </c>
      <c r="S300" s="128">
        <v>0</v>
      </c>
      <c r="T300" s="129">
        <f>S300*H300</f>
        <v>0</v>
      </c>
      <c r="AR300" s="130" t="s">
        <v>135</v>
      </c>
      <c r="AT300" s="130" t="s">
        <v>137</v>
      </c>
      <c r="AU300" s="130" t="s">
        <v>19</v>
      </c>
      <c r="AY300" s="14" t="s">
        <v>136</v>
      </c>
      <c r="BE300" s="131">
        <f>IF(N300="základní",J300,0)</f>
        <v>0</v>
      </c>
      <c r="BF300" s="131">
        <f>IF(N300="snížená",J300,0)</f>
        <v>0</v>
      </c>
      <c r="BG300" s="131">
        <f>IF(N300="zákl. přenesená",J300,0)</f>
        <v>0</v>
      </c>
      <c r="BH300" s="131">
        <f>IF(N300="sníž. přenesená",J300,0)</f>
        <v>0</v>
      </c>
      <c r="BI300" s="131">
        <f>IF(N300="nulová",J300,0)</f>
        <v>0</v>
      </c>
      <c r="BJ300" s="14" t="s">
        <v>19</v>
      </c>
      <c r="BK300" s="131">
        <f>ROUND(I300*H300,2)</f>
        <v>0</v>
      </c>
      <c r="BL300" s="14" t="s">
        <v>135</v>
      </c>
      <c r="BM300" s="130" t="s">
        <v>2463</v>
      </c>
    </row>
    <row r="301" spans="2:65" s="1" customFormat="1">
      <c r="B301" s="26"/>
      <c r="C301" s="160"/>
      <c r="D301" s="161" t="s">
        <v>143</v>
      </c>
      <c r="E301" s="160"/>
      <c r="F301" s="162" t="s">
        <v>2462</v>
      </c>
      <c r="G301" s="160"/>
      <c r="H301" s="160"/>
      <c r="I301" s="160"/>
      <c r="J301" s="160"/>
      <c r="K301" s="160"/>
      <c r="L301" s="26"/>
      <c r="M301" s="134"/>
      <c r="T301" s="50"/>
      <c r="AT301" s="14" t="s">
        <v>143</v>
      </c>
      <c r="AU301" s="14" t="s">
        <v>19</v>
      </c>
    </row>
    <row r="302" spans="2:65" s="1" customFormat="1" ht="57.6">
      <c r="B302" s="26"/>
      <c r="C302" s="160"/>
      <c r="D302" s="161" t="s">
        <v>145</v>
      </c>
      <c r="E302" s="160"/>
      <c r="F302" s="163" t="s">
        <v>2464</v>
      </c>
      <c r="G302" s="160"/>
      <c r="H302" s="160"/>
      <c r="I302" s="160"/>
      <c r="J302" s="160"/>
      <c r="K302" s="160"/>
      <c r="L302" s="26"/>
      <c r="M302" s="134"/>
      <c r="T302" s="50"/>
      <c r="AT302" s="14" t="s">
        <v>145</v>
      </c>
      <c r="AU302" s="14" t="s">
        <v>19</v>
      </c>
    </row>
    <row r="303" spans="2:65" s="11" customFormat="1">
      <c r="B303" s="136"/>
      <c r="C303" s="164"/>
      <c r="D303" s="161" t="s">
        <v>147</v>
      </c>
      <c r="E303" s="165" t="s">
        <v>2465</v>
      </c>
      <c r="F303" s="166" t="s">
        <v>2466</v>
      </c>
      <c r="G303" s="164"/>
      <c r="H303" s="167">
        <v>1.0499999999999998</v>
      </c>
      <c r="I303" s="164"/>
      <c r="J303" s="164"/>
      <c r="K303" s="164"/>
      <c r="L303" s="136"/>
      <c r="M303" s="140"/>
      <c r="T303" s="141"/>
      <c r="AT303" s="137" t="s">
        <v>147</v>
      </c>
      <c r="AU303" s="137" t="s">
        <v>19</v>
      </c>
      <c r="AV303" s="11" t="s">
        <v>149</v>
      </c>
      <c r="AW303" s="11" t="s">
        <v>39</v>
      </c>
      <c r="AX303" s="11" t="s">
        <v>81</v>
      </c>
      <c r="AY303" s="137" t="s">
        <v>136</v>
      </c>
    </row>
    <row r="304" spans="2:65" s="11" customFormat="1">
      <c r="B304" s="136"/>
      <c r="C304" s="164"/>
      <c r="D304" s="161" t="s">
        <v>147</v>
      </c>
      <c r="E304" s="165" t="s">
        <v>2467</v>
      </c>
      <c r="F304" s="166" t="s">
        <v>2468</v>
      </c>
      <c r="G304" s="164"/>
      <c r="H304" s="167">
        <v>1.0499999999999998</v>
      </c>
      <c r="I304" s="164"/>
      <c r="J304" s="164"/>
      <c r="K304" s="164"/>
      <c r="L304" s="136"/>
      <c r="M304" s="140"/>
      <c r="T304" s="141"/>
      <c r="AT304" s="137" t="s">
        <v>147</v>
      </c>
      <c r="AU304" s="137" t="s">
        <v>19</v>
      </c>
      <c r="AV304" s="11" t="s">
        <v>149</v>
      </c>
      <c r="AW304" s="11" t="s">
        <v>39</v>
      </c>
      <c r="AX304" s="11" t="s">
        <v>81</v>
      </c>
      <c r="AY304" s="137" t="s">
        <v>136</v>
      </c>
    </row>
    <row r="305" spans="2:65" s="11" customFormat="1">
      <c r="B305" s="136"/>
      <c r="C305" s="164"/>
      <c r="D305" s="161" t="s">
        <v>147</v>
      </c>
      <c r="E305" s="165" t="s">
        <v>1</v>
      </c>
      <c r="F305" s="166" t="s">
        <v>2469</v>
      </c>
      <c r="G305" s="164"/>
      <c r="H305" s="167">
        <v>2.1</v>
      </c>
      <c r="I305" s="164"/>
      <c r="J305" s="164"/>
      <c r="K305" s="164"/>
      <c r="L305" s="136"/>
      <c r="M305" s="140"/>
      <c r="T305" s="141"/>
      <c r="AT305" s="137" t="s">
        <v>147</v>
      </c>
      <c r="AU305" s="137" t="s">
        <v>19</v>
      </c>
      <c r="AV305" s="11" t="s">
        <v>149</v>
      </c>
      <c r="AW305" s="11" t="s">
        <v>39</v>
      </c>
      <c r="AX305" s="11" t="s">
        <v>19</v>
      </c>
      <c r="AY305" s="137" t="s">
        <v>136</v>
      </c>
    </row>
    <row r="306" spans="2:65" s="1" customFormat="1" ht="24.15" customHeight="1">
      <c r="B306" s="119"/>
      <c r="C306" s="154" t="s">
        <v>1467</v>
      </c>
      <c r="D306" s="154" t="s">
        <v>137</v>
      </c>
      <c r="E306" s="155" t="s">
        <v>2470</v>
      </c>
      <c r="F306" s="156" t="s">
        <v>2471</v>
      </c>
      <c r="G306" s="157" t="s">
        <v>152</v>
      </c>
      <c r="H306" s="158">
        <v>16</v>
      </c>
      <c r="I306" s="159">
        <v>0</v>
      </c>
      <c r="J306" s="159">
        <f>ROUND(I306*H306,2)</f>
        <v>0</v>
      </c>
      <c r="K306" s="156" t="s">
        <v>141</v>
      </c>
      <c r="L306" s="26"/>
      <c r="M306" s="126" t="s">
        <v>1</v>
      </c>
      <c r="N306" s="127" t="s">
        <v>46</v>
      </c>
      <c r="O306" s="128">
        <v>0</v>
      </c>
      <c r="P306" s="128">
        <f>O306*H306</f>
        <v>0</v>
      </c>
      <c r="Q306" s="128">
        <v>0</v>
      </c>
      <c r="R306" s="128">
        <f>Q306*H306</f>
        <v>0</v>
      </c>
      <c r="S306" s="128">
        <v>0</v>
      </c>
      <c r="T306" s="129">
        <f>S306*H306</f>
        <v>0</v>
      </c>
      <c r="AR306" s="130" t="s">
        <v>135</v>
      </c>
      <c r="AT306" s="130" t="s">
        <v>137</v>
      </c>
      <c r="AU306" s="130" t="s">
        <v>19</v>
      </c>
      <c r="AY306" s="14" t="s">
        <v>136</v>
      </c>
      <c r="BE306" s="131">
        <f>IF(N306="základní",J306,0)</f>
        <v>0</v>
      </c>
      <c r="BF306" s="131">
        <f>IF(N306="snížená",J306,0)</f>
        <v>0</v>
      </c>
      <c r="BG306" s="131">
        <f>IF(N306="zákl. přenesená",J306,0)</f>
        <v>0</v>
      </c>
      <c r="BH306" s="131">
        <f>IF(N306="sníž. přenesená",J306,0)</f>
        <v>0</v>
      </c>
      <c r="BI306" s="131">
        <f>IF(N306="nulová",J306,0)</f>
        <v>0</v>
      </c>
      <c r="BJ306" s="14" t="s">
        <v>19</v>
      </c>
      <c r="BK306" s="131">
        <f>ROUND(I306*H306,2)</f>
        <v>0</v>
      </c>
      <c r="BL306" s="14" t="s">
        <v>135</v>
      </c>
      <c r="BM306" s="130" t="s">
        <v>2472</v>
      </c>
    </row>
    <row r="307" spans="2:65" s="1" customFormat="1" ht="38.4">
      <c r="B307" s="26"/>
      <c r="C307" s="160"/>
      <c r="D307" s="161" t="s">
        <v>143</v>
      </c>
      <c r="E307" s="160"/>
      <c r="F307" s="162" t="s">
        <v>2473</v>
      </c>
      <c r="G307" s="160"/>
      <c r="H307" s="160"/>
      <c r="I307" s="160"/>
      <c r="J307" s="160"/>
      <c r="K307" s="160"/>
      <c r="L307" s="26"/>
      <c r="M307" s="134"/>
      <c r="T307" s="50"/>
      <c r="AT307" s="14" t="s">
        <v>143</v>
      </c>
      <c r="AU307" s="14" t="s">
        <v>19</v>
      </c>
    </row>
    <row r="308" spans="2:65" s="1" customFormat="1" ht="230.4">
      <c r="B308" s="26"/>
      <c r="C308" s="160"/>
      <c r="D308" s="161" t="s">
        <v>145</v>
      </c>
      <c r="E308" s="160"/>
      <c r="F308" s="163" t="s">
        <v>2474</v>
      </c>
      <c r="G308" s="160"/>
      <c r="H308" s="160"/>
      <c r="I308" s="160"/>
      <c r="J308" s="160"/>
      <c r="K308" s="160"/>
      <c r="L308" s="26"/>
      <c r="M308" s="134"/>
      <c r="T308" s="50"/>
      <c r="AT308" s="14" t="s">
        <v>145</v>
      </c>
      <c r="AU308" s="14" t="s">
        <v>19</v>
      </c>
    </row>
    <row r="309" spans="2:65" s="11" customFormat="1">
      <c r="B309" s="136"/>
      <c r="C309" s="164"/>
      <c r="D309" s="161" t="s">
        <v>147</v>
      </c>
      <c r="E309" s="165" t="s">
        <v>2475</v>
      </c>
      <c r="F309" s="166" t="s">
        <v>2476</v>
      </c>
      <c r="G309" s="164"/>
      <c r="H309" s="167">
        <v>8</v>
      </c>
      <c r="I309" s="164"/>
      <c r="J309" s="164"/>
      <c r="K309" s="164"/>
      <c r="L309" s="136"/>
      <c r="M309" s="140"/>
      <c r="T309" s="141"/>
      <c r="AT309" s="137" t="s">
        <v>147</v>
      </c>
      <c r="AU309" s="137" t="s">
        <v>19</v>
      </c>
      <c r="AV309" s="11" t="s">
        <v>149</v>
      </c>
      <c r="AW309" s="11" t="s">
        <v>39</v>
      </c>
      <c r="AX309" s="11" t="s">
        <v>81</v>
      </c>
      <c r="AY309" s="137" t="s">
        <v>136</v>
      </c>
    </row>
    <row r="310" spans="2:65" s="11" customFormat="1">
      <c r="B310" s="136"/>
      <c r="C310" s="164"/>
      <c r="D310" s="161" t="s">
        <v>147</v>
      </c>
      <c r="E310" s="165" t="s">
        <v>2477</v>
      </c>
      <c r="F310" s="166" t="s">
        <v>2478</v>
      </c>
      <c r="G310" s="164"/>
      <c r="H310" s="167">
        <v>8</v>
      </c>
      <c r="I310" s="164"/>
      <c r="J310" s="164"/>
      <c r="K310" s="164"/>
      <c r="L310" s="136"/>
      <c r="M310" s="140"/>
      <c r="T310" s="141"/>
      <c r="AT310" s="137" t="s">
        <v>147</v>
      </c>
      <c r="AU310" s="137" t="s">
        <v>19</v>
      </c>
      <c r="AV310" s="11" t="s">
        <v>149</v>
      </c>
      <c r="AW310" s="11" t="s">
        <v>39</v>
      </c>
      <c r="AX310" s="11" t="s">
        <v>81</v>
      </c>
      <c r="AY310" s="137" t="s">
        <v>136</v>
      </c>
    </row>
    <row r="311" spans="2:65" s="11" customFormat="1">
      <c r="B311" s="136"/>
      <c r="C311" s="164"/>
      <c r="D311" s="161" t="s">
        <v>147</v>
      </c>
      <c r="E311" s="165" t="s">
        <v>1</v>
      </c>
      <c r="F311" s="166" t="s">
        <v>2479</v>
      </c>
      <c r="G311" s="164"/>
      <c r="H311" s="167">
        <v>16</v>
      </c>
      <c r="I311" s="164"/>
      <c r="J311" s="164"/>
      <c r="K311" s="164"/>
      <c r="L311" s="136"/>
      <c r="M311" s="140"/>
      <c r="T311" s="141"/>
      <c r="AT311" s="137" t="s">
        <v>147</v>
      </c>
      <c r="AU311" s="137" t="s">
        <v>19</v>
      </c>
      <c r="AV311" s="11" t="s">
        <v>149</v>
      </c>
      <c r="AW311" s="11" t="s">
        <v>39</v>
      </c>
      <c r="AX311" s="11" t="s">
        <v>19</v>
      </c>
      <c r="AY311" s="137" t="s">
        <v>136</v>
      </c>
    </row>
    <row r="312" spans="2:65" s="1" customFormat="1" ht="24.15" customHeight="1">
      <c r="B312" s="119"/>
      <c r="C312" s="154" t="s">
        <v>1475</v>
      </c>
      <c r="D312" s="154" t="s">
        <v>137</v>
      </c>
      <c r="E312" s="155" t="s">
        <v>2480</v>
      </c>
      <c r="F312" s="156" t="s">
        <v>2471</v>
      </c>
      <c r="G312" s="157" t="s">
        <v>152</v>
      </c>
      <c r="H312" s="158">
        <v>4</v>
      </c>
      <c r="I312" s="159">
        <v>0</v>
      </c>
      <c r="J312" s="159">
        <f>ROUND(I312*H312,2)</f>
        <v>0</v>
      </c>
      <c r="K312" s="156" t="s">
        <v>141</v>
      </c>
      <c r="L312" s="26"/>
      <c r="M312" s="126" t="s">
        <v>1</v>
      </c>
      <c r="N312" s="127" t="s">
        <v>46</v>
      </c>
      <c r="O312" s="128">
        <v>0</v>
      </c>
      <c r="P312" s="128">
        <f>O312*H312</f>
        <v>0</v>
      </c>
      <c r="Q312" s="128">
        <v>0</v>
      </c>
      <c r="R312" s="128">
        <f>Q312*H312</f>
        <v>0</v>
      </c>
      <c r="S312" s="128">
        <v>0</v>
      </c>
      <c r="T312" s="129">
        <f>S312*H312</f>
        <v>0</v>
      </c>
      <c r="AR312" s="130" t="s">
        <v>135</v>
      </c>
      <c r="AT312" s="130" t="s">
        <v>137</v>
      </c>
      <c r="AU312" s="130" t="s">
        <v>19</v>
      </c>
      <c r="AY312" s="14" t="s">
        <v>136</v>
      </c>
      <c r="BE312" s="131">
        <f>IF(N312="základní",J312,0)</f>
        <v>0</v>
      </c>
      <c r="BF312" s="131">
        <f>IF(N312="snížená",J312,0)</f>
        <v>0</v>
      </c>
      <c r="BG312" s="131">
        <f>IF(N312="zákl. přenesená",J312,0)</f>
        <v>0</v>
      </c>
      <c r="BH312" s="131">
        <f>IF(N312="sníž. přenesená",J312,0)</f>
        <v>0</v>
      </c>
      <c r="BI312" s="131">
        <f>IF(N312="nulová",J312,0)</f>
        <v>0</v>
      </c>
      <c r="BJ312" s="14" t="s">
        <v>19</v>
      </c>
      <c r="BK312" s="131">
        <f>ROUND(I312*H312,2)</f>
        <v>0</v>
      </c>
      <c r="BL312" s="14" t="s">
        <v>135</v>
      </c>
      <c r="BM312" s="130" t="s">
        <v>2481</v>
      </c>
    </row>
    <row r="313" spans="2:65" s="1" customFormat="1" ht="38.4">
      <c r="B313" s="26"/>
      <c r="C313" s="160"/>
      <c r="D313" s="161" t="s">
        <v>143</v>
      </c>
      <c r="E313" s="160"/>
      <c r="F313" s="162" t="s">
        <v>2482</v>
      </c>
      <c r="G313" s="160"/>
      <c r="H313" s="160"/>
      <c r="I313" s="160"/>
      <c r="J313" s="160"/>
      <c r="K313" s="160"/>
      <c r="L313" s="26"/>
      <c r="M313" s="134"/>
      <c r="T313" s="50"/>
      <c r="AT313" s="14" t="s">
        <v>143</v>
      </c>
      <c r="AU313" s="14" t="s">
        <v>19</v>
      </c>
    </row>
    <row r="314" spans="2:65" s="1" customFormat="1" ht="230.4">
      <c r="B314" s="26"/>
      <c r="C314" s="160"/>
      <c r="D314" s="161" t="s">
        <v>145</v>
      </c>
      <c r="E314" s="160"/>
      <c r="F314" s="163" t="s">
        <v>2474</v>
      </c>
      <c r="G314" s="160"/>
      <c r="H314" s="160"/>
      <c r="I314" s="160"/>
      <c r="J314" s="160"/>
      <c r="K314" s="160"/>
      <c r="L314" s="26"/>
      <c r="M314" s="134"/>
      <c r="T314" s="50"/>
      <c r="AT314" s="14" t="s">
        <v>145</v>
      </c>
      <c r="AU314" s="14" t="s">
        <v>19</v>
      </c>
    </row>
    <row r="315" spans="2:65" s="11" customFormat="1">
      <c r="B315" s="136"/>
      <c r="C315" s="164"/>
      <c r="D315" s="161" t="s">
        <v>147</v>
      </c>
      <c r="E315" s="165" t="s">
        <v>2483</v>
      </c>
      <c r="F315" s="166" t="s">
        <v>2484</v>
      </c>
      <c r="G315" s="164"/>
      <c r="H315" s="167">
        <v>2</v>
      </c>
      <c r="I315" s="164"/>
      <c r="J315" s="164"/>
      <c r="K315" s="164"/>
      <c r="L315" s="136"/>
      <c r="M315" s="140"/>
      <c r="T315" s="141"/>
      <c r="AT315" s="137" t="s">
        <v>147</v>
      </c>
      <c r="AU315" s="137" t="s">
        <v>19</v>
      </c>
      <c r="AV315" s="11" t="s">
        <v>149</v>
      </c>
      <c r="AW315" s="11" t="s">
        <v>39</v>
      </c>
      <c r="AX315" s="11" t="s">
        <v>81</v>
      </c>
      <c r="AY315" s="137" t="s">
        <v>136</v>
      </c>
    </row>
    <row r="316" spans="2:65" s="11" customFormat="1">
      <c r="B316" s="136"/>
      <c r="C316" s="164"/>
      <c r="D316" s="161" t="s">
        <v>147</v>
      </c>
      <c r="E316" s="165" t="s">
        <v>2485</v>
      </c>
      <c r="F316" s="166" t="s">
        <v>2486</v>
      </c>
      <c r="G316" s="164"/>
      <c r="H316" s="167">
        <v>2</v>
      </c>
      <c r="I316" s="164"/>
      <c r="J316" s="164"/>
      <c r="K316" s="164"/>
      <c r="L316" s="136"/>
      <c r="M316" s="140"/>
      <c r="T316" s="141"/>
      <c r="AT316" s="137" t="s">
        <v>147</v>
      </c>
      <c r="AU316" s="137" t="s">
        <v>19</v>
      </c>
      <c r="AV316" s="11" t="s">
        <v>149</v>
      </c>
      <c r="AW316" s="11" t="s">
        <v>39</v>
      </c>
      <c r="AX316" s="11" t="s">
        <v>81</v>
      </c>
      <c r="AY316" s="137" t="s">
        <v>136</v>
      </c>
    </row>
    <row r="317" spans="2:65" s="11" customFormat="1">
      <c r="B317" s="136"/>
      <c r="C317" s="164"/>
      <c r="D317" s="161" t="s">
        <v>147</v>
      </c>
      <c r="E317" s="165" t="s">
        <v>1</v>
      </c>
      <c r="F317" s="166" t="s">
        <v>2127</v>
      </c>
      <c r="G317" s="164"/>
      <c r="H317" s="167">
        <v>4</v>
      </c>
      <c r="I317" s="164"/>
      <c r="J317" s="164"/>
      <c r="K317" s="164"/>
      <c r="L317" s="136"/>
      <c r="M317" s="140"/>
      <c r="T317" s="141"/>
      <c r="AT317" s="137" t="s">
        <v>147</v>
      </c>
      <c r="AU317" s="137" t="s">
        <v>19</v>
      </c>
      <c r="AV317" s="11" t="s">
        <v>149</v>
      </c>
      <c r="AW317" s="11" t="s">
        <v>39</v>
      </c>
      <c r="AX317" s="11" t="s">
        <v>19</v>
      </c>
      <c r="AY317" s="137" t="s">
        <v>136</v>
      </c>
    </row>
    <row r="318" spans="2:65" s="1" customFormat="1" ht="24.15" customHeight="1">
      <c r="B318" s="119"/>
      <c r="C318" s="154" t="s">
        <v>1485</v>
      </c>
      <c r="D318" s="154" t="s">
        <v>137</v>
      </c>
      <c r="E318" s="155" t="s">
        <v>2487</v>
      </c>
      <c r="F318" s="156" t="s">
        <v>2488</v>
      </c>
      <c r="G318" s="157" t="s">
        <v>260</v>
      </c>
      <c r="H318" s="158">
        <v>673.65</v>
      </c>
      <c r="I318" s="159">
        <v>0</v>
      </c>
      <c r="J318" s="159">
        <f>ROUND(I318*H318,2)</f>
        <v>0</v>
      </c>
      <c r="K318" s="156" t="s">
        <v>141</v>
      </c>
      <c r="L318" s="26"/>
      <c r="M318" s="126" t="s">
        <v>1</v>
      </c>
      <c r="N318" s="127" t="s">
        <v>46</v>
      </c>
      <c r="O318" s="128">
        <v>0</v>
      </c>
      <c r="P318" s="128">
        <f>O318*H318</f>
        <v>0</v>
      </c>
      <c r="Q318" s="128">
        <v>0</v>
      </c>
      <c r="R318" s="128">
        <f>Q318*H318</f>
        <v>0</v>
      </c>
      <c r="S318" s="128">
        <v>0</v>
      </c>
      <c r="T318" s="129">
        <f>S318*H318</f>
        <v>0</v>
      </c>
      <c r="AR318" s="130" t="s">
        <v>135</v>
      </c>
      <c r="AT318" s="130" t="s">
        <v>137</v>
      </c>
      <c r="AU318" s="130" t="s">
        <v>19</v>
      </c>
      <c r="AY318" s="14" t="s">
        <v>136</v>
      </c>
      <c r="BE318" s="131">
        <f>IF(N318="základní",J318,0)</f>
        <v>0</v>
      </c>
      <c r="BF318" s="131">
        <f>IF(N318="snížená",J318,0)</f>
        <v>0</v>
      </c>
      <c r="BG318" s="131">
        <f>IF(N318="zákl. přenesená",J318,0)</f>
        <v>0</v>
      </c>
      <c r="BH318" s="131">
        <f>IF(N318="sníž. přenesená",J318,0)</f>
        <v>0</v>
      </c>
      <c r="BI318" s="131">
        <f>IF(N318="nulová",J318,0)</f>
        <v>0</v>
      </c>
      <c r="BJ318" s="14" t="s">
        <v>19</v>
      </c>
      <c r="BK318" s="131">
        <f>ROUND(I318*H318,2)</f>
        <v>0</v>
      </c>
      <c r="BL318" s="14" t="s">
        <v>135</v>
      </c>
      <c r="BM318" s="130" t="s">
        <v>2489</v>
      </c>
    </row>
    <row r="319" spans="2:65" s="1" customFormat="1">
      <c r="B319" s="26"/>
      <c r="C319" s="160"/>
      <c r="D319" s="161" t="s">
        <v>143</v>
      </c>
      <c r="E319" s="160"/>
      <c r="F319" s="162" t="s">
        <v>2406</v>
      </c>
      <c r="G319" s="160"/>
      <c r="H319" s="160"/>
      <c r="I319" s="160"/>
      <c r="J319" s="160"/>
      <c r="K319" s="160"/>
      <c r="L319" s="26"/>
      <c r="M319" s="134"/>
      <c r="T319" s="50"/>
      <c r="AT319" s="14" t="s">
        <v>143</v>
      </c>
      <c r="AU319" s="14" t="s">
        <v>19</v>
      </c>
    </row>
    <row r="320" spans="2:65" s="1" customFormat="1" ht="28.8">
      <c r="B320" s="26"/>
      <c r="C320" s="160"/>
      <c r="D320" s="161" t="s">
        <v>145</v>
      </c>
      <c r="E320" s="160"/>
      <c r="F320" s="163" t="s">
        <v>849</v>
      </c>
      <c r="G320" s="160"/>
      <c r="H320" s="160"/>
      <c r="I320" s="160"/>
      <c r="J320" s="160"/>
      <c r="K320" s="160"/>
      <c r="L320" s="26"/>
      <c r="M320" s="134"/>
      <c r="T320" s="50"/>
      <c r="AT320" s="14" t="s">
        <v>145</v>
      </c>
      <c r="AU320" s="14" t="s">
        <v>19</v>
      </c>
    </row>
    <row r="321" spans="2:65" s="11" customFormat="1">
      <c r="B321" s="136"/>
      <c r="C321" s="164"/>
      <c r="D321" s="161" t="s">
        <v>147</v>
      </c>
      <c r="E321" s="165" t="s">
        <v>2490</v>
      </c>
      <c r="F321" s="166" t="s">
        <v>2491</v>
      </c>
      <c r="G321" s="164"/>
      <c r="H321" s="167">
        <v>36.6</v>
      </c>
      <c r="I321" s="164"/>
      <c r="J321" s="164"/>
      <c r="K321" s="164"/>
      <c r="L321" s="136"/>
      <c r="M321" s="140"/>
      <c r="T321" s="141"/>
      <c r="AT321" s="137" t="s">
        <v>147</v>
      </c>
      <c r="AU321" s="137" t="s">
        <v>19</v>
      </c>
      <c r="AV321" s="11" t="s">
        <v>149</v>
      </c>
      <c r="AW321" s="11" t="s">
        <v>39</v>
      </c>
      <c r="AX321" s="11" t="s">
        <v>81</v>
      </c>
      <c r="AY321" s="137" t="s">
        <v>136</v>
      </c>
    </row>
    <row r="322" spans="2:65" s="11" customFormat="1">
      <c r="B322" s="136"/>
      <c r="C322" s="164"/>
      <c r="D322" s="161" t="s">
        <v>147</v>
      </c>
      <c r="E322" s="165" t="s">
        <v>2492</v>
      </c>
      <c r="F322" s="166" t="s">
        <v>2493</v>
      </c>
      <c r="G322" s="164"/>
      <c r="H322" s="167">
        <v>28.559999999999995</v>
      </c>
      <c r="I322" s="164"/>
      <c r="J322" s="164"/>
      <c r="K322" s="164"/>
      <c r="L322" s="136"/>
      <c r="M322" s="140"/>
      <c r="T322" s="141"/>
      <c r="AT322" s="137" t="s">
        <v>147</v>
      </c>
      <c r="AU322" s="137" t="s">
        <v>19</v>
      </c>
      <c r="AV322" s="11" t="s">
        <v>149</v>
      </c>
      <c r="AW322" s="11" t="s">
        <v>39</v>
      </c>
      <c r="AX322" s="11" t="s">
        <v>81</v>
      </c>
      <c r="AY322" s="137" t="s">
        <v>136</v>
      </c>
    </row>
    <row r="323" spans="2:65" s="11" customFormat="1">
      <c r="B323" s="136"/>
      <c r="C323" s="164"/>
      <c r="D323" s="161" t="s">
        <v>147</v>
      </c>
      <c r="E323" s="165" t="s">
        <v>2494</v>
      </c>
      <c r="F323" s="166" t="s">
        <v>2495</v>
      </c>
      <c r="G323" s="164"/>
      <c r="H323" s="167">
        <v>36.6</v>
      </c>
      <c r="I323" s="164"/>
      <c r="J323" s="164"/>
      <c r="K323" s="164"/>
      <c r="L323" s="136"/>
      <c r="M323" s="140"/>
      <c r="T323" s="141"/>
      <c r="AT323" s="137" t="s">
        <v>147</v>
      </c>
      <c r="AU323" s="137" t="s">
        <v>19</v>
      </c>
      <c r="AV323" s="11" t="s">
        <v>149</v>
      </c>
      <c r="AW323" s="11" t="s">
        <v>39</v>
      </c>
      <c r="AX323" s="11" t="s">
        <v>81</v>
      </c>
      <c r="AY323" s="137" t="s">
        <v>136</v>
      </c>
    </row>
    <row r="324" spans="2:65" s="11" customFormat="1">
      <c r="B324" s="136"/>
      <c r="C324" s="164"/>
      <c r="D324" s="161" t="s">
        <v>147</v>
      </c>
      <c r="E324" s="165" t="s">
        <v>2496</v>
      </c>
      <c r="F324" s="166" t="s">
        <v>2497</v>
      </c>
      <c r="G324" s="164"/>
      <c r="H324" s="167">
        <v>28.559999999999995</v>
      </c>
      <c r="I324" s="164"/>
      <c r="J324" s="164"/>
      <c r="K324" s="164"/>
      <c r="L324" s="136"/>
      <c r="M324" s="140"/>
      <c r="T324" s="141"/>
      <c r="AT324" s="137" t="s">
        <v>147</v>
      </c>
      <c r="AU324" s="137" t="s">
        <v>19</v>
      </c>
      <c r="AV324" s="11" t="s">
        <v>149</v>
      </c>
      <c r="AW324" s="11" t="s">
        <v>39</v>
      </c>
      <c r="AX324" s="11" t="s">
        <v>81</v>
      </c>
      <c r="AY324" s="137" t="s">
        <v>136</v>
      </c>
    </row>
    <row r="325" spans="2:65" s="11" customFormat="1">
      <c r="B325" s="136"/>
      <c r="C325" s="164"/>
      <c r="D325" s="161" t="s">
        <v>147</v>
      </c>
      <c r="E325" s="165" t="s">
        <v>2498</v>
      </c>
      <c r="F325" s="166" t="s">
        <v>2499</v>
      </c>
      <c r="G325" s="164"/>
      <c r="H325" s="167">
        <v>98.489999999999981</v>
      </c>
      <c r="I325" s="164"/>
      <c r="J325" s="164"/>
      <c r="K325" s="164"/>
      <c r="L325" s="136"/>
      <c r="M325" s="140"/>
      <c r="T325" s="141"/>
      <c r="AT325" s="137" t="s">
        <v>147</v>
      </c>
      <c r="AU325" s="137" t="s">
        <v>19</v>
      </c>
      <c r="AV325" s="11" t="s">
        <v>149</v>
      </c>
      <c r="AW325" s="11" t="s">
        <v>39</v>
      </c>
      <c r="AX325" s="11" t="s">
        <v>81</v>
      </c>
      <c r="AY325" s="137" t="s">
        <v>136</v>
      </c>
    </row>
    <row r="326" spans="2:65" s="11" customFormat="1">
      <c r="B326" s="136"/>
      <c r="C326" s="164"/>
      <c r="D326" s="161" t="s">
        <v>147</v>
      </c>
      <c r="E326" s="165" t="s">
        <v>2500</v>
      </c>
      <c r="F326" s="166" t="s">
        <v>2501</v>
      </c>
      <c r="G326" s="164"/>
      <c r="H326" s="167">
        <v>25</v>
      </c>
      <c r="I326" s="164"/>
      <c r="J326" s="164"/>
      <c r="K326" s="164"/>
      <c r="L326" s="136"/>
      <c r="M326" s="140"/>
      <c r="T326" s="141"/>
      <c r="AT326" s="137" t="s">
        <v>147</v>
      </c>
      <c r="AU326" s="137" t="s">
        <v>19</v>
      </c>
      <c r="AV326" s="11" t="s">
        <v>149</v>
      </c>
      <c r="AW326" s="11" t="s">
        <v>39</v>
      </c>
      <c r="AX326" s="11" t="s">
        <v>81</v>
      </c>
      <c r="AY326" s="137" t="s">
        <v>136</v>
      </c>
    </row>
    <row r="327" spans="2:65" s="11" customFormat="1">
      <c r="B327" s="136"/>
      <c r="C327" s="164"/>
      <c r="D327" s="161" t="s">
        <v>147</v>
      </c>
      <c r="E327" s="165" t="s">
        <v>2502</v>
      </c>
      <c r="F327" s="166" t="s">
        <v>2503</v>
      </c>
      <c r="G327" s="164"/>
      <c r="H327" s="167">
        <v>95.55</v>
      </c>
      <c r="I327" s="164"/>
      <c r="J327" s="164"/>
      <c r="K327" s="164"/>
      <c r="L327" s="136"/>
      <c r="M327" s="140"/>
      <c r="T327" s="141"/>
      <c r="AT327" s="137" t="s">
        <v>147</v>
      </c>
      <c r="AU327" s="137" t="s">
        <v>19</v>
      </c>
      <c r="AV327" s="11" t="s">
        <v>149</v>
      </c>
      <c r="AW327" s="11" t="s">
        <v>39</v>
      </c>
      <c r="AX327" s="11" t="s">
        <v>81</v>
      </c>
      <c r="AY327" s="137" t="s">
        <v>136</v>
      </c>
    </row>
    <row r="328" spans="2:65" s="11" customFormat="1">
      <c r="B328" s="136"/>
      <c r="C328" s="164"/>
      <c r="D328" s="161" t="s">
        <v>147</v>
      </c>
      <c r="E328" s="165" t="s">
        <v>2504</v>
      </c>
      <c r="F328" s="166" t="s">
        <v>2505</v>
      </c>
      <c r="G328" s="164"/>
      <c r="H328" s="167">
        <v>22</v>
      </c>
      <c r="I328" s="164"/>
      <c r="J328" s="164"/>
      <c r="K328" s="164"/>
      <c r="L328" s="136"/>
      <c r="M328" s="140"/>
      <c r="T328" s="141"/>
      <c r="AT328" s="137" t="s">
        <v>147</v>
      </c>
      <c r="AU328" s="137" t="s">
        <v>19</v>
      </c>
      <c r="AV328" s="11" t="s">
        <v>149</v>
      </c>
      <c r="AW328" s="11" t="s">
        <v>39</v>
      </c>
      <c r="AX328" s="11" t="s">
        <v>81</v>
      </c>
      <c r="AY328" s="137" t="s">
        <v>136</v>
      </c>
    </row>
    <row r="329" spans="2:65" s="11" customFormat="1">
      <c r="B329" s="136"/>
      <c r="C329" s="164"/>
      <c r="D329" s="161" t="s">
        <v>147</v>
      </c>
      <c r="E329" s="165" t="s">
        <v>2506</v>
      </c>
      <c r="F329" s="166" t="s">
        <v>2507</v>
      </c>
      <c r="G329" s="164"/>
      <c r="H329" s="167">
        <v>101.43</v>
      </c>
      <c r="I329" s="164"/>
      <c r="J329" s="164"/>
      <c r="K329" s="164"/>
      <c r="L329" s="136"/>
      <c r="M329" s="140"/>
      <c r="T329" s="141"/>
      <c r="AT329" s="137" t="s">
        <v>147</v>
      </c>
      <c r="AU329" s="137" t="s">
        <v>19</v>
      </c>
      <c r="AV329" s="11" t="s">
        <v>149</v>
      </c>
      <c r="AW329" s="11" t="s">
        <v>39</v>
      </c>
      <c r="AX329" s="11" t="s">
        <v>81</v>
      </c>
      <c r="AY329" s="137" t="s">
        <v>136</v>
      </c>
    </row>
    <row r="330" spans="2:65" s="11" customFormat="1">
      <c r="B330" s="136"/>
      <c r="C330" s="164"/>
      <c r="D330" s="161" t="s">
        <v>147</v>
      </c>
      <c r="E330" s="165" t="s">
        <v>2508</v>
      </c>
      <c r="F330" s="166" t="s">
        <v>2509</v>
      </c>
      <c r="G330" s="164"/>
      <c r="H330" s="167">
        <v>29</v>
      </c>
      <c r="I330" s="164"/>
      <c r="J330" s="164"/>
      <c r="K330" s="164"/>
      <c r="L330" s="136"/>
      <c r="M330" s="140"/>
      <c r="T330" s="141"/>
      <c r="AT330" s="137" t="s">
        <v>147</v>
      </c>
      <c r="AU330" s="137" t="s">
        <v>19</v>
      </c>
      <c r="AV330" s="11" t="s">
        <v>149</v>
      </c>
      <c r="AW330" s="11" t="s">
        <v>39</v>
      </c>
      <c r="AX330" s="11" t="s">
        <v>81</v>
      </c>
      <c r="AY330" s="137" t="s">
        <v>136</v>
      </c>
    </row>
    <row r="331" spans="2:65" s="11" customFormat="1">
      <c r="B331" s="136"/>
      <c r="C331" s="164"/>
      <c r="D331" s="161" t="s">
        <v>147</v>
      </c>
      <c r="E331" s="165" t="s">
        <v>2510</v>
      </c>
      <c r="F331" s="166" t="s">
        <v>2511</v>
      </c>
      <c r="G331" s="164"/>
      <c r="H331" s="167">
        <v>97.02</v>
      </c>
      <c r="I331" s="164"/>
      <c r="J331" s="164"/>
      <c r="K331" s="164"/>
      <c r="L331" s="136"/>
      <c r="M331" s="140"/>
      <c r="T331" s="141"/>
      <c r="AT331" s="137" t="s">
        <v>147</v>
      </c>
      <c r="AU331" s="137" t="s">
        <v>19</v>
      </c>
      <c r="AV331" s="11" t="s">
        <v>149</v>
      </c>
      <c r="AW331" s="11" t="s">
        <v>39</v>
      </c>
      <c r="AX331" s="11" t="s">
        <v>81</v>
      </c>
      <c r="AY331" s="137" t="s">
        <v>136</v>
      </c>
    </row>
    <row r="332" spans="2:65" s="11" customFormat="1">
      <c r="B332" s="136"/>
      <c r="C332" s="164"/>
      <c r="D332" s="161" t="s">
        <v>147</v>
      </c>
      <c r="E332" s="165" t="s">
        <v>2512</v>
      </c>
      <c r="F332" s="166" t="s">
        <v>2513</v>
      </c>
      <c r="G332" s="164"/>
      <c r="H332" s="167">
        <v>23</v>
      </c>
      <c r="I332" s="164"/>
      <c r="J332" s="164"/>
      <c r="K332" s="164"/>
      <c r="L332" s="136"/>
      <c r="M332" s="140"/>
      <c r="T332" s="141"/>
      <c r="AT332" s="137" t="s">
        <v>147</v>
      </c>
      <c r="AU332" s="137" t="s">
        <v>19</v>
      </c>
      <c r="AV332" s="11" t="s">
        <v>149</v>
      </c>
      <c r="AW332" s="11" t="s">
        <v>39</v>
      </c>
      <c r="AX332" s="11" t="s">
        <v>81</v>
      </c>
      <c r="AY332" s="137" t="s">
        <v>136</v>
      </c>
    </row>
    <row r="333" spans="2:65" s="11" customFormat="1">
      <c r="B333" s="136"/>
      <c r="C333" s="164"/>
      <c r="D333" s="161" t="s">
        <v>147</v>
      </c>
      <c r="E333" s="165" t="s">
        <v>2514</v>
      </c>
      <c r="F333" s="166" t="s">
        <v>2515</v>
      </c>
      <c r="G333" s="164"/>
      <c r="H333" s="167">
        <v>21.84</v>
      </c>
      <c r="I333" s="164"/>
      <c r="J333" s="164"/>
      <c r="K333" s="164"/>
      <c r="L333" s="136"/>
      <c r="M333" s="140"/>
      <c r="T333" s="141"/>
      <c r="AT333" s="137" t="s">
        <v>147</v>
      </c>
      <c r="AU333" s="137" t="s">
        <v>19</v>
      </c>
      <c r="AV333" s="11" t="s">
        <v>149</v>
      </c>
      <c r="AW333" s="11" t="s">
        <v>39</v>
      </c>
      <c r="AX333" s="11" t="s">
        <v>81</v>
      </c>
      <c r="AY333" s="137" t="s">
        <v>136</v>
      </c>
    </row>
    <row r="334" spans="2:65" s="11" customFormat="1">
      <c r="B334" s="136"/>
      <c r="C334" s="164"/>
      <c r="D334" s="161" t="s">
        <v>147</v>
      </c>
      <c r="E334" s="165" t="s">
        <v>2516</v>
      </c>
      <c r="F334" s="166" t="s">
        <v>2517</v>
      </c>
      <c r="G334" s="164"/>
      <c r="H334" s="167">
        <v>30</v>
      </c>
      <c r="I334" s="164"/>
      <c r="J334" s="164"/>
      <c r="K334" s="164"/>
      <c r="L334" s="136"/>
      <c r="M334" s="140"/>
      <c r="T334" s="141"/>
      <c r="AT334" s="137" t="s">
        <v>147</v>
      </c>
      <c r="AU334" s="137" t="s">
        <v>19</v>
      </c>
      <c r="AV334" s="11" t="s">
        <v>149</v>
      </c>
      <c r="AW334" s="11" t="s">
        <v>39</v>
      </c>
      <c r="AX334" s="11" t="s">
        <v>81</v>
      </c>
      <c r="AY334" s="137" t="s">
        <v>136</v>
      </c>
    </row>
    <row r="335" spans="2:65" s="11" customFormat="1">
      <c r="B335" s="136"/>
      <c r="C335" s="164"/>
      <c r="D335" s="161" t="s">
        <v>147</v>
      </c>
      <c r="E335" s="165" t="s">
        <v>1</v>
      </c>
      <c r="F335" s="166" t="s">
        <v>2518</v>
      </c>
      <c r="G335" s="164"/>
      <c r="H335" s="167">
        <v>673.65</v>
      </c>
      <c r="I335" s="164"/>
      <c r="J335" s="164"/>
      <c r="K335" s="164"/>
      <c r="L335" s="136"/>
      <c r="M335" s="140"/>
      <c r="T335" s="141"/>
      <c r="AT335" s="137" t="s">
        <v>147</v>
      </c>
      <c r="AU335" s="137" t="s">
        <v>19</v>
      </c>
      <c r="AV335" s="11" t="s">
        <v>149</v>
      </c>
      <c r="AW335" s="11" t="s">
        <v>39</v>
      </c>
      <c r="AX335" s="11" t="s">
        <v>19</v>
      </c>
      <c r="AY335" s="137" t="s">
        <v>136</v>
      </c>
    </row>
    <row r="336" spans="2:65" s="1" customFormat="1" ht="24.15" customHeight="1">
      <c r="B336" s="119"/>
      <c r="C336" s="154" t="s">
        <v>1492</v>
      </c>
      <c r="D336" s="154" t="s">
        <v>137</v>
      </c>
      <c r="E336" s="155" t="s">
        <v>2040</v>
      </c>
      <c r="F336" s="156" t="s">
        <v>2041</v>
      </c>
      <c r="G336" s="157" t="s">
        <v>260</v>
      </c>
      <c r="H336" s="158">
        <v>134.22900000000001</v>
      </c>
      <c r="I336" s="159">
        <v>0</v>
      </c>
      <c r="J336" s="159">
        <f>ROUND(I336*H336,2)</f>
        <v>0</v>
      </c>
      <c r="K336" s="156" t="s">
        <v>141</v>
      </c>
      <c r="L336" s="26"/>
      <c r="M336" s="126" t="s">
        <v>1</v>
      </c>
      <c r="N336" s="127" t="s">
        <v>46</v>
      </c>
      <c r="O336" s="128">
        <v>0</v>
      </c>
      <c r="P336" s="128">
        <f>O336*H336</f>
        <v>0</v>
      </c>
      <c r="Q336" s="128">
        <v>0</v>
      </c>
      <c r="R336" s="128">
        <f>Q336*H336</f>
        <v>0</v>
      </c>
      <c r="S336" s="128">
        <v>0</v>
      </c>
      <c r="T336" s="129">
        <f>S336*H336</f>
        <v>0</v>
      </c>
      <c r="AR336" s="130" t="s">
        <v>135</v>
      </c>
      <c r="AT336" s="130" t="s">
        <v>137</v>
      </c>
      <c r="AU336" s="130" t="s">
        <v>19</v>
      </c>
      <c r="AY336" s="14" t="s">
        <v>136</v>
      </c>
      <c r="BE336" s="131">
        <f>IF(N336="základní",J336,0)</f>
        <v>0</v>
      </c>
      <c r="BF336" s="131">
        <f>IF(N336="snížená",J336,0)</f>
        <v>0</v>
      </c>
      <c r="BG336" s="131">
        <f>IF(N336="zákl. přenesená",J336,0)</f>
        <v>0</v>
      </c>
      <c r="BH336" s="131">
        <f>IF(N336="sníž. přenesená",J336,0)</f>
        <v>0</v>
      </c>
      <c r="BI336" s="131">
        <f>IF(N336="nulová",J336,0)</f>
        <v>0</v>
      </c>
      <c r="BJ336" s="14" t="s">
        <v>19</v>
      </c>
      <c r="BK336" s="131">
        <f>ROUND(I336*H336,2)</f>
        <v>0</v>
      </c>
      <c r="BL336" s="14" t="s">
        <v>135</v>
      </c>
      <c r="BM336" s="130" t="s">
        <v>2519</v>
      </c>
    </row>
    <row r="337" spans="2:65" s="1" customFormat="1" ht="19.2">
      <c r="B337" s="26"/>
      <c r="C337" s="160"/>
      <c r="D337" s="161" t="s">
        <v>143</v>
      </c>
      <c r="E337" s="160"/>
      <c r="F337" s="162" t="s">
        <v>2520</v>
      </c>
      <c r="G337" s="160"/>
      <c r="H337" s="160"/>
      <c r="I337" s="160"/>
      <c r="J337" s="160"/>
      <c r="K337" s="160"/>
      <c r="L337" s="26"/>
      <c r="M337" s="134"/>
      <c r="T337" s="50"/>
      <c r="AT337" s="14" t="s">
        <v>143</v>
      </c>
      <c r="AU337" s="14" t="s">
        <v>19</v>
      </c>
    </row>
    <row r="338" spans="2:65" s="1" customFormat="1" ht="28.8">
      <c r="B338" s="26"/>
      <c r="C338" s="160"/>
      <c r="D338" s="161" t="s">
        <v>145</v>
      </c>
      <c r="E338" s="160"/>
      <c r="F338" s="163" t="s">
        <v>849</v>
      </c>
      <c r="G338" s="160"/>
      <c r="H338" s="160"/>
      <c r="I338" s="160"/>
      <c r="J338" s="160"/>
      <c r="K338" s="160"/>
      <c r="L338" s="26"/>
      <c r="M338" s="134"/>
      <c r="T338" s="50"/>
      <c r="AT338" s="14" t="s">
        <v>145</v>
      </c>
      <c r="AU338" s="14" t="s">
        <v>19</v>
      </c>
    </row>
    <row r="339" spans="2:65" s="11" customFormat="1">
      <c r="B339" s="136"/>
      <c r="C339" s="164"/>
      <c r="D339" s="161" t="s">
        <v>147</v>
      </c>
      <c r="E339" s="165" t="s">
        <v>2521</v>
      </c>
      <c r="F339" s="166" t="s">
        <v>2522</v>
      </c>
      <c r="G339" s="164"/>
      <c r="H339" s="167">
        <v>21.269999999999996</v>
      </c>
      <c r="I339" s="164"/>
      <c r="J339" s="164"/>
      <c r="K339" s="164"/>
      <c r="L339" s="136"/>
      <c r="M339" s="140"/>
      <c r="T339" s="141"/>
      <c r="AT339" s="137" t="s">
        <v>147</v>
      </c>
      <c r="AU339" s="137" t="s">
        <v>19</v>
      </c>
      <c r="AV339" s="11" t="s">
        <v>149</v>
      </c>
      <c r="AW339" s="11" t="s">
        <v>39</v>
      </c>
      <c r="AX339" s="11" t="s">
        <v>81</v>
      </c>
      <c r="AY339" s="137" t="s">
        <v>136</v>
      </c>
    </row>
    <row r="340" spans="2:65" s="11" customFormat="1">
      <c r="B340" s="136"/>
      <c r="C340" s="164"/>
      <c r="D340" s="161" t="s">
        <v>147</v>
      </c>
      <c r="E340" s="165" t="s">
        <v>2523</v>
      </c>
      <c r="F340" s="166" t="s">
        <v>2524</v>
      </c>
      <c r="G340" s="164"/>
      <c r="H340" s="167">
        <v>21.269999999999996</v>
      </c>
      <c r="I340" s="164"/>
      <c r="J340" s="164"/>
      <c r="K340" s="164"/>
      <c r="L340" s="136"/>
      <c r="M340" s="140"/>
      <c r="T340" s="141"/>
      <c r="AT340" s="137" t="s">
        <v>147</v>
      </c>
      <c r="AU340" s="137" t="s">
        <v>19</v>
      </c>
      <c r="AV340" s="11" t="s">
        <v>149</v>
      </c>
      <c r="AW340" s="11" t="s">
        <v>39</v>
      </c>
      <c r="AX340" s="11" t="s">
        <v>81</v>
      </c>
      <c r="AY340" s="137" t="s">
        <v>136</v>
      </c>
    </row>
    <row r="341" spans="2:65" s="11" customFormat="1">
      <c r="B341" s="136"/>
      <c r="C341" s="164"/>
      <c r="D341" s="161" t="s">
        <v>147</v>
      </c>
      <c r="E341" s="165" t="s">
        <v>2525</v>
      </c>
      <c r="F341" s="166" t="s">
        <v>2526</v>
      </c>
      <c r="G341" s="164"/>
      <c r="H341" s="167">
        <v>21.269999999999996</v>
      </c>
      <c r="I341" s="164"/>
      <c r="J341" s="164"/>
      <c r="K341" s="164"/>
      <c r="L341" s="136"/>
      <c r="M341" s="140"/>
      <c r="T341" s="141"/>
      <c r="AT341" s="137" t="s">
        <v>147</v>
      </c>
      <c r="AU341" s="137" t="s">
        <v>19</v>
      </c>
      <c r="AV341" s="11" t="s">
        <v>149</v>
      </c>
      <c r="AW341" s="11" t="s">
        <v>39</v>
      </c>
      <c r="AX341" s="11" t="s">
        <v>81</v>
      </c>
      <c r="AY341" s="137" t="s">
        <v>136</v>
      </c>
    </row>
    <row r="342" spans="2:65" s="11" customFormat="1">
      <c r="B342" s="136"/>
      <c r="C342" s="164"/>
      <c r="D342" s="161" t="s">
        <v>147</v>
      </c>
      <c r="E342" s="165" t="s">
        <v>2527</v>
      </c>
      <c r="F342" s="166" t="s">
        <v>2528</v>
      </c>
      <c r="G342" s="164"/>
      <c r="H342" s="167">
        <v>21.269999999999996</v>
      </c>
      <c r="I342" s="164"/>
      <c r="J342" s="164"/>
      <c r="K342" s="164"/>
      <c r="L342" s="136"/>
      <c r="M342" s="140"/>
      <c r="T342" s="141"/>
      <c r="AT342" s="137" t="s">
        <v>147</v>
      </c>
      <c r="AU342" s="137" t="s">
        <v>19</v>
      </c>
      <c r="AV342" s="11" t="s">
        <v>149</v>
      </c>
      <c r="AW342" s="11" t="s">
        <v>39</v>
      </c>
      <c r="AX342" s="11" t="s">
        <v>81</v>
      </c>
      <c r="AY342" s="137" t="s">
        <v>136</v>
      </c>
    </row>
    <row r="343" spans="2:65" s="11" customFormat="1" ht="20.399999999999999">
      <c r="B343" s="136"/>
      <c r="C343" s="164"/>
      <c r="D343" s="161" t="s">
        <v>147</v>
      </c>
      <c r="E343" s="165" t="s">
        <v>2529</v>
      </c>
      <c r="F343" s="166" t="s">
        <v>2530</v>
      </c>
      <c r="G343" s="164"/>
      <c r="H343" s="167">
        <v>12.348999999999998</v>
      </c>
      <c r="I343" s="164"/>
      <c r="J343" s="164"/>
      <c r="K343" s="164"/>
      <c r="L343" s="136"/>
      <c r="M343" s="140"/>
      <c r="T343" s="141"/>
      <c r="AT343" s="137" t="s">
        <v>147</v>
      </c>
      <c r="AU343" s="137" t="s">
        <v>19</v>
      </c>
      <c r="AV343" s="11" t="s">
        <v>149</v>
      </c>
      <c r="AW343" s="11" t="s">
        <v>39</v>
      </c>
      <c r="AX343" s="11" t="s">
        <v>81</v>
      </c>
      <c r="AY343" s="137" t="s">
        <v>136</v>
      </c>
    </row>
    <row r="344" spans="2:65" s="11" customFormat="1" ht="20.399999999999999">
      <c r="B344" s="136"/>
      <c r="C344" s="164"/>
      <c r="D344" s="161" t="s">
        <v>147</v>
      </c>
      <c r="E344" s="165" t="s">
        <v>2531</v>
      </c>
      <c r="F344" s="166" t="s">
        <v>2532</v>
      </c>
      <c r="G344" s="164"/>
      <c r="H344" s="167">
        <v>11.755000000000001</v>
      </c>
      <c r="I344" s="164"/>
      <c r="J344" s="164"/>
      <c r="K344" s="164"/>
      <c r="L344" s="136"/>
      <c r="M344" s="140"/>
      <c r="T344" s="141"/>
      <c r="AT344" s="137" t="s">
        <v>147</v>
      </c>
      <c r="AU344" s="137" t="s">
        <v>19</v>
      </c>
      <c r="AV344" s="11" t="s">
        <v>149</v>
      </c>
      <c r="AW344" s="11" t="s">
        <v>39</v>
      </c>
      <c r="AX344" s="11" t="s">
        <v>81</v>
      </c>
      <c r="AY344" s="137" t="s">
        <v>136</v>
      </c>
    </row>
    <row r="345" spans="2:65" s="11" customFormat="1" ht="20.399999999999999">
      <c r="B345" s="136"/>
      <c r="C345" s="164"/>
      <c r="D345" s="161" t="s">
        <v>147</v>
      </c>
      <c r="E345" s="165" t="s">
        <v>2533</v>
      </c>
      <c r="F345" s="166" t="s">
        <v>2534</v>
      </c>
      <c r="G345" s="164"/>
      <c r="H345" s="167">
        <v>13.043000000000001</v>
      </c>
      <c r="I345" s="164"/>
      <c r="J345" s="164"/>
      <c r="K345" s="164"/>
      <c r="L345" s="136"/>
      <c r="M345" s="140"/>
      <c r="T345" s="141"/>
      <c r="AT345" s="137" t="s">
        <v>147</v>
      </c>
      <c r="AU345" s="137" t="s">
        <v>19</v>
      </c>
      <c r="AV345" s="11" t="s">
        <v>149</v>
      </c>
      <c r="AW345" s="11" t="s">
        <v>39</v>
      </c>
      <c r="AX345" s="11" t="s">
        <v>81</v>
      </c>
      <c r="AY345" s="137" t="s">
        <v>136</v>
      </c>
    </row>
    <row r="346" spans="2:65" s="11" customFormat="1" ht="20.399999999999999">
      <c r="B346" s="136"/>
      <c r="C346" s="164"/>
      <c r="D346" s="161" t="s">
        <v>147</v>
      </c>
      <c r="E346" s="165" t="s">
        <v>2535</v>
      </c>
      <c r="F346" s="166" t="s">
        <v>2536</v>
      </c>
      <c r="G346" s="164"/>
      <c r="H346" s="167">
        <v>12.002000000000001</v>
      </c>
      <c r="I346" s="164"/>
      <c r="J346" s="164"/>
      <c r="K346" s="164"/>
      <c r="L346" s="136"/>
      <c r="M346" s="140"/>
      <c r="T346" s="141"/>
      <c r="AT346" s="137" t="s">
        <v>147</v>
      </c>
      <c r="AU346" s="137" t="s">
        <v>19</v>
      </c>
      <c r="AV346" s="11" t="s">
        <v>149</v>
      </c>
      <c r="AW346" s="11" t="s">
        <v>39</v>
      </c>
      <c r="AX346" s="11" t="s">
        <v>81</v>
      </c>
      <c r="AY346" s="137" t="s">
        <v>136</v>
      </c>
    </row>
    <row r="347" spans="2:65" s="11" customFormat="1">
      <c r="B347" s="136"/>
      <c r="C347" s="164"/>
      <c r="D347" s="161" t="s">
        <v>147</v>
      </c>
      <c r="E347" s="165" t="s">
        <v>1</v>
      </c>
      <c r="F347" s="166" t="s">
        <v>2312</v>
      </c>
      <c r="G347" s="164"/>
      <c r="H347" s="167">
        <v>134.22900000000001</v>
      </c>
      <c r="I347" s="164"/>
      <c r="J347" s="164"/>
      <c r="K347" s="164"/>
      <c r="L347" s="136"/>
      <c r="M347" s="140"/>
      <c r="T347" s="141"/>
      <c r="AT347" s="137" t="s">
        <v>147</v>
      </c>
      <c r="AU347" s="137" t="s">
        <v>19</v>
      </c>
      <c r="AV347" s="11" t="s">
        <v>149</v>
      </c>
      <c r="AW347" s="11" t="s">
        <v>39</v>
      </c>
      <c r="AX347" s="11" t="s">
        <v>19</v>
      </c>
      <c r="AY347" s="137" t="s">
        <v>136</v>
      </c>
    </row>
    <row r="348" spans="2:65" s="1" customFormat="1" ht="16.5" customHeight="1">
      <c r="B348" s="119"/>
      <c r="C348" s="154" t="s">
        <v>1525</v>
      </c>
      <c r="D348" s="154" t="s">
        <v>137</v>
      </c>
      <c r="E348" s="155" t="s">
        <v>2055</v>
      </c>
      <c r="F348" s="156" t="s">
        <v>2056</v>
      </c>
      <c r="G348" s="157" t="s">
        <v>260</v>
      </c>
      <c r="H348" s="158">
        <v>836.34</v>
      </c>
      <c r="I348" s="159">
        <v>0</v>
      </c>
      <c r="J348" s="159">
        <f>ROUND(I348*H348,2)</f>
        <v>0</v>
      </c>
      <c r="K348" s="156" t="s">
        <v>141</v>
      </c>
      <c r="L348" s="26"/>
      <c r="M348" s="126" t="s">
        <v>1</v>
      </c>
      <c r="N348" s="127" t="s">
        <v>46</v>
      </c>
      <c r="O348" s="128">
        <v>0</v>
      </c>
      <c r="P348" s="128">
        <f>O348*H348</f>
        <v>0</v>
      </c>
      <c r="Q348" s="128">
        <v>0</v>
      </c>
      <c r="R348" s="128">
        <f>Q348*H348</f>
        <v>0</v>
      </c>
      <c r="S348" s="128">
        <v>0</v>
      </c>
      <c r="T348" s="129">
        <f>S348*H348</f>
        <v>0</v>
      </c>
      <c r="AR348" s="130" t="s">
        <v>135</v>
      </c>
      <c r="AT348" s="130" t="s">
        <v>137</v>
      </c>
      <c r="AU348" s="130" t="s">
        <v>19</v>
      </c>
      <c r="AY348" s="14" t="s">
        <v>136</v>
      </c>
      <c r="BE348" s="131">
        <f>IF(N348="základní",J348,0)</f>
        <v>0</v>
      </c>
      <c r="BF348" s="131">
        <f>IF(N348="snížená",J348,0)</f>
        <v>0</v>
      </c>
      <c r="BG348" s="131">
        <f>IF(N348="zákl. přenesená",J348,0)</f>
        <v>0</v>
      </c>
      <c r="BH348" s="131">
        <f>IF(N348="sníž. přenesená",J348,0)</f>
        <v>0</v>
      </c>
      <c r="BI348" s="131">
        <f>IF(N348="nulová",J348,0)</f>
        <v>0</v>
      </c>
      <c r="BJ348" s="14" t="s">
        <v>19</v>
      </c>
      <c r="BK348" s="131">
        <f>ROUND(I348*H348,2)</f>
        <v>0</v>
      </c>
      <c r="BL348" s="14" t="s">
        <v>135</v>
      </c>
      <c r="BM348" s="130" t="s">
        <v>2537</v>
      </c>
    </row>
    <row r="349" spans="2:65" s="1" customFormat="1">
      <c r="B349" s="26"/>
      <c r="C349" s="160"/>
      <c r="D349" s="161" t="s">
        <v>143</v>
      </c>
      <c r="E349" s="160"/>
      <c r="F349" s="162" t="s">
        <v>2538</v>
      </c>
      <c r="G349" s="160"/>
      <c r="H349" s="160"/>
      <c r="I349" s="160"/>
      <c r="J349" s="160"/>
      <c r="K349" s="160"/>
      <c r="L349" s="26"/>
      <c r="M349" s="134"/>
      <c r="T349" s="50"/>
      <c r="AT349" s="14" t="s">
        <v>143</v>
      </c>
      <c r="AU349" s="14" t="s">
        <v>19</v>
      </c>
    </row>
    <row r="350" spans="2:65" s="1" customFormat="1" ht="86.4">
      <c r="B350" s="26"/>
      <c r="C350" s="160"/>
      <c r="D350" s="161" t="s">
        <v>145</v>
      </c>
      <c r="E350" s="160"/>
      <c r="F350" s="163" t="s">
        <v>2539</v>
      </c>
      <c r="G350" s="160"/>
      <c r="H350" s="160"/>
      <c r="I350" s="160"/>
      <c r="J350" s="160"/>
      <c r="K350" s="160"/>
      <c r="L350" s="26"/>
      <c r="M350" s="134"/>
      <c r="T350" s="50"/>
      <c r="AT350" s="14" t="s">
        <v>145</v>
      </c>
      <c r="AU350" s="14" t="s">
        <v>19</v>
      </c>
    </row>
    <row r="351" spans="2:65" s="11" customFormat="1">
      <c r="B351" s="136"/>
      <c r="C351" s="164"/>
      <c r="D351" s="161" t="s">
        <v>147</v>
      </c>
      <c r="E351" s="165" t="s">
        <v>2540</v>
      </c>
      <c r="F351" s="166" t="s">
        <v>2541</v>
      </c>
      <c r="G351" s="164"/>
      <c r="H351" s="167">
        <v>283.54999999999995</v>
      </c>
      <c r="I351" s="164"/>
      <c r="J351" s="164"/>
      <c r="K351" s="164"/>
      <c r="L351" s="136"/>
      <c r="M351" s="140"/>
      <c r="T351" s="141"/>
      <c r="AT351" s="137" t="s">
        <v>147</v>
      </c>
      <c r="AU351" s="137" t="s">
        <v>19</v>
      </c>
      <c r="AV351" s="11" t="s">
        <v>149</v>
      </c>
      <c r="AW351" s="11" t="s">
        <v>39</v>
      </c>
      <c r="AX351" s="11" t="s">
        <v>81</v>
      </c>
      <c r="AY351" s="137" t="s">
        <v>136</v>
      </c>
    </row>
    <row r="352" spans="2:65" s="11" customFormat="1">
      <c r="B352" s="136"/>
      <c r="C352" s="164"/>
      <c r="D352" s="161" t="s">
        <v>147</v>
      </c>
      <c r="E352" s="165" t="s">
        <v>2542</v>
      </c>
      <c r="F352" s="166" t="s">
        <v>2543</v>
      </c>
      <c r="G352" s="164"/>
      <c r="H352" s="167">
        <v>49.219999999999992</v>
      </c>
      <c r="I352" s="164"/>
      <c r="J352" s="164"/>
      <c r="K352" s="164"/>
      <c r="L352" s="136"/>
      <c r="M352" s="140"/>
      <c r="T352" s="141"/>
      <c r="AT352" s="137" t="s">
        <v>147</v>
      </c>
      <c r="AU352" s="137" t="s">
        <v>19</v>
      </c>
      <c r="AV352" s="11" t="s">
        <v>149</v>
      </c>
      <c r="AW352" s="11" t="s">
        <v>39</v>
      </c>
      <c r="AX352" s="11" t="s">
        <v>81</v>
      </c>
      <c r="AY352" s="137" t="s">
        <v>136</v>
      </c>
    </row>
    <row r="353" spans="2:51" s="11" customFormat="1">
      <c r="B353" s="136"/>
      <c r="C353" s="164"/>
      <c r="D353" s="161" t="s">
        <v>147</v>
      </c>
      <c r="E353" s="165" t="s">
        <v>2544</v>
      </c>
      <c r="F353" s="166" t="s">
        <v>2356</v>
      </c>
      <c r="G353" s="164"/>
      <c r="H353" s="167">
        <v>42.699999999999996</v>
      </c>
      <c r="I353" s="164"/>
      <c r="J353" s="164"/>
      <c r="K353" s="164"/>
      <c r="L353" s="136"/>
      <c r="M353" s="140"/>
      <c r="T353" s="141"/>
      <c r="AT353" s="137" t="s">
        <v>147</v>
      </c>
      <c r="AU353" s="137" t="s">
        <v>19</v>
      </c>
      <c r="AV353" s="11" t="s">
        <v>149</v>
      </c>
      <c r="AW353" s="11" t="s">
        <v>39</v>
      </c>
      <c r="AX353" s="11" t="s">
        <v>81</v>
      </c>
      <c r="AY353" s="137" t="s">
        <v>136</v>
      </c>
    </row>
    <row r="354" spans="2:51" s="11" customFormat="1">
      <c r="B354" s="136"/>
      <c r="C354" s="164"/>
      <c r="D354" s="161" t="s">
        <v>147</v>
      </c>
      <c r="E354" s="165" t="s">
        <v>2545</v>
      </c>
      <c r="F354" s="166" t="s">
        <v>2358</v>
      </c>
      <c r="G354" s="164"/>
      <c r="H354" s="167">
        <v>42.699999999999996</v>
      </c>
      <c r="I354" s="164"/>
      <c r="J354" s="164"/>
      <c r="K354" s="164"/>
      <c r="L354" s="136"/>
      <c r="M354" s="140"/>
      <c r="T354" s="141"/>
      <c r="AT354" s="137" t="s">
        <v>147</v>
      </c>
      <c r="AU354" s="137" t="s">
        <v>19</v>
      </c>
      <c r="AV354" s="11" t="s">
        <v>149</v>
      </c>
      <c r="AW354" s="11" t="s">
        <v>39</v>
      </c>
      <c r="AX354" s="11" t="s">
        <v>81</v>
      </c>
      <c r="AY354" s="137" t="s">
        <v>136</v>
      </c>
    </row>
    <row r="355" spans="2:51" s="11" customFormat="1">
      <c r="B355" s="136"/>
      <c r="C355" s="164"/>
      <c r="D355" s="161" t="s">
        <v>147</v>
      </c>
      <c r="E355" s="165" t="s">
        <v>2546</v>
      </c>
      <c r="F355" s="166" t="s">
        <v>2547</v>
      </c>
      <c r="G355" s="164"/>
      <c r="H355" s="167">
        <v>283.54999999999995</v>
      </c>
      <c r="I355" s="164"/>
      <c r="J355" s="164"/>
      <c r="K355" s="164"/>
      <c r="L355" s="136"/>
      <c r="M355" s="140"/>
      <c r="T355" s="141"/>
      <c r="AT355" s="137" t="s">
        <v>147</v>
      </c>
      <c r="AU355" s="137" t="s">
        <v>19</v>
      </c>
      <c r="AV355" s="11" t="s">
        <v>149</v>
      </c>
      <c r="AW355" s="11" t="s">
        <v>39</v>
      </c>
      <c r="AX355" s="11" t="s">
        <v>81</v>
      </c>
      <c r="AY355" s="137" t="s">
        <v>136</v>
      </c>
    </row>
    <row r="356" spans="2:51" s="11" customFormat="1">
      <c r="B356" s="136"/>
      <c r="C356" s="164"/>
      <c r="D356" s="161" t="s">
        <v>147</v>
      </c>
      <c r="E356" s="165" t="s">
        <v>2548</v>
      </c>
      <c r="F356" s="166" t="s">
        <v>2549</v>
      </c>
      <c r="G356" s="164"/>
      <c r="H356" s="167">
        <v>49.219999999999992</v>
      </c>
      <c r="I356" s="164"/>
      <c r="J356" s="164"/>
      <c r="K356" s="164"/>
      <c r="L356" s="136"/>
      <c r="M356" s="140"/>
      <c r="T356" s="141"/>
      <c r="AT356" s="137" t="s">
        <v>147</v>
      </c>
      <c r="AU356" s="137" t="s">
        <v>19</v>
      </c>
      <c r="AV356" s="11" t="s">
        <v>149</v>
      </c>
      <c r="AW356" s="11" t="s">
        <v>39</v>
      </c>
      <c r="AX356" s="11" t="s">
        <v>81</v>
      </c>
      <c r="AY356" s="137" t="s">
        <v>136</v>
      </c>
    </row>
    <row r="357" spans="2:51" s="11" customFormat="1">
      <c r="B357" s="136"/>
      <c r="C357" s="164"/>
      <c r="D357" s="161" t="s">
        <v>147</v>
      </c>
      <c r="E357" s="165" t="s">
        <v>2550</v>
      </c>
      <c r="F357" s="166" t="s">
        <v>2360</v>
      </c>
      <c r="G357" s="164"/>
      <c r="H357" s="167">
        <v>42.699999999999996</v>
      </c>
      <c r="I357" s="164"/>
      <c r="J357" s="164"/>
      <c r="K357" s="164"/>
      <c r="L357" s="136"/>
      <c r="M357" s="140"/>
      <c r="T357" s="141"/>
      <c r="AT357" s="137" t="s">
        <v>147</v>
      </c>
      <c r="AU357" s="137" t="s">
        <v>19</v>
      </c>
      <c r="AV357" s="11" t="s">
        <v>149</v>
      </c>
      <c r="AW357" s="11" t="s">
        <v>39</v>
      </c>
      <c r="AX357" s="11" t="s">
        <v>81</v>
      </c>
      <c r="AY357" s="137" t="s">
        <v>136</v>
      </c>
    </row>
    <row r="358" spans="2:51" s="11" customFormat="1">
      <c r="B358" s="136"/>
      <c r="C358" s="164"/>
      <c r="D358" s="161" t="s">
        <v>147</v>
      </c>
      <c r="E358" s="165" t="s">
        <v>2551</v>
      </c>
      <c r="F358" s="166" t="s">
        <v>2362</v>
      </c>
      <c r="G358" s="164"/>
      <c r="H358" s="167">
        <v>42.699999999999996</v>
      </c>
      <c r="I358" s="164"/>
      <c r="J358" s="164"/>
      <c r="K358" s="164"/>
      <c r="L358" s="136"/>
      <c r="M358" s="140"/>
      <c r="T358" s="141"/>
      <c r="AT358" s="137" t="s">
        <v>147</v>
      </c>
      <c r="AU358" s="137" t="s">
        <v>19</v>
      </c>
      <c r="AV358" s="11" t="s">
        <v>149</v>
      </c>
      <c r="AW358" s="11" t="s">
        <v>39</v>
      </c>
      <c r="AX358" s="11" t="s">
        <v>81</v>
      </c>
      <c r="AY358" s="137" t="s">
        <v>136</v>
      </c>
    </row>
    <row r="359" spans="2:51" s="11" customFormat="1">
      <c r="B359" s="136"/>
      <c r="C359" s="164"/>
      <c r="D359" s="161" t="s">
        <v>147</v>
      </c>
      <c r="E359" s="165" t="s">
        <v>1</v>
      </c>
      <c r="F359" s="166" t="s">
        <v>2552</v>
      </c>
      <c r="G359" s="164"/>
      <c r="H359" s="167">
        <v>836.34</v>
      </c>
      <c r="I359" s="164"/>
      <c r="J359" s="164"/>
      <c r="K359" s="164"/>
      <c r="L359" s="136"/>
      <c r="M359" s="142"/>
      <c r="N359" s="143"/>
      <c r="O359" s="143"/>
      <c r="P359" s="143"/>
      <c r="Q359" s="143"/>
      <c r="R359" s="143"/>
      <c r="S359" s="143"/>
      <c r="T359" s="144"/>
      <c r="AT359" s="137" t="s">
        <v>147</v>
      </c>
      <c r="AU359" s="137" t="s">
        <v>19</v>
      </c>
      <c r="AV359" s="11" t="s">
        <v>149</v>
      </c>
      <c r="AW359" s="11" t="s">
        <v>39</v>
      </c>
      <c r="AX359" s="11" t="s">
        <v>19</v>
      </c>
      <c r="AY359" s="137" t="s">
        <v>136</v>
      </c>
    </row>
    <row r="360" spans="2:51" s="1" customFormat="1" ht="6.9" customHeight="1">
      <c r="B360" s="38"/>
      <c r="C360" s="39"/>
      <c r="D360" s="39"/>
      <c r="E360" s="39"/>
      <c r="F360" s="39"/>
      <c r="G360" s="39"/>
      <c r="H360" s="39"/>
      <c r="I360" s="39"/>
      <c r="J360" s="39"/>
      <c r="K360" s="39"/>
      <c r="L360" s="26"/>
    </row>
  </sheetData>
  <autoFilter ref="C16:K359" xr:uid="{00000000-0009-0000-0000-000007000000}"/>
  <mergeCells count="2">
    <mergeCell ref="E7:H7"/>
    <mergeCell ref="E9:H9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BM122"/>
  <sheetViews>
    <sheetView showGridLines="0" workbookViewId="0"/>
  </sheetViews>
  <sheetFormatPr defaultRowHeight="10.199999999999999"/>
  <cols>
    <col min="1" max="1" width="8.28515625" customWidth="1"/>
    <col min="2" max="2" width="1.140625" customWidth="1"/>
    <col min="3" max="3" width="4.140625" customWidth="1"/>
    <col min="4" max="4" width="4.28515625" customWidth="1"/>
    <col min="5" max="5" width="17.140625" customWidth="1"/>
    <col min="6" max="6" width="50.85546875" customWidth="1"/>
    <col min="7" max="7" width="7.42578125" customWidth="1"/>
    <col min="8" max="8" width="14" customWidth="1"/>
    <col min="9" max="9" width="15.85546875" customWidth="1"/>
    <col min="10" max="11" width="22.28515625" customWidth="1"/>
    <col min="12" max="12" width="9.28515625" customWidth="1"/>
    <col min="13" max="13" width="10.85546875" hidden="1" customWidth="1"/>
    <col min="14" max="14" width="9.28515625" hidden="1"/>
    <col min="15" max="20" width="14.140625" hidden="1" customWidth="1"/>
    <col min="21" max="21" width="16.28515625" hidden="1" customWidth="1"/>
    <col min="22" max="22" width="12.28515625" customWidth="1"/>
    <col min="23" max="23" width="16.28515625" customWidth="1"/>
    <col min="24" max="24" width="12.28515625" customWidth="1"/>
    <col min="25" max="25" width="15" customWidth="1"/>
    <col min="26" max="26" width="11" customWidth="1"/>
    <col min="27" max="27" width="15" customWidth="1"/>
    <col min="28" max="28" width="16.28515625" customWidth="1"/>
    <col min="29" max="29" width="11" customWidth="1"/>
    <col min="30" max="30" width="15" customWidth="1"/>
    <col min="31" max="31" width="16.28515625" customWidth="1"/>
    <col min="44" max="65" width="9.28515625" hidden="1"/>
  </cols>
  <sheetData>
    <row r="2" spans="2:46" ht="36.9" customHeight="1">
      <c r="L2" s="197" t="s">
        <v>5</v>
      </c>
      <c r="M2" s="191"/>
      <c r="N2" s="191"/>
      <c r="O2" s="191"/>
      <c r="P2" s="191"/>
      <c r="Q2" s="191"/>
      <c r="R2" s="191"/>
      <c r="S2" s="191"/>
      <c r="T2" s="191"/>
      <c r="U2" s="191"/>
      <c r="V2" s="191"/>
      <c r="AT2" s="14" t="s">
        <v>111</v>
      </c>
    </row>
    <row r="3" spans="2:46" ht="6.9" hidden="1" customHeight="1">
      <c r="B3" s="15"/>
      <c r="C3" s="16"/>
      <c r="D3" s="16"/>
      <c r="E3" s="16"/>
      <c r="F3" s="16"/>
      <c r="G3" s="16"/>
      <c r="H3" s="16"/>
      <c r="I3" s="16"/>
      <c r="J3" s="16"/>
      <c r="K3" s="16"/>
      <c r="L3" s="17"/>
      <c r="AT3" s="14" t="s">
        <v>90</v>
      </c>
    </row>
    <row r="4" spans="2:46" ht="24.9" hidden="1" customHeight="1">
      <c r="B4" s="17"/>
      <c r="D4" s="18" t="s">
        <v>112</v>
      </c>
      <c r="L4" s="17"/>
      <c r="M4" s="82" t="s">
        <v>10</v>
      </c>
      <c r="AT4" s="14" t="s">
        <v>3</v>
      </c>
    </row>
    <row r="5" spans="2:46" ht="6.9" hidden="1" customHeight="1">
      <c r="B5" s="17"/>
      <c r="L5" s="17"/>
    </row>
    <row r="6" spans="2:46" ht="12" hidden="1" customHeight="1">
      <c r="B6" s="17"/>
      <c r="D6" s="23" t="s">
        <v>14</v>
      </c>
      <c r="L6" s="17"/>
    </row>
    <row r="7" spans="2:46" ht="16.5" hidden="1" customHeight="1">
      <c r="B7" s="17"/>
      <c r="E7" s="203" t="str">
        <f>'Rekapitulace stavby'!K6</f>
        <v>I/26 Kyšice - Plzeň, Hřbitovní</v>
      </c>
      <c r="F7" s="204"/>
      <c r="G7" s="204"/>
      <c r="H7" s="204"/>
      <c r="L7" s="17"/>
    </row>
    <row r="8" spans="2:46" s="1" customFormat="1" ht="12" hidden="1" customHeight="1">
      <c r="B8" s="26"/>
      <c r="D8" s="23" t="s">
        <v>113</v>
      </c>
      <c r="L8" s="26"/>
    </row>
    <row r="9" spans="2:46" s="1" customFormat="1" ht="16.5" hidden="1" customHeight="1">
      <c r="B9" s="26"/>
      <c r="E9" s="168" t="s">
        <v>2553</v>
      </c>
      <c r="F9" s="202"/>
      <c r="G9" s="202"/>
      <c r="H9" s="202"/>
      <c r="L9" s="26"/>
    </row>
    <row r="10" spans="2:46" s="1" customFormat="1" hidden="1">
      <c r="B10" s="26"/>
      <c r="L10" s="26"/>
    </row>
    <row r="11" spans="2:46" s="1" customFormat="1" ht="12" hidden="1" customHeight="1">
      <c r="B11" s="26"/>
      <c r="D11" s="23" t="s">
        <v>17</v>
      </c>
      <c r="F11" s="21" t="s">
        <v>1</v>
      </c>
      <c r="I11" s="23" t="s">
        <v>18</v>
      </c>
      <c r="J11" s="21" t="s">
        <v>1</v>
      </c>
      <c r="L11" s="26"/>
    </row>
    <row r="12" spans="2:46" s="1" customFormat="1" ht="12" hidden="1" customHeight="1">
      <c r="B12" s="26"/>
      <c r="D12" s="23" t="s">
        <v>20</v>
      </c>
      <c r="F12" s="21" t="s">
        <v>21</v>
      </c>
      <c r="I12" s="23" t="s">
        <v>22</v>
      </c>
      <c r="J12" s="46" t="str">
        <f>'Rekapitulace stavby'!AN8</f>
        <v>20. 1. 2026</v>
      </c>
      <c r="L12" s="26"/>
    </row>
    <row r="13" spans="2:46" s="1" customFormat="1" ht="10.95" hidden="1" customHeight="1">
      <c r="B13" s="26"/>
      <c r="L13" s="26"/>
    </row>
    <row r="14" spans="2:46" s="1" customFormat="1" ht="12" hidden="1" customHeight="1">
      <c r="B14" s="26"/>
      <c r="D14" s="23" t="s">
        <v>26</v>
      </c>
      <c r="I14" s="23" t="s">
        <v>27</v>
      </c>
      <c r="J14" s="21" t="s">
        <v>28</v>
      </c>
      <c r="L14" s="26"/>
    </row>
    <row r="15" spans="2:46" s="1" customFormat="1" ht="18" hidden="1" customHeight="1">
      <c r="B15" s="26"/>
      <c r="E15" s="21" t="s">
        <v>29</v>
      </c>
      <c r="I15" s="23" t="s">
        <v>30</v>
      </c>
      <c r="J15" s="21" t="s">
        <v>31</v>
      </c>
      <c r="L15" s="26"/>
    </row>
    <row r="16" spans="2:46" s="1" customFormat="1" ht="6.9" hidden="1" customHeight="1">
      <c r="B16" s="26"/>
      <c r="L16" s="26"/>
    </row>
    <row r="17" spans="2:12" s="1" customFormat="1" ht="12" hidden="1" customHeight="1">
      <c r="B17" s="26"/>
      <c r="D17" s="23" t="s">
        <v>32</v>
      </c>
      <c r="I17" s="23" t="s">
        <v>27</v>
      </c>
      <c r="J17" s="21" t="str">
        <f>'Rekapitulace stavby'!AN13</f>
        <v/>
      </c>
      <c r="L17" s="26"/>
    </row>
    <row r="18" spans="2:12" s="1" customFormat="1" ht="18" hidden="1" customHeight="1">
      <c r="B18" s="26"/>
      <c r="E18" s="190" t="str">
        <f>'Rekapitulace stavby'!E14</f>
        <v xml:space="preserve"> </v>
      </c>
      <c r="F18" s="190"/>
      <c r="G18" s="190"/>
      <c r="H18" s="190"/>
      <c r="I18" s="23" t="s">
        <v>30</v>
      </c>
      <c r="J18" s="21" t="str">
        <f>'Rekapitulace stavby'!AN14</f>
        <v/>
      </c>
      <c r="L18" s="26"/>
    </row>
    <row r="19" spans="2:12" s="1" customFormat="1" ht="6.9" hidden="1" customHeight="1">
      <c r="B19" s="26"/>
      <c r="L19" s="26"/>
    </row>
    <row r="20" spans="2:12" s="1" customFormat="1" ht="12" hidden="1" customHeight="1">
      <c r="B20" s="26"/>
      <c r="D20" s="23" t="s">
        <v>33</v>
      </c>
      <c r="I20" s="23" t="s">
        <v>27</v>
      </c>
      <c r="J20" s="21" t="s">
        <v>34</v>
      </c>
      <c r="L20" s="26"/>
    </row>
    <row r="21" spans="2:12" s="1" customFormat="1" ht="18" hidden="1" customHeight="1">
      <c r="B21" s="26"/>
      <c r="E21" s="21" t="s">
        <v>35</v>
      </c>
      <c r="I21" s="23" t="s">
        <v>30</v>
      </c>
      <c r="J21" s="21" t="s">
        <v>36</v>
      </c>
      <c r="L21" s="26"/>
    </row>
    <row r="22" spans="2:12" s="1" customFormat="1" ht="6.9" hidden="1" customHeight="1">
      <c r="B22" s="26"/>
      <c r="L22" s="26"/>
    </row>
    <row r="23" spans="2:12" s="1" customFormat="1" ht="12" hidden="1" customHeight="1">
      <c r="B23" s="26"/>
      <c r="D23" s="23" t="s">
        <v>37</v>
      </c>
      <c r="I23" s="23" t="s">
        <v>27</v>
      </c>
      <c r="J23" s="21" t="str">
        <f>IF('Rekapitulace stavby'!AN19="","",'Rekapitulace stavby'!AN19)</f>
        <v/>
      </c>
      <c r="L23" s="26"/>
    </row>
    <row r="24" spans="2:12" s="1" customFormat="1" ht="18" hidden="1" customHeight="1">
      <c r="B24" s="26"/>
      <c r="E24" s="21" t="str">
        <f>IF('Rekapitulace stavby'!E20="","",'Rekapitulace stavby'!E20)</f>
        <v>Pavel Vachtl</v>
      </c>
      <c r="I24" s="23" t="s">
        <v>30</v>
      </c>
      <c r="J24" s="21" t="str">
        <f>IF('Rekapitulace stavby'!AN20="","",'Rekapitulace stavby'!AN20)</f>
        <v/>
      </c>
      <c r="L24" s="26"/>
    </row>
    <row r="25" spans="2:12" s="1" customFormat="1" ht="6.9" hidden="1" customHeight="1">
      <c r="B25" s="26"/>
      <c r="L25" s="26"/>
    </row>
    <row r="26" spans="2:12" s="1" customFormat="1" ht="12" hidden="1" customHeight="1">
      <c r="B26" s="26"/>
      <c r="D26" s="23" t="s">
        <v>40</v>
      </c>
      <c r="L26" s="26"/>
    </row>
    <row r="27" spans="2:12" s="7" customFormat="1" ht="16.5" hidden="1" customHeight="1">
      <c r="B27" s="83"/>
      <c r="E27" s="193" t="s">
        <v>1</v>
      </c>
      <c r="F27" s="193"/>
      <c r="G27" s="193"/>
      <c r="H27" s="193"/>
      <c r="L27" s="83"/>
    </row>
    <row r="28" spans="2:12" s="1" customFormat="1" ht="6.9" hidden="1" customHeight="1">
      <c r="B28" s="26"/>
      <c r="L28" s="26"/>
    </row>
    <row r="29" spans="2:12" s="1" customFormat="1" ht="6.9" hidden="1" customHeight="1">
      <c r="B29" s="26"/>
      <c r="D29" s="47"/>
      <c r="E29" s="47"/>
      <c r="F29" s="47"/>
      <c r="G29" s="47"/>
      <c r="H29" s="47"/>
      <c r="I29" s="47"/>
      <c r="J29" s="47"/>
      <c r="K29" s="47"/>
      <c r="L29" s="26"/>
    </row>
    <row r="30" spans="2:12" s="1" customFormat="1" ht="25.35" hidden="1" customHeight="1">
      <c r="B30" s="26"/>
      <c r="D30" s="84" t="s">
        <v>41</v>
      </c>
      <c r="J30" s="60">
        <f>ROUND(J117, 2)</f>
        <v>0</v>
      </c>
      <c r="L30" s="26"/>
    </row>
    <row r="31" spans="2:12" s="1" customFormat="1" ht="6.9" hidden="1" customHeight="1">
      <c r="B31" s="26"/>
      <c r="D31" s="47"/>
      <c r="E31" s="47"/>
      <c r="F31" s="47"/>
      <c r="G31" s="47"/>
      <c r="H31" s="47"/>
      <c r="I31" s="47"/>
      <c r="J31" s="47"/>
      <c r="K31" s="47"/>
      <c r="L31" s="26"/>
    </row>
    <row r="32" spans="2:12" s="1" customFormat="1" ht="14.4" hidden="1" customHeight="1">
      <c r="B32" s="26"/>
      <c r="F32" s="29" t="s">
        <v>43</v>
      </c>
      <c r="I32" s="29" t="s">
        <v>42</v>
      </c>
      <c r="J32" s="29" t="s">
        <v>44</v>
      </c>
      <c r="L32" s="26"/>
    </row>
    <row r="33" spans="2:12" s="1" customFormat="1" ht="14.4" hidden="1" customHeight="1">
      <c r="B33" s="26"/>
      <c r="D33" s="49" t="s">
        <v>45</v>
      </c>
      <c r="E33" s="23" t="s">
        <v>46</v>
      </c>
      <c r="F33" s="85">
        <f>ROUND((SUM(BE117:BE121)),  2)</f>
        <v>0</v>
      </c>
      <c r="I33" s="86">
        <v>0.21</v>
      </c>
      <c r="J33" s="85">
        <f>ROUND(((SUM(BE117:BE121))*I33),  2)</f>
        <v>0</v>
      </c>
      <c r="L33" s="26"/>
    </row>
    <row r="34" spans="2:12" s="1" customFormat="1" ht="14.4" hidden="1" customHeight="1">
      <c r="B34" s="26"/>
      <c r="E34" s="23" t="s">
        <v>47</v>
      </c>
      <c r="F34" s="85">
        <f>ROUND((SUM(BF117:BF121)),  2)</f>
        <v>0</v>
      </c>
      <c r="I34" s="86">
        <v>0.15</v>
      </c>
      <c r="J34" s="85">
        <f>ROUND(((SUM(BF117:BF121))*I34),  2)</f>
        <v>0</v>
      </c>
      <c r="L34" s="26"/>
    </row>
    <row r="35" spans="2:12" s="1" customFormat="1" ht="14.4" hidden="1" customHeight="1">
      <c r="B35" s="26"/>
      <c r="E35" s="23" t="s">
        <v>48</v>
      </c>
      <c r="F35" s="85">
        <f>ROUND((SUM(BG117:BG121)),  2)</f>
        <v>0</v>
      </c>
      <c r="I35" s="86">
        <v>0.21</v>
      </c>
      <c r="J35" s="85">
        <f>0</f>
        <v>0</v>
      </c>
      <c r="L35" s="26"/>
    </row>
    <row r="36" spans="2:12" s="1" customFormat="1" ht="14.4" hidden="1" customHeight="1">
      <c r="B36" s="26"/>
      <c r="E36" s="23" t="s">
        <v>49</v>
      </c>
      <c r="F36" s="85">
        <f>ROUND((SUM(BH117:BH121)),  2)</f>
        <v>0</v>
      </c>
      <c r="I36" s="86">
        <v>0.15</v>
      </c>
      <c r="J36" s="85">
        <f>0</f>
        <v>0</v>
      </c>
      <c r="L36" s="26"/>
    </row>
    <row r="37" spans="2:12" s="1" customFormat="1" ht="14.4" hidden="1" customHeight="1">
      <c r="B37" s="26"/>
      <c r="E37" s="23" t="s">
        <v>50</v>
      </c>
      <c r="F37" s="85">
        <f>ROUND((SUM(BI117:BI121)),  2)</f>
        <v>0</v>
      </c>
      <c r="I37" s="86">
        <v>0</v>
      </c>
      <c r="J37" s="85">
        <f>0</f>
        <v>0</v>
      </c>
      <c r="L37" s="26"/>
    </row>
    <row r="38" spans="2:12" s="1" customFormat="1" ht="6.9" hidden="1" customHeight="1">
      <c r="B38" s="26"/>
      <c r="L38" s="26"/>
    </row>
    <row r="39" spans="2:12" s="1" customFormat="1" ht="25.35" hidden="1" customHeight="1">
      <c r="B39" s="26"/>
      <c r="C39" s="87"/>
      <c r="D39" s="88" t="s">
        <v>51</v>
      </c>
      <c r="E39" s="51"/>
      <c r="F39" s="51"/>
      <c r="G39" s="89" t="s">
        <v>52</v>
      </c>
      <c r="H39" s="90" t="s">
        <v>53</v>
      </c>
      <c r="I39" s="51"/>
      <c r="J39" s="91">
        <f>SUM(J30:J37)</f>
        <v>0</v>
      </c>
      <c r="K39" s="92"/>
      <c r="L39" s="26"/>
    </row>
    <row r="40" spans="2:12" s="1" customFormat="1" ht="14.4" hidden="1" customHeight="1">
      <c r="B40" s="26"/>
      <c r="L40" s="26"/>
    </row>
    <row r="41" spans="2:12" ht="14.4" hidden="1" customHeight="1">
      <c r="B41" s="17"/>
      <c r="L41" s="17"/>
    </row>
    <row r="42" spans="2:12" ht="14.4" hidden="1" customHeight="1">
      <c r="B42" s="17"/>
      <c r="L42" s="17"/>
    </row>
    <row r="43" spans="2:12" ht="14.4" hidden="1" customHeight="1">
      <c r="B43" s="17"/>
      <c r="L43" s="17"/>
    </row>
    <row r="44" spans="2:12" ht="14.4" hidden="1" customHeight="1">
      <c r="B44" s="17"/>
      <c r="L44" s="17"/>
    </row>
    <row r="45" spans="2:12" ht="14.4" hidden="1" customHeight="1">
      <c r="B45" s="17"/>
      <c r="L45" s="17"/>
    </row>
    <row r="46" spans="2:12" ht="14.4" hidden="1" customHeight="1">
      <c r="B46" s="17"/>
      <c r="L46" s="17"/>
    </row>
    <row r="47" spans="2:12" ht="14.4" hidden="1" customHeight="1">
      <c r="B47" s="17"/>
      <c r="L47" s="17"/>
    </row>
    <row r="48" spans="2:12" ht="14.4" hidden="1" customHeight="1">
      <c r="B48" s="17"/>
      <c r="L48" s="17"/>
    </row>
    <row r="49" spans="2:12" ht="14.4" hidden="1" customHeight="1">
      <c r="B49" s="17"/>
      <c r="L49" s="17"/>
    </row>
    <row r="50" spans="2:12" s="1" customFormat="1" ht="14.4" hidden="1" customHeight="1">
      <c r="B50" s="26"/>
      <c r="D50" s="35" t="s">
        <v>54</v>
      </c>
      <c r="E50" s="36"/>
      <c r="F50" s="36"/>
      <c r="G50" s="35" t="s">
        <v>55</v>
      </c>
      <c r="H50" s="36"/>
      <c r="I50" s="36"/>
      <c r="J50" s="36"/>
      <c r="K50" s="36"/>
      <c r="L50" s="26"/>
    </row>
    <row r="51" spans="2:12" hidden="1">
      <c r="B51" s="17"/>
      <c r="L51" s="17"/>
    </row>
    <row r="52" spans="2:12" hidden="1">
      <c r="B52" s="17"/>
      <c r="L52" s="17"/>
    </row>
    <row r="53" spans="2:12" hidden="1">
      <c r="B53" s="17"/>
      <c r="L53" s="17"/>
    </row>
    <row r="54" spans="2:12" hidden="1">
      <c r="B54" s="17"/>
      <c r="L54" s="17"/>
    </row>
    <row r="55" spans="2:12" hidden="1">
      <c r="B55" s="17"/>
      <c r="L55" s="17"/>
    </row>
    <row r="56" spans="2:12" hidden="1">
      <c r="B56" s="17"/>
      <c r="L56" s="17"/>
    </row>
    <row r="57" spans="2:12" hidden="1">
      <c r="B57" s="17"/>
      <c r="L57" s="17"/>
    </row>
    <row r="58" spans="2:12" hidden="1">
      <c r="B58" s="17"/>
      <c r="L58" s="17"/>
    </row>
    <row r="59" spans="2:12" hidden="1">
      <c r="B59" s="17"/>
      <c r="L59" s="17"/>
    </row>
    <row r="60" spans="2:12" hidden="1">
      <c r="B60" s="17"/>
      <c r="L60" s="17"/>
    </row>
    <row r="61" spans="2:12" s="1" customFormat="1" ht="13.2" hidden="1">
      <c r="B61" s="26"/>
      <c r="D61" s="37" t="s">
        <v>56</v>
      </c>
      <c r="E61" s="28"/>
      <c r="F61" s="93" t="s">
        <v>57</v>
      </c>
      <c r="G61" s="37" t="s">
        <v>56</v>
      </c>
      <c r="H61" s="28"/>
      <c r="I61" s="28"/>
      <c r="J61" s="94" t="s">
        <v>57</v>
      </c>
      <c r="K61" s="28"/>
      <c r="L61" s="26"/>
    </row>
    <row r="62" spans="2:12" hidden="1">
      <c r="B62" s="17"/>
      <c r="L62" s="17"/>
    </row>
    <row r="63" spans="2:12" hidden="1">
      <c r="B63" s="17"/>
      <c r="L63" s="17"/>
    </row>
    <row r="64" spans="2:12" hidden="1">
      <c r="B64" s="17"/>
      <c r="L64" s="17"/>
    </row>
    <row r="65" spans="2:12" s="1" customFormat="1" ht="13.2" hidden="1">
      <c r="B65" s="26"/>
      <c r="D65" s="35" t="s">
        <v>58</v>
      </c>
      <c r="E65" s="36"/>
      <c r="F65" s="36"/>
      <c r="G65" s="35" t="s">
        <v>59</v>
      </c>
      <c r="H65" s="36"/>
      <c r="I65" s="36"/>
      <c r="J65" s="36"/>
      <c r="K65" s="36"/>
      <c r="L65" s="26"/>
    </row>
    <row r="66" spans="2:12" hidden="1">
      <c r="B66" s="17"/>
      <c r="L66" s="17"/>
    </row>
    <row r="67" spans="2:12" hidden="1">
      <c r="B67" s="17"/>
      <c r="L67" s="17"/>
    </row>
    <row r="68" spans="2:12" hidden="1">
      <c r="B68" s="17"/>
      <c r="L68" s="17"/>
    </row>
    <row r="69" spans="2:12" hidden="1">
      <c r="B69" s="17"/>
      <c r="L69" s="17"/>
    </row>
    <row r="70" spans="2:12" hidden="1">
      <c r="B70" s="17"/>
      <c r="L70" s="17"/>
    </row>
    <row r="71" spans="2:12" hidden="1">
      <c r="B71" s="17"/>
      <c r="L71" s="17"/>
    </row>
    <row r="72" spans="2:12" hidden="1">
      <c r="B72" s="17"/>
      <c r="L72" s="17"/>
    </row>
    <row r="73" spans="2:12" hidden="1">
      <c r="B73" s="17"/>
      <c r="L73" s="17"/>
    </row>
    <row r="74" spans="2:12" hidden="1">
      <c r="B74" s="17"/>
      <c r="L74" s="17"/>
    </row>
    <row r="75" spans="2:12" hidden="1">
      <c r="B75" s="17"/>
      <c r="L75" s="17"/>
    </row>
    <row r="76" spans="2:12" s="1" customFormat="1" ht="13.2" hidden="1">
      <c r="B76" s="26"/>
      <c r="D76" s="37" t="s">
        <v>56</v>
      </c>
      <c r="E76" s="28"/>
      <c r="F76" s="93" t="s">
        <v>57</v>
      </c>
      <c r="G76" s="37" t="s">
        <v>56</v>
      </c>
      <c r="H76" s="28"/>
      <c r="I76" s="28"/>
      <c r="J76" s="94" t="s">
        <v>57</v>
      </c>
      <c r="K76" s="28"/>
      <c r="L76" s="26"/>
    </row>
    <row r="77" spans="2:12" s="1" customFormat="1" ht="14.4" hidden="1" customHeight="1">
      <c r="B77" s="38"/>
      <c r="C77" s="39"/>
      <c r="D77" s="39"/>
      <c r="E77" s="39"/>
      <c r="F77" s="39"/>
      <c r="G77" s="39"/>
      <c r="H77" s="39"/>
      <c r="I77" s="39"/>
      <c r="J77" s="39"/>
      <c r="K77" s="39"/>
      <c r="L77" s="26"/>
    </row>
    <row r="78" spans="2:12" hidden="1"/>
    <row r="79" spans="2:12" hidden="1"/>
    <row r="80" spans="2:12" hidden="1"/>
    <row r="81" spans="2:47" s="1" customFormat="1" ht="6.9" customHeight="1">
      <c r="B81" s="40"/>
      <c r="C81" s="41"/>
      <c r="D81" s="41"/>
      <c r="E81" s="41"/>
      <c r="F81" s="41"/>
      <c r="G81" s="41"/>
      <c r="H81" s="41"/>
      <c r="I81" s="41"/>
      <c r="J81" s="41"/>
      <c r="K81" s="41"/>
      <c r="L81" s="26"/>
    </row>
    <row r="82" spans="2:47" s="1" customFormat="1" ht="24.9" customHeight="1">
      <c r="B82" s="26"/>
      <c r="C82" s="18" t="s">
        <v>115</v>
      </c>
      <c r="L82" s="26"/>
    </row>
    <row r="83" spans="2:47" s="1" customFormat="1" ht="6.9" customHeight="1">
      <c r="B83" s="26"/>
      <c r="L83" s="26"/>
    </row>
    <row r="84" spans="2:47" s="1" customFormat="1" ht="12" customHeight="1">
      <c r="B84" s="26"/>
      <c r="C84" s="23" t="s">
        <v>14</v>
      </c>
      <c r="L84" s="26"/>
    </row>
    <row r="85" spans="2:47" s="1" customFormat="1" ht="16.5" customHeight="1">
      <c r="B85" s="26"/>
      <c r="E85" s="203" t="str">
        <f>E7</f>
        <v>I/26 Kyšice - Plzeň, Hřbitovní</v>
      </c>
      <c r="F85" s="204"/>
      <c r="G85" s="204"/>
      <c r="H85" s="204"/>
      <c r="L85" s="26"/>
    </row>
    <row r="86" spans="2:47" s="1" customFormat="1" ht="12" customHeight="1">
      <c r="B86" s="26"/>
      <c r="C86" s="23" t="s">
        <v>113</v>
      </c>
      <c r="L86" s="26"/>
    </row>
    <row r="87" spans="2:47" s="1" customFormat="1" ht="16.5" customHeight="1">
      <c r="B87" s="26"/>
      <c r="E87" s="168" t="str">
        <f>E9</f>
        <v>441 - Přeložka a ochrana vedení VO</v>
      </c>
      <c r="F87" s="202"/>
      <c r="G87" s="202"/>
      <c r="H87" s="202"/>
      <c r="L87" s="26"/>
    </row>
    <row r="88" spans="2:47" s="1" customFormat="1" ht="6.9" customHeight="1">
      <c r="B88" s="26"/>
      <c r="L88" s="26"/>
    </row>
    <row r="89" spans="2:47" s="1" customFormat="1" ht="12" customHeight="1">
      <c r="B89" s="26"/>
      <c r="C89" s="23" t="s">
        <v>20</v>
      </c>
      <c r="F89" s="21" t="str">
        <f>F12</f>
        <v xml:space="preserve"> </v>
      </c>
      <c r="I89" s="23" t="s">
        <v>22</v>
      </c>
      <c r="J89" s="46" t="str">
        <f>IF(J12="","",J12)</f>
        <v>20. 1. 2026</v>
      </c>
      <c r="L89" s="26"/>
    </row>
    <row r="90" spans="2:47" s="1" customFormat="1" ht="6.9" customHeight="1">
      <c r="B90" s="26"/>
      <c r="L90" s="26"/>
    </row>
    <row r="91" spans="2:47" s="1" customFormat="1" ht="15.15" customHeight="1">
      <c r="B91" s="26"/>
      <c r="C91" s="23" t="s">
        <v>26</v>
      </c>
      <c r="F91" s="21" t="str">
        <f>E15</f>
        <v>Ředitelství silnic a dálnic s.p.</v>
      </c>
      <c r="I91" s="23" t="s">
        <v>33</v>
      </c>
      <c r="J91" s="24" t="str">
        <f>E21</f>
        <v>Woring s.r.o.</v>
      </c>
      <c r="L91" s="26"/>
    </row>
    <row r="92" spans="2:47" s="1" customFormat="1" ht="15.15" customHeight="1">
      <c r="B92" s="26"/>
      <c r="C92" s="23" t="s">
        <v>32</v>
      </c>
      <c r="F92" s="21" t="str">
        <f>IF(E18="","",E18)</f>
        <v xml:space="preserve"> </v>
      </c>
      <c r="I92" s="23" t="s">
        <v>37</v>
      </c>
      <c r="J92" s="24" t="str">
        <f>E24</f>
        <v>Pavel Vachtl</v>
      </c>
      <c r="L92" s="26"/>
    </row>
    <row r="93" spans="2:47" s="1" customFormat="1" ht="10.35" customHeight="1">
      <c r="B93" s="26"/>
      <c r="L93" s="26"/>
    </row>
    <row r="94" spans="2:47" s="1" customFormat="1" ht="29.25" customHeight="1">
      <c r="B94" s="26"/>
      <c r="C94" s="95" t="s">
        <v>116</v>
      </c>
      <c r="D94" s="87"/>
      <c r="E94" s="87"/>
      <c r="F94" s="87"/>
      <c r="G94" s="87"/>
      <c r="H94" s="87"/>
      <c r="I94" s="87"/>
      <c r="J94" s="96" t="s">
        <v>117</v>
      </c>
      <c r="K94" s="87"/>
      <c r="L94" s="26"/>
    </row>
    <row r="95" spans="2:47" s="1" customFormat="1" ht="10.35" customHeight="1">
      <c r="B95" s="26"/>
      <c r="L95" s="26"/>
    </row>
    <row r="96" spans="2:47" s="1" customFormat="1" ht="22.95" customHeight="1">
      <c r="B96" s="26"/>
      <c r="C96" s="97" t="s">
        <v>118</v>
      </c>
      <c r="J96" s="60">
        <f>J117</f>
        <v>0</v>
      </c>
      <c r="L96" s="26"/>
      <c r="AU96" s="14" t="s">
        <v>90</v>
      </c>
    </row>
    <row r="97" spans="2:12" s="8" customFormat="1" ht="24.9" customHeight="1">
      <c r="B97" s="98"/>
      <c r="D97" s="99" t="s">
        <v>119</v>
      </c>
      <c r="E97" s="100"/>
      <c r="F97" s="100"/>
      <c r="G97" s="100"/>
      <c r="H97" s="100"/>
      <c r="I97" s="100"/>
      <c r="J97" s="101">
        <f>J118</f>
        <v>0</v>
      </c>
      <c r="L97" s="98"/>
    </row>
    <row r="98" spans="2:12" s="1" customFormat="1" ht="21.75" customHeight="1">
      <c r="B98" s="26"/>
      <c r="L98" s="26"/>
    </row>
    <row r="99" spans="2:12" s="1" customFormat="1" ht="6.9" customHeight="1">
      <c r="B99" s="38"/>
      <c r="C99" s="39"/>
      <c r="D99" s="39"/>
      <c r="E99" s="39"/>
      <c r="F99" s="39"/>
      <c r="G99" s="39"/>
      <c r="H99" s="39"/>
      <c r="I99" s="39"/>
      <c r="J99" s="39"/>
      <c r="K99" s="39"/>
      <c r="L99" s="26"/>
    </row>
    <row r="103" spans="2:12" s="1" customFormat="1" ht="6.9" customHeight="1">
      <c r="B103" s="40"/>
      <c r="C103" s="41"/>
      <c r="D103" s="41"/>
      <c r="E103" s="41"/>
      <c r="F103" s="41"/>
      <c r="G103" s="41"/>
      <c r="H103" s="41"/>
      <c r="I103" s="41"/>
      <c r="J103" s="41"/>
      <c r="K103" s="41"/>
      <c r="L103" s="26"/>
    </row>
    <row r="104" spans="2:12" s="1" customFormat="1" ht="24.9" customHeight="1">
      <c r="B104" s="26"/>
      <c r="C104" s="18" t="s">
        <v>121</v>
      </c>
      <c r="L104" s="26"/>
    </row>
    <row r="105" spans="2:12" s="1" customFormat="1" ht="6.9" customHeight="1">
      <c r="B105" s="26"/>
      <c r="L105" s="26"/>
    </row>
    <row r="106" spans="2:12" s="1" customFormat="1" ht="12" customHeight="1">
      <c r="B106" s="26"/>
      <c r="C106" s="23" t="s">
        <v>14</v>
      </c>
      <c r="L106" s="26"/>
    </row>
    <row r="107" spans="2:12" s="1" customFormat="1" ht="16.5" customHeight="1">
      <c r="B107" s="26"/>
      <c r="E107" s="203" t="str">
        <f>E7</f>
        <v>I/26 Kyšice - Plzeň, Hřbitovní</v>
      </c>
      <c r="F107" s="204"/>
      <c r="G107" s="204"/>
      <c r="H107" s="204"/>
      <c r="L107" s="26"/>
    </row>
    <row r="108" spans="2:12" s="1" customFormat="1" ht="12" customHeight="1">
      <c r="B108" s="26"/>
      <c r="C108" s="23" t="s">
        <v>113</v>
      </c>
      <c r="L108" s="26"/>
    </row>
    <row r="109" spans="2:12" s="1" customFormat="1" ht="16.5" customHeight="1">
      <c r="B109" s="26"/>
      <c r="E109" s="168" t="str">
        <f>E9</f>
        <v>441 - Přeložka a ochrana vedení VO</v>
      </c>
      <c r="F109" s="202"/>
      <c r="G109" s="202"/>
      <c r="H109" s="202"/>
      <c r="L109" s="26"/>
    </row>
    <row r="110" spans="2:12" s="1" customFormat="1" ht="6.9" customHeight="1">
      <c r="B110" s="26"/>
      <c r="L110" s="26"/>
    </row>
    <row r="111" spans="2:12" s="1" customFormat="1" ht="12" customHeight="1">
      <c r="B111" s="26"/>
      <c r="C111" s="23" t="s">
        <v>20</v>
      </c>
      <c r="F111" s="21" t="str">
        <f>F12</f>
        <v xml:space="preserve"> </v>
      </c>
      <c r="I111" s="23" t="s">
        <v>22</v>
      </c>
      <c r="J111" s="46" t="str">
        <f>IF(J12="","",J12)</f>
        <v>20. 1. 2026</v>
      </c>
      <c r="L111" s="26"/>
    </row>
    <row r="112" spans="2:12" s="1" customFormat="1" ht="6.9" customHeight="1">
      <c r="B112" s="26"/>
      <c r="L112" s="26"/>
    </row>
    <row r="113" spans="2:65" s="1" customFormat="1" ht="15.15" customHeight="1">
      <c r="B113" s="26"/>
      <c r="C113" s="23" t="s">
        <v>26</v>
      </c>
      <c r="F113" s="21" t="str">
        <f>E15</f>
        <v>Ředitelství silnic a dálnic s.p.</v>
      </c>
      <c r="I113" s="23" t="s">
        <v>33</v>
      </c>
      <c r="J113" s="24" t="str">
        <f>E21</f>
        <v>Woring s.r.o.</v>
      </c>
      <c r="L113" s="26"/>
    </row>
    <row r="114" spans="2:65" s="1" customFormat="1" ht="15.15" customHeight="1">
      <c r="B114" s="26"/>
      <c r="C114" s="23" t="s">
        <v>32</v>
      </c>
      <c r="F114" s="21" t="str">
        <f>IF(E18="","",E18)</f>
        <v xml:space="preserve"> </v>
      </c>
      <c r="I114" s="23" t="s">
        <v>37</v>
      </c>
      <c r="J114" s="24" t="str">
        <f>E24</f>
        <v>Pavel Vachtl</v>
      </c>
      <c r="L114" s="26"/>
    </row>
    <row r="115" spans="2:65" s="1" customFormat="1" ht="10.35" customHeight="1">
      <c r="B115" s="26"/>
      <c r="L115" s="26"/>
    </row>
    <row r="116" spans="2:65" s="9" customFormat="1" ht="29.25" customHeight="1">
      <c r="B116" s="102"/>
      <c r="C116" s="103" t="s">
        <v>122</v>
      </c>
      <c r="D116" s="104" t="s">
        <v>66</v>
      </c>
      <c r="E116" s="104" t="s">
        <v>62</v>
      </c>
      <c r="F116" s="104" t="s">
        <v>63</v>
      </c>
      <c r="G116" s="104" t="s">
        <v>123</v>
      </c>
      <c r="H116" s="104" t="s">
        <v>124</v>
      </c>
      <c r="I116" s="104" t="s">
        <v>125</v>
      </c>
      <c r="J116" s="104" t="s">
        <v>117</v>
      </c>
      <c r="K116" s="105" t="s">
        <v>126</v>
      </c>
      <c r="L116" s="102"/>
      <c r="M116" s="53" t="s">
        <v>1</v>
      </c>
      <c r="N116" s="54" t="s">
        <v>45</v>
      </c>
      <c r="O116" s="54" t="s">
        <v>127</v>
      </c>
      <c r="P116" s="54" t="s">
        <v>128</v>
      </c>
      <c r="Q116" s="54" t="s">
        <v>129</v>
      </c>
      <c r="R116" s="54" t="s">
        <v>130</v>
      </c>
      <c r="S116" s="54" t="s">
        <v>131</v>
      </c>
      <c r="T116" s="55" t="s">
        <v>132</v>
      </c>
    </row>
    <row r="117" spans="2:65" s="1" customFormat="1" ht="22.95" customHeight="1">
      <c r="B117" s="26"/>
      <c r="C117" s="58" t="s">
        <v>133</v>
      </c>
      <c r="J117" s="106">
        <f>BK117</f>
        <v>0</v>
      </c>
      <c r="L117" s="26"/>
      <c r="M117" s="56"/>
      <c r="N117" s="47"/>
      <c r="O117" s="47"/>
      <c r="P117" s="107">
        <f>P118</f>
        <v>0</v>
      </c>
      <c r="Q117" s="47"/>
      <c r="R117" s="107">
        <f>R118</f>
        <v>0</v>
      </c>
      <c r="S117" s="47"/>
      <c r="T117" s="108">
        <f>T118</f>
        <v>0</v>
      </c>
      <c r="AT117" s="14" t="s">
        <v>80</v>
      </c>
      <c r="AU117" s="14" t="s">
        <v>90</v>
      </c>
      <c r="BK117" s="109">
        <f>BK118</f>
        <v>0</v>
      </c>
    </row>
    <row r="118" spans="2:65" s="10" customFormat="1" ht="25.95" customHeight="1">
      <c r="B118" s="110"/>
      <c r="D118" s="111" t="s">
        <v>80</v>
      </c>
      <c r="E118" s="112" t="s">
        <v>81</v>
      </c>
      <c r="F118" s="112" t="s">
        <v>134</v>
      </c>
      <c r="J118" s="113">
        <f>BK118</f>
        <v>0</v>
      </c>
      <c r="L118" s="110"/>
      <c r="M118" s="114"/>
      <c r="P118" s="115">
        <f>SUM(P119:P121)</f>
        <v>0</v>
      </c>
      <c r="R118" s="115">
        <f>SUM(R119:R121)</f>
        <v>0</v>
      </c>
      <c r="T118" s="116">
        <f>SUM(T119:T121)</f>
        <v>0</v>
      </c>
      <c r="AR118" s="111" t="s">
        <v>135</v>
      </c>
      <c r="AT118" s="117" t="s">
        <v>80</v>
      </c>
      <c r="AU118" s="117" t="s">
        <v>81</v>
      </c>
      <c r="AY118" s="111" t="s">
        <v>136</v>
      </c>
      <c r="BK118" s="118">
        <f>SUM(BK119:BK121)</f>
        <v>0</v>
      </c>
    </row>
    <row r="119" spans="2:65" s="1" customFormat="1" ht="24.15" customHeight="1">
      <c r="B119" s="119"/>
      <c r="C119" s="120" t="s">
        <v>19</v>
      </c>
      <c r="D119" s="120" t="s">
        <v>137</v>
      </c>
      <c r="E119" s="121" t="s">
        <v>2554</v>
      </c>
      <c r="F119" s="122" t="s">
        <v>2555</v>
      </c>
      <c r="G119" s="123" t="s">
        <v>140</v>
      </c>
      <c r="H119" s="124">
        <v>1</v>
      </c>
      <c r="I119" s="125">
        <v>0</v>
      </c>
      <c r="J119" s="125">
        <f>ROUND(I119*H119,2)</f>
        <v>0</v>
      </c>
      <c r="K119" s="122" t="s">
        <v>141</v>
      </c>
      <c r="L119" s="26"/>
      <c r="M119" s="126" t="s">
        <v>1</v>
      </c>
      <c r="N119" s="127" t="s">
        <v>46</v>
      </c>
      <c r="O119" s="128">
        <v>0</v>
      </c>
      <c r="P119" s="128">
        <f>O119*H119</f>
        <v>0</v>
      </c>
      <c r="Q119" s="128">
        <v>0</v>
      </c>
      <c r="R119" s="128">
        <f>Q119*H119</f>
        <v>0</v>
      </c>
      <c r="S119" s="128">
        <v>0</v>
      </c>
      <c r="T119" s="129">
        <f>S119*H119</f>
        <v>0</v>
      </c>
      <c r="AR119" s="130" t="s">
        <v>135</v>
      </c>
      <c r="AT119" s="130" t="s">
        <v>137</v>
      </c>
      <c r="AU119" s="130" t="s">
        <v>19</v>
      </c>
      <c r="AY119" s="14" t="s">
        <v>136</v>
      </c>
      <c r="BE119" s="131">
        <f>IF(N119="základní",J119,0)</f>
        <v>0</v>
      </c>
      <c r="BF119" s="131">
        <f>IF(N119="snížená",J119,0)</f>
        <v>0</v>
      </c>
      <c r="BG119" s="131">
        <f>IF(N119="zákl. přenesená",J119,0)</f>
        <v>0</v>
      </c>
      <c r="BH119" s="131">
        <f>IF(N119="sníž. přenesená",J119,0)</f>
        <v>0</v>
      </c>
      <c r="BI119" s="131">
        <f>IF(N119="nulová",J119,0)</f>
        <v>0</v>
      </c>
      <c r="BJ119" s="14" t="s">
        <v>19</v>
      </c>
      <c r="BK119" s="131">
        <f>ROUND(I119*H119,2)</f>
        <v>0</v>
      </c>
      <c r="BL119" s="14" t="s">
        <v>135</v>
      </c>
      <c r="BM119" s="130" t="s">
        <v>2556</v>
      </c>
    </row>
    <row r="120" spans="2:65" s="1" customFormat="1" ht="28.8">
      <c r="B120" s="26"/>
      <c r="D120" s="132" t="s">
        <v>143</v>
      </c>
      <c r="F120" s="133" t="s">
        <v>2557</v>
      </c>
      <c r="L120" s="26"/>
      <c r="M120" s="134"/>
      <c r="T120" s="50"/>
      <c r="AT120" s="14" t="s">
        <v>143</v>
      </c>
      <c r="AU120" s="14" t="s">
        <v>19</v>
      </c>
    </row>
    <row r="121" spans="2:65" s="1" customFormat="1" ht="28.8">
      <c r="B121" s="26"/>
      <c r="D121" s="132" t="s">
        <v>145</v>
      </c>
      <c r="F121" s="135" t="s">
        <v>2558</v>
      </c>
      <c r="L121" s="26"/>
      <c r="M121" s="151"/>
      <c r="N121" s="152"/>
      <c r="O121" s="152"/>
      <c r="P121" s="152"/>
      <c r="Q121" s="152"/>
      <c r="R121" s="152"/>
      <c r="S121" s="152"/>
      <c r="T121" s="153"/>
      <c r="AT121" s="14" t="s">
        <v>145</v>
      </c>
      <c r="AU121" s="14" t="s">
        <v>19</v>
      </c>
    </row>
    <row r="122" spans="2:65" s="1" customFormat="1" ht="6.9" customHeight="1">
      <c r="B122" s="38"/>
      <c r="C122" s="39"/>
      <c r="D122" s="39"/>
      <c r="E122" s="39"/>
      <c r="F122" s="39"/>
      <c r="G122" s="39"/>
      <c r="H122" s="39"/>
      <c r="I122" s="39"/>
      <c r="J122" s="39"/>
      <c r="K122" s="39"/>
      <c r="L122" s="26"/>
    </row>
  </sheetData>
  <autoFilter ref="C116:K121" xr:uid="{00000000-0009-0000-0000-000008000000}"/>
  <mergeCells count="9">
    <mergeCell ref="E87:H87"/>
    <mergeCell ref="E107:H107"/>
    <mergeCell ref="E109:H109"/>
    <mergeCell ref="L2:V2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9</vt:i4>
      </vt:variant>
      <vt:variant>
        <vt:lpstr>Pojmenované oblasti</vt:lpstr>
      </vt:variant>
      <vt:variant>
        <vt:i4>16</vt:i4>
      </vt:variant>
    </vt:vector>
  </HeadingPairs>
  <TitlesOfParts>
    <vt:vector size="25" baseType="lpstr">
      <vt:lpstr>Rekapitulace stavby</vt:lpstr>
      <vt:lpstr>001 - Vedlejsi a ostatni ...</vt:lpstr>
      <vt:lpstr>101 - Oprava vozovky (km ...</vt:lpstr>
      <vt:lpstr>102 - Oprava vozovky (km ...</vt:lpstr>
      <vt:lpstr>181 - Přechodné dopravní ...</vt:lpstr>
      <vt:lpstr>191 - Dopravní značení</vt:lpstr>
      <vt:lpstr>201-003 - Most ev.č. 206-003</vt:lpstr>
      <vt:lpstr>201-004 - Mosty ev. č. 26...</vt:lpstr>
      <vt:lpstr>441 - Přeložka a ochrana ...</vt:lpstr>
      <vt:lpstr>'001 - Vedlejsi a ostatni ...'!Názvy_tisku</vt:lpstr>
      <vt:lpstr>'101 - Oprava vozovky (km ...'!Názvy_tisku</vt:lpstr>
      <vt:lpstr>'102 - Oprava vozovky (km ...'!Názvy_tisku</vt:lpstr>
      <vt:lpstr>'181 - Přechodné dopravní ...'!Názvy_tisku</vt:lpstr>
      <vt:lpstr>'191 - Dopravní značení'!Názvy_tisku</vt:lpstr>
      <vt:lpstr>'201-003 - Most ev.č. 206-003'!Názvy_tisku</vt:lpstr>
      <vt:lpstr>'201-004 - Mosty ev. č. 26...'!Názvy_tisku</vt:lpstr>
      <vt:lpstr>'441 - Přeložka a ochrana ...'!Názvy_tisku</vt:lpstr>
      <vt:lpstr>'Rekapitulace stavby'!Názvy_tisku</vt:lpstr>
      <vt:lpstr>'001 - Vedlejsi a ostatni ...'!Oblast_tisku</vt:lpstr>
      <vt:lpstr>'101 - Oprava vozovky (km ...'!Oblast_tisku</vt:lpstr>
      <vt:lpstr>'102 - Oprava vozovky (km ...'!Oblast_tisku</vt:lpstr>
      <vt:lpstr>'181 - Přechodné dopravní ...'!Oblast_tisku</vt:lpstr>
      <vt:lpstr>'191 - Dopravní značení'!Oblast_tisku</vt:lpstr>
      <vt:lpstr>'441 - Přeložka a ochrana ...'!Oblast_tisku</vt:lpstr>
      <vt:lpstr>'Rekapitulace stavby'!Oblast_tisku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Vachtl, Pavel</dc:creator>
  <cp:lastModifiedBy>Prokopov, Oleksandr</cp:lastModifiedBy>
  <dcterms:created xsi:type="dcterms:W3CDTF">2026-01-20T14:23:02Z</dcterms:created>
  <dcterms:modified xsi:type="dcterms:W3CDTF">2026-01-28T06:59:26Z</dcterms:modified>
</cp:coreProperties>
</file>
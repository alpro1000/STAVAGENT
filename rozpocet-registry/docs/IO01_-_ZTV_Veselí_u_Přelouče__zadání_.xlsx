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okopovo\Documents\beton_agent\МОСТ ЧЕРТЕЖИ И СЫРЫЕ ДОКУМЕНТЫ\"/>
    </mc:Choice>
  </mc:AlternateContent>
  <xr:revisionPtr revIDLastSave="0" documentId="13_ncr:1_{5BF41F88-D9B9-40D2-A22F-CDB6FBF2654E}" xr6:coauthVersionLast="47" xr6:coauthVersionMax="47" xr10:uidLastSave="{00000000-0000-0000-0000-000000000000}"/>
  <bookViews>
    <workbookView xWindow="-13830" yWindow="-16320" windowWidth="29040" windowHeight="15720" activeTab="1" xr2:uid="{00000000-000D-0000-FFFF-FFFF00000000}"/>
  </bookViews>
  <sheets>
    <sheet name="01 - Vodovod vč. přípojek" sheetId="2" r:id="rId1"/>
    <sheet name="02 - Komunikace a chodník" sheetId="4" r:id="rId2"/>
  </sheets>
  <definedNames>
    <definedName name="_xlnm._FilterDatabase" localSheetId="0" hidden="1">'01 - Vodovod vč. přípojek'!$C$120:$K$423</definedName>
    <definedName name="_xlnm._FilterDatabase" localSheetId="1" hidden="1">'02 - Komunikace a chodník'!$C$124:$K$301</definedName>
    <definedName name="_xlnm.Print_Titles" localSheetId="0">'01 - Vodovod vč. přípojek'!$120:$120</definedName>
    <definedName name="_xlnm.Print_Titles" localSheetId="1">'02 - Komunikace a chodník'!$124:$124</definedName>
    <definedName name="_xlnm.Print_Area" localSheetId="0">'01 - Vodovod vč. přípojek'!$C$4:$J$76,'01 - Vodovod vč. přípojek'!$C$82:$J$102,'01 - Vodovod vč. přípojek'!$C$108:$K$423</definedName>
    <definedName name="_xlnm.Print_Area" localSheetId="1">'02 - Komunikace a chodník'!$C$4:$J$76,'02 - Komunikace a chodník'!$C$82:$J$106,'02 - Komunikace a chodník'!$C$112:$K$301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" i="4" l="1"/>
  <c r="J36" i="4"/>
  <c r="J35" i="4"/>
  <c r="BI300" i="4"/>
  <c r="BH300" i="4"/>
  <c r="BG300" i="4"/>
  <c r="BF300" i="4"/>
  <c r="T300" i="4"/>
  <c r="T299" i="4"/>
  <c r="R300" i="4"/>
  <c r="R299" i="4" s="1"/>
  <c r="P300" i="4"/>
  <c r="P299" i="4"/>
  <c r="BI294" i="4"/>
  <c r="BH294" i="4"/>
  <c r="BG294" i="4"/>
  <c r="BF294" i="4"/>
  <c r="T294" i="4"/>
  <c r="R294" i="4"/>
  <c r="P294" i="4"/>
  <c r="BI290" i="4"/>
  <c r="BH290" i="4"/>
  <c r="BG290" i="4"/>
  <c r="BF290" i="4"/>
  <c r="T290" i="4"/>
  <c r="R290" i="4"/>
  <c r="P290" i="4"/>
  <c r="BI286" i="4"/>
  <c r="BH286" i="4"/>
  <c r="BG286" i="4"/>
  <c r="BF286" i="4"/>
  <c r="T286" i="4"/>
  <c r="R286" i="4"/>
  <c r="P286" i="4"/>
  <c r="BI277" i="4"/>
  <c r="BH277" i="4"/>
  <c r="BG277" i="4"/>
  <c r="BF277" i="4"/>
  <c r="T277" i="4"/>
  <c r="R277" i="4"/>
  <c r="P277" i="4"/>
  <c r="BI274" i="4"/>
  <c r="BH274" i="4"/>
  <c r="BG274" i="4"/>
  <c r="BF274" i="4"/>
  <c r="T274" i="4"/>
  <c r="R274" i="4"/>
  <c r="P274" i="4"/>
  <c r="BI272" i="4"/>
  <c r="BH272" i="4"/>
  <c r="BG272" i="4"/>
  <c r="BF272" i="4"/>
  <c r="T272" i="4"/>
  <c r="R272" i="4"/>
  <c r="P272" i="4"/>
  <c r="BI269" i="4"/>
  <c r="BH269" i="4"/>
  <c r="BG269" i="4"/>
  <c r="BF269" i="4"/>
  <c r="T269" i="4"/>
  <c r="R269" i="4"/>
  <c r="P269" i="4"/>
  <c r="BI262" i="4"/>
  <c r="BH262" i="4"/>
  <c r="BG262" i="4"/>
  <c r="BF262" i="4"/>
  <c r="T262" i="4"/>
  <c r="R262" i="4"/>
  <c r="P262" i="4"/>
  <c r="BI260" i="4"/>
  <c r="BH260" i="4"/>
  <c r="BG260" i="4"/>
  <c r="BF260" i="4"/>
  <c r="T260" i="4"/>
  <c r="R260" i="4"/>
  <c r="P260" i="4"/>
  <c r="BI258" i="4"/>
  <c r="BH258" i="4"/>
  <c r="BG258" i="4"/>
  <c r="BF258" i="4"/>
  <c r="T258" i="4"/>
  <c r="R258" i="4"/>
  <c r="P258" i="4"/>
  <c r="BI256" i="4"/>
  <c r="BH256" i="4"/>
  <c r="BG256" i="4"/>
  <c r="BF256" i="4"/>
  <c r="T256" i="4"/>
  <c r="R256" i="4"/>
  <c r="P256" i="4"/>
  <c r="BI254" i="4"/>
  <c r="BH254" i="4"/>
  <c r="BG254" i="4"/>
  <c r="BF254" i="4"/>
  <c r="T254" i="4"/>
  <c r="R254" i="4"/>
  <c r="P254" i="4"/>
  <c r="BI252" i="4"/>
  <c r="BH252" i="4"/>
  <c r="BG252" i="4"/>
  <c r="BF252" i="4"/>
  <c r="T252" i="4"/>
  <c r="R252" i="4"/>
  <c r="P252" i="4"/>
  <c r="BI250" i="4"/>
  <c r="BH250" i="4"/>
  <c r="BG250" i="4"/>
  <c r="BF250" i="4"/>
  <c r="T250" i="4"/>
  <c r="R250" i="4"/>
  <c r="P250" i="4"/>
  <c r="BI248" i="4"/>
  <c r="BH248" i="4"/>
  <c r="BG248" i="4"/>
  <c r="BF248" i="4"/>
  <c r="T248" i="4"/>
  <c r="R248" i="4"/>
  <c r="P248" i="4"/>
  <c r="BI246" i="4"/>
  <c r="BH246" i="4"/>
  <c r="BG246" i="4"/>
  <c r="BF246" i="4"/>
  <c r="T246" i="4"/>
  <c r="R246" i="4"/>
  <c r="P246" i="4"/>
  <c r="BI243" i="4"/>
  <c r="BH243" i="4"/>
  <c r="BG243" i="4"/>
  <c r="BF243" i="4"/>
  <c r="T243" i="4"/>
  <c r="R243" i="4"/>
  <c r="P243" i="4"/>
  <c r="BI241" i="4"/>
  <c r="BH241" i="4"/>
  <c r="BG241" i="4"/>
  <c r="BF241" i="4"/>
  <c r="T241" i="4"/>
  <c r="R241" i="4"/>
  <c r="P241" i="4"/>
  <c r="BI234" i="4"/>
  <c r="BH234" i="4"/>
  <c r="BG234" i="4"/>
  <c r="BF234" i="4"/>
  <c r="T234" i="4"/>
  <c r="T233" i="4"/>
  <c r="R234" i="4"/>
  <c r="R233" i="4" s="1"/>
  <c r="P234" i="4"/>
  <c r="P233" i="4"/>
  <c r="BI230" i="4"/>
  <c r="BH230" i="4"/>
  <c r="BG230" i="4"/>
  <c r="BF230" i="4"/>
  <c r="T230" i="4"/>
  <c r="R230" i="4"/>
  <c r="P230" i="4"/>
  <c r="BI223" i="4"/>
  <c r="BH223" i="4"/>
  <c r="BG223" i="4"/>
  <c r="BF223" i="4"/>
  <c r="T223" i="4"/>
  <c r="R223" i="4"/>
  <c r="P223" i="4"/>
  <c r="BI220" i="4"/>
  <c r="BH220" i="4"/>
  <c r="BG220" i="4"/>
  <c r="BF220" i="4"/>
  <c r="T220" i="4"/>
  <c r="R220" i="4"/>
  <c r="P220" i="4"/>
  <c r="BI216" i="4"/>
  <c r="BH216" i="4"/>
  <c r="BG216" i="4"/>
  <c r="BF216" i="4"/>
  <c r="T216" i="4"/>
  <c r="R216" i="4"/>
  <c r="P216" i="4"/>
  <c r="BI212" i="4"/>
  <c r="BH212" i="4"/>
  <c r="BG212" i="4"/>
  <c r="BF212" i="4"/>
  <c r="T212" i="4"/>
  <c r="R212" i="4"/>
  <c r="P212" i="4"/>
  <c r="BI208" i="4"/>
  <c r="BH208" i="4"/>
  <c r="BG208" i="4"/>
  <c r="BF208" i="4"/>
  <c r="T208" i="4"/>
  <c r="R208" i="4"/>
  <c r="P208" i="4"/>
  <c r="BI204" i="4"/>
  <c r="BH204" i="4"/>
  <c r="BG204" i="4"/>
  <c r="BF204" i="4"/>
  <c r="T204" i="4"/>
  <c r="R204" i="4"/>
  <c r="P204" i="4"/>
  <c r="BI200" i="4"/>
  <c r="BH200" i="4"/>
  <c r="BG200" i="4"/>
  <c r="BF200" i="4"/>
  <c r="T200" i="4"/>
  <c r="R200" i="4"/>
  <c r="P200" i="4"/>
  <c r="BI196" i="4"/>
  <c r="BH196" i="4"/>
  <c r="BG196" i="4"/>
  <c r="BF196" i="4"/>
  <c r="T196" i="4"/>
  <c r="R196" i="4"/>
  <c r="P196" i="4"/>
  <c r="BI193" i="4"/>
  <c r="BH193" i="4"/>
  <c r="BG193" i="4"/>
  <c r="BF193" i="4"/>
  <c r="T193" i="4"/>
  <c r="R193" i="4"/>
  <c r="P193" i="4"/>
  <c r="BI187" i="4"/>
  <c r="BH187" i="4"/>
  <c r="BG187" i="4"/>
  <c r="BF187" i="4"/>
  <c r="T187" i="4"/>
  <c r="R187" i="4"/>
  <c r="P187" i="4"/>
  <c r="BI182" i="4"/>
  <c r="BH182" i="4"/>
  <c r="BG182" i="4"/>
  <c r="BF182" i="4"/>
  <c r="T182" i="4"/>
  <c r="R182" i="4"/>
  <c r="P182" i="4"/>
  <c r="BI178" i="4"/>
  <c r="BH178" i="4"/>
  <c r="BG178" i="4"/>
  <c r="BF178" i="4"/>
  <c r="T178" i="4"/>
  <c r="R178" i="4"/>
  <c r="P178" i="4"/>
  <c r="BI173" i="4"/>
  <c r="BH173" i="4"/>
  <c r="BG173" i="4"/>
  <c r="BF173" i="4"/>
  <c r="T173" i="4"/>
  <c r="R173" i="4"/>
  <c r="P173" i="4"/>
  <c r="BI168" i="4"/>
  <c r="BH168" i="4"/>
  <c r="BG168" i="4"/>
  <c r="BF168" i="4"/>
  <c r="T168" i="4"/>
  <c r="R168" i="4"/>
  <c r="P168" i="4"/>
  <c r="BI161" i="4"/>
  <c r="BH161" i="4"/>
  <c r="BG161" i="4"/>
  <c r="BF161" i="4"/>
  <c r="T161" i="4"/>
  <c r="R161" i="4"/>
  <c r="P161" i="4"/>
  <c r="BI156" i="4"/>
  <c r="BH156" i="4"/>
  <c r="BG156" i="4"/>
  <c r="BF156" i="4"/>
  <c r="T156" i="4"/>
  <c r="R156" i="4"/>
  <c r="P156" i="4"/>
  <c r="BI153" i="4"/>
  <c r="BH153" i="4"/>
  <c r="BG153" i="4"/>
  <c r="BF153" i="4"/>
  <c r="T153" i="4"/>
  <c r="R153" i="4"/>
  <c r="P153" i="4"/>
  <c r="BI151" i="4"/>
  <c r="BH151" i="4"/>
  <c r="BG151" i="4"/>
  <c r="BF151" i="4"/>
  <c r="T151" i="4"/>
  <c r="R151" i="4"/>
  <c r="P151" i="4"/>
  <c r="BI148" i="4"/>
  <c r="BH148" i="4"/>
  <c r="BG148" i="4"/>
  <c r="BF148" i="4"/>
  <c r="T148" i="4"/>
  <c r="R148" i="4"/>
  <c r="P148" i="4"/>
  <c r="BI140" i="4"/>
  <c r="BH140" i="4"/>
  <c r="BG140" i="4"/>
  <c r="BF140" i="4"/>
  <c r="T140" i="4"/>
  <c r="R140" i="4"/>
  <c r="P140" i="4"/>
  <c r="BI132" i="4"/>
  <c r="BH132" i="4"/>
  <c r="BG132" i="4"/>
  <c r="BF132" i="4"/>
  <c r="T132" i="4"/>
  <c r="R132" i="4"/>
  <c r="P132" i="4"/>
  <c r="BI128" i="4"/>
  <c r="BH128" i="4"/>
  <c r="BG128" i="4"/>
  <c r="BF128" i="4"/>
  <c r="T128" i="4"/>
  <c r="R128" i="4"/>
  <c r="P128" i="4"/>
  <c r="J122" i="4"/>
  <c r="J121" i="4"/>
  <c r="F121" i="4"/>
  <c r="F119" i="4"/>
  <c r="E117" i="4"/>
  <c r="J92" i="4"/>
  <c r="J91" i="4"/>
  <c r="F91" i="4"/>
  <c r="F89" i="4"/>
  <c r="E87" i="4"/>
  <c r="J18" i="4"/>
  <c r="E18" i="4"/>
  <c r="F122" i="4" s="1"/>
  <c r="J17" i="4"/>
  <c r="J12" i="4"/>
  <c r="J119" i="4" s="1"/>
  <c r="E7" i="4"/>
  <c r="E85" i="4" s="1"/>
  <c r="J37" i="2"/>
  <c r="J36" i="2"/>
  <c r="J35" i="2"/>
  <c r="BI422" i="2"/>
  <c r="BH422" i="2"/>
  <c r="BG422" i="2"/>
  <c r="BF422" i="2"/>
  <c r="T422" i="2"/>
  <c r="T421" i="2"/>
  <c r="R422" i="2"/>
  <c r="R421" i="2" s="1"/>
  <c r="P422" i="2"/>
  <c r="P421" i="2"/>
  <c r="BI417" i="2"/>
  <c r="BH417" i="2"/>
  <c r="BG417" i="2"/>
  <c r="BF417" i="2"/>
  <c r="T417" i="2"/>
  <c r="R417" i="2"/>
  <c r="P417" i="2"/>
  <c r="BI414" i="2"/>
  <c r="BH414" i="2"/>
  <c r="BG414" i="2"/>
  <c r="BF414" i="2"/>
  <c r="T414" i="2"/>
  <c r="R414" i="2"/>
  <c r="P414" i="2"/>
  <c r="BI411" i="2"/>
  <c r="BH411" i="2"/>
  <c r="BG411" i="2"/>
  <c r="BF411" i="2"/>
  <c r="T411" i="2"/>
  <c r="R411" i="2"/>
  <c r="P411" i="2"/>
  <c r="BI409" i="2"/>
  <c r="BH409" i="2"/>
  <c r="BG409" i="2"/>
  <c r="BF409" i="2"/>
  <c r="T409" i="2"/>
  <c r="R409" i="2"/>
  <c r="P409" i="2"/>
  <c r="BI405" i="2"/>
  <c r="BH405" i="2"/>
  <c r="BG405" i="2"/>
  <c r="BF405" i="2"/>
  <c r="T405" i="2"/>
  <c r="R405" i="2"/>
  <c r="P405" i="2"/>
  <c r="BI403" i="2"/>
  <c r="BH403" i="2"/>
  <c r="BG403" i="2"/>
  <c r="BF403" i="2"/>
  <c r="T403" i="2"/>
  <c r="R403" i="2"/>
  <c r="P403" i="2"/>
  <c r="BI401" i="2"/>
  <c r="BH401" i="2"/>
  <c r="BG401" i="2"/>
  <c r="BF401" i="2"/>
  <c r="T401" i="2"/>
  <c r="R401" i="2"/>
  <c r="P401" i="2"/>
  <c r="BI399" i="2"/>
  <c r="BH399" i="2"/>
  <c r="BG399" i="2"/>
  <c r="BF399" i="2"/>
  <c r="T399" i="2"/>
  <c r="R399" i="2"/>
  <c r="P399" i="2"/>
  <c r="BI397" i="2"/>
  <c r="BH397" i="2"/>
  <c r="BG397" i="2"/>
  <c r="BF397" i="2"/>
  <c r="T397" i="2"/>
  <c r="R397" i="2"/>
  <c r="P397" i="2"/>
  <c r="BI395" i="2"/>
  <c r="BH395" i="2"/>
  <c r="BG395" i="2"/>
  <c r="BF395" i="2"/>
  <c r="T395" i="2"/>
  <c r="R395" i="2"/>
  <c r="P395" i="2"/>
  <c r="BI393" i="2"/>
  <c r="BH393" i="2"/>
  <c r="BG393" i="2"/>
  <c r="BF393" i="2"/>
  <c r="T393" i="2"/>
  <c r="R393" i="2"/>
  <c r="P393" i="2"/>
  <c r="BI391" i="2"/>
  <c r="BH391" i="2"/>
  <c r="BG391" i="2"/>
  <c r="BF391" i="2"/>
  <c r="T391" i="2"/>
  <c r="R391" i="2"/>
  <c r="P391" i="2"/>
  <c r="BI389" i="2"/>
  <c r="BH389" i="2"/>
  <c r="BG389" i="2"/>
  <c r="BF389" i="2"/>
  <c r="T389" i="2"/>
  <c r="R389" i="2"/>
  <c r="P389" i="2"/>
  <c r="BI387" i="2"/>
  <c r="BH387" i="2"/>
  <c r="BG387" i="2"/>
  <c r="BF387" i="2"/>
  <c r="T387" i="2"/>
  <c r="R387" i="2"/>
  <c r="P387" i="2"/>
  <c r="BI385" i="2"/>
  <c r="BH385" i="2"/>
  <c r="BG385" i="2"/>
  <c r="BF385" i="2"/>
  <c r="T385" i="2"/>
  <c r="R385" i="2"/>
  <c r="P385" i="2"/>
  <c r="BI383" i="2"/>
  <c r="BH383" i="2"/>
  <c r="BG383" i="2"/>
  <c r="BF383" i="2"/>
  <c r="T383" i="2"/>
  <c r="R383" i="2"/>
  <c r="P383" i="2"/>
  <c r="BI381" i="2"/>
  <c r="BH381" i="2"/>
  <c r="BG381" i="2"/>
  <c r="BF381" i="2"/>
  <c r="T381" i="2"/>
  <c r="R381" i="2"/>
  <c r="P381" i="2"/>
  <c r="BI379" i="2"/>
  <c r="BH379" i="2"/>
  <c r="BG379" i="2"/>
  <c r="BF379" i="2"/>
  <c r="T379" i="2"/>
  <c r="R379" i="2"/>
  <c r="P379" i="2"/>
  <c r="BI377" i="2"/>
  <c r="BH377" i="2"/>
  <c r="BG377" i="2"/>
  <c r="BF377" i="2"/>
  <c r="T377" i="2"/>
  <c r="R377" i="2"/>
  <c r="P377" i="2"/>
  <c r="BI374" i="2"/>
  <c r="BH374" i="2"/>
  <c r="BG374" i="2"/>
  <c r="BF374" i="2"/>
  <c r="T374" i="2"/>
  <c r="R374" i="2"/>
  <c r="P374" i="2"/>
  <c r="BI371" i="2"/>
  <c r="BH371" i="2"/>
  <c r="BG371" i="2"/>
  <c r="BF371" i="2"/>
  <c r="T371" i="2"/>
  <c r="R371" i="2"/>
  <c r="P371" i="2"/>
  <c r="BI368" i="2"/>
  <c r="BH368" i="2"/>
  <c r="BG368" i="2"/>
  <c r="BF368" i="2"/>
  <c r="T368" i="2"/>
  <c r="R368" i="2"/>
  <c r="P368" i="2"/>
  <c r="BI365" i="2"/>
  <c r="BH365" i="2"/>
  <c r="BG365" i="2"/>
  <c r="BF365" i="2"/>
  <c r="T365" i="2"/>
  <c r="R365" i="2"/>
  <c r="P365" i="2"/>
  <c r="BI363" i="2"/>
  <c r="BH363" i="2"/>
  <c r="BG363" i="2"/>
  <c r="BF363" i="2"/>
  <c r="T363" i="2"/>
  <c r="R363" i="2"/>
  <c r="P363" i="2"/>
  <c r="BI361" i="2"/>
  <c r="BH361" i="2"/>
  <c r="BG361" i="2"/>
  <c r="BF361" i="2"/>
  <c r="T361" i="2"/>
  <c r="R361" i="2"/>
  <c r="P361" i="2"/>
  <c r="BI359" i="2"/>
  <c r="BH359" i="2"/>
  <c r="BG359" i="2"/>
  <c r="BF359" i="2"/>
  <c r="T359" i="2"/>
  <c r="R359" i="2"/>
  <c r="P359" i="2"/>
  <c r="BI355" i="2"/>
  <c r="BH355" i="2"/>
  <c r="BG355" i="2"/>
  <c r="BF355" i="2"/>
  <c r="T355" i="2"/>
  <c r="R355" i="2"/>
  <c r="P355" i="2"/>
  <c r="BI353" i="2"/>
  <c r="BH353" i="2"/>
  <c r="BG353" i="2"/>
  <c r="BF353" i="2"/>
  <c r="T353" i="2"/>
  <c r="R353" i="2"/>
  <c r="P353" i="2"/>
  <c r="BI351" i="2"/>
  <c r="BH351" i="2"/>
  <c r="BG351" i="2"/>
  <c r="BF351" i="2"/>
  <c r="T351" i="2"/>
  <c r="R351" i="2"/>
  <c r="P351" i="2"/>
  <c r="BI349" i="2"/>
  <c r="BH349" i="2"/>
  <c r="BG349" i="2"/>
  <c r="BF349" i="2"/>
  <c r="T349" i="2"/>
  <c r="R349" i="2"/>
  <c r="P349" i="2"/>
  <c r="BI347" i="2"/>
  <c r="BH347" i="2"/>
  <c r="BG347" i="2"/>
  <c r="BF347" i="2"/>
  <c r="T347" i="2"/>
  <c r="R347" i="2"/>
  <c r="P347" i="2"/>
  <c r="BI345" i="2"/>
  <c r="BH345" i="2"/>
  <c r="BG345" i="2"/>
  <c r="BF345" i="2"/>
  <c r="T345" i="2"/>
  <c r="R345" i="2"/>
  <c r="P345" i="2"/>
  <c r="BI343" i="2"/>
  <c r="BH343" i="2"/>
  <c r="BG343" i="2"/>
  <c r="BF343" i="2"/>
  <c r="T343" i="2"/>
  <c r="R343" i="2"/>
  <c r="P343" i="2"/>
  <c r="BI341" i="2"/>
  <c r="BH341" i="2"/>
  <c r="BG341" i="2"/>
  <c r="BF341" i="2"/>
  <c r="T341" i="2"/>
  <c r="R341" i="2"/>
  <c r="P341" i="2"/>
  <c r="BI339" i="2"/>
  <c r="BH339" i="2"/>
  <c r="BG339" i="2"/>
  <c r="BF339" i="2"/>
  <c r="T339" i="2"/>
  <c r="R339" i="2"/>
  <c r="P339" i="2"/>
  <c r="BI336" i="2"/>
  <c r="BH336" i="2"/>
  <c r="BG336" i="2"/>
  <c r="BF336" i="2"/>
  <c r="T336" i="2"/>
  <c r="R336" i="2"/>
  <c r="P336" i="2"/>
  <c r="BI333" i="2"/>
  <c r="BH333" i="2"/>
  <c r="BG333" i="2"/>
  <c r="BF333" i="2"/>
  <c r="T333" i="2"/>
  <c r="R333" i="2"/>
  <c r="P333" i="2"/>
  <c r="BI330" i="2"/>
  <c r="BH330" i="2"/>
  <c r="BG330" i="2"/>
  <c r="BF330" i="2"/>
  <c r="T330" i="2"/>
  <c r="R330" i="2"/>
  <c r="P330" i="2"/>
  <c r="BI327" i="2"/>
  <c r="BH327" i="2"/>
  <c r="BG327" i="2"/>
  <c r="BF327" i="2"/>
  <c r="T327" i="2"/>
  <c r="R327" i="2"/>
  <c r="P327" i="2"/>
  <c r="BI325" i="2"/>
  <c r="BH325" i="2"/>
  <c r="BG325" i="2"/>
  <c r="BF325" i="2"/>
  <c r="T325" i="2"/>
  <c r="R325" i="2"/>
  <c r="P325" i="2"/>
  <c r="BI322" i="2"/>
  <c r="BH322" i="2"/>
  <c r="BG322" i="2"/>
  <c r="BF322" i="2"/>
  <c r="T322" i="2"/>
  <c r="R322" i="2"/>
  <c r="P322" i="2"/>
  <c r="BI317" i="2"/>
  <c r="BH317" i="2"/>
  <c r="BG317" i="2"/>
  <c r="BF317" i="2"/>
  <c r="T317" i="2"/>
  <c r="R317" i="2"/>
  <c r="P317" i="2"/>
  <c r="BI314" i="2"/>
  <c r="BH314" i="2"/>
  <c r="BG314" i="2"/>
  <c r="BF314" i="2"/>
  <c r="T314" i="2"/>
  <c r="R314" i="2"/>
  <c r="P314" i="2"/>
  <c r="BI310" i="2"/>
  <c r="BH310" i="2"/>
  <c r="BG310" i="2"/>
  <c r="BF310" i="2"/>
  <c r="T310" i="2"/>
  <c r="R310" i="2"/>
  <c r="P310" i="2"/>
  <c r="BI307" i="2"/>
  <c r="BH307" i="2"/>
  <c r="BG307" i="2"/>
  <c r="BF307" i="2"/>
  <c r="T307" i="2"/>
  <c r="R307" i="2"/>
  <c r="P307" i="2"/>
  <c r="BI300" i="2"/>
  <c r="BH300" i="2"/>
  <c r="BG300" i="2"/>
  <c r="BF300" i="2"/>
  <c r="T300" i="2"/>
  <c r="R300" i="2"/>
  <c r="P300" i="2"/>
  <c r="BI296" i="2"/>
  <c r="BH296" i="2"/>
  <c r="BG296" i="2"/>
  <c r="BF296" i="2"/>
  <c r="T296" i="2"/>
  <c r="R296" i="2"/>
  <c r="P296" i="2"/>
  <c r="BI294" i="2"/>
  <c r="BH294" i="2"/>
  <c r="BG294" i="2"/>
  <c r="BF294" i="2"/>
  <c r="T294" i="2"/>
  <c r="R294" i="2"/>
  <c r="P294" i="2"/>
  <c r="BI292" i="2"/>
  <c r="BH292" i="2"/>
  <c r="BG292" i="2"/>
  <c r="BF292" i="2"/>
  <c r="T292" i="2"/>
  <c r="R292" i="2"/>
  <c r="P292" i="2"/>
  <c r="BI285" i="2"/>
  <c r="BH285" i="2"/>
  <c r="BG285" i="2"/>
  <c r="BF285" i="2"/>
  <c r="T285" i="2"/>
  <c r="R285" i="2"/>
  <c r="P285" i="2"/>
  <c r="BI283" i="2"/>
  <c r="BH283" i="2"/>
  <c r="BG283" i="2"/>
  <c r="BF283" i="2"/>
  <c r="T283" i="2"/>
  <c r="R283" i="2"/>
  <c r="P283" i="2"/>
  <c r="BI279" i="2"/>
  <c r="BH279" i="2"/>
  <c r="BG279" i="2"/>
  <c r="BF279" i="2"/>
  <c r="T279" i="2"/>
  <c r="R279" i="2"/>
  <c r="P279" i="2"/>
  <c r="BI277" i="2"/>
  <c r="BH277" i="2"/>
  <c r="BG277" i="2"/>
  <c r="BF277" i="2"/>
  <c r="T277" i="2"/>
  <c r="R277" i="2"/>
  <c r="P277" i="2"/>
  <c r="BI274" i="2"/>
  <c r="BH274" i="2"/>
  <c r="BG274" i="2"/>
  <c r="BF274" i="2"/>
  <c r="T274" i="2"/>
  <c r="R274" i="2"/>
  <c r="P274" i="2"/>
  <c r="BI272" i="2"/>
  <c r="BH272" i="2"/>
  <c r="BG272" i="2"/>
  <c r="BF272" i="2"/>
  <c r="T272" i="2"/>
  <c r="R272" i="2"/>
  <c r="P272" i="2"/>
  <c r="BI270" i="2"/>
  <c r="BH270" i="2"/>
  <c r="BG270" i="2"/>
  <c r="BF270" i="2"/>
  <c r="T270" i="2"/>
  <c r="R270" i="2"/>
  <c r="P270" i="2"/>
  <c r="BI268" i="2"/>
  <c r="BH268" i="2"/>
  <c r="BG268" i="2"/>
  <c r="BF268" i="2"/>
  <c r="T268" i="2"/>
  <c r="R268" i="2"/>
  <c r="P268" i="2"/>
  <c r="BI266" i="2"/>
  <c r="BH266" i="2"/>
  <c r="BG266" i="2"/>
  <c r="BF266" i="2"/>
  <c r="T266" i="2"/>
  <c r="R266" i="2"/>
  <c r="P266" i="2"/>
  <c r="BI264" i="2"/>
  <c r="BH264" i="2"/>
  <c r="BG264" i="2"/>
  <c r="BF264" i="2"/>
  <c r="T264" i="2"/>
  <c r="R264" i="2"/>
  <c r="P264" i="2"/>
  <c r="BI260" i="2"/>
  <c r="BH260" i="2"/>
  <c r="BG260" i="2"/>
  <c r="BF260" i="2"/>
  <c r="T260" i="2"/>
  <c r="R260" i="2"/>
  <c r="P260" i="2"/>
  <c r="BI258" i="2"/>
  <c r="BH258" i="2"/>
  <c r="BG258" i="2"/>
  <c r="BF258" i="2"/>
  <c r="T258" i="2"/>
  <c r="R258" i="2"/>
  <c r="P258" i="2"/>
  <c r="BI256" i="2"/>
  <c r="BH256" i="2"/>
  <c r="BG256" i="2"/>
  <c r="BF256" i="2"/>
  <c r="T256" i="2"/>
  <c r="R256" i="2"/>
  <c r="P256" i="2"/>
  <c r="BI252" i="2"/>
  <c r="BH252" i="2"/>
  <c r="BG252" i="2"/>
  <c r="BF252" i="2"/>
  <c r="T252" i="2"/>
  <c r="R252" i="2"/>
  <c r="P252" i="2"/>
  <c r="BI250" i="2"/>
  <c r="BH250" i="2"/>
  <c r="BG250" i="2"/>
  <c r="BF250" i="2"/>
  <c r="T250" i="2"/>
  <c r="R250" i="2"/>
  <c r="P250" i="2"/>
  <c r="BI246" i="2"/>
  <c r="BH246" i="2"/>
  <c r="BG246" i="2"/>
  <c r="BF246" i="2"/>
  <c r="T246" i="2"/>
  <c r="R246" i="2"/>
  <c r="P246" i="2"/>
  <c r="BI242" i="2"/>
  <c r="BH242" i="2"/>
  <c r="BG242" i="2"/>
  <c r="BF242" i="2"/>
  <c r="T242" i="2"/>
  <c r="R242" i="2"/>
  <c r="P242" i="2"/>
  <c r="BI240" i="2"/>
  <c r="BH240" i="2"/>
  <c r="BG240" i="2"/>
  <c r="BF240" i="2"/>
  <c r="T240" i="2"/>
  <c r="R240" i="2"/>
  <c r="P240" i="2"/>
  <c r="BI237" i="2"/>
  <c r="BH237" i="2"/>
  <c r="BG237" i="2"/>
  <c r="BF237" i="2"/>
  <c r="T237" i="2"/>
  <c r="R237" i="2"/>
  <c r="P237" i="2"/>
  <c r="BI234" i="2"/>
  <c r="BH234" i="2"/>
  <c r="BG234" i="2"/>
  <c r="BF234" i="2"/>
  <c r="T234" i="2"/>
  <c r="R234" i="2"/>
  <c r="P234" i="2"/>
  <c r="BI231" i="2"/>
  <c r="BH231" i="2"/>
  <c r="BG231" i="2"/>
  <c r="BF231" i="2"/>
  <c r="T231" i="2"/>
  <c r="R231" i="2"/>
  <c r="P231" i="2"/>
  <c r="BI227" i="2"/>
  <c r="BH227" i="2"/>
  <c r="BG227" i="2"/>
  <c r="BF227" i="2"/>
  <c r="T227" i="2"/>
  <c r="R227" i="2"/>
  <c r="P227" i="2"/>
  <c r="BI224" i="2"/>
  <c r="BH224" i="2"/>
  <c r="BG224" i="2"/>
  <c r="BF224" i="2"/>
  <c r="T224" i="2"/>
  <c r="R224" i="2"/>
  <c r="P224" i="2"/>
  <c r="BI220" i="2"/>
  <c r="BH220" i="2"/>
  <c r="BG220" i="2"/>
  <c r="BF220" i="2"/>
  <c r="T220" i="2"/>
  <c r="R220" i="2"/>
  <c r="P220" i="2"/>
  <c r="BI215" i="2"/>
  <c r="BH215" i="2"/>
  <c r="BG215" i="2"/>
  <c r="BF215" i="2"/>
  <c r="T215" i="2"/>
  <c r="R215" i="2"/>
  <c r="P215" i="2"/>
  <c r="BI211" i="2"/>
  <c r="BH211" i="2"/>
  <c r="BG211" i="2"/>
  <c r="BF211" i="2"/>
  <c r="T211" i="2"/>
  <c r="R211" i="2"/>
  <c r="P211" i="2"/>
  <c r="BI208" i="2"/>
  <c r="BH208" i="2"/>
  <c r="BG208" i="2"/>
  <c r="BF208" i="2"/>
  <c r="T208" i="2"/>
  <c r="R208" i="2"/>
  <c r="P208" i="2"/>
  <c r="BI199" i="2"/>
  <c r="BH199" i="2"/>
  <c r="BG199" i="2"/>
  <c r="BF199" i="2"/>
  <c r="T199" i="2"/>
  <c r="R199" i="2"/>
  <c r="P199" i="2"/>
  <c r="BI188" i="2"/>
  <c r="BH188" i="2"/>
  <c r="BG188" i="2"/>
  <c r="BF188" i="2"/>
  <c r="T188" i="2"/>
  <c r="R188" i="2"/>
  <c r="P188" i="2"/>
  <c r="BI184" i="2"/>
  <c r="BH184" i="2"/>
  <c r="BG184" i="2"/>
  <c r="BF184" i="2"/>
  <c r="T184" i="2"/>
  <c r="R184" i="2"/>
  <c r="P184" i="2"/>
  <c r="BI181" i="2"/>
  <c r="BH181" i="2"/>
  <c r="BG181" i="2"/>
  <c r="BF181" i="2"/>
  <c r="T181" i="2"/>
  <c r="R181" i="2"/>
  <c r="P181" i="2"/>
  <c r="BI177" i="2"/>
  <c r="BH177" i="2"/>
  <c r="BG177" i="2"/>
  <c r="BF177" i="2"/>
  <c r="T177" i="2"/>
  <c r="R177" i="2"/>
  <c r="P177" i="2"/>
  <c r="BI174" i="2"/>
  <c r="BH174" i="2"/>
  <c r="BG174" i="2"/>
  <c r="BF174" i="2"/>
  <c r="T174" i="2"/>
  <c r="R174" i="2"/>
  <c r="P174" i="2"/>
  <c r="BI171" i="2"/>
  <c r="BH171" i="2"/>
  <c r="BG171" i="2"/>
  <c r="BF171" i="2"/>
  <c r="T171" i="2"/>
  <c r="R171" i="2"/>
  <c r="P171" i="2"/>
  <c r="BI167" i="2"/>
  <c r="BH167" i="2"/>
  <c r="BG167" i="2"/>
  <c r="BF167" i="2"/>
  <c r="T167" i="2"/>
  <c r="R167" i="2"/>
  <c r="P167" i="2"/>
  <c r="BI163" i="2"/>
  <c r="BH163" i="2"/>
  <c r="BG163" i="2"/>
  <c r="BF163" i="2"/>
  <c r="T163" i="2"/>
  <c r="R163" i="2"/>
  <c r="P163" i="2"/>
  <c r="BI159" i="2"/>
  <c r="BH159" i="2"/>
  <c r="BG159" i="2"/>
  <c r="BF159" i="2"/>
  <c r="T159" i="2"/>
  <c r="R159" i="2"/>
  <c r="P159" i="2"/>
  <c r="BI152" i="2"/>
  <c r="BH152" i="2"/>
  <c r="BG152" i="2"/>
  <c r="BF152" i="2"/>
  <c r="T152" i="2"/>
  <c r="R152" i="2"/>
  <c r="P152" i="2"/>
  <c r="BI136" i="2"/>
  <c r="BH136" i="2"/>
  <c r="BG136" i="2"/>
  <c r="BF136" i="2"/>
  <c r="T136" i="2"/>
  <c r="R136" i="2"/>
  <c r="P136" i="2"/>
  <c r="BI129" i="2"/>
  <c r="BH129" i="2"/>
  <c r="BG129" i="2"/>
  <c r="BF129" i="2"/>
  <c r="T129" i="2"/>
  <c r="R129" i="2"/>
  <c r="P129" i="2"/>
  <c r="BI124" i="2"/>
  <c r="BH124" i="2"/>
  <c r="BG124" i="2"/>
  <c r="BF124" i="2"/>
  <c r="T124" i="2"/>
  <c r="R124" i="2"/>
  <c r="P124" i="2"/>
  <c r="J118" i="2"/>
  <c r="J117" i="2"/>
  <c r="F117" i="2"/>
  <c r="F115" i="2"/>
  <c r="E113" i="2"/>
  <c r="J92" i="2"/>
  <c r="J91" i="2"/>
  <c r="F91" i="2"/>
  <c r="F89" i="2"/>
  <c r="E87" i="2"/>
  <c r="J18" i="2"/>
  <c r="E18" i="2"/>
  <c r="F92" i="2" s="1"/>
  <c r="J17" i="2"/>
  <c r="J12" i="2"/>
  <c r="J115" i="2" s="1"/>
  <c r="E7" i="2"/>
  <c r="E111" i="2" s="1"/>
  <c r="J174" i="2"/>
  <c r="BK347" i="2"/>
  <c r="J336" i="2"/>
  <c r="BK314" i="2"/>
  <c r="BK285" i="2"/>
  <c r="J258" i="2"/>
  <c r="J215" i="2"/>
  <c r="BK355" i="2"/>
  <c r="J345" i="2"/>
  <c r="BK333" i="2"/>
  <c r="J317" i="2"/>
  <c r="BK274" i="2"/>
  <c r="BK256" i="2"/>
  <c r="BK242" i="2"/>
  <c r="J220" i="2"/>
  <c r="BK177" i="2"/>
  <c r="J129" i="2"/>
  <c r="J363" i="2"/>
  <c r="BK381" i="2"/>
  <c r="J359" i="2"/>
  <c r="J349" i="2"/>
  <c r="BK341" i="2"/>
  <c r="BK307" i="2"/>
  <c r="J270" i="2"/>
  <c r="BK174" i="2"/>
  <c r="J286" i="4"/>
  <c r="J248" i="4"/>
  <c r="J196" i="4"/>
  <c r="J294" i="4"/>
  <c r="BK212" i="4"/>
  <c r="BK196" i="4"/>
  <c r="BK156" i="4"/>
  <c r="J262" i="4"/>
  <c r="BK216" i="4"/>
  <c r="BK260" i="4"/>
  <c r="BK243" i="4"/>
  <c r="BK294" i="4"/>
  <c r="J269" i="4"/>
  <c r="J246" i="4"/>
  <c r="BK161" i="4"/>
  <c r="J254" i="4"/>
  <c r="BK230" i="4"/>
  <c r="J193" i="4"/>
  <c r="J234" i="4"/>
  <c r="BK151" i="4"/>
  <c r="J151" i="4"/>
  <c r="J383" i="2"/>
  <c r="BK363" i="2"/>
  <c r="BK294" i="2"/>
  <c r="J279" i="2"/>
  <c r="J260" i="2"/>
  <c r="BK240" i="2"/>
  <c r="J211" i="2"/>
  <c r="BK163" i="2"/>
  <c r="BK422" i="2"/>
  <c r="BK417" i="2"/>
  <c r="BK411" i="2"/>
  <c r="J395" i="2"/>
  <c r="BK391" i="2"/>
  <c r="BK389" i="2"/>
  <c r="J387" i="2"/>
  <c r="J300" i="2"/>
  <c r="BK268" i="2"/>
  <c r="BK215" i="2"/>
  <c r="J177" i="2"/>
  <c r="BK152" i="2"/>
  <c r="BK322" i="2"/>
  <c r="BK292" i="2"/>
  <c r="BK250" i="2"/>
  <c r="BK234" i="2"/>
  <c r="BK211" i="2"/>
  <c r="J381" i="2"/>
  <c r="BK365" i="2"/>
  <c r="J347" i="2"/>
  <c r="BK336" i="2"/>
  <c r="BK327" i="2"/>
  <c r="J310" i="2"/>
  <c r="J264" i="2"/>
  <c r="J240" i="2"/>
  <c r="J199" i="2"/>
  <c r="BK159" i="2"/>
  <c r="J374" i="2"/>
  <c r="BK383" i="2"/>
  <c r="J365" i="2"/>
  <c r="BK345" i="2"/>
  <c r="J327" i="2"/>
  <c r="J285" i="2"/>
  <c r="BK264" i="2"/>
  <c r="J227" i="2"/>
  <c r="J272" i="4"/>
  <c r="BK252" i="4"/>
  <c r="BK168" i="4"/>
  <c r="J258" i="4"/>
  <c r="BK204" i="4"/>
  <c r="J168" i="4"/>
  <c r="BK272" i="4"/>
  <c r="J241" i="4"/>
  <c r="J274" i="4"/>
  <c r="BK153" i="4"/>
  <c r="BK277" i="4"/>
  <c r="BK220" i="4"/>
  <c r="BK300" i="4"/>
  <c r="BK269" i="4"/>
  <c r="BK208" i="4"/>
  <c r="BK178" i="4"/>
  <c r="J178" i="4"/>
  <c r="BK193" i="4"/>
  <c r="J379" i="2"/>
  <c r="BK361" i="2"/>
  <c r="J292" i="2"/>
  <c r="J268" i="2"/>
  <c r="J256" i="2"/>
  <c r="J237" i="2"/>
  <c r="BK220" i="2"/>
  <c r="BK171" i="2"/>
  <c r="J124" i="2"/>
  <c r="J417" i="2"/>
  <c r="J414" i="2"/>
  <c r="J411" i="2"/>
  <c r="BK409" i="2"/>
  <c r="J409" i="2"/>
  <c r="BK405" i="2"/>
  <c r="J405" i="2"/>
  <c r="BK403" i="2"/>
  <c r="J403" i="2"/>
  <c r="BK401" i="2"/>
  <c r="J401" i="2"/>
  <c r="BK399" i="2"/>
  <c r="J399" i="2"/>
  <c r="BK397" i="2"/>
  <c r="J397" i="2"/>
  <c r="BK395" i="2"/>
  <c r="BK393" i="2"/>
  <c r="J391" i="2"/>
  <c r="J389" i="2"/>
  <c r="BK385" i="2"/>
  <c r="J277" i="2"/>
  <c r="BK252" i="2"/>
  <c r="BK231" i="2"/>
  <c r="BK184" i="2"/>
  <c r="J163" i="2"/>
  <c r="BK129" i="2"/>
  <c r="BK310" i="2"/>
  <c r="BK260" i="2"/>
  <c r="J242" i="2"/>
  <c r="J224" i="2"/>
  <c r="BK188" i="2"/>
  <c r="BK124" i="2"/>
  <c r="BK377" i="2"/>
  <c r="J353" i="2"/>
  <c r="J341" i="2"/>
  <c r="J333" i="2"/>
  <c r="J322" i="2"/>
  <c r="J307" i="2"/>
  <c r="BK283" i="2"/>
  <c r="J231" i="2"/>
  <c r="BK208" i="2"/>
  <c r="J188" i="2"/>
  <c r="BK181" i="2"/>
  <c r="J368" i="2"/>
  <c r="BK351" i="2"/>
  <c r="J339" i="2"/>
  <c r="J325" i="2"/>
  <c r="BK296" i="2"/>
  <c r="BK266" i="2"/>
  <c r="BK237" i="2"/>
  <c r="J181" i="2"/>
  <c r="BK167" i="2"/>
  <c r="BK379" i="2"/>
  <c r="BK359" i="2"/>
  <c r="BK371" i="2"/>
  <c r="J351" i="2"/>
  <c r="J330" i="2"/>
  <c r="J296" i="2"/>
  <c r="J274" i="2"/>
  <c r="J250" i="2"/>
  <c r="J152" i="2"/>
  <c r="J220" i="4"/>
  <c r="BK132" i="4"/>
  <c r="BK248" i="4"/>
  <c r="J182" i="4"/>
  <c r="BK128" i="4"/>
  <c r="J256" i="4"/>
  <c r="BK290" i="4"/>
  <c r="BK254" i="4"/>
  <c r="BK148" i="4"/>
  <c r="BK250" i="4"/>
  <c r="J156" i="4"/>
  <c r="J260" i="4"/>
  <c r="J243" i="4"/>
  <c r="J187" i="4"/>
  <c r="BK187" i="4"/>
  <c r="J128" i="4"/>
  <c r="J148" i="4"/>
  <c r="J216" i="4"/>
  <c r="J223" i="4"/>
  <c r="J173" i="4"/>
  <c r="J250" i="4"/>
  <c r="J300" i="4"/>
  <c r="J230" i="4"/>
  <c r="J277" i="4"/>
  <c r="BK256" i="4"/>
  <c r="BK200" i="4"/>
  <c r="J161" i="4"/>
  <c r="BK182" i="4"/>
  <c r="J377" i="2"/>
  <c r="J371" i="2"/>
  <c r="J355" i="2"/>
  <c r="J283" i="2"/>
  <c r="BK272" i="2"/>
  <c r="J266" i="2"/>
  <c r="J252" i="2"/>
  <c r="BK227" i="2"/>
  <c r="J184" i="2"/>
  <c r="BK136" i="2"/>
  <c r="J422" i="2"/>
  <c r="BK414" i="2"/>
  <c r="J393" i="2"/>
  <c r="BK387" i="2"/>
  <c r="J385" i="2"/>
  <c r="J272" i="2"/>
  <c r="J246" i="2"/>
  <c r="BK199" i="2"/>
  <c r="J167" i="2"/>
  <c r="J136" i="2"/>
  <c r="BK317" i="2"/>
  <c r="BK300" i="2"/>
  <c r="BK339" i="2"/>
  <c r="J294" i="2"/>
  <c r="BK277" i="2"/>
  <c r="BK224" i="2"/>
  <c r="J361" i="2"/>
  <c r="BK349" i="2"/>
  <c r="BK343" i="2"/>
  <c r="BK330" i="2"/>
  <c r="J314" i="2"/>
  <c r="BK270" i="2"/>
  <c r="BK246" i="2"/>
  <c r="J234" i="2"/>
  <c r="J208" i="2"/>
  <c r="J171" i="2"/>
  <c r="BK368" i="2"/>
  <c r="BK374" i="2"/>
  <c r="BK353" i="2"/>
  <c r="J343" i="2"/>
  <c r="BK325" i="2"/>
  <c r="BK279" i="2"/>
  <c r="BK258" i="2"/>
  <c r="J159" i="2"/>
  <c r="J290" i="4"/>
  <c r="BK241" i="4"/>
  <c r="J140" i="4"/>
  <c r="J252" i="4"/>
  <c r="J208" i="4"/>
  <c r="J153" i="4"/>
  <c r="BK234" i="4"/>
  <c r="BK262" i="4"/>
  <c r="BK223" i="4"/>
  <c r="BK286" i="4"/>
  <c r="BK258" i="4"/>
  <c r="J212" i="4"/>
  <c r="BK274" i="4"/>
  <c r="BK246" i="4"/>
  <c r="J204" i="4"/>
  <c r="J132" i="4"/>
  <c r="BK173" i="4"/>
  <c r="J200" i="4"/>
  <c r="BK140" i="4"/>
  <c r="R123" i="2" l="1"/>
  <c r="R219" i="2"/>
  <c r="R245" i="2"/>
  <c r="T127" i="4"/>
  <c r="R160" i="4"/>
  <c r="P172" i="4"/>
  <c r="P245" i="4"/>
  <c r="BK285" i="4"/>
  <c r="J285" i="4"/>
  <c r="J104" i="4"/>
  <c r="R285" i="4"/>
  <c r="T123" i="2"/>
  <c r="P219" i="2"/>
  <c r="P245" i="2"/>
  <c r="R127" i="4"/>
  <c r="P160" i="4"/>
  <c r="BK172" i="4"/>
  <c r="J172" i="4"/>
  <c r="J100" i="4"/>
  <c r="P240" i="4"/>
  <c r="T240" i="4"/>
  <c r="T245" i="4"/>
  <c r="T285" i="4"/>
  <c r="P123" i="2"/>
  <c r="P122" i="2" s="1"/>
  <c r="P121" i="2" s="1"/>
  <c r="BK219" i="2"/>
  <c r="J219" i="2" s="1"/>
  <c r="J99" i="2" s="1"/>
  <c r="T219" i="2"/>
  <c r="T245" i="2"/>
  <c r="P127" i="4"/>
  <c r="BK160" i="4"/>
  <c r="J160" i="4"/>
  <c r="J99" i="4" s="1"/>
  <c r="T160" i="4"/>
  <c r="T172" i="4"/>
  <c r="BK240" i="4"/>
  <c r="J240" i="4"/>
  <c r="J102" i="4" s="1"/>
  <c r="R240" i="4"/>
  <c r="R245" i="4"/>
  <c r="P285" i="4"/>
  <c r="BK123" i="2"/>
  <c r="BK245" i="2"/>
  <c r="J245" i="2"/>
  <c r="J100" i="2"/>
  <c r="BK127" i="4"/>
  <c r="BK126" i="4" s="1"/>
  <c r="J126" i="4" s="1"/>
  <c r="J97" i="4" s="1"/>
  <c r="J127" i="4"/>
  <c r="J98" i="4" s="1"/>
  <c r="R172" i="4"/>
  <c r="BK245" i="4"/>
  <c r="J245" i="4"/>
  <c r="J103" i="4"/>
  <c r="BK421" i="2"/>
  <c r="J421" i="2"/>
  <c r="J101" i="2"/>
  <c r="BK233" i="4"/>
  <c r="J233" i="4" s="1"/>
  <c r="J101" i="4" s="1"/>
  <c r="BK299" i="4"/>
  <c r="J299" i="4"/>
  <c r="J105" i="4"/>
  <c r="E115" i="4"/>
  <c r="BE132" i="4"/>
  <c r="BE178" i="4"/>
  <c r="BE187" i="4"/>
  <c r="BE196" i="4"/>
  <c r="BE212" i="4"/>
  <c r="BE168" i="4"/>
  <c r="BE182" i="4"/>
  <c r="BE208" i="4"/>
  <c r="BE220" i="4"/>
  <c r="BE223" i="4"/>
  <c r="BE230" i="4"/>
  <c r="BE241" i="4"/>
  <c r="J89" i="4"/>
  <c r="BE128" i="4"/>
  <c r="BE173" i="4"/>
  <c r="BE216" i="4"/>
  <c r="BE262" i="4"/>
  <c r="BE193" i="4"/>
  <c r="BE204" i="4"/>
  <c r="BE243" i="4"/>
  <c r="BE252" i="4"/>
  <c r="BE254" i="4"/>
  <c r="BE256" i="4"/>
  <c r="BE274" i="4"/>
  <c r="BE290" i="4"/>
  <c r="BE300" i="4"/>
  <c r="BE248" i="4"/>
  <c r="BE258" i="4"/>
  <c r="BE277" i="4"/>
  <c r="BE286" i="4"/>
  <c r="BE260" i="4"/>
  <c r="F92" i="4"/>
  <c r="BE140" i="4"/>
  <c r="BE200" i="4"/>
  <c r="BE246" i="4"/>
  <c r="BE269" i="4"/>
  <c r="BE272" i="4"/>
  <c r="BE148" i="4"/>
  <c r="BE151" i="4"/>
  <c r="BE153" i="4"/>
  <c r="BE156" i="4"/>
  <c r="BE161" i="4"/>
  <c r="BE234" i="4"/>
  <c r="BE250" i="4"/>
  <c r="BE294" i="4"/>
  <c r="J123" i="2"/>
  <c r="J98" i="2"/>
  <c r="BE136" i="2"/>
  <c r="BE163" i="2"/>
  <c r="BE167" i="2"/>
  <c r="BE224" i="2"/>
  <c r="BE234" i="2"/>
  <c r="BE272" i="2"/>
  <c r="BE283" i="2"/>
  <c r="BE317" i="2"/>
  <c r="BE336" i="2"/>
  <c r="BE339" i="2"/>
  <c r="BE345" i="2"/>
  <c r="BE355" i="2"/>
  <c r="BE363" i="2"/>
  <c r="BE361" i="2"/>
  <c r="BE371" i="2"/>
  <c r="J89" i="2"/>
  <c r="BE152" i="2"/>
  <c r="BE174" i="2"/>
  <c r="BE188" i="2"/>
  <c r="BE215" i="2"/>
  <c r="BE231" i="2"/>
  <c r="BE260" i="2"/>
  <c r="BE368" i="2"/>
  <c r="BE374" i="2"/>
  <c r="BE377" i="2"/>
  <c r="BE383" i="2"/>
  <c r="E85" i="2"/>
  <c r="F118" i="2"/>
  <c r="BE124" i="2"/>
  <c r="BE159" i="2"/>
  <c r="BE177" i="2"/>
  <c r="BE184" i="2"/>
  <c r="BE199" i="2"/>
  <c r="BE242" i="2"/>
  <c r="BE252" i="2"/>
  <c r="BE256" i="2"/>
  <c r="BE268" i="2"/>
  <c r="BE274" i="2"/>
  <c r="BE279" i="2"/>
  <c r="BE292" i="2"/>
  <c r="BE300" i="2"/>
  <c r="BE325" i="2"/>
  <c r="BE330" i="2"/>
  <c r="BE341" i="2"/>
  <c r="BE343" i="2"/>
  <c r="BE347" i="2"/>
  <c r="BE349" i="2"/>
  <c r="BE353" i="2"/>
  <c r="BE365" i="2"/>
  <c r="BE379" i="2"/>
  <c r="BE220" i="2"/>
  <c r="BE237" i="2"/>
  <c r="BE240" i="2"/>
  <c r="BE246" i="2"/>
  <c r="BE285" i="2"/>
  <c r="BE294" i="2"/>
  <c r="BE296" i="2"/>
  <c r="BE322" i="2"/>
  <c r="BE327" i="2"/>
  <c r="BE333" i="2"/>
  <c r="BE171" i="2"/>
  <c r="BE211" i="2"/>
  <c r="BE227" i="2"/>
  <c r="BE266" i="2"/>
  <c r="BE314" i="2"/>
  <c r="BE385" i="2"/>
  <c r="BE387" i="2"/>
  <c r="BE389" i="2"/>
  <c r="BE391" i="2"/>
  <c r="BE393" i="2"/>
  <c r="BE395" i="2"/>
  <c r="BE397" i="2"/>
  <c r="BE399" i="2"/>
  <c r="BE401" i="2"/>
  <c r="BE403" i="2"/>
  <c r="BE405" i="2"/>
  <c r="BE409" i="2"/>
  <c r="BE411" i="2"/>
  <c r="BE414" i="2"/>
  <c r="BE417" i="2"/>
  <c r="BE422" i="2"/>
  <c r="BE129" i="2"/>
  <c r="BE181" i="2"/>
  <c r="BE208" i="2"/>
  <c r="BE250" i="2"/>
  <c r="BE258" i="2"/>
  <c r="BE264" i="2"/>
  <c r="BE270" i="2"/>
  <c r="BE277" i="2"/>
  <c r="BE307" i="2"/>
  <c r="BE310" i="2"/>
  <c r="BE351" i="2"/>
  <c r="BE359" i="2"/>
  <c r="BE381" i="2"/>
  <c r="F34" i="2"/>
  <c r="F35" i="4"/>
  <c r="J34" i="2"/>
  <c r="J34" i="4"/>
  <c r="F37" i="2"/>
  <c r="F37" i="4"/>
  <c r="F35" i="2"/>
  <c r="F36" i="4"/>
  <c r="F36" i="2"/>
  <c r="F34" i="4"/>
  <c r="BK122" i="2" l="1"/>
  <c r="BK121" i="2"/>
  <c r="J121" i="2" s="1"/>
  <c r="J30" i="2" s="1"/>
  <c r="R126" i="4"/>
  <c r="R125" i="4"/>
  <c r="T122" i="2"/>
  <c r="T121" i="2"/>
  <c r="P126" i="4"/>
  <c r="P125" i="4"/>
  <c r="T126" i="4"/>
  <c r="T125" i="4"/>
  <c r="R122" i="2"/>
  <c r="R121" i="2"/>
  <c r="BK125" i="4"/>
  <c r="J125" i="4"/>
  <c r="J33" i="2"/>
  <c r="F33" i="2"/>
  <c r="J30" i="4"/>
  <c r="F33" i="4"/>
  <c r="J33" i="4"/>
  <c r="J122" i="2" l="1"/>
  <c r="J97" i="2"/>
  <c r="J96" i="2"/>
  <c r="J96" i="4"/>
  <c r="J39" i="4"/>
  <c r="J39" i="2"/>
</calcChain>
</file>

<file path=xl/sharedStrings.xml><?xml version="1.0" encoding="utf-8"?>
<sst xmlns="http://schemas.openxmlformats.org/spreadsheetml/2006/main" count="4678" uniqueCount="808">
  <si>
    <t/>
  </si>
  <si>
    <t>False</t>
  </si>
  <si>
    <t>21</t>
  </si>
  <si>
    <t>12</t>
  </si>
  <si>
    <t>v ---  níže se nacházejí doplnkové a pomocné údaje k sestavám  --- v</t>
  </si>
  <si>
    <t>Stavba:</t>
  </si>
  <si>
    <t>KSO:</t>
  </si>
  <si>
    <t>CC-CZ:</t>
  </si>
  <si>
    <t>Místo:</t>
  </si>
  <si>
    <t>Veselí u Přelouče</t>
  </si>
  <si>
    <t>Datum:</t>
  </si>
  <si>
    <t>Zadavatel:</t>
  </si>
  <si>
    <t>IČ:</t>
  </si>
  <si>
    <t xml:space="preserve"> </t>
  </si>
  <si>
    <t>DIČ:</t>
  </si>
  <si>
    <t>Uchazeč:</t>
  </si>
  <si>
    <t>Projektant:</t>
  </si>
  <si>
    <t>CreoPlan s.r.o.</t>
  </si>
  <si>
    <t>True</t>
  </si>
  <si>
    <t>Zpracovatel:</t>
  </si>
  <si>
    <t>Poznámka:</t>
  </si>
  <si>
    <t>Cena bez DPH</t>
  </si>
  <si>
    <t>Sazba daně</t>
  </si>
  <si>
    <t>Základ daně</t>
  </si>
  <si>
    <t>Výše daně</t>
  </si>
  <si>
    <t>DPH</t>
  </si>
  <si>
    <t>základní</t>
  </si>
  <si>
    <t>snížená</t>
  </si>
  <si>
    <t>zákl. přenesená</t>
  </si>
  <si>
    <t>sníž. přenesená</t>
  </si>
  <si>
    <t>nulová</t>
  </si>
  <si>
    <t>Cena s DPH</t>
  </si>
  <si>
    <t>v</t>
  </si>
  <si>
    <t>CZK</t>
  </si>
  <si>
    <t>Projektant</t>
  </si>
  <si>
    <t>Zpracovatel</t>
  </si>
  <si>
    <t>Datum a podpis:</t>
  </si>
  <si>
    <t>Razítko</t>
  </si>
  <si>
    <t>Objednavatel</t>
  </si>
  <si>
    <t>Uchazeč</t>
  </si>
  <si>
    <t>Kód</t>
  </si>
  <si>
    <t>Popis</t>
  </si>
  <si>
    <t>Typ</t>
  </si>
  <si>
    <t>D</t>
  </si>
  <si>
    <t>0</t>
  </si>
  <si>
    <t>1</t>
  </si>
  <si>
    <t>{e994ca3e-d68b-4bd8-b8ce-59d27238f222}</t>
  </si>
  <si>
    <t>2</t>
  </si>
  <si>
    <t>{adb752d1-02f3-4c7a-9064-42f947398d13}</t>
  </si>
  <si>
    <t>KRYCÍ LIST SOUPISU PRACÍ</t>
  </si>
  <si>
    <t>Objekt:</t>
  </si>
  <si>
    <t>01 - Vodovod vč. přípojek</t>
  </si>
  <si>
    <t>REKAPITULACE ČLENĚNÍ SOUPISU PRACÍ</t>
  </si>
  <si>
    <t>Kód dílu - Popis</t>
  </si>
  <si>
    <t>Cena celkem [CZK]</t>
  </si>
  <si>
    <t>Náklady ze soupisu prací</t>
  </si>
  <si>
    <t>-1</t>
  </si>
  <si>
    <t>HSV - Práce a dodávky HSV</t>
  </si>
  <si>
    <t xml:space="preserve">    1 - Zemní práce</t>
  </si>
  <si>
    <t xml:space="preserve">    4 - Vodorovné konstrukce</t>
  </si>
  <si>
    <t xml:space="preserve">    8 - Trubní vedení</t>
  </si>
  <si>
    <t xml:space="preserve">    998 - Přesun hmot</t>
  </si>
  <si>
    <t>SOUPIS PRACÍ</t>
  </si>
  <si>
    <t>PČ</t>
  </si>
  <si>
    <t>MJ</t>
  </si>
  <si>
    <t>Množství</t>
  </si>
  <si>
    <t>J.cena [CZK]</t>
  </si>
  <si>
    <t>Cenová soustava</t>
  </si>
  <si>
    <t>J. Nh [h]</t>
  </si>
  <si>
    <t>Nh celkem [h]</t>
  </si>
  <si>
    <t>J. hmotnost [t]</t>
  </si>
  <si>
    <t>Hmotnost celkem [t]</t>
  </si>
  <si>
    <t>J. suť [t]</t>
  </si>
  <si>
    <t>Suť Celkem [t]</t>
  </si>
  <si>
    <t>Náklady soupisu celkem</t>
  </si>
  <si>
    <t>HSV</t>
  </si>
  <si>
    <t>Práce a dodávky HSV</t>
  </si>
  <si>
    <t>ROZPOCET</t>
  </si>
  <si>
    <t>Zemní práce</t>
  </si>
  <si>
    <t>K</t>
  </si>
  <si>
    <t>121151123</t>
  </si>
  <si>
    <t>Sejmutí ornice plochy přes 500 m2 tl vrstvy do 200 mm strojně</t>
  </si>
  <si>
    <t>m2</t>
  </si>
  <si>
    <t>CS ÚRS 2025 02</t>
  </si>
  <si>
    <t>4</t>
  </si>
  <si>
    <t>1937457049</t>
  </si>
  <si>
    <t>PP</t>
  </si>
  <si>
    <t>Sejmutí ornice strojně při souvislé ploše přes 500 m2, tl. vrstvy do 200 mm</t>
  </si>
  <si>
    <t>VV</t>
  </si>
  <si>
    <t>"Sejmutí ornice na orné půdě + trvalém travním porostu"</t>
  </si>
  <si>
    <t>978+158</t>
  </si>
  <si>
    <t>Součet</t>
  </si>
  <si>
    <t>132212221</t>
  </si>
  <si>
    <t>Hloubení zapažených rýh šířky do 2000 mm v soudržných horninách třídy těžitelnosti I skupiny 3 ručně</t>
  </si>
  <si>
    <t>m3</t>
  </si>
  <si>
    <t>457051201</t>
  </si>
  <si>
    <t>Hloubení zapažených rýh šířky přes 800 do 2 000 mm ručně s urovnáním dna do předepsaného profilu a spádu v hornině třídy těžitelnosti I skupiny 3 soudržných</t>
  </si>
  <si>
    <t>"Křížení s plynovodem, s telekomunikačním vedením "</t>
  </si>
  <si>
    <t>3*1,765*0,9</t>
  </si>
  <si>
    <t>" se stávajícím vodovodním řadem"</t>
  </si>
  <si>
    <t>4,0*1,85*1,5</t>
  </si>
  <si>
    <t>3</t>
  </si>
  <si>
    <t>132254204</t>
  </si>
  <si>
    <t>Hloubení zapažených rýh š do 2000 mm v hornině třídy těžitelnosti I skupiny 3 objem do 500 m3</t>
  </si>
  <si>
    <t>1855763469</t>
  </si>
  <si>
    <t>Hloubení zapažených rýh šířky přes 800 do 2 000 mm strojně s urovnáním dna do předepsaného profilu a spádu v hornině třídy těžitelnosti I skupiny 3 přes 100 do 500 m3</t>
  </si>
  <si>
    <t>"Délka řadu*Hloubka výkopu (průměr)*Šírka výkopu (průměr)</t>
  </si>
  <si>
    <t>"řad A"</t>
  </si>
  <si>
    <t>140,0*1,724782609*0,9</t>
  </si>
  <si>
    <t>"trasa vodovodních přípojek"</t>
  </si>
  <si>
    <t>68,6*1,601765*0,9</t>
  </si>
  <si>
    <t>"přepojení  vodovodních přípojek, 10kus"</t>
  </si>
  <si>
    <t>0,3*1,9*1,5*10</t>
  </si>
  <si>
    <t>"NH-1"</t>
  </si>
  <si>
    <t>3,50*2,0*1,5</t>
  </si>
  <si>
    <t>"HP-2+HP-3"</t>
  </si>
  <si>
    <t>2,0*2,0*1,5*2</t>
  </si>
  <si>
    <t>"- položka 132212221"</t>
  </si>
  <si>
    <t>-15,87</t>
  </si>
  <si>
    <t>133254102</t>
  </si>
  <si>
    <t>Hloubení šachet zapažených v hornině třídy těžitelnosti I skupiny 3 objem do 50 m3</t>
  </si>
  <si>
    <t>-911599651</t>
  </si>
  <si>
    <t>Hloubení zapažených šachet strojně v hornině třídy těžitelnosti I skupiny 3 přes 20 do 50 m3</t>
  </si>
  <si>
    <t>"Pojezdová šachta"</t>
  </si>
  <si>
    <t>1,5*1,5*1,9*5</t>
  </si>
  <si>
    <t>"Plastová šachta"</t>
  </si>
  <si>
    <t>1,5*1,5*1,85*5</t>
  </si>
  <si>
    <t>5</t>
  </si>
  <si>
    <t>119001405</t>
  </si>
  <si>
    <t>Dočasné zajištění potrubí z PE DN do 200 mm</t>
  </si>
  <si>
    <t>m</t>
  </si>
  <si>
    <t>-1605165781</t>
  </si>
  <si>
    <t>Dočasné zajištění podzemního potrubí nebo vedení ve výkopišti ve stavu i poloze, ve kterých byla na začátku zemních prací a to s podepřením, vzepřením nebo vyvěšením, případně s ochranným bedněním, se zřízením a odstraněním zajišťovací konstrukce, s opotřebením hmot potrubí plastového, jmenovité světlosti DN do 200 mm</t>
  </si>
  <si>
    <t>"příloha D.1.2."</t>
  </si>
  <si>
    <t>6</t>
  </si>
  <si>
    <t>119001422</t>
  </si>
  <si>
    <t>Dočasné zajištění kabelů a kabelových tratí z 6 volně ložených kabelů</t>
  </si>
  <si>
    <t>1100926946</t>
  </si>
  <si>
    <t>Dočasné zajištění podzemního potrubí nebo vedení ve výkopišti ve stavu i poloze, ve kterých byla na začátku zemních prací a to s podepřením, vzepřením nebo vyvěšením, případně s ochranným bedněním, se zřízením a odstraněním zajišťovací konstrukce, s opotřebením hmot kabelů a kabelových tratí z volně ložených kabelů a to přes 3 do 6 kabelů</t>
  </si>
  <si>
    <t>"příloha D.1.2"</t>
  </si>
  <si>
    <t>7</t>
  </si>
  <si>
    <t>129001101</t>
  </si>
  <si>
    <t>Příplatek za ztížení odkopávky nebo prokopávky v blízkosti inženýrských sítí</t>
  </si>
  <si>
    <t>-1505953257</t>
  </si>
  <si>
    <t>Příplatek k cenám vykopávek za ztížení vykopávky v blízkosti podzemního vedení nebo výbušnin v horninách jakékoliv třídy</t>
  </si>
  <si>
    <t>"výměry v pol.  119001422, 119001405"</t>
  </si>
  <si>
    <t>(4+4)*1,75</t>
  </si>
  <si>
    <t>8</t>
  </si>
  <si>
    <t>115101201</t>
  </si>
  <si>
    <t>Čerpání vody na dopravní výšku do 10 m průměrný přítok do 500 l/min</t>
  </si>
  <si>
    <t>hod</t>
  </si>
  <si>
    <t>1607687464</t>
  </si>
  <si>
    <t>Čerpání vody na dopravní výšku do 10 m s uvažovaným průměrným přítokem do 500 l/min</t>
  </si>
  <si>
    <t>60</t>
  </si>
  <si>
    <t>9</t>
  </si>
  <si>
    <t>115101301</t>
  </si>
  <si>
    <t>Pohotovost čerpací soupravy pro dopravní výšku do 10 m přítok do 500 l/min</t>
  </si>
  <si>
    <t>den</t>
  </si>
  <si>
    <t>1214600722</t>
  </si>
  <si>
    <t>Pohotovost záložní čerpací soupravy pro dopravní výšku do 10 m s uvažovaným průměrným přítokem do 500 l/min</t>
  </si>
  <si>
    <t>30,0</t>
  </si>
  <si>
    <t>10</t>
  </si>
  <si>
    <t>151101101</t>
  </si>
  <si>
    <t>Zřízení příložného pažení a rozepření stěn rýh hl do 2 m</t>
  </si>
  <si>
    <t>391920111</t>
  </si>
  <si>
    <t>Zřízení pažení a rozepření stěn rýh pro podzemní vedení příložné pro jakoukoliv mezerovitost, hloubky do 2 m</t>
  </si>
  <si>
    <t>140,0*1,720*2+68,6*1,60*2</t>
  </si>
  <si>
    <t>11</t>
  </si>
  <si>
    <t>151101111</t>
  </si>
  <si>
    <t>Odstranění příložného pažení a rozepření stěn rýh hl do 2 m</t>
  </si>
  <si>
    <t>1317249212</t>
  </si>
  <si>
    <t>Odstranění pažení a rozepření stěn rýh pro podzemní vedení s uložením materiálu na vzdálenost do 3 m od kraje výkopu příložné, hloubky do 2 m</t>
  </si>
  <si>
    <t>"z položky 151101101"  701,12</t>
  </si>
  <si>
    <t>162351103</t>
  </si>
  <si>
    <t>Vodorovné přemístění přes 50 do 500 m výkopku/sypaniny z horniny třídy těžitelnosti I skupiny 1 až 3</t>
  </si>
  <si>
    <t>-1943132220</t>
  </si>
  <si>
    <t>Vodorovné přemístění výkopku nebo sypaniny po suchu na obvyklém dopravním prostředku, bez naložení výkopku, avšak se složením bez rozhrnutí z horniny třídy těžitelnosti I skupiny 1 až 3 na vzdálenost přes 50 do 500 m</t>
  </si>
  <si>
    <t xml:space="preserve">"na mezideponii </t>
  </si>
  <si>
    <t>15,87+331,39+42,19+291,03</t>
  </si>
  <si>
    <t>13</t>
  </si>
  <si>
    <t>174151101</t>
  </si>
  <si>
    <t>Zásyp jam, šachet rýh nebo kolem objektů sypaninou se zhutněním</t>
  </si>
  <si>
    <t>39591968</t>
  </si>
  <si>
    <t>Zásyp sypaninou z jakékoliv horniny strojně s uložením výkopku ve vrstvách se zhutněním jam, šachet, rýh nebo kolem objektů v těchto vykopávkách</t>
  </si>
  <si>
    <t>"pol. č. 132212221 + č. 132254204 + č.133254102</t>
  </si>
  <si>
    <t>331,39+15,87+42,19</t>
  </si>
  <si>
    <t>"- podsyp "</t>
  </si>
  <si>
    <t>-(140+68,6)*0,1*0,9</t>
  </si>
  <si>
    <t>"- obsyp potrubí "</t>
  </si>
  <si>
    <t>-(140+68,6)*0,3*0,9</t>
  </si>
  <si>
    <t>"-šachty - pol. č 175111201"</t>
  </si>
  <si>
    <t>-((3,1415*(0,5)^2*1,7*5)+(3,1415*(0,5)^2*1,869*5)+9,31)</t>
  </si>
  <si>
    <t>14</t>
  </si>
  <si>
    <t>175111201</t>
  </si>
  <si>
    <t>Obsypání objektu nad přilehlým původním terénem sypaninou bez prohození, uloženou do 3 m ručně</t>
  </si>
  <si>
    <t>-280797336</t>
  </si>
  <si>
    <t>Obsypání objektů nad přilehlým původním terénem ručně sypaninou z vhodných hornin třídy těžitelnosti I a II, skupiny 1 až 4 nebo materiálem uloženým ve vzdálenosti do 3 m od vnějšího kraje objektu pro jakoukoliv míru zhutnění bez prohození sypaniny</t>
  </si>
  <si>
    <t>"obsyp šachet"</t>
  </si>
  <si>
    <t xml:space="preserve">"V=V1+V2=0,542*h1+0,259*h2" </t>
  </si>
  <si>
    <t>"v1"</t>
  </si>
  <si>
    <t>(0,542*1,65)*5+(0,542*1,64)*5</t>
  </si>
  <si>
    <t>"V2"</t>
  </si>
  <si>
    <t>0,259*0,15*10</t>
  </si>
  <si>
    <t>15</t>
  </si>
  <si>
    <t>M</t>
  </si>
  <si>
    <t>58337310</t>
  </si>
  <si>
    <t>štěrkopísek frakce 0/4</t>
  </si>
  <si>
    <t>t</t>
  </si>
  <si>
    <t>-423843933</t>
  </si>
  <si>
    <t>9,31*2 'Přepočtené koeficientem množství</t>
  </si>
  <si>
    <t>16</t>
  </si>
  <si>
    <t>175151101</t>
  </si>
  <si>
    <t>Obsypání potrubí strojně sypaninou bez prohození, uloženou do 3 m</t>
  </si>
  <si>
    <t>-1964272934</t>
  </si>
  <si>
    <t>Obsypání potrubí strojně sypaninou z vhodných hornin třídy těžitelnosti I a II, skupiny 1 až 4 nebo materiálem připraveným podél výkopu ve vzdálenosti do 3 m od jeho kraje, pro jakoukoliv hloubku výkopu a míru zhutnění bez prohození sypaniny</t>
  </si>
  <si>
    <t>"obsyp potrubí "</t>
  </si>
  <si>
    <t>(140+68,1)*0,3*0,9</t>
  </si>
  <si>
    <t>17</t>
  </si>
  <si>
    <t>1374679934</t>
  </si>
  <si>
    <t>"materiál pro obsyp "</t>
  </si>
  <si>
    <t>(140+68,1)*0,3*0,9*1,9</t>
  </si>
  <si>
    <t>Vodorovné konstrukce</t>
  </si>
  <si>
    <t>18</t>
  </si>
  <si>
    <t>451573111</t>
  </si>
  <si>
    <t>Lože pod potrubí otevřený výkop ze štěrkopísku</t>
  </si>
  <si>
    <t>2139173252</t>
  </si>
  <si>
    <t>Lože pod potrubí, stoky a drobné objekty v otevřeném výkopu z písku a štěrkopísku do 63 mm</t>
  </si>
  <si>
    <t>"štěrkopískový podsyp"</t>
  </si>
  <si>
    <t>(140+68,6)*0,1*0,9</t>
  </si>
  <si>
    <t>19</t>
  </si>
  <si>
    <t>452313151</t>
  </si>
  <si>
    <t>Podkladní bloky z betonu prostého bez zvýšených nároků na prostředí tř. C 20/25 otevřený výkop</t>
  </si>
  <si>
    <t>1797294878</t>
  </si>
  <si>
    <t>Podkladní a zajišťovací konstrukce z betonu prostého v otevřeném výkopu bez zvýšených nároků na prostředí bloky pro potrubí z betonu tř. C 20/25</t>
  </si>
  <si>
    <t>0,1+0,025+0,3+0,03</t>
  </si>
  <si>
    <t>20</t>
  </si>
  <si>
    <t>452321151</t>
  </si>
  <si>
    <t>Podkladní desky ze ŽB bez zvýšených nároků na prostředí tř. C 20/25 otevřený výkop</t>
  </si>
  <si>
    <t>-1385126861</t>
  </si>
  <si>
    <t>Podkladní a zajišťovací konstrukce z betonu železového v otevřeném výkopu bez zvýšených nároků na prostředí desky pod potrubí, stoky a drobné objekty z betonu tř. C 20/25</t>
  </si>
  <si>
    <t>"pod VŠ1-VŠ10"</t>
  </si>
  <si>
    <t>1,4*1,4*0,15*10</t>
  </si>
  <si>
    <t>452351111</t>
  </si>
  <si>
    <t>Bednění podkladních desek nebo sedlového lože pod potrubí, stoky a drobné objekty otevřený výkop zřízení</t>
  </si>
  <si>
    <t>1768734945</t>
  </si>
  <si>
    <t>Bednění podkladních a zajišťovacích konstrukcí v otevřeném výkopu desek nebo sedlových loží pod potrubí, stoky a drobné objekty zřízení</t>
  </si>
  <si>
    <t>(1,4+1,4)*0,15</t>
  </si>
  <si>
    <t>22</t>
  </si>
  <si>
    <t>452351112</t>
  </si>
  <si>
    <t>Bednění podkladních desek nebo sedlového lože pod potrubí, stoky a drobné objekty otevřený výkop odstranění</t>
  </si>
  <si>
    <t>-892714977</t>
  </si>
  <si>
    <t>Bednění podkladních a zajišťovacích konstrukcí v otevřeném výkopu desek nebo sedlových loží pod potrubí, stoky a drobné objekty odstranění</t>
  </si>
  <si>
    <t>0,42</t>
  </si>
  <si>
    <t>23</t>
  </si>
  <si>
    <t>452353111</t>
  </si>
  <si>
    <t>Bednění podkladních bloků pod potrubí, stoky a drobné objekty otevřený výkop zřízení</t>
  </si>
  <si>
    <t>-326098649</t>
  </si>
  <si>
    <t>Bednění podkladních a zajišťovacích konstrukcí v otevřeném výkopu bloků pro potrubí zřízení</t>
  </si>
  <si>
    <t>0,76*3+0,25*3+0,28+0,34</t>
  </si>
  <si>
    <t>24</t>
  </si>
  <si>
    <t>452353112</t>
  </si>
  <si>
    <t>Bednění podkladních bloků pod potrubí, stoky a drobné objekty otevřený výkop odstranění</t>
  </si>
  <si>
    <t>1666634752</t>
  </si>
  <si>
    <t>Bednění podkladních a zajišťovacích konstrukcí v otevřeném výkopu bloků pro potrubí odstranění</t>
  </si>
  <si>
    <t>25</t>
  </si>
  <si>
    <t>452368211</t>
  </si>
  <si>
    <t>Výztuž podkladních desek nebo bloků nebo pražců otevřený výkop ze svařovaných sítí Kari</t>
  </si>
  <si>
    <t>619841625</t>
  </si>
  <si>
    <t>Výztuž podkladních desek, bloků nebo pražců v otevřeném výkopu ze svařovaných sítí typu Kari</t>
  </si>
  <si>
    <t>(1,4*1,4*10*1,1*2,1)/1000</t>
  </si>
  <si>
    <t>Trubní vedení</t>
  </si>
  <si>
    <t>26</t>
  </si>
  <si>
    <t>891359951</t>
  </si>
  <si>
    <t>Montáž potrubních spojek hrdlo/příruba na potrubí z jakýchkoli trub DN 200</t>
  </si>
  <si>
    <t>kus</t>
  </si>
  <si>
    <t>2108522024</t>
  </si>
  <si>
    <t>Montáž opravných armatur na potrubí z trub litinových, ocelových nebo plastických hmot potrubních spojek hrdlo/příruba DN 200</t>
  </si>
  <si>
    <t>"V1"</t>
  </si>
  <si>
    <t>27</t>
  </si>
  <si>
    <t>31951008</t>
  </si>
  <si>
    <t>potrubní spojka jištěná proti posuvu hrdlo-příruba DN 200</t>
  </si>
  <si>
    <t>-1515911893</t>
  </si>
  <si>
    <t>28</t>
  </si>
  <si>
    <t>891351112</t>
  </si>
  <si>
    <t>Montáž vodovodních šoupátek otevřený výkop DN 200</t>
  </si>
  <si>
    <t>1811649291</t>
  </si>
  <si>
    <t>Montáž vodovodních armatur na potrubí šoupátek nebo klapek uzavíracích v otevřeném výkopu nebo v šachtách s osazením zemní soupravy (bez poklopů) DN 200</t>
  </si>
  <si>
    <t>29</t>
  </si>
  <si>
    <t>42221307</t>
  </si>
  <si>
    <t>šoupátko pitná voda litina GGG 50 krátká stavební dl PN10/16 DN 200x230mm</t>
  </si>
  <si>
    <t>240151257</t>
  </si>
  <si>
    <t>30</t>
  </si>
  <si>
    <t>42291081</t>
  </si>
  <si>
    <t>souprava zemní pro šoupátka DN 200mm Rd 2,0m</t>
  </si>
  <si>
    <t>-1460812729</t>
  </si>
  <si>
    <t>31</t>
  </si>
  <si>
    <t>857354122</t>
  </si>
  <si>
    <t>Montáž litinových tvarovek odbočných přírubových otevřený výkop DN 200</t>
  </si>
  <si>
    <t>1034568167</t>
  </si>
  <si>
    <t>Montáž litinových tvarovek na potrubí litinovém tlakovém odbočných na potrubí z trub přírubových v otevřeném výkopu, kanálu nebo v šachtě DN 200</t>
  </si>
  <si>
    <t>32</t>
  </si>
  <si>
    <t>55253532</t>
  </si>
  <si>
    <t>tvarovka přírubová litinová s přírubovou odbočkou,práškový epoxid tl 250µm T-kus DN 200/80</t>
  </si>
  <si>
    <t>826444552</t>
  </si>
  <si>
    <t>33</t>
  </si>
  <si>
    <t>891241112</t>
  </si>
  <si>
    <t>Montáž vodovodních šoupátek otevřený výkop DN 80</t>
  </si>
  <si>
    <t>810713498</t>
  </si>
  <si>
    <t>Montáž vodovodních armatur na potrubí šoupátek nebo klapek uzavíracích v otevřeném výkopu nebo v šachtách s osazením zemní soupravy (bez poklopů) DN 80</t>
  </si>
  <si>
    <t>34</t>
  </si>
  <si>
    <t>42291079</t>
  </si>
  <si>
    <t>souprava zemní pro šoupátka DN 65-80mm Rd 2,0m</t>
  </si>
  <si>
    <t>-1527907826</t>
  </si>
  <si>
    <t>35</t>
  </si>
  <si>
    <t>42221116</t>
  </si>
  <si>
    <t>šoupátko s přírubami voda DN 80 PN16</t>
  </si>
  <si>
    <t>-968946409</t>
  </si>
  <si>
    <t>36</t>
  </si>
  <si>
    <t>42221149</t>
  </si>
  <si>
    <t>šoupátko s PE vevařovacími konci voda PN10 DN 80/90 PE 100</t>
  </si>
  <si>
    <t>-479763213</t>
  </si>
  <si>
    <t>37</t>
  </si>
  <si>
    <t>28653135</t>
  </si>
  <si>
    <t>nákružek lemový PE 100 SDR11 90mm</t>
  </si>
  <si>
    <t>1963168549</t>
  </si>
  <si>
    <t>38</t>
  </si>
  <si>
    <t>28654368</t>
  </si>
  <si>
    <t>příruba volná k lemovému nákružku z polypropylénu 90</t>
  </si>
  <si>
    <t>1289001329</t>
  </si>
  <si>
    <t>39</t>
  </si>
  <si>
    <t>877241113</t>
  </si>
  <si>
    <t>Montáž elektro T-kusů na vodovodním potrubí z PE trub d 90</t>
  </si>
  <si>
    <t>707614808</t>
  </si>
  <si>
    <t>Montáž tvarovek na vodovodním plastovém potrubí z polyetylenu PE 100 elektrotvarovek SDR 11/PN16 T-kusů d 90</t>
  </si>
  <si>
    <t>40</t>
  </si>
  <si>
    <t>28614960</t>
  </si>
  <si>
    <t>elektrotvarovka T-kus rovnoramenný PE 100 PN16 D 90mm</t>
  </si>
  <si>
    <t>-49596351</t>
  </si>
  <si>
    <t>41</t>
  </si>
  <si>
    <t>857243131</t>
  </si>
  <si>
    <t>Montáž litinových tvarovek odbočných hrdlových otevřený výkop s integrovaným těsněním DN 80</t>
  </si>
  <si>
    <t>677547089</t>
  </si>
  <si>
    <t>Montáž litinových tvarovek na potrubí litinovém tlakovém odbočných na potrubí z trub hrdlových v otevřeném výkopu, kanálu nebo v šachtě s integrovaným těsněním DN 80</t>
  </si>
  <si>
    <t>"V3 "</t>
  </si>
  <si>
    <t>"NH-1 + V3-HP-2 + V5-HP3"</t>
  </si>
  <si>
    <t>42</t>
  </si>
  <si>
    <t>55253809</t>
  </si>
  <si>
    <t>tvarovka hrdlová s hrdlovou odbočkou z tvárné litiny,práškový epoxid tl 250µm MMB-kus DN 80/80</t>
  </si>
  <si>
    <t>385184994</t>
  </si>
  <si>
    <t>43</t>
  </si>
  <si>
    <t>55291029</t>
  </si>
  <si>
    <t>kroužek těsnící gumový s jištěním proti posunu DN 80 pro vodovodní potrubí</t>
  </si>
  <si>
    <t>-296424074</t>
  </si>
  <si>
    <t>44</t>
  </si>
  <si>
    <t>55250642</t>
  </si>
  <si>
    <t>koleno přírubové s patkou PP litinové DN 80</t>
  </si>
  <si>
    <t>-873916056</t>
  </si>
  <si>
    <t>45</t>
  </si>
  <si>
    <t>871241141</t>
  </si>
  <si>
    <t>Montáž potrubí z PE100 RC SDR 11 otevřený výkop svařovaných na tupo d 90 x 8,2 mm</t>
  </si>
  <si>
    <t>-141033162</t>
  </si>
  <si>
    <t>Montáž vodovodního potrubí z polyetylenu PE100 RC v otevřeném výkopu svařovaných na tupo SDR 11/PN16 d 90 x 8,2 mm</t>
  </si>
  <si>
    <t xml:space="preserve">  " Řada A"</t>
  </si>
  <si>
    <t>140</t>
  </si>
  <si>
    <t>1,1</t>
  </si>
  <si>
    <t>46</t>
  </si>
  <si>
    <t>28613556</t>
  </si>
  <si>
    <t>potrubí vodovodní dvouvrstvé PE100 RC SDR11 90x8,2mm</t>
  </si>
  <si>
    <t>-224091239</t>
  </si>
  <si>
    <t>140*1,02857</t>
  </si>
  <si>
    <t>47</t>
  </si>
  <si>
    <t>871161141</t>
  </si>
  <si>
    <t>Montáž potrubí z PE100 RC SDR 11 otevřený výkop svařovaných na tupo d 32 x 3,0 mm</t>
  </si>
  <si>
    <t>-2142984346</t>
  </si>
  <si>
    <t>Montáž vodovodního potrubí z polyetylenu PE100 RC v otevřeném výkopu svařovaných na tupo SDR 11/PN16 d 32 x 3,0 mm</t>
  </si>
  <si>
    <t>"vodovodní přípojky"</t>
  </si>
  <si>
    <t>68,6</t>
  </si>
  <si>
    <t>48</t>
  </si>
  <si>
    <t>28613500</t>
  </si>
  <si>
    <t>potrubí vodovodní dvouvrstvé PE100 RC SDR11 32x3,0mm</t>
  </si>
  <si>
    <t>1090489299</t>
  </si>
  <si>
    <t>68,6*1,015 'Přepočtené koeficientem množství</t>
  </si>
  <si>
    <t>49</t>
  </si>
  <si>
    <t>871218111</t>
  </si>
  <si>
    <t>Kladení drenážního potrubí z tvrdého PVC průměru do 90 mm</t>
  </si>
  <si>
    <t>223300364</t>
  </si>
  <si>
    <t>Kladení drenážního potrubí z plastických hmot do připravené rýhy z tvrdého PVC, průměru do 90 mm</t>
  </si>
  <si>
    <t>"řad A+přípojky"</t>
  </si>
  <si>
    <t>"DRENÁŽ (JE-LI NUTNÁ)"</t>
  </si>
  <si>
    <t xml:space="preserve">140+68,6 </t>
  </si>
  <si>
    <t>50</t>
  </si>
  <si>
    <t>28611290</t>
  </si>
  <si>
    <t>trubka drenážní flexibilní neperforovaná PVC-U SN 4 DN 50 pro meliorace, dočasné nebo odlehčovací drenáže</t>
  </si>
  <si>
    <t>286077243</t>
  </si>
  <si>
    <t>208,6*1,01 'Přepočtené koeficientem množství</t>
  </si>
  <si>
    <t>51</t>
  </si>
  <si>
    <t>852242122</t>
  </si>
  <si>
    <t>Montáž potrubí z trub litinových tlakových přírubových délky do 1 m otevřený výkop DN 80</t>
  </si>
  <si>
    <t>-1953515821</t>
  </si>
  <si>
    <t>Montáž potrubí z trub litinových tlakových přírubových abnormálních délek, jednotlivě do 1 m v otevřeném výkopu, kanálu nebo v šachtě DN 80</t>
  </si>
  <si>
    <t>52</t>
  </si>
  <si>
    <t>55253237</t>
  </si>
  <si>
    <t>tvarovka přírubová litinová vodovodní FF-kus PN10/16 DN 80 dl 300mm</t>
  </si>
  <si>
    <t>1945707549</t>
  </si>
  <si>
    <t>0,99009900990099*1,01 'Přepočtené koeficientem množství</t>
  </si>
  <si>
    <t>53</t>
  </si>
  <si>
    <t>55253233</t>
  </si>
  <si>
    <t>tvarovka přírubová litinová vodovodní FF-kus PN10/16 DN 80 dl 100mm</t>
  </si>
  <si>
    <t>1902262068</t>
  </si>
  <si>
    <t>54</t>
  </si>
  <si>
    <t>55253239</t>
  </si>
  <si>
    <t>tvarovka přírubová litinová vodovodní FF-kus PN10/16 DN 80 dl 400mm</t>
  </si>
  <si>
    <t>816257338</t>
  </si>
  <si>
    <t>2,97029702970297*1,01 'Přepočtené koeficientem množství</t>
  </si>
  <si>
    <t>55</t>
  </si>
  <si>
    <t>877241101</t>
  </si>
  <si>
    <t>Montáž elektrospojek na vodovodním potrubí z PE trub d 90</t>
  </si>
  <si>
    <t>-460749073</t>
  </si>
  <si>
    <t>Montáž tvarovek na vodovodním plastovém potrubí z polyetylenu PE 100 elektrotvarovek SDR 11/PN16 spojek, oblouků nebo redukcí d 90</t>
  </si>
  <si>
    <t>56</t>
  </si>
  <si>
    <t>28615974</t>
  </si>
  <si>
    <t>elektrospojka SDR11 PE 100 PN16 D 90mm</t>
  </si>
  <si>
    <t>667839785</t>
  </si>
  <si>
    <t>57</t>
  </si>
  <si>
    <t>28614948</t>
  </si>
  <si>
    <t>elektrokoleno 45° PE 100 PN16 D 90mm</t>
  </si>
  <si>
    <t>-845857897</t>
  </si>
  <si>
    <t>58</t>
  </si>
  <si>
    <t>891247212</t>
  </si>
  <si>
    <t>Montáž hydrantů nadzemních DN 80</t>
  </si>
  <si>
    <t>866533578</t>
  </si>
  <si>
    <t>Montáž vodovodních armatur na potrubí hydrantů nadzemních DN 80</t>
  </si>
  <si>
    <t>59</t>
  </si>
  <si>
    <t>42273682</t>
  </si>
  <si>
    <t>hydrant nadzemní DN 80 tvárná litina dvojitý uzávěr s koulí krycí v 1500mm</t>
  </si>
  <si>
    <t>-829427906</t>
  </si>
  <si>
    <t>891247112</t>
  </si>
  <si>
    <t>Montáž hydrantů podzemních DN 80</t>
  </si>
  <si>
    <t>152827082</t>
  </si>
  <si>
    <t>Montáž vodovodních armatur na potrubí hydrantů podzemních (bez osazení poklopů) DN 80</t>
  </si>
  <si>
    <t>61</t>
  </si>
  <si>
    <t>42273620</t>
  </si>
  <si>
    <t>hydrant podzemní plnoprůtokový DN 80 PN 16 krycí v 1500mm</t>
  </si>
  <si>
    <t>-985153795</t>
  </si>
  <si>
    <t>62</t>
  </si>
  <si>
    <t>877161101</t>
  </si>
  <si>
    <t>Montáž elektrospojek na vodovodním potrubí z PE trub d 32</t>
  </si>
  <si>
    <t>-460420074</t>
  </si>
  <si>
    <t>Montáž tvarovek na vodovodním plastovém potrubí z polyetylenu PE 100 elektrotvarovek SDR 11/PN16 spojek, oblouků nebo redukcí d 32</t>
  </si>
  <si>
    <t>63</t>
  </si>
  <si>
    <t>28615969</t>
  </si>
  <si>
    <t>elektrospojka SDR11 PE 100 PN16 D 32mm</t>
  </si>
  <si>
    <t>1530964409</t>
  </si>
  <si>
    <t>64</t>
  </si>
  <si>
    <t>877241122</t>
  </si>
  <si>
    <t>Montáž elektro navrtávacích T-kusů s 360° odbočkou na vodovodním potrubí z PE trub d 90/32</t>
  </si>
  <si>
    <t>1616288045</t>
  </si>
  <si>
    <t>Montáž tvarovek na vodovodním plastovém potrubí z polyetylenu PE 100 elektrotvarovek SDR 11/PN16 T-kusů navrtávacích s 360° otočnou odbočkou d 90/32</t>
  </si>
  <si>
    <t>"Vod. přípojka VŠ1- VŠ10"</t>
  </si>
  <si>
    <t>65</t>
  </si>
  <si>
    <t>28614008</t>
  </si>
  <si>
    <t>tvarovka T-kus navrtávací s odbočkou 360° D 90-32mm</t>
  </si>
  <si>
    <t>-447721550</t>
  </si>
  <si>
    <t>66</t>
  </si>
  <si>
    <t>877241210</t>
  </si>
  <si>
    <t>Montáž kolen 45° svařovaných na tupo na vodovodním potrubí z PE trub d 90</t>
  </si>
  <si>
    <t>2021553481</t>
  </si>
  <si>
    <t>Montáž tvarovek na vodovodním plastovém potrubí z polyetylenu PE 100 svařovaných na tupo SDR 11/PN16 kolen 15°, 30° nebo 45° d 90</t>
  </si>
  <si>
    <t>67</t>
  </si>
  <si>
    <t>28614841</t>
  </si>
  <si>
    <t>koleno 45° SDR11 PE 100 PN16 D 90mm</t>
  </si>
  <si>
    <t>-1998649257</t>
  </si>
  <si>
    <t>68</t>
  </si>
  <si>
    <t>892241111</t>
  </si>
  <si>
    <t>Tlaková zkouška vodou potrubí DN do 80</t>
  </si>
  <si>
    <t>-958266233</t>
  </si>
  <si>
    <t>Tlakové zkoušky vodou na potrubí DN do 80</t>
  </si>
  <si>
    <t>141,1+68,6</t>
  </si>
  <si>
    <t>69</t>
  </si>
  <si>
    <t>892273122</t>
  </si>
  <si>
    <t>Proplach a dezinfekce vodovodního potrubí DN od 80 do 125</t>
  </si>
  <si>
    <t>-1850944962</t>
  </si>
  <si>
    <t>141,1</t>
  </si>
  <si>
    <t>70</t>
  </si>
  <si>
    <t>892233122</t>
  </si>
  <si>
    <t>Proplach a dezinfekce vodovodního potrubí DN od 40 do 70</t>
  </si>
  <si>
    <t>-727921780</t>
  </si>
  <si>
    <t>71</t>
  </si>
  <si>
    <t>892372111</t>
  </si>
  <si>
    <t>Zabezpečení konců potrubí DN do 300 při tlakových zkouškách vodou</t>
  </si>
  <si>
    <t>-1841930143</t>
  </si>
  <si>
    <t>Tlakové zkoušky vodou zabezpečení konců potrubí při tlakových zkouškách DN do 300</t>
  </si>
  <si>
    <t>72</t>
  </si>
  <si>
    <t>893410101</t>
  </si>
  <si>
    <t>Osazení vodoměrné šachty z betonových dílců nepojížděné pl do 1,5 m2 šachtové dno</t>
  </si>
  <si>
    <t>-1002628270</t>
  </si>
  <si>
    <t>Osazení vodoměrné šachty z betonových dílců nepojížděné plochy do 1,5 m2 šachtové dno</t>
  </si>
  <si>
    <t>73</t>
  </si>
  <si>
    <t>59224655</t>
  </si>
  <si>
    <t>dno vodoměrné šachty 136x106x10cm nepojížděné</t>
  </si>
  <si>
    <t>1955139159</t>
  </si>
  <si>
    <t>74</t>
  </si>
  <si>
    <t>893410102</t>
  </si>
  <si>
    <t>Osazení vodoměrné šachty z betonových dílců nepojížděné pl do 1,5 m2 šachtová skruž výšky 500 mm</t>
  </si>
  <si>
    <t>-1081989211</t>
  </si>
  <si>
    <t>Osazení vodoměrné šachty z betonových dílců nepojížděné plochy do 1,5 m2 šachtová skruž výšky 500 mm</t>
  </si>
  <si>
    <t>75</t>
  </si>
  <si>
    <t>59224652</t>
  </si>
  <si>
    <t>skruž vodoměrné šachty 136x106x10cm nepojížděné, 2 stupadla</t>
  </si>
  <si>
    <t>1287714161</t>
  </si>
  <si>
    <t>76</t>
  </si>
  <si>
    <t>893420101</t>
  </si>
  <si>
    <t>Osazení vodoměrné šachty z betonových dílců pojížděné pl do 2,5 m2 šachtové dno</t>
  </si>
  <si>
    <t>-622803504</t>
  </si>
  <si>
    <t>Osazení vodoměrné šachty z betonových dílců pojížděné plochy do 2,5 m2 šachtové dno</t>
  </si>
  <si>
    <t>77</t>
  </si>
  <si>
    <t>59224454</t>
  </si>
  <si>
    <t>dno vodoměrné šachty 144x114x201cm pojížděné D400</t>
  </si>
  <si>
    <t>-877453324</t>
  </si>
  <si>
    <t>78</t>
  </si>
  <si>
    <t>893420103</t>
  </si>
  <si>
    <t>Osazení vodoměrné šachty z betonových dílců pojížděné pl do 2,5 m2 zákrytová deska</t>
  </si>
  <si>
    <t>-587717370</t>
  </si>
  <si>
    <t>Osazení vodoměrné šachty z betonových dílců pojížděné plochy do 2,5 m2 zákrytová deska</t>
  </si>
  <si>
    <t>79</t>
  </si>
  <si>
    <t>59224457</t>
  </si>
  <si>
    <t>deska zákrytová vodoměrné šachty s otvorem DN600 144x114x20cm pojížděné D400</t>
  </si>
  <si>
    <t>-76093746</t>
  </si>
  <si>
    <t>80</t>
  </si>
  <si>
    <t>893811152</t>
  </si>
  <si>
    <t>Osazení vodoměrné šachty kruhové z PP samonosné pro běžné zatížení D do 1,0 m hl přes 1,2 do 1,5 m</t>
  </si>
  <si>
    <t>-210814526</t>
  </si>
  <si>
    <t>Osazení vodoměrné šachty z polypropylenu PP samonosné pro běžné zatížení kruhové, průměru D do 1,0 m, světlé hloubky přes 1,2 m do 1,5 m</t>
  </si>
  <si>
    <t>81</t>
  </si>
  <si>
    <t>56230583</t>
  </si>
  <si>
    <t>šachta plastová vodoměrná samonosná kruhová 1,0/1,5m</t>
  </si>
  <si>
    <t>-1085657071</t>
  </si>
  <si>
    <t>82</t>
  </si>
  <si>
    <t>899401113</t>
  </si>
  <si>
    <t>Osazení poklopů uličních litinových hydrantových</t>
  </si>
  <si>
    <t>-1636805764</t>
  </si>
  <si>
    <t>Osazení poklopů uličních s pevným rámem litinových hydrantových</t>
  </si>
  <si>
    <t>83</t>
  </si>
  <si>
    <t>42291452</t>
  </si>
  <si>
    <t>poklop litinový hydrantový DN 80</t>
  </si>
  <si>
    <t>-2052310161</t>
  </si>
  <si>
    <t>84</t>
  </si>
  <si>
    <t>899104112</t>
  </si>
  <si>
    <t>Osazení poklopů litinových, ocelových nebo železobetonových včetně rámů pro třídu zatížení D400, E600</t>
  </si>
  <si>
    <t>-693671369</t>
  </si>
  <si>
    <t>Osazení poklopů šachtových litinových, ocelových nebo železobetonových včetně rámů pro třídu zatížení D400, E600</t>
  </si>
  <si>
    <t>85</t>
  </si>
  <si>
    <t>28661935</t>
  </si>
  <si>
    <t>poklop šachtový litinový DN 600 pro třídu zatížení D400</t>
  </si>
  <si>
    <t>-577078297</t>
  </si>
  <si>
    <t>86</t>
  </si>
  <si>
    <t>899401112</t>
  </si>
  <si>
    <t>Osazení poklopů uličních litinových šoupátkových</t>
  </si>
  <si>
    <t>1235319874</t>
  </si>
  <si>
    <t>Osazení poklopů uličních s pevným rámem litinových šoupátkových</t>
  </si>
  <si>
    <t>"DN80"</t>
  </si>
  <si>
    <t>87</t>
  </si>
  <si>
    <t>42291352</t>
  </si>
  <si>
    <t>poklop litinový šoupátkový pro zemní soupravy osazení do terénu a do vozovky</t>
  </si>
  <si>
    <t>-662673285</t>
  </si>
  <si>
    <t>88</t>
  </si>
  <si>
    <t>899721111</t>
  </si>
  <si>
    <t>Signalizační vodič DN do 150 mm na potrubí</t>
  </si>
  <si>
    <t>-2029211336</t>
  </si>
  <si>
    <t>Signalizační vodič na potrubí DN do 150 mm</t>
  </si>
  <si>
    <t>(141,1+68,6)*1,1</t>
  </si>
  <si>
    <t>89</t>
  </si>
  <si>
    <t>899722112</t>
  </si>
  <si>
    <t>Krytí potrubí z plastů výstražnou fólií z PVC přes 20 do 25 cm</t>
  </si>
  <si>
    <t>1759092288</t>
  </si>
  <si>
    <t>Krytí potrubí z plastů výstražnou fólií z PVC šířky přes 20 do 25 cm</t>
  </si>
  <si>
    <t>90</t>
  </si>
  <si>
    <t>722270102</t>
  </si>
  <si>
    <t>Sestava vodoměrová závitová G 1"</t>
  </si>
  <si>
    <t>soubor</t>
  </si>
  <si>
    <t>330607542</t>
  </si>
  <si>
    <t>Vodoměrové sestavy závitové G 1"</t>
  </si>
  <si>
    <t>"VODOMĚRNÁ SESTAVA dle podminek VAK Pardubice"</t>
  </si>
  <si>
    <t>998</t>
  </si>
  <si>
    <t>Přesun hmot</t>
  </si>
  <si>
    <t>91</t>
  </si>
  <si>
    <t>998276101</t>
  </si>
  <si>
    <t>Přesun hmot pro trubní vedení z trub z plastických hmot otevřený výkop</t>
  </si>
  <si>
    <t>-1655965992</t>
  </si>
  <si>
    <t>Přesun hmot pro trubní vedení hloubené z trub z plastických hmot nebo sklolaminátových pro vodovody, kanalizace, teplovody, produktovody v otevřeném výkopu dopravní vzdálenost do 15 m</t>
  </si>
  <si>
    <t xml:space="preserve">    8 - Vedení trubní dálková a přípojná</t>
  </si>
  <si>
    <t xml:space="preserve">    9 - Ostatní konstrukce a práce, bourání</t>
  </si>
  <si>
    <t>Vedení trubní dálková a přípojná</t>
  </si>
  <si>
    <t>Ostatní konstrukce a práce, bourání</t>
  </si>
  <si>
    <t>998225111</t>
  </si>
  <si>
    <t>Přesun hmot pro pozemní komunikace s krytem z kamene, monolitickým betonovým nebo živičným</t>
  </si>
  <si>
    <t>Přesun hmot pro komunikace s krytem z kameniva, monolitickým betonovým nebo živičným dopravní vzdálenost do 200 m jakékoliv délky objektu</t>
  </si>
  <si>
    <t>02 - Komunikace a chodník</t>
  </si>
  <si>
    <t xml:space="preserve">    5 - Komunikace pozemní</t>
  </si>
  <si>
    <t xml:space="preserve">    6 - Úpravy povrchů, podlahy a osazování výplní</t>
  </si>
  <si>
    <t xml:space="preserve">    997 - Přesun sutě</t>
  </si>
  <si>
    <t>113154523</t>
  </si>
  <si>
    <t>Frézování živičného krytu tl 50 mm pruh š přes 0,5 m pl do 500 m2</t>
  </si>
  <si>
    <t>2104741859</t>
  </si>
  <si>
    <t>Frézování živičného podkladu nebo krytu s naložením hmot na dopravní prostředek plochy do 500 m2 pruhu šířky přes 0,5 m, tloušťky vrstvy 50 mm</t>
  </si>
  <si>
    <t>"Stávající kryt vozovky z asfaltu"</t>
  </si>
  <si>
    <t>250</t>
  </si>
  <si>
    <t>122252205</t>
  </si>
  <si>
    <t>Odkopávky a prokopávky nezapažené pro silnice a dálnice v hornině třídy těžitelnosti I objem do 1000 m3 strojně</t>
  </si>
  <si>
    <t>-2089969158</t>
  </si>
  <si>
    <t>Odkopávky a prokopávky nezapažené pro silnice a dálnice strojně v hornině třídy těžitelnosti I přes 500 do 1 000 m3</t>
  </si>
  <si>
    <t>"Komunikace -asfaltový beton - Stávající kryt vozovky z asfaltu"(420,0-250,0)*0,7</t>
  </si>
  <si>
    <t>"Chodníky" 102*0,5</t>
  </si>
  <si>
    <t>"Sjezdy" 70*0,5</t>
  </si>
  <si>
    <t>"Parkovací stání" 47*0,5</t>
  </si>
  <si>
    <t>"Komunikace obytná zóna  " 363*0,7</t>
  </si>
  <si>
    <t>181152302</t>
  </si>
  <si>
    <t>Úprava pláně pro silnice a dálnice v zářezech se zhutněním</t>
  </si>
  <si>
    <t>1564152901</t>
  </si>
  <si>
    <t>Úprava pláně na stavbách silnic a dálnic strojně v zářezech mimo skalních se zhutněním</t>
  </si>
  <si>
    <t>"Komunikace -asfaltový beton - Stávající kryt vozovky z asfaltu"(420,0-250,0)</t>
  </si>
  <si>
    <t>"Chodníky" 102</t>
  </si>
  <si>
    <t>"Sjezdy" 70</t>
  </si>
  <si>
    <t>"Parkovací stání" 47</t>
  </si>
  <si>
    <t>"Komunikace obytná zóna  " 363</t>
  </si>
  <si>
    <t>181311103</t>
  </si>
  <si>
    <t>Rozprostření ornice tl vrstvy do 200 mm v rovině nebo ve svahu do 1:5 ručně</t>
  </si>
  <si>
    <t>883092435</t>
  </si>
  <si>
    <t>Rozprostření a urovnání ornice v rovině nebo ve svahu sklonu do 1:5 ručně při souvislé ploše, tl. vrstvy do 200 mm</t>
  </si>
  <si>
    <t>"Zeleň - ohumusování, osetí " 350</t>
  </si>
  <si>
    <t>181411131</t>
  </si>
  <si>
    <t>Založení parkového trávníku výsevem pl do 1000 m2 v rovině a ve svahu do 1:5</t>
  </si>
  <si>
    <t>2059756338</t>
  </si>
  <si>
    <t>Založení trávníku na půdě předem připravené plochy do 1000 m2 výsevem včetně utažení parkového v rovině nebo na svahu do 1:5</t>
  </si>
  <si>
    <t>00572410</t>
  </si>
  <si>
    <t>osivo směs travní parková</t>
  </si>
  <si>
    <t>kg</t>
  </si>
  <si>
    <t>624338553</t>
  </si>
  <si>
    <t>350*0,02 'Přepočtené koeficientem množství</t>
  </si>
  <si>
    <t>181912111</t>
  </si>
  <si>
    <t>Úprava pláně v hornině třídy těžitelnosti I skupiny 3 bez zhutnění ručně</t>
  </si>
  <si>
    <t>-1921924930</t>
  </si>
  <si>
    <t>Úprava pláně vyrovnáním výškových rozdílů ručně v hornině třídy těžitelnosti I skupiny 3 bez zhutnění</t>
  </si>
  <si>
    <t>"Zeleň - ohumusování, osetí"</t>
  </si>
  <si>
    <t>350</t>
  </si>
  <si>
    <t>451577777</t>
  </si>
  <si>
    <t>Podklad nebo lože pod dlažbu vodorovný nebo do sklonu 1:5 z kameniva těženého tl přes 30 do 100 mm</t>
  </si>
  <si>
    <t>-362067994</t>
  </si>
  <si>
    <t>Podklad nebo lože pod dlažbu (přídlažbu) v ploše vodorovné nebo ve sklonu do 1:5, tloušťky od 30 do 100 mm z kameniva těženého</t>
  </si>
  <si>
    <t>"Parkovací stání"47</t>
  </si>
  <si>
    <t>"Sjezdy"70</t>
  </si>
  <si>
    <t>"Komunikace obytná zóna" 363</t>
  </si>
  <si>
    <t>"Chodník" 102</t>
  </si>
  <si>
    <t>451597977</t>
  </si>
  <si>
    <t>Podklad nebo lože pod dlažbu vodorovný nebo do sklonu 1:5 z betonového recyklátu tl přes 30 do 100 mm</t>
  </si>
  <si>
    <t>-1921333017</t>
  </si>
  <si>
    <t>Podklad nebo lože pod dlažbu (přídlažbu) v ploše vodorovné nebo ve sklonu do 1:5, tloušťky od 30 do 100 mm z betonového recyklátu</t>
  </si>
  <si>
    <t>"Komunikace -asfaltový beton - Stávající kryt vozovky z asfaltu"</t>
  </si>
  <si>
    <t>420,0-250,0</t>
  </si>
  <si>
    <t>Komunikace pozemní</t>
  </si>
  <si>
    <t>564750011</t>
  </si>
  <si>
    <t>Podklad nebo kryt z kameniva hrubého drceného vel. 8-16 mm plochy přes 100 m2 tl 150 mm</t>
  </si>
  <si>
    <t>-1751737288</t>
  </si>
  <si>
    <t>Podklad nebo kryt z kameniva hrubého drceného vel. 8-16 mm s rozprostřením a zhutněním plochy přes 100 m2, po zhutnění tl. 150 mm</t>
  </si>
  <si>
    <t>"Komunikace obytná zóna tl. 300 mm " 363*2</t>
  </si>
  <si>
    <t>564750111</t>
  </si>
  <si>
    <t>Podklad nebo kryt z kameniva hrubého drceného vel. 16-32 mm plochy přes 100 m2 tl 150 mm</t>
  </si>
  <si>
    <t>195251764</t>
  </si>
  <si>
    <t>Podklad nebo kryt z kameniva hrubého drceného vel. 16-32 mm s rozprostřením a zhutněním plochy přes 100 m2, po zhutnění tl. 150 mm</t>
  </si>
  <si>
    <t>564760011</t>
  </si>
  <si>
    <t>Podklad nebo kryt z kameniva hrubého drceného vel. 8-16 mm plochy přes 100 m2 tl 200 mm</t>
  </si>
  <si>
    <t>-1466959945</t>
  </si>
  <si>
    <t>Podklad nebo kryt z kameniva hrubého drceného vel. 8-16 mm s rozprostřením a zhutněním plochy přes 100 m2, po zhutnění tl. 200 mm</t>
  </si>
  <si>
    <t>564760111</t>
  </si>
  <si>
    <t>Podklad nebo kryt z kameniva hrubého drceného vel. 16-32 mm plochy přes 100 m2 tl 200 mm</t>
  </si>
  <si>
    <t>-644376343</t>
  </si>
  <si>
    <t>Podklad nebo kryt z kameniva hrubého drceného vel. 16-32 mm s rozprostřením a zhutněním plochy přes 100 m2, po zhutnění tl. 200 mm</t>
  </si>
  <si>
    <t>564831111</t>
  </si>
  <si>
    <t>Podklad ze štěrkodrtě ŠD plochy přes 100 m2 tl 100 mm</t>
  </si>
  <si>
    <t>-1106132063</t>
  </si>
  <si>
    <t>Podklad ze štěrkodrti ŠD s rozprostřením a zhutněním plochy přes 100 m2, po zhutnění tl. 100 mm</t>
  </si>
  <si>
    <t>564851111</t>
  </si>
  <si>
    <t>Podklad ze štěrkodrtě ŠD plochy přes 100 m2 tl 150 mm</t>
  </si>
  <si>
    <t>-970902616</t>
  </si>
  <si>
    <t>Podklad ze štěrkodrti ŠD s rozprostřením a zhutněním plochy přes 100 m2, po zhutnění tl. 150 mm</t>
  </si>
  <si>
    <t>"Trasa 1"</t>
  </si>
  <si>
    <t>"Komunikace -asfaltový beton - Stávající kryt vozovky z asfaltu"(420,0-250,0)*2</t>
  </si>
  <si>
    <t>573111112</t>
  </si>
  <si>
    <t>Postřik živičný infiltrační s posypem z asfaltu množství 1 kg/m2</t>
  </si>
  <si>
    <t>1395251681</t>
  </si>
  <si>
    <t>Postřik infiltrační PI z asfaltu silničního s posypem kamenivem, v množství 1,00 kg/m2</t>
  </si>
  <si>
    <t>"Komunikace -asfaltový beton -"420,0</t>
  </si>
  <si>
    <t>573231108</t>
  </si>
  <si>
    <t>Postřik živičný spojovací ze silniční emulze v množství 0,50 kg/m2</t>
  </si>
  <si>
    <t>810949911</t>
  </si>
  <si>
    <t>Postřik spojovací PS bez posypu kamenivem ze silniční emulze, v množství 0,50 kg/m2</t>
  </si>
  <si>
    <t>"Komunikace -asfaltový beton "420,0</t>
  </si>
  <si>
    <t>577134131</t>
  </si>
  <si>
    <t>Asfaltový beton vrstva obrusná ACO 11+ tl 40 mm š do 3 m z modifikovaného asfaltu</t>
  </si>
  <si>
    <t>1131589951</t>
  </si>
  <si>
    <t>Asfaltový beton vrstva obrusná ACO 11 z modifikovaného asfaltu s rozprostřením a se zhutněním ACO 11+ v pruhu šířky přes do 1,5 do 3 m, po zhutnění tl. 40 mm</t>
  </si>
  <si>
    <t>577165132</t>
  </si>
  <si>
    <t>Asfaltový beton vrstva ložní ACL 16 S tl 70 mm š do 3 m z modifikovaného asfaltu</t>
  </si>
  <si>
    <t>578266428</t>
  </si>
  <si>
    <t>Asfaltový beton vrstva ložní ACL 16 z modifikovaného asfaltu s rozprostřením a zhutněním ACL 16 S v pruhu šířky přes 1,5 do 3 m, po zhutnění tl. 70 mm</t>
  </si>
  <si>
    <t>596212210</t>
  </si>
  <si>
    <t>Kladení zámkové dlažby pozemních komunikací ručně tl 80 mm skupiny A pl do 50 m2</t>
  </si>
  <si>
    <t>1297879610</t>
  </si>
  <si>
    <t>Kladení dlažby z betonových zámkových dlaždic pozemních komunikací ručně s ložem z kameniva těženého nebo drceného tl. do 50 mm, s vyplněním spár, s dvojitým hutněním vibrováním a se smetením přebytečného materiálu na krajnici tl. 80 mm skupiny A, pro plochy do 50 m2</t>
  </si>
  <si>
    <t>"Varovný a signální pás"</t>
  </si>
  <si>
    <t>59245226</t>
  </si>
  <si>
    <t>dlažba pro nevidomé betonová 200x100mm tl 80mm barevná</t>
  </si>
  <si>
    <t>-455983534</t>
  </si>
  <si>
    <t>8*1,03 'Přepočtené koeficientem množství</t>
  </si>
  <si>
    <t>596212212</t>
  </si>
  <si>
    <t>Kladení zámkové dlažby pozemních komunikací ručně tl 80 mm skupiny A pl přes 100 do 300 m2</t>
  </si>
  <si>
    <t>-547232477</t>
  </si>
  <si>
    <t>Kladení dlažby z betonových zámkových dlaždic pozemních komunikací ručně s ložem z kameniva těženého nebo drceného tl. do 50 mm, s vyplněním spár, s dvojitým hutněním vibrováním a se smetením přebytečného materiálu na krajnici tl. 80 mm skupiny A, pro plochy přes 100 do 300 m2</t>
  </si>
  <si>
    <t>59246092</t>
  </si>
  <si>
    <t>dlažba zámková vsakovací betonová tvaru I 200x165mm tl 80mm přírodní</t>
  </si>
  <si>
    <t>1395192271</t>
  </si>
  <si>
    <t>582*1,02 'Přepočtené koeficientem množství</t>
  </si>
  <si>
    <t>Úpravy povrchů, podlahy a osazování výplní</t>
  </si>
  <si>
    <t>637311131</t>
  </si>
  <si>
    <t>Okapový chodník z betonových záhonových obrubníků lože beton</t>
  </si>
  <si>
    <t>-363961072</t>
  </si>
  <si>
    <t>Okapový chodník z obrubníků betonových zahradních, se zalitím spár cementovou maltou do lože z betonu prostého</t>
  </si>
  <si>
    <t>"ZAHRADNÍ OBRUBNÍK - podstupnice s výškovým rozdílem 6cm "</t>
  </si>
  <si>
    <t>"betonové dílce - přírodní - povrch standard - 100x25x15cm"67</t>
  </si>
  <si>
    <t>"ZAHRADNÍ OBRUBNÍK - v náběhu betonové dílce přírodní - povrch standard - 100x25x5cm"3</t>
  </si>
  <si>
    <t>895941101</t>
  </si>
  <si>
    <t>Osazení vpusti kanalizační horské z betonových dílců rozměru 600/600 mm</t>
  </si>
  <si>
    <t>1071605008</t>
  </si>
  <si>
    <t>59224321</t>
  </si>
  <si>
    <t>vpusť horská betonová spodní díl 90x90x115</t>
  </si>
  <si>
    <t>-911392528</t>
  </si>
  <si>
    <t>914111111</t>
  </si>
  <si>
    <t>Montáž svislé dopravní značky do velikosti 1 m2 objímkami na sloupek nebo konzolu</t>
  </si>
  <si>
    <t>510282831</t>
  </si>
  <si>
    <t>Montáž svislé dopravní značky základní velikosti do 1 m2 objímkami na sloupky nebo konzoly</t>
  </si>
  <si>
    <t>40445654</t>
  </si>
  <si>
    <t>informativní značky zónové IZ5 1000x750mm</t>
  </si>
  <si>
    <t>1326773315</t>
  </si>
  <si>
    <t>40445615</t>
  </si>
  <si>
    <t>značky upravující přednost P6 700mm</t>
  </si>
  <si>
    <t>1729326355</t>
  </si>
  <si>
    <t>40445611</t>
  </si>
  <si>
    <t>značky upravující přednost P2, P3, P8 500mm</t>
  </si>
  <si>
    <t>-255841278</t>
  </si>
  <si>
    <t>914511112</t>
  </si>
  <si>
    <t>Montáž sloupku dopravních značek délky do 3,5 m s betonovým základem a patkou D 60 mm</t>
  </si>
  <si>
    <t>-1846902423</t>
  </si>
  <si>
    <t>Montáž sloupku dopravních značek délky do 3,5 m do hliníkové patky pro sloupek D 60 mm</t>
  </si>
  <si>
    <t>40445225</t>
  </si>
  <si>
    <t>sloupek pro dopravní značku Zn D 60mm v 3,5m</t>
  </si>
  <si>
    <t>548057976</t>
  </si>
  <si>
    <t>40445240</t>
  </si>
  <si>
    <t>patka pro sloupek Al D 60mm</t>
  </si>
  <si>
    <t>-2002746029</t>
  </si>
  <si>
    <t>40445256</t>
  </si>
  <si>
    <t>svorka upínací na sloupek dopravní značky D 60mm</t>
  </si>
  <si>
    <t>1330837487</t>
  </si>
  <si>
    <t>916131213</t>
  </si>
  <si>
    <t>Osazení silničního obrubníku betonového stojatého s boční opěrou do lože z betonu prostého</t>
  </si>
  <si>
    <t>-1816955851</t>
  </si>
  <si>
    <t>Osazení silničního obrubníku betonového se zřízením lože, s vyplněním a zatřením spár cementovou maltou stojatého s boční opěrou z betonu prostého, do lože z betonu prostého</t>
  </si>
  <si>
    <t>"SILNIČNÍ OBRUBNÍK podstupnice s výškovým rozdílem 10cm" 60</t>
  </si>
  <si>
    <t>"SILNIČNÍ OBRUBNÍK PŘEJEZDOVÝ -podstupnice s výškovým rozdílem 2cm-5cm"28</t>
  </si>
  <si>
    <t>"SILNIČNÍ OBRUBNÍK - v náběhu"3</t>
  </si>
  <si>
    <t>"SILNIČNÍ OBRUBNÍK ZAPUŠTĚNÝ"262</t>
  </si>
  <si>
    <t>59217031</t>
  </si>
  <si>
    <t>obrubník silniční betonový 1000x150x250mm</t>
  </si>
  <si>
    <t>144463722</t>
  </si>
  <si>
    <t>346,078431372549*1,02 'Přepočtené koeficientem množství</t>
  </si>
  <si>
    <t>916231213</t>
  </si>
  <si>
    <t>Osazení chodníkového obrubníku betonového stojatého s boční opěrou do lože z betonu prostého</t>
  </si>
  <si>
    <t>467703931</t>
  </si>
  <si>
    <t>Osazení chodníkového obrubníku betonového se zřízením lože, s vyplněním a zatřením spár cementovou maltou stojatého s boční opěrou z betonu prostého, do lože z betonu prostého</t>
  </si>
  <si>
    <t>59217017</t>
  </si>
  <si>
    <t>obrubník betonový chodníkový 1000x100x250mm</t>
  </si>
  <si>
    <t>19461517</t>
  </si>
  <si>
    <t>80,3921568627451*1,02 'Přepočtené koeficientem množství</t>
  </si>
  <si>
    <t>919726121</t>
  </si>
  <si>
    <t>Geotextilie pro ochranu, separaci a filtraci netkaná měrná hm do 200 g/m2</t>
  </si>
  <si>
    <t>-2127640067</t>
  </si>
  <si>
    <t>Geotextilie netkaná pro ochranu, separaci nebo filtraci měrná hmotnost do 200 g/m2</t>
  </si>
  <si>
    <t>"Komunikace -asfaltový beton - Stávající kryt vozovky z asfaltu"(420,0-250,0)*1,15</t>
  </si>
  <si>
    <t>"Chodníky" 102*1,15</t>
  </si>
  <si>
    <t>"Sjezdy" 70*0,5*1,15</t>
  </si>
  <si>
    <t>"Parkovací stání" 47*1,15</t>
  </si>
  <si>
    <t>"Komunikace obytná zóna  " 363*1,15</t>
  </si>
  <si>
    <t>997</t>
  </si>
  <si>
    <t>Přesun sutě</t>
  </si>
  <si>
    <t>997013875</t>
  </si>
  <si>
    <t>Poplatek za uložení stavebního odpadu na recyklační skládce (skládkovné) asfaltového bez obsahu dehtu zatříděného do Katalogu odpadů pod kódem 17 03 02</t>
  </si>
  <si>
    <t>1572595123</t>
  </si>
  <si>
    <t>250*0,05*1,6</t>
  </si>
  <si>
    <t>997221571</t>
  </si>
  <si>
    <t>Vodorovná doprava vybouraných hmot do 1 km</t>
  </si>
  <si>
    <t>-1283760617</t>
  </si>
  <si>
    <t>Vodorovná doprava vybouraných hmot bez naložení, ale se složením a s hrubým urovnáním na vzdálenost do 1 km</t>
  </si>
  <si>
    <t>997221579</t>
  </si>
  <si>
    <t>Příplatek ZKD 1 km u vodorovné dopravy vybouraných hmot</t>
  </si>
  <si>
    <t>707133918</t>
  </si>
  <si>
    <t>Vodorovná doprava vybouraných hmot bez naložení, ale se složením a s hrubým urovnáním na vzdálenost Příplatek k ceně za každý další započatý 1 km přes 1 km</t>
  </si>
  <si>
    <t>" PŘÍPBLIŽNĚ 10 km"</t>
  </si>
  <si>
    <t>250*0,05*1,6*10</t>
  </si>
  <si>
    <t>-1817130900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</si>
</sst>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dd\.mm\.yyyy"/>
    <numFmt numFmtId="166" formatCode="#,##0.00000"/>
  </numFmts>
  <fonts count="26" x14ac:knownFonts="1">
    <font>
      <sz val="8"/>
      <name val="Arial CE"/>
      <family val="2"/>
    </font>
    <font>
      <sz val="10"/>
      <color rgb="FF969696"/>
      <name val="Arial CE"/>
      <family val="2"/>
      <charset val="238"/>
    </font>
    <font>
      <sz val="10"/>
      <name val="Arial CE"/>
      <family val="2"/>
      <charset val="238"/>
    </font>
    <font>
      <b/>
      <sz val="11"/>
      <name val="Arial CE"/>
      <family val="2"/>
      <charset val="238"/>
    </font>
    <font>
      <b/>
      <sz val="12"/>
      <name val="Arial CE"/>
      <family val="2"/>
      <charset val="238"/>
    </font>
    <font>
      <sz val="12"/>
      <color rgb="FF003366"/>
      <name val="Arial CE"/>
      <family val="2"/>
      <charset val="238"/>
    </font>
    <font>
      <sz val="10"/>
      <color rgb="FF003366"/>
      <name val="Arial CE"/>
      <family val="2"/>
      <charset val="238"/>
    </font>
    <font>
      <sz val="8"/>
      <color rgb="FF003366"/>
      <name val="Arial CE"/>
      <family val="2"/>
      <charset val="238"/>
    </font>
    <font>
      <sz val="8"/>
      <color rgb="FF800080"/>
      <name val="Arial CE"/>
      <family val="2"/>
      <charset val="238"/>
    </font>
    <font>
      <sz val="8"/>
      <color rgb="FF505050"/>
      <name val="Arial CE"/>
      <family val="2"/>
      <charset val="238"/>
    </font>
    <font>
      <sz val="8"/>
      <color rgb="FFFF0000"/>
      <name val="Arial CE"/>
      <family val="2"/>
      <charset val="238"/>
    </font>
    <font>
      <b/>
      <sz val="14"/>
      <name val="Arial CE"/>
      <family val="2"/>
      <charset val="238"/>
    </font>
    <font>
      <b/>
      <sz val="10"/>
      <name val="Arial CE"/>
      <family val="2"/>
      <charset val="238"/>
    </font>
    <font>
      <b/>
      <sz val="10"/>
      <color rgb="FF464646"/>
      <name val="Arial CE"/>
      <family val="2"/>
      <charset val="238"/>
    </font>
    <font>
      <sz val="8"/>
      <color rgb="FF969696"/>
      <name val="Arial CE"/>
      <family val="2"/>
      <charset val="238"/>
    </font>
    <font>
      <sz val="9"/>
      <name val="Arial CE"/>
      <family val="2"/>
      <charset val="238"/>
    </font>
    <font>
      <sz val="9"/>
      <color rgb="FF969696"/>
      <name val="Arial CE"/>
      <family val="2"/>
      <charset val="238"/>
    </font>
    <font>
      <b/>
      <sz val="12"/>
      <color rgb="FF960000"/>
      <name val="Arial CE"/>
      <family val="2"/>
      <charset val="238"/>
    </font>
    <font>
      <sz val="10"/>
      <color rgb="FF3366FF"/>
      <name val="Arial CE"/>
      <family val="2"/>
      <charset val="238"/>
    </font>
    <font>
      <b/>
      <sz val="12"/>
      <color rgb="FF800000"/>
      <name val="Arial CE"/>
      <family val="2"/>
      <charset val="238"/>
    </font>
    <font>
      <sz val="8"/>
      <color rgb="FF960000"/>
      <name val="Arial CE"/>
      <family val="2"/>
      <charset val="238"/>
    </font>
    <font>
      <b/>
      <sz val="8"/>
      <name val="Arial CE"/>
      <family val="2"/>
      <charset val="238"/>
    </font>
    <font>
      <sz val="7"/>
      <color rgb="FF969696"/>
      <name val="Arial CE"/>
      <family val="2"/>
      <charset val="238"/>
    </font>
    <font>
      <sz val="7"/>
      <name val="Arial CE"/>
      <family val="2"/>
      <charset val="238"/>
    </font>
    <font>
      <i/>
      <sz val="9"/>
      <color rgb="FF0000FF"/>
      <name val="Arial CE"/>
      <family val="2"/>
      <charset val="238"/>
    </font>
    <font>
      <i/>
      <sz val="8"/>
      <color rgb="FF0000FF"/>
      <name val="Arial CE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D2D2D2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969696"/>
      </left>
      <right/>
      <top style="hair">
        <color rgb="FF969696"/>
      </top>
      <bottom/>
      <diagonal/>
    </border>
    <border>
      <left/>
      <right/>
      <top style="hair">
        <color rgb="FF969696"/>
      </top>
      <bottom/>
      <diagonal/>
    </border>
    <border>
      <left/>
      <right style="hair">
        <color rgb="FF969696"/>
      </right>
      <top style="hair">
        <color rgb="FF969696"/>
      </top>
      <bottom/>
      <diagonal/>
    </border>
    <border>
      <left style="hair">
        <color rgb="FF969696"/>
      </left>
      <right/>
      <top/>
      <bottom/>
      <diagonal/>
    </border>
    <border>
      <left/>
      <right style="hair">
        <color rgb="FF969696"/>
      </right>
      <top/>
      <bottom/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/>
      <right/>
      <top style="hair">
        <color rgb="FF969696"/>
      </top>
      <bottom style="hair">
        <color rgb="FF969696"/>
      </bottom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/>
      <bottom style="hair">
        <color rgb="FF969696"/>
      </bottom>
      <diagonal/>
    </border>
    <border>
      <left/>
      <right/>
      <top/>
      <bottom style="hair">
        <color rgb="FF969696"/>
      </bottom>
      <diagonal/>
    </border>
    <border>
      <left/>
      <right style="hair">
        <color rgb="FF969696"/>
      </right>
      <top/>
      <bottom style="hair">
        <color rgb="FF969696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165" fontId="2" fillId="0" borderId="0" xfId="0" applyNumberFormat="1" applyFont="1" applyAlignment="1">
      <alignment horizontal="left" vertical="center"/>
    </xf>
    <xf numFmtId="0" fontId="0" fillId="0" borderId="12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0" fillId="0" borderId="15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17" fillId="0" borderId="0" xfId="0" applyFont="1" applyAlignment="1">
      <alignment horizontal="left" vertical="center"/>
    </xf>
    <xf numFmtId="4" fontId="17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0" fillId="3" borderId="0" xfId="0" applyFill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/>
    </xf>
    <xf numFmtId="4" fontId="4" fillId="3" borderId="7" xfId="0" applyNumberFormat="1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5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4" fontId="5" fillId="0" borderId="20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4" fontId="6" fillId="0" borderId="20" xfId="0" applyNumberFormat="1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4" fontId="17" fillId="0" borderId="0" xfId="0" applyNumberFormat="1" applyFont="1"/>
    <xf numFmtId="166" fontId="20" fillId="0" borderId="12" xfId="0" applyNumberFormat="1" applyFont="1" applyBorder="1"/>
    <xf numFmtId="166" fontId="20" fillId="0" borderId="13" xfId="0" applyNumberFormat="1" applyFont="1" applyBorder="1"/>
    <xf numFmtId="4" fontId="21" fillId="0" borderId="0" xfId="0" applyNumberFormat="1" applyFont="1" applyAlignment="1">
      <alignment vertical="center"/>
    </xf>
    <xf numFmtId="0" fontId="7" fillId="0" borderId="3" xfId="0" applyFont="1" applyBorder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Protection="1">
      <protection locked="0"/>
    </xf>
    <xf numFmtId="4" fontId="5" fillId="0" borderId="0" xfId="0" applyNumberFormat="1" applyFont="1"/>
    <xf numFmtId="0" fontId="7" fillId="0" borderId="14" xfId="0" applyFont="1" applyBorder="1"/>
    <xf numFmtId="166" fontId="7" fillId="0" borderId="0" xfId="0" applyNumberFormat="1" applyFont="1"/>
    <xf numFmtId="166" fontId="7" fillId="0" borderId="15" xfId="0" applyNumberFormat="1" applyFont="1" applyBorder="1"/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4" fontId="6" fillId="0" borderId="0" xfId="0" applyNumberFormat="1" applyFont="1"/>
    <xf numFmtId="0" fontId="15" fillId="0" borderId="22" xfId="0" applyFont="1" applyBorder="1" applyAlignment="1">
      <alignment horizontal="center" vertical="center"/>
    </xf>
    <xf numFmtId="49" fontId="15" fillId="0" borderId="22" xfId="0" applyNumberFormat="1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4" fontId="15" fillId="0" borderId="22" xfId="0" applyNumberFormat="1" applyFont="1" applyBorder="1" applyAlignment="1">
      <alignment vertical="center"/>
    </xf>
    <xf numFmtId="4" fontId="15" fillId="2" borderId="22" xfId="0" applyNumberFormat="1" applyFont="1" applyFill="1" applyBorder="1" applyAlignment="1" applyProtection="1">
      <alignment vertical="center"/>
      <protection locked="0"/>
    </xf>
    <xf numFmtId="0" fontId="16" fillId="2" borderId="14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166" fontId="16" fillId="0" borderId="15" xfId="0" applyNumberFormat="1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4" fontId="0" fillId="0" borderId="0" xfId="0" applyNumberFormat="1" applyAlignme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0" fillId="0" borderId="14" xfId="0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vertical="center"/>
      <protection locked="0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4" fontId="9" fillId="0" borderId="0" xfId="0" applyNumberFormat="1" applyFont="1" applyAlignment="1">
      <alignment vertical="center"/>
    </xf>
    <xf numFmtId="0" fontId="9" fillId="0" borderId="0" xfId="0" applyFont="1" applyAlignment="1" applyProtection="1">
      <alignment vertical="center"/>
      <protection locked="0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24" fillId="0" borderId="22" xfId="0" applyFont="1" applyBorder="1" applyAlignment="1">
      <alignment horizontal="center" vertical="center"/>
    </xf>
    <xf numFmtId="49" fontId="24" fillId="0" borderId="22" xfId="0" applyNumberFormat="1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center" vertical="center" wrapText="1"/>
    </xf>
    <xf numFmtId="4" fontId="24" fillId="0" borderId="22" xfId="0" applyNumberFormat="1" applyFont="1" applyBorder="1" applyAlignment="1">
      <alignment vertical="center"/>
    </xf>
    <xf numFmtId="4" fontId="24" fillId="2" borderId="22" xfId="0" applyNumberFormat="1" applyFont="1" applyFill="1" applyBorder="1" applyAlignment="1" applyProtection="1">
      <alignment vertical="center"/>
      <protection locked="0"/>
    </xf>
    <xf numFmtId="0" fontId="25" fillId="0" borderId="3" xfId="0" applyFont="1" applyBorder="1" applyAlignment="1">
      <alignment vertical="center"/>
    </xf>
    <xf numFmtId="0" fontId="24" fillId="2" borderId="14" xfId="0" applyFont="1" applyFill="1" applyBorder="1" applyAlignment="1" applyProtection="1">
      <alignment horizontal="left" vertical="center"/>
      <protection locked="0"/>
    </xf>
    <xf numFmtId="0" fontId="24" fillId="0" borderId="0" xfId="0" applyFont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Alignment="1" applyProtection="1">
      <alignment horizontal="left" vertical="center"/>
      <protection locked="0"/>
    </xf>
  </cellXfs>
  <cellStyles count="1">
    <cellStyle name="Normální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p.urs.cz/products/kros4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pp.urs.cz/products/kros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85750" cy="285750"/>
    <xdr:pic>
      <xdr:nvPicPr>
        <xdr:cNvPr id="2" name="Picture 1">
          <a:hlinkClick xmlns:r="http://schemas.openxmlformats.org/officeDocument/2006/relationships" r:id="rId1" tooltip="https://app.urs.cz/products/kros4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M424"/>
  <sheetViews>
    <sheetView showGridLines="0" workbookViewId="0"/>
  </sheetViews>
  <sheetFormatPr defaultRowHeight="14.4" x14ac:dyDescent="0.2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46" ht="36.9" customHeight="1" x14ac:dyDescent="0.2"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AT2" s="10" t="s">
        <v>46</v>
      </c>
    </row>
    <row r="3" spans="2:46" ht="6.9" customHeight="1" x14ac:dyDescent="0.2"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AT3" s="10" t="s">
        <v>47</v>
      </c>
    </row>
    <row r="4" spans="2:46" ht="24.9" customHeight="1" x14ac:dyDescent="0.2">
      <c r="B4" s="13"/>
      <c r="D4" s="14" t="s">
        <v>49</v>
      </c>
      <c r="L4" s="13"/>
      <c r="M4" s="40" t="s">
        <v>4</v>
      </c>
      <c r="AT4" s="10" t="s">
        <v>1</v>
      </c>
    </row>
    <row r="5" spans="2:46" ht="6.9" customHeight="1" x14ac:dyDescent="0.2">
      <c r="B5" s="13"/>
      <c r="L5" s="13"/>
    </row>
    <row r="6" spans="2:46" ht="12" customHeight="1" x14ac:dyDescent="0.2">
      <c r="B6" s="13"/>
      <c r="D6" s="16" t="s">
        <v>5</v>
      </c>
      <c r="L6" s="13"/>
    </row>
    <row r="7" spans="2:46" ht="16.5" customHeight="1" x14ac:dyDescent="0.2">
      <c r="B7" s="13"/>
      <c r="E7" s="136" t="e">
        <f>#REF!</f>
        <v>#REF!</v>
      </c>
      <c r="F7" s="137"/>
      <c r="G7" s="137"/>
      <c r="H7" s="137"/>
      <c r="L7" s="13"/>
    </row>
    <row r="8" spans="2:46" s="1" customFormat="1" ht="12" customHeight="1" x14ac:dyDescent="0.2">
      <c r="B8" s="19"/>
      <c r="D8" s="16" t="s">
        <v>50</v>
      </c>
      <c r="L8" s="19"/>
    </row>
    <row r="9" spans="2:46" s="1" customFormat="1" ht="16.5" customHeight="1" x14ac:dyDescent="0.2">
      <c r="B9" s="19"/>
      <c r="E9" s="132" t="s">
        <v>51</v>
      </c>
      <c r="F9" s="138"/>
      <c r="G9" s="138"/>
      <c r="H9" s="138"/>
      <c r="L9" s="19"/>
    </row>
    <row r="10" spans="2:46" s="1" customFormat="1" ht="10.199999999999999" x14ac:dyDescent="0.2">
      <c r="B10" s="19"/>
      <c r="L10" s="19"/>
    </row>
    <row r="11" spans="2:46" s="1" customFormat="1" ht="12" customHeight="1" x14ac:dyDescent="0.2">
      <c r="B11" s="19"/>
      <c r="D11" s="16" t="s">
        <v>6</v>
      </c>
      <c r="F11" s="15" t="s">
        <v>0</v>
      </c>
      <c r="I11" s="16" t="s">
        <v>7</v>
      </c>
      <c r="J11" s="15" t="s">
        <v>0</v>
      </c>
      <c r="L11" s="19"/>
    </row>
    <row r="12" spans="2:46" s="1" customFormat="1" ht="12" customHeight="1" x14ac:dyDescent="0.2">
      <c r="B12" s="19"/>
      <c r="D12" s="16" t="s">
        <v>8</v>
      </c>
      <c r="F12" s="15" t="s">
        <v>9</v>
      </c>
      <c r="I12" s="16" t="s">
        <v>10</v>
      </c>
      <c r="J12" s="29" t="e">
        <f>#REF!</f>
        <v>#REF!</v>
      </c>
      <c r="L12" s="19"/>
    </row>
    <row r="13" spans="2:46" s="1" customFormat="1" ht="10.8" customHeight="1" x14ac:dyDescent="0.2">
      <c r="B13" s="19"/>
      <c r="L13" s="19"/>
    </row>
    <row r="14" spans="2:46" s="1" customFormat="1" ht="12" customHeight="1" x14ac:dyDescent="0.2">
      <c r="B14" s="19"/>
      <c r="D14" s="16" t="s">
        <v>11</v>
      </c>
      <c r="I14" s="16" t="s">
        <v>12</v>
      </c>
      <c r="J14" s="15" t="s">
        <v>0</v>
      </c>
      <c r="L14" s="19"/>
    </row>
    <row r="15" spans="2:46" s="1" customFormat="1" ht="18" customHeight="1" x14ac:dyDescent="0.2">
      <c r="B15" s="19"/>
      <c r="E15" s="15" t="s">
        <v>13</v>
      </c>
      <c r="I15" s="16" t="s">
        <v>14</v>
      </c>
      <c r="J15" s="15" t="s">
        <v>0</v>
      </c>
      <c r="L15" s="19"/>
    </row>
    <row r="16" spans="2:46" s="1" customFormat="1" ht="6.9" customHeight="1" x14ac:dyDescent="0.2">
      <c r="B16" s="19"/>
      <c r="L16" s="19"/>
    </row>
    <row r="17" spans="2:12" s="1" customFormat="1" ht="12" customHeight="1" x14ac:dyDescent="0.2">
      <c r="B17" s="19"/>
      <c r="D17" s="16" t="s">
        <v>15</v>
      </c>
      <c r="I17" s="16" t="s">
        <v>12</v>
      </c>
      <c r="J17" s="17" t="e">
        <f>#REF!</f>
        <v>#REF!</v>
      </c>
      <c r="L17" s="19"/>
    </row>
    <row r="18" spans="2:12" s="1" customFormat="1" ht="18" customHeight="1" x14ac:dyDescent="0.2">
      <c r="B18" s="19"/>
      <c r="E18" s="139" t="e">
        <f>#REF!</f>
        <v>#REF!</v>
      </c>
      <c r="F18" s="133"/>
      <c r="G18" s="133"/>
      <c r="H18" s="133"/>
      <c r="I18" s="16" t="s">
        <v>14</v>
      </c>
      <c r="J18" s="17" t="e">
        <f>#REF!</f>
        <v>#REF!</v>
      </c>
      <c r="L18" s="19"/>
    </row>
    <row r="19" spans="2:12" s="1" customFormat="1" ht="6.9" customHeight="1" x14ac:dyDescent="0.2">
      <c r="B19" s="19"/>
      <c r="L19" s="19"/>
    </row>
    <row r="20" spans="2:12" s="1" customFormat="1" ht="12" customHeight="1" x14ac:dyDescent="0.2">
      <c r="B20" s="19"/>
      <c r="D20" s="16" t="s">
        <v>16</v>
      </c>
      <c r="I20" s="16" t="s">
        <v>12</v>
      </c>
      <c r="J20" s="15" t="s">
        <v>0</v>
      </c>
      <c r="L20" s="19"/>
    </row>
    <row r="21" spans="2:12" s="1" customFormat="1" ht="18" customHeight="1" x14ac:dyDescent="0.2">
      <c r="B21" s="19"/>
      <c r="E21" s="15" t="s">
        <v>17</v>
      </c>
      <c r="I21" s="16" t="s">
        <v>14</v>
      </c>
      <c r="J21" s="15" t="s">
        <v>0</v>
      </c>
      <c r="L21" s="19"/>
    </row>
    <row r="22" spans="2:12" s="1" customFormat="1" ht="6.9" customHeight="1" x14ac:dyDescent="0.2">
      <c r="B22" s="19"/>
      <c r="L22" s="19"/>
    </row>
    <row r="23" spans="2:12" s="1" customFormat="1" ht="12" customHeight="1" x14ac:dyDescent="0.2">
      <c r="B23" s="19"/>
      <c r="D23" s="16" t="s">
        <v>19</v>
      </c>
      <c r="I23" s="16" t="s">
        <v>12</v>
      </c>
      <c r="J23" s="15" t="s">
        <v>0</v>
      </c>
      <c r="L23" s="19"/>
    </row>
    <row r="24" spans="2:12" s="1" customFormat="1" ht="18" customHeight="1" x14ac:dyDescent="0.2">
      <c r="B24" s="19"/>
      <c r="E24" s="15" t="s">
        <v>13</v>
      </c>
      <c r="I24" s="16" t="s">
        <v>14</v>
      </c>
      <c r="J24" s="15" t="s">
        <v>0</v>
      </c>
      <c r="L24" s="19"/>
    </row>
    <row r="25" spans="2:12" s="1" customFormat="1" ht="6.9" customHeight="1" x14ac:dyDescent="0.2">
      <c r="B25" s="19"/>
      <c r="L25" s="19"/>
    </row>
    <row r="26" spans="2:12" s="1" customFormat="1" ht="12" customHeight="1" x14ac:dyDescent="0.2">
      <c r="B26" s="19"/>
      <c r="D26" s="16" t="s">
        <v>20</v>
      </c>
      <c r="L26" s="19"/>
    </row>
    <row r="27" spans="2:12" s="2" customFormat="1" ht="16.5" customHeight="1" x14ac:dyDescent="0.2">
      <c r="B27" s="41"/>
      <c r="E27" s="135" t="s">
        <v>0</v>
      </c>
      <c r="F27" s="135"/>
      <c r="G27" s="135"/>
      <c r="H27" s="135"/>
      <c r="L27" s="41"/>
    </row>
    <row r="28" spans="2:12" s="1" customFormat="1" ht="6.9" customHeight="1" x14ac:dyDescent="0.2">
      <c r="B28" s="19"/>
      <c r="L28" s="19"/>
    </row>
    <row r="29" spans="2:12" s="1" customFormat="1" ht="6.9" customHeight="1" x14ac:dyDescent="0.2">
      <c r="B29" s="19"/>
      <c r="D29" s="30"/>
      <c r="E29" s="30"/>
      <c r="F29" s="30"/>
      <c r="G29" s="30"/>
      <c r="H29" s="30"/>
      <c r="I29" s="30"/>
      <c r="J29" s="30"/>
      <c r="K29" s="30"/>
      <c r="L29" s="19"/>
    </row>
    <row r="30" spans="2:12" s="1" customFormat="1" ht="25.35" customHeight="1" x14ac:dyDescent="0.2">
      <c r="B30" s="19"/>
      <c r="D30" s="42" t="s">
        <v>21</v>
      </c>
      <c r="J30" s="39">
        <f>ROUND(J121, 2)</f>
        <v>0</v>
      </c>
      <c r="L30" s="19"/>
    </row>
    <row r="31" spans="2:12" s="1" customFormat="1" ht="6.9" customHeight="1" x14ac:dyDescent="0.2">
      <c r="B31" s="19"/>
      <c r="D31" s="30"/>
      <c r="E31" s="30"/>
      <c r="F31" s="30"/>
      <c r="G31" s="30"/>
      <c r="H31" s="30"/>
      <c r="I31" s="30"/>
      <c r="J31" s="30"/>
      <c r="K31" s="30"/>
      <c r="L31" s="19"/>
    </row>
    <row r="32" spans="2:12" s="1" customFormat="1" ht="14.4" customHeight="1" x14ac:dyDescent="0.2">
      <c r="B32" s="19"/>
      <c r="F32" s="21" t="s">
        <v>23</v>
      </c>
      <c r="I32" s="21" t="s">
        <v>22</v>
      </c>
      <c r="J32" s="21" t="s">
        <v>24</v>
      </c>
      <c r="L32" s="19"/>
    </row>
    <row r="33" spans="2:12" s="1" customFormat="1" ht="14.4" customHeight="1" x14ac:dyDescent="0.2">
      <c r="B33" s="19"/>
      <c r="D33" s="31" t="s">
        <v>25</v>
      </c>
      <c r="E33" s="16" t="s">
        <v>26</v>
      </c>
      <c r="F33" s="43">
        <f>ROUND((SUM(BE121:BE423)),  2)</f>
        <v>0</v>
      </c>
      <c r="I33" s="44">
        <v>0.21</v>
      </c>
      <c r="J33" s="43">
        <f>ROUND(((SUM(BE121:BE423))*I33),  2)</f>
        <v>0</v>
      </c>
      <c r="L33" s="19"/>
    </row>
    <row r="34" spans="2:12" s="1" customFormat="1" ht="14.4" customHeight="1" x14ac:dyDescent="0.2">
      <c r="B34" s="19"/>
      <c r="E34" s="16" t="s">
        <v>27</v>
      </c>
      <c r="F34" s="43">
        <f>ROUND((SUM(BF121:BF423)),  2)</f>
        <v>0</v>
      </c>
      <c r="I34" s="44">
        <v>0.12</v>
      </c>
      <c r="J34" s="43">
        <f>ROUND(((SUM(BF121:BF423))*I34),  2)</f>
        <v>0</v>
      </c>
      <c r="L34" s="19"/>
    </row>
    <row r="35" spans="2:12" s="1" customFormat="1" ht="14.4" hidden="1" customHeight="1" x14ac:dyDescent="0.2">
      <c r="B35" s="19"/>
      <c r="E35" s="16" t="s">
        <v>28</v>
      </c>
      <c r="F35" s="43">
        <f>ROUND((SUM(BG121:BG423)),  2)</f>
        <v>0</v>
      </c>
      <c r="I35" s="44">
        <v>0.21</v>
      </c>
      <c r="J35" s="43">
        <f>0</f>
        <v>0</v>
      </c>
      <c r="L35" s="19"/>
    </row>
    <row r="36" spans="2:12" s="1" customFormat="1" ht="14.4" hidden="1" customHeight="1" x14ac:dyDescent="0.2">
      <c r="B36" s="19"/>
      <c r="E36" s="16" t="s">
        <v>29</v>
      </c>
      <c r="F36" s="43">
        <f>ROUND((SUM(BH121:BH423)),  2)</f>
        <v>0</v>
      </c>
      <c r="I36" s="44">
        <v>0.12</v>
      </c>
      <c r="J36" s="43">
        <f>0</f>
        <v>0</v>
      </c>
      <c r="L36" s="19"/>
    </row>
    <row r="37" spans="2:12" s="1" customFormat="1" ht="14.4" hidden="1" customHeight="1" x14ac:dyDescent="0.2">
      <c r="B37" s="19"/>
      <c r="E37" s="16" t="s">
        <v>30</v>
      </c>
      <c r="F37" s="43">
        <f>ROUND((SUM(BI121:BI423)),  2)</f>
        <v>0</v>
      </c>
      <c r="I37" s="44">
        <v>0</v>
      </c>
      <c r="J37" s="43">
        <f>0</f>
        <v>0</v>
      </c>
      <c r="L37" s="19"/>
    </row>
    <row r="38" spans="2:12" s="1" customFormat="1" ht="6.9" customHeight="1" x14ac:dyDescent="0.2">
      <c r="B38" s="19"/>
      <c r="L38" s="19"/>
    </row>
    <row r="39" spans="2:12" s="1" customFormat="1" ht="25.35" customHeight="1" x14ac:dyDescent="0.2">
      <c r="B39" s="19"/>
      <c r="C39" s="45"/>
      <c r="D39" s="46" t="s">
        <v>31</v>
      </c>
      <c r="E39" s="33"/>
      <c r="F39" s="33"/>
      <c r="G39" s="47" t="s">
        <v>32</v>
      </c>
      <c r="H39" s="48" t="s">
        <v>33</v>
      </c>
      <c r="I39" s="33"/>
      <c r="J39" s="49">
        <f>SUM(J30:J37)</f>
        <v>0</v>
      </c>
      <c r="K39" s="50"/>
      <c r="L39" s="19"/>
    </row>
    <row r="40" spans="2:12" s="1" customFormat="1" ht="14.4" customHeight="1" x14ac:dyDescent="0.2">
      <c r="B40" s="19"/>
      <c r="L40" s="19"/>
    </row>
    <row r="41" spans="2:12" ht="14.4" customHeight="1" x14ac:dyDescent="0.2">
      <c r="B41" s="13"/>
      <c r="L41" s="13"/>
    </row>
    <row r="42" spans="2:12" ht="14.4" customHeight="1" x14ac:dyDescent="0.2">
      <c r="B42" s="13"/>
      <c r="L42" s="13"/>
    </row>
    <row r="43" spans="2:12" ht="14.4" customHeight="1" x14ac:dyDescent="0.2">
      <c r="B43" s="13"/>
      <c r="L43" s="13"/>
    </row>
    <row r="44" spans="2:12" ht="14.4" customHeight="1" x14ac:dyDescent="0.2">
      <c r="B44" s="13"/>
      <c r="L44" s="13"/>
    </row>
    <row r="45" spans="2:12" ht="14.4" customHeight="1" x14ac:dyDescent="0.2">
      <c r="B45" s="13"/>
      <c r="L45" s="13"/>
    </row>
    <row r="46" spans="2:12" ht="14.4" customHeight="1" x14ac:dyDescent="0.2">
      <c r="B46" s="13"/>
      <c r="L46" s="13"/>
    </row>
    <row r="47" spans="2:12" ht="14.4" customHeight="1" x14ac:dyDescent="0.2">
      <c r="B47" s="13"/>
      <c r="L47" s="13"/>
    </row>
    <row r="48" spans="2:12" ht="14.4" customHeight="1" x14ac:dyDescent="0.2">
      <c r="B48" s="13"/>
      <c r="L48" s="13"/>
    </row>
    <row r="49" spans="2:12" ht="14.4" customHeight="1" x14ac:dyDescent="0.2">
      <c r="B49" s="13"/>
      <c r="L49" s="13"/>
    </row>
    <row r="50" spans="2:12" s="1" customFormat="1" ht="14.4" customHeight="1" x14ac:dyDescent="0.2">
      <c r="B50" s="19"/>
      <c r="D50" s="22" t="s">
        <v>34</v>
      </c>
      <c r="E50" s="23"/>
      <c r="F50" s="23"/>
      <c r="G50" s="22" t="s">
        <v>35</v>
      </c>
      <c r="H50" s="23"/>
      <c r="I50" s="23"/>
      <c r="J50" s="23"/>
      <c r="K50" s="23"/>
      <c r="L50" s="19"/>
    </row>
    <row r="51" spans="2:12" ht="10.199999999999999" x14ac:dyDescent="0.2">
      <c r="B51" s="13"/>
      <c r="L51" s="13"/>
    </row>
    <row r="52" spans="2:12" ht="10.199999999999999" x14ac:dyDescent="0.2">
      <c r="B52" s="13"/>
      <c r="L52" s="13"/>
    </row>
    <row r="53" spans="2:12" ht="10.199999999999999" x14ac:dyDescent="0.2">
      <c r="B53" s="13"/>
      <c r="L53" s="13"/>
    </row>
    <row r="54" spans="2:12" ht="10.199999999999999" x14ac:dyDescent="0.2">
      <c r="B54" s="13"/>
      <c r="L54" s="13"/>
    </row>
    <row r="55" spans="2:12" ht="10.199999999999999" x14ac:dyDescent="0.2">
      <c r="B55" s="13"/>
      <c r="L55" s="13"/>
    </row>
    <row r="56" spans="2:12" ht="10.199999999999999" x14ac:dyDescent="0.2">
      <c r="B56" s="13"/>
      <c r="L56" s="13"/>
    </row>
    <row r="57" spans="2:12" ht="10.199999999999999" x14ac:dyDescent="0.2">
      <c r="B57" s="13"/>
      <c r="L57" s="13"/>
    </row>
    <row r="58" spans="2:12" ht="10.199999999999999" x14ac:dyDescent="0.2">
      <c r="B58" s="13"/>
      <c r="L58" s="13"/>
    </row>
    <row r="59" spans="2:12" ht="10.199999999999999" x14ac:dyDescent="0.2">
      <c r="B59" s="13"/>
      <c r="L59" s="13"/>
    </row>
    <row r="60" spans="2:12" ht="10.199999999999999" x14ac:dyDescent="0.2">
      <c r="B60" s="13"/>
      <c r="L60" s="13"/>
    </row>
    <row r="61" spans="2:12" s="1" customFormat="1" ht="13.2" x14ac:dyDescent="0.2">
      <c r="B61" s="19"/>
      <c r="D61" s="24" t="s">
        <v>36</v>
      </c>
      <c r="E61" s="20"/>
      <c r="F61" s="51" t="s">
        <v>37</v>
      </c>
      <c r="G61" s="24" t="s">
        <v>36</v>
      </c>
      <c r="H61" s="20"/>
      <c r="I61" s="20"/>
      <c r="J61" s="52" t="s">
        <v>37</v>
      </c>
      <c r="K61" s="20"/>
      <c r="L61" s="19"/>
    </row>
    <row r="62" spans="2:12" ht="10.199999999999999" x14ac:dyDescent="0.2">
      <c r="B62" s="13"/>
      <c r="L62" s="13"/>
    </row>
    <row r="63" spans="2:12" ht="10.199999999999999" x14ac:dyDescent="0.2">
      <c r="B63" s="13"/>
      <c r="L63" s="13"/>
    </row>
    <row r="64" spans="2:12" ht="10.199999999999999" x14ac:dyDescent="0.2">
      <c r="B64" s="13"/>
      <c r="L64" s="13"/>
    </row>
    <row r="65" spans="2:12" s="1" customFormat="1" ht="13.2" x14ac:dyDescent="0.2">
      <c r="B65" s="19"/>
      <c r="D65" s="22" t="s">
        <v>38</v>
      </c>
      <c r="E65" s="23"/>
      <c r="F65" s="23"/>
      <c r="G65" s="22" t="s">
        <v>39</v>
      </c>
      <c r="H65" s="23"/>
      <c r="I65" s="23"/>
      <c r="J65" s="23"/>
      <c r="K65" s="23"/>
      <c r="L65" s="19"/>
    </row>
    <row r="66" spans="2:12" ht="10.199999999999999" x14ac:dyDescent="0.2">
      <c r="B66" s="13"/>
      <c r="L66" s="13"/>
    </row>
    <row r="67" spans="2:12" ht="10.199999999999999" x14ac:dyDescent="0.2">
      <c r="B67" s="13"/>
      <c r="L67" s="13"/>
    </row>
    <row r="68" spans="2:12" ht="10.199999999999999" x14ac:dyDescent="0.2">
      <c r="B68" s="13"/>
      <c r="L68" s="13"/>
    </row>
    <row r="69" spans="2:12" ht="10.199999999999999" x14ac:dyDescent="0.2">
      <c r="B69" s="13"/>
      <c r="L69" s="13"/>
    </row>
    <row r="70" spans="2:12" ht="10.199999999999999" x14ac:dyDescent="0.2">
      <c r="B70" s="13"/>
      <c r="L70" s="13"/>
    </row>
    <row r="71" spans="2:12" ht="10.199999999999999" x14ac:dyDescent="0.2">
      <c r="B71" s="13"/>
      <c r="L71" s="13"/>
    </row>
    <row r="72" spans="2:12" ht="10.199999999999999" x14ac:dyDescent="0.2">
      <c r="B72" s="13"/>
      <c r="L72" s="13"/>
    </row>
    <row r="73" spans="2:12" ht="10.199999999999999" x14ac:dyDescent="0.2">
      <c r="B73" s="13"/>
      <c r="L73" s="13"/>
    </row>
    <row r="74" spans="2:12" ht="10.199999999999999" x14ac:dyDescent="0.2">
      <c r="B74" s="13"/>
      <c r="L74" s="13"/>
    </row>
    <row r="75" spans="2:12" ht="10.199999999999999" x14ac:dyDescent="0.2">
      <c r="B75" s="13"/>
      <c r="L75" s="13"/>
    </row>
    <row r="76" spans="2:12" s="1" customFormat="1" ht="13.2" x14ac:dyDescent="0.2">
      <c r="B76" s="19"/>
      <c r="D76" s="24" t="s">
        <v>36</v>
      </c>
      <c r="E76" s="20"/>
      <c r="F76" s="51" t="s">
        <v>37</v>
      </c>
      <c r="G76" s="24" t="s">
        <v>36</v>
      </c>
      <c r="H76" s="20"/>
      <c r="I76" s="20"/>
      <c r="J76" s="52" t="s">
        <v>37</v>
      </c>
      <c r="K76" s="20"/>
      <c r="L76" s="19"/>
    </row>
    <row r="77" spans="2:12" s="1" customFormat="1" ht="14.4" customHeight="1" x14ac:dyDescent="0.2"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19"/>
    </row>
    <row r="81" spans="2:47" s="1" customFormat="1" ht="6.9" customHeight="1" x14ac:dyDescent="0.2"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19"/>
    </row>
    <row r="82" spans="2:47" s="1" customFormat="1" ht="24.9" customHeight="1" x14ac:dyDescent="0.2">
      <c r="B82" s="19"/>
      <c r="C82" s="14" t="s">
        <v>52</v>
      </c>
      <c r="L82" s="19"/>
    </row>
    <row r="83" spans="2:47" s="1" customFormat="1" ht="6.9" customHeight="1" x14ac:dyDescent="0.2">
      <c r="B83" s="19"/>
      <c r="L83" s="19"/>
    </row>
    <row r="84" spans="2:47" s="1" customFormat="1" ht="12" customHeight="1" x14ac:dyDescent="0.2">
      <c r="B84" s="19"/>
      <c r="C84" s="16" t="s">
        <v>5</v>
      </c>
      <c r="L84" s="19"/>
    </row>
    <row r="85" spans="2:47" s="1" customFormat="1" ht="16.5" customHeight="1" x14ac:dyDescent="0.2">
      <c r="B85" s="19"/>
      <c r="E85" s="136" t="e">
        <f>E7</f>
        <v>#REF!</v>
      </c>
      <c r="F85" s="137"/>
      <c r="G85" s="137"/>
      <c r="H85" s="137"/>
      <c r="L85" s="19"/>
    </row>
    <row r="86" spans="2:47" s="1" customFormat="1" ht="12" customHeight="1" x14ac:dyDescent="0.2">
      <c r="B86" s="19"/>
      <c r="C86" s="16" t="s">
        <v>50</v>
      </c>
      <c r="L86" s="19"/>
    </row>
    <row r="87" spans="2:47" s="1" customFormat="1" ht="16.5" customHeight="1" x14ac:dyDescent="0.2">
      <c r="B87" s="19"/>
      <c r="E87" s="132" t="str">
        <f>E9</f>
        <v>01 - Vodovod vč. přípojek</v>
      </c>
      <c r="F87" s="138"/>
      <c r="G87" s="138"/>
      <c r="H87" s="138"/>
      <c r="L87" s="19"/>
    </row>
    <row r="88" spans="2:47" s="1" customFormat="1" ht="6.9" customHeight="1" x14ac:dyDescent="0.2">
      <c r="B88" s="19"/>
      <c r="L88" s="19"/>
    </row>
    <row r="89" spans="2:47" s="1" customFormat="1" ht="12" customHeight="1" x14ac:dyDescent="0.2">
      <c r="B89" s="19"/>
      <c r="C89" s="16" t="s">
        <v>8</v>
      </c>
      <c r="F89" s="15" t="str">
        <f>F12</f>
        <v>Veselí u Přelouče</v>
      </c>
      <c r="I89" s="16" t="s">
        <v>10</v>
      </c>
      <c r="J89" s="29" t="e">
        <f>IF(J12="","",J12)</f>
        <v>#REF!</v>
      </c>
      <c r="L89" s="19"/>
    </row>
    <row r="90" spans="2:47" s="1" customFormat="1" ht="6.9" customHeight="1" x14ac:dyDescent="0.2">
      <c r="B90" s="19"/>
      <c r="L90" s="19"/>
    </row>
    <row r="91" spans="2:47" s="1" customFormat="1" ht="15.15" customHeight="1" x14ac:dyDescent="0.2">
      <c r="B91" s="19"/>
      <c r="C91" s="16" t="s">
        <v>11</v>
      </c>
      <c r="F91" s="15" t="str">
        <f>E15</f>
        <v xml:space="preserve"> </v>
      </c>
      <c r="I91" s="16" t="s">
        <v>16</v>
      </c>
      <c r="J91" s="18" t="str">
        <f>E21</f>
        <v>CreoPlan s.r.o.</v>
      </c>
      <c r="L91" s="19"/>
    </row>
    <row r="92" spans="2:47" s="1" customFormat="1" ht="15.15" customHeight="1" x14ac:dyDescent="0.2">
      <c r="B92" s="19"/>
      <c r="C92" s="16" t="s">
        <v>15</v>
      </c>
      <c r="F92" s="15" t="e">
        <f>IF(E18="","",E18)</f>
        <v>#REF!</v>
      </c>
      <c r="I92" s="16" t="s">
        <v>19</v>
      </c>
      <c r="J92" s="18" t="str">
        <f>E24</f>
        <v xml:space="preserve"> </v>
      </c>
      <c r="L92" s="19"/>
    </row>
    <row r="93" spans="2:47" s="1" customFormat="1" ht="10.35" customHeight="1" x14ac:dyDescent="0.2">
      <c r="B93" s="19"/>
      <c r="L93" s="19"/>
    </row>
    <row r="94" spans="2:47" s="1" customFormat="1" ht="29.25" customHeight="1" x14ac:dyDescent="0.2">
      <c r="B94" s="19"/>
      <c r="C94" s="53" t="s">
        <v>53</v>
      </c>
      <c r="D94" s="45"/>
      <c r="E94" s="45"/>
      <c r="F94" s="45"/>
      <c r="G94" s="45"/>
      <c r="H94" s="45"/>
      <c r="I94" s="45"/>
      <c r="J94" s="54" t="s">
        <v>54</v>
      </c>
      <c r="K94" s="45"/>
      <c r="L94" s="19"/>
    </row>
    <row r="95" spans="2:47" s="1" customFormat="1" ht="10.35" customHeight="1" x14ac:dyDescent="0.2">
      <c r="B95" s="19"/>
      <c r="L95" s="19"/>
    </row>
    <row r="96" spans="2:47" s="1" customFormat="1" ht="22.8" customHeight="1" x14ac:dyDescent="0.2">
      <c r="B96" s="19"/>
      <c r="C96" s="55" t="s">
        <v>55</v>
      </c>
      <c r="J96" s="39">
        <f>J121</f>
        <v>0</v>
      </c>
      <c r="L96" s="19"/>
      <c r="AU96" s="10" t="s">
        <v>56</v>
      </c>
    </row>
    <row r="97" spans="2:12" s="3" customFormat="1" ht="24.9" customHeight="1" x14ac:dyDescent="0.2">
      <c r="B97" s="56"/>
      <c r="D97" s="57" t="s">
        <v>57</v>
      </c>
      <c r="E97" s="58"/>
      <c r="F97" s="58"/>
      <c r="G97" s="58"/>
      <c r="H97" s="58"/>
      <c r="I97" s="58"/>
      <c r="J97" s="59">
        <f>J122</f>
        <v>0</v>
      </c>
      <c r="L97" s="56"/>
    </row>
    <row r="98" spans="2:12" s="4" customFormat="1" ht="19.95" customHeight="1" x14ac:dyDescent="0.2">
      <c r="B98" s="60"/>
      <c r="D98" s="61" t="s">
        <v>58</v>
      </c>
      <c r="E98" s="62"/>
      <c r="F98" s="62"/>
      <c r="G98" s="62"/>
      <c r="H98" s="62"/>
      <c r="I98" s="62"/>
      <c r="J98" s="63">
        <f>J123</f>
        <v>0</v>
      </c>
      <c r="L98" s="60"/>
    </row>
    <row r="99" spans="2:12" s="4" customFormat="1" ht="19.95" customHeight="1" x14ac:dyDescent="0.2">
      <c r="B99" s="60"/>
      <c r="D99" s="61" t="s">
        <v>59</v>
      </c>
      <c r="E99" s="62"/>
      <c r="F99" s="62"/>
      <c r="G99" s="62"/>
      <c r="H99" s="62"/>
      <c r="I99" s="62"/>
      <c r="J99" s="63">
        <f>J219</f>
        <v>0</v>
      </c>
      <c r="L99" s="60"/>
    </row>
    <row r="100" spans="2:12" s="4" customFormat="1" ht="19.95" customHeight="1" x14ac:dyDescent="0.2">
      <c r="B100" s="60"/>
      <c r="D100" s="61" t="s">
        <v>60</v>
      </c>
      <c r="E100" s="62"/>
      <c r="F100" s="62"/>
      <c r="G100" s="62"/>
      <c r="H100" s="62"/>
      <c r="I100" s="62"/>
      <c r="J100" s="63">
        <f>J245</f>
        <v>0</v>
      </c>
      <c r="L100" s="60"/>
    </row>
    <row r="101" spans="2:12" s="4" customFormat="1" ht="19.95" customHeight="1" x14ac:dyDescent="0.2">
      <c r="B101" s="60"/>
      <c r="D101" s="61" t="s">
        <v>61</v>
      </c>
      <c r="E101" s="62"/>
      <c r="F101" s="62"/>
      <c r="G101" s="62"/>
      <c r="H101" s="62"/>
      <c r="I101" s="62"/>
      <c r="J101" s="63">
        <f>J421</f>
        <v>0</v>
      </c>
      <c r="L101" s="60"/>
    </row>
    <row r="102" spans="2:12" s="1" customFormat="1" ht="21.75" customHeight="1" x14ac:dyDescent="0.2">
      <c r="B102" s="19"/>
      <c r="L102" s="19"/>
    </row>
    <row r="103" spans="2:12" s="1" customFormat="1" ht="6.9" customHeight="1" x14ac:dyDescent="0.2">
      <c r="B103" s="25"/>
      <c r="C103" s="26"/>
      <c r="D103" s="26"/>
      <c r="E103" s="26"/>
      <c r="F103" s="26"/>
      <c r="G103" s="26"/>
      <c r="H103" s="26"/>
      <c r="I103" s="26"/>
      <c r="J103" s="26"/>
      <c r="K103" s="26"/>
      <c r="L103" s="19"/>
    </row>
    <row r="107" spans="2:12" s="1" customFormat="1" ht="6.9" customHeight="1" x14ac:dyDescent="0.2">
      <c r="B107" s="27"/>
      <c r="C107" s="28"/>
      <c r="D107" s="28"/>
      <c r="E107" s="28"/>
      <c r="F107" s="28"/>
      <c r="G107" s="28"/>
      <c r="H107" s="28"/>
      <c r="I107" s="28"/>
      <c r="J107" s="28"/>
      <c r="K107" s="28"/>
      <c r="L107" s="19"/>
    </row>
    <row r="108" spans="2:12" s="1" customFormat="1" ht="24.9" customHeight="1" x14ac:dyDescent="0.2">
      <c r="B108" s="19"/>
      <c r="C108" s="14" t="s">
        <v>62</v>
      </c>
      <c r="L108" s="19"/>
    </row>
    <row r="109" spans="2:12" s="1" customFormat="1" ht="6.9" customHeight="1" x14ac:dyDescent="0.2">
      <c r="B109" s="19"/>
      <c r="L109" s="19"/>
    </row>
    <row r="110" spans="2:12" s="1" customFormat="1" ht="12" customHeight="1" x14ac:dyDescent="0.2">
      <c r="B110" s="19"/>
      <c r="C110" s="16" t="s">
        <v>5</v>
      </c>
      <c r="L110" s="19"/>
    </row>
    <row r="111" spans="2:12" s="1" customFormat="1" ht="16.5" customHeight="1" x14ac:dyDescent="0.2">
      <c r="B111" s="19"/>
      <c r="E111" s="136" t="e">
        <f>E7</f>
        <v>#REF!</v>
      </c>
      <c r="F111" s="137"/>
      <c r="G111" s="137"/>
      <c r="H111" s="137"/>
      <c r="L111" s="19"/>
    </row>
    <row r="112" spans="2:12" s="1" customFormat="1" ht="12" customHeight="1" x14ac:dyDescent="0.2">
      <c r="B112" s="19"/>
      <c r="C112" s="16" t="s">
        <v>50</v>
      </c>
      <c r="L112" s="19"/>
    </row>
    <row r="113" spans="2:65" s="1" customFormat="1" ht="16.5" customHeight="1" x14ac:dyDescent="0.2">
      <c r="B113" s="19"/>
      <c r="E113" s="132" t="str">
        <f>E9</f>
        <v>01 - Vodovod vč. přípojek</v>
      </c>
      <c r="F113" s="138"/>
      <c r="G113" s="138"/>
      <c r="H113" s="138"/>
      <c r="L113" s="19"/>
    </row>
    <row r="114" spans="2:65" s="1" customFormat="1" ht="6.9" customHeight="1" x14ac:dyDescent="0.2">
      <c r="B114" s="19"/>
      <c r="L114" s="19"/>
    </row>
    <row r="115" spans="2:65" s="1" customFormat="1" ht="12" customHeight="1" x14ac:dyDescent="0.2">
      <c r="B115" s="19"/>
      <c r="C115" s="16" t="s">
        <v>8</v>
      </c>
      <c r="F115" s="15" t="str">
        <f>F12</f>
        <v>Veselí u Přelouče</v>
      </c>
      <c r="I115" s="16" t="s">
        <v>10</v>
      </c>
      <c r="J115" s="29" t="e">
        <f>IF(J12="","",J12)</f>
        <v>#REF!</v>
      </c>
      <c r="L115" s="19"/>
    </row>
    <row r="116" spans="2:65" s="1" customFormat="1" ht="6.9" customHeight="1" x14ac:dyDescent="0.2">
      <c r="B116" s="19"/>
      <c r="L116" s="19"/>
    </row>
    <row r="117" spans="2:65" s="1" customFormat="1" ht="15.15" customHeight="1" x14ac:dyDescent="0.2">
      <c r="B117" s="19"/>
      <c r="C117" s="16" t="s">
        <v>11</v>
      </c>
      <c r="F117" s="15" t="str">
        <f>E15</f>
        <v xml:space="preserve"> </v>
      </c>
      <c r="I117" s="16" t="s">
        <v>16</v>
      </c>
      <c r="J117" s="18" t="str">
        <f>E21</f>
        <v>CreoPlan s.r.o.</v>
      </c>
      <c r="L117" s="19"/>
    </row>
    <row r="118" spans="2:65" s="1" customFormat="1" ht="15.15" customHeight="1" x14ac:dyDescent="0.2">
      <c r="B118" s="19"/>
      <c r="C118" s="16" t="s">
        <v>15</v>
      </c>
      <c r="F118" s="15" t="e">
        <f>IF(E18="","",E18)</f>
        <v>#REF!</v>
      </c>
      <c r="I118" s="16" t="s">
        <v>19</v>
      </c>
      <c r="J118" s="18" t="str">
        <f>E24</f>
        <v xml:space="preserve"> </v>
      </c>
      <c r="L118" s="19"/>
    </row>
    <row r="119" spans="2:65" s="1" customFormat="1" ht="10.35" customHeight="1" x14ac:dyDescent="0.2">
      <c r="B119" s="19"/>
      <c r="L119" s="19"/>
    </row>
    <row r="120" spans="2:65" s="5" customFormat="1" ht="29.25" customHeight="1" x14ac:dyDescent="0.2">
      <c r="B120" s="64"/>
      <c r="C120" s="65" t="s">
        <v>63</v>
      </c>
      <c r="D120" s="66" t="s">
        <v>42</v>
      </c>
      <c r="E120" s="66" t="s">
        <v>40</v>
      </c>
      <c r="F120" s="66" t="s">
        <v>41</v>
      </c>
      <c r="G120" s="66" t="s">
        <v>64</v>
      </c>
      <c r="H120" s="66" t="s">
        <v>65</v>
      </c>
      <c r="I120" s="66" t="s">
        <v>66</v>
      </c>
      <c r="J120" s="66" t="s">
        <v>54</v>
      </c>
      <c r="K120" s="67" t="s">
        <v>67</v>
      </c>
      <c r="L120" s="64"/>
      <c r="M120" s="34" t="s">
        <v>0</v>
      </c>
      <c r="N120" s="35" t="s">
        <v>25</v>
      </c>
      <c r="O120" s="35" t="s">
        <v>68</v>
      </c>
      <c r="P120" s="35" t="s">
        <v>69</v>
      </c>
      <c r="Q120" s="35" t="s">
        <v>70</v>
      </c>
      <c r="R120" s="35" t="s">
        <v>71</v>
      </c>
      <c r="S120" s="35" t="s">
        <v>72</v>
      </c>
      <c r="T120" s="36" t="s">
        <v>73</v>
      </c>
    </row>
    <row r="121" spans="2:65" s="1" customFormat="1" ht="22.8" customHeight="1" x14ac:dyDescent="0.3">
      <c r="B121" s="19"/>
      <c r="C121" s="38" t="s">
        <v>74</v>
      </c>
      <c r="J121" s="68">
        <f>BK121</f>
        <v>0</v>
      </c>
      <c r="L121" s="19"/>
      <c r="M121" s="37"/>
      <c r="N121" s="30"/>
      <c r="O121" s="30"/>
      <c r="P121" s="69">
        <f>P122</f>
        <v>0</v>
      </c>
      <c r="Q121" s="30"/>
      <c r="R121" s="69">
        <f>R122</f>
        <v>160.31780559438502</v>
      </c>
      <c r="S121" s="30"/>
      <c r="T121" s="70">
        <f>T122</f>
        <v>0</v>
      </c>
      <c r="AT121" s="10" t="s">
        <v>43</v>
      </c>
      <c r="AU121" s="10" t="s">
        <v>56</v>
      </c>
      <c r="BK121" s="71">
        <f>BK122</f>
        <v>0</v>
      </c>
    </row>
    <row r="122" spans="2:65" s="6" customFormat="1" ht="25.95" customHeight="1" x14ac:dyDescent="0.25">
      <c r="B122" s="72"/>
      <c r="D122" s="73" t="s">
        <v>43</v>
      </c>
      <c r="E122" s="74" t="s">
        <v>75</v>
      </c>
      <c r="F122" s="74" t="s">
        <v>76</v>
      </c>
      <c r="I122" s="75"/>
      <c r="J122" s="76">
        <f>BK122</f>
        <v>0</v>
      </c>
      <c r="L122" s="72"/>
      <c r="M122" s="77"/>
      <c r="P122" s="78">
        <f>P123+P219+P245+P421</f>
        <v>0</v>
      </c>
      <c r="R122" s="78">
        <f>R123+R219+R245+R421</f>
        <v>160.31780559438502</v>
      </c>
      <c r="T122" s="79">
        <f>T123+T219+T245+T421</f>
        <v>0</v>
      </c>
      <c r="AR122" s="73" t="s">
        <v>45</v>
      </c>
      <c r="AT122" s="80" t="s">
        <v>43</v>
      </c>
      <c r="AU122" s="80" t="s">
        <v>44</v>
      </c>
      <c r="AY122" s="73" t="s">
        <v>77</v>
      </c>
      <c r="BK122" s="81">
        <f>BK123+BK219+BK245+BK421</f>
        <v>0</v>
      </c>
    </row>
    <row r="123" spans="2:65" s="6" customFormat="1" ht="22.8" customHeight="1" x14ac:dyDescent="0.25">
      <c r="B123" s="72"/>
      <c r="D123" s="73" t="s">
        <v>43</v>
      </c>
      <c r="E123" s="82" t="s">
        <v>45</v>
      </c>
      <c r="F123" s="82" t="s">
        <v>78</v>
      </c>
      <c r="I123" s="75"/>
      <c r="J123" s="83">
        <f>BK123</f>
        <v>0</v>
      </c>
      <c r="L123" s="72"/>
      <c r="M123" s="77"/>
      <c r="P123" s="78">
        <f>SUM(P124:P218)</f>
        <v>0</v>
      </c>
      <c r="R123" s="78">
        <f>SUM(R124:R218)</f>
        <v>126.35957817120001</v>
      </c>
      <c r="T123" s="79">
        <f>SUM(T124:T218)</f>
        <v>0</v>
      </c>
      <c r="AR123" s="73" t="s">
        <v>45</v>
      </c>
      <c r="AT123" s="80" t="s">
        <v>43</v>
      </c>
      <c r="AU123" s="80" t="s">
        <v>45</v>
      </c>
      <c r="AY123" s="73" t="s">
        <v>77</v>
      </c>
      <c r="BK123" s="81">
        <f>SUM(BK124:BK218)</f>
        <v>0</v>
      </c>
    </row>
    <row r="124" spans="2:65" s="1" customFormat="1" ht="24.15" customHeight="1" x14ac:dyDescent="0.2">
      <c r="B124" s="19"/>
      <c r="C124" s="84" t="s">
        <v>45</v>
      </c>
      <c r="D124" s="84" t="s">
        <v>79</v>
      </c>
      <c r="E124" s="85" t="s">
        <v>80</v>
      </c>
      <c r="F124" s="86" t="s">
        <v>81</v>
      </c>
      <c r="G124" s="87" t="s">
        <v>82</v>
      </c>
      <c r="H124" s="88">
        <v>1136</v>
      </c>
      <c r="I124" s="89"/>
      <c r="J124" s="88">
        <f>ROUND(I124*H124,2)</f>
        <v>0</v>
      </c>
      <c r="K124" s="86" t="s">
        <v>83</v>
      </c>
      <c r="L124" s="19"/>
      <c r="M124" s="90" t="s">
        <v>0</v>
      </c>
      <c r="N124" s="91" t="s">
        <v>26</v>
      </c>
      <c r="P124" s="92">
        <f>O124*H124</f>
        <v>0</v>
      </c>
      <c r="Q124" s="92">
        <v>0</v>
      </c>
      <c r="R124" s="92">
        <f>Q124*H124</f>
        <v>0</v>
      </c>
      <c r="S124" s="92">
        <v>0</v>
      </c>
      <c r="T124" s="93">
        <f>S124*H124</f>
        <v>0</v>
      </c>
      <c r="AR124" s="94" t="s">
        <v>84</v>
      </c>
      <c r="AT124" s="94" t="s">
        <v>79</v>
      </c>
      <c r="AU124" s="94" t="s">
        <v>47</v>
      </c>
      <c r="AY124" s="10" t="s">
        <v>77</v>
      </c>
      <c r="BE124" s="95">
        <f>IF(N124="základní",J124,0)</f>
        <v>0</v>
      </c>
      <c r="BF124" s="95">
        <f>IF(N124="snížená",J124,0)</f>
        <v>0</v>
      </c>
      <c r="BG124" s="95">
        <f>IF(N124="zákl. přenesená",J124,0)</f>
        <v>0</v>
      </c>
      <c r="BH124" s="95">
        <f>IF(N124="sníž. přenesená",J124,0)</f>
        <v>0</v>
      </c>
      <c r="BI124" s="95">
        <f>IF(N124="nulová",J124,0)</f>
        <v>0</v>
      </c>
      <c r="BJ124" s="10" t="s">
        <v>45</v>
      </c>
      <c r="BK124" s="95">
        <f>ROUND(I124*H124,2)</f>
        <v>0</v>
      </c>
      <c r="BL124" s="10" t="s">
        <v>84</v>
      </c>
      <c r="BM124" s="94" t="s">
        <v>85</v>
      </c>
    </row>
    <row r="125" spans="2:65" s="1" customFormat="1" ht="19.2" x14ac:dyDescent="0.2">
      <c r="B125" s="19"/>
      <c r="D125" s="96" t="s">
        <v>86</v>
      </c>
      <c r="F125" s="97" t="s">
        <v>87</v>
      </c>
      <c r="I125" s="98"/>
      <c r="L125" s="19"/>
      <c r="M125" s="99"/>
      <c r="T125" s="32"/>
      <c r="AT125" s="10" t="s">
        <v>86</v>
      </c>
      <c r="AU125" s="10" t="s">
        <v>47</v>
      </c>
    </row>
    <row r="126" spans="2:65" s="7" customFormat="1" ht="10.199999999999999" x14ac:dyDescent="0.2">
      <c r="B126" s="100"/>
      <c r="D126" s="96" t="s">
        <v>88</v>
      </c>
      <c r="E126" s="101" t="s">
        <v>0</v>
      </c>
      <c r="F126" s="102" t="s">
        <v>89</v>
      </c>
      <c r="H126" s="101" t="s">
        <v>0</v>
      </c>
      <c r="I126" s="103"/>
      <c r="L126" s="100"/>
      <c r="M126" s="104"/>
      <c r="T126" s="105"/>
      <c r="AT126" s="101" t="s">
        <v>88</v>
      </c>
      <c r="AU126" s="101" t="s">
        <v>47</v>
      </c>
      <c r="AV126" s="7" t="s">
        <v>45</v>
      </c>
      <c r="AW126" s="7" t="s">
        <v>18</v>
      </c>
      <c r="AX126" s="7" t="s">
        <v>44</v>
      </c>
      <c r="AY126" s="101" t="s">
        <v>77</v>
      </c>
    </row>
    <row r="127" spans="2:65" s="8" customFormat="1" ht="10.199999999999999" x14ac:dyDescent="0.2">
      <c r="B127" s="106"/>
      <c r="D127" s="96" t="s">
        <v>88</v>
      </c>
      <c r="E127" s="107" t="s">
        <v>0</v>
      </c>
      <c r="F127" s="108" t="s">
        <v>90</v>
      </c>
      <c r="H127" s="109">
        <v>1136</v>
      </c>
      <c r="I127" s="110"/>
      <c r="L127" s="106"/>
      <c r="M127" s="111"/>
      <c r="T127" s="112"/>
      <c r="AT127" s="107" t="s">
        <v>88</v>
      </c>
      <c r="AU127" s="107" t="s">
        <v>47</v>
      </c>
      <c r="AV127" s="8" t="s">
        <v>47</v>
      </c>
      <c r="AW127" s="8" t="s">
        <v>18</v>
      </c>
      <c r="AX127" s="8" t="s">
        <v>44</v>
      </c>
      <c r="AY127" s="107" t="s">
        <v>77</v>
      </c>
    </row>
    <row r="128" spans="2:65" s="9" customFormat="1" ht="10.199999999999999" x14ac:dyDescent="0.2">
      <c r="B128" s="113"/>
      <c r="D128" s="96" t="s">
        <v>88</v>
      </c>
      <c r="E128" s="114" t="s">
        <v>0</v>
      </c>
      <c r="F128" s="115" t="s">
        <v>91</v>
      </c>
      <c r="H128" s="116">
        <v>1136</v>
      </c>
      <c r="I128" s="117"/>
      <c r="L128" s="113"/>
      <c r="M128" s="118"/>
      <c r="T128" s="119"/>
      <c r="AT128" s="114" t="s">
        <v>88</v>
      </c>
      <c r="AU128" s="114" t="s">
        <v>47</v>
      </c>
      <c r="AV128" s="9" t="s">
        <v>84</v>
      </c>
      <c r="AW128" s="9" t="s">
        <v>18</v>
      </c>
      <c r="AX128" s="9" t="s">
        <v>45</v>
      </c>
      <c r="AY128" s="114" t="s">
        <v>77</v>
      </c>
    </row>
    <row r="129" spans="2:65" s="1" customFormat="1" ht="33" customHeight="1" x14ac:dyDescent="0.2">
      <c r="B129" s="19"/>
      <c r="C129" s="84" t="s">
        <v>47</v>
      </c>
      <c r="D129" s="84" t="s">
        <v>79</v>
      </c>
      <c r="E129" s="85" t="s">
        <v>92</v>
      </c>
      <c r="F129" s="86" t="s">
        <v>93</v>
      </c>
      <c r="G129" s="87" t="s">
        <v>94</v>
      </c>
      <c r="H129" s="88">
        <v>15.87</v>
      </c>
      <c r="I129" s="89"/>
      <c r="J129" s="88">
        <f>ROUND(I129*H129,2)</f>
        <v>0</v>
      </c>
      <c r="K129" s="86" t="s">
        <v>83</v>
      </c>
      <c r="L129" s="19"/>
      <c r="M129" s="90" t="s">
        <v>0</v>
      </c>
      <c r="N129" s="91" t="s">
        <v>26</v>
      </c>
      <c r="P129" s="92">
        <f>O129*H129</f>
        <v>0</v>
      </c>
      <c r="Q129" s="92">
        <v>0</v>
      </c>
      <c r="R129" s="92">
        <f>Q129*H129</f>
        <v>0</v>
      </c>
      <c r="S129" s="92">
        <v>0</v>
      </c>
      <c r="T129" s="93">
        <f>S129*H129</f>
        <v>0</v>
      </c>
      <c r="AR129" s="94" t="s">
        <v>84</v>
      </c>
      <c r="AT129" s="94" t="s">
        <v>79</v>
      </c>
      <c r="AU129" s="94" t="s">
        <v>47</v>
      </c>
      <c r="AY129" s="10" t="s">
        <v>77</v>
      </c>
      <c r="BE129" s="95">
        <f>IF(N129="základní",J129,0)</f>
        <v>0</v>
      </c>
      <c r="BF129" s="95">
        <f>IF(N129="snížená",J129,0)</f>
        <v>0</v>
      </c>
      <c r="BG129" s="95">
        <f>IF(N129="zákl. přenesená",J129,0)</f>
        <v>0</v>
      </c>
      <c r="BH129" s="95">
        <f>IF(N129="sníž. přenesená",J129,0)</f>
        <v>0</v>
      </c>
      <c r="BI129" s="95">
        <f>IF(N129="nulová",J129,0)</f>
        <v>0</v>
      </c>
      <c r="BJ129" s="10" t="s">
        <v>45</v>
      </c>
      <c r="BK129" s="95">
        <f>ROUND(I129*H129,2)</f>
        <v>0</v>
      </c>
      <c r="BL129" s="10" t="s">
        <v>84</v>
      </c>
      <c r="BM129" s="94" t="s">
        <v>95</v>
      </c>
    </row>
    <row r="130" spans="2:65" s="1" customFormat="1" ht="28.8" x14ac:dyDescent="0.2">
      <c r="B130" s="19"/>
      <c r="D130" s="96" t="s">
        <v>86</v>
      </c>
      <c r="F130" s="97" t="s">
        <v>96</v>
      </c>
      <c r="I130" s="98"/>
      <c r="L130" s="19"/>
      <c r="M130" s="99"/>
      <c r="T130" s="32"/>
      <c r="AT130" s="10" t="s">
        <v>86</v>
      </c>
      <c r="AU130" s="10" t="s">
        <v>47</v>
      </c>
    </row>
    <row r="131" spans="2:65" s="7" customFormat="1" ht="10.199999999999999" x14ac:dyDescent="0.2">
      <c r="B131" s="100"/>
      <c r="D131" s="96" t="s">
        <v>88</v>
      </c>
      <c r="E131" s="101" t="s">
        <v>0</v>
      </c>
      <c r="F131" s="102" t="s">
        <v>97</v>
      </c>
      <c r="H131" s="101" t="s">
        <v>0</v>
      </c>
      <c r="I131" s="103"/>
      <c r="L131" s="100"/>
      <c r="M131" s="104"/>
      <c r="T131" s="105"/>
      <c r="AT131" s="101" t="s">
        <v>88</v>
      </c>
      <c r="AU131" s="101" t="s">
        <v>47</v>
      </c>
      <c r="AV131" s="7" t="s">
        <v>45</v>
      </c>
      <c r="AW131" s="7" t="s">
        <v>18</v>
      </c>
      <c r="AX131" s="7" t="s">
        <v>44</v>
      </c>
      <c r="AY131" s="101" t="s">
        <v>77</v>
      </c>
    </row>
    <row r="132" spans="2:65" s="8" customFormat="1" ht="10.199999999999999" x14ac:dyDescent="0.2">
      <c r="B132" s="106"/>
      <c r="D132" s="96" t="s">
        <v>88</v>
      </c>
      <c r="E132" s="107" t="s">
        <v>0</v>
      </c>
      <c r="F132" s="108" t="s">
        <v>98</v>
      </c>
      <c r="H132" s="109">
        <v>4.7699999999999996</v>
      </c>
      <c r="I132" s="110"/>
      <c r="L132" s="106"/>
      <c r="M132" s="111"/>
      <c r="T132" s="112"/>
      <c r="AT132" s="107" t="s">
        <v>88</v>
      </c>
      <c r="AU132" s="107" t="s">
        <v>47</v>
      </c>
      <c r="AV132" s="8" t="s">
        <v>47</v>
      </c>
      <c r="AW132" s="8" t="s">
        <v>18</v>
      </c>
      <c r="AX132" s="8" t="s">
        <v>44</v>
      </c>
      <c r="AY132" s="107" t="s">
        <v>77</v>
      </c>
    </row>
    <row r="133" spans="2:65" s="7" customFormat="1" ht="10.199999999999999" x14ac:dyDescent="0.2">
      <c r="B133" s="100"/>
      <c r="D133" s="96" t="s">
        <v>88</v>
      </c>
      <c r="E133" s="101" t="s">
        <v>0</v>
      </c>
      <c r="F133" s="102" t="s">
        <v>99</v>
      </c>
      <c r="H133" s="101" t="s">
        <v>0</v>
      </c>
      <c r="I133" s="103"/>
      <c r="L133" s="100"/>
      <c r="M133" s="104"/>
      <c r="T133" s="105"/>
      <c r="AT133" s="101" t="s">
        <v>88</v>
      </c>
      <c r="AU133" s="101" t="s">
        <v>47</v>
      </c>
      <c r="AV133" s="7" t="s">
        <v>45</v>
      </c>
      <c r="AW133" s="7" t="s">
        <v>18</v>
      </c>
      <c r="AX133" s="7" t="s">
        <v>44</v>
      </c>
      <c r="AY133" s="101" t="s">
        <v>77</v>
      </c>
    </row>
    <row r="134" spans="2:65" s="8" customFormat="1" ht="10.199999999999999" x14ac:dyDescent="0.2">
      <c r="B134" s="106"/>
      <c r="D134" s="96" t="s">
        <v>88</v>
      </c>
      <c r="E134" s="107" t="s">
        <v>0</v>
      </c>
      <c r="F134" s="108" t="s">
        <v>100</v>
      </c>
      <c r="H134" s="109">
        <v>11.1</v>
      </c>
      <c r="I134" s="110"/>
      <c r="L134" s="106"/>
      <c r="M134" s="111"/>
      <c r="T134" s="112"/>
      <c r="AT134" s="107" t="s">
        <v>88</v>
      </c>
      <c r="AU134" s="107" t="s">
        <v>47</v>
      </c>
      <c r="AV134" s="8" t="s">
        <v>47</v>
      </c>
      <c r="AW134" s="8" t="s">
        <v>18</v>
      </c>
      <c r="AX134" s="8" t="s">
        <v>44</v>
      </c>
      <c r="AY134" s="107" t="s">
        <v>77</v>
      </c>
    </row>
    <row r="135" spans="2:65" s="9" customFormat="1" ht="10.199999999999999" x14ac:dyDescent="0.2">
      <c r="B135" s="113"/>
      <c r="D135" s="96" t="s">
        <v>88</v>
      </c>
      <c r="E135" s="114" t="s">
        <v>0</v>
      </c>
      <c r="F135" s="115" t="s">
        <v>91</v>
      </c>
      <c r="H135" s="116">
        <v>15.87</v>
      </c>
      <c r="I135" s="117"/>
      <c r="L135" s="113"/>
      <c r="M135" s="118"/>
      <c r="T135" s="119"/>
      <c r="AT135" s="114" t="s">
        <v>88</v>
      </c>
      <c r="AU135" s="114" t="s">
        <v>47</v>
      </c>
      <c r="AV135" s="9" t="s">
        <v>84</v>
      </c>
      <c r="AW135" s="9" t="s">
        <v>18</v>
      </c>
      <c r="AX135" s="9" t="s">
        <v>45</v>
      </c>
      <c r="AY135" s="114" t="s">
        <v>77</v>
      </c>
    </row>
    <row r="136" spans="2:65" s="1" customFormat="1" ht="33" customHeight="1" x14ac:dyDescent="0.2">
      <c r="B136" s="19"/>
      <c r="C136" s="84" t="s">
        <v>101</v>
      </c>
      <c r="D136" s="84" t="s">
        <v>79</v>
      </c>
      <c r="E136" s="85" t="s">
        <v>102</v>
      </c>
      <c r="F136" s="86" t="s">
        <v>103</v>
      </c>
      <c r="G136" s="87" t="s">
        <v>94</v>
      </c>
      <c r="H136" s="88">
        <v>331.39</v>
      </c>
      <c r="I136" s="89"/>
      <c r="J136" s="88">
        <f>ROUND(I136*H136,2)</f>
        <v>0</v>
      </c>
      <c r="K136" s="86" t="s">
        <v>83</v>
      </c>
      <c r="L136" s="19"/>
      <c r="M136" s="90" t="s">
        <v>0</v>
      </c>
      <c r="N136" s="91" t="s">
        <v>26</v>
      </c>
      <c r="P136" s="92">
        <f>O136*H136</f>
        <v>0</v>
      </c>
      <c r="Q136" s="92">
        <v>0</v>
      </c>
      <c r="R136" s="92">
        <f>Q136*H136</f>
        <v>0</v>
      </c>
      <c r="S136" s="92">
        <v>0</v>
      </c>
      <c r="T136" s="93">
        <f>S136*H136</f>
        <v>0</v>
      </c>
      <c r="AR136" s="94" t="s">
        <v>84</v>
      </c>
      <c r="AT136" s="94" t="s">
        <v>79</v>
      </c>
      <c r="AU136" s="94" t="s">
        <v>47</v>
      </c>
      <c r="AY136" s="10" t="s">
        <v>77</v>
      </c>
      <c r="BE136" s="95">
        <f>IF(N136="základní",J136,0)</f>
        <v>0</v>
      </c>
      <c r="BF136" s="95">
        <f>IF(N136="snížená",J136,0)</f>
        <v>0</v>
      </c>
      <c r="BG136" s="95">
        <f>IF(N136="zákl. přenesená",J136,0)</f>
        <v>0</v>
      </c>
      <c r="BH136" s="95">
        <f>IF(N136="sníž. přenesená",J136,0)</f>
        <v>0</v>
      </c>
      <c r="BI136" s="95">
        <f>IF(N136="nulová",J136,0)</f>
        <v>0</v>
      </c>
      <c r="BJ136" s="10" t="s">
        <v>45</v>
      </c>
      <c r="BK136" s="95">
        <f>ROUND(I136*H136,2)</f>
        <v>0</v>
      </c>
      <c r="BL136" s="10" t="s">
        <v>84</v>
      </c>
      <c r="BM136" s="94" t="s">
        <v>104</v>
      </c>
    </row>
    <row r="137" spans="2:65" s="1" customFormat="1" ht="28.8" x14ac:dyDescent="0.2">
      <c r="B137" s="19"/>
      <c r="D137" s="96" t="s">
        <v>86</v>
      </c>
      <c r="F137" s="97" t="s">
        <v>105</v>
      </c>
      <c r="I137" s="98"/>
      <c r="L137" s="19"/>
      <c r="M137" s="99"/>
      <c r="T137" s="32"/>
      <c r="AT137" s="10" t="s">
        <v>86</v>
      </c>
      <c r="AU137" s="10" t="s">
        <v>47</v>
      </c>
    </row>
    <row r="138" spans="2:65" s="7" customFormat="1" ht="20.399999999999999" x14ac:dyDescent="0.2">
      <c r="B138" s="100"/>
      <c r="D138" s="96" t="s">
        <v>88</v>
      </c>
      <c r="E138" s="101" t="s">
        <v>0</v>
      </c>
      <c r="F138" s="102" t="s">
        <v>106</v>
      </c>
      <c r="H138" s="101" t="s">
        <v>0</v>
      </c>
      <c r="I138" s="103"/>
      <c r="L138" s="100"/>
      <c r="M138" s="104"/>
      <c r="T138" s="105"/>
      <c r="AT138" s="101" t="s">
        <v>88</v>
      </c>
      <c r="AU138" s="101" t="s">
        <v>47</v>
      </c>
      <c r="AV138" s="7" t="s">
        <v>45</v>
      </c>
      <c r="AW138" s="7" t="s">
        <v>18</v>
      </c>
      <c r="AX138" s="7" t="s">
        <v>44</v>
      </c>
      <c r="AY138" s="101" t="s">
        <v>77</v>
      </c>
    </row>
    <row r="139" spans="2:65" s="7" customFormat="1" ht="10.199999999999999" x14ac:dyDescent="0.2">
      <c r="B139" s="100"/>
      <c r="D139" s="96" t="s">
        <v>88</v>
      </c>
      <c r="E139" s="101" t="s">
        <v>0</v>
      </c>
      <c r="F139" s="102" t="s">
        <v>107</v>
      </c>
      <c r="H139" s="101" t="s">
        <v>0</v>
      </c>
      <c r="I139" s="103"/>
      <c r="L139" s="100"/>
      <c r="M139" s="104"/>
      <c r="T139" s="105"/>
      <c r="AT139" s="101" t="s">
        <v>88</v>
      </c>
      <c r="AU139" s="101" t="s">
        <v>47</v>
      </c>
      <c r="AV139" s="7" t="s">
        <v>45</v>
      </c>
      <c r="AW139" s="7" t="s">
        <v>18</v>
      </c>
      <c r="AX139" s="7" t="s">
        <v>44</v>
      </c>
      <c r="AY139" s="101" t="s">
        <v>77</v>
      </c>
    </row>
    <row r="140" spans="2:65" s="8" customFormat="1" ht="10.199999999999999" x14ac:dyDescent="0.2">
      <c r="B140" s="106"/>
      <c r="D140" s="96" t="s">
        <v>88</v>
      </c>
      <c r="E140" s="107" t="s">
        <v>0</v>
      </c>
      <c r="F140" s="108" t="s">
        <v>108</v>
      </c>
      <c r="H140" s="109">
        <v>217.32</v>
      </c>
      <c r="I140" s="110"/>
      <c r="L140" s="106"/>
      <c r="M140" s="111"/>
      <c r="T140" s="112"/>
      <c r="AT140" s="107" t="s">
        <v>88</v>
      </c>
      <c r="AU140" s="107" t="s">
        <v>47</v>
      </c>
      <c r="AV140" s="8" t="s">
        <v>47</v>
      </c>
      <c r="AW140" s="8" t="s">
        <v>18</v>
      </c>
      <c r="AX140" s="8" t="s">
        <v>44</v>
      </c>
      <c r="AY140" s="107" t="s">
        <v>77</v>
      </c>
    </row>
    <row r="141" spans="2:65" s="7" customFormat="1" ht="10.199999999999999" x14ac:dyDescent="0.2">
      <c r="B141" s="100"/>
      <c r="D141" s="96" t="s">
        <v>88</v>
      </c>
      <c r="E141" s="101" t="s">
        <v>0</v>
      </c>
      <c r="F141" s="102" t="s">
        <v>109</v>
      </c>
      <c r="H141" s="101" t="s">
        <v>0</v>
      </c>
      <c r="I141" s="103"/>
      <c r="L141" s="100"/>
      <c r="M141" s="104"/>
      <c r="T141" s="105"/>
      <c r="AT141" s="101" t="s">
        <v>88</v>
      </c>
      <c r="AU141" s="101" t="s">
        <v>47</v>
      </c>
      <c r="AV141" s="7" t="s">
        <v>45</v>
      </c>
      <c r="AW141" s="7" t="s">
        <v>18</v>
      </c>
      <c r="AX141" s="7" t="s">
        <v>44</v>
      </c>
      <c r="AY141" s="101" t="s">
        <v>77</v>
      </c>
    </row>
    <row r="142" spans="2:65" s="8" customFormat="1" ht="10.199999999999999" x14ac:dyDescent="0.2">
      <c r="B142" s="106"/>
      <c r="D142" s="96" t="s">
        <v>88</v>
      </c>
      <c r="E142" s="107" t="s">
        <v>0</v>
      </c>
      <c r="F142" s="108" t="s">
        <v>110</v>
      </c>
      <c r="H142" s="109">
        <v>98.89</v>
      </c>
      <c r="I142" s="110"/>
      <c r="L142" s="106"/>
      <c r="M142" s="111"/>
      <c r="T142" s="112"/>
      <c r="AT142" s="107" t="s">
        <v>88</v>
      </c>
      <c r="AU142" s="107" t="s">
        <v>47</v>
      </c>
      <c r="AV142" s="8" t="s">
        <v>47</v>
      </c>
      <c r="AW142" s="8" t="s">
        <v>18</v>
      </c>
      <c r="AX142" s="8" t="s">
        <v>44</v>
      </c>
      <c r="AY142" s="107" t="s">
        <v>77</v>
      </c>
    </row>
    <row r="143" spans="2:65" s="7" customFormat="1" ht="10.199999999999999" x14ac:dyDescent="0.2">
      <c r="B143" s="100"/>
      <c r="D143" s="96" t="s">
        <v>88</v>
      </c>
      <c r="E143" s="101" t="s">
        <v>0</v>
      </c>
      <c r="F143" s="102" t="s">
        <v>111</v>
      </c>
      <c r="H143" s="101" t="s">
        <v>0</v>
      </c>
      <c r="I143" s="103"/>
      <c r="L143" s="100"/>
      <c r="M143" s="104"/>
      <c r="T143" s="105"/>
      <c r="AT143" s="101" t="s">
        <v>88</v>
      </c>
      <c r="AU143" s="101" t="s">
        <v>47</v>
      </c>
      <c r="AV143" s="7" t="s">
        <v>45</v>
      </c>
      <c r="AW143" s="7" t="s">
        <v>18</v>
      </c>
      <c r="AX143" s="7" t="s">
        <v>44</v>
      </c>
      <c r="AY143" s="101" t="s">
        <v>77</v>
      </c>
    </row>
    <row r="144" spans="2:65" s="8" customFormat="1" ht="10.199999999999999" x14ac:dyDescent="0.2">
      <c r="B144" s="106"/>
      <c r="D144" s="96" t="s">
        <v>88</v>
      </c>
      <c r="E144" s="107" t="s">
        <v>0</v>
      </c>
      <c r="F144" s="108" t="s">
        <v>112</v>
      </c>
      <c r="H144" s="109">
        <v>8.5500000000000007</v>
      </c>
      <c r="I144" s="110"/>
      <c r="L144" s="106"/>
      <c r="M144" s="111"/>
      <c r="T144" s="112"/>
      <c r="AT144" s="107" t="s">
        <v>88</v>
      </c>
      <c r="AU144" s="107" t="s">
        <v>47</v>
      </c>
      <c r="AV144" s="8" t="s">
        <v>47</v>
      </c>
      <c r="AW144" s="8" t="s">
        <v>18</v>
      </c>
      <c r="AX144" s="8" t="s">
        <v>44</v>
      </c>
      <c r="AY144" s="107" t="s">
        <v>77</v>
      </c>
    </row>
    <row r="145" spans="2:65" s="7" customFormat="1" ht="10.199999999999999" x14ac:dyDescent="0.2">
      <c r="B145" s="100"/>
      <c r="D145" s="96" t="s">
        <v>88</v>
      </c>
      <c r="E145" s="101" t="s">
        <v>0</v>
      </c>
      <c r="F145" s="102" t="s">
        <v>113</v>
      </c>
      <c r="H145" s="101" t="s">
        <v>0</v>
      </c>
      <c r="I145" s="103"/>
      <c r="L145" s="100"/>
      <c r="M145" s="104"/>
      <c r="T145" s="105"/>
      <c r="AT145" s="101" t="s">
        <v>88</v>
      </c>
      <c r="AU145" s="101" t="s">
        <v>47</v>
      </c>
      <c r="AV145" s="7" t="s">
        <v>45</v>
      </c>
      <c r="AW145" s="7" t="s">
        <v>18</v>
      </c>
      <c r="AX145" s="7" t="s">
        <v>44</v>
      </c>
      <c r="AY145" s="101" t="s">
        <v>77</v>
      </c>
    </row>
    <row r="146" spans="2:65" s="8" customFormat="1" ht="10.199999999999999" x14ac:dyDescent="0.2">
      <c r="B146" s="106"/>
      <c r="D146" s="96" t="s">
        <v>88</v>
      </c>
      <c r="E146" s="107" t="s">
        <v>0</v>
      </c>
      <c r="F146" s="108" t="s">
        <v>114</v>
      </c>
      <c r="H146" s="109">
        <v>10.5</v>
      </c>
      <c r="I146" s="110"/>
      <c r="L146" s="106"/>
      <c r="M146" s="111"/>
      <c r="T146" s="112"/>
      <c r="AT146" s="107" t="s">
        <v>88</v>
      </c>
      <c r="AU146" s="107" t="s">
        <v>47</v>
      </c>
      <c r="AV146" s="8" t="s">
        <v>47</v>
      </c>
      <c r="AW146" s="8" t="s">
        <v>18</v>
      </c>
      <c r="AX146" s="8" t="s">
        <v>44</v>
      </c>
      <c r="AY146" s="107" t="s">
        <v>77</v>
      </c>
    </row>
    <row r="147" spans="2:65" s="7" customFormat="1" ht="10.199999999999999" x14ac:dyDescent="0.2">
      <c r="B147" s="100"/>
      <c r="D147" s="96" t="s">
        <v>88</v>
      </c>
      <c r="E147" s="101" t="s">
        <v>0</v>
      </c>
      <c r="F147" s="102" t="s">
        <v>115</v>
      </c>
      <c r="H147" s="101" t="s">
        <v>0</v>
      </c>
      <c r="I147" s="103"/>
      <c r="L147" s="100"/>
      <c r="M147" s="104"/>
      <c r="T147" s="105"/>
      <c r="AT147" s="101" t="s">
        <v>88</v>
      </c>
      <c r="AU147" s="101" t="s">
        <v>47</v>
      </c>
      <c r="AV147" s="7" t="s">
        <v>45</v>
      </c>
      <c r="AW147" s="7" t="s">
        <v>18</v>
      </c>
      <c r="AX147" s="7" t="s">
        <v>44</v>
      </c>
      <c r="AY147" s="101" t="s">
        <v>77</v>
      </c>
    </row>
    <row r="148" spans="2:65" s="8" customFormat="1" ht="10.199999999999999" x14ac:dyDescent="0.2">
      <c r="B148" s="106"/>
      <c r="D148" s="96" t="s">
        <v>88</v>
      </c>
      <c r="E148" s="107" t="s">
        <v>0</v>
      </c>
      <c r="F148" s="108" t="s">
        <v>116</v>
      </c>
      <c r="H148" s="109">
        <v>12</v>
      </c>
      <c r="I148" s="110"/>
      <c r="L148" s="106"/>
      <c r="M148" s="111"/>
      <c r="T148" s="112"/>
      <c r="AT148" s="107" t="s">
        <v>88</v>
      </c>
      <c r="AU148" s="107" t="s">
        <v>47</v>
      </c>
      <c r="AV148" s="8" t="s">
        <v>47</v>
      </c>
      <c r="AW148" s="8" t="s">
        <v>18</v>
      </c>
      <c r="AX148" s="8" t="s">
        <v>44</v>
      </c>
      <c r="AY148" s="107" t="s">
        <v>77</v>
      </c>
    </row>
    <row r="149" spans="2:65" s="7" customFormat="1" ht="10.199999999999999" x14ac:dyDescent="0.2">
      <c r="B149" s="100"/>
      <c r="D149" s="96" t="s">
        <v>88</v>
      </c>
      <c r="E149" s="101" t="s">
        <v>0</v>
      </c>
      <c r="F149" s="102" t="s">
        <v>117</v>
      </c>
      <c r="H149" s="101" t="s">
        <v>0</v>
      </c>
      <c r="I149" s="103"/>
      <c r="L149" s="100"/>
      <c r="M149" s="104"/>
      <c r="T149" s="105"/>
      <c r="AT149" s="101" t="s">
        <v>88</v>
      </c>
      <c r="AU149" s="101" t="s">
        <v>47</v>
      </c>
      <c r="AV149" s="7" t="s">
        <v>45</v>
      </c>
      <c r="AW149" s="7" t="s">
        <v>18</v>
      </c>
      <c r="AX149" s="7" t="s">
        <v>44</v>
      </c>
      <c r="AY149" s="101" t="s">
        <v>77</v>
      </c>
    </row>
    <row r="150" spans="2:65" s="8" customFormat="1" ht="10.199999999999999" x14ac:dyDescent="0.2">
      <c r="B150" s="106"/>
      <c r="D150" s="96" t="s">
        <v>88</v>
      </c>
      <c r="E150" s="107" t="s">
        <v>0</v>
      </c>
      <c r="F150" s="108" t="s">
        <v>118</v>
      </c>
      <c r="H150" s="109">
        <v>-15.87</v>
      </c>
      <c r="I150" s="110"/>
      <c r="L150" s="106"/>
      <c r="M150" s="111"/>
      <c r="T150" s="112"/>
      <c r="AT150" s="107" t="s">
        <v>88</v>
      </c>
      <c r="AU150" s="107" t="s">
        <v>47</v>
      </c>
      <c r="AV150" s="8" t="s">
        <v>47</v>
      </c>
      <c r="AW150" s="8" t="s">
        <v>18</v>
      </c>
      <c r="AX150" s="8" t="s">
        <v>44</v>
      </c>
      <c r="AY150" s="107" t="s">
        <v>77</v>
      </c>
    </row>
    <row r="151" spans="2:65" s="9" customFormat="1" ht="10.199999999999999" x14ac:dyDescent="0.2">
      <c r="B151" s="113"/>
      <c r="D151" s="96" t="s">
        <v>88</v>
      </c>
      <c r="E151" s="114" t="s">
        <v>0</v>
      </c>
      <c r="F151" s="115" t="s">
        <v>91</v>
      </c>
      <c r="H151" s="116">
        <v>331.39</v>
      </c>
      <c r="I151" s="117"/>
      <c r="L151" s="113"/>
      <c r="M151" s="118"/>
      <c r="T151" s="119"/>
      <c r="AT151" s="114" t="s">
        <v>88</v>
      </c>
      <c r="AU151" s="114" t="s">
        <v>47</v>
      </c>
      <c r="AV151" s="9" t="s">
        <v>84</v>
      </c>
      <c r="AW151" s="9" t="s">
        <v>18</v>
      </c>
      <c r="AX151" s="9" t="s">
        <v>45</v>
      </c>
      <c r="AY151" s="114" t="s">
        <v>77</v>
      </c>
    </row>
    <row r="152" spans="2:65" s="1" customFormat="1" ht="24.15" customHeight="1" x14ac:dyDescent="0.2">
      <c r="B152" s="19"/>
      <c r="C152" s="84" t="s">
        <v>84</v>
      </c>
      <c r="D152" s="84" t="s">
        <v>79</v>
      </c>
      <c r="E152" s="85" t="s">
        <v>119</v>
      </c>
      <c r="F152" s="86" t="s">
        <v>120</v>
      </c>
      <c r="G152" s="87" t="s">
        <v>94</v>
      </c>
      <c r="H152" s="88">
        <v>42.19</v>
      </c>
      <c r="I152" s="89"/>
      <c r="J152" s="88">
        <f>ROUND(I152*H152,2)</f>
        <v>0</v>
      </c>
      <c r="K152" s="86" t="s">
        <v>83</v>
      </c>
      <c r="L152" s="19"/>
      <c r="M152" s="90" t="s">
        <v>0</v>
      </c>
      <c r="N152" s="91" t="s">
        <v>26</v>
      </c>
      <c r="P152" s="92">
        <f>O152*H152</f>
        <v>0</v>
      </c>
      <c r="Q152" s="92">
        <v>0</v>
      </c>
      <c r="R152" s="92">
        <f>Q152*H152</f>
        <v>0</v>
      </c>
      <c r="S152" s="92">
        <v>0</v>
      </c>
      <c r="T152" s="93">
        <f>S152*H152</f>
        <v>0</v>
      </c>
      <c r="AR152" s="94" t="s">
        <v>84</v>
      </c>
      <c r="AT152" s="94" t="s">
        <v>79</v>
      </c>
      <c r="AU152" s="94" t="s">
        <v>47</v>
      </c>
      <c r="AY152" s="10" t="s">
        <v>77</v>
      </c>
      <c r="BE152" s="95">
        <f>IF(N152="základní",J152,0)</f>
        <v>0</v>
      </c>
      <c r="BF152" s="95">
        <f>IF(N152="snížená",J152,0)</f>
        <v>0</v>
      </c>
      <c r="BG152" s="95">
        <f>IF(N152="zákl. přenesená",J152,0)</f>
        <v>0</v>
      </c>
      <c r="BH152" s="95">
        <f>IF(N152="sníž. přenesená",J152,0)</f>
        <v>0</v>
      </c>
      <c r="BI152" s="95">
        <f>IF(N152="nulová",J152,0)</f>
        <v>0</v>
      </c>
      <c r="BJ152" s="10" t="s">
        <v>45</v>
      </c>
      <c r="BK152" s="95">
        <f>ROUND(I152*H152,2)</f>
        <v>0</v>
      </c>
      <c r="BL152" s="10" t="s">
        <v>84</v>
      </c>
      <c r="BM152" s="94" t="s">
        <v>121</v>
      </c>
    </row>
    <row r="153" spans="2:65" s="1" customFormat="1" ht="19.2" x14ac:dyDescent="0.2">
      <c r="B153" s="19"/>
      <c r="D153" s="96" t="s">
        <v>86</v>
      </c>
      <c r="F153" s="97" t="s">
        <v>122</v>
      </c>
      <c r="I153" s="98"/>
      <c r="L153" s="19"/>
      <c r="M153" s="99"/>
      <c r="T153" s="32"/>
      <c r="AT153" s="10" t="s">
        <v>86</v>
      </c>
      <c r="AU153" s="10" t="s">
        <v>47</v>
      </c>
    </row>
    <row r="154" spans="2:65" s="7" customFormat="1" ht="10.199999999999999" x14ac:dyDescent="0.2">
      <c r="B154" s="100"/>
      <c r="D154" s="96" t="s">
        <v>88</v>
      </c>
      <c r="E154" s="101" t="s">
        <v>0</v>
      </c>
      <c r="F154" s="102" t="s">
        <v>123</v>
      </c>
      <c r="H154" s="101" t="s">
        <v>0</v>
      </c>
      <c r="I154" s="103"/>
      <c r="L154" s="100"/>
      <c r="M154" s="104"/>
      <c r="T154" s="105"/>
      <c r="AT154" s="101" t="s">
        <v>88</v>
      </c>
      <c r="AU154" s="101" t="s">
        <v>47</v>
      </c>
      <c r="AV154" s="7" t="s">
        <v>45</v>
      </c>
      <c r="AW154" s="7" t="s">
        <v>18</v>
      </c>
      <c r="AX154" s="7" t="s">
        <v>44</v>
      </c>
      <c r="AY154" s="101" t="s">
        <v>77</v>
      </c>
    </row>
    <row r="155" spans="2:65" s="8" customFormat="1" ht="10.199999999999999" x14ac:dyDescent="0.2">
      <c r="B155" s="106"/>
      <c r="D155" s="96" t="s">
        <v>88</v>
      </c>
      <c r="E155" s="107" t="s">
        <v>0</v>
      </c>
      <c r="F155" s="108" t="s">
        <v>124</v>
      </c>
      <c r="H155" s="109">
        <v>21.38</v>
      </c>
      <c r="I155" s="110"/>
      <c r="L155" s="106"/>
      <c r="M155" s="111"/>
      <c r="T155" s="112"/>
      <c r="AT155" s="107" t="s">
        <v>88</v>
      </c>
      <c r="AU155" s="107" t="s">
        <v>47</v>
      </c>
      <c r="AV155" s="8" t="s">
        <v>47</v>
      </c>
      <c r="AW155" s="8" t="s">
        <v>18</v>
      </c>
      <c r="AX155" s="8" t="s">
        <v>44</v>
      </c>
      <c r="AY155" s="107" t="s">
        <v>77</v>
      </c>
    </row>
    <row r="156" spans="2:65" s="7" customFormat="1" ht="10.199999999999999" x14ac:dyDescent="0.2">
      <c r="B156" s="100"/>
      <c r="D156" s="96" t="s">
        <v>88</v>
      </c>
      <c r="E156" s="101" t="s">
        <v>0</v>
      </c>
      <c r="F156" s="102" t="s">
        <v>125</v>
      </c>
      <c r="H156" s="101" t="s">
        <v>0</v>
      </c>
      <c r="I156" s="103"/>
      <c r="L156" s="100"/>
      <c r="M156" s="104"/>
      <c r="T156" s="105"/>
      <c r="AT156" s="101" t="s">
        <v>88</v>
      </c>
      <c r="AU156" s="101" t="s">
        <v>47</v>
      </c>
      <c r="AV156" s="7" t="s">
        <v>45</v>
      </c>
      <c r="AW156" s="7" t="s">
        <v>18</v>
      </c>
      <c r="AX156" s="7" t="s">
        <v>44</v>
      </c>
      <c r="AY156" s="101" t="s">
        <v>77</v>
      </c>
    </row>
    <row r="157" spans="2:65" s="8" customFormat="1" ht="10.199999999999999" x14ac:dyDescent="0.2">
      <c r="B157" s="106"/>
      <c r="D157" s="96" t="s">
        <v>88</v>
      </c>
      <c r="E157" s="107" t="s">
        <v>0</v>
      </c>
      <c r="F157" s="108" t="s">
        <v>126</v>
      </c>
      <c r="H157" s="109">
        <v>20.81</v>
      </c>
      <c r="I157" s="110"/>
      <c r="L157" s="106"/>
      <c r="M157" s="111"/>
      <c r="T157" s="112"/>
      <c r="AT157" s="107" t="s">
        <v>88</v>
      </c>
      <c r="AU157" s="107" t="s">
        <v>47</v>
      </c>
      <c r="AV157" s="8" t="s">
        <v>47</v>
      </c>
      <c r="AW157" s="8" t="s">
        <v>18</v>
      </c>
      <c r="AX157" s="8" t="s">
        <v>44</v>
      </c>
      <c r="AY157" s="107" t="s">
        <v>77</v>
      </c>
    </row>
    <row r="158" spans="2:65" s="9" customFormat="1" ht="10.199999999999999" x14ac:dyDescent="0.2">
      <c r="B158" s="113"/>
      <c r="D158" s="96" t="s">
        <v>88</v>
      </c>
      <c r="E158" s="114" t="s">
        <v>0</v>
      </c>
      <c r="F158" s="115" t="s">
        <v>91</v>
      </c>
      <c r="H158" s="116">
        <v>42.19</v>
      </c>
      <c r="I158" s="117"/>
      <c r="L158" s="113"/>
      <c r="M158" s="118"/>
      <c r="T158" s="119"/>
      <c r="AT158" s="114" t="s">
        <v>88</v>
      </c>
      <c r="AU158" s="114" t="s">
        <v>47</v>
      </c>
      <c r="AV158" s="9" t="s">
        <v>84</v>
      </c>
      <c r="AW158" s="9" t="s">
        <v>18</v>
      </c>
      <c r="AX158" s="9" t="s">
        <v>45</v>
      </c>
      <c r="AY158" s="114" t="s">
        <v>77</v>
      </c>
    </row>
    <row r="159" spans="2:65" s="1" customFormat="1" ht="16.5" customHeight="1" x14ac:dyDescent="0.2">
      <c r="B159" s="19"/>
      <c r="C159" s="84" t="s">
        <v>127</v>
      </c>
      <c r="D159" s="84" t="s">
        <v>79</v>
      </c>
      <c r="E159" s="85" t="s">
        <v>128</v>
      </c>
      <c r="F159" s="86" t="s">
        <v>129</v>
      </c>
      <c r="G159" s="87" t="s">
        <v>130</v>
      </c>
      <c r="H159" s="88">
        <v>4</v>
      </c>
      <c r="I159" s="89"/>
      <c r="J159" s="88">
        <f>ROUND(I159*H159,2)</f>
        <v>0</v>
      </c>
      <c r="K159" s="86" t="s">
        <v>83</v>
      </c>
      <c r="L159" s="19"/>
      <c r="M159" s="90" t="s">
        <v>0</v>
      </c>
      <c r="N159" s="91" t="s">
        <v>26</v>
      </c>
      <c r="P159" s="92">
        <f>O159*H159</f>
        <v>0</v>
      </c>
      <c r="Q159" s="92">
        <v>3.6904300000000001E-2</v>
      </c>
      <c r="R159" s="92">
        <f>Q159*H159</f>
        <v>0.1476172</v>
      </c>
      <c r="S159" s="92">
        <v>0</v>
      </c>
      <c r="T159" s="93">
        <f>S159*H159</f>
        <v>0</v>
      </c>
      <c r="AR159" s="94" t="s">
        <v>84</v>
      </c>
      <c r="AT159" s="94" t="s">
        <v>79</v>
      </c>
      <c r="AU159" s="94" t="s">
        <v>47</v>
      </c>
      <c r="AY159" s="10" t="s">
        <v>77</v>
      </c>
      <c r="BE159" s="95">
        <f>IF(N159="základní",J159,0)</f>
        <v>0</v>
      </c>
      <c r="BF159" s="95">
        <f>IF(N159="snížená",J159,0)</f>
        <v>0</v>
      </c>
      <c r="BG159" s="95">
        <f>IF(N159="zákl. přenesená",J159,0)</f>
        <v>0</v>
      </c>
      <c r="BH159" s="95">
        <f>IF(N159="sníž. přenesená",J159,0)</f>
        <v>0</v>
      </c>
      <c r="BI159" s="95">
        <f>IF(N159="nulová",J159,0)</f>
        <v>0</v>
      </c>
      <c r="BJ159" s="10" t="s">
        <v>45</v>
      </c>
      <c r="BK159" s="95">
        <f>ROUND(I159*H159,2)</f>
        <v>0</v>
      </c>
      <c r="BL159" s="10" t="s">
        <v>84</v>
      </c>
      <c r="BM159" s="94" t="s">
        <v>131</v>
      </c>
    </row>
    <row r="160" spans="2:65" s="1" customFormat="1" ht="57.6" x14ac:dyDescent="0.2">
      <c r="B160" s="19"/>
      <c r="D160" s="96" t="s">
        <v>86</v>
      </c>
      <c r="F160" s="97" t="s">
        <v>132</v>
      </c>
      <c r="I160" s="98"/>
      <c r="L160" s="19"/>
      <c r="M160" s="99"/>
      <c r="T160" s="32"/>
      <c r="AT160" s="10" t="s">
        <v>86</v>
      </c>
      <c r="AU160" s="10" t="s">
        <v>47</v>
      </c>
    </row>
    <row r="161" spans="2:65" s="7" customFormat="1" ht="10.199999999999999" x14ac:dyDescent="0.2">
      <c r="B161" s="100"/>
      <c r="D161" s="96" t="s">
        <v>88</v>
      </c>
      <c r="E161" s="101" t="s">
        <v>0</v>
      </c>
      <c r="F161" s="102" t="s">
        <v>133</v>
      </c>
      <c r="H161" s="101" t="s">
        <v>0</v>
      </c>
      <c r="I161" s="103"/>
      <c r="L161" s="100"/>
      <c r="M161" s="104"/>
      <c r="T161" s="105"/>
      <c r="AT161" s="101" t="s">
        <v>88</v>
      </c>
      <c r="AU161" s="101" t="s">
        <v>47</v>
      </c>
      <c r="AV161" s="7" t="s">
        <v>45</v>
      </c>
      <c r="AW161" s="7" t="s">
        <v>18</v>
      </c>
      <c r="AX161" s="7" t="s">
        <v>44</v>
      </c>
      <c r="AY161" s="101" t="s">
        <v>77</v>
      </c>
    </row>
    <row r="162" spans="2:65" s="8" customFormat="1" ht="10.199999999999999" x14ac:dyDescent="0.2">
      <c r="B162" s="106"/>
      <c r="D162" s="96" t="s">
        <v>88</v>
      </c>
      <c r="E162" s="107" t="s">
        <v>0</v>
      </c>
      <c r="F162" s="108" t="s">
        <v>84</v>
      </c>
      <c r="H162" s="109">
        <v>4</v>
      </c>
      <c r="I162" s="110"/>
      <c r="L162" s="106"/>
      <c r="M162" s="111"/>
      <c r="T162" s="112"/>
      <c r="AT162" s="107" t="s">
        <v>88</v>
      </c>
      <c r="AU162" s="107" t="s">
        <v>47</v>
      </c>
      <c r="AV162" s="8" t="s">
        <v>47</v>
      </c>
      <c r="AW162" s="8" t="s">
        <v>18</v>
      </c>
      <c r="AX162" s="8" t="s">
        <v>45</v>
      </c>
      <c r="AY162" s="107" t="s">
        <v>77</v>
      </c>
    </row>
    <row r="163" spans="2:65" s="1" customFormat="1" ht="24.15" customHeight="1" x14ac:dyDescent="0.2">
      <c r="B163" s="19"/>
      <c r="C163" s="84" t="s">
        <v>134</v>
      </c>
      <c r="D163" s="84" t="s">
        <v>79</v>
      </c>
      <c r="E163" s="85" t="s">
        <v>135</v>
      </c>
      <c r="F163" s="86" t="s">
        <v>136</v>
      </c>
      <c r="G163" s="87" t="s">
        <v>130</v>
      </c>
      <c r="H163" s="88">
        <v>4</v>
      </c>
      <c r="I163" s="89"/>
      <c r="J163" s="88">
        <f>ROUND(I163*H163,2)</f>
        <v>0</v>
      </c>
      <c r="K163" s="86" t="s">
        <v>83</v>
      </c>
      <c r="L163" s="19"/>
      <c r="M163" s="90" t="s">
        <v>0</v>
      </c>
      <c r="N163" s="91" t="s">
        <v>26</v>
      </c>
      <c r="P163" s="92">
        <f>O163*H163</f>
        <v>0</v>
      </c>
      <c r="Q163" s="92">
        <v>6.0526700000000003E-2</v>
      </c>
      <c r="R163" s="92">
        <f>Q163*H163</f>
        <v>0.24210680000000001</v>
      </c>
      <c r="S163" s="92">
        <v>0</v>
      </c>
      <c r="T163" s="93">
        <f>S163*H163</f>
        <v>0</v>
      </c>
      <c r="AR163" s="94" t="s">
        <v>84</v>
      </c>
      <c r="AT163" s="94" t="s">
        <v>79</v>
      </c>
      <c r="AU163" s="94" t="s">
        <v>47</v>
      </c>
      <c r="AY163" s="10" t="s">
        <v>77</v>
      </c>
      <c r="BE163" s="95">
        <f>IF(N163="základní",J163,0)</f>
        <v>0</v>
      </c>
      <c r="BF163" s="95">
        <f>IF(N163="snížená",J163,0)</f>
        <v>0</v>
      </c>
      <c r="BG163" s="95">
        <f>IF(N163="zákl. přenesená",J163,0)</f>
        <v>0</v>
      </c>
      <c r="BH163" s="95">
        <f>IF(N163="sníž. přenesená",J163,0)</f>
        <v>0</v>
      </c>
      <c r="BI163" s="95">
        <f>IF(N163="nulová",J163,0)</f>
        <v>0</v>
      </c>
      <c r="BJ163" s="10" t="s">
        <v>45</v>
      </c>
      <c r="BK163" s="95">
        <f>ROUND(I163*H163,2)</f>
        <v>0</v>
      </c>
      <c r="BL163" s="10" t="s">
        <v>84</v>
      </c>
      <c r="BM163" s="94" t="s">
        <v>137</v>
      </c>
    </row>
    <row r="164" spans="2:65" s="1" customFormat="1" ht="67.2" x14ac:dyDescent="0.2">
      <c r="B164" s="19"/>
      <c r="D164" s="96" t="s">
        <v>86</v>
      </c>
      <c r="F164" s="97" t="s">
        <v>138</v>
      </c>
      <c r="I164" s="98"/>
      <c r="L164" s="19"/>
      <c r="M164" s="99"/>
      <c r="T164" s="32"/>
      <c r="AT164" s="10" t="s">
        <v>86</v>
      </c>
      <c r="AU164" s="10" t="s">
        <v>47</v>
      </c>
    </row>
    <row r="165" spans="2:65" s="7" customFormat="1" ht="10.199999999999999" x14ac:dyDescent="0.2">
      <c r="B165" s="100"/>
      <c r="D165" s="96" t="s">
        <v>88</v>
      </c>
      <c r="E165" s="101" t="s">
        <v>0</v>
      </c>
      <c r="F165" s="102" t="s">
        <v>139</v>
      </c>
      <c r="H165" s="101" t="s">
        <v>0</v>
      </c>
      <c r="I165" s="103"/>
      <c r="L165" s="100"/>
      <c r="M165" s="104"/>
      <c r="T165" s="105"/>
      <c r="AT165" s="101" t="s">
        <v>88</v>
      </c>
      <c r="AU165" s="101" t="s">
        <v>47</v>
      </c>
      <c r="AV165" s="7" t="s">
        <v>45</v>
      </c>
      <c r="AW165" s="7" t="s">
        <v>18</v>
      </c>
      <c r="AX165" s="7" t="s">
        <v>44</v>
      </c>
      <c r="AY165" s="101" t="s">
        <v>77</v>
      </c>
    </row>
    <row r="166" spans="2:65" s="8" customFormat="1" ht="10.199999999999999" x14ac:dyDescent="0.2">
      <c r="B166" s="106"/>
      <c r="D166" s="96" t="s">
        <v>88</v>
      </c>
      <c r="E166" s="107" t="s">
        <v>0</v>
      </c>
      <c r="F166" s="108" t="s">
        <v>84</v>
      </c>
      <c r="H166" s="109">
        <v>4</v>
      </c>
      <c r="I166" s="110"/>
      <c r="L166" s="106"/>
      <c r="M166" s="111"/>
      <c r="T166" s="112"/>
      <c r="AT166" s="107" t="s">
        <v>88</v>
      </c>
      <c r="AU166" s="107" t="s">
        <v>47</v>
      </c>
      <c r="AV166" s="8" t="s">
        <v>47</v>
      </c>
      <c r="AW166" s="8" t="s">
        <v>18</v>
      </c>
      <c r="AX166" s="8" t="s">
        <v>45</v>
      </c>
      <c r="AY166" s="107" t="s">
        <v>77</v>
      </c>
    </row>
    <row r="167" spans="2:65" s="1" customFormat="1" ht="24.15" customHeight="1" x14ac:dyDescent="0.2">
      <c r="B167" s="19"/>
      <c r="C167" s="84" t="s">
        <v>140</v>
      </c>
      <c r="D167" s="84" t="s">
        <v>79</v>
      </c>
      <c r="E167" s="85" t="s">
        <v>141</v>
      </c>
      <c r="F167" s="86" t="s">
        <v>142</v>
      </c>
      <c r="G167" s="87" t="s">
        <v>94</v>
      </c>
      <c r="H167" s="88">
        <v>14</v>
      </c>
      <c r="I167" s="89"/>
      <c r="J167" s="88">
        <f>ROUND(I167*H167,2)</f>
        <v>0</v>
      </c>
      <c r="K167" s="86" t="s">
        <v>83</v>
      </c>
      <c r="L167" s="19"/>
      <c r="M167" s="90" t="s">
        <v>0</v>
      </c>
      <c r="N167" s="91" t="s">
        <v>26</v>
      </c>
      <c r="P167" s="92">
        <f>O167*H167</f>
        <v>0</v>
      </c>
      <c r="Q167" s="92">
        <v>0</v>
      </c>
      <c r="R167" s="92">
        <f>Q167*H167</f>
        <v>0</v>
      </c>
      <c r="S167" s="92">
        <v>0</v>
      </c>
      <c r="T167" s="93">
        <f>S167*H167</f>
        <v>0</v>
      </c>
      <c r="AR167" s="94" t="s">
        <v>84</v>
      </c>
      <c r="AT167" s="94" t="s">
        <v>79</v>
      </c>
      <c r="AU167" s="94" t="s">
        <v>47</v>
      </c>
      <c r="AY167" s="10" t="s">
        <v>77</v>
      </c>
      <c r="BE167" s="95">
        <f>IF(N167="základní",J167,0)</f>
        <v>0</v>
      </c>
      <c r="BF167" s="95">
        <f>IF(N167="snížená",J167,0)</f>
        <v>0</v>
      </c>
      <c r="BG167" s="95">
        <f>IF(N167="zákl. přenesená",J167,0)</f>
        <v>0</v>
      </c>
      <c r="BH167" s="95">
        <f>IF(N167="sníž. přenesená",J167,0)</f>
        <v>0</v>
      </c>
      <c r="BI167" s="95">
        <f>IF(N167="nulová",J167,0)</f>
        <v>0</v>
      </c>
      <c r="BJ167" s="10" t="s">
        <v>45</v>
      </c>
      <c r="BK167" s="95">
        <f>ROUND(I167*H167,2)</f>
        <v>0</v>
      </c>
      <c r="BL167" s="10" t="s">
        <v>84</v>
      </c>
      <c r="BM167" s="94" t="s">
        <v>143</v>
      </c>
    </row>
    <row r="168" spans="2:65" s="1" customFormat="1" ht="19.2" x14ac:dyDescent="0.2">
      <c r="B168" s="19"/>
      <c r="D168" s="96" t="s">
        <v>86</v>
      </c>
      <c r="F168" s="97" t="s">
        <v>144</v>
      </c>
      <c r="I168" s="98"/>
      <c r="L168" s="19"/>
      <c r="M168" s="99"/>
      <c r="T168" s="32"/>
      <c r="AT168" s="10" t="s">
        <v>86</v>
      </c>
      <c r="AU168" s="10" t="s">
        <v>47</v>
      </c>
    </row>
    <row r="169" spans="2:65" s="7" customFormat="1" ht="10.199999999999999" x14ac:dyDescent="0.2">
      <c r="B169" s="100"/>
      <c r="D169" s="96" t="s">
        <v>88</v>
      </c>
      <c r="E169" s="101" t="s">
        <v>0</v>
      </c>
      <c r="F169" s="102" t="s">
        <v>145</v>
      </c>
      <c r="H169" s="101" t="s">
        <v>0</v>
      </c>
      <c r="I169" s="103"/>
      <c r="L169" s="100"/>
      <c r="M169" s="104"/>
      <c r="T169" s="105"/>
      <c r="AT169" s="101" t="s">
        <v>88</v>
      </c>
      <c r="AU169" s="101" t="s">
        <v>47</v>
      </c>
      <c r="AV169" s="7" t="s">
        <v>45</v>
      </c>
      <c r="AW169" s="7" t="s">
        <v>18</v>
      </c>
      <c r="AX169" s="7" t="s">
        <v>44</v>
      </c>
      <c r="AY169" s="101" t="s">
        <v>77</v>
      </c>
    </row>
    <row r="170" spans="2:65" s="8" customFormat="1" ht="10.199999999999999" x14ac:dyDescent="0.2">
      <c r="B170" s="106"/>
      <c r="D170" s="96" t="s">
        <v>88</v>
      </c>
      <c r="E170" s="107" t="s">
        <v>0</v>
      </c>
      <c r="F170" s="108" t="s">
        <v>146</v>
      </c>
      <c r="H170" s="109">
        <v>14</v>
      </c>
      <c r="I170" s="110"/>
      <c r="L170" s="106"/>
      <c r="M170" s="111"/>
      <c r="T170" s="112"/>
      <c r="AT170" s="107" t="s">
        <v>88</v>
      </c>
      <c r="AU170" s="107" t="s">
        <v>47</v>
      </c>
      <c r="AV170" s="8" t="s">
        <v>47</v>
      </c>
      <c r="AW170" s="8" t="s">
        <v>18</v>
      </c>
      <c r="AX170" s="8" t="s">
        <v>45</v>
      </c>
      <c r="AY170" s="107" t="s">
        <v>77</v>
      </c>
    </row>
    <row r="171" spans="2:65" s="1" customFormat="1" ht="24.15" customHeight="1" x14ac:dyDescent="0.2">
      <c r="B171" s="19"/>
      <c r="C171" s="84" t="s">
        <v>147</v>
      </c>
      <c r="D171" s="84" t="s">
        <v>79</v>
      </c>
      <c r="E171" s="85" t="s">
        <v>148</v>
      </c>
      <c r="F171" s="86" t="s">
        <v>149</v>
      </c>
      <c r="G171" s="87" t="s">
        <v>150</v>
      </c>
      <c r="H171" s="88">
        <v>60</v>
      </c>
      <c r="I171" s="89"/>
      <c r="J171" s="88">
        <f>ROUND(I171*H171,2)</f>
        <v>0</v>
      </c>
      <c r="K171" s="86" t="s">
        <v>83</v>
      </c>
      <c r="L171" s="19"/>
      <c r="M171" s="90" t="s">
        <v>0</v>
      </c>
      <c r="N171" s="91" t="s">
        <v>26</v>
      </c>
      <c r="P171" s="92">
        <f>O171*H171</f>
        <v>0</v>
      </c>
      <c r="Q171" s="92">
        <v>3.2634E-5</v>
      </c>
      <c r="R171" s="92">
        <f>Q171*H171</f>
        <v>1.9580399999999999E-3</v>
      </c>
      <c r="S171" s="92">
        <v>0</v>
      </c>
      <c r="T171" s="93">
        <f>S171*H171</f>
        <v>0</v>
      </c>
      <c r="AR171" s="94" t="s">
        <v>84</v>
      </c>
      <c r="AT171" s="94" t="s">
        <v>79</v>
      </c>
      <c r="AU171" s="94" t="s">
        <v>47</v>
      </c>
      <c r="AY171" s="10" t="s">
        <v>77</v>
      </c>
      <c r="BE171" s="95">
        <f>IF(N171="základní",J171,0)</f>
        <v>0</v>
      </c>
      <c r="BF171" s="95">
        <f>IF(N171="snížená",J171,0)</f>
        <v>0</v>
      </c>
      <c r="BG171" s="95">
        <f>IF(N171="zákl. přenesená",J171,0)</f>
        <v>0</v>
      </c>
      <c r="BH171" s="95">
        <f>IF(N171="sníž. přenesená",J171,0)</f>
        <v>0</v>
      </c>
      <c r="BI171" s="95">
        <f>IF(N171="nulová",J171,0)</f>
        <v>0</v>
      </c>
      <c r="BJ171" s="10" t="s">
        <v>45</v>
      </c>
      <c r="BK171" s="95">
        <f>ROUND(I171*H171,2)</f>
        <v>0</v>
      </c>
      <c r="BL171" s="10" t="s">
        <v>84</v>
      </c>
      <c r="BM171" s="94" t="s">
        <v>151</v>
      </c>
    </row>
    <row r="172" spans="2:65" s="1" customFormat="1" ht="19.2" x14ac:dyDescent="0.2">
      <c r="B172" s="19"/>
      <c r="D172" s="96" t="s">
        <v>86</v>
      </c>
      <c r="F172" s="97" t="s">
        <v>152</v>
      </c>
      <c r="I172" s="98"/>
      <c r="L172" s="19"/>
      <c r="M172" s="99"/>
      <c r="T172" s="32"/>
      <c r="AT172" s="10" t="s">
        <v>86</v>
      </c>
      <c r="AU172" s="10" t="s">
        <v>47</v>
      </c>
    </row>
    <row r="173" spans="2:65" s="8" customFormat="1" ht="10.199999999999999" x14ac:dyDescent="0.2">
      <c r="B173" s="106"/>
      <c r="D173" s="96" t="s">
        <v>88</v>
      </c>
      <c r="E173" s="107" t="s">
        <v>0</v>
      </c>
      <c r="F173" s="108" t="s">
        <v>153</v>
      </c>
      <c r="H173" s="109">
        <v>60</v>
      </c>
      <c r="I173" s="110"/>
      <c r="L173" s="106"/>
      <c r="M173" s="111"/>
      <c r="T173" s="112"/>
      <c r="AT173" s="107" t="s">
        <v>88</v>
      </c>
      <c r="AU173" s="107" t="s">
        <v>47</v>
      </c>
      <c r="AV173" s="8" t="s">
        <v>47</v>
      </c>
      <c r="AW173" s="8" t="s">
        <v>18</v>
      </c>
      <c r="AX173" s="8" t="s">
        <v>45</v>
      </c>
      <c r="AY173" s="107" t="s">
        <v>77</v>
      </c>
    </row>
    <row r="174" spans="2:65" s="1" customFormat="1" ht="24.15" customHeight="1" x14ac:dyDescent="0.2">
      <c r="B174" s="19"/>
      <c r="C174" s="84" t="s">
        <v>154</v>
      </c>
      <c r="D174" s="84" t="s">
        <v>79</v>
      </c>
      <c r="E174" s="85" t="s">
        <v>155</v>
      </c>
      <c r="F174" s="86" t="s">
        <v>156</v>
      </c>
      <c r="G174" s="87" t="s">
        <v>157</v>
      </c>
      <c r="H174" s="88">
        <v>30</v>
      </c>
      <c r="I174" s="89"/>
      <c r="J174" s="88">
        <f>ROUND(I174*H174,2)</f>
        <v>0</v>
      </c>
      <c r="K174" s="86" t="s">
        <v>83</v>
      </c>
      <c r="L174" s="19"/>
      <c r="M174" s="90" t="s">
        <v>0</v>
      </c>
      <c r="N174" s="91" t="s">
        <v>26</v>
      </c>
      <c r="P174" s="92">
        <f>O174*H174</f>
        <v>0</v>
      </c>
      <c r="Q174" s="92">
        <v>0</v>
      </c>
      <c r="R174" s="92">
        <f>Q174*H174</f>
        <v>0</v>
      </c>
      <c r="S174" s="92">
        <v>0</v>
      </c>
      <c r="T174" s="93">
        <f>S174*H174</f>
        <v>0</v>
      </c>
      <c r="AR174" s="94" t="s">
        <v>84</v>
      </c>
      <c r="AT174" s="94" t="s">
        <v>79</v>
      </c>
      <c r="AU174" s="94" t="s">
        <v>47</v>
      </c>
      <c r="AY174" s="10" t="s">
        <v>77</v>
      </c>
      <c r="BE174" s="95">
        <f>IF(N174="základní",J174,0)</f>
        <v>0</v>
      </c>
      <c r="BF174" s="95">
        <f>IF(N174="snížená",J174,0)</f>
        <v>0</v>
      </c>
      <c r="BG174" s="95">
        <f>IF(N174="zákl. přenesená",J174,0)</f>
        <v>0</v>
      </c>
      <c r="BH174" s="95">
        <f>IF(N174="sníž. přenesená",J174,0)</f>
        <v>0</v>
      </c>
      <c r="BI174" s="95">
        <f>IF(N174="nulová",J174,0)</f>
        <v>0</v>
      </c>
      <c r="BJ174" s="10" t="s">
        <v>45</v>
      </c>
      <c r="BK174" s="95">
        <f>ROUND(I174*H174,2)</f>
        <v>0</v>
      </c>
      <c r="BL174" s="10" t="s">
        <v>84</v>
      </c>
      <c r="BM174" s="94" t="s">
        <v>158</v>
      </c>
    </row>
    <row r="175" spans="2:65" s="1" customFormat="1" ht="19.2" x14ac:dyDescent="0.2">
      <c r="B175" s="19"/>
      <c r="D175" s="96" t="s">
        <v>86</v>
      </c>
      <c r="F175" s="97" t="s">
        <v>159</v>
      </c>
      <c r="I175" s="98"/>
      <c r="L175" s="19"/>
      <c r="M175" s="99"/>
      <c r="T175" s="32"/>
      <c r="AT175" s="10" t="s">
        <v>86</v>
      </c>
      <c r="AU175" s="10" t="s">
        <v>47</v>
      </c>
    </row>
    <row r="176" spans="2:65" s="8" customFormat="1" ht="10.199999999999999" x14ac:dyDescent="0.2">
      <c r="B176" s="106"/>
      <c r="D176" s="96" t="s">
        <v>88</v>
      </c>
      <c r="E176" s="107" t="s">
        <v>0</v>
      </c>
      <c r="F176" s="108" t="s">
        <v>160</v>
      </c>
      <c r="H176" s="109">
        <v>30</v>
      </c>
      <c r="I176" s="110"/>
      <c r="L176" s="106"/>
      <c r="M176" s="111"/>
      <c r="T176" s="112"/>
      <c r="AT176" s="107" t="s">
        <v>88</v>
      </c>
      <c r="AU176" s="107" t="s">
        <v>47</v>
      </c>
      <c r="AV176" s="8" t="s">
        <v>47</v>
      </c>
      <c r="AW176" s="8" t="s">
        <v>18</v>
      </c>
      <c r="AX176" s="8" t="s">
        <v>45</v>
      </c>
      <c r="AY176" s="107" t="s">
        <v>77</v>
      </c>
    </row>
    <row r="177" spans="2:65" s="1" customFormat="1" ht="21.75" customHeight="1" x14ac:dyDescent="0.2">
      <c r="B177" s="19"/>
      <c r="C177" s="84" t="s">
        <v>161</v>
      </c>
      <c r="D177" s="84" t="s">
        <v>79</v>
      </c>
      <c r="E177" s="85" t="s">
        <v>162</v>
      </c>
      <c r="F177" s="86" t="s">
        <v>163</v>
      </c>
      <c r="G177" s="87" t="s">
        <v>82</v>
      </c>
      <c r="H177" s="88">
        <v>701.12</v>
      </c>
      <c r="I177" s="89"/>
      <c r="J177" s="88">
        <f>ROUND(I177*H177,2)</f>
        <v>0</v>
      </c>
      <c r="K177" s="86" t="s">
        <v>83</v>
      </c>
      <c r="L177" s="19"/>
      <c r="M177" s="90" t="s">
        <v>0</v>
      </c>
      <c r="N177" s="91" t="s">
        <v>26</v>
      </c>
      <c r="P177" s="92">
        <f>O177*H177</f>
        <v>0</v>
      </c>
      <c r="Q177" s="92">
        <v>8.3850999999999999E-4</v>
      </c>
      <c r="R177" s="92">
        <f>Q177*H177</f>
        <v>0.58789613119999995</v>
      </c>
      <c r="S177" s="92">
        <v>0</v>
      </c>
      <c r="T177" s="93">
        <f>S177*H177</f>
        <v>0</v>
      </c>
      <c r="AR177" s="94" t="s">
        <v>84</v>
      </c>
      <c r="AT177" s="94" t="s">
        <v>79</v>
      </c>
      <c r="AU177" s="94" t="s">
        <v>47</v>
      </c>
      <c r="AY177" s="10" t="s">
        <v>77</v>
      </c>
      <c r="BE177" s="95">
        <f>IF(N177="základní",J177,0)</f>
        <v>0</v>
      </c>
      <c r="BF177" s="95">
        <f>IF(N177="snížená",J177,0)</f>
        <v>0</v>
      </c>
      <c r="BG177" s="95">
        <f>IF(N177="zákl. přenesená",J177,0)</f>
        <v>0</v>
      </c>
      <c r="BH177" s="95">
        <f>IF(N177="sníž. přenesená",J177,0)</f>
        <v>0</v>
      </c>
      <c r="BI177" s="95">
        <f>IF(N177="nulová",J177,0)</f>
        <v>0</v>
      </c>
      <c r="BJ177" s="10" t="s">
        <v>45</v>
      </c>
      <c r="BK177" s="95">
        <f>ROUND(I177*H177,2)</f>
        <v>0</v>
      </c>
      <c r="BL177" s="10" t="s">
        <v>84</v>
      </c>
      <c r="BM177" s="94" t="s">
        <v>164</v>
      </c>
    </row>
    <row r="178" spans="2:65" s="1" customFormat="1" ht="19.2" x14ac:dyDescent="0.2">
      <c r="B178" s="19"/>
      <c r="D178" s="96" t="s">
        <v>86</v>
      </c>
      <c r="F178" s="97" t="s">
        <v>165</v>
      </c>
      <c r="I178" s="98"/>
      <c r="L178" s="19"/>
      <c r="M178" s="99"/>
      <c r="T178" s="32"/>
      <c r="AT178" s="10" t="s">
        <v>86</v>
      </c>
      <c r="AU178" s="10" t="s">
        <v>47</v>
      </c>
    </row>
    <row r="179" spans="2:65" s="8" customFormat="1" ht="10.199999999999999" x14ac:dyDescent="0.2">
      <c r="B179" s="106"/>
      <c r="D179" s="96" t="s">
        <v>88</v>
      </c>
      <c r="E179" s="107" t="s">
        <v>0</v>
      </c>
      <c r="F179" s="108" t="s">
        <v>166</v>
      </c>
      <c r="H179" s="109">
        <v>701.12</v>
      </c>
      <c r="I179" s="110"/>
      <c r="L179" s="106"/>
      <c r="M179" s="111"/>
      <c r="T179" s="112"/>
      <c r="AT179" s="107" t="s">
        <v>88</v>
      </c>
      <c r="AU179" s="107" t="s">
        <v>47</v>
      </c>
      <c r="AV179" s="8" t="s">
        <v>47</v>
      </c>
      <c r="AW179" s="8" t="s">
        <v>18</v>
      </c>
      <c r="AX179" s="8" t="s">
        <v>44</v>
      </c>
      <c r="AY179" s="107" t="s">
        <v>77</v>
      </c>
    </row>
    <row r="180" spans="2:65" s="9" customFormat="1" ht="10.199999999999999" x14ac:dyDescent="0.2">
      <c r="B180" s="113"/>
      <c r="D180" s="96" t="s">
        <v>88</v>
      </c>
      <c r="E180" s="114" t="s">
        <v>0</v>
      </c>
      <c r="F180" s="115" t="s">
        <v>91</v>
      </c>
      <c r="H180" s="116">
        <v>701.12</v>
      </c>
      <c r="I180" s="117"/>
      <c r="L180" s="113"/>
      <c r="M180" s="118"/>
      <c r="T180" s="119"/>
      <c r="AT180" s="114" t="s">
        <v>88</v>
      </c>
      <c r="AU180" s="114" t="s">
        <v>47</v>
      </c>
      <c r="AV180" s="9" t="s">
        <v>84</v>
      </c>
      <c r="AW180" s="9" t="s">
        <v>18</v>
      </c>
      <c r="AX180" s="9" t="s">
        <v>45</v>
      </c>
      <c r="AY180" s="114" t="s">
        <v>77</v>
      </c>
    </row>
    <row r="181" spans="2:65" s="1" customFormat="1" ht="24.15" customHeight="1" x14ac:dyDescent="0.2">
      <c r="B181" s="19"/>
      <c r="C181" s="84" t="s">
        <v>167</v>
      </c>
      <c r="D181" s="84" t="s">
        <v>79</v>
      </c>
      <c r="E181" s="85" t="s">
        <v>168</v>
      </c>
      <c r="F181" s="86" t="s">
        <v>169</v>
      </c>
      <c r="G181" s="87" t="s">
        <v>82</v>
      </c>
      <c r="H181" s="88">
        <v>701.12</v>
      </c>
      <c r="I181" s="89"/>
      <c r="J181" s="88">
        <f>ROUND(I181*H181,2)</f>
        <v>0</v>
      </c>
      <c r="K181" s="86" t="s">
        <v>83</v>
      </c>
      <c r="L181" s="19"/>
      <c r="M181" s="90" t="s">
        <v>0</v>
      </c>
      <c r="N181" s="91" t="s">
        <v>26</v>
      </c>
      <c r="P181" s="92">
        <f>O181*H181</f>
        <v>0</v>
      </c>
      <c r="Q181" s="92">
        <v>0</v>
      </c>
      <c r="R181" s="92">
        <f>Q181*H181</f>
        <v>0</v>
      </c>
      <c r="S181" s="92">
        <v>0</v>
      </c>
      <c r="T181" s="93">
        <f>S181*H181</f>
        <v>0</v>
      </c>
      <c r="AR181" s="94" t="s">
        <v>84</v>
      </c>
      <c r="AT181" s="94" t="s">
        <v>79</v>
      </c>
      <c r="AU181" s="94" t="s">
        <v>47</v>
      </c>
      <c r="AY181" s="10" t="s">
        <v>77</v>
      </c>
      <c r="BE181" s="95">
        <f>IF(N181="základní",J181,0)</f>
        <v>0</v>
      </c>
      <c r="BF181" s="95">
        <f>IF(N181="snížená",J181,0)</f>
        <v>0</v>
      </c>
      <c r="BG181" s="95">
        <f>IF(N181="zákl. přenesená",J181,0)</f>
        <v>0</v>
      </c>
      <c r="BH181" s="95">
        <f>IF(N181="sníž. přenesená",J181,0)</f>
        <v>0</v>
      </c>
      <c r="BI181" s="95">
        <f>IF(N181="nulová",J181,0)</f>
        <v>0</v>
      </c>
      <c r="BJ181" s="10" t="s">
        <v>45</v>
      </c>
      <c r="BK181" s="95">
        <f>ROUND(I181*H181,2)</f>
        <v>0</v>
      </c>
      <c r="BL181" s="10" t="s">
        <v>84</v>
      </c>
      <c r="BM181" s="94" t="s">
        <v>170</v>
      </c>
    </row>
    <row r="182" spans="2:65" s="1" customFormat="1" ht="28.8" x14ac:dyDescent="0.2">
      <c r="B182" s="19"/>
      <c r="D182" s="96" t="s">
        <v>86</v>
      </c>
      <c r="F182" s="97" t="s">
        <v>171</v>
      </c>
      <c r="I182" s="98"/>
      <c r="L182" s="19"/>
      <c r="M182" s="99"/>
      <c r="T182" s="32"/>
      <c r="AT182" s="10" t="s">
        <v>86</v>
      </c>
      <c r="AU182" s="10" t="s">
        <v>47</v>
      </c>
    </row>
    <row r="183" spans="2:65" s="8" customFormat="1" ht="10.199999999999999" x14ac:dyDescent="0.2">
      <c r="B183" s="106"/>
      <c r="D183" s="96" t="s">
        <v>88</v>
      </c>
      <c r="E183" s="107" t="s">
        <v>0</v>
      </c>
      <c r="F183" s="108" t="s">
        <v>172</v>
      </c>
      <c r="H183" s="109">
        <v>701.12</v>
      </c>
      <c r="I183" s="110"/>
      <c r="L183" s="106"/>
      <c r="M183" s="111"/>
      <c r="T183" s="112"/>
      <c r="AT183" s="107" t="s">
        <v>88</v>
      </c>
      <c r="AU183" s="107" t="s">
        <v>47</v>
      </c>
      <c r="AV183" s="8" t="s">
        <v>47</v>
      </c>
      <c r="AW183" s="8" t="s">
        <v>18</v>
      </c>
      <c r="AX183" s="8" t="s">
        <v>45</v>
      </c>
      <c r="AY183" s="107" t="s">
        <v>77</v>
      </c>
    </row>
    <row r="184" spans="2:65" s="1" customFormat="1" ht="37.799999999999997" customHeight="1" x14ac:dyDescent="0.2">
      <c r="B184" s="19"/>
      <c r="C184" s="84" t="s">
        <v>3</v>
      </c>
      <c r="D184" s="84" t="s">
        <v>79</v>
      </c>
      <c r="E184" s="85" t="s">
        <v>173</v>
      </c>
      <c r="F184" s="86" t="s">
        <v>174</v>
      </c>
      <c r="G184" s="87" t="s">
        <v>94</v>
      </c>
      <c r="H184" s="88">
        <v>680.48</v>
      </c>
      <c r="I184" s="89"/>
      <c r="J184" s="88">
        <f>ROUND(I184*H184,2)</f>
        <v>0</v>
      </c>
      <c r="K184" s="86" t="s">
        <v>83</v>
      </c>
      <c r="L184" s="19"/>
      <c r="M184" s="90" t="s">
        <v>0</v>
      </c>
      <c r="N184" s="91" t="s">
        <v>26</v>
      </c>
      <c r="P184" s="92">
        <f>O184*H184</f>
        <v>0</v>
      </c>
      <c r="Q184" s="92">
        <v>0</v>
      </c>
      <c r="R184" s="92">
        <f>Q184*H184</f>
        <v>0</v>
      </c>
      <c r="S184" s="92">
        <v>0</v>
      </c>
      <c r="T184" s="93">
        <f>S184*H184</f>
        <v>0</v>
      </c>
      <c r="AR184" s="94" t="s">
        <v>84</v>
      </c>
      <c r="AT184" s="94" t="s">
        <v>79</v>
      </c>
      <c r="AU184" s="94" t="s">
        <v>47</v>
      </c>
      <c r="AY184" s="10" t="s">
        <v>77</v>
      </c>
      <c r="BE184" s="95">
        <f>IF(N184="základní",J184,0)</f>
        <v>0</v>
      </c>
      <c r="BF184" s="95">
        <f>IF(N184="snížená",J184,0)</f>
        <v>0</v>
      </c>
      <c r="BG184" s="95">
        <f>IF(N184="zákl. přenesená",J184,0)</f>
        <v>0</v>
      </c>
      <c r="BH184" s="95">
        <f>IF(N184="sníž. přenesená",J184,0)</f>
        <v>0</v>
      </c>
      <c r="BI184" s="95">
        <f>IF(N184="nulová",J184,0)</f>
        <v>0</v>
      </c>
      <c r="BJ184" s="10" t="s">
        <v>45</v>
      </c>
      <c r="BK184" s="95">
        <f>ROUND(I184*H184,2)</f>
        <v>0</v>
      </c>
      <c r="BL184" s="10" t="s">
        <v>84</v>
      </c>
      <c r="BM184" s="94" t="s">
        <v>175</v>
      </c>
    </row>
    <row r="185" spans="2:65" s="1" customFormat="1" ht="38.4" x14ac:dyDescent="0.2">
      <c r="B185" s="19"/>
      <c r="D185" s="96" t="s">
        <v>86</v>
      </c>
      <c r="F185" s="97" t="s">
        <v>176</v>
      </c>
      <c r="I185" s="98"/>
      <c r="L185" s="19"/>
      <c r="M185" s="99"/>
      <c r="T185" s="32"/>
      <c r="AT185" s="10" t="s">
        <v>86</v>
      </c>
      <c r="AU185" s="10" t="s">
        <v>47</v>
      </c>
    </row>
    <row r="186" spans="2:65" s="7" customFormat="1" ht="10.199999999999999" x14ac:dyDescent="0.2">
      <c r="B186" s="100"/>
      <c r="D186" s="96" t="s">
        <v>88</v>
      </c>
      <c r="E186" s="101" t="s">
        <v>0</v>
      </c>
      <c r="F186" s="102" t="s">
        <v>177</v>
      </c>
      <c r="H186" s="101" t="s">
        <v>0</v>
      </c>
      <c r="I186" s="103"/>
      <c r="L186" s="100"/>
      <c r="M186" s="104"/>
      <c r="T186" s="105"/>
      <c r="AT186" s="101" t="s">
        <v>88</v>
      </c>
      <c r="AU186" s="101" t="s">
        <v>47</v>
      </c>
      <c r="AV186" s="7" t="s">
        <v>45</v>
      </c>
      <c r="AW186" s="7" t="s">
        <v>18</v>
      </c>
      <c r="AX186" s="7" t="s">
        <v>44</v>
      </c>
      <c r="AY186" s="101" t="s">
        <v>77</v>
      </c>
    </row>
    <row r="187" spans="2:65" s="8" customFormat="1" ht="10.199999999999999" x14ac:dyDescent="0.2">
      <c r="B187" s="106"/>
      <c r="D187" s="96" t="s">
        <v>88</v>
      </c>
      <c r="E187" s="107" t="s">
        <v>0</v>
      </c>
      <c r="F187" s="108" t="s">
        <v>178</v>
      </c>
      <c r="H187" s="109">
        <v>680.48</v>
      </c>
      <c r="I187" s="110"/>
      <c r="L187" s="106"/>
      <c r="M187" s="111"/>
      <c r="T187" s="112"/>
      <c r="AT187" s="107" t="s">
        <v>88</v>
      </c>
      <c r="AU187" s="107" t="s">
        <v>47</v>
      </c>
      <c r="AV187" s="8" t="s">
        <v>47</v>
      </c>
      <c r="AW187" s="8" t="s">
        <v>18</v>
      </c>
      <c r="AX187" s="8" t="s">
        <v>45</v>
      </c>
      <c r="AY187" s="107" t="s">
        <v>77</v>
      </c>
    </row>
    <row r="188" spans="2:65" s="1" customFormat="1" ht="24.15" customHeight="1" x14ac:dyDescent="0.2">
      <c r="B188" s="19"/>
      <c r="C188" s="84" t="s">
        <v>179</v>
      </c>
      <c r="D188" s="84" t="s">
        <v>79</v>
      </c>
      <c r="E188" s="85" t="s">
        <v>180</v>
      </c>
      <c r="F188" s="86" t="s">
        <v>181</v>
      </c>
      <c r="G188" s="87" t="s">
        <v>94</v>
      </c>
      <c r="H188" s="88">
        <v>291.02999999999997</v>
      </c>
      <c r="I188" s="89"/>
      <c r="J188" s="88">
        <f>ROUND(I188*H188,2)</f>
        <v>0</v>
      </c>
      <c r="K188" s="86" t="s">
        <v>83</v>
      </c>
      <c r="L188" s="19"/>
      <c r="M188" s="90" t="s">
        <v>0</v>
      </c>
      <c r="N188" s="91" t="s">
        <v>26</v>
      </c>
      <c r="P188" s="92">
        <f>O188*H188</f>
        <v>0</v>
      </c>
      <c r="Q188" s="92">
        <v>0</v>
      </c>
      <c r="R188" s="92">
        <f>Q188*H188</f>
        <v>0</v>
      </c>
      <c r="S188" s="92">
        <v>0</v>
      </c>
      <c r="T188" s="93">
        <f>S188*H188</f>
        <v>0</v>
      </c>
      <c r="AR188" s="94" t="s">
        <v>84</v>
      </c>
      <c r="AT188" s="94" t="s">
        <v>79</v>
      </c>
      <c r="AU188" s="94" t="s">
        <v>47</v>
      </c>
      <c r="AY188" s="10" t="s">
        <v>77</v>
      </c>
      <c r="BE188" s="95">
        <f>IF(N188="základní",J188,0)</f>
        <v>0</v>
      </c>
      <c r="BF188" s="95">
        <f>IF(N188="snížená",J188,0)</f>
        <v>0</v>
      </c>
      <c r="BG188" s="95">
        <f>IF(N188="zákl. přenesená",J188,0)</f>
        <v>0</v>
      </c>
      <c r="BH188" s="95">
        <f>IF(N188="sníž. přenesená",J188,0)</f>
        <v>0</v>
      </c>
      <c r="BI188" s="95">
        <f>IF(N188="nulová",J188,0)</f>
        <v>0</v>
      </c>
      <c r="BJ188" s="10" t="s">
        <v>45</v>
      </c>
      <c r="BK188" s="95">
        <f>ROUND(I188*H188,2)</f>
        <v>0</v>
      </c>
      <c r="BL188" s="10" t="s">
        <v>84</v>
      </c>
      <c r="BM188" s="94" t="s">
        <v>182</v>
      </c>
    </row>
    <row r="189" spans="2:65" s="1" customFormat="1" ht="28.8" x14ac:dyDescent="0.2">
      <c r="B189" s="19"/>
      <c r="D189" s="96" t="s">
        <v>86</v>
      </c>
      <c r="F189" s="97" t="s">
        <v>183</v>
      </c>
      <c r="I189" s="98"/>
      <c r="L189" s="19"/>
      <c r="M189" s="99"/>
      <c r="T189" s="32"/>
      <c r="AT189" s="10" t="s">
        <v>86</v>
      </c>
      <c r="AU189" s="10" t="s">
        <v>47</v>
      </c>
    </row>
    <row r="190" spans="2:65" s="7" customFormat="1" ht="10.199999999999999" x14ac:dyDescent="0.2">
      <c r="B190" s="100"/>
      <c r="D190" s="96" t="s">
        <v>88</v>
      </c>
      <c r="E190" s="101" t="s">
        <v>0</v>
      </c>
      <c r="F190" s="102" t="s">
        <v>184</v>
      </c>
      <c r="H190" s="101" t="s">
        <v>0</v>
      </c>
      <c r="I190" s="103"/>
      <c r="L190" s="100"/>
      <c r="M190" s="104"/>
      <c r="T190" s="105"/>
      <c r="AT190" s="101" t="s">
        <v>88</v>
      </c>
      <c r="AU190" s="101" t="s">
        <v>47</v>
      </c>
      <c r="AV190" s="7" t="s">
        <v>45</v>
      </c>
      <c r="AW190" s="7" t="s">
        <v>18</v>
      </c>
      <c r="AX190" s="7" t="s">
        <v>44</v>
      </c>
      <c r="AY190" s="101" t="s">
        <v>77</v>
      </c>
    </row>
    <row r="191" spans="2:65" s="8" customFormat="1" ht="10.199999999999999" x14ac:dyDescent="0.2">
      <c r="B191" s="106"/>
      <c r="D191" s="96" t="s">
        <v>88</v>
      </c>
      <c r="E191" s="107" t="s">
        <v>0</v>
      </c>
      <c r="F191" s="108" t="s">
        <v>185</v>
      </c>
      <c r="H191" s="109">
        <v>389.45</v>
      </c>
      <c r="I191" s="110"/>
      <c r="L191" s="106"/>
      <c r="M191" s="111"/>
      <c r="T191" s="112"/>
      <c r="AT191" s="107" t="s">
        <v>88</v>
      </c>
      <c r="AU191" s="107" t="s">
        <v>47</v>
      </c>
      <c r="AV191" s="8" t="s">
        <v>47</v>
      </c>
      <c r="AW191" s="8" t="s">
        <v>18</v>
      </c>
      <c r="AX191" s="8" t="s">
        <v>44</v>
      </c>
      <c r="AY191" s="107" t="s">
        <v>77</v>
      </c>
    </row>
    <row r="192" spans="2:65" s="7" customFormat="1" ht="10.199999999999999" x14ac:dyDescent="0.2">
      <c r="B192" s="100"/>
      <c r="D192" s="96" t="s">
        <v>88</v>
      </c>
      <c r="E192" s="101" t="s">
        <v>0</v>
      </c>
      <c r="F192" s="102" t="s">
        <v>186</v>
      </c>
      <c r="H192" s="101" t="s">
        <v>0</v>
      </c>
      <c r="I192" s="103"/>
      <c r="L192" s="100"/>
      <c r="M192" s="104"/>
      <c r="T192" s="105"/>
      <c r="AT192" s="101" t="s">
        <v>88</v>
      </c>
      <c r="AU192" s="101" t="s">
        <v>47</v>
      </c>
      <c r="AV192" s="7" t="s">
        <v>45</v>
      </c>
      <c r="AW192" s="7" t="s">
        <v>18</v>
      </c>
      <c r="AX192" s="7" t="s">
        <v>44</v>
      </c>
      <c r="AY192" s="101" t="s">
        <v>77</v>
      </c>
    </row>
    <row r="193" spans="2:65" s="8" customFormat="1" ht="10.199999999999999" x14ac:dyDescent="0.2">
      <c r="B193" s="106"/>
      <c r="D193" s="96" t="s">
        <v>88</v>
      </c>
      <c r="E193" s="107" t="s">
        <v>0</v>
      </c>
      <c r="F193" s="108" t="s">
        <v>187</v>
      </c>
      <c r="H193" s="109">
        <v>-18.77</v>
      </c>
      <c r="I193" s="110"/>
      <c r="L193" s="106"/>
      <c r="M193" s="111"/>
      <c r="T193" s="112"/>
      <c r="AT193" s="107" t="s">
        <v>88</v>
      </c>
      <c r="AU193" s="107" t="s">
        <v>47</v>
      </c>
      <c r="AV193" s="8" t="s">
        <v>47</v>
      </c>
      <c r="AW193" s="8" t="s">
        <v>18</v>
      </c>
      <c r="AX193" s="8" t="s">
        <v>44</v>
      </c>
      <c r="AY193" s="107" t="s">
        <v>77</v>
      </c>
    </row>
    <row r="194" spans="2:65" s="7" customFormat="1" ht="10.199999999999999" x14ac:dyDescent="0.2">
      <c r="B194" s="100"/>
      <c r="D194" s="96" t="s">
        <v>88</v>
      </c>
      <c r="E194" s="101" t="s">
        <v>0</v>
      </c>
      <c r="F194" s="102" t="s">
        <v>188</v>
      </c>
      <c r="H194" s="101" t="s">
        <v>0</v>
      </c>
      <c r="I194" s="103"/>
      <c r="L194" s="100"/>
      <c r="M194" s="104"/>
      <c r="T194" s="105"/>
      <c r="AT194" s="101" t="s">
        <v>88</v>
      </c>
      <c r="AU194" s="101" t="s">
        <v>47</v>
      </c>
      <c r="AV194" s="7" t="s">
        <v>45</v>
      </c>
      <c r="AW194" s="7" t="s">
        <v>18</v>
      </c>
      <c r="AX194" s="7" t="s">
        <v>44</v>
      </c>
      <c r="AY194" s="101" t="s">
        <v>77</v>
      </c>
    </row>
    <row r="195" spans="2:65" s="8" customFormat="1" ht="10.199999999999999" x14ac:dyDescent="0.2">
      <c r="B195" s="106"/>
      <c r="D195" s="96" t="s">
        <v>88</v>
      </c>
      <c r="E195" s="107" t="s">
        <v>0</v>
      </c>
      <c r="F195" s="108" t="s">
        <v>189</v>
      </c>
      <c r="H195" s="109">
        <v>-56.32</v>
      </c>
      <c r="I195" s="110"/>
      <c r="L195" s="106"/>
      <c r="M195" s="111"/>
      <c r="T195" s="112"/>
      <c r="AT195" s="107" t="s">
        <v>88</v>
      </c>
      <c r="AU195" s="107" t="s">
        <v>47</v>
      </c>
      <c r="AV195" s="8" t="s">
        <v>47</v>
      </c>
      <c r="AW195" s="8" t="s">
        <v>18</v>
      </c>
      <c r="AX195" s="8" t="s">
        <v>44</v>
      </c>
      <c r="AY195" s="107" t="s">
        <v>77</v>
      </c>
    </row>
    <row r="196" spans="2:65" s="7" customFormat="1" ht="10.199999999999999" x14ac:dyDescent="0.2">
      <c r="B196" s="100"/>
      <c r="D196" s="96" t="s">
        <v>88</v>
      </c>
      <c r="E196" s="101" t="s">
        <v>0</v>
      </c>
      <c r="F196" s="102" t="s">
        <v>190</v>
      </c>
      <c r="H196" s="101" t="s">
        <v>0</v>
      </c>
      <c r="I196" s="103"/>
      <c r="L196" s="100"/>
      <c r="M196" s="104"/>
      <c r="T196" s="105"/>
      <c r="AT196" s="101" t="s">
        <v>88</v>
      </c>
      <c r="AU196" s="101" t="s">
        <v>47</v>
      </c>
      <c r="AV196" s="7" t="s">
        <v>45</v>
      </c>
      <c r="AW196" s="7" t="s">
        <v>18</v>
      </c>
      <c r="AX196" s="7" t="s">
        <v>44</v>
      </c>
      <c r="AY196" s="101" t="s">
        <v>77</v>
      </c>
    </row>
    <row r="197" spans="2:65" s="8" customFormat="1" ht="10.199999999999999" x14ac:dyDescent="0.2">
      <c r="B197" s="106"/>
      <c r="D197" s="96" t="s">
        <v>88</v>
      </c>
      <c r="E197" s="107" t="s">
        <v>0</v>
      </c>
      <c r="F197" s="108" t="s">
        <v>191</v>
      </c>
      <c r="H197" s="109">
        <v>-23.33</v>
      </c>
      <c r="I197" s="110"/>
      <c r="L197" s="106"/>
      <c r="M197" s="111"/>
      <c r="T197" s="112"/>
      <c r="AT197" s="107" t="s">
        <v>88</v>
      </c>
      <c r="AU197" s="107" t="s">
        <v>47</v>
      </c>
      <c r="AV197" s="8" t="s">
        <v>47</v>
      </c>
      <c r="AW197" s="8" t="s">
        <v>18</v>
      </c>
      <c r="AX197" s="8" t="s">
        <v>44</v>
      </c>
      <c r="AY197" s="107" t="s">
        <v>77</v>
      </c>
    </row>
    <row r="198" spans="2:65" s="9" customFormat="1" ht="10.199999999999999" x14ac:dyDescent="0.2">
      <c r="B198" s="113"/>
      <c r="D198" s="96" t="s">
        <v>88</v>
      </c>
      <c r="E198" s="114" t="s">
        <v>0</v>
      </c>
      <c r="F198" s="115" t="s">
        <v>91</v>
      </c>
      <c r="H198" s="116">
        <v>291.03000000000003</v>
      </c>
      <c r="I198" s="117"/>
      <c r="L198" s="113"/>
      <c r="M198" s="118"/>
      <c r="T198" s="119"/>
      <c r="AT198" s="114" t="s">
        <v>88</v>
      </c>
      <c r="AU198" s="114" t="s">
        <v>47</v>
      </c>
      <c r="AV198" s="9" t="s">
        <v>84</v>
      </c>
      <c r="AW198" s="9" t="s">
        <v>18</v>
      </c>
      <c r="AX198" s="9" t="s">
        <v>45</v>
      </c>
      <c r="AY198" s="114" t="s">
        <v>77</v>
      </c>
    </row>
    <row r="199" spans="2:65" s="1" customFormat="1" ht="33" customHeight="1" x14ac:dyDescent="0.2">
      <c r="B199" s="19"/>
      <c r="C199" s="84" t="s">
        <v>192</v>
      </c>
      <c r="D199" s="84" t="s">
        <v>79</v>
      </c>
      <c r="E199" s="85" t="s">
        <v>193</v>
      </c>
      <c r="F199" s="86" t="s">
        <v>194</v>
      </c>
      <c r="G199" s="87" t="s">
        <v>94</v>
      </c>
      <c r="H199" s="88">
        <v>9.31</v>
      </c>
      <c r="I199" s="89"/>
      <c r="J199" s="88">
        <f>ROUND(I199*H199,2)</f>
        <v>0</v>
      </c>
      <c r="K199" s="86" t="s">
        <v>83</v>
      </c>
      <c r="L199" s="19"/>
      <c r="M199" s="90" t="s">
        <v>0</v>
      </c>
      <c r="N199" s="91" t="s">
        <v>26</v>
      </c>
      <c r="P199" s="92">
        <f>O199*H199</f>
        <v>0</v>
      </c>
      <c r="Q199" s="92">
        <v>0</v>
      </c>
      <c r="R199" s="92">
        <f>Q199*H199</f>
        <v>0</v>
      </c>
      <c r="S199" s="92">
        <v>0</v>
      </c>
      <c r="T199" s="93">
        <f>S199*H199</f>
        <v>0</v>
      </c>
      <c r="AR199" s="94" t="s">
        <v>84</v>
      </c>
      <c r="AT199" s="94" t="s">
        <v>79</v>
      </c>
      <c r="AU199" s="94" t="s">
        <v>47</v>
      </c>
      <c r="AY199" s="10" t="s">
        <v>77</v>
      </c>
      <c r="BE199" s="95">
        <f>IF(N199="základní",J199,0)</f>
        <v>0</v>
      </c>
      <c r="BF199" s="95">
        <f>IF(N199="snížená",J199,0)</f>
        <v>0</v>
      </c>
      <c r="BG199" s="95">
        <f>IF(N199="zákl. přenesená",J199,0)</f>
        <v>0</v>
      </c>
      <c r="BH199" s="95">
        <f>IF(N199="sníž. přenesená",J199,0)</f>
        <v>0</v>
      </c>
      <c r="BI199" s="95">
        <f>IF(N199="nulová",J199,0)</f>
        <v>0</v>
      </c>
      <c r="BJ199" s="10" t="s">
        <v>45</v>
      </c>
      <c r="BK199" s="95">
        <f>ROUND(I199*H199,2)</f>
        <v>0</v>
      </c>
      <c r="BL199" s="10" t="s">
        <v>84</v>
      </c>
      <c r="BM199" s="94" t="s">
        <v>195</v>
      </c>
    </row>
    <row r="200" spans="2:65" s="1" customFormat="1" ht="48" x14ac:dyDescent="0.2">
      <c r="B200" s="19"/>
      <c r="D200" s="96" t="s">
        <v>86</v>
      </c>
      <c r="F200" s="97" t="s">
        <v>196</v>
      </c>
      <c r="I200" s="98"/>
      <c r="L200" s="19"/>
      <c r="M200" s="99"/>
      <c r="T200" s="32"/>
      <c r="AT200" s="10" t="s">
        <v>86</v>
      </c>
      <c r="AU200" s="10" t="s">
        <v>47</v>
      </c>
    </row>
    <row r="201" spans="2:65" s="7" customFormat="1" ht="10.199999999999999" x14ac:dyDescent="0.2">
      <c r="B201" s="100"/>
      <c r="D201" s="96" t="s">
        <v>88</v>
      </c>
      <c r="E201" s="101" t="s">
        <v>0</v>
      </c>
      <c r="F201" s="102" t="s">
        <v>197</v>
      </c>
      <c r="H201" s="101" t="s">
        <v>0</v>
      </c>
      <c r="I201" s="103"/>
      <c r="L201" s="100"/>
      <c r="M201" s="104"/>
      <c r="T201" s="105"/>
      <c r="AT201" s="101" t="s">
        <v>88</v>
      </c>
      <c r="AU201" s="101" t="s">
        <v>47</v>
      </c>
      <c r="AV201" s="7" t="s">
        <v>45</v>
      </c>
      <c r="AW201" s="7" t="s">
        <v>18</v>
      </c>
      <c r="AX201" s="7" t="s">
        <v>44</v>
      </c>
      <c r="AY201" s="101" t="s">
        <v>77</v>
      </c>
    </row>
    <row r="202" spans="2:65" s="7" customFormat="1" ht="10.199999999999999" x14ac:dyDescent="0.2">
      <c r="B202" s="100"/>
      <c r="D202" s="96" t="s">
        <v>88</v>
      </c>
      <c r="E202" s="101" t="s">
        <v>0</v>
      </c>
      <c r="F202" s="102" t="s">
        <v>198</v>
      </c>
      <c r="H202" s="101" t="s">
        <v>0</v>
      </c>
      <c r="I202" s="103"/>
      <c r="L202" s="100"/>
      <c r="M202" s="104"/>
      <c r="T202" s="105"/>
      <c r="AT202" s="101" t="s">
        <v>88</v>
      </c>
      <c r="AU202" s="101" t="s">
        <v>47</v>
      </c>
      <c r="AV202" s="7" t="s">
        <v>45</v>
      </c>
      <c r="AW202" s="7" t="s">
        <v>18</v>
      </c>
      <c r="AX202" s="7" t="s">
        <v>44</v>
      </c>
      <c r="AY202" s="101" t="s">
        <v>77</v>
      </c>
    </row>
    <row r="203" spans="2:65" s="7" customFormat="1" ht="10.199999999999999" x14ac:dyDescent="0.2">
      <c r="B203" s="100"/>
      <c r="D203" s="96" t="s">
        <v>88</v>
      </c>
      <c r="E203" s="101" t="s">
        <v>0</v>
      </c>
      <c r="F203" s="102" t="s">
        <v>199</v>
      </c>
      <c r="H203" s="101" t="s">
        <v>0</v>
      </c>
      <c r="I203" s="103"/>
      <c r="L203" s="100"/>
      <c r="M203" s="104"/>
      <c r="T203" s="105"/>
      <c r="AT203" s="101" t="s">
        <v>88</v>
      </c>
      <c r="AU203" s="101" t="s">
        <v>47</v>
      </c>
      <c r="AV203" s="7" t="s">
        <v>45</v>
      </c>
      <c r="AW203" s="7" t="s">
        <v>18</v>
      </c>
      <c r="AX203" s="7" t="s">
        <v>44</v>
      </c>
      <c r="AY203" s="101" t="s">
        <v>77</v>
      </c>
    </row>
    <row r="204" spans="2:65" s="8" customFormat="1" ht="10.199999999999999" x14ac:dyDescent="0.2">
      <c r="B204" s="106"/>
      <c r="D204" s="96" t="s">
        <v>88</v>
      </c>
      <c r="E204" s="107" t="s">
        <v>0</v>
      </c>
      <c r="F204" s="108" t="s">
        <v>200</v>
      </c>
      <c r="H204" s="109">
        <v>8.92</v>
      </c>
      <c r="I204" s="110"/>
      <c r="L204" s="106"/>
      <c r="M204" s="111"/>
      <c r="T204" s="112"/>
      <c r="AT204" s="107" t="s">
        <v>88</v>
      </c>
      <c r="AU204" s="107" t="s">
        <v>47</v>
      </c>
      <c r="AV204" s="8" t="s">
        <v>47</v>
      </c>
      <c r="AW204" s="8" t="s">
        <v>18</v>
      </c>
      <c r="AX204" s="8" t="s">
        <v>44</v>
      </c>
      <c r="AY204" s="107" t="s">
        <v>77</v>
      </c>
    </row>
    <row r="205" spans="2:65" s="7" customFormat="1" ht="10.199999999999999" x14ac:dyDescent="0.2">
      <c r="B205" s="100"/>
      <c r="D205" s="96" t="s">
        <v>88</v>
      </c>
      <c r="E205" s="101" t="s">
        <v>0</v>
      </c>
      <c r="F205" s="102" t="s">
        <v>201</v>
      </c>
      <c r="H205" s="101" t="s">
        <v>0</v>
      </c>
      <c r="I205" s="103"/>
      <c r="L205" s="100"/>
      <c r="M205" s="104"/>
      <c r="T205" s="105"/>
      <c r="AT205" s="101" t="s">
        <v>88</v>
      </c>
      <c r="AU205" s="101" t="s">
        <v>47</v>
      </c>
      <c r="AV205" s="7" t="s">
        <v>45</v>
      </c>
      <c r="AW205" s="7" t="s">
        <v>18</v>
      </c>
      <c r="AX205" s="7" t="s">
        <v>44</v>
      </c>
      <c r="AY205" s="101" t="s">
        <v>77</v>
      </c>
    </row>
    <row r="206" spans="2:65" s="8" customFormat="1" ht="10.199999999999999" x14ac:dyDescent="0.2">
      <c r="B206" s="106"/>
      <c r="D206" s="96" t="s">
        <v>88</v>
      </c>
      <c r="E206" s="107" t="s">
        <v>0</v>
      </c>
      <c r="F206" s="108" t="s">
        <v>202</v>
      </c>
      <c r="H206" s="109">
        <v>0.39</v>
      </c>
      <c r="I206" s="110"/>
      <c r="L206" s="106"/>
      <c r="M206" s="111"/>
      <c r="T206" s="112"/>
      <c r="AT206" s="107" t="s">
        <v>88</v>
      </c>
      <c r="AU206" s="107" t="s">
        <v>47</v>
      </c>
      <c r="AV206" s="8" t="s">
        <v>47</v>
      </c>
      <c r="AW206" s="8" t="s">
        <v>18</v>
      </c>
      <c r="AX206" s="8" t="s">
        <v>44</v>
      </c>
      <c r="AY206" s="107" t="s">
        <v>77</v>
      </c>
    </row>
    <row r="207" spans="2:65" s="9" customFormat="1" ht="10.199999999999999" x14ac:dyDescent="0.2">
      <c r="B207" s="113"/>
      <c r="D207" s="96" t="s">
        <v>88</v>
      </c>
      <c r="E207" s="114" t="s">
        <v>0</v>
      </c>
      <c r="F207" s="115" t="s">
        <v>91</v>
      </c>
      <c r="H207" s="116">
        <v>9.31</v>
      </c>
      <c r="I207" s="117"/>
      <c r="L207" s="113"/>
      <c r="M207" s="118"/>
      <c r="T207" s="119"/>
      <c r="AT207" s="114" t="s">
        <v>88</v>
      </c>
      <c r="AU207" s="114" t="s">
        <v>47</v>
      </c>
      <c r="AV207" s="9" t="s">
        <v>84</v>
      </c>
      <c r="AW207" s="9" t="s">
        <v>18</v>
      </c>
      <c r="AX207" s="9" t="s">
        <v>45</v>
      </c>
      <c r="AY207" s="114" t="s">
        <v>77</v>
      </c>
    </row>
    <row r="208" spans="2:65" s="1" customFormat="1" ht="16.5" customHeight="1" x14ac:dyDescent="0.2">
      <c r="B208" s="19"/>
      <c r="C208" s="120" t="s">
        <v>203</v>
      </c>
      <c r="D208" s="120" t="s">
        <v>204</v>
      </c>
      <c r="E208" s="121" t="s">
        <v>205</v>
      </c>
      <c r="F208" s="122" t="s">
        <v>206</v>
      </c>
      <c r="G208" s="123" t="s">
        <v>207</v>
      </c>
      <c r="H208" s="124">
        <v>18.62</v>
      </c>
      <c r="I208" s="125"/>
      <c r="J208" s="124">
        <f>ROUND(I208*H208,2)</f>
        <v>0</v>
      </c>
      <c r="K208" s="122" t="s">
        <v>83</v>
      </c>
      <c r="L208" s="126"/>
      <c r="M208" s="127" t="s">
        <v>0</v>
      </c>
      <c r="N208" s="128" t="s">
        <v>26</v>
      </c>
      <c r="P208" s="92">
        <f>O208*H208</f>
        <v>0</v>
      </c>
      <c r="Q208" s="92">
        <v>1</v>
      </c>
      <c r="R208" s="92">
        <f>Q208*H208</f>
        <v>18.62</v>
      </c>
      <c r="S208" s="92">
        <v>0</v>
      </c>
      <c r="T208" s="93">
        <f>S208*H208</f>
        <v>0</v>
      </c>
      <c r="AR208" s="94" t="s">
        <v>147</v>
      </c>
      <c r="AT208" s="94" t="s">
        <v>204</v>
      </c>
      <c r="AU208" s="94" t="s">
        <v>47</v>
      </c>
      <c r="AY208" s="10" t="s">
        <v>77</v>
      </c>
      <c r="BE208" s="95">
        <f>IF(N208="základní",J208,0)</f>
        <v>0</v>
      </c>
      <c r="BF208" s="95">
        <f>IF(N208="snížená",J208,0)</f>
        <v>0</v>
      </c>
      <c r="BG208" s="95">
        <f>IF(N208="zákl. přenesená",J208,0)</f>
        <v>0</v>
      </c>
      <c r="BH208" s="95">
        <f>IF(N208="sníž. přenesená",J208,0)</f>
        <v>0</v>
      </c>
      <c r="BI208" s="95">
        <f>IF(N208="nulová",J208,0)</f>
        <v>0</v>
      </c>
      <c r="BJ208" s="10" t="s">
        <v>45</v>
      </c>
      <c r="BK208" s="95">
        <f>ROUND(I208*H208,2)</f>
        <v>0</v>
      </c>
      <c r="BL208" s="10" t="s">
        <v>84</v>
      </c>
      <c r="BM208" s="94" t="s">
        <v>208</v>
      </c>
    </row>
    <row r="209" spans="2:65" s="1" customFormat="1" ht="10.199999999999999" x14ac:dyDescent="0.2">
      <c r="B209" s="19"/>
      <c r="D209" s="96" t="s">
        <v>86</v>
      </c>
      <c r="F209" s="97" t="s">
        <v>206</v>
      </c>
      <c r="I209" s="98"/>
      <c r="L209" s="19"/>
      <c r="M209" s="99"/>
      <c r="T209" s="32"/>
      <c r="AT209" s="10" t="s">
        <v>86</v>
      </c>
      <c r="AU209" s="10" t="s">
        <v>47</v>
      </c>
    </row>
    <row r="210" spans="2:65" s="8" customFormat="1" ht="10.199999999999999" x14ac:dyDescent="0.2">
      <c r="B210" s="106"/>
      <c r="D210" s="96" t="s">
        <v>88</v>
      </c>
      <c r="F210" s="108" t="s">
        <v>209</v>
      </c>
      <c r="H210" s="109">
        <v>18.62</v>
      </c>
      <c r="I210" s="110"/>
      <c r="L210" s="106"/>
      <c r="M210" s="111"/>
      <c r="T210" s="112"/>
      <c r="AT210" s="107" t="s">
        <v>88</v>
      </c>
      <c r="AU210" s="107" t="s">
        <v>47</v>
      </c>
      <c r="AV210" s="8" t="s">
        <v>47</v>
      </c>
      <c r="AW210" s="8" t="s">
        <v>1</v>
      </c>
      <c r="AX210" s="8" t="s">
        <v>45</v>
      </c>
      <c r="AY210" s="107" t="s">
        <v>77</v>
      </c>
    </row>
    <row r="211" spans="2:65" s="1" customFormat="1" ht="24.15" customHeight="1" x14ac:dyDescent="0.2">
      <c r="B211" s="19"/>
      <c r="C211" s="84" t="s">
        <v>210</v>
      </c>
      <c r="D211" s="84" t="s">
        <v>79</v>
      </c>
      <c r="E211" s="85" t="s">
        <v>211</v>
      </c>
      <c r="F211" s="86" t="s">
        <v>212</v>
      </c>
      <c r="G211" s="87" t="s">
        <v>94</v>
      </c>
      <c r="H211" s="88">
        <v>56.19</v>
      </c>
      <c r="I211" s="89"/>
      <c r="J211" s="88">
        <f>ROUND(I211*H211,2)</f>
        <v>0</v>
      </c>
      <c r="K211" s="86" t="s">
        <v>83</v>
      </c>
      <c r="L211" s="19"/>
      <c r="M211" s="90" t="s">
        <v>0</v>
      </c>
      <c r="N211" s="91" t="s">
        <v>26</v>
      </c>
      <c r="P211" s="92">
        <f>O211*H211</f>
        <v>0</v>
      </c>
      <c r="Q211" s="92">
        <v>0</v>
      </c>
      <c r="R211" s="92">
        <f>Q211*H211</f>
        <v>0</v>
      </c>
      <c r="S211" s="92">
        <v>0</v>
      </c>
      <c r="T211" s="93">
        <f>S211*H211</f>
        <v>0</v>
      </c>
      <c r="AR211" s="94" t="s">
        <v>84</v>
      </c>
      <c r="AT211" s="94" t="s">
        <v>79</v>
      </c>
      <c r="AU211" s="94" t="s">
        <v>47</v>
      </c>
      <c r="AY211" s="10" t="s">
        <v>77</v>
      </c>
      <c r="BE211" s="95">
        <f>IF(N211="základní",J211,0)</f>
        <v>0</v>
      </c>
      <c r="BF211" s="95">
        <f>IF(N211="snížená",J211,0)</f>
        <v>0</v>
      </c>
      <c r="BG211" s="95">
        <f>IF(N211="zákl. přenesená",J211,0)</f>
        <v>0</v>
      </c>
      <c r="BH211" s="95">
        <f>IF(N211="sníž. přenesená",J211,0)</f>
        <v>0</v>
      </c>
      <c r="BI211" s="95">
        <f>IF(N211="nulová",J211,0)</f>
        <v>0</v>
      </c>
      <c r="BJ211" s="10" t="s">
        <v>45</v>
      </c>
      <c r="BK211" s="95">
        <f>ROUND(I211*H211,2)</f>
        <v>0</v>
      </c>
      <c r="BL211" s="10" t="s">
        <v>84</v>
      </c>
      <c r="BM211" s="94" t="s">
        <v>213</v>
      </c>
    </row>
    <row r="212" spans="2:65" s="1" customFormat="1" ht="48" x14ac:dyDescent="0.2">
      <c r="B212" s="19"/>
      <c r="D212" s="96" t="s">
        <v>86</v>
      </c>
      <c r="F212" s="97" t="s">
        <v>214</v>
      </c>
      <c r="I212" s="98"/>
      <c r="L212" s="19"/>
      <c r="M212" s="99"/>
      <c r="T212" s="32"/>
      <c r="AT212" s="10" t="s">
        <v>86</v>
      </c>
      <c r="AU212" s="10" t="s">
        <v>47</v>
      </c>
    </row>
    <row r="213" spans="2:65" s="7" customFormat="1" ht="10.199999999999999" x14ac:dyDescent="0.2">
      <c r="B213" s="100"/>
      <c r="D213" s="96" t="s">
        <v>88</v>
      </c>
      <c r="E213" s="101" t="s">
        <v>0</v>
      </c>
      <c r="F213" s="102" t="s">
        <v>215</v>
      </c>
      <c r="H213" s="101" t="s">
        <v>0</v>
      </c>
      <c r="I213" s="103"/>
      <c r="L213" s="100"/>
      <c r="M213" s="104"/>
      <c r="T213" s="105"/>
      <c r="AT213" s="101" t="s">
        <v>88</v>
      </c>
      <c r="AU213" s="101" t="s">
        <v>47</v>
      </c>
      <c r="AV213" s="7" t="s">
        <v>45</v>
      </c>
      <c r="AW213" s="7" t="s">
        <v>18</v>
      </c>
      <c r="AX213" s="7" t="s">
        <v>44</v>
      </c>
      <c r="AY213" s="101" t="s">
        <v>77</v>
      </c>
    </row>
    <row r="214" spans="2:65" s="8" customFormat="1" ht="10.199999999999999" x14ac:dyDescent="0.2">
      <c r="B214" s="106"/>
      <c r="D214" s="96" t="s">
        <v>88</v>
      </c>
      <c r="E214" s="107" t="s">
        <v>0</v>
      </c>
      <c r="F214" s="108" t="s">
        <v>216</v>
      </c>
      <c r="H214" s="109">
        <v>56.19</v>
      </c>
      <c r="I214" s="110"/>
      <c r="L214" s="106"/>
      <c r="M214" s="111"/>
      <c r="T214" s="112"/>
      <c r="AT214" s="107" t="s">
        <v>88</v>
      </c>
      <c r="AU214" s="107" t="s">
        <v>47</v>
      </c>
      <c r="AV214" s="8" t="s">
        <v>47</v>
      </c>
      <c r="AW214" s="8" t="s">
        <v>18</v>
      </c>
      <c r="AX214" s="8" t="s">
        <v>45</v>
      </c>
      <c r="AY214" s="107" t="s">
        <v>77</v>
      </c>
    </row>
    <row r="215" spans="2:65" s="1" customFormat="1" ht="16.5" customHeight="1" x14ac:dyDescent="0.2">
      <c r="B215" s="19"/>
      <c r="C215" s="120" t="s">
        <v>217</v>
      </c>
      <c r="D215" s="120" t="s">
        <v>204</v>
      </c>
      <c r="E215" s="121" t="s">
        <v>205</v>
      </c>
      <c r="F215" s="122" t="s">
        <v>206</v>
      </c>
      <c r="G215" s="123" t="s">
        <v>207</v>
      </c>
      <c r="H215" s="124">
        <v>106.76</v>
      </c>
      <c r="I215" s="125"/>
      <c r="J215" s="124">
        <f>ROUND(I215*H215,2)</f>
        <v>0</v>
      </c>
      <c r="K215" s="122" t="s">
        <v>83</v>
      </c>
      <c r="L215" s="126"/>
      <c r="M215" s="127" t="s">
        <v>0</v>
      </c>
      <c r="N215" s="128" t="s">
        <v>26</v>
      </c>
      <c r="P215" s="92">
        <f>O215*H215</f>
        <v>0</v>
      </c>
      <c r="Q215" s="92">
        <v>1</v>
      </c>
      <c r="R215" s="92">
        <f>Q215*H215</f>
        <v>106.76</v>
      </c>
      <c r="S215" s="92">
        <v>0</v>
      </c>
      <c r="T215" s="93">
        <f>S215*H215</f>
        <v>0</v>
      </c>
      <c r="AR215" s="94" t="s">
        <v>147</v>
      </c>
      <c r="AT215" s="94" t="s">
        <v>204</v>
      </c>
      <c r="AU215" s="94" t="s">
        <v>47</v>
      </c>
      <c r="AY215" s="10" t="s">
        <v>77</v>
      </c>
      <c r="BE215" s="95">
        <f>IF(N215="základní",J215,0)</f>
        <v>0</v>
      </c>
      <c r="BF215" s="95">
        <f>IF(N215="snížená",J215,0)</f>
        <v>0</v>
      </c>
      <c r="BG215" s="95">
        <f>IF(N215="zákl. přenesená",J215,0)</f>
        <v>0</v>
      </c>
      <c r="BH215" s="95">
        <f>IF(N215="sníž. přenesená",J215,0)</f>
        <v>0</v>
      </c>
      <c r="BI215" s="95">
        <f>IF(N215="nulová",J215,0)</f>
        <v>0</v>
      </c>
      <c r="BJ215" s="10" t="s">
        <v>45</v>
      </c>
      <c r="BK215" s="95">
        <f>ROUND(I215*H215,2)</f>
        <v>0</v>
      </c>
      <c r="BL215" s="10" t="s">
        <v>84</v>
      </c>
      <c r="BM215" s="94" t="s">
        <v>218</v>
      </c>
    </row>
    <row r="216" spans="2:65" s="1" customFormat="1" ht="10.199999999999999" x14ac:dyDescent="0.2">
      <c r="B216" s="19"/>
      <c r="D216" s="96" t="s">
        <v>86</v>
      </c>
      <c r="F216" s="97" t="s">
        <v>206</v>
      </c>
      <c r="I216" s="98"/>
      <c r="L216" s="19"/>
      <c r="M216" s="99"/>
      <c r="T216" s="32"/>
      <c r="AT216" s="10" t="s">
        <v>86</v>
      </c>
      <c r="AU216" s="10" t="s">
        <v>47</v>
      </c>
    </row>
    <row r="217" spans="2:65" s="7" customFormat="1" ht="10.199999999999999" x14ac:dyDescent="0.2">
      <c r="B217" s="100"/>
      <c r="D217" s="96" t="s">
        <v>88</v>
      </c>
      <c r="E217" s="101" t="s">
        <v>0</v>
      </c>
      <c r="F217" s="102" t="s">
        <v>219</v>
      </c>
      <c r="H217" s="101" t="s">
        <v>0</v>
      </c>
      <c r="I217" s="103"/>
      <c r="L217" s="100"/>
      <c r="M217" s="104"/>
      <c r="T217" s="105"/>
      <c r="AT217" s="101" t="s">
        <v>88</v>
      </c>
      <c r="AU217" s="101" t="s">
        <v>47</v>
      </c>
      <c r="AV217" s="7" t="s">
        <v>45</v>
      </c>
      <c r="AW217" s="7" t="s">
        <v>18</v>
      </c>
      <c r="AX217" s="7" t="s">
        <v>44</v>
      </c>
      <c r="AY217" s="101" t="s">
        <v>77</v>
      </c>
    </row>
    <row r="218" spans="2:65" s="8" customFormat="1" ht="10.199999999999999" x14ac:dyDescent="0.2">
      <c r="B218" s="106"/>
      <c r="D218" s="96" t="s">
        <v>88</v>
      </c>
      <c r="E218" s="107" t="s">
        <v>0</v>
      </c>
      <c r="F218" s="108" t="s">
        <v>220</v>
      </c>
      <c r="H218" s="109">
        <v>106.76</v>
      </c>
      <c r="I218" s="110"/>
      <c r="L218" s="106"/>
      <c r="M218" s="111"/>
      <c r="T218" s="112"/>
      <c r="AT218" s="107" t="s">
        <v>88</v>
      </c>
      <c r="AU218" s="107" t="s">
        <v>47</v>
      </c>
      <c r="AV218" s="8" t="s">
        <v>47</v>
      </c>
      <c r="AW218" s="8" t="s">
        <v>18</v>
      </c>
      <c r="AX218" s="8" t="s">
        <v>45</v>
      </c>
      <c r="AY218" s="107" t="s">
        <v>77</v>
      </c>
    </row>
    <row r="219" spans="2:65" s="6" customFormat="1" ht="22.8" customHeight="1" x14ac:dyDescent="0.25">
      <c r="B219" s="72"/>
      <c r="D219" s="73" t="s">
        <v>43</v>
      </c>
      <c r="E219" s="82" t="s">
        <v>84</v>
      </c>
      <c r="F219" s="82" t="s">
        <v>221</v>
      </c>
      <c r="I219" s="75"/>
      <c r="J219" s="83">
        <f>BK219</f>
        <v>0</v>
      </c>
      <c r="L219" s="72"/>
      <c r="M219" s="77"/>
      <c r="P219" s="78">
        <f>SUM(P220:P244)</f>
        <v>0</v>
      </c>
      <c r="R219" s="78">
        <f>SUM(R220:R244)</f>
        <v>0.104935071985</v>
      </c>
      <c r="T219" s="79">
        <f>SUM(T220:T244)</f>
        <v>0</v>
      </c>
      <c r="AR219" s="73" t="s">
        <v>45</v>
      </c>
      <c r="AT219" s="80" t="s">
        <v>43</v>
      </c>
      <c r="AU219" s="80" t="s">
        <v>45</v>
      </c>
      <c r="AY219" s="73" t="s">
        <v>77</v>
      </c>
      <c r="BK219" s="81">
        <f>SUM(BK220:BK244)</f>
        <v>0</v>
      </c>
    </row>
    <row r="220" spans="2:65" s="1" customFormat="1" ht="16.5" customHeight="1" x14ac:dyDescent="0.2">
      <c r="B220" s="19"/>
      <c r="C220" s="84" t="s">
        <v>222</v>
      </c>
      <c r="D220" s="84" t="s">
        <v>79</v>
      </c>
      <c r="E220" s="85" t="s">
        <v>223</v>
      </c>
      <c r="F220" s="86" t="s">
        <v>224</v>
      </c>
      <c r="G220" s="87" t="s">
        <v>94</v>
      </c>
      <c r="H220" s="88">
        <v>18.77</v>
      </c>
      <c r="I220" s="89"/>
      <c r="J220" s="88">
        <f>ROUND(I220*H220,2)</f>
        <v>0</v>
      </c>
      <c r="K220" s="86" t="s">
        <v>83</v>
      </c>
      <c r="L220" s="19"/>
      <c r="M220" s="90" t="s">
        <v>0</v>
      </c>
      <c r="N220" s="91" t="s">
        <v>26</v>
      </c>
      <c r="P220" s="92">
        <f>O220*H220</f>
        <v>0</v>
      </c>
      <c r="Q220" s="92">
        <v>0</v>
      </c>
      <c r="R220" s="92">
        <f>Q220*H220</f>
        <v>0</v>
      </c>
      <c r="S220" s="92">
        <v>0</v>
      </c>
      <c r="T220" s="93">
        <f>S220*H220</f>
        <v>0</v>
      </c>
      <c r="AR220" s="94" t="s">
        <v>84</v>
      </c>
      <c r="AT220" s="94" t="s">
        <v>79</v>
      </c>
      <c r="AU220" s="94" t="s">
        <v>47</v>
      </c>
      <c r="AY220" s="10" t="s">
        <v>77</v>
      </c>
      <c r="BE220" s="95">
        <f>IF(N220="základní",J220,0)</f>
        <v>0</v>
      </c>
      <c r="BF220" s="95">
        <f>IF(N220="snížená",J220,0)</f>
        <v>0</v>
      </c>
      <c r="BG220" s="95">
        <f>IF(N220="zákl. přenesená",J220,0)</f>
        <v>0</v>
      </c>
      <c r="BH220" s="95">
        <f>IF(N220="sníž. přenesená",J220,0)</f>
        <v>0</v>
      </c>
      <c r="BI220" s="95">
        <f>IF(N220="nulová",J220,0)</f>
        <v>0</v>
      </c>
      <c r="BJ220" s="10" t="s">
        <v>45</v>
      </c>
      <c r="BK220" s="95">
        <f>ROUND(I220*H220,2)</f>
        <v>0</v>
      </c>
      <c r="BL220" s="10" t="s">
        <v>84</v>
      </c>
      <c r="BM220" s="94" t="s">
        <v>225</v>
      </c>
    </row>
    <row r="221" spans="2:65" s="1" customFormat="1" ht="19.2" x14ac:dyDescent="0.2">
      <c r="B221" s="19"/>
      <c r="D221" s="96" t="s">
        <v>86</v>
      </c>
      <c r="F221" s="97" t="s">
        <v>226</v>
      </c>
      <c r="I221" s="98"/>
      <c r="L221" s="19"/>
      <c r="M221" s="99"/>
      <c r="T221" s="32"/>
      <c r="AT221" s="10" t="s">
        <v>86</v>
      </c>
      <c r="AU221" s="10" t="s">
        <v>47</v>
      </c>
    </row>
    <row r="222" spans="2:65" s="7" customFormat="1" ht="10.199999999999999" x14ac:dyDescent="0.2">
      <c r="B222" s="100"/>
      <c r="D222" s="96" t="s">
        <v>88</v>
      </c>
      <c r="E222" s="101" t="s">
        <v>0</v>
      </c>
      <c r="F222" s="102" t="s">
        <v>227</v>
      </c>
      <c r="H222" s="101" t="s">
        <v>0</v>
      </c>
      <c r="I222" s="103"/>
      <c r="L222" s="100"/>
      <c r="M222" s="104"/>
      <c r="T222" s="105"/>
      <c r="AT222" s="101" t="s">
        <v>88</v>
      </c>
      <c r="AU222" s="101" t="s">
        <v>47</v>
      </c>
      <c r="AV222" s="7" t="s">
        <v>45</v>
      </c>
      <c r="AW222" s="7" t="s">
        <v>18</v>
      </c>
      <c r="AX222" s="7" t="s">
        <v>44</v>
      </c>
      <c r="AY222" s="101" t="s">
        <v>77</v>
      </c>
    </row>
    <row r="223" spans="2:65" s="8" customFormat="1" ht="10.199999999999999" x14ac:dyDescent="0.2">
      <c r="B223" s="106"/>
      <c r="D223" s="96" t="s">
        <v>88</v>
      </c>
      <c r="E223" s="107" t="s">
        <v>0</v>
      </c>
      <c r="F223" s="108" t="s">
        <v>228</v>
      </c>
      <c r="H223" s="109">
        <v>18.77</v>
      </c>
      <c r="I223" s="110"/>
      <c r="L223" s="106"/>
      <c r="M223" s="111"/>
      <c r="T223" s="112"/>
      <c r="AT223" s="107" t="s">
        <v>88</v>
      </c>
      <c r="AU223" s="107" t="s">
        <v>47</v>
      </c>
      <c r="AV223" s="8" t="s">
        <v>47</v>
      </c>
      <c r="AW223" s="8" t="s">
        <v>18</v>
      </c>
      <c r="AX223" s="8" t="s">
        <v>45</v>
      </c>
      <c r="AY223" s="107" t="s">
        <v>77</v>
      </c>
    </row>
    <row r="224" spans="2:65" s="1" customFormat="1" ht="33" customHeight="1" x14ac:dyDescent="0.2">
      <c r="B224" s="19"/>
      <c r="C224" s="84" t="s">
        <v>229</v>
      </c>
      <c r="D224" s="84" t="s">
        <v>79</v>
      </c>
      <c r="E224" s="85" t="s">
        <v>230</v>
      </c>
      <c r="F224" s="86" t="s">
        <v>231</v>
      </c>
      <c r="G224" s="87" t="s">
        <v>94</v>
      </c>
      <c r="H224" s="88">
        <v>0.46</v>
      </c>
      <c r="I224" s="89"/>
      <c r="J224" s="88">
        <f>ROUND(I224*H224,2)</f>
        <v>0</v>
      </c>
      <c r="K224" s="86" t="s">
        <v>83</v>
      </c>
      <c r="L224" s="19"/>
      <c r="M224" s="90" t="s">
        <v>0</v>
      </c>
      <c r="N224" s="91" t="s">
        <v>26</v>
      </c>
      <c r="P224" s="92">
        <f>O224*H224</f>
        <v>0</v>
      </c>
      <c r="Q224" s="92">
        <v>0</v>
      </c>
      <c r="R224" s="92">
        <f>Q224*H224</f>
        <v>0</v>
      </c>
      <c r="S224" s="92">
        <v>0</v>
      </c>
      <c r="T224" s="93">
        <f>S224*H224</f>
        <v>0</v>
      </c>
      <c r="AR224" s="94" t="s">
        <v>84</v>
      </c>
      <c r="AT224" s="94" t="s">
        <v>79</v>
      </c>
      <c r="AU224" s="94" t="s">
        <v>47</v>
      </c>
      <c r="AY224" s="10" t="s">
        <v>77</v>
      </c>
      <c r="BE224" s="95">
        <f>IF(N224="základní",J224,0)</f>
        <v>0</v>
      </c>
      <c r="BF224" s="95">
        <f>IF(N224="snížená",J224,0)</f>
        <v>0</v>
      </c>
      <c r="BG224" s="95">
        <f>IF(N224="zákl. přenesená",J224,0)</f>
        <v>0</v>
      </c>
      <c r="BH224" s="95">
        <f>IF(N224="sníž. přenesená",J224,0)</f>
        <v>0</v>
      </c>
      <c r="BI224" s="95">
        <f>IF(N224="nulová",J224,0)</f>
        <v>0</v>
      </c>
      <c r="BJ224" s="10" t="s">
        <v>45</v>
      </c>
      <c r="BK224" s="95">
        <f>ROUND(I224*H224,2)</f>
        <v>0</v>
      </c>
      <c r="BL224" s="10" t="s">
        <v>84</v>
      </c>
      <c r="BM224" s="94" t="s">
        <v>232</v>
      </c>
    </row>
    <row r="225" spans="2:65" s="1" customFormat="1" ht="28.8" x14ac:dyDescent="0.2">
      <c r="B225" s="19"/>
      <c r="D225" s="96" t="s">
        <v>86</v>
      </c>
      <c r="F225" s="97" t="s">
        <v>233</v>
      </c>
      <c r="I225" s="98"/>
      <c r="L225" s="19"/>
      <c r="M225" s="99"/>
      <c r="T225" s="32"/>
      <c r="AT225" s="10" t="s">
        <v>86</v>
      </c>
      <c r="AU225" s="10" t="s">
        <v>47</v>
      </c>
    </row>
    <row r="226" spans="2:65" s="8" customFormat="1" ht="10.199999999999999" x14ac:dyDescent="0.2">
      <c r="B226" s="106"/>
      <c r="D226" s="96" t="s">
        <v>88</v>
      </c>
      <c r="E226" s="107" t="s">
        <v>0</v>
      </c>
      <c r="F226" s="108" t="s">
        <v>234</v>
      </c>
      <c r="H226" s="109">
        <v>0.46</v>
      </c>
      <c r="I226" s="110"/>
      <c r="L226" s="106"/>
      <c r="M226" s="111"/>
      <c r="T226" s="112"/>
      <c r="AT226" s="107" t="s">
        <v>88</v>
      </c>
      <c r="AU226" s="107" t="s">
        <v>47</v>
      </c>
      <c r="AV226" s="8" t="s">
        <v>47</v>
      </c>
      <c r="AW226" s="8" t="s">
        <v>18</v>
      </c>
      <c r="AX226" s="8" t="s">
        <v>45</v>
      </c>
      <c r="AY226" s="107" t="s">
        <v>77</v>
      </c>
    </row>
    <row r="227" spans="2:65" s="1" customFormat="1" ht="24.15" customHeight="1" x14ac:dyDescent="0.2">
      <c r="B227" s="19"/>
      <c r="C227" s="84" t="s">
        <v>235</v>
      </c>
      <c r="D227" s="84" t="s">
        <v>79</v>
      </c>
      <c r="E227" s="85" t="s">
        <v>236</v>
      </c>
      <c r="F227" s="86" t="s">
        <v>237</v>
      </c>
      <c r="G227" s="87" t="s">
        <v>94</v>
      </c>
      <c r="H227" s="88">
        <v>2.94</v>
      </c>
      <c r="I227" s="89"/>
      <c r="J227" s="88">
        <f>ROUND(I227*H227,2)</f>
        <v>0</v>
      </c>
      <c r="K227" s="86" t="s">
        <v>83</v>
      </c>
      <c r="L227" s="19"/>
      <c r="M227" s="90" t="s">
        <v>0</v>
      </c>
      <c r="N227" s="91" t="s">
        <v>26</v>
      </c>
      <c r="P227" s="92">
        <f>O227*H227</f>
        <v>0</v>
      </c>
      <c r="Q227" s="92">
        <v>0</v>
      </c>
      <c r="R227" s="92">
        <f>Q227*H227</f>
        <v>0</v>
      </c>
      <c r="S227" s="92">
        <v>0</v>
      </c>
      <c r="T227" s="93">
        <f>S227*H227</f>
        <v>0</v>
      </c>
      <c r="AR227" s="94" t="s">
        <v>84</v>
      </c>
      <c r="AT227" s="94" t="s">
        <v>79</v>
      </c>
      <c r="AU227" s="94" t="s">
        <v>47</v>
      </c>
      <c r="AY227" s="10" t="s">
        <v>77</v>
      </c>
      <c r="BE227" s="95">
        <f>IF(N227="základní",J227,0)</f>
        <v>0</v>
      </c>
      <c r="BF227" s="95">
        <f>IF(N227="snížená",J227,0)</f>
        <v>0</v>
      </c>
      <c r="BG227" s="95">
        <f>IF(N227="zákl. přenesená",J227,0)</f>
        <v>0</v>
      </c>
      <c r="BH227" s="95">
        <f>IF(N227="sníž. přenesená",J227,0)</f>
        <v>0</v>
      </c>
      <c r="BI227" s="95">
        <f>IF(N227="nulová",J227,0)</f>
        <v>0</v>
      </c>
      <c r="BJ227" s="10" t="s">
        <v>45</v>
      </c>
      <c r="BK227" s="95">
        <f>ROUND(I227*H227,2)</f>
        <v>0</v>
      </c>
      <c r="BL227" s="10" t="s">
        <v>84</v>
      </c>
      <c r="BM227" s="94" t="s">
        <v>238</v>
      </c>
    </row>
    <row r="228" spans="2:65" s="1" customFormat="1" ht="28.8" x14ac:dyDescent="0.2">
      <c r="B228" s="19"/>
      <c r="D228" s="96" t="s">
        <v>86</v>
      </c>
      <c r="F228" s="97" t="s">
        <v>239</v>
      </c>
      <c r="I228" s="98"/>
      <c r="L228" s="19"/>
      <c r="M228" s="99"/>
      <c r="T228" s="32"/>
      <c r="AT228" s="10" t="s">
        <v>86</v>
      </c>
      <c r="AU228" s="10" t="s">
        <v>47</v>
      </c>
    </row>
    <row r="229" spans="2:65" s="7" customFormat="1" ht="10.199999999999999" x14ac:dyDescent="0.2">
      <c r="B229" s="100"/>
      <c r="D229" s="96" t="s">
        <v>88</v>
      </c>
      <c r="E229" s="101" t="s">
        <v>0</v>
      </c>
      <c r="F229" s="102" t="s">
        <v>240</v>
      </c>
      <c r="H229" s="101" t="s">
        <v>0</v>
      </c>
      <c r="I229" s="103"/>
      <c r="L229" s="100"/>
      <c r="M229" s="104"/>
      <c r="T229" s="105"/>
      <c r="AT229" s="101" t="s">
        <v>88</v>
      </c>
      <c r="AU229" s="101" t="s">
        <v>47</v>
      </c>
      <c r="AV229" s="7" t="s">
        <v>45</v>
      </c>
      <c r="AW229" s="7" t="s">
        <v>18</v>
      </c>
      <c r="AX229" s="7" t="s">
        <v>44</v>
      </c>
      <c r="AY229" s="101" t="s">
        <v>77</v>
      </c>
    </row>
    <row r="230" spans="2:65" s="8" customFormat="1" ht="10.199999999999999" x14ac:dyDescent="0.2">
      <c r="B230" s="106"/>
      <c r="D230" s="96" t="s">
        <v>88</v>
      </c>
      <c r="E230" s="107" t="s">
        <v>0</v>
      </c>
      <c r="F230" s="108" t="s">
        <v>241</v>
      </c>
      <c r="H230" s="109">
        <v>2.94</v>
      </c>
      <c r="I230" s="110"/>
      <c r="L230" s="106"/>
      <c r="M230" s="111"/>
      <c r="T230" s="112"/>
      <c r="AT230" s="107" t="s">
        <v>88</v>
      </c>
      <c r="AU230" s="107" t="s">
        <v>47</v>
      </c>
      <c r="AV230" s="8" t="s">
        <v>47</v>
      </c>
      <c r="AW230" s="8" t="s">
        <v>18</v>
      </c>
      <c r="AX230" s="8" t="s">
        <v>45</v>
      </c>
      <c r="AY230" s="107" t="s">
        <v>77</v>
      </c>
    </row>
    <row r="231" spans="2:65" s="1" customFormat="1" ht="33" customHeight="1" x14ac:dyDescent="0.2">
      <c r="B231" s="19"/>
      <c r="C231" s="84" t="s">
        <v>2</v>
      </c>
      <c r="D231" s="84" t="s">
        <v>79</v>
      </c>
      <c r="E231" s="85" t="s">
        <v>242</v>
      </c>
      <c r="F231" s="86" t="s">
        <v>243</v>
      </c>
      <c r="G231" s="87" t="s">
        <v>82</v>
      </c>
      <c r="H231" s="88">
        <v>0.42</v>
      </c>
      <c r="I231" s="89"/>
      <c r="J231" s="88">
        <f>ROUND(I231*H231,2)</f>
        <v>0</v>
      </c>
      <c r="K231" s="86" t="s">
        <v>83</v>
      </c>
      <c r="L231" s="19"/>
      <c r="M231" s="90" t="s">
        <v>0</v>
      </c>
      <c r="N231" s="91" t="s">
        <v>26</v>
      </c>
      <c r="P231" s="92">
        <f>O231*H231</f>
        <v>0</v>
      </c>
      <c r="Q231" s="92">
        <v>7.8849000000000002E-3</v>
      </c>
      <c r="R231" s="92">
        <f>Q231*H231</f>
        <v>3.3116579999999999E-3</v>
      </c>
      <c r="S231" s="92">
        <v>0</v>
      </c>
      <c r="T231" s="93">
        <f>S231*H231</f>
        <v>0</v>
      </c>
      <c r="AR231" s="94" t="s">
        <v>84</v>
      </c>
      <c r="AT231" s="94" t="s">
        <v>79</v>
      </c>
      <c r="AU231" s="94" t="s">
        <v>47</v>
      </c>
      <c r="AY231" s="10" t="s">
        <v>77</v>
      </c>
      <c r="BE231" s="95">
        <f>IF(N231="základní",J231,0)</f>
        <v>0</v>
      </c>
      <c r="BF231" s="95">
        <f>IF(N231="snížená",J231,0)</f>
        <v>0</v>
      </c>
      <c r="BG231" s="95">
        <f>IF(N231="zákl. přenesená",J231,0)</f>
        <v>0</v>
      </c>
      <c r="BH231" s="95">
        <f>IF(N231="sníž. přenesená",J231,0)</f>
        <v>0</v>
      </c>
      <c r="BI231" s="95">
        <f>IF(N231="nulová",J231,0)</f>
        <v>0</v>
      </c>
      <c r="BJ231" s="10" t="s">
        <v>45</v>
      </c>
      <c r="BK231" s="95">
        <f>ROUND(I231*H231,2)</f>
        <v>0</v>
      </c>
      <c r="BL231" s="10" t="s">
        <v>84</v>
      </c>
      <c r="BM231" s="94" t="s">
        <v>244</v>
      </c>
    </row>
    <row r="232" spans="2:65" s="1" customFormat="1" ht="28.8" x14ac:dyDescent="0.2">
      <c r="B232" s="19"/>
      <c r="D232" s="96" t="s">
        <v>86</v>
      </c>
      <c r="F232" s="97" t="s">
        <v>245</v>
      </c>
      <c r="I232" s="98"/>
      <c r="L232" s="19"/>
      <c r="M232" s="99"/>
      <c r="T232" s="32"/>
      <c r="AT232" s="10" t="s">
        <v>86</v>
      </c>
      <c r="AU232" s="10" t="s">
        <v>47</v>
      </c>
    </row>
    <row r="233" spans="2:65" s="8" customFormat="1" ht="10.199999999999999" x14ac:dyDescent="0.2">
      <c r="B233" s="106"/>
      <c r="D233" s="96" t="s">
        <v>88</v>
      </c>
      <c r="E233" s="107" t="s">
        <v>0</v>
      </c>
      <c r="F233" s="108" t="s">
        <v>246</v>
      </c>
      <c r="H233" s="109">
        <v>0.42</v>
      </c>
      <c r="I233" s="110"/>
      <c r="L233" s="106"/>
      <c r="M233" s="111"/>
      <c r="T233" s="112"/>
      <c r="AT233" s="107" t="s">
        <v>88</v>
      </c>
      <c r="AU233" s="107" t="s">
        <v>47</v>
      </c>
      <c r="AV233" s="8" t="s">
        <v>47</v>
      </c>
      <c r="AW233" s="8" t="s">
        <v>18</v>
      </c>
      <c r="AX233" s="8" t="s">
        <v>45</v>
      </c>
      <c r="AY233" s="107" t="s">
        <v>77</v>
      </c>
    </row>
    <row r="234" spans="2:65" s="1" customFormat="1" ht="37.799999999999997" customHeight="1" x14ac:dyDescent="0.2">
      <c r="B234" s="19"/>
      <c r="C234" s="84" t="s">
        <v>247</v>
      </c>
      <c r="D234" s="84" t="s">
        <v>79</v>
      </c>
      <c r="E234" s="85" t="s">
        <v>248</v>
      </c>
      <c r="F234" s="86" t="s">
        <v>249</v>
      </c>
      <c r="G234" s="87" t="s">
        <v>82</v>
      </c>
      <c r="H234" s="88">
        <v>0.42</v>
      </c>
      <c r="I234" s="89"/>
      <c r="J234" s="88">
        <f>ROUND(I234*H234,2)</f>
        <v>0</v>
      </c>
      <c r="K234" s="86" t="s">
        <v>83</v>
      </c>
      <c r="L234" s="19"/>
      <c r="M234" s="90" t="s">
        <v>0</v>
      </c>
      <c r="N234" s="91" t="s">
        <v>26</v>
      </c>
      <c r="P234" s="92">
        <f>O234*H234</f>
        <v>0</v>
      </c>
      <c r="Q234" s="92">
        <v>0</v>
      </c>
      <c r="R234" s="92">
        <f>Q234*H234</f>
        <v>0</v>
      </c>
      <c r="S234" s="92">
        <v>0</v>
      </c>
      <c r="T234" s="93">
        <f>S234*H234</f>
        <v>0</v>
      </c>
      <c r="AR234" s="94" t="s">
        <v>84</v>
      </c>
      <c r="AT234" s="94" t="s">
        <v>79</v>
      </c>
      <c r="AU234" s="94" t="s">
        <v>47</v>
      </c>
      <c r="AY234" s="10" t="s">
        <v>77</v>
      </c>
      <c r="BE234" s="95">
        <f>IF(N234="základní",J234,0)</f>
        <v>0</v>
      </c>
      <c r="BF234" s="95">
        <f>IF(N234="snížená",J234,0)</f>
        <v>0</v>
      </c>
      <c r="BG234" s="95">
        <f>IF(N234="zákl. přenesená",J234,0)</f>
        <v>0</v>
      </c>
      <c r="BH234" s="95">
        <f>IF(N234="sníž. přenesená",J234,0)</f>
        <v>0</v>
      </c>
      <c r="BI234" s="95">
        <f>IF(N234="nulová",J234,0)</f>
        <v>0</v>
      </c>
      <c r="BJ234" s="10" t="s">
        <v>45</v>
      </c>
      <c r="BK234" s="95">
        <f>ROUND(I234*H234,2)</f>
        <v>0</v>
      </c>
      <c r="BL234" s="10" t="s">
        <v>84</v>
      </c>
      <c r="BM234" s="94" t="s">
        <v>250</v>
      </c>
    </row>
    <row r="235" spans="2:65" s="1" customFormat="1" ht="28.8" x14ac:dyDescent="0.2">
      <c r="B235" s="19"/>
      <c r="D235" s="96" t="s">
        <v>86</v>
      </c>
      <c r="F235" s="97" t="s">
        <v>251</v>
      </c>
      <c r="I235" s="98"/>
      <c r="L235" s="19"/>
      <c r="M235" s="99"/>
      <c r="T235" s="32"/>
      <c r="AT235" s="10" t="s">
        <v>86</v>
      </c>
      <c r="AU235" s="10" t="s">
        <v>47</v>
      </c>
    </row>
    <row r="236" spans="2:65" s="8" customFormat="1" ht="10.199999999999999" x14ac:dyDescent="0.2">
      <c r="B236" s="106"/>
      <c r="D236" s="96" t="s">
        <v>88</v>
      </c>
      <c r="E236" s="107" t="s">
        <v>0</v>
      </c>
      <c r="F236" s="108" t="s">
        <v>252</v>
      </c>
      <c r="H236" s="109">
        <v>0.42</v>
      </c>
      <c r="I236" s="110"/>
      <c r="L236" s="106"/>
      <c r="M236" s="111"/>
      <c r="T236" s="112"/>
      <c r="AT236" s="107" t="s">
        <v>88</v>
      </c>
      <c r="AU236" s="107" t="s">
        <v>47</v>
      </c>
      <c r="AV236" s="8" t="s">
        <v>47</v>
      </c>
      <c r="AW236" s="8" t="s">
        <v>18</v>
      </c>
      <c r="AX236" s="8" t="s">
        <v>45</v>
      </c>
      <c r="AY236" s="107" t="s">
        <v>77</v>
      </c>
    </row>
    <row r="237" spans="2:65" s="1" customFormat="1" ht="24.15" customHeight="1" x14ac:dyDescent="0.2">
      <c r="B237" s="19"/>
      <c r="C237" s="84" t="s">
        <v>253</v>
      </c>
      <c r="D237" s="84" t="s">
        <v>79</v>
      </c>
      <c r="E237" s="85" t="s">
        <v>254</v>
      </c>
      <c r="F237" s="86" t="s">
        <v>255</v>
      </c>
      <c r="G237" s="87" t="s">
        <v>82</v>
      </c>
      <c r="H237" s="88">
        <v>3.65</v>
      </c>
      <c r="I237" s="89"/>
      <c r="J237" s="88">
        <f>ROUND(I237*H237,2)</f>
        <v>0</v>
      </c>
      <c r="K237" s="86" t="s">
        <v>83</v>
      </c>
      <c r="L237" s="19"/>
      <c r="M237" s="90" t="s">
        <v>0</v>
      </c>
      <c r="N237" s="91" t="s">
        <v>26</v>
      </c>
      <c r="P237" s="92">
        <f>O237*H237</f>
        <v>0</v>
      </c>
      <c r="Q237" s="92">
        <v>1.32835E-2</v>
      </c>
      <c r="R237" s="92">
        <f>Q237*H237</f>
        <v>4.8484775000000001E-2</v>
      </c>
      <c r="S237" s="92">
        <v>0</v>
      </c>
      <c r="T237" s="93">
        <f>S237*H237</f>
        <v>0</v>
      </c>
      <c r="AR237" s="94" t="s">
        <v>84</v>
      </c>
      <c r="AT237" s="94" t="s">
        <v>79</v>
      </c>
      <c r="AU237" s="94" t="s">
        <v>47</v>
      </c>
      <c r="AY237" s="10" t="s">
        <v>77</v>
      </c>
      <c r="BE237" s="95">
        <f>IF(N237="základní",J237,0)</f>
        <v>0</v>
      </c>
      <c r="BF237" s="95">
        <f>IF(N237="snížená",J237,0)</f>
        <v>0</v>
      </c>
      <c r="BG237" s="95">
        <f>IF(N237="zákl. přenesená",J237,0)</f>
        <v>0</v>
      </c>
      <c r="BH237" s="95">
        <f>IF(N237="sníž. přenesená",J237,0)</f>
        <v>0</v>
      </c>
      <c r="BI237" s="95">
        <f>IF(N237="nulová",J237,0)</f>
        <v>0</v>
      </c>
      <c r="BJ237" s="10" t="s">
        <v>45</v>
      </c>
      <c r="BK237" s="95">
        <f>ROUND(I237*H237,2)</f>
        <v>0</v>
      </c>
      <c r="BL237" s="10" t="s">
        <v>84</v>
      </c>
      <c r="BM237" s="94" t="s">
        <v>256</v>
      </c>
    </row>
    <row r="238" spans="2:65" s="1" customFormat="1" ht="19.2" x14ac:dyDescent="0.2">
      <c r="B238" s="19"/>
      <c r="D238" s="96" t="s">
        <v>86</v>
      </c>
      <c r="F238" s="97" t="s">
        <v>257</v>
      </c>
      <c r="I238" s="98"/>
      <c r="L238" s="19"/>
      <c r="M238" s="99"/>
      <c r="T238" s="32"/>
      <c r="AT238" s="10" t="s">
        <v>86</v>
      </c>
      <c r="AU238" s="10" t="s">
        <v>47</v>
      </c>
    </row>
    <row r="239" spans="2:65" s="8" customFormat="1" ht="10.199999999999999" x14ac:dyDescent="0.2">
      <c r="B239" s="106"/>
      <c r="D239" s="96" t="s">
        <v>88</v>
      </c>
      <c r="E239" s="107" t="s">
        <v>0</v>
      </c>
      <c r="F239" s="108" t="s">
        <v>258</v>
      </c>
      <c r="H239" s="109">
        <v>3.65</v>
      </c>
      <c r="I239" s="110"/>
      <c r="L239" s="106"/>
      <c r="M239" s="111"/>
      <c r="T239" s="112"/>
      <c r="AT239" s="107" t="s">
        <v>88</v>
      </c>
      <c r="AU239" s="107" t="s">
        <v>47</v>
      </c>
      <c r="AV239" s="8" t="s">
        <v>47</v>
      </c>
      <c r="AW239" s="8" t="s">
        <v>18</v>
      </c>
      <c r="AX239" s="8" t="s">
        <v>45</v>
      </c>
      <c r="AY239" s="107" t="s">
        <v>77</v>
      </c>
    </row>
    <row r="240" spans="2:65" s="1" customFormat="1" ht="24.15" customHeight="1" x14ac:dyDescent="0.2">
      <c r="B240" s="19"/>
      <c r="C240" s="84" t="s">
        <v>259</v>
      </c>
      <c r="D240" s="84" t="s">
        <v>79</v>
      </c>
      <c r="E240" s="85" t="s">
        <v>260</v>
      </c>
      <c r="F240" s="86" t="s">
        <v>261</v>
      </c>
      <c r="G240" s="87" t="s">
        <v>82</v>
      </c>
      <c r="H240" s="88">
        <v>3.65</v>
      </c>
      <c r="I240" s="89"/>
      <c r="J240" s="88">
        <f>ROUND(I240*H240,2)</f>
        <v>0</v>
      </c>
      <c r="K240" s="86" t="s">
        <v>83</v>
      </c>
      <c r="L240" s="19"/>
      <c r="M240" s="90" t="s">
        <v>0</v>
      </c>
      <c r="N240" s="91" t="s">
        <v>26</v>
      </c>
      <c r="P240" s="92">
        <f>O240*H240</f>
        <v>0</v>
      </c>
      <c r="Q240" s="92">
        <v>0</v>
      </c>
      <c r="R240" s="92">
        <f>Q240*H240</f>
        <v>0</v>
      </c>
      <c r="S240" s="92">
        <v>0</v>
      </c>
      <c r="T240" s="93">
        <f>S240*H240</f>
        <v>0</v>
      </c>
      <c r="AR240" s="94" t="s">
        <v>84</v>
      </c>
      <c r="AT240" s="94" t="s">
        <v>79</v>
      </c>
      <c r="AU240" s="94" t="s">
        <v>47</v>
      </c>
      <c r="AY240" s="10" t="s">
        <v>77</v>
      </c>
      <c r="BE240" s="95">
        <f>IF(N240="základní",J240,0)</f>
        <v>0</v>
      </c>
      <c r="BF240" s="95">
        <f>IF(N240="snížená",J240,0)</f>
        <v>0</v>
      </c>
      <c r="BG240" s="95">
        <f>IF(N240="zákl. přenesená",J240,0)</f>
        <v>0</v>
      </c>
      <c r="BH240" s="95">
        <f>IF(N240="sníž. přenesená",J240,0)</f>
        <v>0</v>
      </c>
      <c r="BI240" s="95">
        <f>IF(N240="nulová",J240,0)</f>
        <v>0</v>
      </c>
      <c r="BJ240" s="10" t="s">
        <v>45</v>
      </c>
      <c r="BK240" s="95">
        <f>ROUND(I240*H240,2)</f>
        <v>0</v>
      </c>
      <c r="BL240" s="10" t="s">
        <v>84</v>
      </c>
      <c r="BM240" s="94" t="s">
        <v>262</v>
      </c>
    </row>
    <row r="241" spans="2:65" s="1" customFormat="1" ht="19.2" x14ac:dyDescent="0.2">
      <c r="B241" s="19"/>
      <c r="D241" s="96" t="s">
        <v>86</v>
      </c>
      <c r="F241" s="97" t="s">
        <v>263</v>
      </c>
      <c r="I241" s="98"/>
      <c r="L241" s="19"/>
      <c r="M241" s="99"/>
      <c r="T241" s="32"/>
      <c r="AT241" s="10" t="s">
        <v>86</v>
      </c>
      <c r="AU241" s="10" t="s">
        <v>47</v>
      </c>
    </row>
    <row r="242" spans="2:65" s="1" customFormat="1" ht="24.15" customHeight="1" x14ac:dyDescent="0.2">
      <c r="B242" s="19"/>
      <c r="C242" s="84" t="s">
        <v>264</v>
      </c>
      <c r="D242" s="84" t="s">
        <v>79</v>
      </c>
      <c r="E242" s="85" t="s">
        <v>265</v>
      </c>
      <c r="F242" s="86" t="s">
        <v>266</v>
      </c>
      <c r="G242" s="87" t="s">
        <v>207</v>
      </c>
      <c r="H242" s="88">
        <v>0.05</v>
      </c>
      <c r="I242" s="89"/>
      <c r="J242" s="88">
        <f>ROUND(I242*H242,2)</f>
        <v>0</v>
      </c>
      <c r="K242" s="86" t="s">
        <v>83</v>
      </c>
      <c r="L242" s="19"/>
      <c r="M242" s="90" t="s">
        <v>0</v>
      </c>
      <c r="N242" s="91" t="s">
        <v>26</v>
      </c>
      <c r="P242" s="92">
        <f>O242*H242</f>
        <v>0</v>
      </c>
      <c r="Q242" s="92">
        <v>1.0627727796999999</v>
      </c>
      <c r="R242" s="92">
        <f>Q242*H242</f>
        <v>5.3138638985E-2</v>
      </c>
      <c r="S242" s="92">
        <v>0</v>
      </c>
      <c r="T242" s="93">
        <f>S242*H242</f>
        <v>0</v>
      </c>
      <c r="AR242" s="94" t="s">
        <v>84</v>
      </c>
      <c r="AT242" s="94" t="s">
        <v>79</v>
      </c>
      <c r="AU242" s="94" t="s">
        <v>47</v>
      </c>
      <c r="AY242" s="10" t="s">
        <v>77</v>
      </c>
      <c r="BE242" s="95">
        <f>IF(N242="základní",J242,0)</f>
        <v>0</v>
      </c>
      <c r="BF242" s="95">
        <f>IF(N242="snížená",J242,0)</f>
        <v>0</v>
      </c>
      <c r="BG242" s="95">
        <f>IF(N242="zákl. přenesená",J242,0)</f>
        <v>0</v>
      </c>
      <c r="BH242" s="95">
        <f>IF(N242="sníž. přenesená",J242,0)</f>
        <v>0</v>
      </c>
      <c r="BI242" s="95">
        <f>IF(N242="nulová",J242,0)</f>
        <v>0</v>
      </c>
      <c r="BJ242" s="10" t="s">
        <v>45</v>
      </c>
      <c r="BK242" s="95">
        <f>ROUND(I242*H242,2)</f>
        <v>0</v>
      </c>
      <c r="BL242" s="10" t="s">
        <v>84</v>
      </c>
      <c r="BM242" s="94" t="s">
        <v>267</v>
      </c>
    </row>
    <row r="243" spans="2:65" s="1" customFormat="1" ht="19.2" x14ac:dyDescent="0.2">
      <c r="B243" s="19"/>
      <c r="D243" s="96" t="s">
        <v>86</v>
      </c>
      <c r="F243" s="97" t="s">
        <v>268</v>
      </c>
      <c r="I243" s="98"/>
      <c r="L243" s="19"/>
      <c r="M243" s="99"/>
      <c r="T243" s="32"/>
      <c r="AT243" s="10" t="s">
        <v>86</v>
      </c>
      <c r="AU243" s="10" t="s">
        <v>47</v>
      </c>
    </row>
    <row r="244" spans="2:65" s="8" customFormat="1" ht="10.199999999999999" x14ac:dyDescent="0.2">
      <c r="B244" s="106"/>
      <c r="D244" s="96" t="s">
        <v>88</v>
      </c>
      <c r="E244" s="107" t="s">
        <v>0</v>
      </c>
      <c r="F244" s="108" t="s">
        <v>269</v>
      </c>
      <c r="H244" s="109">
        <v>0.05</v>
      </c>
      <c r="I244" s="110"/>
      <c r="L244" s="106"/>
      <c r="M244" s="111"/>
      <c r="T244" s="112"/>
      <c r="AT244" s="107" t="s">
        <v>88</v>
      </c>
      <c r="AU244" s="107" t="s">
        <v>47</v>
      </c>
      <c r="AV244" s="8" t="s">
        <v>47</v>
      </c>
      <c r="AW244" s="8" t="s">
        <v>18</v>
      </c>
      <c r="AX244" s="8" t="s">
        <v>45</v>
      </c>
      <c r="AY244" s="107" t="s">
        <v>77</v>
      </c>
    </row>
    <row r="245" spans="2:65" s="6" customFormat="1" ht="22.8" customHeight="1" x14ac:dyDescent="0.25">
      <c r="B245" s="72"/>
      <c r="D245" s="73" t="s">
        <v>43</v>
      </c>
      <c r="E245" s="82" t="s">
        <v>147</v>
      </c>
      <c r="F245" s="82" t="s">
        <v>270</v>
      </c>
      <c r="I245" s="75"/>
      <c r="J245" s="83">
        <f>BK245</f>
        <v>0</v>
      </c>
      <c r="L245" s="72"/>
      <c r="M245" s="77"/>
      <c r="P245" s="78">
        <f>SUM(P246:P420)</f>
        <v>0</v>
      </c>
      <c r="R245" s="78">
        <f>SUM(R246:R420)</f>
        <v>33.853292351200004</v>
      </c>
      <c r="T245" s="79">
        <f>SUM(T246:T420)</f>
        <v>0</v>
      </c>
      <c r="AR245" s="73" t="s">
        <v>45</v>
      </c>
      <c r="AT245" s="80" t="s">
        <v>43</v>
      </c>
      <c r="AU245" s="80" t="s">
        <v>45</v>
      </c>
      <c r="AY245" s="73" t="s">
        <v>77</v>
      </c>
      <c r="BK245" s="81">
        <f>SUM(BK246:BK420)</f>
        <v>0</v>
      </c>
    </row>
    <row r="246" spans="2:65" s="1" customFormat="1" ht="24.15" customHeight="1" x14ac:dyDescent="0.2">
      <c r="B246" s="19"/>
      <c r="C246" s="84" t="s">
        <v>271</v>
      </c>
      <c r="D246" s="84" t="s">
        <v>79</v>
      </c>
      <c r="E246" s="85" t="s">
        <v>272</v>
      </c>
      <c r="F246" s="86" t="s">
        <v>273</v>
      </c>
      <c r="G246" s="87" t="s">
        <v>274</v>
      </c>
      <c r="H246" s="88">
        <v>2</v>
      </c>
      <c r="I246" s="89"/>
      <c r="J246" s="88">
        <f>ROUND(I246*H246,2)</f>
        <v>0</v>
      </c>
      <c r="K246" s="86" t="s">
        <v>83</v>
      </c>
      <c r="L246" s="19"/>
      <c r="M246" s="90" t="s">
        <v>0</v>
      </c>
      <c r="N246" s="91" t="s">
        <v>26</v>
      </c>
      <c r="P246" s="92">
        <f>O246*H246</f>
        <v>0</v>
      </c>
      <c r="Q246" s="92">
        <v>3.5731199999999999E-3</v>
      </c>
      <c r="R246" s="92">
        <f>Q246*H246</f>
        <v>7.1462399999999999E-3</v>
      </c>
      <c r="S246" s="92">
        <v>0</v>
      </c>
      <c r="T246" s="93">
        <f>S246*H246</f>
        <v>0</v>
      </c>
      <c r="AR246" s="94" t="s">
        <v>84</v>
      </c>
      <c r="AT246" s="94" t="s">
        <v>79</v>
      </c>
      <c r="AU246" s="94" t="s">
        <v>47</v>
      </c>
      <c r="AY246" s="10" t="s">
        <v>77</v>
      </c>
      <c r="BE246" s="95">
        <f>IF(N246="základní",J246,0)</f>
        <v>0</v>
      </c>
      <c r="BF246" s="95">
        <f>IF(N246="snížená",J246,0)</f>
        <v>0</v>
      </c>
      <c r="BG246" s="95">
        <f>IF(N246="zákl. přenesená",J246,0)</f>
        <v>0</v>
      </c>
      <c r="BH246" s="95">
        <f>IF(N246="sníž. přenesená",J246,0)</f>
        <v>0</v>
      </c>
      <c r="BI246" s="95">
        <f>IF(N246="nulová",J246,0)</f>
        <v>0</v>
      </c>
      <c r="BJ246" s="10" t="s">
        <v>45</v>
      </c>
      <c r="BK246" s="95">
        <f>ROUND(I246*H246,2)</f>
        <v>0</v>
      </c>
      <c r="BL246" s="10" t="s">
        <v>84</v>
      </c>
      <c r="BM246" s="94" t="s">
        <v>275</v>
      </c>
    </row>
    <row r="247" spans="2:65" s="1" customFormat="1" ht="28.8" x14ac:dyDescent="0.2">
      <c r="B247" s="19"/>
      <c r="D247" s="96" t="s">
        <v>86</v>
      </c>
      <c r="F247" s="97" t="s">
        <v>276</v>
      </c>
      <c r="I247" s="98"/>
      <c r="L247" s="19"/>
      <c r="M247" s="99"/>
      <c r="T247" s="32"/>
      <c r="AT247" s="10" t="s">
        <v>86</v>
      </c>
      <c r="AU247" s="10" t="s">
        <v>47</v>
      </c>
    </row>
    <row r="248" spans="2:65" s="7" customFormat="1" ht="10.199999999999999" x14ac:dyDescent="0.2">
      <c r="B248" s="100"/>
      <c r="D248" s="96" t="s">
        <v>88</v>
      </c>
      <c r="E248" s="101" t="s">
        <v>0</v>
      </c>
      <c r="F248" s="102" t="s">
        <v>277</v>
      </c>
      <c r="H248" s="101" t="s">
        <v>0</v>
      </c>
      <c r="I248" s="103"/>
      <c r="L248" s="100"/>
      <c r="M248" s="104"/>
      <c r="T248" s="105"/>
      <c r="AT248" s="101" t="s">
        <v>88</v>
      </c>
      <c r="AU248" s="101" t="s">
        <v>47</v>
      </c>
      <c r="AV248" s="7" t="s">
        <v>45</v>
      </c>
      <c r="AW248" s="7" t="s">
        <v>18</v>
      </c>
      <c r="AX248" s="7" t="s">
        <v>44</v>
      </c>
      <c r="AY248" s="101" t="s">
        <v>77</v>
      </c>
    </row>
    <row r="249" spans="2:65" s="8" customFormat="1" ht="10.199999999999999" x14ac:dyDescent="0.2">
      <c r="B249" s="106"/>
      <c r="D249" s="96" t="s">
        <v>88</v>
      </c>
      <c r="E249" s="107" t="s">
        <v>0</v>
      </c>
      <c r="F249" s="108" t="s">
        <v>47</v>
      </c>
      <c r="H249" s="109">
        <v>2</v>
      </c>
      <c r="I249" s="110"/>
      <c r="L249" s="106"/>
      <c r="M249" s="111"/>
      <c r="T249" s="112"/>
      <c r="AT249" s="107" t="s">
        <v>88</v>
      </c>
      <c r="AU249" s="107" t="s">
        <v>47</v>
      </c>
      <c r="AV249" s="8" t="s">
        <v>47</v>
      </c>
      <c r="AW249" s="8" t="s">
        <v>18</v>
      </c>
      <c r="AX249" s="8" t="s">
        <v>45</v>
      </c>
      <c r="AY249" s="107" t="s">
        <v>77</v>
      </c>
    </row>
    <row r="250" spans="2:65" s="1" customFormat="1" ht="24.15" customHeight="1" x14ac:dyDescent="0.2">
      <c r="B250" s="19"/>
      <c r="C250" s="120" t="s">
        <v>278</v>
      </c>
      <c r="D250" s="120" t="s">
        <v>204</v>
      </c>
      <c r="E250" s="121" t="s">
        <v>279</v>
      </c>
      <c r="F250" s="122" t="s">
        <v>280</v>
      </c>
      <c r="G250" s="123" t="s">
        <v>274</v>
      </c>
      <c r="H250" s="124">
        <v>2</v>
      </c>
      <c r="I250" s="125"/>
      <c r="J250" s="124">
        <f>ROUND(I250*H250,2)</f>
        <v>0</v>
      </c>
      <c r="K250" s="122" t="s">
        <v>83</v>
      </c>
      <c r="L250" s="126"/>
      <c r="M250" s="127" t="s">
        <v>0</v>
      </c>
      <c r="N250" s="128" t="s">
        <v>26</v>
      </c>
      <c r="P250" s="92">
        <f>O250*H250</f>
        <v>0</v>
      </c>
      <c r="Q250" s="92">
        <v>2.5000000000000001E-2</v>
      </c>
      <c r="R250" s="92">
        <f>Q250*H250</f>
        <v>0.05</v>
      </c>
      <c r="S250" s="92">
        <v>0</v>
      </c>
      <c r="T250" s="93">
        <f>S250*H250</f>
        <v>0</v>
      </c>
      <c r="AR250" s="94" t="s">
        <v>147</v>
      </c>
      <c r="AT250" s="94" t="s">
        <v>204</v>
      </c>
      <c r="AU250" s="94" t="s">
        <v>47</v>
      </c>
      <c r="AY250" s="10" t="s">
        <v>77</v>
      </c>
      <c r="BE250" s="95">
        <f>IF(N250="základní",J250,0)</f>
        <v>0</v>
      </c>
      <c r="BF250" s="95">
        <f>IF(N250="snížená",J250,0)</f>
        <v>0</v>
      </c>
      <c r="BG250" s="95">
        <f>IF(N250="zákl. přenesená",J250,0)</f>
        <v>0</v>
      </c>
      <c r="BH250" s="95">
        <f>IF(N250="sníž. přenesená",J250,0)</f>
        <v>0</v>
      </c>
      <c r="BI250" s="95">
        <f>IF(N250="nulová",J250,0)</f>
        <v>0</v>
      </c>
      <c r="BJ250" s="10" t="s">
        <v>45</v>
      </c>
      <c r="BK250" s="95">
        <f>ROUND(I250*H250,2)</f>
        <v>0</v>
      </c>
      <c r="BL250" s="10" t="s">
        <v>84</v>
      </c>
      <c r="BM250" s="94" t="s">
        <v>281</v>
      </c>
    </row>
    <row r="251" spans="2:65" s="1" customFormat="1" ht="10.199999999999999" x14ac:dyDescent="0.2">
      <c r="B251" s="19"/>
      <c r="D251" s="96" t="s">
        <v>86</v>
      </c>
      <c r="F251" s="97" t="s">
        <v>280</v>
      </c>
      <c r="I251" s="98"/>
      <c r="L251" s="19"/>
      <c r="M251" s="99"/>
      <c r="T251" s="32"/>
      <c r="AT251" s="10" t="s">
        <v>86</v>
      </c>
      <c r="AU251" s="10" t="s">
        <v>47</v>
      </c>
    </row>
    <row r="252" spans="2:65" s="1" customFormat="1" ht="21.75" customHeight="1" x14ac:dyDescent="0.2">
      <c r="B252" s="19"/>
      <c r="C252" s="84" t="s">
        <v>282</v>
      </c>
      <c r="D252" s="84" t="s">
        <v>79</v>
      </c>
      <c r="E252" s="85" t="s">
        <v>283</v>
      </c>
      <c r="F252" s="86" t="s">
        <v>284</v>
      </c>
      <c r="G252" s="87" t="s">
        <v>274</v>
      </c>
      <c r="H252" s="88">
        <v>2</v>
      </c>
      <c r="I252" s="89"/>
      <c r="J252" s="88">
        <f>ROUND(I252*H252,2)</f>
        <v>0</v>
      </c>
      <c r="K252" s="86" t="s">
        <v>83</v>
      </c>
      <c r="L252" s="19"/>
      <c r="M252" s="90" t="s">
        <v>0</v>
      </c>
      <c r="N252" s="91" t="s">
        <v>26</v>
      </c>
      <c r="P252" s="92">
        <f>O252*H252</f>
        <v>0</v>
      </c>
      <c r="Q252" s="92">
        <v>2.8646399999999999E-3</v>
      </c>
      <c r="R252" s="92">
        <f>Q252*H252</f>
        <v>5.7292799999999998E-3</v>
      </c>
      <c r="S252" s="92">
        <v>0</v>
      </c>
      <c r="T252" s="93">
        <f>S252*H252</f>
        <v>0</v>
      </c>
      <c r="AR252" s="94" t="s">
        <v>84</v>
      </c>
      <c r="AT252" s="94" t="s">
        <v>79</v>
      </c>
      <c r="AU252" s="94" t="s">
        <v>47</v>
      </c>
      <c r="AY252" s="10" t="s">
        <v>77</v>
      </c>
      <c r="BE252" s="95">
        <f>IF(N252="základní",J252,0)</f>
        <v>0</v>
      </c>
      <c r="BF252" s="95">
        <f>IF(N252="snížená",J252,0)</f>
        <v>0</v>
      </c>
      <c r="BG252" s="95">
        <f>IF(N252="zákl. přenesená",J252,0)</f>
        <v>0</v>
      </c>
      <c r="BH252" s="95">
        <f>IF(N252="sníž. přenesená",J252,0)</f>
        <v>0</v>
      </c>
      <c r="BI252" s="95">
        <f>IF(N252="nulová",J252,0)</f>
        <v>0</v>
      </c>
      <c r="BJ252" s="10" t="s">
        <v>45</v>
      </c>
      <c r="BK252" s="95">
        <f>ROUND(I252*H252,2)</f>
        <v>0</v>
      </c>
      <c r="BL252" s="10" t="s">
        <v>84</v>
      </c>
      <c r="BM252" s="94" t="s">
        <v>285</v>
      </c>
    </row>
    <row r="253" spans="2:65" s="1" customFormat="1" ht="28.8" x14ac:dyDescent="0.2">
      <c r="B253" s="19"/>
      <c r="D253" s="96" t="s">
        <v>86</v>
      </c>
      <c r="F253" s="97" t="s">
        <v>286</v>
      </c>
      <c r="I253" s="98"/>
      <c r="L253" s="19"/>
      <c r="M253" s="99"/>
      <c r="T253" s="32"/>
      <c r="AT253" s="10" t="s">
        <v>86</v>
      </c>
      <c r="AU253" s="10" t="s">
        <v>47</v>
      </c>
    </row>
    <row r="254" spans="2:65" s="7" customFormat="1" ht="10.199999999999999" x14ac:dyDescent="0.2">
      <c r="B254" s="100"/>
      <c r="D254" s="96" t="s">
        <v>88</v>
      </c>
      <c r="E254" s="101" t="s">
        <v>0</v>
      </c>
      <c r="F254" s="102" t="s">
        <v>277</v>
      </c>
      <c r="H254" s="101" t="s">
        <v>0</v>
      </c>
      <c r="I254" s="103"/>
      <c r="L254" s="100"/>
      <c r="M254" s="104"/>
      <c r="T254" s="105"/>
      <c r="AT254" s="101" t="s">
        <v>88</v>
      </c>
      <c r="AU254" s="101" t="s">
        <v>47</v>
      </c>
      <c r="AV254" s="7" t="s">
        <v>45</v>
      </c>
      <c r="AW254" s="7" t="s">
        <v>18</v>
      </c>
      <c r="AX254" s="7" t="s">
        <v>44</v>
      </c>
      <c r="AY254" s="101" t="s">
        <v>77</v>
      </c>
    </row>
    <row r="255" spans="2:65" s="8" customFormat="1" ht="10.199999999999999" x14ac:dyDescent="0.2">
      <c r="B255" s="106"/>
      <c r="D255" s="96" t="s">
        <v>88</v>
      </c>
      <c r="E255" s="107" t="s">
        <v>0</v>
      </c>
      <c r="F255" s="108" t="s">
        <v>47</v>
      </c>
      <c r="H255" s="109">
        <v>2</v>
      </c>
      <c r="I255" s="110"/>
      <c r="L255" s="106"/>
      <c r="M255" s="111"/>
      <c r="T255" s="112"/>
      <c r="AT255" s="107" t="s">
        <v>88</v>
      </c>
      <c r="AU255" s="107" t="s">
        <v>47</v>
      </c>
      <c r="AV255" s="8" t="s">
        <v>47</v>
      </c>
      <c r="AW255" s="8" t="s">
        <v>18</v>
      </c>
      <c r="AX255" s="8" t="s">
        <v>45</v>
      </c>
      <c r="AY255" s="107" t="s">
        <v>77</v>
      </c>
    </row>
    <row r="256" spans="2:65" s="1" customFormat="1" ht="24.15" customHeight="1" x14ac:dyDescent="0.2">
      <c r="B256" s="19"/>
      <c r="C256" s="120" t="s">
        <v>287</v>
      </c>
      <c r="D256" s="120" t="s">
        <v>204</v>
      </c>
      <c r="E256" s="121" t="s">
        <v>288</v>
      </c>
      <c r="F256" s="122" t="s">
        <v>289</v>
      </c>
      <c r="G256" s="123" t="s">
        <v>274</v>
      </c>
      <c r="H256" s="124">
        <v>2</v>
      </c>
      <c r="I256" s="125"/>
      <c r="J256" s="124">
        <f>ROUND(I256*H256,2)</f>
        <v>0</v>
      </c>
      <c r="K256" s="122" t="s">
        <v>83</v>
      </c>
      <c r="L256" s="126"/>
      <c r="M256" s="127" t="s">
        <v>0</v>
      </c>
      <c r="N256" s="128" t="s">
        <v>26</v>
      </c>
      <c r="P256" s="92">
        <f>O256*H256</f>
        <v>0</v>
      </c>
      <c r="Q256" s="92">
        <v>6.5000000000000002E-2</v>
      </c>
      <c r="R256" s="92">
        <f>Q256*H256</f>
        <v>0.13</v>
      </c>
      <c r="S256" s="92">
        <v>0</v>
      </c>
      <c r="T256" s="93">
        <f>S256*H256</f>
        <v>0</v>
      </c>
      <c r="AR256" s="94" t="s">
        <v>147</v>
      </c>
      <c r="AT256" s="94" t="s">
        <v>204</v>
      </c>
      <c r="AU256" s="94" t="s">
        <v>47</v>
      </c>
      <c r="AY256" s="10" t="s">
        <v>77</v>
      </c>
      <c r="BE256" s="95">
        <f>IF(N256="základní",J256,0)</f>
        <v>0</v>
      </c>
      <c r="BF256" s="95">
        <f>IF(N256="snížená",J256,0)</f>
        <v>0</v>
      </c>
      <c r="BG256" s="95">
        <f>IF(N256="zákl. přenesená",J256,0)</f>
        <v>0</v>
      </c>
      <c r="BH256" s="95">
        <f>IF(N256="sníž. přenesená",J256,0)</f>
        <v>0</v>
      </c>
      <c r="BI256" s="95">
        <f>IF(N256="nulová",J256,0)</f>
        <v>0</v>
      </c>
      <c r="BJ256" s="10" t="s">
        <v>45</v>
      </c>
      <c r="BK256" s="95">
        <f>ROUND(I256*H256,2)</f>
        <v>0</v>
      </c>
      <c r="BL256" s="10" t="s">
        <v>84</v>
      </c>
      <c r="BM256" s="94" t="s">
        <v>290</v>
      </c>
    </row>
    <row r="257" spans="2:65" s="1" customFormat="1" ht="19.2" x14ac:dyDescent="0.2">
      <c r="B257" s="19"/>
      <c r="D257" s="96" t="s">
        <v>86</v>
      </c>
      <c r="F257" s="97" t="s">
        <v>289</v>
      </c>
      <c r="I257" s="98"/>
      <c r="L257" s="19"/>
      <c r="M257" s="99"/>
      <c r="T257" s="32"/>
      <c r="AT257" s="10" t="s">
        <v>86</v>
      </c>
      <c r="AU257" s="10" t="s">
        <v>47</v>
      </c>
    </row>
    <row r="258" spans="2:65" s="1" customFormat="1" ht="21.75" customHeight="1" x14ac:dyDescent="0.2">
      <c r="B258" s="19"/>
      <c r="C258" s="120" t="s">
        <v>291</v>
      </c>
      <c r="D258" s="120" t="s">
        <v>204</v>
      </c>
      <c r="E258" s="121" t="s">
        <v>292</v>
      </c>
      <c r="F258" s="122" t="s">
        <v>293</v>
      </c>
      <c r="G258" s="123" t="s">
        <v>274</v>
      </c>
      <c r="H258" s="124">
        <v>2</v>
      </c>
      <c r="I258" s="125"/>
      <c r="J258" s="124">
        <f>ROUND(I258*H258,2)</f>
        <v>0</v>
      </c>
      <c r="K258" s="122" t="s">
        <v>83</v>
      </c>
      <c r="L258" s="126"/>
      <c r="M258" s="127" t="s">
        <v>0</v>
      </c>
      <c r="N258" s="128" t="s">
        <v>26</v>
      </c>
      <c r="P258" s="92">
        <f>O258*H258</f>
        <v>0</v>
      </c>
      <c r="Q258" s="92">
        <v>4.4999999999999997E-3</v>
      </c>
      <c r="R258" s="92">
        <f>Q258*H258</f>
        <v>8.9999999999999993E-3</v>
      </c>
      <c r="S258" s="92">
        <v>0</v>
      </c>
      <c r="T258" s="93">
        <f>S258*H258</f>
        <v>0</v>
      </c>
      <c r="AR258" s="94" t="s">
        <v>147</v>
      </c>
      <c r="AT258" s="94" t="s">
        <v>204</v>
      </c>
      <c r="AU258" s="94" t="s">
        <v>47</v>
      </c>
      <c r="AY258" s="10" t="s">
        <v>77</v>
      </c>
      <c r="BE258" s="95">
        <f>IF(N258="základní",J258,0)</f>
        <v>0</v>
      </c>
      <c r="BF258" s="95">
        <f>IF(N258="snížená",J258,0)</f>
        <v>0</v>
      </c>
      <c r="BG258" s="95">
        <f>IF(N258="zákl. přenesená",J258,0)</f>
        <v>0</v>
      </c>
      <c r="BH258" s="95">
        <f>IF(N258="sníž. přenesená",J258,0)</f>
        <v>0</v>
      </c>
      <c r="BI258" s="95">
        <f>IF(N258="nulová",J258,0)</f>
        <v>0</v>
      </c>
      <c r="BJ258" s="10" t="s">
        <v>45</v>
      </c>
      <c r="BK258" s="95">
        <f>ROUND(I258*H258,2)</f>
        <v>0</v>
      </c>
      <c r="BL258" s="10" t="s">
        <v>84</v>
      </c>
      <c r="BM258" s="94" t="s">
        <v>294</v>
      </c>
    </row>
    <row r="259" spans="2:65" s="1" customFormat="1" ht="10.199999999999999" x14ac:dyDescent="0.2">
      <c r="B259" s="19"/>
      <c r="D259" s="96" t="s">
        <v>86</v>
      </c>
      <c r="F259" s="97" t="s">
        <v>293</v>
      </c>
      <c r="I259" s="98"/>
      <c r="L259" s="19"/>
      <c r="M259" s="99"/>
      <c r="T259" s="32"/>
      <c r="AT259" s="10" t="s">
        <v>86</v>
      </c>
      <c r="AU259" s="10" t="s">
        <v>47</v>
      </c>
    </row>
    <row r="260" spans="2:65" s="1" customFormat="1" ht="24.15" customHeight="1" x14ac:dyDescent="0.2">
      <c r="B260" s="19"/>
      <c r="C260" s="84" t="s">
        <v>295</v>
      </c>
      <c r="D260" s="84" t="s">
        <v>79</v>
      </c>
      <c r="E260" s="85" t="s">
        <v>296</v>
      </c>
      <c r="F260" s="86" t="s">
        <v>297</v>
      </c>
      <c r="G260" s="87" t="s">
        <v>274</v>
      </c>
      <c r="H260" s="88">
        <v>1</v>
      </c>
      <c r="I260" s="89"/>
      <c r="J260" s="88">
        <f>ROUND(I260*H260,2)</f>
        <v>0</v>
      </c>
      <c r="K260" s="86" t="s">
        <v>83</v>
      </c>
      <c r="L260" s="19"/>
      <c r="M260" s="90" t="s">
        <v>0</v>
      </c>
      <c r="N260" s="91" t="s">
        <v>26</v>
      </c>
      <c r="P260" s="92">
        <f>O260*H260</f>
        <v>0</v>
      </c>
      <c r="Q260" s="92">
        <v>4.2931000000000002E-3</v>
      </c>
      <c r="R260" s="92">
        <f>Q260*H260</f>
        <v>4.2931000000000002E-3</v>
      </c>
      <c r="S260" s="92">
        <v>0</v>
      </c>
      <c r="T260" s="93">
        <f>S260*H260</f>
        <v>0</v>
      </c>
      <c r="AR260" s="94" t="s">
        <v>84</v>
      </c>
      <c r="AT260" s="94" t="s">
        <v>79</v>
      </c>
      <c r="AU260" s="94" t="s">
        <v>47</v>
      </c>
      <c r="AY260" s="10" t="s">
        <v>77</v>
      </c>
      <c r="BE260" s="95">
        <f>IF(N260="základní",J260,0)</f>
        <v>0</v>
      </c>
      <c r="BF260" s="95">
        <f>IF(N260="snížená",J260,0)</f>
        <v>0</v>
      </c>
      <c r="BG260" s="95">
        <f>IF(N260="zákl. přenesená",J260,0)</f>
        <v>0</v>
      </c>
      <c r="BH260" s="95">
        <f>IF(N260="sníž. přenesená",J260,0)</f>
        <v>0</v>
      </c>
      <c r="BI260" s="95">
        <f>IF(N260="nulová",J260,0)</f>
        <v>0</v>
      </c>
      <c r="BJ260" s="10" t="s">
        <v>45</v>
      </c>
      <c r="BK260" s="95">
        <f>ROUND(I260*H260,2)</f>
        <v>0</v>
      </c>
      <c r="BL260" s="10" t="s">
        <v>84</v>
      </c>
      <c r="BM260" s="94" t="s">
        <v>298</v>
      </c>
    </row>
    <row r="261" spans="2:65" s="1" customFormat="1" ht="28.8" x14ac:dyDescent="0.2">
      <c r="B261" s="19"/>
      <c r="D261" s="96" t="s">
        <v>86</v>
      </c>
      <c r="F261" s="97" t="s">
        <v>299</v>
      </c>
      <c r="I261" s="98"/>
      <c r="L261" s="19"/>
      <c r="M261" s="99"/>
      <c r="T261" s="32"/>
      <c r="AT261" s="10" t="s">
        <v>86</v>
      </c>
      <c r="AU261" s="10" t="s">
        <v>47</v>
      </c>
    </row>
    <row r="262" spans="2:65" s="7" customFormat="1" ht="10.199999999999999" x14ac:dyDescent="0.2">
      <c r="B262" s="100"/>
      <c r="D262" s="96" t="s">
        <v>88</v>
      </c>
      <c r="E262" s="101" t="s">
        <v>0</v>
      </c>
      <c r="F262" s="102" t="s">
        <v>277</v>
      </c>
      <c r="H262" s="101" t="s">
        <v>0</v>
      </c>
      <c r="I262" s="103"/>
      <c r="L262" s="100"/>
      <c r="M262" s="104"/>
      <c r="T262" s="105"/>
      <c r="AT262" s="101" t="s">
        <v>88</v>
      </c>
      <c r="AU262" s="101" t="s">
        <v>47</v>
      </c>
      <c r="AV262" s="7" t="s">
        <v>45</v>
      </c>
      <c r="AW262" s="7" t="s">
        <v>18</v>
      </c>
      <c r="AX262" s="7" t="s">
        <v>44</v>
      </c>
      <c r="AY262" s="101" t="s">
        <v>77</v>
      </c>
    </row>
    <row r="263" spans="2:65" s="8" customFormat="1" ht="10.199999999999999" x14ac:dyDescent="0.2">
      <c r="B263" s="106"/>
      <c r="D263" s="96" t="s">
        <v>88</v>
      </c>
      <c r="E263" s="107" t="s">
        <v>0</v>
      </c>
      <c r="F263" s="108" t="s">
        <v>45</v>
      </c>
      <c r="H263" s="109">
        <v>1</v>
      </c>
      <c r="I263" s="110"/>
      <c r="L263" s="106"/>
      <c r="M263" s="111"/>
      <c r="T263" s="112"/>
      <c r="AT263" s="107" t="s">
        <v>88</v>
      </c>
      <c r="AU263" s="107" t="s">
        <v>47</v>
      </c>
      <c r="AV263" s="8" t="s">
        <v>47</v>
      </c>
      <c r="AW263" s="8" t="s">
        <v>18</v>
      </c>
      <c r="AX263" s="8" t="s">
        <v>45</v>
      </c>
      <c r="AY263" s="107" t="s">
        <v>77</v>
      </c>
    </row>
    <row r="264" spans="2:65" s="1" customFormat="1" ht="33" customHeight="1" x14ac:dyDescent="0.2">
      <c r="B264" s="19"/>
      <c r="C264" s="120" t="s">
        <v>300</v>
      </c>
      <c r="D264" s="120" t="s">
        <v>204</v>
      </c>
      <c r="E264" s="121" t="s">
        <v>301</v>
      </c>
      <c r="F264" s="122" t="s">
        <v>302</v>
      </c>
      <c r="G264" s="123" t="s">
        <v>274</v>
      </c>
      <c r="H264" s="124">
        <v>1</v>
      </c>
      <c r="I264" s="125"/>
      <c r="J264" s="124">
        <f>ROUND(I264*H264,2)</f>
        <v>0</v>
      </c>
      <c r="K264" s="122" t="s">
        <v>83</v>
      </c>
      <c r="L264" s="126"/>
      <c r="M264" s="127" t="s">
        <v>0</v>
      </c>
      <c r="N264" s="128" t="s">
        <v>26</v>
      </c>
      <c r="P264" s="92">
        <f>O264*H264</f>
        <v>0</v>
      </c>
      <c r="Q264" s="92">
        <v>4.2000000000000003E-2</v>
      </c>
      <c r="R264" s="92">
        <f>Q264*H264</f>
        <v>4.2000000000000003E-2</v>
      </c>
      <c r="S264" s="92">
        <v>0</v>
      </c>
      <c r="T264" s="93">
        <f>S264*H264</f>
        <v>0</v>
      </c>
      <c r="AR264" s="94" t="s">
        <v>147</v>
      </c>
      <c r="AT264" s="94" t="s">
        <v>204</v>
      </c>
      <c r="AU264" s="94" t="s">
        <v>47</v>
      </c>
      <c r="AY264" s="10" t="s">
        <v>77</v>
      </c>
      <c r="BE264" s="95">
        <f>IF(N264="základní",J264,0)</f>
        <v>0</v>
      </c>
      <c r="BF264" s="95">
        <f>IF(N264="snížená",J264,0)</f>
        <v>0</v>
      </c>
      <c r="BG264" s="95">
        <f>IF(N264="zákl. přenesená",J264,0)</f>
        <v>0</v>
      </c>
      <c r="BH264" s="95">
        <f>IF(N264="sníž. přenesená",J264,0)</f>
        <v>0</v>
      </c>
      <c r="BI264" s="95">
        <f>IF(N264="nulová",J264,0)</f>
        <v>0</v>
      </c>
      <c r="BJ264" s="10" t="s">
        <v>45</v>
      </c>
      <c r="BK264" s="95">
        <f>ROUND(I264*H264,2)</f>
        <v>0</v>
      </c>
      <c r="BL264" s="10" t="s">
        <v>84</v>
      </c>
      <c r="BM264" s="94" t="s">
        <v>303</v>
      </c>
    </row>
    <row r="265" spans="2:65" s="1" customFormat="1" ht="19.2" x14ac:dyDescent="0.2">
      <c r="B265" s="19"/>
      <c r="D265" s="96" t="s">
        <v>86</v>
      </c>
      <c r="F265" s="97" t="s">
        <v>302</v>
      </c>
      <c r="I265" s="98"/>
      <c r="L265" s="19"/>
      <c r="M265" s="99"/>
      <c r="T265" s="32"/>
      <c r="AT265" s="10" t="s">
        <v>86</v>
      </c>
      <c r="AU265" s="10" t="s">
        <v>47</v>
      </c>
    </row>
    <row r="266" spans="2:65" s="1" customFormat="1" ht="21.75" customHeight="1" x14ac:dyDescent="0.2">
      <c r="B266" s="19"/>
      <c r="C266" s="84" t="s">
        <v>304</v>
      </c>
      <c r="D266" s="84" t="s">
        <v>79</v>
      </c>
      <c r="E266" s="85" t="s">
        <v>305</v>
      </c>
      <c r="F266" s="86" t="s">
        <v>306</v>
      </c>
      <c r="G266" s="87" t="s">
        <v>274</v>
      </c>
      <c r="H266" s="88">
        <v>6</v>
      </c>
      <c r="I266" s="89"/>
      <c r="J266" s="88">
        <f>ROUND(I266*H266,2)</f>
        <v>0</v>
      </c>
      <c r="K266" s="86" t="s">
        <v>83</v>
      </c>
      <c r="L266" s="19"/>
      <c r="M266" s="90" t="s">
        <v>0</v>
      </c>
      <c r="N266" s="91" t="s">
        <v>26</v>
      </c>
      <c r="P266" s="92">
        <f>O266*H266</f>
        <v>0</v>
      </c>
      <c r="Q266" s="92">
        <v>1.61652E-3</v>
      </c>
      <c r="R266" s="92">
        <f>Q266*H266</f>
        <v>9.6991200000000003E-3</v>
      </c>
      <c r="S266" s="92">
        <v>0</v>
      </c>
      <c r="T266" s="93">
        <f>S266*H266</f>
        <v>0</v>
      </c>
      <c r="AR266" s="94" t="s">
        <v>84</v>
      </c>
      <c r="AT266" s="94" t="s">
        <v>79</v>
      </c>
      <c r="AU266" s="94" t="s">
        <v>47</v>
      </c>
      <c r="AY266" s="10" t="s">
        <v>77</v>
      </c>
      <c r="BE266" s="95">
        <f>IF(N266="základní",J266,0)</f>
        <v>0</v>
      </c>
      <c r="BF266" s="95">
        <f>IF(N266="snížená",J266,0)</f>
        <v>0</v>
      </c>
      <c r="BG266" s="95">
        <f>IF(N266="zákl. přenesená",J266,0)</f>
        <v>0</v>
      </c>
      <c r="BH266" s="95">
        <f>IF(N266="sníž. přenesená",J266,0)</f>
        <v>0</v>
      </c>
      <c r="BI266" s="95">
        <f>IF(N266="nulová",J266,0)</f>
        <v>0</v>
      </c>
      <c r="BJ266" s="10" t="s">
        <v>45</v>
      </c>
      <c r="BK266" s="95">
        <f>ROUND(I266*H266,2)</f>
        <v>0</v>
      </c>
      <c r="BL266" s="10" t="s">
        <v>84</v>
      </c>
      <c r="BM266" s="94" t="s">
        <v>307</v>
      </c>
    </row>
    <row r="267" spans="2:65" s="1" customFormat="1" ht="28.8" x14ac:dyDescent="0.2">
      <c r="B267" s="19"/>
      <c r="D267" s="96" t="s">
        <v>86</v>
      </c>
      <c r="F267" s="97" t="s">
        <v>308</v>
      </c>
      <c r="I267" s="98"/>
      <c r="L267" s="19"/>
      <c r="M267" s="99"/>
      <c r="T267" s="32"/>
      <c r="AT267" s="10" t="s">
        <v>86</v>
      </c>
      <c r="AU267" s="10" t="s">
        <v>47</v>
      </c>
    </row>
    <row r="268" spans="2:65" s="1" customFormat="1" ht="21.75" customHeight="1" x14ac:dyDescent="0.2">
      <c r="B268" s="19"/>
      <c r="C268" s="120" t="s">
        <v>309</v>
      </c>
      <c r="D268" s="120" t="s">
        <v>204</v>
      </c>
      <c r="E268" s="121" t="s">
        <v>310</v>
      </c>
      <c r="F268" s="122" t="s">
        <v>311</v>
      </c>
      <c r="G268" s="123" t="s">
        <v>274</v>
      </c>
      <c r="H268" s="124">
        <v>6</v>
      </c>
      <c r="I268" s="125"/>
      <c r="J268" s="124">
        <f>ROUND(I268*H268,2)</f>
        <v>0</v>
      </c>
      <c r="K268" s="122" t="s">
        <v>83</v>
      </c>
      <c r="L268" s="126"/>
      <c r="M268" s="127" t="s">
        <v>0</v>
      </c>
      <c r="N268" s="128" t="s">
        <v>26</v>
      </c>
      <c r="P268" s="92">
        <f>O268*H268</f>
        <v>0</v>
      </c>
      <c r="Q268" s="92">
        <v>3.5000000000000001E-3</v>
      </c>
      <c r="R268" s="92">
        <f>Q268*H268</f>
        <v>2.1000000000000001E-2</v>
      </c>
      <c r="S268" s="92">
        <v>0</v>
      </c>
      <c r="T268" s="93">
        <f>S268*H268</f>
        <v>0</v>
      </c>
      <c r="AR268" s="94" t="s">
        <v>147</v>
      </c>
      <c r="AT268" s="94" t="s">
        <v>204</v>
      </c>
      <c r="AU268" s="94" t="s">
        <v>47</v>
      </c>
      <c r="AY268" s="10" t="s">
        <v>77</v>
      </c>
      <c r="BE268" s="95">
        <f>IF(N268="základní",J268,0)</f>
        <v>0</v>
      </c>
      <c r="BF268" s="95">
        <f>IF(N268="snížená",J268,0)</f>
        <v>0</v>
      </c>
      <c r="BG268" s="95">
        <f>IF(N268="zákl. přenesená",J268,0)</f>
        <v>0</v>
      </c>
      <c r="BH268" s="95">
        <f>IF(N268="sníž. přenesená",J268,0)</f>
        <v>0</v>
      </c>
      <c r="BI268" s="95">
        <f>IF(N268="nulová",J268,0)</f>
        <v>0</v>
      </c>
      <c r="BJ268" s="10" t="s">
        <v>45</v>
      </c>
      <c r="BK268" s="95">
        <f>ROUND(I268*H268,2)</f>
        <v>0</v>
      </c>
      <c r="BL268" s="10" t="s">
        <v>84</v>
      </c>
      <c r="BM268" s="94" t="s">
        <v>312</v>
      </c>
    </row>
    <row r="269" spans="2:65" s="1" customFormat="1" ht="10.199999999999999" x14ac:dyDescent="0.2">
      <c r="B269" s="19"/>
      <c r="D269" s="96" t="s">
        <v>86</v>
      </c>
      <c r="F269" s="97" t="s">
        <v>311</v>
      </c>
      <c r="I269" s="98"/>
      <c r="L269" s="19"/>
      <c r="M269" s="99"/>
      <c r="T269" s="32"/>
      <c r="AT269" s="10" t="s">
        <v>86</v>
      </c>
      <c r="AU269" s="10" t="s">
        <v>47</v>
      </c>
    </row>
    <row r="270" spans="2:65" s="1" customFormat="1" ht="16.5" customHeight="1" x14ac:dyDescent="0.2">
      <c r="B270" s="19"/>
      <c r="C270" s="120" t="s">
        <v>313</v>
      </c>
      <c r="D270" s="120" t="s">
        <v>204</v>
      </c>
      <c r="E270" s="121" t="s">
        <v>314</v>
      </c>
      <c r="F270" s="122" t="s">
        <v>315</v>
      </c>
      <c r="G270" s="123" t="s">
        <v>274</v>
      </c>
      <c r="H270" s="124">
        <v>5</v>
      </c>
      <c r="I270" s="125"/>
      <c r="J270" s="124">
        <f>ROUND(I270*H270,2)</f>
        <v>0</v>
      </c>
      <c r="K270" s="122" t="s">
        <v>83</v>
      </c>
      <c r="L270" s="126"/>
      <c r="M270" s="127" t="s">
        <v>0</v>
      </c>
      <c r="N270" s="128" t="s">
        <v>26</v>
      </c>
      <c r="P270" s="92">
        <f>O270*H270</f>
        <v>0</v>
      </c>
      <c r="Q270" s="92">
        <v>1.847E-2</v>
      </c>
      <c r="R270" s="92">
        <f>Q270*H270</f>
        <v>9.2350000000000002E-2</v>
      </c>
      <c r="S270" s="92">
        <v>0</v>
      </c>
      <c r="T270" s="93">
        <f>S270*H270</f>
        <v>0</v>
      </c>
      <c r="AR270" s="94" t="s">
        <v>147</v>
      </c>
      <c r="AT270" s="94" t="s">
        <v>204</v>
      </c>
      <c r="AU270" s="94" t="s">
        <v>47</v>
      </c>
      <c r="AY270" s="10" t="s">
        <v>77</v>
      </c>
      <c r="BE270" s="95">
        <f>IF(N270="základní",J270,0)</f>
        <v>0</v>
      </c>
      <c r="BF270" s="95">
        <f>IF(N270="snížená",J270,0)</f>
        <v>0</v>
      </c>
      <c r="BG270" s="95">
        <f>IF(N270="zákl. přenesená",J270,0)</f>
        <v>0</v>
      </c>
      <c r="BH270" s="95">
        <f>IF(N270="sníž. přenesená",J270,0)</f>
        <v>0</v>
      </c>
      <c r="BI270" s="95">
        <f>IF(N270="nulová",J270,0)</f>
        <v>0</v>
      </c>
      <c r="BJ270" s="10" t="s">
        <v>45</v>
      </c>
      <c r="BK270" s="95">
        <f>ROUND(I270*H270,2)</f>
        <v>0</v>
      </c>
      <c r="BL270" s="10" t="s">
        <v>84</v>
      </c>
      <c r="BM270" s="94" t="s">
        <v>316</v>
      </c>
    </row>
    <row r="271" spans="2:65" s="1" customFormat="1" ht="10.199999999999999" x14ac:dyDescent="0.2">
      <c r="B271" s="19"/>
      <c r="D271" s="96" t="s">
        <v>86</v>
      </c>
      <c r="F271" s="97" t="s">
        <v>315</v>
      </c>
      <c r="I271" s="98"/>
      <c r="L271" s="19"/>
      <c r="M271" s="99"/>
      <c r="T271" s="32"/>
      <c r="AT271" s="10" t="s">
        <v>86</v>
      </c>
      <c r="AU271" s="10" t="s">
        <v>47</v>
      </c>
    </row>
    <row r="272" spans="2:65" s="1" customFormat="1" ht="24.15" customHeight="1" x14ac:dyDescent="0.2">
      <c r="B272" s="19"/>
      <c r="C272" s="120" t="s">
        <v>317</v>
      </c>
      <c r="D272" s="120" t="s">
        <v>204</v>
      </c>
      <c r="E272" s="121" t="s">
        <v>318</v>
      </c>
      <c r="F272" s="122" t="s">
        <v>319</v>
      </c>
      <c r="G272" s="123" t="s">
        <v>274</v>
      </c>
      <c r="H272" s="124">
        <v>1</v>
      </c>
      <c r="I272" s="125"/>
      <c r="J272" s="124">
        <f>ROUND(I272*H272,2)</f>
        <v>0</v>
      </c>
      <c r="K272" s="122" t="s">
        <v>83</v>
      </c>
      <c r="L272" s="126"/>
      <c r="M272" s="127" t="s">
        <v>0</v>
      </c>
      <c r="N272" s="128" t="s">
        <v>26</v>
      </c>
      <c r="P272" s="92">
        <f>O272*H272</f>
        <v>0</v>
      </c>
      <c r="Q272" s="92">
        <v>2.0049999999999998E-2</v>
      </c>
      <c r="R272" s="92">
        <f>Q272*H272</f>
        <v>2.0049999999999998E-2</v>
      </c>
      <c r="S272" s="92">
        <v>0</v>
      </c>
      <c r="T272" s="93">
        <f>S272*H272</f>
        <v>0</v>
      </c>
      <c r="AR272" s="94" t="s">
        <v>147</v>
      </c>
      <c r="AT272" s="94" t="s">
        <v>204</v>
      </c>
      <c r="AU272" s="94" t="s">
        <v>47</v>
      </c>
      <c r="AY272" s="10" t="s">
        <v>77</v>
      </c>
      <c r="BE272" s="95">
        <f>IF(N272="základní",J272,0)</f>
        <v>0</v>
      </c>
      <c r="BF272" s="95">
        <f>IF(N272="snížená",J272,0)</f>
        <v>0</v>
      </c>
      <c r="BG272" s="95">
        <f>IF(N272="zákl. přenesená",J272,0)</f>
        <v>0</v>
      </c>
      <c r="BH272" s="95">
        <f>IF(N272="sníž. přenesená",J272,0)</f>
        <v>0</v>
      </c>
      <c r="BI272" s="95">
        <f>IF(N272="nulová",J272,0)</f>
        <v>0</v>
      </c>
      <c r="BJ272" s="10" t="s">
        <v>45</v>
      </c>
      <c r="BK272" s="95">
        <f>ROUND(I272*H272,2)</f>
        <v>0</v>
      </c>
      <c r="BL272" s="10" t="s">
        <v>84</v>
      </c>
      <c r="BM272" s="94" t="s">
        <v>320</v>
      </c>
    </row>
    <row r="273" spans="2:65" s="1" customFormat="1" ht="19.2" x14ac:dyDescent="0.2">
      <c r="B273" s="19"/>
      <c r="D273" s="96" t="s">
        <v>86</v>
      </c>
      <c r="F273" s="97" t="s">
        <v>319</v>
      </c>
      <c r="I273" s="98"/>
      <c r="L273" s="19"/>
      <c r="M273" s="99"/>
      <c r="T273" s="32"/>
      <c r="AT273" s="10" t="s">
        <v>86</v>
      </c>
      <c r="AU273" s="10" t="s">
        <v>47</v>
      </c>
    </row>
    <row r="274" spans="2:65" s="1" customFormat="1" ht="16.5" customHeight="1" x14ac:dyDescent="0.2">
      <c r="B274" s="19"/>
      <c r="C274" s="120" t="s">
        <v>321</v>
      </c>
      <c r="D274" s="120" t="s">
        <v>204</v>
      </c>
      <c r="E274" s="121" t="s">
        <v>322</v>
      </c>
      <c r="F274" s="122" t="s">
        <v>323</v>
      </c>
      <c r="G274" s="123" t="s">
        <v>274</v>
      </c>
      <c r="H274" s="124">
        <v>5</v>
      </c>
      <c r="I274" s="125"/>
      <c r="J274" s="124">
        <f>ROUND(I274*H274,2)</f>
        <v>0</v>
      </c>
      <c r="K274" s="122" t="s">
        <v>83</v>
      </c>
      <c r="L274" s="126"/>
      <c r="M274" s="127" t="s">
        <v>0</v>
      </c>
      <c r="N274" s="128" t="s">
        <v>26</v>
      </c>
      <c r="P274" s="92">
        <f>O274*H274</f>
        <v>0</v>
      </c>
      <c r="Q274" s="92">
        <v>4.8000000000000001E-4</v>
      </c>
      <c r="R274" s="92">
        <f>Q274*H274</f>
        <v>2.4000000000000002E-3</v>
      </c>
      <c r="S274" s="92">
        <v>0</v>
      </c>
      <c r="T274" s="93">
        <f>S274*H274</f>
        <v>0</v>
      </c>
      <c r="AR274" s="94" t="s">
        <v>147</v>
      </c>
      <c r="AT274" s="94" t="s">
        <v>204</v>
      </c>
      <c r="AU274" s="94" t="s">
        <v>47</v>
      </c>
      <c r="AY274" s="10" t="s">
        <v>77</v>
      </c>
      <c r="BE274" s="95">
        <f>IF(N274="základní",J274,0)</f>
        <v>0</v>
      </c>
      <c r="BF274" s="95">
        <f>IF(N274="snížená",J274,0)</f>
        <v>0</v>
      </c>
      <c r="BG274" s="95">
        <f>IF(N274="zákl. přenesená",J274,0)</f>
        <v>0</v>
      </c>
      <c r="BH274" s="95">
        <f>IF(N274="sníž. přenesená",J274,0)</f>
        <v>0</v>
      </c>
      <c r="BI274" s="95">
        <f>IF(N274="nulová",J274,0)</f>
        <v>0</v>
      </c>
      <c r="BJ274" s="10" t="s">
        <v>45</v>
      </c>
      <c r="BK274" s="95">
        <f>ROUND(I274*H274,2)</f>
        <v>0</v>
      </c>
      <c r="BL274" s="10" t="s">
        <v>84</v>
      </c>
      <c r="BM274" s="94" t="s">
        <v>324</v>
      </c>
    </row>
    <row r="275" spans="2:65" s="1" customFormat="1" ht="10.199999999999999" x14ac:dyDescent="0.2">
      <c r="B275" s="19"/>
      <c r="D275" s="96" t="s">
        <v>86</v>
      </c>
      <c r="F275" s="97" t="s">
        <v>323</v>
      </c>
      <c r="I275" s="98"/>
      <c r="L275" s="19"/>
      <c r="M275" s="99"/>
      <c r="T275" s="32"/>
      <c r="AT275" s="10" t="s">
        <v>86</v>
      </c>
      <c r="AU275" s="10" t="s">
        <v>47</v>
      </c>
    </row>
    <row r="276" spans="2:65" s="8" customFormat="1" ht="10.199999999999999" x14ac:dyDescent="0.2">
      <c r="B276" s="106"/>
      <c r="D276" s="96" t="s">
        <v>88</v>
      </c>
      <c r="E276" s="107" t="s">
        <v>0</v>
      </c>
      <c r="F276" s="108" t="s">
        <v>127</v>
      </c>
      <c r="H276" s="109">
        <v>5</v>
      </c>
      <c r="I276" s="110"/>
      <c r="L276" s="106"/>
      <c r="M276" s="111"/>
      <c r="T276" s="112"/>
      <c r="AT276" s="107" t="s">
        <v>88</v>
      </c>
      <c r="AU276" s="107" t="s">
        <v>47</v>
      </c>
      <c r="AV276" s="8" t="s">
        <v>47</v>
      </c>
      <c r="AW276" s="8" t="s">
        <v>18</v>
      </c>
      <c r="AX276" s="8" t="s">
        <v>45</v>
      </c>
      <c r="AY276" s="107" t="s">
        <v>77</v>
      </c>
    </row>
    <row r="277" spans="2:65" s="1" customFormat="1" ht="21.75" customHeight="1" x14ac:dyDescent="0.2">
      <c r="B277" s="19"/>
      <c r="C277" s="120" t="s">
        <v>325</v>
      </c>
      <c r="D277" s="120" t="s">
        <v>204</v>
      </c>
      <c r="E277" s="121" t="s">
        <v>326</v>
      </c>
      <c r="F277" s="122" t="s">
        <v>327</v>
      </c>
      <c r="G277" s="123" t="s">
        <v>274</v>
      </c>
      <c r="H277" s="124">
        <v>5</v>
      </c>
      <c r="I277" s="125"/>
      <c r="J277" s="124">
        <f>ROUND(I277*H277,2)</f>
        <v>0</v>
      </c>
      <c r="K277" s="122" t="s">
        <v>83</v>
      </c>
      <c r="L277" s="126"/>
      <c r="M277" s="127" t="s">
        <v>0</v>
      </c>
      <c r="N277" s="128" t="s">
        <v>26</v>
      </c>
      <c r="P277" s="92">
        <f>O277*H277</f>
        <v>0</v>
      </c>
      <c r="Q277" s="92">
        <v>3.5999999999999999E-3</v>
      </c>
      <c r="R277" s="92">
        <f>Q277*H277</f>
        <v>1.7999999999999999E-2</v>
      </c>
      <c r="S277" s="92">
        <v>0</v>
      </c>
      <c r="T277" s="93">
        <f>S277*H277</f>
        <v>0</v>
      </c>
      <c r="AR277" s="94" t="s">
        <v>147</v>
      </c>
      <c r="AT277" s="94" t="s">
        <v>204</v>
      </c>
      <c r="AU277" s="94" t="s">
        <v>47</v>
      </c>
      <c r="AY277" s="10" t="s">
        <v>77</v>
      </c>
      <c r="BE277" s="95">
        <f>IF(N277="základní",J277,0)</f>
        <v>0</v>
      </c>
      <c r="BF277" s="95">
        <f>IF(N277="snížená",J277,0)</f>
        <v>0</v>
      </c>
      <c r="BG277" s="95">
        <f>IF(N277="zákl. přenesená",J277,0)</f>
        <v>0</v>
      </c>
      <c r="BH277" s="95">
        <f>IF(N277="sníž. přenesená",J277,0)</f>
        <v>0</v>
      </c>
      <c r="BI277" s="95">
        <f>IF(N277="nulová",J277,0)</f>
        <v>0</v>
      </c>
      <c r="BJ277" s="10" t="s">
        <v>45</v>
      </c>
      <c r="BK277" s="95">
        <f>ROUND(I277*H277,2)</f>
        <v>0</v>
      </c>
      <c r="BL277" s="10" t="s">
        <v>84</v>
      </c>
      <c r="BM277" s="94" t="s">
        <v>328</v>
      </c>
    </row>
    <row r="278" spans="2:65" s="1" customFormat="1" ht="10.199999999999999" x14ac:dyDescent="0.2">
      <c r="B278" s="19"/>
      <c r="D278" s="96" t="s">
        <v>86</v>
      </c>
      <c r="F278" s="97" t="s">
        <v>327</v>
      </c>
      <c r="I278" s="98"/>
      <c r="L278" s="19"/>
      <c r="M278" s="99"/>
      <c r="T278" s="32"/>
      <c r="AT278" s="10" t="s">
        <v>86</v>
      </c>
      <c r="AU278" s="10" t="s">
        <v>47</v>
      </c>
    </row>
    <row r="279" spans="2:65" s="1" customFormat="1" ht="24.15" customHeight="1" x14ac:dyDescent="0.2">
      <c r="B279" s="19"/>
      <c r="C279" s="84" t="s">
        <v>329</v>
      </c>
      <c r="D279" s="84" t="s">
        <v>79</v>
      </c>
      <c r="E279" s="85" t="s">
        <v>330</v>
      </c>
      <c r="F279" s="86" t="s">
        <v>331</v>
      </c>
      <c r="G279" s="87" t="s">
        <v>274</v>
      </c>
      <c r="H279" s="88">
        <v>1</v>
      </c>
      <c r="I279" s="89"/>
      <c r="J279" s="88">
        <f>ROUND(I279*H279,2)</f>
        <v>0</v>
      </c>
      <c r="K279" s="86" t="s">
        <v>83</v>
      </c>
      <c r="L279" s="19"/>
      <c r="M279" s="90" t="s">
        <v>0</v>
      </c>
      <c r="N279" s="91" t="s">
        <v>26</v>
      </c>
      <c r="P279" s="92">
        <f>O279*H279</f>
        <v>0</v>
      </c>
      <c r="Q279" s="92">
        <v>0</v>
      </c>
      <c r="R279" s="92">
        <f>Q279*H279</f>
        <v>0</v>
      </c>
      <c r="S279" s="92">
        <v>0</v>
      </c>
      <c r="T279" s="93">
        <f>S279*H279</f>
        <v>0</v>
      </c>
      <c r="AR279" s="94" t="s">
        <v>84</v>
      </c>
      <c r="AT279" s="94" t="s">
        <v>79</v>
      </c>
      <c r="AU279" s="94" t="s">
        <v>47</v>
      </c>
      <c r="AY279" s="10" t="s">
        <v>77</v>
      </c>
      <c r="BE279" s="95">
        <f>IF(N279="základní",J279,0)</f>
        <v>0</v>
      </c>
      <c r="BF279" s="95">
        <f>IF(N279="snížená",J279,0)</f>
        <v>0</v>
      </c>
      <c r="BG279" s="95">
        <f>IF(N279="zákl. přenesená",J279,0)</f>
        <v>0</v>
      </c>
      <c r="BH279" s="95">
        <f>IF(N279="sníž. přenesená",J279,0)</f>
        <v>0</v>
      </c>
      <c r="BI279" s="95">
        <f>IF(N279="nulová",J279,0)</f>
        <v>0</v>
      </c>
      <c r="BJ279" s="10" t="s">
        <v>45</v>
      </c>
      <c r="BK279" s="95">
        <f>ROUND(I279*H279,2)</f>
        <v>0</v>
      </c>
      <c r="BL279" s="10" t="s">
        <v>84</v>
      </c>
      <c r="BM279" s="94" t="s">
        <v>332</v>
      </c>
    </row>
    <row r="280" spans="2:65" s="1" customFormat="1" ht="19.2" x14ac:dyDescent="0.2">
      <c r="B280" s="19"/>
      <c r="D280" s="96" t="s">
        <v>86</v>
      </c>
      <c r="F280" s="97" t="s">
        <v>333</v>
      </c>
      <c r="I280" s="98"/>
      <c r="L280" s="19"/>
      <c r="M280" s="99"/>
      <c r="T280" s="32"/>
      <c r="AT280" s="10" t="s">
        <v>86</v>
      </c>
      <c r="AU280" s="10" t="s">
        <v>47</v>
      </c>
    </row>
    <row r="281" spans="2:65" s="7" customFormat="1" ht="10.199999999999999" x14ac:dyDescent="0.2">
      <c r="B281" s="100"/>
      <c r="D281" s="96" t="s">
        <v>88</v>
      </c>
      <c r="E281" s="101" t="s">
        <v>0</v>
      </c>
      <c r="F281" s="102" t="s">
        <v>113</v>
      </c>
      <c r="H281" s="101" t="s">
        <v>0</v>
      </c>
      <c r="I281" s="103"/>
      <c r="L281" s="100"/>
      <c r="M281" s="104"/>
      <c r="T281" s="105"/>
      <c r="AT281" s="101" t="s">
        <v>88</v>
      </c>
      <c r="AU281" s="101" t="s">
        <v>47</v>
      </c>
      <c r="AV281" s="7" t="s">
        <v>45</v>
      </c>
      <c r="AW281" s="7" t="s">
        <v>18</v>
      </c>
      <c r="AX281" s="7" t="s">
        <v>44</v>
      </c>
      <c r="AY281" s="101" t="s">
        <v>77</v>
      </c>
    </row>
    <row r="282" spans="2:65" s="8" customFormat="1" ht="10.199999999999999" x14ac:dyDescent="0.2">
      <c r="B282" s="106"/>
      <c r="D282" s="96" t="s">
        <v>88</v>
      </c>
      <c r="E282" s="107" t="s">
        <v>0</v>
      </c>
      <c r="F282" s="108" t="s">
        <v>45</v>
      </c>
      <c r="H282" s="109">
        <v>1</v>
      </c>
      <c r="I282" s="110"/>
      <c r="L282" s="106"/>
      <c r="M282" s="111"/>
      <c r="T282" s="112"/>
      <c r="AT282" s="107" t="s">
        <v>88</v>
      </c>
      <c r="AU282" s="107" t="s">
        <v>47</v>
      </c>
      <c r="AV282" s="8" t="s">
        <v>47</v>
      </c>
      <c r="AW282" s="8" t="s">
        <v>18</v>
      </c>
      <c r="AX282" s="8" t="s">
        <v>45</v>
      </c>
      <c r="AY282" s="107" t="s">
        <v>77</v>
      </c>
    </row>
    <row r="283" spans="2:65" s="1" customFormat="1" ht="24.15" customHeight="1" x14ac:dyDescent="0.2">
      <c r="B283" s="19"/>
      <c r="C283" s="120" t="s">
        <v>334</v>
      </c>
      <c r="D283" s="120" t="s">
        <v>204</v>
      </c>
      <c r="E283" s="121" t="s">
        <v>335</v>
      </c>
      <c r="F283" s="122" t="s">
        <v>336</v>
      </c>
      <c r="G283" s="123" t="s">
        <v>274</v>
      </c>
      <c r="H283" s="124">
        <v>1</v>
      </c>
      <c r="I283" s="125"/>
      <c r="J283" s="124">
        <f>ROUND(I283*H283,2)</f>
        <v>0</v>
      </c>
      <c r="K283" s="122" t="s">
        <v>83</v>
      </c>
      <c r="L283" s="126"/>
      <c r="M283" s="127" t="s">
        <v>0</v>
      </c>
      <c r="N283" s="128" t="s">
        <v>26</v>
      </c>
      <c r="P283" s="92">
        <f>O283*H283</f>
        <v>0</v>
      </c>
      <c r="Q283" s="92">
        <v>1.4499999999999999E-3</v>
      </c>
      <c r="R283" s="92">
        <f>Q283*H283</f>
        <v>1.4499999999999999E-3</v>
      </c>
      <c r="S283" s="92">
        <v>0</v>
      </c>
      <c r="T283" s="93">
        <f>S283*H283</f>
        <v>0</v>
      </c>
      <c r="AR283" s="94" t="s">
        <v>147</v>
      </c>
      <c r="AT283" s="94" t="s">
        <v>204</v>
      </c>
      <c r="AU283" s="94" t="s">
        <v>47</v>
      </c>
      <c r="AY283" s="10" t="s">
        <v>77</v>
      </c>
      <c r="BE283" s="95">
        <f>IF(N283="základní",J283,0)</f>
        <v>0</v>
      </c>
      <c r="BF283" s="95">
        <f>IF(N283="snížená",J283,0)</f>
        <v>0</v>
      </c>
      <c r="BG283" s="95">
        <f>IF(N283="zákl. přenesená",J283,0)</f>
        <v>0</v>
      </c>
      <c r="BH283" s="95">
        <f>IF(N283="sníž. přenesená",J283,0)</f>
        <v>0</v>
      </c>
      <c r="BI283" s="95">
        <f>IF(N283="nulová",J283,0)</f>
        <v>0</v>
      </c>
      <c r="BJ283" s="10" t="s">
        <v>45</v>
      </c>
      <c r="BK283" s="95">
        <f>ROUND(I283*H283,2)</f>
        <v>0</v>
      </c>
      <c r="BL283" s="10" t="s">
        <v>84</v>
      </c>
      <c r="BM283" s="94" t="s">
        <v>337</v>
      </c>
    </row>
    <row r="284" spans="2:65" s="1" customFormat="1" ht="10.199999999999999" x14ac:dyDescent="0.2">
      <c r="B284" s="19"/>
      <c r="D284" s="96" t="s">
        <v>86</v>
      </c>
      <c r="F284" s="97" t="s">
        <v>336</v>
      </c>
      <c r="I284" s="98"/>
      <c r="L284" s="19"/>
      <c r="M284" s="99"/>
      <c r="T284" s="32"/>
      <c r="AT284" s="10" t="s">
        <v>86</v>
      </c>
      <c r="AU284" s="10" t="s">
        <v>47</v>
      </c>
    </row>
    <row r="285" spans="2:65" s="1" customFormat="1" ht="24.15" customHeight="1" x14ac:dyDescent="0.2">
      <c r="B285" s="19"/>
      <c r="C285" s="84" t="s">
        <v>338</v>
      </c>
      <c r="D285" s="84" t="s">
        <v>79</v>
      </c>
      <c r="E285" s="85" t="s">
        <v>339</v>
      </c>
      <c r="F285" s="86" t="s">
        <v>340</v>
      </c>
      <c r="G285" s="87" t="s">
        <v>274</v>
      </c>
      <c r="H285" s="88">
        <v>4</v>
      </c>
      <c r="I285" s="89"/>
      <c r="J285" s="88">
        <f>ROUND(I285*H285,2)</f>
        <v>0</v>
      </c>
      <c r="K285" s="86" t="s">
        <v>83</v>
      </c>
      <c r="L285" s="19"/>
      <c r="M285" s="90" t="s">
        <v>0</v>
      </c>
      <c r="N285" s="91" t="s">
        <v>26</v>
      </c>
      <c r="P285" s="92">
        <f>O285*H285</f>
        <v>0</v>
      </c>
      <c r="Q285" s="92">
        <v>0</v>
      </c>
      <c r="R285" s="92">
        <f>Q285*H285</f>
        <v>0</v>
      </c>
      <c r="S285" s="92">
        <v>0</v>
      </c>
      <c r="T285" s="93">
        <f>S285*H285</f>
        <v>0</v>
      </c>
      <c r="AR285" s="94" t="s">
        <v>84</v>
      </c>
      <c r="AT285" s="94" t="s">
        <v>79</v>
      </c>
      <c r="AU285" s="94" t="s">
        <v>47</v>
      </c>
      <c r="AY285" s="10" t="s">
        <v>77</v>
      </c>
      <c r="BE285" s="95">
        <f>IF(N285="základní",J285,0)</f>
        <v>0</v>
      </c>
      <c r="BF285" s="95">
        <f>IF(N285="snížená",J285,0)</f>
        <v>0</v>
      </c>
      <c r="BG285" s="95">
        <f>IF(N285="zákl. přenesená",J285,0)</f>
        <v>0</v>
      </c>
      <c r="BH285" s="95">
        <f>IF(N285="sníž. přenesená",J285,0)</f>
        <v>0</v>
      </c>
      <c r="BI285" s="95">
        <f>IF(N285="nulová",J285,0)</f>
        <v>0</v>
      </c>
      <c r="BJ285" s="10" t="s">
        <v>45</v>
      </c>
      <c r="BK285" s="95">
        <f>ROUND(I285*H285,2)</f>
        <v>0</v>
      </c>
      <c r="BL285" s="10" t="s">
        <v>84</v>
      </c>
      <c r="BM285" s="94" t="s">
        <v>341</v>
      </c>
    </row>
    <row r="286" spans="2:65" s="1" customFormat="1" ht="28.8" x14ac:dyDescent="0.2">
      <c r="B286" s="19"/>
      <c r="D286" s="96" t="s">
        <v>86</v>
      </c>
      <c r="F286" s="97" t="s">
        <v>342</v>
      </c>
      <c r="I286" s="98"/>
      <c r="L286" s="19"/>
      <c r="M286" s="99"/>
      <c r="T286" s="32"/>
      <c r="AT286" s="10" t="s">
        <v>86</v>
      </c>
      <c r="AU286" s="10" t="s">
        <v>47</v>
      </c>
    </row>
    <row r="287" spans="2:65" s="7" customFormat="1" ht="10.199999999999999" x14ac:dyDescent="0.2">
      <c r="B287" s="100"/>
      <c r="D287" s="96" t="s">
        <v>88</v>
      </c>
      <c r="E287" s="101" t="s">
        <v>0</v>
      </c>
      <c r="F287" s="102" t="s">
        <v>343</v>
      </c>
      <c r="H287" s="101" t="s">
        <v>0</v>
      </c>
      <c r="I287" s="103"/>
      <c r="L287" s="100"/>
      <c r="M287" s="104"/>
      <c r="T287" s="105"/>
      <c r="AT287" s="101" t="s">
        <v>88</v>
      </c>
      <c r="AU287" s="101" t="s">
        <v>47</v>
      </c>
      <c r="AV287" s="7" t="s">
        <v>45</v>
      </c>
      <c r="AW287" s="7" t="s">
        <v>18</v>
      </c>
      <c r="AX287" s="7" t="s">
        <v>44</v>
      </c>
      <c r="AY287" s="101" t="s">
        <v>77</v>
      </c>
    </row>
    <row r="288" spans="2:65" s="8" customFormat="1" ht="10.199999999999999" x14ac:dyDescent="0.2">
      <c r="B288" s="106"/>
      <c r="D288" s="96" t="s">
        <v>88</v>
      </c>
      <c r="E288" s="107" t="s">
        <v>0</v>
      </c>
      <c r="F288" s="108" t="s">
        <v>45</v>
      </c>
      <c r="H288" s="109">
        <v>1</v>
      </c>
      <c r="I288" s="110"/>
      <c r="L288" s="106"/>
      <c r="M288" s="111"/>
      <c r="T288" s="112"/>
      <c r="AT288" s="107" t="s">
        <v>88</v>
      </c>
      <c r="AU288" s="107" t="s">
        <v>47</v>
      </c>
      <c r="AV288" s="8" t="s">
        <v>47</v>
      </c>
      <c r="AW288" s="8" t="s">
        <v>18</v>
      </c>
      <c r="AX288" s="8" t="s">
        <v>44</v>
      </c>
      <c r="AY288" s="107" t="s">
        <v>77</v>
      </c>
    </row>
    <row r="289" spans="2:65" s="7" customFormat="1" ht="10.199999999999999" x14ac:dyDescent="0.2">
      <c r="B289" s="100"/>
      <c r="D289" s="96" t="s">
        <v>88</v>
      </c>
      <c r="E289" s="101" t="s">
        <v>0</v>
      </c>
      <c r="F289" s="102" t="s">
        <v>344</v>
      </c>
      <c r="H289" s="101" t="s">
        <v>0</v>
      </c>
      <c r="I289" s="103"/>
      <c r="L289" s="100"/>
      <c r="M289" s="104"/>
      <c r="T289" s="105"/>
      <c r="AT289" s="101" t="s">
        <v>88</v>
      </c>
      <c r="AU289" s="101" t="s">
        <v>47</v>
      </c>
      <c r="AV289" s="7" t="s">
        <v>45</v>
      </c>
      <c r="AW289" s="7" t="s">
        <v>18</v>
      </c>
      <c r="AX289" s="7" t="s">
        <v>44</v>
      </c>
      <c r="AY289" s="101" t="s">
        <v>77</v>
      </c>
    </row>
    <row r="290" spans="2:65" s="8" customFormat="1" ht="10.199999999999999" x14ac:dyDescent="0.2">
      <c r="B290" s="106"/>
      <c r="D290" s="96" t="s">
        <v>88</v>
      </c>
      <c r="E290" s="107" t="s">
        <v>0</v>
      </c>
      <c r="F290" s="108" t="s">
        <v>101</v>
      </c>
      <c r="H290" s="109">
        <v>3</v>
      </c>
      <c r="I290" s="110"/>
      <c r="L290" s="106"/>
      <c r="M290" s="111"/>
      <c r="T290" s="112"/>
      <c r="AT290" s="107" t="s">
        <v>88</v>
      </c>
      <c r="AU290" s="107" t="s">
        <v>47</v>
      </c>
      <c r="AV290" s="8" t="s">
        <v>47</v>
      </c>
      <c r="AW290" s="8" t="s">
        <v>18</v>
      </c>
      <c r="AX290" s="8" t="s">
        <v>44</v>
      </c>
      <c r="AY290" s="107" t="s">
        <v>77</v>
      </c>
    </row>
    <row r="291" spans="2:65" s="9" customFormat="1" ht="10.199999999999999" x14ac:dyDescent="0.2">
      <c r="B291" s="113"/>
      <c r="D291" s="96" t="s">
        <v>88</v>
      </c>
      <c r="E291" s="114" t="s">
        <v>0</v>
      </c>
      <c r="F291" s="115" t="s">
        <v>91</v>
      </c>
      <c r="H291" s="116">
        <v>4</v>
      </c>
      <c r="I291" s="117"/>
      <c r="L291" s="113"/>
      <c r="M291" s="118"/>
      <c r="T291" s="119"/>
      <c r="AT291" s="114" t="s">
        <v>88</v>
      </c>
      <c r="AU291" s="114" t="s">
        <v>47</v>
      </c>
      <c r="AV291" s="9" t="s">
        <v>84</v>
      </c>
      <c r="AW291" s="9" t="s">
        <v>18</v>
      </c>
      <c r="AX291" s="9" t="s">
        <v>45</v>
      </c>
      <c r="AY291" s="114" t="s">
        <v>77</v>
      </c>
    </row>
    <row r="292" spans="2:65" s="1" customFormat="1" ht="33" customHeight="1" x14ac:dyDescent="0.2">
      <c r="B292" s="19"/>
      <c r="C292" s="120" t="s">
        <v>345</v>
      </c>
      <c r="D292" s="120" t="s">
        <v>204</v>
      </c>
      <c r="E292" s="121" t="s">
        <v>346</v>
      </c>
      <c r="F292" s="122" t="s">
        <v>347</v>
      </c>
      <c r="G292" s="123" t="s">
        <v>274</v>
      </c>
      <c r="H292" s="124">
        <v>1</v>
      </c>
      <c r="I292" s="125"/>
      <c r="J292" s="124">
        <f>ROUND(I292*H292,2)</f>
        <v>0</v>
      </c>
      <c r="K292" s="122" t="s">
        <v>83</v>
      </c>
      <c r="L292" s="126"/>
      <c r="M292" s="127" t="s">
        <v>0</v>
      </c>
      <c r="N292" s="128" t="s">
        <v>26</v>
      </c>
      <c r="P292" s="92">
        <f>O292*H292</f>
        <v>0</v>
      </c>
      <c r="Q292" s="92">
        <v>1.15E-2</v>
      </c>
      <c r="R292" s="92">
        <f>Q292*H292</f>
        <v>1.15E-2</v>
      </c>
      <c r="S292" s="92">
        <v>0</v>
      </c>
      <c r="T292" s="93">
        <f>S292*H292</f>
        <v>0</v>
      </c>
      <c r="AR292" s="94" t="s">
        <v>147</v>
      </c>
      <c r="AT292" s="94" t="s">
        <v>204</v>
      </c>
      <c r="AU292" s="94" t="s">
        <v>47</v>
      </c>
      <c r="AY292" s="10" t="s">
        <v>77</v>
      </c>
      <c r="BE292" s="95">
        <f>IF(N292="základní",J292,0)</f>
        <v>0</v>
      </c>
      <c r="BF292" s="95">
        <f>IF(N292="snížená",J292,0)</f>
        <v>0</v>
      </c>
      <c r="BG292" s="95">
        <f>IF(N292="zákl. přenesená",J292,0)</f>
        <v>0</v>
      </c>
      <c r="BH292" s="95">
        <f>IF(N292="sníž. přenesená",J292,0)</f>
        <v>0</v>
      </c>
      <c r="BI292" s="95">
        <f>IF(N292="nulová",J292,0)</f>
        <v>0</v>
      </c>
      <c r="BJ292" s="10" t="s">
        <v>45</v>
      </c>
      <c r="BK292" s="95">
        <f>ROUND(I292*H292,2)</f>
        <v>0</v>
      </c>
      <c r="BL292" s="10" t="s">
        <v>84</v>
      </c>
      <c r="BM292" s="94" t="s">
        <v>348</v>
      </c>
    </row>
    <row r="293" spans="2:65" s="1" customFormat="1" ht="19.2" x14ac:dyDescent="0.2">
      <c r="B293" s="19"/>
      <c r="D293" s="96" t="s">
        <v>86</v>
      </c>
      <c r="F293" s="97" t="s">
        <v>347</v>
      </c>
      <c r="I293" s="98"/>
      <c r="L293" s="19"/>
      <c r="M293" s="99"/>
      <c r="T293" s="32"/>
      <c r="AT293" s="10" t="s">
        <v>86</v>
      </c>
      <c r="AU293" s="10" t="s">
        <v>47</v>
      </c>
    </row>
    <row r="294" spans="2:65" s="1" customFormat="1" ht="24.15" customHeight="1" x14ac:dyDescent="0.2">
      <c r="B294" s="19"/>
      <c r="C294" s="120" t="s">
        <v>349</v>
      </c>
      <c r="D294" s="120" t="s">
        <v>204</v>
      </c>
      <c r="E294" s="121" t="s">
        <v>350</v>
      </c>
      <c r="F294" s="122" t="s">
        <v>351</v>
      </c>
      <c r="G294" s="123" t="s">
        <v>274</v>
      </c>
      <c r="H294" s="124">
        <v>1</v>
      </c>
      <c r="I294" s="125"/>
      <c r="J294" s="124">
        <f>ROUND(I294*H294,2)</f>
        <v>0</v>
      </c>
      <c r="K294" s="122" t="s">
        <v>83</v>
      </c>
      <c r="L294" s="126"/>
      <c r="M294" s="127" t="s">
        <v>0</v>
      </c>
      <c r="N294" s="128" t="s">
        <v>26</v>
      </c>
      <c r="P294" s="92">
        <f>O294*H294</f>
        <v>0</v>
      </c>
      <c r="Q294" s="92">
        <v>2.9999999999999997E-4</v>
      </c>
      <c r="R294" s="92">
        <f>Q294*H294</f>
        <v>2.9999999999999997E-4</v>
      </c>
      <c r="S294" s="92">
        <v>0</v>
      </c>
      <c r="T294" s="93">
        <f>S294*H294</f>
        <v>0</v>
      </c>
      <c r="AR294" s="94" t="s">
        <v>147</v>
      </c>
      <c r="AT294" s="94" t="s">
        <v>204</v>
      </c>
      <c r="AU294" s="94" t="s">
        <v>47</v>
      </c>
      <c r="AY294" s="10" t="s">
        <v>77</v>
      </c>
      <c r="BE294" s="95">
        <f>IF(N294="základní",J294,0)</f>
        <v>0</v>
      </c>
      <c r="BF294" s="95">
        <f>IF(N294="snížená",J294,0)</f>
        <v>0</v>
      </c>
      <c r="BG294" s="95">
        <f>IF(N294="zákl. přenesená",J294,0)</f>
        <v>0</v>
      </c>
      <c r="BH294" s="95">
        <f>IF(N294="sníž. přenesená",J294,0)</f>
        <v>0</v>
      </c>
      <c r="BI294" s="95">
        <f>IF(N294="nulová",J294,0)</f>
        <v>0</v>
      </c>
      <c r="BJ294" s="10" t="s">
        <v>45</v>
      </c>
      <c r="BK294" s="95">
        <f>ROUND(I294*H294,2)</f>
        <v>0</v>
      </c>
      <c r="BL294" s="10" t="s">
        <v>84</v>
      </c>
      <c r="BM294" s="94" t="s">
        <v>352</v>
      </c>
    </row>
    <row r="295" spans="2:65" s="1" customFormat="1" ht="19.2" x14ac:dyDescent="0.2">
      <c r="B295" s="19"/>
      <c r="D295" s="96" t="s">
        <v>86</v>
      </c>
      <c r="F295" s="97" t="s">
        <v>351</v>
      </c>
      <c r="I295" s="98"/>
      <c r="L295" s="19"/>
      <c r="M295" s="99"/>
      <c r="T295" s="32"/>
      <c r="AT295" s="10" t="s">
        <v>86</v>
      </c>
      <c r="AU295" s="10" t="s">
        <v>47</v>
      </c>
    </row>
    <row r="296" spans="2:65" s="1" customFormat="1" ht="16.5" customHeight="1" x14ac:dyDescent="0.2">
      <c r="B296" s="19"/>
      <c r="C296" s="120" t="s">
        <v>353</v>
      </c>
      <c r="D296" s="120" t="s">
        <v>204</v>
      </c>
      <c r="E296" s="121" t="s">
        <v>354</v>
      </c>
      <c r="F296" s="122" t="s">
        <v>355</v>
      </c>
      <c r="G296" s="123" t="s">
        <v>274</v>
      </c>
      <c r="H296" s="124">
        <v>3</v>
      </c>
      <c r="I296" s="125"/>
      <c r="J296" s="124">
        <f>ROUND(I296*H296,2)</f>
        <v>0</v>
      </c>
      <c r="K296" s="122" t="s">
        <v>83</v>
      </c>
      <c r="L296" s="126"/>
      <c r="M296" s="127" t="s">
        <v>0</v>
      </c>
      <c r="N296" s="128" t="s">
        <v>26</v>
      </c>
      <c r="P296" s="92">
        <f>O296*H296</f>
        <v>0</v>
      </c>
      <c r="Q296" s="92">
        <v>1.41E-2</v>
      </c>
      <c r="R296" s="92">
        <f>Q296*H296</f>
        <v>4.2299999999999997E-2</v>
      </c>
      <c r="S296" s="92">
        <v>0</v>
      </c>
      <c r="T296" s="93">
        <f>S296*H296</f>
        <v>0</v>
      </c>
      <c r="AR296" s="94" t="s">
        <v>147</v>
      </c>
      <c r="AT296" s="94" t="s">
        <v>204</v>
      </c>
      <c r="AU296" s="94" t="s">
        <v>47</v>
      </c>
      <c r="AY296" s="10" t="s">
        <v>77</v>
      </c>
      <c r="BE296" s="95">
        <f>IF(N296="základní",J296,0)</f>
        <v>0</v>
      </c>
      <c r="BF296" s="95">
        <f>IF(N296="snížená",J296,0)</f>
        <v>0</v>
      </c>
      <c r="BG296" s="95">
        <f>IF(N296="zákl. přenesená",J296,0)</f>
        <v>0</v>
      </c>
      <c r="BH296" s="95">
        <f>IF(N296="sníž. přenesená",J296,0)</f>
        <v>0</v>
      </c>
      <c r="BI296" s="95">
        <f>IF(N296="nulová",J296,0)</f>
        <v>0</v>
      </c>
      <c r="BJ296" s="10" t="s">
        <v>45</v>
      </c>
      <c r="BK296" s="95">
        <f>ROUND(I296*H296,2)</f>
        <v>0</v>
      </c>
      <c r="BL296" s="10" t="s">
        <v>84</v>
      </c>
      <c r="BM296" s="94" t="s">
        <v>356</v>
      </c>
    </row>
    <row r="297" spans="2:65" s="1" customFormat="1" ht="10.199999999999999" x14ac:dyDescent="0.2">
      <c r="B297" s="19"/>
      <c r="D297" s="96" t="s">
        <v>86</v>
      </c>
      <c r="F297" s="97" t="s">
        <v>355</v>
      </c>
      <c r="I297" s="98"/>
      <c r="L297" s="19"/>
      <c r="M297" s="99"/>
      <c r="T297" s="32"/>
      <c r="AT297" s="10" t="s">
        <v>86</v>
      </c>
      <c r="AU297" s="10" t="s">
        <v>47</v>
      </c>
    </row>
    <row r="298" spans="2:65" s="8" customFormat="1" ht="10.199999999999999" x14ac:dyDescent="0.2">
      <c r="B298" s="106"/>
      <c r="D298" s="96" t="s">
        <v>88</v>
      </c>
      <c r="E298" s="107" t="s">
        <v>0</v>
      </c>
      <c r="F298" s="108" t="s">
        <v>101</v>
      </c>
      <c r="H298" s="109">
        <v>3</v>
      </c>
      <c r="I298" s="110"/>
      <c r="L298" s="106"/>
      <c r="M298" s="111"/>
      <c r="T298" s="112"/>
      <c r="AT298" s="107" t="s">
        <v>88</v>
      </c>
      <c r="AU298" s="107" t="s">
        <v>47</v>
      </c>
      <c r="AV298" s="8" t="s">
        <v>47</v>
      </c>
      <c r="AW298" s="8" t="s">
        <v>18</v>
      </c>
      <c r="AX298" s="8" t="s">
        <v>45</v>
      </c>
      <c r="AY298" s="107" t="s">
        <v>77</v>
      </c>
    </row>
    <row r="299" spans="2:65" s="7" customFormat="1" ht="10.199999999999999" x14ac:dyDescent="0.2">
      <c r="B299" s="100"/>
      <c r="D299" s="96" t="s">
        <v>88</v>
      </c>
      <c r="E299" s="101" t="s">
        <v>0</v>
      </c>
      <c r="F299" s="102" t="s">
        <v>344</v>
      </c>
      <c r="H299" s="101" t="s">
        <v>0</v>
      </c>
      <c r="I299" s="103"/>
      <c r="L299" s="100"/>
      <c r="M299" s="104"/>
      <c r="T299" s="105"/>
      <c r="AT299" s="101" t="s">
        <v>88</v>
      </c>
      <c r="AU299" s="101" t="s">
        <v>47</v>
      </c>
      <c r="AV299" s="7" t="s">
        <v>45</v>
      </c>
      <c r="AW299" s="7" t="s">
        <v>18</v>
      </c>
      <c r="AX299" s="7" t="s">
        <v>44</v>
      </c>
      <c r="AY299" s="101" t="s">
        <v>77</v>
      </c>
    </row>
    <row r="300" spans="2:65" s="1" customFormat="1" ht="24.15" customHeight="1" x14ac:dyDescent="0.2">
      <c r="B300" s="19"/>
      <c r="C300" s="84" t="s">
        <v>357</v>
      </c>
      <c r="D300" s="84" t="s">
        <v>79</v>
      </c>
      <c r="E300" s="85" t="s">
        <v>358</v>
      </c>
      <c r="F300" s="86" t="s">
        <v>359</v>
      </c>
      <c r="G300" s="87" t="s">
        <v>130</v>
      </c>
      <c r="H300" s="88">
        <v>141.1</v>
      </c>
      <c r="I300" s="89"/>
      <c r="J300" s="88">
        <f>ROUND(I300*H300,2)</f>
        <v>0</v>
      </c>
      <c r="K300" s="86" t="s">
        <v>83</v>
      </c>
      <c r="L300" s="19"/>
      <c r="M300" s="90" t="s">
        <v>0</v>
      </c>
      <c r="N300" s="91" t="s">
        <v>26</v>
      </c>
      <c r="P300" s="92">
        <f>O300*H300</f>
        <v>0</v>
      </c>
      <c r="Q300" s="92">
        <v>0</v>
      </c>
      <c r="R300" s="92">
        <f>Q300*H300</f>
        <v>0</v>
      </c>
      <c r="S300" s="92">
        <v>0</v>
      </c>
      <c r="T300" s="93">
        <f>S300*H300</f>
        <v>0</v>
      </c>
      <c r="AR300" s="94" t="s">
        <v>84</v>
      </c>
      <c r="AT300" s="94" t="s">
        <v>79</v>
      </c>
      <c r="AU300" s="94" t="s">
        <v>47</v>
      </c>
      <c r="AY300" s="10" t="s">
        <v>77</v>
      </c>
      <c r="BE300" s="95">
        <f>IF(N300="základní",J300,0)</f>
        <v>0</v>
      </c>
      <c r="BF300" s="95">
        <f>IF(N300="snížená",J300,0)</f>
        <v>0</v>
      </c>
      <c r="BG300" s="95">
        <f>IF(N300="zákl. přenesená",J300,0)</f>
        <v>0</v>
      </c>
      <c r="BH300" s="95">
        <f>IF(N300="sníž. přenesená",J300,0)</f>
        <v>0</v>
      </c>
      <c r="BI300" s="95">
        <f>IF(N300="nulová",J300,0)</f>
        <v>0</v>
      </c>
      <c r="BJ300" s="10" t="s">
        <v>45</v>
      </c>
      <c r="BK300" s="95">
        <f>ROUND(I300*H300,2)</f>
        <v>0</v>
      </c>
      <c r="BL300" s="10" t="s">
        <v>84</v>
      </c>
      <c r="BM300" s="94" t="s">
        <v>360</v>
      </c>
    </row>
    <row r="301" spans="2:65" s="1" customFormat="1" ht="28.8" x14ac:dyDescent="0.2">
      <c r="B301" s="19"/>
      <c r="D301" s="96" t="s">
        <v>86</v>
      </c>
      <c r="F301" s="97" t="s">
        <v>361</v>
      </c>
      <c r="I301" s="98"/>
      <c r="L301" s="19"/>
      <c r="M301" s="99"/>
      <c r="T301" s="32"/>
      <c r="AT301" s="10" t="s">
        <v>86</v>
      </c>
      <c r="AU301" s="10" t="s">
        <v>47</v>
      </c>
    </row>
    <row r="302" spans="2:65" s="7" customFormat="1" ht="10.199999999999999" x14ac:dyDescent="0.2">
      <c r="B302" s="100"/>
      <c r="D302" s="96" t="s">
        <v>88</v>
      </c>
      <c r="E302" s="101" t="s">
        <v>0</v>
      </c>
      <c r="F302" s="102" t="s">
        <v>362</v>
      </c>
      <c r="H302" s="101" t="s">
        <v>0</v>
      </c>
      <c r="I302" s="103"/>
      <c r="L302" s="100"/>
      <c r="M302" s="104"/>
      <c r="T302" s="105"/>
      <c r="AT302" s="101" t="s">
        <v>88</v>
      </c>
      <c r="AU302" s="101" t="s">
        <v>47</v>
      </c>
      <c r="AV302" s="7" t="s">
        <v>45</v>
      </c>
      <c r="AW302" s="7" t="s">
        <v>18</v>
      </c>
      <c r="AX302" s="7" t="s">
        <v>44</v>
      </c>
      <c r="AY302" s="101" t="s">
        <v>77</v>
      </c>
    </row>
    <row r="303" spans="2:65" s="8" customFormat="1" ht="10.199999999999999" x14ac:dyDescent="0.2">
      <c r="B303" s="106"/>
      <c r="D303" s="96" t="s">
        <v>88</v>
      </c>
      <c r="E303" s="107" t="s">
        <v>0</v>
      </c>
      <c r="F303" s="108" t="s">
        <v>363</v>
      </c>
      <c r="H303" s="109">
        <v>140</v>
      </c>
      <c r="I303" s="110"/>
      <c r="L303" s="106"/>
      <c r="M303" s="111"/>
      <c r="T303" s="112"/>
      <c r="AT303" s="107" t="s">
        <v>88</v>
      </c>
      <c r="AU303" s="107" t="s">
        <v>47</v>
      </c>
      <c r="AV303" s="8" t="s">
        <v>47</v>
      </c>
      <c r="AW303" s="8" t="s">
        <v>18</v>
      </c>
      <c r="AX303" s="8" t="s">
        <v>44</v>
      </c>
      <c r="AY303" s="107" t="s">
        <v>77</v>
      </c>
    </row>
    <row r="304" spans="2:65" s="7" customFormat="1" ht="10.199999999999999" x14ac:dyDescent="0.2">
      <c r="B304" s="100"/>
      <c r="D304" s="96" t="s">
        <v>88</v>
      </c>
      <c r="E304" s="101" t="s">
        <v>0</v>
      </c>
      <c r="F304" s="102" t="s">
        <v>113</v>
      </c>
      <c r="H304" s="101" t="s">
        <v>0</v>
      </c>
      <c r="I304" s="103"/>
      <c r="L304" s="100"/>
      <c r="M304" s="104"/>
      <c r="T304" s="105"/>
      <c r="AT304" s="101" t="s">
        <v>88</v>
      </c>
      <c r="AU304" s="101" t="s">
        <v>47</v>
      </c>
      <c r="AV304" s="7" t="s">
        <v>45</v>
      </c>
      <c r="AW304" s="7" t="s">
        <v>18</v>
      </c>
      <c r="AX304" s="7" t="s">
        <v>44</v>
      </c>
      <c r="AY304" s="101" t="s">
        <v>77</v>
      </c>
    </row>
    <row r="305" spans="2:65" s="8" customFormat="1" ht="10.199999999999999" x14ac:dyDescent="0.2">
      <c r="B305" s="106"/>
      <c r="D305" s="96" t="s">
        <v>88</v>
      </c>
      <c r="E305" s="107" t="s">
        <v>0</v>
      </c>
      <c r="F305" s="108" t="s">
        <v>364</v>
      </c>
      <c r="H305" s="109">
        <v>1.1000000000000001</v>
      </c>
      <c r="I305" s="110"/>
      <c r="L305" s="106"/>
      <c r="M305" s="111"/>
      <c r="T305" s="112"/>
      <c r="AT305" s="107" t="s">
        <v>88</v>
      </c>
      <c r="AU305" s="107" t="s">
        <v>47</v>
      </c>
      <c r="AV305" s="8" t="s">
        <v>47</v>
      </c>
      <c r="AW305" s="8" t="s">
        <v>18</v>
      </c>
      <c r="AX305" s="8" t="s">
        <v>44</v>
      </c>
      <c r="AY305" s="107" t="s">
        <v>77</v>
      </c>
    </row>
    <row r="306" spans="2:65" s="9" customFormat="1" ht="10.199999999999999" x14ac:dyDescent="0.2">
      <c r="B306" s="113"/>
      <c r="D306" s="96" t="s">
        <v>88</v>
      </c>
      <c r="E306" s="114" t="s">
        <v>0</v>
      </c>
      <c r="F306" s="115" t="s">
        <v>91</v>
      </c>
      <c r="H306" s="116">
        <v>141.1</v>
      </c>
      <c r="I306" s="117"/>
      <c r="L306" s="113"/>
      <c r="M306" s="118"/>
      <c r="T306" s="119"/>
      <c r="AT306" s="114" t="s">
        <v>88</v>
      </c>
      <c r="AU306" s="114" t="s">
        <v>47</v>
      </c>
      <c r="AV306" s="9" t="s">
        <v>84</v>
      </c>
      <c r="AW306" s="9" t="s">
        <v>18</v>
      </c>
      <c r="AX306" s="9" t="s">
        <v>45</v>
      </c>
      <c r="AY306" s="114" t="s">
        <v>77</v>
      </c>
    </row>
    <row r="307" spans="2:65" s="1" customFormat="1" ht="24.15" customHeight="1" x14ac:dyDescent="0.2">
      <c r="B307" s="19"/>
      <c r="C307" s="120" t="s">
        <v>365</v>
      </c>
      <c r="D307" s="120" t="s">
        <v>204</v>
      </c>
      <c r="E307" s="121" t="s">
        <v>366</v>
      </c>
      <c r="F307" s="122" t="s">
        <v>367</v>
      </c>
      <c r="G307" s="123" t="s">
        <v>130</v>
      </c>
      <c r="H307" s="124">
        <v>144</v>
      </c>
      <c r="I307" s="125"/>
      <c r="J307" s="124">
        <f>ROUND(I307*H307,2)</f>
        <v>0</v>
      </c>
      <c r="K307" s="122" t="s">
        <v>83</v>
      </c>
      <c r="L307" s="126"/>
      <c r="M307" s="127" t="s">
        <v>0</v>
      </c>
      <c r="N307" s="128" t="s">
        <v>26</v>
      </c>
      <c r="P307" s="92">
        <f>O307*H307</f>
        <v>0</v>
      </c>
      <c r="Q307" s="92">
        <v>2.14E-3</v>
      </c>
      <c r="R307" s="92">
        <f>Q307*H307</f>
        <v>0.30815999999999999</v>
      </c>
      <c r="S307" s="92">
        <v>0</v>
      </c>
      <c r="T307" s="93">
        <f>S307*H307</f>
        <v>0</v>
      </c>
      <c r="AR307" s="94" t="s">
        <v>147</v>
      </c>
      <c r="AT307" s="94" t="s">
        <v>204</v>
      </c>
      <c r="AU307" s="94" t="s">
        <v>47</v>
      </c>
      <c r="AY307" s="10" t="s">
        <v>77</v>
      </c>
      <c r="BE307" s="95">
        <f>IF(N307="základní",J307,0)</f>
        <v>0</v>
      </c>
      <c r="BF307" s="95">
        <f>IF(N307="snížená",J307,0)</f>
        <v>0</v>
      </c>
      <c r="BG307" s="95">
        <f>IF(N307="zákl. přenesená",J307,0)</f>
        <v>0</v>
      </c>
      <c r="BH307" s="95">
        <f>IF(N307="sníž. přenesená",J307,0)</f>
        <v>0</v>
      </c>
      <c r="BI307" s="95">
        <f>IF(N307="nulová",J307,0)</f>
        <v>0</v>
      </c>
      <c r="BJ307" s="10" t="s">
        <v>45</v>
      </c>
      <c r="BK307" s="95">
        <f>ROUND(I307*H307,2)</f>
        <v>0</v>
      </c>
      <c r="BL307" s="10" t="s">
        <v>84</v>
      </c>
      <c r="BM307" s="94" t="s">
        <v>368</v>
      </c>
    </row>
    <row r="308" spans="2:65" s="1" customFormat="1" ht="10.199999999999999" x14ac:dyDescent="0.2">
      <c r="B308" s="19"/>
      <c r="D308" s="96" t="s">
        <v>86</v>
      </c>
      <c r="F308" s="97" t="s">
        <v>367</v>
      </c>
      <c r="I308" s="98"/>
      <c r="L308" s="19"/>
      <c r="M308" s="99"/>
      <c r="T308" s="32"/>
      <c r="AT308" s="10" t="s">
        <v>86</v>
      </c>
      <c r="AU308" s="10" t="s">
        <v>47</v>
      </c>
    </row>
    <row r="309" spans="2:65" s="8" customFormat="1" ht="10.199999999999999" x14ac:dyDescent="0.2">
      <c r="B309" s="106"/>
      <c r="D309" s="96" t="s">
        <v>88</v>
      </c>
      <c r="E309" s="107" t="s">
        <v>0</v>
      </c>
      <c r="F309" s="108" t="s">
        <v>369</v>
      </c>
      <c r="H309" s="109">
        <v>144</v>
      </c>
      <c r="I309" s="110"/>
      <c r="L309" s="106"/>
      <c r="M309" s="111"/>
      <c r="T309" s="112"/>
      <c r="AT309" s="107" t="s">
        <v>88</v>
      </c>
      <c r="AU309" s="107" t="s">
        <v>47</v>
      </c>
      <c r="AV309" s="8" t="s">
        <v>47</v>
      </c>
      <c r="AW309" s="8" t="s">
        <v>18</v>
      </c>
      <c r="AX309" s="8" t="s">
        <v>45</v>
      </c>
      <c r="AY309" s="107" t="s">
        <v>77</v>
      </c>
    </row>
    <row r="310" spans="2:65" s="1" customFormat="1" ht="24.15" customHeight="1" x14ac:dyDescent="0.2">
      <c r="B310" s="19"/>
      <c r="C310" s="84" t="s">
        <v>370</v>
      </c>
      <c r="D310" s="84" t="s">
        <v>79</v>
      </c>
      <c r="E310" s="85" t="s">
        <v>371</v>
      </c>
      <c r="F310" s="86" t="s">
        <v>372</v>
      </c>
      <c r="G310" s="87" t="s">
        <v>130</v>
      </c>
      <c r="H310" s="88">
        <v>68.599999999999994</v>
      </c>
      <c r="I310" s="89"/>
      <c r="J310" s="88">
        <f>ROUND(I310*H310,2)</f>
        <v>0</v>
      </c>
      <c r="K310" s="86" t="s">
        <v>83</v>
      </c>
      <c r="L310" s="19"/>
      <c r="M310" s="90" t="s">
        <v>0</v>
      </c>
      <c r="N310" s="91" t="s">
        <v>26</v>
      </c>
      <c r="P310" s="92">
        <f>O310*H310</f>
        <v>0</v>
      </c>
      <c r="Q310" s="92">
        <v>0</v>
      </c>
      <c r="R310" s="92">
        <f>Q310*H310</f>
        <v>0</v>
      </c>
      <c r="S310" s="92">
        <v>0</v>
      </c>
      <c r="T310" s="93">
        <f>S310*H310</f>
        <v>0</v>
      </c>
      <c r="AR310" s="94" t="s">
        <v>84</v>
      </c>
      <c r="AT310" s="94" t="s">
        <v>79</v>
      </c>
      <c r="AU310" s="94" t="s">
        <v>47</v>
      </c>
      <c r="AY310" s="10" t="s">
        <v>77</v>
      </c>
      <c r="BE310" s="95">
        <f>IF(N310="základní",J310,0)</f>
        <v>0</v>
      </c>
      <c r="BF310" s="95">
        <f>IF(N310="snížená",J310,0)</f>
        <v>0</v>
      </c>
      <c r="BG310" s="95">
        <f>IF(N310="zákl. přenesená",J310,0)</f>
        <v>0</v>
      </c>
      <c r="BH310" s="95">
        <f>IF(N310="sníž. přenesená",J310,0)</f>
        <v>0</v>
      </c>
      <c r="BI310" s="95">
        <f>IF(N310="nulová",J310,0)</f>
        <v>0</v>
      </c>
      <c r="BJ310" s="10" t="s">
        <v>45</v>
      </c>
      <c r="BK310" s="95">
        <f>ROUND(I310*H310,2)</f>
        <v>0</v>
      </c>
      <c r="BL310" s="10" t="s">
        <v>84</v>
      </c>
      <c r="BM310" s="94" t="s">
        <v>373</v>
      </c>
    </row>
    <row r="311" spans="2:65" s="1" customFormat="1" ht="28.8" x14ac:dyDescent="0.2">
      <c r="B311" s="19"/>
      <c r="D311" s="96" t="s">
        <v>86</v>
      </c>
      <c r="F311" s="97" t="s">
        <v>374</v>
      </c>
      <c r="I311" s="98"/>
      <c r="L311" s="19"/>
      <c r="M311" s="99"/>
      <c r="T311" s="32"/>
      <c r="AT311" s="10" t="s">
        <v>86</v>
      </c>
      <c r="AU311" s="10" t="s">
        <v>47</v>
      </c>
    </row>
    <row r="312" spans="2:65" s="7" customFormat="1" ht="10.199999999999999" x14ac:dyDescent="0.2">
      <c r="B312" s="100"/>
      <c r="D312" s="96" t="s">
        <v>88</v>
      </c>
      <c r="E312" s="101" t="s">
        <v>0</v>
      </c>
      <c r="F312" s="102" t="s">
        <v>375</v>
      </c>
      <c r="H312" s="101" t="s">
        <v>0</v>
      </c>
      <c r="I312" s="103"/>
      <c r="L312" s="100"/>
      <c r="M312" s="104"/>
      <c r="T312" s="105"/>
      <c r="AT312" s="101" t="s">
        <v>88</v>
      </c>
      <c r="AU312" s="101" t="s">
        <v>47</v>
      </c>
      <c r="AV312" s="7" t="s">
        <v>45</v>
      </c>
      <c r="AW312" s="7" t="s">
        <v>18</v>
      </c>
      <c r="AX312" s="7" t="s">
        <v>44</v>
      </c>
      <c r="AY312" s="101" t="s">
        <v>77</v>
      </c>
    </row>
    <row r="313" spans="2:65" s="8" customFormat="1" ht="10.199999999999999" x14ac:dyDescent="0.2">
      <c r="B313" s="106"/>
      <c r="D313" s="96" t="s">
        <v>88</v>
      </c>
      <c r="E313" s="107" t="s">
        <v>0</v>
      </c>
      <c r="F313" s="108" t="s">
        <v>376</v>
      </c>
      <c r="H313" s="109">
        <v>68.599999999999994</v>
      </c>
      <c r="I313" s="110"/>
      <c r="L313" s="106"/>
      <c r="M313" s="111"/>
      <c r="T313" s="112"/>
      <c r="AT313" s="107" t="s">
        <v>88</v>
      </c>
      <c r="AU313" s="107" t="s">
        <v>47</v>
      </c>
      <c r="AV313" s="8" t="s">
        <v>47</v>
      </c>
      <c r="AW313" s="8" t="s">
        <v>18</v>
      </c>
      <c r="AX313" s="8" t="s">
        <v>45</v>
      </c>
      <c r="AY313" s="107" t="s">
        <v>77</v>
      </c>
    </row>
    <row r="314" spans="2:65" s="1" customFormat="1" ht="24.15" customHeight="1" x14ac:dyDescent="0.2">
      <c r="B314" s="19"/>
      <c r="C314" s="120" t="s">
        <v>377</v>
      </c>
      <c r="D314" s="120" t="s">
        <v>204</v>
      </c>
      <c r="E314" s="121" t="s">
        <v>378</v>
      </c>
      <c r="F314" s="122" t="s">
        <v>379</v>
      </c>
      <c r="G314" s="123" t="s">
        <v>130</v>
      </c>
      <c r="H314" s="124">
        <v>69.63</v>
      </c>
      <c r="I314" s="125"/>
      <c r="J314" s="124">
        <f>ROUND(I314*H314,2)</f>
        <v>0</v>
      </c>
      <c r="K314" s="122" t="s">
        <v>83</v>
      </c>
      <c r="L314" s="126"/>
      <c r="M314" s="127" t="s">
        <v>0</v>
      </c>
      <c r="N314" s="128" t="s">
        <v>26</v>
      </c>
      <c r="P314" s="92">
        <f>O314*H314</f>
        <v>0</v>
      </c>
      <c r="Q314" s="92">
        <v>2.7E-4</v>
      </c>
      <c r="R314" s="92">
        <f>Q314*H314</f>
        <v>1.88001E-2</v>
      </c>
      <c r="S314" s="92">
        <v>0</v>
      </c>
      <c r="T314" s="93">
        <f>S314*H314</f>
        <v>0</v>
      </c>
      <c r="AR314" s="94" t="s">
        <v>147</v>
      </c>
      <c r="AT314" s="94" t="s">
        <v>204</v>
      </c>
      <c r="AU314" s="94" t="s">
        <v>47</v>
      </c>
      <c r="AY314" s="10" t="s">
        <v>77</v>
      </c>
      <c r="BE314" s="95">
        <f>IF(N314="základní",J314,0)</f>
        <v>0</v>
      </c>
      <c r="BF314" s="95">
        <f>IF(N314="snížená",J314,0)</f>
        <v>0</v>
      </c>
      <c r="BG314" s="95">
        <f>IF(N314="zákl. přenesená",J314,0)</f>
        <v>0</v>
      </c>
      <c r="BH314" s="95">
        <f>IF(N314="sníž. přenesená",J314,0)</f>
        <v>0</v>
      </c>
      <c r="BI314" s="95">
        <f>IF(N314="nulová",J314,0)</f>
        <v>0</v>
      </c>
      <c r="BJ314" s="10" t="s">
        <v>45</v>
      </c>
      <c r="BK314" s="95">
        <f>ROUND(I314*H314,2)</f>
        <v>0</v>
      </c>
      <c r="BL314" s="10" t="s">
        <v>84</v>
      </c>
      <c r="BM314" s="94" t="s">
        <v>380</v>
      </c>
    </row>
    <row r="315" spans="2:65" s="1" customFormat="1" ht="10.199999999999999" x14ac:dyDescent="0.2">
      <c r="B315" s="19"/>
      <c r="D315" s="96" t="s">
        <v>86</v>
      </c>
      <c r="F315" s="97" t="s">
        <v>379</v>
      </c>
      <c r="I315" s="98"/>
      <c r="L315" s="19"/>
      <c r="M315" s="99"/>
      <c r="T315" s="32"/>
      <c r="AT315" s="10" t="s">
        <v>86</v>
      </c>
      <c r="AU315" s="10" t="s">
        <v>47</v>
      </c>
    </row>
    <row r="316" spans="2:65" s="8" customFormat="1" ht="10.199999999999999" x14ac:dyDescent="0.2">
      <c r="B316" s="106"/>
      <c r="D316" s="96" t="s">
        <v>88</v>
      </c>
      <c r="F316" s="108" t="s">
        <v>381</v>
      </c>
      <c r="H316" s="109">
        <v>69.63</v>
      </c>
      <c r="I316" s="110"/>
      <c r="L316" s="106"/>
      <c r="M316" s="111"/>
      <c r="T316" s="112"/>
      <c r="AT316" s="107" t="s">
        <v>88</v>
      </c>
      <c r="AU316" s="107" t="s">
        <v>47</v>
      </c>
      <c r="AV316" s="8" t="s">
        <v>47</v>
      </c>
      <c r="AW316" s="8" t="s">
        <v>1</v>
      </c>
      <c r="AX316" s="8" t="s">
        <v>45</v>
      </c>
      <c r="AY316" s="107" t="s">
        <v>77</v>
      </c>
    </row>
    <row r="317" spans="2:65" s="1" customFormat="1" ht="24.15" customHeight="1" x14ac:dyDescent="0.2">
      <c r="B317" s="19"/>
      <c r="C317" s="84" t="s">
        <v>382</v>
      </c>
      <c r="D317" s="84" t="s">
        <v>79</v>
      </c>
      <c r="E317" s="85" t="s">
        <v>383</v>
      </c>
      <c r="F317" s="86" t="s">
        <v>384</v>
      </c>
      <c r="G317" s="87" t="s">
        <v>130</v>
      </c>
      <c r="H317" s="88">
        <v>208.6</v>
      </c>
      <c r="I317" s="89"/>
      <c r="J317" s="88">
        <f>ROUND(I317*H317,2)</f>
        <v>0</v>
      </c>
      <c r="K317" s="86" t="s">
        <v>83</v>
      </c>
      <c r="L317" s="19"/>
      <c r="M317" s="90" t="s">
        <v>0</v>
      </c>
      <c r="N317" s="91" t="s">
        <v>26</v>
      </c>
      <c r="P317" s="92">
        <f>O317*H317</f>
        <v>0</v>
      </c>
      <c r="Q317" s="92">
        <v>0</v>
      </c>
      <c r="R317" s="92">
        <f>Q317*H317</f>
        <v>0</v>
      </c>
      <c r="S317" s="92">
        <v>0</v>
      </c>
      <c r="T317" s="93">
        <f>S317*H317</f>
        <v>0</v>
      </c>
      <c r="AR317" s="94" t="s">
        <v>84</v>
      </c>
      <c r="AT317" s="94" t="s">
        <v>79</v>
      </c>
      <c r="AU317" s="94" t="s">
        <v>47</v>
      </c>
      <c r="AY317" s="10" t="s">
        <v>77</v>
      </c>
      <c r="BE317" s="95">
        <f>IF(N317="základní",J317,0)</f>
        <v>0</v>
      </c>
      <c r="BF317" s="95">
        <f>IF(N317="snížená",J317,0)</f>
        <v>0</v>
      </c>
      <c r="BG317" s="95">
        <f>IF(N317="zákl. přenesená",J317,0)</f>
        <v>0</v>
      </c>
      <c r="BH317" s="95">
        <f>IF(N317="sníž. přenesená",J317,0)</f>
        <v>0</v>
      </c>
      <c r="BI317" s="95">
        <f>IF(N317="nulová",J317,0)</f>
        <v>0</v>
      </c>
      <c r="BJ317" s="10" t="s">
        <v>45</v>
      </c>
      <c r="BK317" s="95">
        <f>ROUND(I317*H317,2)</f>
        <v>0</v>
      </c>
      <c r="BL317" s="10" t="s">
        <v>84</v>
      </c>
      <c r="BM317" s="94" t="s">
        <v>385</v>
      </c>
    </row>
    <row r="318" spans="2:65" s="1" customFormat="1" ht="19.2" x14ac:dyDescent="0.2">
      <c r="B318" s="19"/>
      <c r="D318" s="96" t="s">
        <v>86</v>
      </c>
      <c r="F318" s="97" t="s">
        <v>386</v>
      </c>
      <c r="I318" s="98"/>
      <c r="L318" s="19"/>
      <c r="M318" s="99"/>
      <c r="T318" s="32"/>
      <c r="AT318" s="10" t="s">
        <v>86</v>
      </c>
      <c r="AU318" s="10" t="s">
        <v>47</v>
      </c>
    </row>
    <row r="319" spans="2:65" s="7" customFormat="1" ht="10.199999999999999" x14ac:dyDescent="0.2">
      <c r="B319" s="100"/>
      <c r="D319" s="96" t="s">
        <v>88</v>
      </c>
      <c r="E319" s="101" t="s">
        <v>0</v>
      </c>
      <c r="F319" s="102" t="s">
        <v>387</v>
      </c>
      <c r="H319" s="101" t="s">
        <v>0</v>
      </c>
      <c r="I319" s="103"/>
      <c r="L319" s="100"/>
      <c r="M319" s="104"/>
      <c r="T319" s="105"/>
      <c r="AT319" s="101" t="s">
        <v>88</v>
      </c>
      <c r="AU319" s="101" t="s">
        <v>47</v>
      </c>
      <c r="AV319" s="7" t="s">
        <v>45</v>
      </c>
      <c r="AW319" s="7" t="s">
        <v>18</v>
      </c>
      <c r="AX319" s="7" t="s">
        <v>44</v>
      </c>
      <c r="AY319" s="101" t="s">
        <v>77</v>
      </c>
    </row>
    <row r="320" spans="2:65" s="7" customFormat="1" ht="10.199999999999999" x14ac:dyDescent="0.2">
      <c r="B320" s="100"/>
      <c r="D320" s="96" t="s">
        <v>88</v>
      </c>
      <c r="E320" s="101" t="s">
        <v>0</v>
      </c>
      <c r="F320" s="102" t="s">
        <v>388</v>
      </c>
      <c r="H320" s="101" t="s">
        <v>0</v>
      </c>
      <c r="I320" s="103"/>
      <c r="L320" s="100"/>
      <c r="M320" s="104"/>
      <c r="T320" s="105"/>
      <c r="AT320" s="101" t="s">
        <v>88</v>
      </c>
      <c r="AU320" s="101" t="s">
        <v>47</v>
      </c>
      <c r="AV320" s="7" t="s">
        <v>45</v>
      </c>
      <c r="AW320" s="7" t="s">
        <v>18</v>
      </c>
      <c r="AX320" s="7" t="s">
        <v>44</v>
      </c>
      <c r="AY320" s="101" t="s">
        <v>77</v>
      </c>
    </row>
    <row r="321" spans="2:65" s="8" customFormat="1" ht="10.199999999999999" x14ac:dyDescent="0.2">
      <c r="B321" s="106"/>
      <c r="D321" s="96" t="s">
        <v>88</v>
      </c>
      <c r="E321" s="107" t="s">
        <v>0</v>
      </c>
      <c r="F321" s="108" t="s">
        <v>389</v>
      </c>
      <c r="H321" s="109">
        <v>208.6</v>
      </c>
      <c r="I321" s="110"/>
      <c r="L321" s="106"/>
      <c r="M321" s="111"/>
      <c r="T321" s="112"/>
      <c r="AT321" s="107" t="s">
        <v>88</v>
      </c>
      <c r="AU321" s="107" t="s">
        <v>47</v>
      </c>
      <c r="AV321" s="8" t="s">
        <v>47</v>
      </c>
      <c r="AW321" s="8" t="s">
        <v>18</v>
      </c>
      <c r="AX321" s="8" t="s">
        <v>45</v>
      </c>
      <c r="AY321" s="107" t="s">
        <v>77</v>
      </c>
    </row>
    <row r="322" spans="2:65" s="1" customFormat="1" ht="37.799999999999997" customHeight="1" x14ac:dyDescent="0.2">
      <c r="B322" s="19"/>
      <c r="C322" s="120" t="s">
        <v>390</v>
      </c>
      <c r="D322" s="120" t="s">
        <v>204</v>
      </c>
      <c r="E322" s="121" t="s">
        <v>391</v>
      </c>
      <c r="F322" s="122" t="s">
        <v>392</v>
      </c>
      <c r="G322" s="123" t="s">
        <v>130</v>
      </c>
      <c r="H322" s="124">
        <v>210.69</v>
      </c>
      <c r="I322" s="125"/>
      <c r="J322" s="124">
        <f>ROUND(I322*H322,2)</f>
        <v>0</v>
      </c>
      <c r="K322" s="122" t="s">
        <v>83</v>
      </c>
      <c r="L322" s="126"/>
      <c r="M322" s="127" t="s">
        <v>0</v>
      </c>
      <c r="N322" s="128" t="s">
        <v>26</v>
      </c>
      <c r="P322" s="92">
        <f>O322*H322</f>
        <v>0</v>
      </c>
      <c r="Q322" s="92">
        <v>1.3999999999999999E-4</v>
      </c>
      <c r="R322" s="92">
        <f>Q322*H322</f>
        <v>2.9496599999999998E-2</v>
      </c>
      <c r="S322" s="92">
        <v>0</v>
      </c>
      <c r="T322" s="93">
        <f>S322*H322</f>
        <v>0</v>
      </c>
      <c r="AR322" s="94" t="s">
        <v>147</v>
      </c>
      <c r="AT322" s="94" t="s">
        <v>204</v>
      </c>
      <c r="AU322" s="94" t="s">
        <v>47</v>
      </c>
      <c r="AY322" s="10" t="s">
        <v>77</v>
      </c>
      <c r="BE322" s="95">
        <f>IF(N322="základní",J322,0)</f>
        <v>0</v>
      </c>
      <c r="BF322" s="95">
        <f>IF(N322="snížená",J322,0)</f>
        <v>0</v>
      </c>
      <c r="BG322" s="95">
        <f>IF(N322="zákl. přenesená",J322,0)</f>
        <v>0</v>
      </c>
      <c r="BH322" s="95">
        <f>IF(N322="sníž. přenesená",J322,0)</f>
        <v>0</v>
      </c>
      <c r="BI322" s="95">
        <f>IF(N322="nulová",J322,0)</f>
        <v>0</v>
      </c>
      <c r="BJ322" s="10" t="s">
        <v>45</v>
      </c>
      <c r="BK322" s="95">
        <f>ROUND(I322*H322,2)</f>
        <v>0</v>
      </c>
      <c r="BL322" s="10" t="s">
        <v>84</v>
      </c>
      <c r="BM322" s="94" t="s">
        <v>393</v>
      </c>
    </row>
    <row r="323" spans="2:65" s="1" customFormat="1" ht="19.2" x14ac:dyDescent="0.2">
      <c r="B323" s="19"/>
      <c r="D323" s="96" t="s">
        <v>86</v>
      </c>
      <c r="F323" s="97" t="s">
        <v>392</v>
      </c>
      <c r="I323" s="98"/>
      <c r="L323" s="19"/>
      <c r="M323" s="99"/>
      <c r="T323" s="32"/>
      <c r="AT323" s="10" t="s">
        <v>86</v>
      </c>
      <c r="AU323" s="10" t="s">
        <v>47</v>
      </c>
    </row>
    <row r="324" spans="2:65" s="8" customFormat="1" ht="10.199999999999999" x14ac:dyDescent="0.2">
      <c r="B324" s="106"/>
      <c r="D324" s="96" t="s">
        <v>88</v>
      </c>
      <c r="F324" s="108" t="s">
        <v>394</v>
      </c>
      <c r="H324" s="109">
        <v>210.69</v>
      </c>
      <c r="I324" s="110"/>
      <c r="L324" s="106"/>
      <c r="M324" s="111"/>
      <c r="T324" s="112"/>
      <c r="AT324" s="107" t="s">
        <v>88</v>
      </c>
      <c r="AU324" s="107" t="s">
        <v>47</v>
      </c>
      <c r="AV324" s="8" t="s">
        <v>47</v>
      </c>
      <c r="AW324" s="8" t="s">
        <v>1</v>
      </c>
      <c r="AX324" s="8" t="s">
        <v>45</v>
      </c>
      <c r="AY324" s="107" t="s">
        <v>77</v>
      </c>
    </row>
    <row r="325" spans="2:65" s="1" customFormat="1" ht="33" customHeight="1" x14ac:dyDescent="0.2">
      <c r="B325" s="19"/>
      <c r="C325" s="84" t="s">
        <v>395</v>
      </c>
      <c r="D325" s="84" t="s">
        <v>79</v>
      </c>
      <c r="E325" s="85" t="s">
        <v>396</v>
      </c>
      <c r="F325" s="86" t="s">
        <v>397</v>
      </c>
      <c r="G325" s="87" t="s">
        <v>274</v>
      </c>
      <c r="H325" s="88">
        <v>5</v>
      </c>
      <c r="I325" s="89"/>
      <c r="J325" s="88">
        <f>ROUND(I325*H325,2)</f>
        <v>0</v>
      </c>
      <c r="K325" s="86" t="s">
        <v>83</v>
      </c>
      <c r="L325" s="19"/>
      <c r="M325" s="90" t="s">
        <v>0</v>
      </c>
      <c r="N325" s="91" t="s">
        <v>26</v>
      </c>
      <c r="P325" s="92">
        <f>O325*H325</f>
        <v>0</v>
      </c>
      <c r="Q325" s="92">
        <v>1.6692E-3</v>
      </c>
      <c r="R325" s="92">
        <f>Q325*H325</f>
        <v>8.3459999999999993E-3</v>
      </c>
      <c r="S325" s="92">
        <v>0</v>
      </c>
      <c r="T325" s="93">
        <f>S325*H325</f>
        <v>0</v>
      </c>
      <c r="AR325" s="94" t="s">
        <v>84</v>
      </c>
      <c r="AT325" s="94" t="s">
        <v>79</v>
      </c>
      <c r="AU325" s="94" t="s">
        <v>47</v>
      </c>
      <c r="AY325" s="10" t="s">
        <v>77</v>
      </c>
      <c r="BE325" s="95">
        <f>IF(N325="základní",J325,0)</f>
        <v>0</v>
      </c>
      <c r="BF325" s="95">
        <f>IF(N325="snížená",J325,0)</f>
        <v>0</v>
      </c>
      <c r="BG325" s="95">
        <f>IF(N325="zákl. přenesená",J325,0)</f>
        <v>0</v>
      </c>
      <c r="BH325" s="95">
        <f>IF(N325="sníž. přenesená",J325,0)</f>
        <v>0</v>
      </c>
      <c r="BI325" s="95">
        <f>IF(N325="nulová",J325,0)</f>
        <v>0</v>
      </c>
      <c r="BJ325" s="10" t="s">
        <v>45</v>
      </c>
      <c r="BK325" s="95">
        <f>ROUND(I325*H325,2)</f>
        <v>0</v>
      </c>
      <c r="BL325" s="10" t="s">
        <v>84</v>
      </c>
      <c r="BM325" s="94" t="s">
        <v>398</v>
      </c>
    </row>
    <row r="326" spans="2:65" s="1" customFormat="1" ht="28.8" x14ac:dyDescent="0.2">
      <c r="B326" s="19"/>
      <c r="D326" s="96" t="s">
        <v>86</v>
      </c>
      <c r="F326" s="97" t="s">
        <v>399</v>
      </c>
      <c r="I326" s="98"/>
      <c r="L326" s="19"/>
      <c r="M326" s="99"/>
      <c r="T326" s="32"/>
      <c r="AT326" s="10" t="s">
        <v>86</v>
      </c>
      <c r="AU326" s="10" t="s">
        <v>47</v>
      </c>
    </row>
    <row r="327" spans="2:65" s="1" customFormat="1" ht="24.15" customHeight="1" x14ac:dyDescent="0.2">
      <c r="B327" s="19"/>
      <c r="C327" s="120" t="s">
        <v>400</v>
      </c>
      <c r="D327" s="120" t="s">
        <v>204</v>
      </c>
      <c r="E327" s="121" t="s">
        <v>401</v>
      </c>
      <c r="F327" s="122" t="s">
        <v>402</v>
      </c>
      <c r="G327" s="123" t="s">
        <v>274</v>
      </c>
      <c r="H327" s="124">
        <v>1</v>
      </c>
      <c r="I327" s="125"/>
      <c r="J327" s="124">
        <f>ROUND(I327*H327,2)</f>
        <v>0</v>
      </c>
      <c r="K327" s="122" t="s">
        <v>83</v>
      </c>
      <c r="L327" s="126"/>
      <c r="M327" s="127" t="s">
        <v>0</v>
      </c>
      <c r="N327" s="128" t="s">
        <v>26</v>
      </c>
      <c r="P327" s="92">
        <f>O327*H327</f>
        <v>0</v>
      </c>
      <c r="Q327" s="92">
        <v>1.09E-2</v>
      </c>
      <c r="R327" s="92">
        <f>Q327*H327</f>
        <v>1.09E-2</v>
      </c>
      <c r="S327" s="92">
        <v>0</v>
      </c>
      <c r="T327" s="93">
        <f>S327*H327</f>
        <v>0</v>
      </c>
      <c r="AR327" s="94" t="s">
        <v>147</v>
      </c>
      <c r="AT327" s="94" t="s">
        <v>204</v>
      </c>
      <c r="AU327" s="94" t="s">
        <v>47</v>
      </c>
      <c r="AY327" s="10" t="s">
        <v>77</v>
      </c>
      <c r="BE327" s="95">
        <f>IF(N327="základní",J327,0)</f>
        <v>0</v>
      </c>
      <c r="BF327" s="95">
        <f>IF(N327="snížená",J327,0)</f>
        <v>0</v>
      </c>
      <c r="BG327" s="95">
        <f>IF(N327="zákl. přenesená",J327,0)</f>
        <v>0</v>
      </c>
      <c r="BH327" s="95">
        <f>IF(N327="sníž. přenesená",J327,0)</f>
        <v>0</v>
      </c>
      <c r="BI327" s="95">
        <f>IF(N327="nulová",J327,0)</f>
        <v>0</v>
      </c>
      <c r="BJ327" s="10" t="s">
        <v>45</v>
      </c>
      <c r="BK327" s="95">
        <f>ROUND(I327*H327,2)</f>
        <v>0</v>
      </c>
      <c r="BL327" s="10" t="s">
        <v>84</v>
      </c>
      <c r="BM327" s="94" t="s">
        <v>403</v>
      </c>
    </row>
    <row r="328" spans="2:65" s="1" customFormat="1" ht="19.2" x14ac:dyDescent="0.2">
      <c r="B328" s="19"/>
      <c r="D328" s="96" t="s">
        <v>86</v>
      </c>
      <c r="F328" s="97" t="s">
        <v>402</v>
      </c>
      <c r="I328" s="98"/>
      <c r="L328" s="19"/>
      <c r="M328" s="99"/>
      <c r="T328" s="32"/>
      <c r="AT328" s="10" t="s">
        <v>86</v>
      </c>
      <c r="AU328" s="10" t="s">
        <v>47</v>
      </c>
    </row>
    <row r="329" spans="2:65" s="8" customFormat="1" ht="20.399999999999999" x14ac:dyDescent="0.2">
      <c r="B329" s="106"/>
      <c r="D329" s="96" t="s">
        <v>88</v>
      </c>
      <c r="F329" s="108" t="s">
        <v>404</v>
      </c>
      <c r="H329" s="109">
        <v>1</v>
      </c>
      <c r="I329" s="110"/>
      <c r="L329" s="106"/>
      <c r="M329" s="111"/>
      <c r="T329" s="112"/>
      <c r="AT329" s="107" t="s">
        <v>88</v>
      </c>
      <c r="AU329" s="107" t="s">
        <v>47</v>
      </c>
      <c r="AV329" s="8" t="s">
        <v>47</v>
      </c>
      <c r="AW329" s="8" t="s">
        <v>1</v>
      </c>
      <c r="AX329" s="8" t="s">
        <v>45</v>
      </c>
      <c r="AY329" s="107" t="s">
        <v>77</v>
      </c>
    </row>
    <row r="330" spans="2:65" s="1" customFormat="1" ht="24.15" customHeight="1" x14ac:dyDescent="0.2">
      <c r="B330" s="19"/>
      <c r="C330" s="120" t="s">
        <v>405</v>
      </c>
      <c r="D330" s="120" t="s">
        <v>204</v>
      </c>
      <c r="E330" s="121" t="s">
        <v>406</v>
      </c>
      <c r="F330" s="122" t="s">
        <v>407</v>
      </c>
      <c r="G330" s="123" t="s">
        <v>274</v>
      </c>
      <c r="H330" s="124">
        <v>1</v>
      </c>
      <c r="I330" s="125"/>
      <c r="J330" s="124">
        <f>ROUND(I330*H330,2)</f>
        <v>0</v>
      </c>
      <c r="K330" s="122" t="s">
        <v>83</v>
      </c>
      <c r="L330" s="126"/>
      <c r="M330" s="127" t="s">
        <v>0</v>
      </c>
      <c r="N330" s="128" t="s">
        <v>26</v>
      </c>
      <c r="P330" s="92">
        <f>O330*H330</f>
        <v>0</v>
      </c>
      <c r="Q330" s="92">
        <v>8.3999999999999995E-3</v>
      </c>
      <c r="R330" s="92">
        <f>Q330*H330</f>
        <v>8.3999999999999995E-3</v>
      </c>
      <c r="S330" s="92">
        <v>0</v>
      </c>
      <c r="T330" s="93">
        <f>S330*H330</f>
        <v>0</v>
      </c>
      <c r="AR330" s="94" t="s">
        <v>147</v>
      </c>
      <c r="AT330" s="94" t="s">
        <v>204</v>
      </c>
      <c r="AU330" s="94" t="s">
        <v>47</v>
      </c>
      <c r="AY330" s="10" t="s">
        <v>77</v>
      </c>
      <c r="BE330" s="95">
        <f>IF(N330="základní",J330,0)</f>
        <v>0</v>
      </c>
      <c r="BF330" s="95">
        <f>IF(N330="snížená",J330,0)</f>
        <v>0</v>
      </c>
      <c r="BG330" s="95">
        <f>IF(N330="zákl. přenesená",J330,0)</f>
        <v>0</v>
      </c>
      <c r="BH330" s="95">
        <f>IF(N330="sníž. přenesená",J330,0)</f>
        <v>0</v>
      </c>
      <c r="BI330" s="95">
        <f>IF(N330="nulová",J330,0)</f>
        <v>0</v>
      </c>
      <c r="BJ330" s="10" t="s">
        <v>45</v>
      </c>
      <c r="BK330" s="95">
        <f>ROUND(I330*H330,2)</f>
        <v>0</v>
      </c>
      <c r="BL330" s="10" t="s">
        <v>84</v>
      </c>
      <c r="BM330" s="94" t="s">
        <v>408</v>
      </c>
    </row>
    <row r="331" spans="2:65" s="1" customFormat="1" ht="19.2" x14ac:dyDescent="0.2">
      <c r="B331" s="19"/>
      <c r="D331" s="96" t="s">
        <v>86</v>
      </c>
      <c r="F331" s="97" t="s">
        <v>407</v>
      </c>
      <c r="I331" s="98"/>
      <c r="L331" s="19"/>
      <c r="M331" s="99"/>
      <c r="T331" s="32"/>
      <c r="AT331" s="10" t="s">
        <v>86</v>
      </c>
      <c r="AU331" s="10" t="s">
        <v>47</v>
      </c>
    </row>
    <row r="332" spans="2:65" s="8" customFormat="1" ht="20.399999999999999" x14ac:dyDescent="0.2">
      <c r="B332" s="106"/>
      <c r="D332" s="96" t="s">
        <v>88</v>
      </c>
      <c r="F332" s="108" t="s">
        <v>404</v>
      </c>
      <c r="H332" s="109">
        <v>1</v>
      </c>
      <c r="I332" s="110"/>
      <c r="L332" s="106"/>
      <c r="M332" s="111"/>
      <c r="T332" s="112"/>
      <c r="AT332" s="107" t="s">
        <v>88</v>
      </c>
      <c r="AU332" s="107" t="s">
        <v>47</v>
      </c>
      <c r="AV332" s="8" t="s">
        <v>47</v>
      </c>
      <c r="AW332" s="8" t="s">
        <v>1</v>
      </c>
      <c r="AX332" s="8" t="s">
        <v>45</v>
      </c>
      <c r="AY332" s="107" t="s">
        <v>77</v>
      </c>
    </row>
    <row r="333" spans="2:65" s="1" customFormat="1" ht="24.15" customHeight="1" x14ac:dyDescent="0.2">
      <c r="B333" s="19"/>
      <c r="C333" s="120" t="s">
        <v>409</v>
      </c>
      <c r="D333" s="120" t="s">
        <v>204</v>
      </c>
      <c r="E333" s="121" t="s">
        <v>410</v>
      </c>
      <c r="F333" s="122" t="s">
        <v>411</v>
      </c>
      <c r="G333" s="123" t="s">
        <v>274</v>
      </c>
      <c r="H333" s="124">
        <v>3</v>
      </c>
      <c r="I333" s="125"/>
      <c r="J333" s="124">
        <f>ROUND(I333*H333,2)</f>
        <v>0</v>
      </c>
      <c r="K333" s="122" t="s">
        <v>83</v>
      </c>
      <c r="L333" s="126"/>
      <c r="M333" s="127" t="s">
        <v>0</v>
      </c>
      <c r="N333" s="128" t="s">
        <v>26</v>
      </c>
      <c r="P333" s="92">
        <f>O333*H333</f>
        <v>0</v>
      </c>
      <c r="Q333" s="92">
        <v>1.2E-2</v>
      </c>
      <c r="R333" s="92">
        <f>Q333*H333</f>
        <v>3.6000000000000004E-2</v>
      </c>
      <c r="S333" s="92">
        <v>0</v>
      </c>
      <c r="T333" s="93">
        <f>S333*H333</f>
        <v>0</v>
      </c>
      <c r="AR333" s="94" t="s">
        <v>147</v>
      </c>
      <c r="AT333" s="94" t="s">
        <v>204</v>
      </c>
      <c r="AU333" s="94" t="s">
        <v>47</v>
      </c>
      <c r="AY333" s="10" t="s">
        <v>77</v>
      </c>
      <c r="BE333" s="95">
        <f>IF(N333="základní",J333,0)</f>
        <v>0</v>
      </c>
      <c r="BF333" s="95">
        <f>IF(N333="snížená",J333,0)</f>
        <v>0</v>
      </c>
      <c r="BG333" s="95">
        <f>IF(N333="zákl. přenesená",J333,0)</f>
        <v>0</v>
      </c>
      <c r="BH333" s="95">
        <f>IF(N333="sníž. přenesená",J333,0)</f>
        <v>0</v>
      </c>
      <c r="BI333" s="95">
        <f>IF(N333="nulová",J333,0)</f>
        <v>0</v>
      </c>
      <c r="BJ333" s="10" t="s">
        <v>45</v>
      </c>
      <c r="BK333" s="95">
        <f>ROUND(I333*H333,2)</f>
        <v>0</v>
      </c>
      <c r="BL333" s="10" t="s">
        <v>84</v>
      </c>
      <c r="BM333" s="94" t="s">
        <v>412</v>
      </c>
    </row>
    <row r="334" spans="2:65" s="1" customFormat="1" ht="19.2" x14ac:dyDescent="0.2">
      <c r="B334" s="19"/>
      <c r="D334" s="96" t="s">
        <v>86</v>
      </c>
      <c r="F334" s="97" t="s">
        <v>411</v>
      </c>
      <c r="I334" s="98"/>
      <c r="L334" s="19"/>
      <c r="M334" s="99"/>
      <c r="T334" s="32"/>
      <c r="AT334" s="10" t="s">
        <v>86</v>
      </c>
      <c r="AU334" s="10" t="s">
        <v>47</v>
      </c>
    </row>
    <row r="335" spans="2:65" s="8" customFormat="1" ht="20.399999999999999" x14ac:dyDescent="0.2">
      <c r="B335" s="106"/>
      <c r="D335" s="96" t="s">
        <v>88</v>
      </c>
      <c r="F335" s="108" t="s">
        <v>413</v>
      </c>
      <c r="H335" s="109">
        <v>3</v>
      </c>
      <c r="I335" s="110"/>
      <c r="L335" s="106"/>
      <c r="M335" s="111"/>
      <c r="T335" s="112"/>
      <c r="AT335" s="107" t="s">
        <v>88</v>
      </c>
      <c r="AU335" s="107" t="s">
        <v>47</v>
      </c>
      <c r="AV335" s="8" t="s">
        <v>47</v>
      </c>
      <c r="AW335" s="8" t="s">
        <v>1</v>
      </c>
      <c r="AX335" s="8" t="s">
        <v>45</v>
      </c>
      <c r="AY335" s="107" t="s">
        <v>77</v>
      </c>
    </row>
    <row r="336" spans="2:65" s="1" customFormat="1" ht="24.15" customHeight="1" x14ac:dyDescent="0.2">
      <c r="B336" s="19"/>
      <c r="C336" s="84" t="s">
        <v>414</v>
      </c>
      <c r="D336" s="84" t="s">
        <v>79</v>
      </c>
      <c r="E336" s="85" t="s">
        <v>415</v>
      </c>
      <c r="F336" s="86" t="s">
        <v>416</v>
      </c>
      <c r="G336" s="87" t="s">
        <v>274</v>
      </c>
      <c r="H336" s="88">
        <v>2</v>
      </c>
      <c r="I336" s="89"/>
      <c r="J336" s="88">
        <f>ROUND(I336*H336,2)</f>
        <v>0</v>
      </c>
      <c r="K336" s="86" t="s">
        <v>83</v>
      </c>
      <c r="L336" s="19"/>
      <c r="M336" s="90" t="s">
        <v>0</v>
      </c>
      <c r="N336" s="91" t="s">
        <v>26</v>
      </c>
      <c r="P336" s="92">
        <f>O336*H336</f>
        <v>0</v>
      </c>
      <c r="Q336" s="92">
        <v>0</v>
      </c>
      <c r="R336" s="92">
        <f>Q336*H336</f>
        <v>0</v>
      </c>
      <c r="S336" s="92">
        <v>0</v>
      </c>
      <c r="T336" s="93">
        <f>S336*H336</f>
        <v>0</v>
      </c>
      <c r="AR336" s="94" t="s">
        <v>84</v>
      </c>
      <c r="AT336" s="94" t="s">
        <v>79</v>
      </c>
      <c r="AU336" s="94" t="s">
        <v>47</v>
      </c>
      <c r="AY336" s="10" t="s">
        <v>77</v>
      </c>
      <c r="BE336" s="95">
        <f>IF(N336="základní",J336,0)</f>
        <v>0</v>
      </c>
      <c r="BF336" s="95">
        <f>IF(N336="snížená",J336,0)</f>
        <v>0</v>
      </c>
      <c r="BG336" s="95">
        <f>IF(N336="zákl. přenesená",J336,0)</f>
        <v>0</v>
      </c>
      <c r="BH336" s="95">
        <f>IF(N336="sníž. přenesená",J336,0)</f>
        <v>0</v>
      </c>
      <c r="BI336" s="95">
        <f>IF(N336="nulová",J336,0)</f>
        <v>0</v>
      </c>
      <c r="BJ336" s="10" t="s">
        <v>45</v>
      </c>
      <c r="BK336" s="95">
        <f>ROUND(I336*H336,2)</f>
        <v>0</v>
      </c>
      <c r="BL336" s="10" t="s">
        <v>84</v>
      </c>
      <c r="BM336" s="94" t="s">
        <v>417</v>
      </c>
    </row>
    <row r="337" spans="2:65" s="1" customFormat="1" ht="28.8" x14ac:dyDescent="0.2">
      <c r="B337" s="19"/>
      <c r="D337" s="96" t="s">
        <v>86</v>
      </c>
      <c r="F337" s="97" t="s">
        <v>418</v>
      </c>
      <c r="I337" s="98"/>
      <c r="L337" s="19"/>
      <c r="M337" s="99"/>
      <c r="T337" s="32"/>
      <c r="AT337" s="10" t="s">
        <v>86</v>
      </c>
      <c r="AU337" s="10" t="s">
        <v>47</v>
      </c>
    </row>
    <row r="338" spans="2:65" s="8" customFormat="1" ht="10.199999999999999" x14ac:dyDescent="0.2">
      <c r="B338" s="106"/>
      <c r="D338" s="96" t="s">
        <v>88</v>
      </c>
      <c r="E338" s="107" t="s">
        <v>0</v>
      </c>
      <c r="F338" s="108" t="s">
        <v>47</v>
      </c>
      <c r="H338" s="109">
        <v>2</v>
      </c>
      <c r="I338" s="110"/>
      <c r="L338" s="106"/>
      <c r="M338" s="111"/>
      <c r="T338" s="112"/>
      <c r="AT338" s="107" t="s">
        <v>88</v>
      </c>
      <c r="AU338" s="107" t="s">
        <v>47</v>
      </c>
      <c r="AV338" s="8" t="s">
        <v>47</v>
      </c>
      <c r="AW338" s="8" t="s">
        <v>18</v>
      </c>
      <c r="AX338" s="8" t="s">
        <v>45</v>
      </c>
      <c r="AY338" s="107" t="s">
        <v>77</v>
      </c>
    </row>
    <row r="339" spans="2:65" s="1" customFormat="1" ht="16.5" customHeight="1" x14ac:dyDescent="0.2">
      <c r="B339" s="19"/>
      <c r="C339" s="120" t="s">
        <v>419</v>
      </c>
      <c r="D339" s="120" t="s">
        <v>204</v>
      </c>
      <c r="E339" s="121" t="s">
        <v>420</v>
      </c>
      <c r="F339" s="122" t="s">
        <v>421</v>
      </c>
      <c r="G339" s="123" t="s">
        <v>274</v>
      </c>
      <c r="H339" s="124">
        <v>1</v>
      </c>
      <c r="I339" s="125"/>
      <c r="J339" s="124">
        <f>ROUND(I339*H339,2)</f>
        <v>0</v>
      </c>
      <c r="K339" s="122" t="s">
        <v>83</v>
      </c>
      <c r="L339" s="126"/>
      <c r="M339" s="127" t="s">
        <v>0</v>
      </c>
      <c r="N339" s="128" t="s">
        <v>26</v>
      </c>
      <c r="P339" s="92">
        <f>O339*H339</f>
        <v>0</v>
      </c>
      <c r="Q339" s="92">
        <v>3.8999999999999999E-4</v>
      </c>
      <c r="R339" s="92">
        <f>Q339*H339</f>
        <v>3.8999999999999999E-4</v>
      </c>
      <c r="S339" s="92">
        <v>0</v>
      </c>
      <c r="T339" s="93">
        <f>S339*H339</f>
        <v>0</v>
      </c>
      <c r="AR339" s="94" t="s">
        <v>147</v>
      </c>
      <c r="AT339" s="94" t="s">
        <v>204</v>
      </c>
      <c r="AU339" s="94" t="s">
        <v>47</v>
      </c>
      <c r="AY339" s="10" t="s">
        <v>77</v>
      </c>
      <c r="BE339" s="95">
        <f>IF(N339="základní",J339,0)</f>
        <v>0</v>
      </c>
      <c r="BF339" s="95">
        <f>IF(N339="snížená",J339,0)</f>
        <v>0</v>
      </c>
      <c r="BG339" s="95">
        <f>IF(N339="zákl. přenesená",J339,0)</f>
        <v>0</v>
      </c>
      <c r="BH339" s="95">
        <f>IF(N339="sníž. přenesená",J339,0)</f>
        <v>0</v>
      </c>
      <c r="BI339" s="95">
        <f>IF(N339="nulová",J339,0)</f>
        <v>0</v>
      </c>
      <c r="BJ339" s="10" t="s">
        <v>45</v>
      </c>
      <c r="BK339" s="95">
        <f>ROUND(I339*H339,2)</f>
        <v>0</v>
      </c>
      <c r="BL339" s="10" t="s">
        <v>84</v>
      </c>
      <c r="BM339" s="94" t="s">
        <v>422</v>
      </c>
    </row>
    <row r="340" spans="2:65" s="1" customFormat="1" ht="10.199999999999999" x14ac:dyDescent="0.2">
      <c r="B340" s="19"/>
      <c r="D340" s="96" t="s">
        <v>86</v>
      </c>
      <c r="F340" s="97" t="s">
        <v>421</v>
      </c>
      <c r="I340" s="98"/>
      <c r="L340" s="19"/>
      <c r="M340" s="99"/>
      <c r="T340" s="32"/>
      <c r="AT340" s="10" t="s">
        <v>86</v>
      </c>
      <c r="AU340" s="10" t="s">
        <v>47</v>
      </c>
    </row>
    <row r="341" spans="2:65" s="1" customFormat="1" ht="16.5" customHeight="1" x14ac:dyDescent="0.2">
      <c r="B341" s="19"/>
      <c r="C341" s="120" t="s">
        <v>423</v>
      </c>
      <c r="D341" s="120" t="s">
        <v>204</v>
      </c>
      <c r="E341" s="121" t="s">
        <v>424</v>
      </c>
      <c r="F341" s="122" t="s">
        <v>425</v>
      </c>
      <c r="G341" s="123" t="s">
        <v>274</v>
      </c>
      <c r="H341" s="124">
        <v>2</v>
      </c>
      <c r="I341" s="125"/>
      <c r="J341" s="124">
        <f>ROUND(I341*H341,2)</f>
        <v>0</v>
      </c>
      <c r="K341" s="122" t="s">
        <v>83</v>
      </c>
      <c r="L341" s="126"/>
      <c r="M341" s="127" t="s">
        <v>0</v>
      </c>
      <c r="N341" s="128" t="s">
        <v>26</v>
      </c>
      <c r="P341" s="92">
        <f>O341*H341</f>
        <v>0</v>
      </c>
      <c r="Q341" s="92">
        <v>7.2000000000000005E-4</v>
      </c>
      <c r="R341" s="92">
        <f>Q341*H341</f>
        <v>1.4400000000000001E-3</v>
      </c>
      <c r="S341" s="92">
        <v>0</v>
      </c>
      <c r="T341" s="93">
        <f>S341*H341</f>
        <v>0</v>
      </c>
      <c r="AR341" s="94" t="s">
        <v>147</v>
      </c>
      <c r="AT341" s="94" t="s">
        <v>204</v>
      </c>
      <c r="AU341" s="94" t="s">
        <v>47</v>
      </c>
      <c r="AY341" s="10" t="s">
        <v>77</v>
      </c>
      <c r="BE341" s="95">
        <f>IF(N341="základní",J341,0)</f>
        <v>0</v>
      </c>
      <c r="BF341" s="95">
        <f>IF(N341="snížená",J341,0)</f>
        <v>0</v>
      </c>
      <c r="BG341" s="95">
        <f>IF(N341="zákl. přenesená",J341,0)</f>
        <v>0</v>
      </c>
      <c r="BH341" s="95">
        <f>IF(N341="sníž. přenesená",J341,0)</f>
        <v>0</v>
      </c>
      <c r="BI341" s="95">
        <f>IF(N341="nulová",J341,0)</f>
        <v>0</v>
      </c>
      <c r="BJ341" s="10" t="s">
        <v>45</v>
      </c>
      <c r="BK341" s="95">
        <f>ROUND(I341*H341,2)</f>
        <v>0</v>
      </c>
      <c r="BL341" s="10" t="s">
        <v>84</v>
      </c>
      <c r="BM341" s="94" t="s">
        <v>426</v>
      </c>
    </row>
    <row r="342" spans="2:65" s="1" customFormat="1" ht="10.199999999999999" x14ac:dyDescent="0.2">
      <c r="B342" s="19"/>
      <c r="D342" s="96" t="s">
        <v>86</v>
      </c>
      <c r="F342" s="97" t="s">
        <v>425</v>
      </c>
      <c r="I342" s="98"/>
      <c r="L342" s="19"/>
      <c r="M342" s="99"/>
      <c r="T342" s="32"/>
      <c r="AT342" s="10" t="s">
        <v>86</v>
      </c>
      <c r="AU342" s="10" t="s">
        <v>47</v>
      </c>
    </row>
    <row r="343" spans="2:65" s="1" customFormat="1" ht="16.5" customHeight="1" x14ac:dyDescent="0.2">
      <c r="B343" s="19"/>
      <c r="C343" s="84" t="s">
        <v>427</v>
      </c>
      <c r="D343" s="84" t="s">
        <v>79</v>
      </c>
      <c r="E343" s="85" t="s">
        <v>428</v>
      </c>
      <c r="F343" s="86" t="s">
        <v>429</v>
      </c>
      <c r="G343" s="87" t="s">
        <v>274</v>
      </c>
      <c r="H343" s="88">
        <v>1</v>
      </c>
      <c r="I343" s="89"/>
      <c r="J343" s="88">
        <f>ROUND(I343*H343,2)</f>
        <v>0</v>
      </c>
      <c r="K343" s="86" t="s">
        <v>83</v>
      </c>
      <c r="L343" s="19"/>
      <c r="M343" s="90" t="s">
        <v>0</v>
      </c>
      <c r="N343" s="91" t="s">
        <v>26</v>
      </c>
      <c r="P343" s="92">
        <f>O343*H343</f>
        <v>0</v>
      </c>
      <c r="Q343" s="92">
        <v>1.3627999999999999E-3</v>
      </c>
      <c r="R343" s="92">
        <f>Q343*H343</f>
        <v>1.3627999999999999E-3</v>
      </c>
      <c r="S343" s="92">
        <v>0</v>
      </c>
      <c r="T343" s="93">
        <f>S343*H343</f>
        <v>0</v>
      </c>
      <c r="AR343" s="94" t="s">
        <v>84</v>
      </c>
      <c r="AT343" s="94" t="s">
        <v>79</v>
      </c>
      <c r="AU343" s="94" t="s">
        <v>47</v>
      </c>
      <c r="AY343" s="10" t="s">
        <v>77</v>
      </c>
      <c r="BE343" s="95">
        <f>IF(N343="základní",J343,0)</f>
        <v>0</v>
      </c>
      <c r="BF343" s="95">
        <f>IF(N343="snížená",J343,0)</f>
        <v>0</v>
      </c>
      <c r="BG343" s="95">
        <f>IF(N343="zákl. přenesená",J343,0)</f>
        <v>0</v>
      </c>
      <c r="BH343" s="95">
        <f>IF(N343="sníž. přenesená",J343,0)</f>
        <v>0</v>
      </c>
      <c r="BI343" s="95">
        <f>IF(N343="nulová",J343,0)</f>
        <v>0</v>
      </c>
      <c r="BJ343" s="10" t="s">
        <v>45</v>
      </c>
      <c r="BK343" s="95">
        <f>ROUND(I343*H343,2)</f>
        <v>0</v>
      </c>
      <c r="BL343" s="10" t="s">
        <v>84</v>
      </c>
      <c r="BM343" s="94" t="s">
        <v>430</v>
      </c>
    </row>
    <row r="344" spans="2:65" s="1" customFormat="1" ht="19.2" x14ac:dyDescent="0.2">
      <c r="B344" s="19"/>
      <c r="D344" s="96" t="s">
        <v>86</v>
      </c>
      <c r="F344" s="97" t="s">
        <v>431</v>
      </c>
      <c r="I344" s="98"/>
      <c r="L344" s="19"/>
      <c r="M344" s="99"/>
      <c r="T344" s="32"/>
      <c r="AT344" s="10" t="s">
        <v>86</v>
      </c>
      <c r="AU344" s="10" t="s">
        <v>47</v>
      </c>
    </row>
    <row r="345" spans="2:65" s="1" customFormat="1" ht="24.15" customHeight="1" x14ac:dyDescent="0.2">
      <c r="B345" s="19"/>
      <c r="C345" s="120" t="s">
        <v>432</v>
      </c>
      <c r="D345" s="120" t="s">
        <v>204</v>
      </c>
      <c r="E345" s="121" t="s">
        <v>433</v>
      </c>
      <c r="F345" s="122" t="s">
        <v>434</v>
      </c>
      <c r="G345" s="123" t="s">
        <v>274</v>
      </c>
      <c r="H345" s="124">
        <v>1</v>
      </c>
      <c r="I345" s="125"/>
      <c r="J345" s="124">
        <f>ROUND(I345*H345,2)</f>
        <v>0</v>
      </c>
      <c r="K345" s="122" t="s">
        <v>83</v>
      </c>
      <c r="L345" s="126"/>
      <c r="M345" s="127" t="s">
        <v>0</v>
      </c>
      <c r="N345" s="128" t="s">
        <v>26</v>
      </c>
      <c r="P345" s="92">
        <f>O345*H345</f>
        <v>0</v>
      </c>
      <c r="Q345" s="92">
        <v>7.8E-2</v>
      </c>
      <c r="R345" s="92">
        <f>Q345*H345</f>
        <v>7.8E-2</v>
      </c>
      <c r="S345" s="92">
        <v>0</v>
      </c>
      <c r="T345" s="93">
        <f>S345*H345</f>
        <v>0</v>
      </c>
      <c r="AR345" s="94" t="s">
        <v>147</v>
      </c>
      <c r="AT345" s="94" t="s">
        <v>204</v>
      </c>
      <c r="AU345" s="94" t="s">
        <v>47</v>
      </c>
      <c r="AY345" s="10" t="s">
        <v>77</v>
      </c>
      <c r="BE345" s="95">
        <f>IF(N345="základní",J345,0)</f>
        <v>0</v>
      </c>
      <c r="BF345" s="95">
        <f>IF(N345="snížená",J345,0)</f>
        <v>0</v>
      </c>
      <c r="BG345" s="95">
        <f>IF(N345="zákl. přenesená",J345,0)</f>
        <v>0</v>
      </c>
      <c r="BH345" s="95">
        <f>IF(N345="sníž. přenesená",J345,0)</f>
        <v>0</v>
      </c>
      <c r="BI345" s="95">
        <f>IF(N345="nulová",J345,0)</f>
        <v>0</v>
      </c>
      <c r="BJ345" s="10" t="s">
        <v>45</v>
      </c>
      <c r="BK345" s="95">
        <f>ROUND(I345*H345,2)</f>
        <v>0</v>
      </c>
      <c r="BL345" s="10" t="s">
        <v>84</v>
      </c>
      <c r="BM345" s="94" t="s">
        <v>435</v>
      </c>
    </row>
    <row r="346" spans="2:65" s="1" customFormat="1" ht="19.2" x14ac:dyDescent="0.2">
      <c r="B346" s="19"/>
      <c r="D346" s="96" t="s">
        <v>86</v>
      </c>
      <c r="F346" s="97" t="s">
        <v>434</v>
      </c>
      <c r="I346" s="98"/>
      <c r="L346" s="19"/>
      <c r="M346" s="99"/>
      <c r="T346" s="32"/>
      <c r="AT346" s="10" t="s">
        <v>86</v>
      </c>
      <c r="AU346" s="10" t="s">
        <v>47</v>
      </c>
    </row>
    <row r="347" spans="2:65" s="1" customFormat="1" ht="16.5" customHeight="1" x14ac:dyDescent="0.2">
      <c r="B347" s="19"/>
      <c r="C347" s="84" t="s">
        <v>153</v>
      </c>
      <c r="D347" s="84" t="s">
        <v>79</v>
      </c>
      <c r="E347" s="85" t="s">
        <v>436</v>
      </c>
      <c r="F347" s="86" t="s">
        <v>437</v>
      </c>
      <c r="G347" s="87" t="s">
        <v>274</v>
      </c>
      <c r="H347" s="88">
        <v>2</v>
      </c>
      <c r="I347" s="89"/>
      <c r="J347" s="88">
        <f>ROUND(I347*H347,2)</f>
        <v>0</v>
      </c>
      <c r="K347" s="86" t="s">
        <v>83</v>
      </c>
      <c r="L347" s="19"/>
      <c r="M347" s="90" t="s">
        <v>0</v>
      </c>
      <c r="N347" s="91" t="s">
        <v>26</v>
      </c>
      <c r="P347" s="92">
        <f>O347*H347</f>
        <v>0</v>
      </c>
      <c r="Q347" s="92">
        <v>1.3627999999999999E-3</v>
      </c>
      <c r="R347" s="92">
        <f>Q347*H347</f>
        <v>2.7255999999999999E-3</v>
      </c>
      <c r="S347" s="92">
        <v>0</v>
      </c>
      <c r="T347" s="93">
        <f>S347*H347</f>
        <v>0</v>
      </c>
      <c r="AR347" s="94" t="s">
        <v>84</v>
      </c>
      <c r="AT347" s="94" t="s">
        <v>79</v>
      </c>
      <c r="AU347" s="94" t="s">
        <v>47</v>
      </c>
      <c r="AY347" s="10" t="s">
        <v>77</v>
      </c>
      <c r="BE347" s="95">
        <f>IF(N347="základní",J347,0)</f>
        <v>0</v>
      </c>
      <c r="BF347" s="95">
        <f>IF(N347="snížená",J347,0)</f>
        <v>0</v>
      </c>
      <c r="BG347" s="95">
        <f>IF(N347="zákl. přenesená",J347,0)</f>
        <v>0</v>
      </c>
      <c r="BH347" s="95">
        <f>IF(N347="sníž. přenesená",J347,0)</f>
        <v>0</v>
      </c>
      <c r="BI347" s="95">
        <f>IF(N347="nulová",J347,0)</f>
        <v>0</v>
      </c>
      <c r="BJ347" s="10" t="s">
        <v>45</v>
      </c>
      <c r="BK347" s="95">
        <f>ROUND(I347*H347,2)</f>
        <v>0</v>
      </c>
      <c r="BL347" s="10" t="s">
        <v>84</v>
      </c>
      <c r="BM347" s="94" t="s">
        <v>438</v>
      </c>
    </row>
    <row r="348" spans="2:65" s="1" customFormat="1" ht="19.2" x14ac:dyDescent="0.2">
      <c r="B348" s="19"/>
      <c r="D348" s="96" t="s">
        <v>86</v>
      </c>
      <c r="F348" s="97" t="s">
        <v>439</v>
      </c>
      <c r="I348" s="98"/>
      <c r="L348" s="19"/>
      <c r="M348" s="99"/>
      <c r="T348" s="32"/>
      <c r="AT348" s="10" t="s">
        <v>86</v>
      </c>
      <c r="AU348" s="10" t="s">
        <v>47</v>
      </c>
    </row>
    <row r="349" spans="2:65" s="1" customFormat="1" ht="24.15" customHeight="1" x14ac:dyDescent="0.2">
      <c r="B349" s="19"/>
      <c r="C349" s="120" t="s">
        <v>440</v>
      </c>
      <c r="D349" s="120" t="s">
        <v>204</v>
      </c>
      <c r="E349" s="121" t="s">
        <v>441</v>
      </c>
      <c r="F349" s="122" t="s">
        <v>442</v>
      </c>
      <c r="G349" s="123" t="s">
        <v>274</v>
      </c>
      <c r="H349" s="124">
        <v>2</v>
      </c>
      <c r="I349" s="125"/>
      <c r="J349" s="124">
        <f>ROUND(I349*H349,2)</f>
        <v>0</v>
      </c>
      <c r="K349" s="122" t="s">
        <v>83</v>
      </c>
      <c r="L349" s="126"/>
      <c r="M349" s="127" t="s">
        <v>0</v>
      </c>
      <c r="N349" s="128" t="s">
        <v>26</v>
      </c>
      <c r="P349" s="92">
        <f>O349*H349</f>
        <v>0</v>
      </c>
      <c r="Q349" s="92">
        <v>3.95E-2</v>
      </c>
      <c r="R349" s="92">
        <f>Q349*H349</f>
        <v>7.9000000000000001E-2</v>
      </c>
      <c r="S349" s="92">
        <v>0</v>
      </c>
      <c r="T349" s="93">
        <f>S349*H349</f>
        <v>0</v>
      </c>
      <c r="AR349" s="94" t="s">
        <v>147</v>
      </c>
      <c r="AT349" s="94" t="s">
        <v>204</v>
      </c>
      <c r="AU349" s="94" t="s">
        <v>47</v>
      </c>
      <c r="AY349" s="10" t="s">
        <v>77</v>
      </c>
      <c r="BE349" s="95">
        <f>IF(N349="základní",J349,0)</f>
        <v>0</v>
      </c>
      <c r="BF349" s="95">
        <f>IF(N349="snížená",J349,0)</f>
        <v>0</v>
      </c>
      <c r="BG349" s="95">
        <f>IF(N349="zákl. přenesená",J349,0)</f>
        <v>0</v>
      </c>
      <c r="BH349" s="95">
        <f>IF(N349="sníž. přenesená",J349,0)</f>
        <v>0</v>
      </c>
      <c r="BI349" s="95">
        <f>IF(N349="nulová",J349,0)</f>
        <v>0</v>
      </c>
      <c r="BJ349" s="10" t="s">
        <v>45</v>
      </c>
      <c r="BK349" s="95">
        <f>ROUND(I349*H349,2)</f>
        <v>0</v>
      </c>
      <c r="BL349" s="10" t="s">
        <v>84</v>
      </c>
      <c r="BM349" s="94" t="s">
        <v>443</v>
      </c>
    </row>
    <row r="350" spans="2:65" s="1" customFormat="1" ht="19.2" x14ac:dyDescent="0.2">
      <c r="B350" s="19"/>
      <c r="D350" s="96" t="s">
        <v>86</v>
      </c>
      <c r="F350" s="97" t="s">
        <v>442</v>
      </c>
      <c r="I350" s="98"/>
      <c r="L350" s="19"/>
      <c r="M350" s="99"/>
      <c r="T350" s="32"/>
      <c r="AT350" s="10" t="s">
        <v>86</v>
      </c>
      <c r="AU350" s="10" t="s">
        <v>47</v>
      </c>
    </row>
    <row r="351" spans="2:65" s="1" customFormat="1" ht="24.15" customHeight="1" x14ac:dyDescent="0.2">
      <c r="B351" s="19"/>
      <c r="C351" s="84" t="s">
        <v>444</v>
      </c>
      <c r="D351" s="84" t="s">
        <v>79</v>
      </c>
      <c r="E351" s="85" t="s">
        <v>445</v>
      </c>
      <c r="F351" s="86" t="s">
        <v>446</v>
      </c>
      <c r="G351" s="87" t="s">
        <v>274</v>
      </c>
      <c r="H351" s="88">
        <v>10</v>
      </c>
      <c r="I351" s="89"/>
      <c r="J351" s="88">
        <f>ROUND(I351*H351,2)</f>
        <v>0</v>
      </c>
      <c r="K351" s="86" t="s">
        <v>83</v>
      </c>
      <c r="L351" s="19"/>
      <c r="M351" s="90" t="s">
        <v>0</v>
      </c>
      <c r="N351" s="91" t="s">
        <v>26</v>
      </c>
      <c r="P351" s="92">
        <f>O351*H351</f>
        <v>0</v>
      </c>
      <c r="Q351" s="92">
        <v>0</v>
      </c>
      <c r="R351" s="92">
        <f>Q351*H351</f>
        <v>0</v>
      </c>
      <c r="S351" s="92">
        <v>0</v>
      </c>
      <c r="T351" s="93">
        <f>S351*H351</f>
        <v>0</v>
      </c>
      <c r="AR351" s="94" t="s">
        <v>84</v>
      </c>
      <c r="AT351" s="94" t="s">
        <v>79</v>
      </c>
      <c r="AU351" s="94" t="s">
        <v>47</v>
      </c>
      <c r="AY351" s="10" t="s">
        <v>77</v>
      </c>
      <c r="BE351" s="95">
        <f>IF(N351="základní",J351,0)</f>
        <v>0</v>
      </c>
      <c r="BF351" s="95">
        <f>IF(N351="snížená",J351,0)</f>
        <v>0</v>
      </c>
      <c r="BG351" s="95">
        <f>IF(N351="zákl. přenesená",J351,0)</f>
        <v>0</v>
      </c>
      <c r="BH351" s="95">
        <f>IF(N351="sníž. přenesená",J351,0)</f>
        <v>0</v>
      </c>
      <c r="BI351" s="95">
        <f>IF(N351="nulová",J351,0)</f>
        <v>0</v>
      </c>
      <c r="BJ351" s="10" t="s">
        <v>45</v>
      </c>
      <c r="BK351" s="95">
        <f>ROUND(I351*H351,2)</f>
        <v>0</v>
      </c>
      <c r="BL351" s="10" t="s">
        <v>84</v>
      </c>
      <c r="BM351" s="94" t="s">
        <v>447</v>
      </c>
    </row>
    <row r="352" spans="2:65" s="1" customFormat="1" ht="28.8" x14ac:dyDescent="0.2">
      <c r="B352" s="19"/>
      <c r="D352" s="96" t="s">
        <v>86</v>
      </c>
      <c r="F352" s="97" t="s">
        <v>448</v>
      </c>
      <c r="I352" s="98"/>
      <c r="L352" s="19"/>
      <c r="M352" s="99"/>
      <c r="T352" s="32"/>
      <c r="AT352" s="10" t="s">
        <v>86</v>
      </c>
      <c r="AU352" s="10" t="s">
        <v>47</v>
      </c>
    </row>
    <row r="353" spans="2:65" s="1" customFormat="1" ht="16.5" customHeight="1" x14ac:dyDescent="0.2">
      <c r="B353" s="19"/>
      <c r="C353" s="120" t="s">
        <v>449</v>
      </c>
      <c r="D353" s="120" t="s">
        <v>204</v>
      </c>
      <c r="E353" s="121" t="s">
        <v>450</v>
      </c>
      <c r="F353" s="122" t="s">
        <v>451</v>
      </c>
      <c r="G353" s="123" t="s">
        <v>274</v>
      </c>
      <c r="H353" s="124">
        <v>10</v>
      </c>
      <c r="I353" s="125"/>
      <c r="J353" s="124">
        <f>ROUND(I353*H353,2)</f>
        <v>0</v>
      </c>
      <c r="K353" s="122" t="s">
        <v>83</v>
      </c>
      <c r="L353" s="126"/>
      <c r="M353" s="127" t="s">
        <v>0</v>
      </c>
      <c r="N353" s="128" t="s">
        <v>26</v>
      </c>
      <c r="P353" s="92">
        <f>O353*H353</f>
        <v>0</v>
      </c>
      <c r="Q353" s="92">
        <v>5.0000000000000002E-5</v>
      </c>
      <c r="R353" s="92">
        <f>Q353*H353</f>
        <v>5.0000000000000001E-4</v>
      </c>
      <c r="S353" s="92">
        <v>0</v>
      </c>
      <c r="T353" s="93">
        <f>S353*H353</f>
        <v>0</v>
      </c>
      <c r="AR353" s="94" t="s">
        <v>147</v>
      </c>
      <c r="AT353" s="94" t="s">
        <v>204</v>
      </c>
      <c r="AU353" s="94" t="s">
        <v>47</v>
      </c>
      <c r="AY353" s="10" t="s">
        <v>77</v>
      </c>
      <c r="BE353" s="95">
        <f>IF(N353="základní",J353,0)</f>
        <v>0</v>
      </c>
      <c r="BF353" s="95">
        <f>IF(N353="snížená",J353,0)</f>
        <v>0</v>
      </c>
      <c r="BG353" s="95">
        <f>IF(N353="zákl. přenesená",J353,0)</f>
        <v>0</v>
      </c>
      <c r="BH353" s="95">
        <f>IF(N353="sníž. přenesená",J353,0)</f>
        <v>0</v>
      </c>
      <c r="BI353" s="95">
        <f>IF(N353="nulová",J353,0)</f>
        <v>0</v>
      </c>
      <c r="BJ353" s="10" t="s">
        <v>45</v>
      </c>
      <c r="BK353" s="95">
        <f>ROUND(I353*H353,2)</f>
        <v>0</v>
      </c>
      <c r="BL353" s="10" t="s">
        <v>84</v>
      </c>
      <c r="BM353" s="94" t="s">
        <v>452</v>
      </c>
    </row>
    <row r="354" spans="2:65" s="1" customFormat="1" ht="10.199999999999999" x14ac:dyDescent="0.2">
      <c r="B354" s="19"/>
      <c r="D354" s="96" t="s">
        <v>86</v>
      </c>
      <c r="F354" s="97" t="s">
        <v>451</v>
      </c>
      <c r="I354" s="98"/>
      <c r="L354" s="19"/>
      <c r="M354" s="99"/>
      <c r="T354" s="32"/>
      <c r="AT354" s="10" t="s">
        <v>86</v>
      </c>
      <c r="AU354" s="10" t="s">
        <v>47</v>
      </c>
    </row>
    <row r="355" spans="2:65" s="1" customFormat="1" ht="33" customHeight="1" x14ac:dyDescent="0.2">
      <c r="B355" s="19"/>
      <c r="C355" s="84" t="s">
        <v>453</v>
      </c>
      <c r="D355" s="84" t="s">
        <v>79</v>
      </c>
      <c r="E355" s="85" t="s">
        <v>454</v>
      </c>
      <c r="F355" s="86" t="s">
        <v>455</v>
      </c>
      <c r="G355" s="87" t="s">
        <v>274</v>
      </c>
      <c r="H355" s="88">
        <v>10</v>
      </c>
      <c r="I355" s="89"/>
      <c r="J355" s="88">
        <f>ROUND(I355*H355,2)</f>
        <v>0</v>
      </c>
      <c r="K355" s="86" t="s">
        <v>83</v>
      </c>
      <c r="L355" s="19"/>
      <c r="M355" s="90" t="s">
        <v>0</v>
      </c>
      <c r="N355" s="91" t="s">
        <v>26</v>
      </c>
      <c r="P355" s="92">
        <f>O355*H355</f>
        <v>0</v>
      </c>
      <c r="Q355" s="92">
        <v>0</v>
      </c>
      <c r="R355" s="92">
        <f>Q355*H355</f>
        <v>0</v>
      </c>
      <c r="S355" s="92">
        <v>0</v>
      </c>
      <c r="T355" s="93">
        <f>S355*H355</f>
        <v>0</v>
      </c>
      <c r="AR355" s="94" t="s">
        <v>84</v>
      </c>
      <c r="AT355" s="94" t="s">
        <v>79</v>
      </c>
      <c r="AU355" s="94" t="s">
        <v>47</v>
      </c>
      <c r="AY355" s="10" t="s">
        <v>77</v>
      </c>
      <c r="BE355" s="95">
        <f>IF(N355="základní",J355,0)</f>
        <v>0</v>
      </c>
      <c r="BF355" s="95">
        <f>IF(N355="snížená",J355,0)</f>
        <v>0</v>
      </c>
      <c r="BG355" s="95">
        <f>IF(N355="zákl. přenesená",J355,0)</f>
        <v>0</v>
      </c>
      <c r="BH355" s="95">
        <f>IF(N355="sníž. přenesená",J355,0)</f>
        <v>0</v>
      </c>
      <c r="BI355" s="95">
        <f>IF(N355="nulová",J355,0)</f>
        <v>0</v>
      </c>
      <c r="BJ355" s="10" t="s">
        <v>45</v>
      </c>
      <c r="BK355" s="95">
        <f>ROUND(I355*H355,2)</f>
        <v>0</v>
      </c>
      <c r="BL355" s="10" t="s">
        <v>84</v>
      </c>
      <c r="BM355" s="94" t="s">
        <v>456</v>
      </c>
    </row>
    <row r="356" spans="2:65" s="1" customFormat="1" ht="28.8" x14ac:dyDescent="0.2">
      <c r="B356" s="19"/>
      <c r="D356" s="96" t="s">
        <v>86</v>
      </c>
      <c r="F356" s="97" t="s">
        <v>457</v>
      </c>
      <c r="I356" s="98"/>
      <c r="L356" s="19"/>
      <c r="M356" s="99"/>
      <c r="T356" s="32"/>
      <c r="AT356" s="10" t="s">
        <v>86</v>
      </c>
      <c r="AU356" s="10" t="s">
        <v>47</v>
      </c>
    </row>
    <row r="357" spans="2:65" s="7" customFormat="1" ht="10.199999999999999" x14ac:dyDescent="0.2">
      <c r="B357" s="100"/>
      <c r="D357" s="96" t="s">
        <v>88</v>
      </c>
      <c r="E357" s="101" t="s">
        <v>0</v>
      </c>
      <c r="F357" s="102" t="s">
        <v>458</v>
      </c>
      <c r="H357" s="101" t="s">
        <v>0</v>
      </c>
      <c r="I357" s="103"/>
      <c r="L357" s="100"/>
      <c r="M357" s="104"/>
      <c r="T357" s="105"/>
      <c r="AT357" s="101" t="s">
        <v>88</v>
      </c>
      <c r="AU357" s="101" t="s">
        <v>47</v>
      </c>
      <c r="AV357" s="7" t="s">
        <v>45</v>
      </c>
      <c r="AW357" s="7" t="s">
        <v>18</v>
      </c>
      <c r="AX357" s="7" t="s">
        <v>44</v>
      </c>
      <c r="AY357" s="101" t="s">
        <v>77</v>
      </c>
    </row>
    <row r="358" spans="2:65" s="8" customFormat="1" ht="10.199999999999999" x14ac:dyDescent="0.2">
      <c r="B358" s="106"/>
      <c r="D358" s="96" t="s">
        <v>88</v>
      </c>
      <c r="E358" s="107" t="s">
        <v>0</v>
      </c>
      <c r="F358" s="108" t="s">
        <v>161</v>
      </c>
      <c r="H358" s="109">
        <v>10</v>
      </c>
      <c r="I358" s="110"/>
      <c r="L358" s="106"/>
      <c r="M358" s="111"/>
      <c r="T358" s="112"/>
      <c r="AT358" s="107" t="s">
        <v>88</v>
      </c>
      <c r="AU358" s="107" t="s">
        <v>47</v>
      </c>
      <c r="AV358" s="8" t="s">
        <v>47</v>
      </c>
      <c r="AW358" s="8" t="s">
        <v>18</v>
      </c>
      <c r="AX358" s="8" t="s">
        <v>45</v>
      </c>
      <c r="AY358" s="107" t="s">
        <v>77</v>
      </c>
    </row>
    <row r="359" spans="2:65" s="1" customFormat="1" ht="21.75" customHeight="1" x14ac:dyDescent="0.2">
      <c r="B359" s="19"/>
      <c r="C359" s="120" t="s">
        <v>459</v>
      </c>
      <c r="D359" s="120" t="s">
        <v>204</v>
      </c>
      <c r="E359" s="121" t="s">
        <v>460</v>
      </c>
      <c r="F359" s="122" t="s">
        <v>461</v>
      </c>
      <c r="G359" s="123" t="s">
        <v>274</v>
      </c>
      <c r="H359" s="124">
        <v>10</v>
      </c>
      <c r="I359" s="125"/>
      <c r="J359" s="124">
        <f>ROUND(I359*H359,2)</f>
        <v>0</v>
      </c>
      <c r="K359" s="122" t="s">
        <v>83</v>
      </c>
      <c r="L359" s="126"/>
      <c r="M359" s="127" t="s">
        <v>0</v>
      </c>
      <c r="N359" s="128" t="s">
        <v>26</v>
      </c>
      <c r="P359" s="92">
        <f>O359*H359</f>
        <v>0</v>
      </c>
      <c r="Q359" s="92">
        <v>8.0999999999999996E-4</v>
      </c>
      <c r="R359" s="92">
        <f>Q359*H359</f>
        <v>8.0999999999999996E-3</v>
      </c>
      <c r="S359" s="92">
        <v>0</v>
      </c>
      <c r="T359" s="93">
        <f>S359*H359</f>
        <v>0</v>
      </c>
      <c r="AR359" s="94" t="s">
        <v>147</v>
      </c>
      <c r="AT359" s="94" t="s">
        <v>204</v>
      </c>
      <c r="AU359" s="94" t="s">
        <v>47</v>
      </c>
      <c r="AY359" s="10" t="s">
        <v>77</v>
      </c>
      <c r="BE359" s="95">
        <f>IF(N359="základní",J359,0)</f>
        <v>0</v>
      </c>
      <c r="BF359" s="95">
        <f>IF(N359="snížená",J359,0)</f>
        <v>0</v>
      </c>
      <c r="BG359" s="95">
        <f>IF(N359="zákl. přenesená",J359,0)</f>
        <v>0</v>
      </c>
      <c r="BH359" s="95">
        <f>IF(N359="sníž. přenesená",J359,0)</f>
        <v>0</v>
      </c>
      <c r="BI359" s="95">
        <f>IF(N359="nulová",J359,0)</f>
        <v>0</v>
      </c>
      <c r="BJ359" s="10" t="s">
        <v>45</v>
      </c>
      <c r="BK359" s="95">
        <f>ROUND(I359*H359,2)</f>
        <v>0</v>
      </c>
      <c r="BL359" s="10" t="s">
        <v>84</v>
      </c>
      <c r="BM359" s="94" t="s">
        <v>462</v>
      </c>
    </row>
    <row r="360" spans="2:65" s="1" customFormat="1" ht="10.199999999999999" x14ac:dyDescent="0.2">
      <c r="B360" s="19"/>
      <c r="D360" s="96" t="s">
        <v>86</v>
      </c>
      <c r="F360" s="97" t="s">
        <v>461</v>
      </c>
      <c r="I360" s="98"/>
      <c r="L360" s="19"/>
      <c r="M360" s="99"/>
      <c r="T360" s="32"/>
      <c r="AT360" s="10" t="s">
        <v>86</v>
      </c>
      <c r="AU360" s="10" t="s">
        <v>47</v>
      </c>
    </row>
    <row r="361" spans="2:65" s="1" customFormat="1" ht="24.15" customHeight="1" x14ac:dyDescent="0.2">
      <c r="B361" s="19"/>
      <c r="C361" s="84" t="s">
        <v>463</v>
      </c>
      <c r="D361" s="84" t="s">
        <v>79</v>
      </c>
      <c r="E361" s="85" t="s">
        <v>464</v>
      </c>
      <c r="F361" s="86" t="s">
        <v>465</v>
      </c>
      <c r="G361" s="87" t="s">
        <v>274</v>
      </c>
      <c r="H361" s="88">
        <v>2</v>
      </c>
      <c r="I361" s="89"/>
      <c r="J361" s="88">
        <f>ROUND(I361*H361,2)</f>
        <v>0</v>
      </c>
      <c r="K361" s="86" t="s">
        <v>83</v>
      </c>
      <c r="L361" s="19"/>
      <c r="M361" s="90" t="s">
        <v>0</v>
      </c>
      <c r="N361" s="91" t="s">
        <v>26</v>
      </c>
      <c r="P361" s="92">
        <f>O361*H361</f>
        <v>0</v>
      </c>
      <c r="Q361" s="92">
        <v>0</v>
      </c>
      <c r="R361" s="92">
        <f>Q361*H361</f>
        <v>0</v>
      </c>
      <c r="S361" s="92">
        <v>0</v>
      </c>
      <c r="T361" s="93">
        <f>S361*H361</f>
        <v>0</v>
      </c>
      <c r="AR361" s="94" t="s">
        <v>84</v>
      </c>
      <c r="AT361" s="94" t="s">
        <v>79</v>
      </c>
      <c r="AU361" s="94" t="s">
        <v>47</v>
      </c>
      <c r="AY361" s="10" t="s">
        <v>77</v>
      </c>
      <c r="BE361" s="95">
        <f>IF(N361="základní",J361,0)</f>
        <v>0</v>
      </c>
      <c r="BF361" s="95">
        <f>IF(N361="snížená",J361,0)</f>
        <v>0</v>
      </c>
      <c r="BG361" s="95">
        <f>IF(N361="zákl. přenesená",J361,0)</f>
        <v>0</v>
      </c>
      <c r="BH361" s="95">
        <f>IF(N361="sníž. přenesená",J361,0)</f>
        <v>0</v>
      </c>
      <c r="BI361" s="95">
        <f>IF(N361="nulová",J361,0)</f>
        <v>0</v>
      </c>
      <c r="BJ361" s="10" t="s">
        <v>45</v>
      </c>
      <c r="BK361" s="95">
        <f>ROUND(I361*H361,2)</f>
        <v>0</v>
      </c>
      <c r="BL361" s="10" t="s">
        <v>84</v>
      </c>
      <c r="BM361" s="94" t="s">
        <v>466</v>
      </c>
    </row>
    <row r="362" spans="2:65" s="1" customFormat="1" ht="28.8" x14ac:dyDescent="0.2">
      <c r="B362" s="19"/>
      <c r="D362" s="96" t="s">
        <v>86</v>
      </c>
      <c r="F362" s="97" t="s">
        <v>467</v>
      </c>
      <c r="I362" s="98"/>
      <c r="L362" s="19"/>
      <c r="M362" s="99"/>
      <c r="T362" s="32"/>
      <c r="AT362" s="10" t="s">
        <v>86</v>
      </c>
      <c r="AU362" s="10" t="s">
        <v>47</v>
      </c>
    </row>
    <row r="363" spans="2:65" s="1" customFormat="1" ht="16.5" customHeight="1" x14ac:dyDescent="0.2">
      <c r="B363" s="19"/>
      <c r="C363" s="120" t="s">
        <v>468</v>
      </c>
      <c r="D363" s="120" t="s">
        <v>204</v>
      </c>
      <c r="E363" s="121" t="s">
        <v>469</v>
      </c>
      <c r="F363" s="122" t="s">
        <v>470</v>
      </c>
      <c r="G363" s="123" t="s">
        <v>274</v>
      </c>
      <c r="H363" s="124">
        <v>2</v>
      </c>
      <c r="I363" s="125"/>
      <c r="J363" s="124">
        <f>ROUND(I363*H363,2)</f>
        <v>0</v>
      </c>
      <c r="K363" s="122" t="s">
        <v>83</v>
      </c>
      <c r="L363" s="126"/>
      <c r="M363" s="127" t="s">
        <v>0</v>
      </c>
      <c r="N363" s="128" t="s">
        <v>26</v>
      </c>
      <c r="P363" s="92">
        <f>O363*H363</f>
        <v>0</v>
      </c>
      <c r="Q363" s="92">
        <v>5.8E-4</v>
      </c>
      <c r="R363" s="92">
        <f>Q363*H363</f>
        <v>1.16E-3</v>
      </c>
      <c r="S363" s="92">
        <v>0</v>
      </c>
      <c r="T363" s="93">
        <f>S363*H363</f>
        <v>0</v>
      </c>
      <c r="AR363" s="94" t="s">
        <v>147</v>
      </c>
      <c r="AT363" s="94" t="s">
        <v>204</v>
      </c>
      <c r="AU363" s="94" t="s">
        <v>47</v>
      </c>
      <c r="AY363" s="10" t="s">
        <v>77</v>
      </c>
      <c r="BE363" s="95">
        <f>IF(N363="základní",J363,0)</f>
        <v>0</v>
      </c>
      <c r="BF363" s="95">
        <f>IF(N363="snížená",J363,0)</f>
        <v>0</v>
      </c>
      <c r="BG363" s="95">
        <f>IF(N363="zákl. přenesená",J363,0)</f>
        <v>0</v>
      </c>
      <c r="BH363" s="95">
        <f>IF(N363="sníž. přenesená",J363,0)</f>
        <v>0</v>
      </c>
      <c r="BI363" s="95">
        <f>IF(N363="nulová",J363,0)</f>
        <v>0</v>
      </c>
      <c r="BJ363" s="10" t="s">
        <v>45</v>
      </c>
      <c r="BK363" s="95">
        <f>ROUND(I363*H363,2)</f>
        <v>0</v>
      </c>
      <c r="BL363" s="10" t="s">
        <v>84</v>
      </c>
      <c r="BM363" s="94" t="s">
        <v>471</v>
      </c>
    </row>
    <row r="364" spans="2:65" s="1" customFormat="1" ht="10.199999999999999" x14ac:dyDescent="0.2">
      <c r="B364" s="19"/>
      <c r="D364" s="96" t="s">
        <v>86</v>
      </c>
      <c r="F364" s="97" t="s">
        <v>470</v>
      </c>
      <c r="I364" s="98"/>
      <c r="L364" s="19"/>
      <c r="M364" s="99"/>
      <c r="T364" s="32"/>
      <c r="AT364" s="10" t="s">
        <v>86</v>
      </c>
      <c r="AU364" s="10" t="s">
        <v>47</v>
      </c>
    </row>
    <row r="365" spans="2:65" s="1" customFormat="1" ht="16.5" customHeight="1" x14ac:dyDescent="0.2">
      <c r="B365" s="19"/>
      <c r="C365" s="84" t="s">
        <v>472</v>
      </c>
      <c r="D365" s="84" t="s">
        <v>79</v>
      </c>
      <c r="E365" s="85" t="s">
        <v>473</v>
      </c>
      <c r="F365" s="86" t="s">
        <v>474</v>
      </c>
      <c r="G365" s="87" t="s">
        <v>130</v>
      </c>
      <c r="H365" s="88">
        <v>209.7</v>
      </c>
      <c r="I365" s="89"/>
      <c r="J365" s="88">
        <f>ROUND(I365*H365,2)</f>
        <v>0</v>
      </c>
      <c r="K365" s="86" t="s">
        <v>83</v>
      </c>
      <c r="L365" s="19"/>
      <c r="M365" s="90" t="s">
        <v>0</v>
      </c>
      <c r="N365" s="91" t="s">
        <v>26</v>
      </c>
      <c r="P365" s="92">
        <f>O365*H365</f>
        <v>0</v>
      </c>
      <c r="Q365" s="92">
        <v>0</v>
      </c>
      <c r="R365" s="92">
        <f>Q365*H365</f>
        <v>0</v>
      </c>
      <c r="S365" s="92">
        <v>0</v>
      </c>
      <c r="T365" s="93">
        <f>S365*H365</f>
        <v>0</v>
      </c>
      <c r="AR365" s="94" t="s">
        <v>84</v>
      </c>
      <c r="AT365" s="94" t="s">
        <v>79</v>
      </c>
      <c r="AU365" s="94" t="s">
        <v>47</v>
      </c>
      <c r="AY365" s="10" t="s">
        <v>77</v>
      </c>
      <c r="BE365" s="95">
        <f>IF(N365="základní",J365,0)</f>
        <v>0</v>
      </c>
      <c r="BF365" s="95">
        <f>IF(N365="snížená",J365,0)</f>
        <v>0</v>
      </c>
      <c r="BG365" s="95">
        <f>IF(N365="zákl. přenesená",J365,0)</f>
        <v>0</v>
      </c>
      <c r="BH365" s="95">
        <f>IF(N365="sníž. přenesená",J365,0)</f>
        <v>0</v>
      </c>
      <c r="BI365" s="95">
        <f>IF(N365="nulová",J365,0)</f>
        <v>0</v>
      </c>
      <c r="BJ365" s="10" t="s">
        <v>45</v>
      </c>
      <c r="BK365" s="95">
        <f>ROUND(I365*H365,2)</f>
        <v>0</v>
      </c>
      <c r="BL365" s="10" t="s">
        <v>84</v>
      </c>
      <c r="BM365" s="94" t="s">
        <v>475</v>
      </c>
    </row>
    <row r="366" spans="2:65" s="1" customFormat="1" ht="10.199999999999999" x14ac:dyDescent="0.2">
      <c r="B366" s="19"/>
      <c r="D366" s="96" t="s">
        <v>86</v>
      </c>
      <c r="F366" s="97" t="s">
        <v>476</v>
      </c>
      <c r="I366" s="98"/>
      <c r="L366" s="19"/>
      <c r="M366" s="99"/>
      <c r="T366" s="32"/>
      <c r="AT366" s="10" t="s">
        <v>86</v>
      </c>
      <c r="AU366" s="10" t="s">
        <v>47</v>
      </c>
    </row>
    <row r="367" spans="2:65" s="8" customFormat="1" ht="10.199999999999999" x14ac:dyDescent="0.2">
      <c r="B367" s="106"/>
      <c r="D367" s="96" t="s">
        <v>88</v>
      </c>
      <c r="E367" s="107" t="s">
        <v>0</v>
      </c>
      <c r="F367" s="108" t="s">
        <v>477</v>
      </c>
      <c r="H367" s="109">
        <v>209.7</v>
      </c>
      <c r="I367" s="110"/>
      <c r="L367" s="106"/>
      <c r="M367" s="111"/>
      <c r="T367" s="112"/>
      <c r="AT367" s="107" t="s">
        <v>88</v>
      </c>
      <c r="AU367" s="107" t="s">
        <v>47</v>
      </c>
      <c r="AV367" s="8" t="s">
        <v>47</v>
      </c>
      <c r="AW367" s="8" t="s">
        <v>18</v>
      </c>
      <c r="AX367" s="8" t="s">
        <v>45</v>
      </c>
      <c r="AY367" s="107" t="s">
        <v>77</v>
      </c>
    </row>
    <row r="368" spans="2:65" s="1" customFormat="1" ht="24.15" customHeight="1" x14ac:dyDescent="0.2">
      <c r="B368" s="19"/>
      <c r="C368" s="84" t="s">
        <v>478</v>
      </c>
      <c r="D368" s="84" t="s">
        <v>79</v>
      </c>
      <c r="E368" s="85" t="s">
        <v>479</v>
      </c>
      <c r="F368" s="86" t="s">
        <v>480</v>
      </c>
      <c r="G368" s="87" t="s">
        <v>130</v>
      </c>
      <c r="H368" s="88">
        <v>141.1</v>
      </c>
      <c r="I368" s="89"/>
      <c r="J368" s="88">
        <f>ROUND(I368*H368,2)</f>
        <v>0</v>
      </c>
      <c r="K368" s="86" t="s">
        <v>83</v>
      </c>
      <c r="L368" s="19"/>
      <c r="M368" s="90" t="s">
        <v>0</v>
      </c>
      <c r="N368" s="91" t="s">
        <v>26</v>
      </c>
      <c r="P368" s="92">
        <f>O368*H368</f>
        <v>0</v>
      </c>
      <c r="Q368" s="92">
        <v>5.5000000000000003E-7</v>
      </c>
      <c r="R368" s="92">
        <f>Q368*H368</f>
        <v>7.7605E-5</v>
      </c>
      <c r="S368" s="92">
        <v>0</v>
      </c>
      <c r="T368" s="93">
        <f>S368*H368</f>
        <v>0</v>
      </c>
      <c r="AR368" s="94" t="s">
        <v>84</v>
      </c>
      <c r="AT368" s="94" t="s">
        <v>79</v>
      </c>
      <c r="AU368" s="94" t="s">
        <v>47</v>
      </c>
      <c r="AY368" s="10" t="s">
        <v>77</v>
      </c>
      <c r="BE368" s="95">
        <f>IF(N368="základní",J368,0)</f>
        <v>0</v>
      </c>
      <c r="BF368" s="95">
        <f>IF(N368="snížená",J368,0)</f>
        <v>0</v>
      </c>
      <c r="BG368" s="95">
        <f>IF(N368="zákl. přenesená",J368,0)</f>
        <v>0</v>
      </c>
      <c r="BH368" s="95">
        <f>IF(N368="sníž. přenesená",J368,0)</f>
        <v>0</v>
      </c>
      <c r="BI368" s="95">
        <f>IF(N368="nulová",J368,0)</f>
        <v>0</v>
      </c>
      <c r="BJ368" s="10" t="s">
        <v>45</v>
      </c>
      <c r="BK368" s="95">
        <f>ROUND(I368*H368,2)</f>
        <v>0</v>
      </c>
      <c r="BL368" s="10" t="s">
        <v>84</v>
      </c>
      <c r="BM368" s="94" t="s">
        <v>481</v>
      </c>
    </row>
    <row r="369" spans="2:65" s="1" customFormat="1" ht="10.199999999999999" x14ac:dyDescent="0.2">
      <c r="B369" s="19"/>
      <c r="D369" s="96" t="s">
        <v>86</v>
      </c>
      <c r="F369" s="97" t="s">
        <v>480</v>
      </c>
      <c r="I369" s="98"/>
      <c r="L369" s="19"/>
      <c r="M369" s="99"/>
      <c r="T369" s="32"/>
      <c r="AT369" s="10" t="s">
        <v>86</v>
      </c>
      <c r="AU369" s="10" t="s">
        <v>47</v>
      </c>
    </row>
    <row r="370" spans="2:65" s="8" customFormat="1" ht="10.199999999999999" x14ac:dyDescent="0.2">
      <c r="B370" s="106"/>
      <c r="D370" s="96" t="s">
        <v>88</v>
      </c>
      <c r="E370" s="107" t="s">
        <v>0</v>
      </c>
      <c r="F370" s="108" t="s">
        <v>482</v>
      </c>
      <c r="H370" s="109">
        <v>141.1</v>
      </c>
      <c r="I370" s="110"/>
      <c r="L370" s="106"/>
      <c r="M370" s="111"/>
      <c r="T370" s="112"/>
      <c r="AT370" s="107" t="s">
        <v>88</v>
      </c>
      <c r="AU370" s="107" t="s">
        <v>47</v>
      </c>
      <c r="AV370" s="8" t="s">
        <v>47</v>
      </c>
      <c r="AW370" s="8" t="s">
        <v>18</v>
      </c>
      <c r="AX370" s="8" t="s">
        <v>45</v>
      </c>
      <c r="AY370" s="107" t="s">
        <v>77</v>
      </c>
    </row>
    <row r="371" spans="2:65" s="1" customFormat="1" ht="24.15" customHeight="1" x14ac:dyDescent="0.2">
      <c r="B371" s="19"/>
      <c r="C371" s="84" t="s">
        <v>483</v>
      </c>
      <c r="D371" s="84" t="s">
        <v>79</v>
      </c>
      <c r="E371" s="85" t="s">
        <v>484</v>
      </c>
      <c r="F371" s="86" t="s">
        <v>485</v>
      </c>
      <c r="G371" s="87" t="s">
        <v>130</v>
      </c>
      <c r="H371" s="88">
        <v>68.599999999999994</v>
      </c>
      <c r="I371" s="89"/>
      <c r="J371" s="88">
        <f>ROUND(I371*H371,2)</f>
        <v>0</v>
      </c>
      <c r="K371" s="86" t="s">
        <v>83</v>
      </c>
      <c r="L371" s="19"/>
      <c r="M371" s="90" t="s">
        <v>0</v>
      </c>
      <c r="N371" s="91" t="s">
        <v>26</v>
      </c>
      <c r="P371" s="92">
        <f>O371*H371</f>
        <v>0</v>
      </c>
      <c r="Q371" s="92">
        <v>1.6999999999999999E-7</v>
      </c>
      <c r="R371" s="92">
        <f>Q371*H371</f>
        <v>1.1661999999999998E-5</v>
      </c>
      <c r="S371" s="92">
        <v>0</v>
      </c>
      <c r="T371" s="93">
        <f>S371*H371</f>
        <v>0</v>
      </c>
      <c r="AR371" s="94" t="s">
        <v>84</v>
      </c>
      <c r="AT371" s="94" t="s">
        <v>79</v>
      </c>
      <c r="AU371" s="94" t="s">
        <v>47</v>
      </c>
      <c r="AY371" s="10" t="s">
        <v>77</v>
      </c>
      <c r="BE371" s="95">
        <f>IF(N371="základní",J371,0)</f>
        <v>0</v>
      </c>
      <c r="BF371" s="95">
        <f>IF(N371="snížená",J371,0)</f>
        <v>0</v>
      </c>
      <c r="BG371" s="95">
        <f>IF(N371="zákl. přenesená",J371,0)</f>
        <v>0</v>
      </c>
      <c r="BH371" s="95">
        <f>IF(N371="sníž. přenesená",J371,0)</f>
        <v>0</v>
      </c>
      <c r="BI371" s="95">
        <f>IF(N371="nulová",J371,0)</f>
        <v>0</v>
      </c>
      <c r="BJ371" s="10" t="s">
        <v>45</v>
      </c>
      <c r="BK371" s="95">
        <f>ROUND(I371*H371,2)</f>
        <v>0</v>
      </c>
      <c r="BL371" s="10" t="s">
        <v>84</v>
      </c>
      <c r="BM371" s="94" t="s">
        <v>486</v>
      </c>
    </row>
    <row r="372" spans="2:65" s="1" customFormat="1" ht="10.199999999999999" x14ac:dyDescent="0.2">
      <c r="B372" s="19"/>
      <c r="D372" s="96" t="s">
        <v>86</v>
      </c>
      <c r="F372" s="97" t="s">
        <v>485</v>
      </c>
      <c r="I372" s="98"/>
      <c r="L372" s="19"/>
      <c r="M372" s="99"/>
      <c r="T372" s="32"/>
      <c r="AT372" s="10" t="s">
        <v>86</v>
      </c>
      <c r="AU372" s="10" t="s">
        <v>47</v>
      </c>
    </row>
    <row r="373" spans="2:65" s="8" customFormat="1" ht="10.199999999999999" x14ac:dyDescent="0.2">
      <c r="B373" s="106"/>
      <c r="D373" s="96" t="s">
        <v>88</v>
      </c>
      <c r="E373" s="107" t="s">
        <v>0</v>
      </c>
      <c r="F373" s="108" t="s">
        <v>376</v>
      </c>
      <c r="H373" s="109">
        <v>68.599999999999994</v>
      </c>
      <c r="I373" s="110"/>
      <c r="L373" s="106"/>
      <c r="M373" s="111"/>
      <c r="T373" s="112"/>
      <c r="AT373" s="107" t="s">
        <v>88</v>
      </c>
      <c r="AU373" s="107" t="s">
        <v>47</v>
      </c>
      <c r="AV373" s="8" t="s">
        <v>47</v>
      </c>
      <c r="AW373" s="8" t="s">
        <v>18</v>
      </c>
      <c r="AX373" s="8" t="s">
        <v>45</v>
      </c>
      <c r="AY373" s="107" t="s">
        <v>77</v>
      </c>
    </row>
    <row r="374" spans="2:65" s="1" customFormat="1" ht="24.15" customHeight="1" x14ac:dyDescent="0.2">
      <c r="B374" s="19"/>
      <c r="C374" s="84" t="s">
        <v>487</v>
      </c>
      <c r="D374" s="84" t="s">
        <v>79</v>
      </c>
      <c r="E374" s="85" t="s">
        <v>488</v>
      </c>
      <c r="F374" s="86" t="s">
        <v>489</v>
      </c>
      <c r="G374" s="87" t="s">
        <v>274</v>
      </c>
      <c r="H374" s="88">
        <v>3</v>
      </c>
      <c r="I374" s="89"/>
      <c r="J374" s="88">
        <f>ROUND(I374*H374,2)</f>
        <v>0</v>
      </c>
      <c r="K374" s="86" t="s">
        <v>83</v>
      </c>
      <c r="L374" s="19"/>
      <c r="M374" s="90" t="s">
        <v>0</v>
      </c>
      <c r="N374" s="91" t="s">
        <v>26</v>
      </c>
      <c r="P374" s="92">
        <f>O374*H374</f>
        <v>0</v>
      </c>
      <c r="Q374" s="92">
        <v>0.45937290600000003</v>
      </c>
      <c r="R374" s="92">
        <f>Q374*H374</f>
        <v>1.3781187180000001</v>
      </c>
      <c r="S374" s="92">
        <v>0</v>
      </c>
      <c r="T374" s="93">
        <f>S374*H374</f>
        <v>0</v>
      </c>
      <c r="AR374" s="94" t="s">
        <v>84</v>
      </c>
      <c r="AT374" s="94" t="s">
        <v>79</v>
      </c>
      <c r="AU374" s="94" t="s">
        <v>47</v>
      </c>
      <c r="AY374" s="10" t="s">
        <v>77</v>
      </c>
      <c r="BE374" s="95">
        <f>IF(N374="základní",J374,0)</f>
        <v>0</v>
      </c>
      <c r="BF374" s="95">
        <f>IF(N374="snížená",J374,0)</f>
        <v>0</v>
      </c>
      <c r="BG374" s="95">
        <f>IF(N374="zákl. přenesená",J374,0)</f>
        <v>0</v>
      </c>
      <c r="BH374" s="95">
        <f>IF(N374="sníž. přenesená",J374,0)</f>
        <v>0</v>
      </c>
      <c r="BI374" s="95">
        <f>IF(N374="nulová",J374,0)</f>
        <v>0</v>
      </c>
      <c r="BJ374" s="10" t="s">
        <v>45</v>
      </c>
      <c r="BK374" s="95">
        <f>ROUND(I374*H374,2)</f>
        <v>0</v>
      </c>
      <c r="BL374" s="10" t="s">
        <v>84</v>
      </c>
      <c r="BM374" s="94" t="s">
        <v>490</v>
      </c>
    </row>
    <row r="375" spans="2:65" s="1" customFormat="1" ht="19.2" x14ac:dyDescent="0.2">
      <c r="B375" s="19"/>
      <c r="D375" s="96" t="s">
        <v>86</v>
      </c>
      <c r="F375" s="97" t="s">
        <v>491</v>
      </c>
      <c r="I375" s="98"/>
      <c r="L375" s="19"/>
      <c r="M375" s="99"/>
      <c r="T375" s="32"/>
      <c r="AT375" s="10" t="s">
        <v>86</v>
      </c>
      <c r="AU375" s="10" t="s">
        <v>47</v>
      </c>
    </row>
    <row r="376" spans="2:65" s="8" customFormat="1" ht="10.199999999999999" x14ac:dyDescent="0.2">
      <c r="B376" s="106"/>
      <c r="D376" s="96" t="s">
        <v>88</v>
      </c>
      <c r="E376" s="107" t="s">
        <v>0</v>
      </c>
      <c r="F376" s="108" t="s">
        <v>101</v>
      </c>
      <c r="H376" s="109">
        <v>3</v>
      </c>
      <c r="I376" s="110"/>
      <c r="L376" s="106"/>
      <c r="M376" s="111"/>
      <c r="T376" s="112"/>
      <c r="AT376" s="107" t="s">
        <v>88</v>
      </c>
      <c r="AU376" s="107" t="s">
        <v>47</v>
      </c>
      <c r="AV376" s="8" t="s">
        <v>47</v>
      </c>
      <c r="AW376" s="8" t="s">
        <v>18</v>
      </c>
      <c r="AX376" s="8" t="s">
        <v>45</v>
      </c>
      <c r="AY376" s="107" t="s">
        <v>77</v>
      </c>
    </row>
    <row r="377" spans="2:65" s="1" customFormat="1" ht="24.15" customHeight="1" x14ac:dyDescent="0.2">
      <c r="B377" s="19"/>
      <c r="C377" s="84" t="s">
        <v>492</v>
      </c>
      <c r="D377" s="84" t="s">
        <v>79</v>
      </c>
      <c r="E377" s="85" t="s">
        <v>493</v>
      </c>
      <c r="F377" s="86" t="s">
        <v>494</v>
      </c>
      <c r="G377" s="87" t="s">
        <v>274</v>
      </c>
      <c r="H377" s="88">
        <v>5</v>
      </c>
      <c r="I377" s="89"/>
      <c r="J377" s="88">
        <f>ROUND(I377*H377,2)</f>
        <v>0</v>
      </c>
      <c r="K377" s="86" t="s">
        <v>83</v>
      </c>
      <c r="L377" s="19"/>
      <c r="M377" s="90" t="s">
        <v>0</v>
      </c>
      <c r="N377" s="91" t="s">
        <v>26</v>
      </c>
      <c r="P377" s="92">
        <f>O377*H377</f>
        <v>0</v>
      </c>
      <c r="Q377" s="92">
        <v>0.38051299999999999</v>
      </c>
      <c r="R377" s="92">
        <f>Q377*H377</f>
        <v>1.9025650000000001</v>
      </c>
      <c r="S377" s="92">
        <v>0</v>
      </c>
      <c r="T377" s="93">
        <f>S377*H377</f>
        <v>0</v>
      </c>
      <c r="AR377" s="94" t="s">
        <v>84</v>
      </c>
      <c r="AT377" s="94" t="s">
        <v>79</v>
      </c>
      <c r="AU377" s="94" t="s">
        <v>47</v>
      </c>
      <c r="AY377" s="10" t="s">
        <v>77</v>
      </c>
      <c r="BE377" s="95">
        <f>IF(N377="základní",J377,0)</f>
        <v>0</v>
      </c>
      <c r="BF377" s="95">
        <f>IF(N377="snížená",J377,0)</f>
        <v>0</v>
      </c>
      <c r="BG377" s="95">
        <f>IF(N377="zákl. přenesená",J377,0)</f>
        <v>0</v>
      </c>
      <c r="BH377" s="95">
        <f>IF(N377="sníž. přenesená",J377,0)</f>
        <v>0</v>
      </c>
      <c r="BI377" s="95">
        <f>IF(N377="nulová",J377,0)</f>
        <v>0</v>
      </c>
      <c r="BJ377" s="10" t="s">
        <v>45</v>
      </c>
      <c r="BK377" s="95">
        <f>ROUND(I377*H377,2)</f>
        <v>0</v>
      </c>
      <c r="BL377" s="10" t="s">
        <v>84</v>
      </c>
      <c r="BM377" s="94" t="s">
        <v>495</v>
      </c>
    </row>
    <row r="378" spans="2:65" s="1" customFormat="1" ht="19.2" x14ac:dyDescent="0.2">
      <c r="B378" s="19"/>
      <c r="D378" s="96" t="s">
        <v>86</v>
      </c>
      <c r="F378" s="97" t="s">
        <v>496</v>
      </c>
      <c r="I378" s="98"/>
      <c r="L378" s="19"/>
      <c r="M378" s="99"/>
      <c r="T378" s="32"/>
      <c r="AT378" s="10" t="s">
        <v>86</v>
      </c>
      <c r="AU378" s="10" t="s">
        <v>47</v>
      </c>
    </row>
    <row r="379" spans="2:65" s="1" customFormat="1" ht="21.75" customHeight="1" x14ac:dyDescent="0.2">
      <c r="B379" s="19"/>
      <c r="C379" s="120" t="s">
        <v>497</v>
      </c>
      <c r="D379" s="120" t="s">
        <v>204</v>
      </c>
      <c r="E379" s="121" t="s">
        <v>498</v>
      </c>
      <c r="F379" s="122" t="s">
        <v>499</v>
      </c>
      <c r="G379" s="123" t="s">
        <v>274</v>
      </c>
      <c r="H379" s="124">
        <v>5</v>
      </c>
      <c r="I379" s="125"/>
      <c r="J379" s="124">
        <f>ROUND(I379*H379,2)</f>
        <v>0</v>
      </c>
      <c r="K379" s="122" t="s">
        <v>83</v>
      </c>
      <c r="L379" s="126"/>
      <c r="M379" s="127" t="s">
        <v>0</v>
      </c>
      <c r="N379" s="128" t="s">
        <v>26</v>
      </c>
      <c r="P379" s="92">
        <f>O379*H379</f>
        <v>0</v>
      </c>
      <c r="Q379" s="92">
        <v>0.32800000000000001</v>
      </c>
      <c r="R379" s="92">
        <f>Q379*H379</f>
        <v>1.6400000000000001</v>
      </c>
      <c r="S379" s="92">
        <v>0</v>
      </c>
      <c r="T379" s="93">
        <f>S379*H379</f>
        <v>0</v>
      </c>
      <c r="AR379" s="94" t="s">
        <v>147</v>
      </c>
      <c r="AT379" s="94" t="s">
        <v>204</v>
      </c>
      <c r="AU379" s="94" t="s">
        <v>47</v>
      </c>
      <c r="AY379" s="10" t="s">
        <v>77</v>
      </c>
      <c r="BE379" s="95">
        <f>IF(N379="základní",J379,0)</f>
        <v>0</v>
      </c>
      <c r="BF379" s="95">
        <f>IF(N379="snížená",J379,0)</f>
        <v>0</v>
      </c>
      <c r="BG379" s="95">
        <f>IF(N379="zákl. přenesená",J379,0)</f>
        <v>0</v>
      </c>
      <c r="BH379" s="95">
        <f>IF(N379="sníž. přenesená",J379,0)</f>
        <v>0</v>
      </c>
      <c r="BI379" s="95">
        <f>IF(N379="nulová",J379,0)</f>
        <v>0</v>
      </c>
      <c r="BJ379" s="10" t="s">
        <v>45</v>
      </c>
      <c r="BK379" s="95">
        <f>ROUND(I379*H379,2)</f>
        <v>0</v>
      </c>
      <c r="BL379" s="10" t="s">
        <v>84</v>
      </c>
      <c r="BM379" s="94" t="s">
        <v>500</v>
      </c>
    </row>
    <row r="380" spans="2:65" s="1" customFormat="1" ht="10.199999999999999" x14ac:dyDescent="0.2">
      <c r="B380" s="19"/>
      <c r="D380" s="96" t="s">
        <v>86</v>
      </c>
      <c r="F380" s="97" t="s">
        <v>499</v>
      </c>
      <c r="I380" s="98"/>
      <c r="L380" s="19"/>
      <c r="M380" s="99"/>
      <c r="T380" s="32"/>
      <c r="AT380" s="10" t="s">
        <v>86</v>
      </c>
      <c r="AU380" s="10" t="s">
        <v>47</v>
      </c>
    </row>
    <row r="381" spans="2:65" s="1" customFormat="1" ht="33" customHeight="1" x14ac:dyDescent="0.2">
      <c r="B381" s="19"/>
      <c r="C381" s="84" t="s">
        <v>501</v>
      </c>
      <c r="D381" s="84" t="s">
        <v>79</v>
      </c>
      <c r="E381" s="85" t="s">
        <v>502</v>
      </c>
      <c r="F381" s="86" t="s">
        <v>503</v>
      </c>
      <c r="G381" s="87" t="s">
        <v>274</v>
      </c>
      <c r="H381" s="88">
        <v>5</v>
      </c>
      <c r="I381" s="89"/>
      <c r="J381" s="88">
        <f>ROUND(I381*H381,2)</f>
        <v>0</v>
      </c>
      <c r="K381" s="86" t="s">
        <v>83</v>
      </c>
      <c r="L381" s="19"/>
      <c r="M381" s="90" t="s">
        <v>0</v>
      </c>
      <c r="N381" s="91" t="s">
        <v>26</v>
      </c>
      <c r="P381" s="92">
        <f>O381*H381</f>
        <v>0</v>
      </c>
      <c r="Q381" s="92">
        <v>3.4013000000000002E-2</v>
      </c>
      <c r="R381" s="92">
        <f>Q381*H381</f>
        <v>0.17006500000000002</v>
      </c>
      <c r="S381" s="92">
        <v>0</v>
      </c>
      <c r="T381" s="93">
        <f>S381*H381</f>
        <v>0</v>
      </c>
      <c r="AR381" s="94" t="s">
        <v>84</v>
      </c>
      <c r="AT381" s="94" t="s">
        <v>79</v>
      </c>
      <c r="AU381" s="94" t="s">
        <v>47</v>
      </c>
      <c r="AY381" s="10" t="s">
        <v>77</v>
      </c>
      <c r="BE381" s="95">
        <f>IF(N381="základní",J381,0)</f>
        <v>0</v>
      </c>
      <c r="BF381" s="95">
        <f>IF(N381="snížená",J381,0)</f>
        <v>0</v>
      </c>
      <c r="BG381" s="95">
        <f>IF(N381="zákl. přenesená",J381,0)</f>
        <v>0</v>
      </c>
      <c r="BH381" s="95">
        <f>IF(N381="sníž. přenesená",J381,0)</f>
        <v>0</v>
      </c>
      <c r="BI381" s="95">
        <f>IF(N381="nulová",J381,0)</f>
        <v>0</v>
      </c>
      <c r="BJ381" s="10" t="s">
        <v>45</v>
      </c>
      <c r="BK381" s="95">
        <f>ROUND(I381*H381,2)</f>
        <v>0</v>
      </c>
      <c r="BL381" s="10" t="s">
        <v>84</v>
      </c>
      <c r="BM381" s="94" t="s">
        <v>504</v>
      </c>
    </row>
    <row r="382" spans="2:65" s="1" customFormat="1" ht="19.2" x14ac:dyDescent="0.2">
      <c r="B382" s="19"/>
      <c r="D382" s="96" t="s">
        <v>86</v>
      </c>
      <c r="F382" s="97" t="s">
        <v>505</v>
      </c>
      <c r="I382" s="98"/>
      <c r="L382" s="19"/>
      <c r="M382" s="99"/>
      <c r="T382" s="32"/>
      <c r="AT382" s="10" t="s">
        <v>86</v>
      </c>
      <c r="AU382" s="10" t="s">
        <v>47</v>
      </c>
    </row>
    <row r="383" spans="2:65" s="1" customFormat="1" ht="24.15" customHeight="1" x14ac:dyDescent="0.2">
      <c r="B383" s="19"/>
      <c r="C383" s="120" t="s">
        <v>506</v>
      </c>
      <c r="D383" s="120" t="s">
        <v>204</v>
      </c>
      <c r="E383" s="121" t="s">
        <v>507</v>
      </c>
      <c r="F383" s="122" t="s">
        <v>508</v>
      </c>
      <c r="G383" s="123" t="s">
        <v>274</v>
      </c>
      <c r="H383" s="124">
        <v>5</v>
      </c>
      <c r="I383" s="125"/>
      <c r="J383" s="124">
        <f>ROUND(I383*H383,2)</f>
        <v>0</v>
      </c>
      <c r="K383" s="122" t="s">
        <v>83</v>
      </c>
      <c r="L383" s="126"/>
      <c r="M383" s="127" t="s">
        <v>0</v>
      </c>
      <c r="N383" s="128" t="s">
        <v>26</v>
      </c>
      <c r="P383" s="92">
        <f>O383*H383</f>
        <v>0</v>
      </c>
      <c r="Q383" s="92">
        <v>0.45300000000000001</v>
      </c>
      <c r="R383" s="92">
        <f>Q383*H383</f>
        <v>2.2650000000000001</v>
      </c>
      <c r="S383" s="92">
        <v>0</v>
      </c>
      <c r="T383" s="93">
        <f>S383*H383</f>
        <v>0</v>
      </c>
      <c r="AR383" s="94" t="s">
        <v>147</v>
      </c>
      <c r="AT383" s="94" t="s">
        <v>204</v>
      </c>
      <c r="AU383" s="94" t="s">
        <v>47</v>
      </c>
      <c r="AY383" s="10" t="s">
        <v>77</v>
      </c>
      <c r="BE383" s="95">
        <f>IF(N383="základní",J383,0)</f>
        <v>0</v>
      </c>
      <c r="BF383" s="95">
        <f>IF(N383="snížená",J383,0)</f>
        <v>0</v>
      </c>
      <c r="BG383" s="95">
        <f>IF(N383="zákl. přenesená",J383,0)</f>
        <v>0</v>
      </c>
      <c r="BH383" s="95">
        <f>IF(N383="sníž. přenesená",J383,0)</f>
        <v>0</v>
      </c>
      <c r="BI383" s="95">
        <f>IF(N383="nulová",J383,0)</f>
        <v>0</v>
      </c>
      <c r="BJ383" s="10" t="s">
        <v>45</v>
      </c>
      <c r="BK383" s="95">
        <f>ROUND(I383*H383,2)</f>
        <v>0</v>
      </c>
      <c r="BL383" s="10" t="s">
        <v>84</v>
      </c>
      <c r="BM383" s="94" t="s">
        <v>509</v>
      </c>
    </row>
    <row r="384" spans="2:65" s="1" customFormat="1" ht="19.2" x14ac:dyDescent="0.2">
      <c r="B384" s="19"/>
      <c r="D384" s="96" t="s">
        <v>86</v>
      </c>
      <c r="F384" s="97" t="s">
        <v>508</v>
      </c>
      <c r="I384" s="98"/>
      <c r="L384" s="19"/>
      <c r="M384" s="99"/>
      <c r="T384" s="32"/>
      <c r="AT384" s="10" t="s">
        <v>86</v>
      </c>
      <c r="AU384" s="10" t="s">
        <v>47</v>
      </c>
    </row>
    <row r="385" spans="2:65" s="1" customFormat="1" ht="24.15" customHeight="1" x14ac:dyDescent="0.2">
      <c r="B385" s="19"/>
      <c r="C385" s="84" t="s">
        <v>510</v>
      </c>
      <c r="D385" s="84" t="s">
        <v>79</v>
      </c>
      <c r="E385" s="85" t="s">
        <v>511</v>
      </c>
      <c r="F385" s="86" t="s">
        <v>512</v>
      </c>
      <c r="G385" s="87" t="s">
        <v>274</v>
      </c>
      <c r="H385" s="88">
        <v>5</v>
      </c>
      <c r="I385" s="89"/>
      <c r="J385" s="88">
        <f>ROUND(I385*H385,2)</f>
        <v>0</v>
      </c>
      <c r="K385" s="86" t="s">
        <v>83</v>
      </c>
      <c r="L385" s="19"/>
      <c r="M385" s="90" t="s">
        <v>0</v>
      </c>
      <c r="N385" s="91" t="s">
        <v>26</v>
      </c>
      <c r="P385" s="92">
        <f>O385*H385</f>
        <v>0</v>
      </c>
      <c r="Q385" s="92">
        <v>0.38626700000000003</v>
      </c>
      <c r="R385" s="92">
        <f>Q385*H385</f>
        <v>1.9313350000000002</v>
      </c>
      <c r="S385" s="92">
        <v>0</v>
      </c>
      <c r="T385" s="93">
        <f>S385*H385</f>
        <v>0</v>
      </c>
      <c r="AR385" s="94" t="s">
        <v>84</v>
      </c>
      <c r="AT385" s="94" t="s">
        <v>79</v>
      </c>
      <c r="AU385" s="94" t="s">
        <v>47</v>
      </c>
      <c r="AY385" s="10" t="s">
        <v>77</v>
      </c>
      <c r="BE385" s="95">
        <f>IF(N385="základní",J385,0)</f>
        <v>0</v>
      </c>
      <c r="BF385" s="95">
        <f>IF(N385="snížená",J385,0)</f>
        <v>0</v>
      </c>
      <c r="BG385" s="95">
        <f>IF(N385="zákl. přenesená",J385,0)</f>
        <v>0</v>
      </c>
      <c r="BH385" s="95">
        <f>IF(N385="sníž. přenesená",J385,0)</f>
        <v>0</v>
      </c>
      <c r="BI385" s="95">
        <f>IF(N385="nulová",J385,0)</f>
        <v>0</v>
      </c>
      <c r="BJ385" s="10" t="s">
        <v>45</v>
      </c>
      <c r="BK385" s="95">
        <f>ROUND(I385*H385,2)</f>
        <v>0</v>
      </c>
      <c r="BL385" s="10" t="s">
        <v>84</v>
      </c>
      <c r="BM385" s="94" t="s">
        <v>513</v>
      </c>
    </row>
    <row r="386" spans="2:65" s="1" customFormat="1" ht="19.2" x14ac:dyDescent="0.2">
      <c r="B386" s="19"/>
      <c r="D386" s="96" t="s">
        <v>86</v>
      </c>
      <c r="F386" s="97" t="s">
        <v>514</v>
      </c>
      <c r="I386" s="98"/>
      <c r="L386" s="19"/>
      <c r="M386" s="99"/>
      <c r="T386" s="32"/>
      <c r="AT386" s="10" t="s">
        <v>86</v>
      </c>
      <c r="AU386" s="10" t="s">
        <v>47</v>
      </c>
    </row>
    <row r="387" spans="2:65" s="1" customFormat="1" ht="24.15" customHeight="1" x14ac:dyDescent="0.2">
      <c r="B387" s="19"/>
      <c r="C387" s="120" t="s">
        <v>515</v>
      </c>
      <c r="D387" s="120" t="s">
        <v>204</v>
      </c>
      <c r="E387" s="121" t="s">
        <v>516</v>
      </c>
      <c r="F387" s="122" t="s">
        <v>517</v>
      </c>
      <c r="G387" s="123" t="s">
        <v>274</v>
      </c>
      <c r="H387" s="124">
        <v>5</v>
      </c>
      <c r="I387" s="125"/>
      <c r="J387" s="124">
        <f>ROUND(I387*H387,2)</f>
        <v>0</v>
      </c>
      <c r="K387" s="122" t="s">
        <v>83</v>
      </c>
      <c r="L387" s="126"/>
      <c r="M387" s="127" t="s">
        <v>0</v>
      </c>
      <c r="N387" s="128" t="s">
        <v>26</v>
      </c>
      <c r="P387" s="92">
        <f>O387*H387</f>
        <v>0</v>
      </c>
      <c r="Q387" s="92">
        <v>2.9870000000000001</v>
      </c>
      <c r="R387" s="92">
        <f>Q387*H387</f>
        <v>14.935</v>
      </c>
      <c r="S387" s="92">
        <v>0</v>
      </c>
      <c r="T387" s="93">
        <f>S387*H387</f>
        <v>0</v>
      </c>
      <c r="AR387" s="94" t="s">
        <v>147</v>
      </c>
      <c r="AT387" s="94" t="s">
        <v>204</v>
      </c>
      <c r="AU387" s="94" t="s">
        <v>47</v>
      </c>
      <c r="AY387" s="10" t="s">
        <v>77</v>
      </c>
      <c r="BE387" s="95">
        <f>IF(N387="základní",J387,0)</f>
        <v>0</v>
      </c>
      <c r="BF387" s="95">
        <f>IF(N387="snížená",J387,0)</f>
        <v>0</v>
      </c>
      <c r="BG387" s="95">
        <f>IF(N387="zákl. přenesená",J387,0)</f>
        <v>0</v>
      </c>
      <c r="BH387" s="95">
        <f>IF(N387="sníž. přenesená",J387,0)</f>
        <v>0</v>
      </c>
      <c r="BI387" s="95">
        <f>IF(N387="nulová",J387,0)</f>
        <v>0</v>
      </c>
      <c r="BJ387" s="10" t="s">
        <v>45</v>
      </c>
      <c r="BK387" s="95">
        <f>ROUND(I387*H387,2)</f>
        <v>0</v>
      </c>
      <c r="BL387" s="10" t="s">
        <v>84</v>
      </c>
      <c r="BM387" s="94" t="s">
        <v>518</v>
      </c>
    </row>
    <row r="388" spans="2:65" s="1" customFormat="1" ht="10.199999999999999" x14ac:dyDescent="0.2">
      <c r="B388" s="19"/>
      <c r="D388" s="96" t="s">
        <v>86</v>
      </c>
      <c r="F388" s="97" t="s">
        <v>517</v>
      </c>
      <c r="I388" s="98"/>
      <c r="L388" s="19"/>
      <c r="M388" s="99"/>
      <c r="T388" s="32"/>
      <c r="AT388" s="10" t="s">
        <v>86</v>
      </c>
      <c r="AU388" s="10" t="s">
        <v>47</v>
      </c>
    </row>
    <row r="389" spans="2:65" s="1" customFormat="1" ht="24.15" customHeight="1" x14ac:dyDescent="0.2">
      <c r="B389" s="19"/>
      <c r="C389" s="84" t="s">
        <v>519</v>
      </c>
      <c r="D389" s="84" t="s">
        <v>79</v>
      </c>
      <c r="E389" s="85" t="s">
        <v>520</v>
      </c>
      <c r="F389" s="86" t="s">
        <v>521</v>
      </c>
      <c r="G389" s="87" t="s">
        <v>274</v>
      </c>
      <c r="H389" s="88">
        <v>5</v>
      </c>
      <c r="I389" s="89"/>
      <c r="J389" s="88">
        <f>ROUND(I389*H389,2)</f>
        <v>0</v>
      </c>
      <c r="K389" s="86" t="s">
        <v>83</v>
      </c>
      <c r="L389" s="19"/>
      <c r="M389" s="90" t="s">
        <v>0</v>
      </c>
      <c r="N389" s="91" t="s">
        <v>26</v>
      </c>
      <c r="P389" s="92">
        <f>O389*H389</f>
        <v>0</v>
      </c>
      <c r="Q389" s="92">
        <v>5.050292E-2</v>
      </c>
      <c r="R389" s="92">
        <f>Q389*H389</f>
        <v>0.25251459999999998</v>
      </c>
      <c r="S389" s="92">
        <v>0</v>
      </c>
      <c r="T389" s="93">
        <f>S389*H389</f>
        <v>0</v>
      </c>
      <c r="AR389" s="94" t="s">
        <v>84</v>
      </c>
      <c r="AT389" s="94" t="s">
        <v>79</v>
      </c>
      <c r="AU389" s="94" t="s">
        <v>47</v>
      </c>
      <c r="AY389" s="10" t="s">
        <v>77</v>
      </c>
      <c r="BE389" s="95">
        <f>IF(N389="základní",J389,0)</f>
        <v>0</v>
      </c>
      <c r="BF389" s="95">
        <f>IF(N389="snížená",J389,0)</f>
        <v>0</v>
      </c>
      <c r="BG389" s="95">
        <f>IF(N389="zákl. přenesená",J389,0)</f>
        <v>0</v>
      </c>
      <c r="BH389" s="95">
        <f>IF(N389="sníž. přenesená",J389,0)</f>
        <v>0</v>
      </c>
      <c r="BI389" s="95">
        <f>IF(N389="nulová",J389,0)</f>
        <v>0</v>
      </c>
      <c r="BJ389" s="10" t="s">
        <v>45</v>
      </c>
      <c r="BK389" s="95">
        <f>ROUND(I389*H389,2)</f>
        <v>0</v>
      </c>
      <c r="BL389" s="10" t="s">
        <v>84</v>
      </c>
      <c r="BM389" s="94" t="s">
        <v>522</v>
      </c>
    </row>
    <row r="390" spans="2:65" s="1" customFormat="1" ht="19.2" x14ac:dyDescent="0.2">
      <c r="B390" s="19"/>
      <c r="D390" s="96" t="s">
        <v>86</v>
      </c>
      <c r="F390" s="97" t="s">
        <v>523</v>
      </c>
      <c r="I390" s="98"/>
      <c r="L390" s="19"/>
      <c r="M390" s="99"/>
      <c r="T390" s="32"/>
      <c r="AT390" s="10" t="s">
        <v>86</v>
      </c>
      <c r="AU390" s="10" t="s">
        <v>47</v>
      </c>
    </row>
    <row r="391" spans="2:65" s="1" customFormat="1" ht="24.15" customHeight="1" x14ac:dyDescent="0.2">
      <c r="B391" s="19"/>
      <c r="C391" s="120" t="s">
        <v>524</v>
      </c>
      <c r="D391" s="120" t="s">
        <v>204</v>
      </c>
      <c r="E391" s="121" t="s">
        <v>525</v>
      </c>
      <c r="F391" s="122" t="s">
        <v>526</v>
      </c>
      <c r="G391" s="123" t="s">
        <v>274</v>
      </c>
      <c r="H391" s="124">
        <v>5</v>
      </c>
      <c r="I391" s="125"/>
      <c r="J391" s="124">
        <f>ROUND(I391*H391,2)</f>
        <v>0</v>
      </c>
      <c r="K391" s="122" t="s">
        <v>83</v>
      </c>
      <c r="L391" s="126"/>
      <c r="M391" s="127" t="s">
        <v>0</v>
      </c>
      <c r="N391" s="128" t="s">
        <v>26</v>
      </c>
      <c r="P391" s="92">
        <f>O391*H391</f>
        <v>0</v>
      </c>
      <c r="Q391" s="92">
        <v>0.58899999999999997</v>
      </c>
      <c r="R391" s="92">
        <f>Q391*H391</f>
        <v>2.9449999999999998</v>
      </c>
      <c r="S391" s="92">
        <v>0</v>
      </c>
      <c r="T391" s="93">
        <f>S391*H391</f>
        <v>0</v>
      </c>
      <c r="AR391" s="94" t="s">
        <v>147</v>
      </c>
      <c r="AT391" s="94" t="s">
        <v>204</v>
      </c>
      <c r="AU391" s="94" t="s">
        <v>47</v>
      </c>
      <c r="AY391" s="10" t="s">
        <v>77</v>
      </c>
      <c r="BE391" s="95">
        <f>IF(N391="základní",J391,0)</f>
        <v>0</v>
      </c>
      <c r="BF391" s="95">
        <f>IF(N391="snížená",J391,0)</f>
        <v>0</v>
      </c>
      <c r="BG391" s="95">
        <f>IF(N391="zákl. přenesená",J391,0)</f>
        <v>0</v>
      </c>
      <c r="BH391" s="95">
        <f>IF(N391="sníž. přenesená",J391,0)</f>
        <v>0</v>
      </c>
      <c r="BI391" s="95">
        <f>IF(N391="nulová",J391,0)</f>
        <v>0</v>
      </c>
      <c r="BJ391" s="10" t="s">
        <v>45</v>
      </c>
      <c r="BK391" s="95">
        <f>ROUND(I391*H391,2)</f>
        <v>0</v>
      </c>
      <c r="BL391" s="10" t="s">
        <v>84</v>
      </c>
      <c r="BM391" s="94" t="s">
        <v>527</v>
      </c>
    </row>
    <row r="392" spans="2:65" s="1" customFormat="1" ht="19.2" x14ac:dyDescent="0.2">
      <c r="B392" s="19"/>
      <c r="D392" s="96" t="s">
        <v>86</v>
      </c>
      <c r="F392" s="97" t="s">
        <v>526</v>
      </c>
      <c r="I392" s="98"/>
      <c r="L392" s="19"/>
      <c r="M392" s="99"/>
      <c r="T392" s="32"/>
      <c r="AT392" s="10" t="s">
        <v>86</v>
      </c>
      <c r="AU392" s="10" t="s">
        <v>47</v>
      </c>
    </row>
    <row r="393" spans="2:65" s="1" customFormat="1" ht="33" customHeight="1" x14ac:dyDescent="0.2">
      <c r="B393" s="19"/>
      <c r="C393" s="84" t="s">
        <v>528</v>
      </c>
      <c r="D393" s="84" t="s">
        <v>79</v>
      </c>
      <c r="E393" s="85" t="s">
        <v>529</v>
      </c>
      <c r="F393" s="86" t="s">
        <v>530</v>
      </c>
      <c r="G393" s="87" t="s">
        <v>274</v>
      </c>
      <c r="H393" s="88">
        <v>5</v>
      </c>
      <c r="I393" s="89"/>
      <c r="J393" s="88">
        <f>ROUND(I393*H393,2)</f>
        <v>0</v>
      </c>
      <c r="K393" s="86" t="s">
        <v>83</v>
      </c>
      <c r="L393" s="19"/>
      <c r="M393" s="90" t="s">
        <v>0</v>
      </c>
      <c r="N393" s="91" t="s">
        <v>26</v>
      </c>
      <c r="P393" s="92">
        <f>O393*H393</f>
        <v>0</v>
      </c>
      <c r="Q393" s="92">
        <v>0.32169599999999998</v>
      </c>
      <c r="R393" s="92">
        <f>Q393*H393</f>
        <v>1.6084799999999999</v>
      </c>
      <c r="S393" s="92">
        <v>0</v>
      </c>
      <c r="T393" s="93">
        <f>S393*H393</f>
        <v>0</v>
      </c>
      <c r="AR393" s="94" t="s">
        <v>84</v>
      </c>
      <c r="AT393" s="94" t="s">
        <v>79</v>
      </c>
      <c r="AU393" s="94" t="s">
        <v>47</v>
      </c>
      <c r="AY393" s="10" t="s">
        <v>77</v>
      </c>
      <c r="BE393" s="95">
        <f>IF(N393="základní",J393,0)</f>
        <v>0</v>
      </c>
      <c r="BF393" s="95">
        <f>IF(N393="snížená",J393,0)</f>
        <v>0</v>
      </c>
      <c r="BG393" s="95">
        <f>IF(N393="zákl. přenesená",J393,0)</f>
        <v>0</v>
      </c>
      <c r="BH393" s="95">
        <f>IF(N393="sníž. přenesená",J393,0)</f>
        <v>0</v>
      </c>
      <c r="BI393" s="95">
        <f>IF(N393="nulová",J393,0)</f>
        <v>0</v>
      </c>
      <c r="BJ393" s="10" t="s">
        <v>45</v>
      </c>
      <c r="BK393" s="95">
        <f>ROUND(I393*H393,2)</f>
        <v>0</v>
      </c>
      <c r="BL393" s="10" t="s">
        <v>84</v>
      </c>
      <c r="BM393" s="94" t="s">
        <v>531</v>
      </c>
    </row>
    <row r="394" spans="2:65" s="1" customFormat="1" ht="28.8" x14ac:dyDescent="0.2">
      <c r="B394" s="19"/>
      <c r="D394" s="96" t="s">
        <v>86</v>
      </c>
      <c r="F394" s="97" t="s">
        <v>532</v>
      </c>
      <c r="I394" s="98"/>
      <c r="L394" s="19"/>
      <c r="M394" s="99"/>
      <c r="T394" s="32"/>
      <c r="AT394" s="10" t="s">
        <v>86</v>
      </c>
      <c r="AU394" s="10" t="s">
        <v>47</v>
      </c>
    </row>
    <row r="395" spans="2:65" s="1" customFormat="1" ht="24.15" customHeight="1" x14ac:dyDescent="0.2">
      <c r="B395" s="19"/>
      <c r="C395" s="120" t="s">
        <v>533</v>
      </c>
      <c r="D395" s="120" t="s">
        <v>204</v>
      </c>
      <c r="E395" s="121" t="s">
        <v>534</v>
      </c>
      <c r="F395" s="122" t="s">
        <v>535</v>
      </c>
      <c r="G395" s="123" t="s">
        <v>274</v>
      </c>
      <c r="H395" s="124">
        <v>5</v>
      </c>
      <c r="I395" s="125"/>
      <c r="J395" s="124">
        <f>ROUND(I395*H395,2)</f>
        <v>0</v>
      </c>
      <c r="K395" s="122" t="s">
        <v>83</v>
      </c>
      <c r="L395" s="126"/>
      <c r="M395" s="127" t="s">
        <v>0</v>
      </c>
      <c r="N395" s="128" t="s">
        <v>26</v>
      </c>
      <c r="P395" s="92">
        <f>O395*H395</f>
        <v>0</v>
      </c>
      <c r="Q395" s="92">
        <v>6.9000000000000006E-2</v>
      </c>
      <c r="R395" s="92">
        <f>Q395*H395</f>
        <v>0.34500000000000003</v>
      </c>
      <c r="S395" s="92">
        <v>0</v>
      </c>
      <c r="T395" s="93">
        <f>S395*H395</f>
        <v>0</v>
      </c>
      <c r="AR395" s="94" t="s">
        <v>147</v>
      </c>
      <c r="AT395" s="94" t="s">
        <v>204</v>
      </c>
      <c r="AU395" s="94" t="s">
        <v>47</v>
      </c>
      <c r="AY395" s="10" t="s">
        <v>77</v>
      </c>
      <c r="BE395" s="95">
        <f>IF(N395="základní",J395,0)</f>
        <v>0</v>
      </c>
      <c r="BF395" s="95">
        <f>IF(N395="snížená",J395,0)</f>
        <v>0</v>
      </c>
      <c r="BG395" s="95">
        <f>IF(N395="zákl. přenesená",J395,0)</f>
        <v>0</v>
      </c>
      <c r="BH395" s="95">
        <f>IF(N395="sníž. přenesená",J395,0)</f>
        <v>0</v>
      </c>
      <c r="BI395" s="95">
        <f>IF(N395="nulová",J395,0)</f>
        <v>0</v>
      </c>
      <c r="BJ395" s="10" t="s">
        <v>45</v>
      </c>
      <c r="BK395" s="95">
        <f>ROUND(I395*H395,2)</f>
        <v>0</v>
      </c>
      <c r="BL395" s="10" t="s">
        <v>84</v>
      </c>
      <c r="BM395" s="94" t="s">
        <v>536</v>
      </c>
    </row>
    <row r="396" spans="2:65" s="1" customFormat="1" ht="10.199999999999999" x14ac:dyDescent="0.2">
      <c r="B396" s="19"/>
      <c r="D396" s="96" t="s">
        <v>86</v>
      </c>
      <c r="F396" s="97" t="s">
        <v>535</v>
      </c>
      <c r="I396" s="98"/>
      <c r="L396" s="19"/>
      <c r="M396" s="99"/>
      <c r="T396" s="32"/>
      <c r="AT396" s="10" t="s">
        <v>86</v>
      </c>
      <c r="AU396" s="10" t="s">
        <v>47</v>
      </c>
    </row>
    <row r="397" spans="2:65" s="1" customFormat="1" ht="16.5" customHeight="1" x14ac:dyDescent="0.2">
      <c r="B397" s="19"/>
      <c r="C397" s="84" t="s">
        <v>537</v>
      </c>
      <c r="D397" s="84" t="s">
        <v>79</v>
      </c>
      <c r="E397" s="85" t="s">
        <v>538</v>
      </c>
      <c r="F397" s="86" t="s">
        <v>539</v>
      </c>
      <c r="G397" s="87" t="s">
        <v>274</v>
      </c>
      <c r="H397" s="88">
        <v>2</v>
      </c>
      <c r="I397" s="89"/>
      <c r="J397" s="88">
        <f>ROUND(I397*H397,2)</f>
        <v>0</v>
      </c>
      <c r="K397" s="86" t="s">
        <v>83</v>
      </c>
      <c r="L397" s="19"/>
      <c r="M397" s="90" t="s">
        <v>0</v>
      </c>
      <c r="N397" s="91" t="s">
        <v>26</v>
      </c>
      <c r="P397" s="92">
        <f>O397*H397</f>
        <v>0</v>
      </c>
      <c r="Q397" s="92">
        <v>0.05</v>
      </c>
      <c r="R397" s="92">
        <f>Q397*H397</f>
        <v>0.1</v>
      </c>
      <c r="S397" s="92">
        <v>0</v>
      </c>
      <c r="T397" s="93">
        <f>S397*H397</f>
        <v>0</v>
      </c>
      <c r="AR397" s="94" t="s">
        <v>84</v>
      </c>
      <c r="AT397" s="94" t="s">
        <v>79</v>
      </c>
      <c r="AU397" s="94" t="s">
        <v>47</v>
      </c>
      <c r="AY397" s="10" t="s">
        <v>77</v>
      </c>
      <c r="BE397" s="95">
        <f>IF(N397="základní",J397,0)</f>
        <v>0</v>
      </c>
      <c r="BF397" s="95">
        <f>IF(N397="snížená",J397,0)</f>
        <v>0</v>
      </c>
      <c r="BG397" s="95">
        <f>IF(N397="zákl. přenesená",J397,0)</f>
        <v>0</v>
      </c>
      <c r="BH397" s="95">
        <f>IF(N397="sníž. přenesená",J397,0)</f>
        <v>0</v>
      </c>
      <c r="BI397" s="95">
        <f>IF(N397="nulová",J397,0)</f>
        <v>0</v>
      </c>
      <c r="BJ397" s="10" t="s">
        <v>45</v>
      </c>
      <c r="BK397" s="95">
        <f>ROUND(I397*H397,2)</f>
        <v>0</v>
      </c>
      <c r="BL397" s="10" t="s">
        <v>84</v>
      </c>
      <c r="BM397" s="94" t="s">
        <v>540</v>
      </c>
    </row>
    <row r="398" spans="2:65" s="1" customFormat="1" ht="19.2" x14ac:dyDescent="0.2">
      <c r="B398" s="19"/>
      <c r="D398" s="96" t="s">
        <v>86</v>
      </c>
      <c r="F398" s="97" t="s">
        <v>541</v>
      </c>
      <c r="I398" s="98"/>
      <c r="L398" s="19"/>
      <c r="M398" s="99"/>
      <c r="T398" s="32"/>
      <c r="AT398" s="10" t="s">
        <v>86</v>
      </c>
      <c r="AU398" s="10" t="s">
        <v>47</v>
      </c>
    </row>
    <row r="399" spans="2:65" s="1" customFormat="1" ht="16.5" customHeight="1" x14ac:dyDescent="0.2">
      <c r="B399" s="19"/>
      <c r="C399" s="120" t="s">
        <v>542</v>
      </c>
      <c r="D399" s="120" t="s">
        <v>204</v>
      </c>
      <c r="E399" s="121" t="s">
        <v>543</v>
      </c>
      <c r="F399" s="122" t="s">
        <v>544</v>
      </c>
      <c r="G399" s="123" t="s">
        <v>274</v>
      </c>
      <c r="H399" s="124">
        <v>2</v>
      </c>
      <c r="I399" s="125"/>
      <c r="J399" s="124">
        <f>ROUND(I399*H399,2)</f>
        <v>0</v>
      </c>
      <c r="K399" s="122" t="s">
        <v>83</v>
      </c>
      <c r="L399" s="126"/>
      <c r="M399" s="127" t="s">
        <v>0</v>
      </c>
      <c r="N399" s="128" t="s">
        <v>26</v>
      </c>
      <c r="P399" s="92">
        <f>O399*H399</f>
        <v>0</v>
      </c>
      <c r="Q399" s="92">
        <v>2.9499999999999998E-2</v>
      </c>
      <c r="R399" s="92">
        <f>Q399*H399</f>
        <v>5.8999999999999997E-2</v>
      </c>
      <c r="S399" s="92">
        <v>0</v>
      </c>
      <c r="T399" s="93">
        <f>S399*H399</f>
        <v>0</v>
      </c>
      <c r="AR399" s="94" t="s">
        <v>147</v>
      </c>
      <c r="AT399" s="94" t="s">
        <v>204</v>
      </c>
      <c r="AU399" s="94" t="s">
        <v>47</v>
      </c>
      <c r="AY399" s="10" t="s">
        <v>77</v>
      </c>
      <c r="BE399" s="95">
        <f>IF(N399="základní",J399,0)</f>
        <v>0</v>
      </c>
      <c r="BF399" s="95">
        <f>IF(N399="snížená",J399,0)</f>
        <v>0</v>
      </c>
      <c r="BG399" s="95">
        <f>IF(N399="zákl. přenesená",J399,0)</f>
        <v>0</v>
      </c>
      <c r="BH399" s="95">
        <f>IF(N399="sníž. přenesená",J399,0)</f>
        <v>0</v>
      </c>
      <c r="BI399" s="95">
        <f>IF(N399="nulová",J399,0)</f>
        <v>0</v>
      </c>
      <c r="BJ399" s="10" t="s">
        <v>45</v>
      </c>
      <c r="BK399" s="95">
        <f>ROUND(I399*H399,2)</f>
        <v>0</v>
      </c>
      <c r="BL399" s="10" t="s">
        <v>84</v>
      </c>
      <c r="BM399" s="94" t="s">
        <v>545</v>
      </c>
    </row>
    <row r="400" spans="2:65" s="1" customFormat="1" ht="10.199999999999999" x14ac:dyDescent="0.2">
      <c r="B400" s="19"/>
      <c r="D400" s="96" t="s">
        <v>86</v>
      </c>
      <c r="F400" s="97" t="s">
        <v>544</v>
      </c>
      <c r="I400" s="98"/>
      <c r="L400" s="19"/>
      <c r="M400" s="99"/>
      <c r="T400" s="32"/>
      <c r="AT400" s="10" t="s">
        <v>86</v>
      </c>
      <c r="AU400" s="10" t="s">
        <v>47</v>
      </c>
    </row>
    <row r="401" spans="2:65" s="1" customFormat="1" ht="37.799999999999997" customHeight="1" x14ac:dyDescent="0.2">
      <c r="B401" s="19"/>
      <c r="C401" s="84" t="s">
        <v>546</v>
      </c>
      <c r="D401" s="84" t="s">
        <v>79</v>
      </c>
      <c r="E401" s="85" t="s">
        <v>547</v>
      </c>
      <c r="F401" s="86" t="s">
        <v>548</v>
      </c>
      <c r="G401" s="87" t="s">
        <v>274</v>
      </c>
      <c r="H401" s="88">
        <v>10</v>
      </c>
      <c r="I401" s="89"/>
      <c r="J401" s="88">
        <f>ROUND(I401*H401,2)</f>
        <v>0</v>
      </c>
      <c r="K401" s="86" t="s">
        <v>83</v>
      </c>
      <c r="L401" s="19"/>
      <c r="M401" s="90" t="s">
        <v>0</v>
      </c>
      <c r="N401" s="91" t="s">
        <v>26</v>
      </c>
      <c r="P401" s="92">
        <f>O401*H401</f>
        <v>0</v>
      </c>
      <c r="Q401" s="92">
        <v>0.09</v>
      </c>
      <c r="R401" s="92">
        <f>Q401*H401</f>
        <v>0.89999999999999991</v>
      </c>
      <c r="S401" s="92">
        <v>0</v>
      </c>
      <c r="T401" s="93">
        <f>S401*H401</f>
        <v>0</v>
      </c>
      <c r="AR401" s="94" t="s">
        <v>84</v>
      </c>
      <c r="AT401" s="94" t="s">
        <v>79</v>
      </c>
      <c r="AU401" s="94" t="s">
        <v>47</v>
      </c>
      <c r="AY401" s="10" t="s">
        <v>77</v>
      </c>
      <c r="BE401" s="95">
        <f>IF(N401="základní",J401,0)</f>
        <v>0</v>
      </c>
      <c r="BF401" s="95">
        <f>IF(N401="snížená",J401,0)</f>
        <v>0</v>
      </c>
      <c r="BG401" s="95">
        <f>IF(N401="zákl. přenesená",J401,0)</f>
        <v>0</v>
      </c>
      <c r="BH401" s="95">
        <f>IF(N401="sníž. přenesená",J401,0)</f>
        <v>0</v>
      </c>
      <c r="BI401" s="95">
        <f>IF(N401="nulová",J401,0)</f>
        <v>0</v>
      </c>
      <c r="BJ401" s="10" t="s">
        <v>45</v>
      </c>
      <c r="BK401" s="95">
        <f>ROUND(I401*H401,2)</f>
        <v>0</v>
      </c>
      <c r="BL401" s="10" t="s">
        <v>84</v>
      </c>
      <c r="BM401" s="94" t="s">
        <v>549</v>
      </c>
    </row>
    <row r="402" spans="2:65" s="1" customFormat="1" ht="19.2" x14ac:dyDescent="0.2">
      <c r="B402" s="19"/>
      <c r="D402" s="96" t="s">
        <v>86</v>
      </c>
      <c r="F402" s="97" t="s">
        <v>550</v>
      </c>
      <c r="I402" s="98"/>
      <c r="L402" s="19"/>
      <c r="M402" s="99"/>
      <c r="T402" s="32"/>
      <c r="AT402" s="10" t="s">
        <v>86</v>
      </c>
      <c r="AU402" s="10" t="s">
        <v>47</v>
      </c>
    </row>
    <row r="403" spans="2:65" s="1" customFormat="1" ht="21.75" customHeight="1" x14ac:dyDescent="0.2">
      <c r="B403" s="19"/>
      <c r="C403" s="120" t="s">
        <v>551</v>
      </c>
      <c r="D403" s="120" t="s">
        <v>204</v>
      </c>
      <c r="E403" s="121" t="s">
        <v>552</v>
      </c>
      <c r="F403" s="122" t="s">
        <v>553</v>
      </c>
      <c r="G403" s="123" t="s">
        <v>274</v>
      </c>
      <c r="H403" s="124">
        <v>10</v>
      </c>
      <c r="I403" s="125"/>
      <c r="J403" s="124">
        <f>ROUND(I403*H403,2)</f>
        <v>0</v>
      </c>
      <c r="K403" s="122" t="s">
        <v>83</v>
      </c>
      <c r="L403" s="126"/>
      <c r="M403" s="127" t="s">
        <v>0</v>
      </c>
      <c r="N403" s="128" t="s">
        <v>26</v>
      </c>
      <c r="P403" s="92">
        <f>O403*H403</f>
        <v>0</v>
      </c>
      <c r="Q403" s="92">
        <v>0.19600000000000001</v>
      </c>
      <c r="R403" s="92">
        <f>Q403*H403</f>
        <v>1.96</v>
      </c>
      <c r="S403" s="92">
        <v>0</v>
      </c>
      <c r="T403" s="93">
        <f>S403*H403</f>
        <v>0</v>
      </c>
      <c r="AR403" s="94" t="s">
        <v>147</v>
      </c>
      <c r="AT403" s="94" t="s">
        <v>204</v>
      </c>
      <c r="AU403" s="94" t="s">
        <v>47</v>
      </c>
      <c r="AY403" s="10" t="s">
        <v>77</v>
      </c>
      <c r="BE403" s="95">
        <f>IF(N403="základní",J403,0)</f>
        <v>0</v>
      </c>
      <c r="BF403" s="95">
        <f>IF(N403="snížená",J403,0)</f>
        <v>0</v>
      </c>
      <c r="BG403" s="95">
        <f>IF(N403="zákl. přenesená",J403,0)</f>
        <v>0</v>
      </c>
      <c r="BH403" s="95">
        <f>IF(N403="sníž. přenesená",J403,0)</f>
        <v>0</v>
      </c>
      <c r="BI403" s="95">
        <f>IF(N403="nulová",J403,0)</f>
        <v>0</v>
      </c>
      <c r="BJ403" s="10" t="s">
        <v>45</v>
      </c>
      <c r="BK403" s="95">
        <f>ROUND(I403*H403,2)</f>
        <v>0</v>
      </c>
      <c r="BL403" s="10" t="s">
        <v>84</v>
      </c>
      <c r="BM403" s="94" t="s">
        <v>554</v>
      </c>
    </row>
    <row r="404" spans="2:65" s="1" customFormat="1" ht="10.199999999999999" x14ac:dyDescent="0.2">
      <c r="B404" s="19"/>
      <c r="D404" s="96" t="s">
        <v>86</v>
      </c>
      <c r="F404" s="97" t="s">
        <v>553</v>
      </c>
      <c r="I404" s="98"/>
      <c r="L404" s="19"/>
      <c r="M404" s="99"/>
      <c r="T404" s="32"/>
      <c r="AT404" s="10" t="s">
        <v>86</v>
      </c>
      <c r="AU404" s="10" t="s">
        <v>47</v>
      </c>
    </row>
    <row r="405" spans="2:65" s="1" customFormat="1" ht="16.5" customHeight="1" x14ac:dyDescent="0.2">
      <c r="B405" s="19"/>
      <c r="C405" s="84" t="s">
        <v>555</v>
      </c>
      <c r="D405" s="84" t="s">
        <v>79</v>
      </c>
      <c r="E405" s="85" t="s">
        <v>556</v>
      </c>
      <c r="F405" s="86" t="s">
        <v>557</v>
      </c>
      <c r="G405" s="87" t="s">
        <v>274</v>
      </c>
      <c r="H405" s="88">
        <v>6</v>
      </c>
      <c r="I405" s="89"/>
      <c r="J405" s="88">
        <f>ROUND(I405*H405,2)</f>
        <v>0</v>
      </c>
      <c r="K405" s="86" t="s">
        <v>83</v>
      </c>
      <c r="L405" s="19"/>
      <c r="M405" s="90" t="s">
        <v>0</v>
      </c>
      <c r="N405" s="91" t="s">
        <v>26</v>
      </c>
      <c r="P405" s="92">
        <f>O405*H405</f>
        <v>0</v>
      </c>
      <c r="Q405" s="92">
        <v>0.04</v>
      </c>
      <c r="R405" s="92">
        <f>Q405*H405</f>
        <v>0.24</v>
      </c>
      <c r="S405" s="92">
        <v>0</v>
      </c>
      <c r="T405" s="93">
        <f>S405*H405</f>
        <v>0</v>
      </c>
      <c r="AR405" s="94" t="s">
        <v>84</v>
      </c>
      <c r="AT405" s="94" t="s">
        <v>79</v>
      </c>
      <c r="AU405" s="94" t="s">
        <v>47</v>
      </c>
      <c r="AY405" s="10" t="s">
        <v>77</v>
      </c>
      <c r="BE405" s="95">
        <f>IF(N405="základní",J405,0)</f>
        <v>0</v>
      </c>
      <c r="BF405" s="95">
        <f>IF(N405="snížená",J405,0)</f>
        <v>0</v>
      </c>
      <c r="BG405" s="95">
        <f>IF(N405="zákl. přenesená",J405,0)</f>
        <v>0</v>
      </c>
      <c r="BH405" s="95">
        <f>IF(N405="sníž. přenesená",J405,0)</f>
        <v>0</v>
      </c>
      <c r="BI405" s="95">
        <f>IF(N405="nulová",J405,0)</f>
        <v>0</v>
      </c>
      <c r="BJ405" s="10" t="s">
        <v>45</v>
      </c>
      <c r="BK405" s="95">
        <f>ROUND(I405*H405,2)</f>
        <v>0</v>
      </c>
      <c r="BL405" s="10" t="s">
        <v>84</v>
      </c>
      <c r="BM405" s="94" t="s">
        <v>558</v>
      </c>
    </row>
    <row r="406" spans="2:65" s="1" customFormat="1" ht="19.2" x14ac:dyDescent="0.2">
      <c r="B406" s="19"/>
      <c r="D406" s="96" t="s">
        <v>86</v>
      </c>
      <c r="F406" s="97" t="s">
        <v>559</v>
      </c>
      <c r="I406" s="98"/>
      <c r="L406" s="19"/>
      <c r="M406" s="99"/>
      <c r="T406" s="32"/>
      <c r="AT406" s="10" t="s">
        <v>86</v>
      </c>
      <c r="AU406" s="10" t="s">
        <v>47</v>
      </c>
    </row>
    <row r="407" spans="2:65" s="7" customFormat="1" ht="10.199999999999999" x14ac:dyDescent="0.2">
      <c r="B407" s="100"/>
      <c r="D407" s="96" t="s">
        <v>88</v>
      </c>
      <c r="E407" s="101" t="s">
        <v>0</v>
      </c>
      <c r="F407" s="102" t="s">
        <v>560</v>
      </c>
      <c r="H407" s="101" t="s">
        <v>0</v>
      </c>
      <c r="I407" s="103"/>
      <c r="L407" s="100"/>
      <c r="M407" s="104"/>
      <c r="T407" s="105"/>
      <c r="AT407" s="101" t="s">
        <v>88</v>
      </c>
      <c r="AU407" s="101" t="s">
        <v>47</v>
      </c>
      <c r="AV407" s="7" t="s">
        <v>45</v>
      </c>
      <c r="AW407" s="7" t="s">
        <v>18</v>
      </c>
      <c r="AX407" s="7" t="s">
        <v>44</v>
      </c>
      <c r="AY407" s="101" t="s">
        <v>77</v>
      </c>
    </row>
    <row r="408" spans="2:65" s="8" customFormat="1" ht="10.199999999999999" x14ac:dyDescent="0.2">
      <c r="B408" s="106"/>
      <c r="D408" s="96" t="s">
        <v>88</v>
      </c>
      <c r="E408" s="107" t="s">
        <v>0</v>
      </c>
      <c r="F408" s="108" t="s">
        <v>134</v>
      </c>
      <c r="H408" s="109">
        <v>6</v>
      </c>
      <c r="I408" s="110"/>
      <c r="L408" s="106"/>
      <c r="M408" s="111"/>
      <c r="T408" s="112"/>
      <c r="AT408" s="107" t="s">
        <v>88</v>
      </c>
      <c r="AU408" s="107" t="s">
        <v>47</v>
      </c>
      <c r="AV408" s="8" t="s">
        <v>47</v>
      </c>
      <c r="AW408" s="8" t="s">
        <v>18</v>
      </c>
      <c r="AX408" s="8" t="s">
        <v>45</v>
      </c>
      <c r="AY408" s="107" t="s">
        <v>77</v>
      </c>
    </row>
    <row r="409" spans="2:65" s="1" customFormat="1" ht="24.15" customHeight="1" x14ac:dyDescent="0.2">
      <c r="B409" s="19"/>
      <c r="C409" s="120" t="s">
        <v>561</v>
      </c>
      <c r="D409" s="120" t="s">
        <v>204</v>
      </c>
      <c r="E409" s="121" t="s">
        <v>562</v>
      </c>
      <c r="F409" s="122" t="s">
        <v>563</v>
      </c>
      <c r="G409" s="123" t="s">
        <v>274</v>
      </c>
      <c r="H409" s="124">
        <v>6</v>
      </c>
      <c r="I409" s="125"/>
      <c r="J409" s="124">
        <f>ROUND(I409*H409,2)</f>
        <v>0</v>
      </c>
      <c r="K409" s="122" t="s">
        <v>83</v>
      </c>
      <c r="L409" s="126"/>
      <c r="M409" s="127" t="s">
        <v>0</v>
      </c>
      <c r="N409" s="128" t="s">
        <v>26</v>
      </c>
      <c r="P409" s="92">
        <f>O409*H409</f>
        <v>0</v>
      </c>
      <c r="Q409" s="92">
        <v>1.3299999999999999E-2</v>
      </c>
      <c r="R409" s="92">
        <f>Q409*H409</f>
        <v>7.9799999999999996E-2</v>
      </c>
      <c r="S409" s="92">
        <v>0</v>
      </c>
      <c r="T409" s="93">
        <f>S409*H409</f>
        <v>0</v>
      </c>
      <c r="AR409" s="94" t="s">
        <v>147</v>
      </c>
      <c r="AT409" s="94" t="s">
        <v>204</v>
      </c>
      <c r="AU409" s="94" t="s">
        <v>47</v>
      </c>
      <c r="AY409" s="10" t="s">
        <v>77</v>
      </c>
      <c r="BE409" s="95">
        <f>IF(N409="základní",J409,0)</f>
        <v>0</v>
      </c>
      <c r="BF409" s="95">
        <f>IF(N409="snížená",J409,0)</f>
        <v>0</v>
      </c>
      <c r="BG409" s="95">
        <f>IF(N409="zákl. přenesená",J409,0)</f>
        <v>0</v>
      </c>
      <c r="BH409" s="95">
        <f>IF(N409="sníž. přenesená",J409,0)</f>
        <v>0</v>
      </c>
      <c r="BI409" s="95">
        <f>IF(N409="nulová",J409,0)</f>
        <v>0</v>
      </c>
      <c r="BJ409" s="10" t="s">
        <v>45</v>
      </c>
      <c r="BK409" s="95">
        <f>ROUND(I409*H409,2)</f>
        <v>0</v>
      </c>
      <c r="BL409" s="10" t="s">
        <v>84</v>
      </c>
      <c r="BM409" s="94" t="s">
        <v>564</v>
      </c>
    </row>
    <row r="410" spans="2:65" s="1" customFormat="1" ht="19.2" x14ac:dyDescent="0.2">
      <c r="B410" s="19"/>
      <c r="D410" s="96" t="s">
        <v>86</v>
      </c>
      <c r="F410" s="97" t="s">
        <v>563</v>
      </c>
      <c r="I410" s="98"/>
      <c r="L410" s="19"/>
      <c r="M410" s="99"/>
      <c r="T410" s="32"/>
      <c r="AT410" s="10" t="s">
        <v>86</v>
      </c>
      <c r="AU410" s="10" t="s">
        <v>47</v>
      </c>
    </row>
    <row r="411" spans="2:65" s="1" customFormat="1" ht="16.5" customHeight="1" x14ac:dyDescent="0.2">
      <c r="B411" s="19"/>
      <c r="C411" s="84" t="s">
        <v>565</v>
      </c>
      <c r="D411" s="84" t="s">
        <v>79</v>
      </c>
      <c r="E411" s="85" t="s">
        <v>566</v>
      </c>
      <c r="F411" s="86" t="s">
        <v>567</v>
      </c>
      <c r="G411" s="87" t="s">
        <v>130</v>
      </c>
      <c r="H411" s="88">
        <v>230.67</v>
      </c>
      <c r="I411" s="89"/>
      <c r="J411" s="88">
        <f>ROUND(I411*H411,2)</f>
        <v>0</v>
      </c>
      <c r="K411" s="86" t="s">
        <v>83</v>
      </c>
      <c r="L411" s="19"/>
      <c r="M411" s="90" t="s">
        <v>0</v>
      </c>
      <c r="N411" s="91" t="s">
        <v>26</v>
      </c>
      <c r="P411" s="92">
        <f>O411*H411</f>
        <v>0</v>
      </c>
      <c r="Q411" s="92">
        <v>1.9236000000000001E-4</v>
      </c>
      <c r="R411" s="92">
        <f>Q411*H411</f>
        <v>4.4371681199999999E-2</v>
      </c>
      <c r="S411" s="92">
        <v>0</v>
      </c>
      <c r="T411" s="93">
        <f>S411*H411</f>
        <v>0</v>
      </c>
      <c r="AR411" s="94" t="s">
        <v>84</v>
      </c>
      <c r="AT411" s="94" t="s">
        <v>79</v>
      </c>
      <c r="AU411" s="94" t="s">
        <v>47</v>
      </c>
      <c r="AY411" s="10" t="s">
        <v>77</v>
      </c>
      <c r="BE411" s="95">
        <f>IF(N411="základní",J411,0)</f>
        <v>0</v>
      </c>
      <c r="BF411" s="95">
        <f>IF(N411="snížená",J411,0)</f>
        <v>0</v>
      </c>
      <c r="BG411" s="95">
        <f>IF(N411="zákl. přenesená",J411,0)</f>
        <v>0</v>
      </c>
      <c r="BH411" s="95">
        <f>IF(N411="sníž. přenesená",J411,0)</f>
        <v>0</v>
      </c>
      <c r="BI411" s="95">
        <f>IF(N411="nulová",J411,0)</f>
        <v>0</v>
      </c>
      <c r="BJ411" s="10" t="s">
        <v>45</v>
      </c>
      <c r="BK411" s="95">
        <f>ROUND(I411*H411,2)</f>
        <v>0</v>
      </c>
      <c r="BL411" s="10" t="s">
        <v>84</v>
      </c>
      <c r="BM411" s="94" t="s">
        <v>568</v>
      </c>
    </row>
    <row r="412" spans="2:65" s="1" customFormat="1" ht="10.199999999999999" x14ac:dyDescent="0.2">
      <c r="B412" s="19"/>
      <c r="D412" s="96" t="s">
        <v>86</v>
      </c>
      <c r="F412" s="97" t="s">
        <v>569</v>
      </c>
      <c r="I412" s="98"/>
      <c r="L412" s="19"/>
      <c r="M412" s="99"/>
      <c r="T412" s="32"/>
      <c r="AT412" s="10" t="s">
        <v>86</v>
      </c>
      <c r="AU412" s="10" t="s">
        <v>47</v>
      </c>
    </row>
    <row r="413" spans="2:65" s="8" customFormat="1" ht="10.199999999999999" x14ac:dyDescent="0.2">
      <c r="B413" s="106"/>
      <c r="D413" s="96" t="s">
        <v>88</v>
      </c>
      <c r="E413" s="107" t="s">
        <v>0</v>
      </c>
      <c r="F413" s="108" t="s">
        <v>570</v>
      </c>
      <c r="H413" s="109">
        <v>230.67</v>
      </c>
      <c r="I413" s="110"/>
      <c r="L413" s="106"/>
      <c r="M413" s="111"/>
      <c r="T413" s="112"/>
      <c r="AT413" s="107" t="s">
        <v>88</v>
      </c>
      <c r="AU413" s="107" t="s">
        <v>47</v>
      </c>
      <c r="AV413" s="8" t="s">
        <v>47</v>
      </c>
      <c r="AW413" s="8" t="s">
        <v>18</v>
      </c>
      <c r="AX413" s="8" t="s">
        <v>45</v>
      </c>
      <c r="AY413" s="107" t="s">
        <v>77</v>
      </c>
    </row>
    <row r="414" spans="2:65" s="1" customFormat="1" ht="24.15" customHeight="1" x14ac:dyDescent="0.2">
      <c r="B414" s="19"/>
      <c r="C414" s="84" t="s">
        <v>571</v>
      </c>
      <c r="D414" s="84" t="s">
        <v>79</v>
      </c>
      <c r="E414" s="85" t="s">
        <v>572</v>
      </c>
      <c r="F414" s="86" t="s">
        <v>573</v>
      </c>
      <c r="G414" s="87" t="s">
        <v>130</v>
      </c>
      <c r="H414" s="88">
        <v>230.67</v>
      </c>
      <c r="I414" s="89"/>
      <c r="J414" s="88">
        <f>ROUND(I414*H414,2)</f>
        <v>0</v>
      </c>
      <c r="K414" s="86" t="s">
        <v>83</v>
      </c>
      <c r="L414" s="19"/>
      <c r="M414" s="90" t="s">
        <v>0</v>
      </c>
      <c r="N414" s="91" t="s">
        <v>26</v>
      </c>
      <c r="P414" s="92">
        <f>O414*H414</f>
        <v>0</v>
      </c>
      <c r="Q414" s="92">
        <v>7.3499999999999998E-5</v>
      </c>
      <c r="R414" s="92">
        <f>Q414*H414</f>
        <v>1.6954245E-2</v>
      </c>
      <c r="S414" s="92">
        <v>0</v>
      </c>
      <c r="T414" s="93">
        <f>S414*H414</f>
        <v>0</v>
      </c>
      <c r="AR414" s="94" t="s">
        <v>84</v>
      </c>
      <c r="AT414" s="94" t="s">
        <v>79</v>
      </c>
      <c r="AU414" s="94" t="s">
        <v>47</v>
      </c>
      <c r="AY414" s="10" t="s">
        <v>77</v>
      </c>
      <c r="BE414" s="95">
        <f>IF(N414="základní",J414,0)</f>
        <v>0</v>
      </c>
      <c r="BF414" s="95">
        <f>IF(N414="snížená",J414,0)</f>
        <v>0</v>
      </c>
      <c r="BG414" s="95">
        <f>IF(N414="zákl. přenesená",J414,0)</f>
        <v>0</v>
      </c>
      <c r="BH414" s="95">
        <f>IF(N414="sníž. přenesená",J414,0)</f>
        <v>0</v>
      </c>
      <c r="BI414" s="95">
        <f>IF(N414="nulová",J414,0)</f>
        <v>0</v>
      </c>
      <c r="BJ414" s="10" t="s">
        <v>45</v>
      </c>
      <c r="BK414" s="95">
        <f>ROUND(I414*H414,2)</f>
        <v>0</v>
      </c>
      <c r="BL414" s="10" t="s">
        <v>84</v>
      </c>
      <c r="BM414" s="94" t="s">
        <v>574</v>
      </c>
    </row>
    <row r="415" spans="2:65" s="1" customFormat="1" ht="19.2" x14ac:dyDescent="0.2">
      <c r="B415" s="19"/>
      <c r="D415" s="96" t="s">
        <v>86</v>
      </c>
      <c r="F415" s="97" t="s">
        <v>575</v>
      </c>
      <c r="I415" s="98"/>
      <c r="L415" s="19"/>
      <c r="M415" s="99"/>
      <c r="T415" s="32"/>
      <c r="AT415" s="10" t="s">
        <v>86</v>
      </c>
      <c r="AU415" s="10" t="s">
        <v>47</v>
      </c>
    </row>
    <row r="416" spans="2:65" s="8" customFormat="1" ht="10.199999999999999" x14ac:dyDescent="0.2">
      <c r="B416" s="106"/>
      <c r="D416" s="96" t="s">
        <v>88</v>
      </c>
      <c r="E416" s="107" t="s">
        <v>0</v>
      </c>
      <c r="F416" s="108" t="s">
        <v>570</v>
      </c>
      <c r="H416" s="109">
        <v>230.67</v>
      </c>
      <c r="I416" s="110"/>
      <c r="L416" s="106"/>
      <c r="M416" s="111"/>
      <c r="T416" s="112"/>
      <c r="AT416" s="107" t="s">
        <v>88</v>
      </c>
      <c r="AU416" s="107" t="s">
        <v>47</v>
      </c>
      <c r="AV416" s="8" t="s">
        <v>47</v>
      </c>
      <c r="AW416" s="8" t="s">
        <v>18</v>
      </c>
      <c r="AX416" s="8" t="s">
        <v>45</v>
      </c>
      <c r="AY416" s="107" t="s">
        <v>77</v>
      </c>
    </row>
    <row r="417" spans="2:65" s="1" customFormat="1" ht="16.5" customHeight="1" x14ac:dyDescent="0.2">
      <c r="B417" s="19"/>
      <c r="C417" s="84" t="s">
        <v>576</v>
      </c>
      <c r="D417" s="84" t="s">
        <v>79</v>
      </c>
      <c r="E417" s="85" t="s">
        <v>577</v>
      </c>
      <c r="F417" s="86" t="s">
        <v>578</v>
      </c>
      <c r="G417" s="87" t="s">
        <v>579</v>
      </c>
      <c r="H417" s="88">
        <v>10</v>
      </c>
      <c r="I417" s="89"/>
      <c r="J417" s="88">
        <f>ROUND(I417*H417,2)</f>
        <v>0</v>
      </c>
      <c r="K417" s="86" t="s">
        <v>83</v>
      </c>
      <c r="L417" s="19"/>
      <c r="M417" s="90" t="s">
        <v>0</v>
      </c>
      <c r="N417" s="91" t="s">
        <v>26</v>
      </c>
      <c r="P417" s="92">
        <f>O417*H417</f>
        <v>0</v>
      </c>
      <c r="Q417" s="92">
        <v>2E-3</v>
      </c>
      <c r="R417" s="92">
        <f>Q417*H417</f>
        <v>0.02</v>
      </c>
      <c r="S417" s="92">
        <v>0</v>
      </c>
      <c r="T417" s="93">
        <f>S417*H417</f>
        <v>0</v>
      </c>
      <c r="AR417" s="94" t="s">
        <v>210</v>
      </c>
      <c r="AT417" s="94" t="s">
        <v>79</v>
      </c>
      <c r="AU417" s="94" t="s">
        <v>47</v>
      </c>
      <c r="AY417" s="10" t="s">
        <v>77</v>
      </c>
      <c r="BE417" s="95">
        <f>IF(N417="základní",J417,0)</f>
        <v>0</v>
      </c>
      <c r="BF417" s="95">
        <f>IF(N417="snížená",J417,0)</f>
        <v>0</v>
      </c>
      <c r="BG417" s="95">
        <f>IF(N417="zákl. přenesená",J417,0)</f>
        <v>0</v>
      </c>
      <c r="BH417" s="95">
        <f>IF(N417="sníž. přenesená",J417,0)</f>
        <v>0</v>
      </c>
      <c r="BI417" s="95">
        <f>IF(N417="nulová",J417,0)</f>
        <v>0</v>
      </c>
      <c r="BJ417" s="10" t="s">
        <v>45</v>
      </c>
      <c r="BK417" s="95">
        <f>ROUND(I417*H417,2)</f>
        <v>0</v>
      </c>
      <c r="BL417" s="10" t="s">
        <v>210</v>
      </c>
      <c r="BM417" s="94" t="s">
        <v>580</v>
      </c>
    </row>
    <row r="418" spans="2:65" s="1" customFormat="1" ht="10.199999999999999" x14ac:dyDescent="0.2">
      <c r="B418" s="19"/>
      <c r="D418" s="96" t="s">
        <v>86</v>
      </c>
      <c r="F418" s="97" t="s">
        <v>581</v>
      </c>
      <c r="I418" s="98"/>
      <c r="L418" s="19"/>
      <c r="M418" s="99"/>
      <c r="T418" s="32"/>
      <c r="AT418" s="10" t="s">
        <v>86</v>
      </c>
      <c r="AU418" s="10" t="s">
        <v>47</v>
      </c>
    </row>
    <row r="419" spans="2:65" s="7" customFormat="1" ht="10.199999999999999" x14ac:dyDescent="0.2">
      <c r="B419" s="100"/>
      <c r="D419" s="96" t="s">
        <v>88</v>
      </c>
      <c r="E419" s="101" t="s">
        <v>0</v>
      </c>
      <c r="F419" s="102" t="s">
        <v>582</v>
      </c>
      <c r="H419" s="101" t="s">
        <v>0</v>
      </c>
      <c r="I419" s="103"/>
      <c r="L419" s="100"/>
      <c r="M419" s="104"/>
      <c r="T419" s="105"/>
      <c r="AT419" s="101" t="s">
        <v>88</v>
      </c>
      <c r="AU419" s="101" t="s">
        <v>47</v>
      </c>
      <c r="AV419" s="7" t="s">
        <v>45</v>
      </c>
      <c r="AW419" s="7" t="s">
        <v>18</v>
      </c>
      <c r="AX419" s="7" t="s">
        <v>44</v>
      </c>
      <c r="AY419" s="101" t="s">
        <v>77</v>
      </c>
    </row>
    <row r="420" spans="2:65" s="8" customFormat="1" ht="10.199999999999999" x14ac:dyDescent="0.2">
      <c r="B420" s="106"/>
      <c r="D420" s="96" t="s">
        <v>88</v>
      </c>
      <c r="E420" s="107" t="s">
        <v>0</v>
      </c>
      <c r="F420" s="108" t="s">
        <v>161</v>
      </c>
      <c r="H420" s="109">
        <v>10</v>
      </c>
      <c r="I420" s="110"/>
      <c r="L420" s="106"/>
      <c r="M420" s="111"/>
      <c r="T420" s="112"/>
      <c r="AT420" s="107" t="s">
        <v>88</v>
      </c>
      <c r="AU420" s="107" t="s">
        <v>47</v>
      </c>
      <c r="AV420" s="8" t="s">
        <v>47</v>
      </c>
      <c r="AW420" s="8" t="s">
        <v>18</v>
      </c>
      <c r="AX420" s="8" t="s">
        <v>45</v>
      </c>
      <c r="AY420" s="107" t="s">
        <v>77</v>
      </c>
    </row>
    <row r="421" spans="2:65" s="6" customFormat="1" ht="22.8" customHeight="1" x14ac:dyDescent="0.25">
      <c r="B421" s="72"/>
      <c r="D421" s="73" t="s">
        <v>43</v>
      </c>
      <c r="E421" s="82" t="s">
        <v>583</v>
      </c>
      <c r="F421" s="82" t="s">
        <v>584</v>
      </c>
      <c r="I421" s="75"/>
      <c r="J421" s="83">
        <f>BK421</f>
        <v>0</v>
      </c>
      <c r="L421" s="72"/>
      <c r="M421" s="77"/>
      <c r="P421" s="78">
        <f>SUM(P422:P423)</f>
        <v>0</v>
      </c>
      <c r="R421" s="78">
        <f>SUM(R422:R423)</f>
        <v>0</v>
      </c>
      <c r="T421" s="79">
        <f>SUM(T422:T423)</f>
        <v>0</v>
      </c>
      <c r="AR421" s="73" t="s">
        <v>45</v>
      </c>
      <c r="AT421" s="80" t="s">
        <v>43</v>
      </c>
      <c r="AU421" s="80" t="s">
        <v>45</v>
      </c>
      <c r="AY421" s="73" t="s">
        <v>77</v>
      </c>
      <c r="BK421" s="81">
        <f>SUM(BK422:BK423)</f>
        <v>0</v>
      </c>
    </row>
    <row r="422" spans="2:65" s="1" customFormat="1" ht="24.15" customHeight="1" x14ac:dyDescent="0.2">
      <c r="B422" s="19"/>
      <c r="C422" s="84" t="s">
        <v>585</v>
      </c>
      <c r="D422" s="84" t="s">
        <v>79</v>
      </c>
      <c r="E422" s="85" t="s">
        <v>586</v>
      </c>
      <c r="F422" s="86" t="s">
        <v>587</v>
      </c>
      <c r="G422" s="87" t="s">
        <v>207</v>
      </c>
      <c r="H422" s="88">
        <v>160.30000000000001</v>
      </c>
      <c r="I422" s="89"/>
      <c r="J422" s="88">
        <f>ROUND(I422*H422,2)</f>
        <v>0</v>
      </c>
      <c r="K422" s="86" t="s">
        <v>83</v>
      </c>
      <c r="L422" s="19"/>
      <c r="M422" s="90" t="s">
        <v>0</v>
      </c>
      <c r="N422" s="91" t="s">
        <v>26</v>
      </c>
      <c r="P422" s="92">
        <f>O422*H422</f>
        <v>0</v>
      </c>
      <c r="Q422" s="92">
        <v>0</v>
      </c>
      <c r="R422" s="92">
        <f>Q422*H422</f>
        <v>0</v>
      </c>
      <c r="S422" s="92">
        <v>0</v>
      </c>
      <c r="T422" s="93">
        <f>S422*H422</f>
        <v>0</v>
      </c>
      <c r="AR422" s="94" t="s">
        <v>84</v>
      </c>
      <c r="AT422" s="94" t="s">
        <v>79</v>
      </c>
      <c r="AU422" s="94" t="s">
        <v>47</v>
      </c>
      <c r="AY422" s="10" t="s">
        <v>77</v>
      </c>
      <c r="BE422" s="95">
        <f>IF(N422="základní",J422,0)</f>
        <v>0</v>
      </c>
      <c r="BF422" s="95">
        <f>IF(N422="snížená",J422,0)</f>
        <v>0</v>
      </c>
      <c r="BG422" s="95">
        <f>IF(N422="zákl. přenesená",J422,0)</f>
        <v>0</v>
      </c>
      <c r="BH422" s="95">
        <f>IF(N422="sníž. přenesená",J422,0)</f>
        <v>0</v>
      </c>
      <c r="BI422" s="95">
        <f>IF(N422="nulová",J422,0)</f>
        <v>0</v>
      </c>
      <c r="BJ422" s="10" t="s">
        <v>45</v>
      </c>
      <c r="BK422" s="95">
        <f>ROUND(I422*H422,2)</f>
        <v>0</v>
      </c>
      <c r="BL422" s="10" t="s">
        <v>84</v>
      </c>
      <c r="BM422" s="94" t="s">
        <v>588</v>
      </c>
    </row>
    <row r="423" spans="2:65" s="1" customFormat="1" ht="38.4" x14ac:dyDescent="0.2">
      <c r="B423" s="19"/>
      <c r="D423" s="96" t="s">
        <v>86</v>
      </c>
      <c r="F423" s="97" t="s">
        <v>589</v>
      </c>
      <c r="I423" s="98"/>
      <c r="L423" s="19"/>
      <c r="M423" s="129"/>
      <c r="N423" s="130"/>
      <c r="O423" s="130"/>
      <c r="P423" s="130"/>
      <c r="Q423" s="130"/>
      <c r="R423" s="130"/>
      <c r="S423" s="130"/>
      <c r="T423" s="131"/>
      <c r="AT423" s="10" t="s">
        <v>86</v>
      </c>
      <c r="AU423" s="10" t="s">
        <v>47</v>
      </c>
    </row>
    <row r="424" spans="2:65" s="1" customFormat="1" ht="6.9" customHeight="1" x14ac:dyDescent="0.2">
      <c r="B424" s="25"/>
      <c r="C424" s="26"/>
      <c r="D424" s="26"/>
      <c r="E424" s="26"/>
      <c r="F424" s="26"/>
      <c r="G424" s="26"/>
      <c r="H424" s="26"/>
      <c r="I424" s="26"/>
      <c r="J424" s="26"/>
      <c r="K424" s="26"/>
      <c r="L424" s="19"/>
    </row>
  </sheetData>
  <sheetProtection algorithmName="SHA-512" hashValue="VBkO/RJsHT8rLCN/sh30G9LPBvEC2SNM2UMeA3rsHBzvuMxatE4ATMXEYxjTTOxde1g9LQo7qu62y+agNn4+PA==" saltValue="SFGL82NYChdxEN/ObTEo016hRjP5sVeDN/xOrsI9GFVc9BIPIOcQF4HKzrYvXfkOLdFgibtkDYumTsiHw9t0tw==" spinCount="100000" sheet="1" objects="1" scenarios="1" formatColumns="0" formatRows="0" autoFilter="0"/>
  <autoFilter ref="C120:K423" xr:uid="{00000000-0009-0000-0000-000001000000}"/>
  <mergeCells count="9">
    <mergeCell ref="E87:H87"/>
    <mergeCell ref="E111:H111"/>
    <mergeCell ref="E113:H113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BM302"/>
  <sheetViews>
    <sheetView showGridLines="0" tabSelected="1" workbookViewId="0"/>
  </sheetViews>
  <sheetFormatPr defaultRowHeight="14.4" x14ac:dyDescent="0.2"/>
  <cols>
    <col min="1" max="1" width="8.28515625" customWidth="1"/>
    <col min="2" max="2" width="1.140625" customWidth="1"/>
    <col min="3" max="3" width="4.140625" customWidth="1"/>
    <col min="4" max="4" width="4.28515625" customWidth="1"/>
    <col min="5" max="5" width="17.140625" customWidth="1"/>
    <col min="6" max="6" width="50.85546875" customWidth="1"/>
    <col min="7" max="7" width="7.42578125" customWidth="1"/>
    <col min="8" max="8" width="14" customWidth="1"/>
    <col min="9" max="9" width="15.85546875" customWidth="1"/>
    <col min="10" max="11" width="22.28515625" customWidth="1"/>
    <col min="12" max="12" width="9.28515625" customWidth="1"/>
    <col min="13" max="13" width="10.85546875" hidden="1" customWidth="1"/>
    <col min="14" max="14" width="9.28515625" hidden="1"/>
    <col min="15" max="20" width="14.140625" hidden="1" customWidth="1"/>
    <col min="21" max="21" width="16.28515625" hidden="1" customWidth="1"/>
    <col min="22" max="22" width="12.28515625" customWidth="1"/>
    <col min="23" max="23" width="16.28515625" customWidth="1"/>
    <col min="24" max="24" width="12.28515625" customWidth="1"/>
    <col min="25" max="25" width="15" customWidth="1"/>
    <col min="26" max="26" width="11" customWidth="1"/>
    <col min="27" max="27" width="15" customWidth="1"/>
    <col min="28" max="28" width="16.28515625" customWidth="1"/>
    <col min="29" max="29" width="11" customWidth="1"/>
    <col min="30" max="30" width="15" customWidth="1"/>
    <col min="31" max="31" width="16.28515625" customWidth="1"/>
    <col min="44" max="65" width="9.28515625" hidden="1"/>
  </cols>
  <sheetData>
    <row r="2" spans="2:46" ht="36.9" customHeight="1" x14ac:dyDescent="0.2"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AT2" s="10" t="s">
        <v>48</v>
      </c>
    </row>
    <row r="3" spans="2:46" ht="6.9" customHeight="1" x14ac:dyDescent="0.2"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AT3" s="10" t="s">
        <v>47</v>
      </c>
    </row>
    <row r="4" spans="2:46" ht="24.9" customHeight="1" x14ac:dyDescent="0.2">
      <c r="B4" s="13"/>
      <c r="D4" s="14" t="s">
        <v>49</v>
      </c>
      <c r="L4" s="13"/>
      <c r="M4" s="40" t="s">
        <v>4</v>
      </c>
      <c r="AT4" s="10" t="s">
        <v>1</v>
      </c>
    </row>
    <row r="5" spans="2:46" ht="6.9" customHeight="1" x14ac:dyDescent="0.2">
      <c r="B5" s="13"/>
      <c r="L5" s="13"/>
    </row>
    <row r="6" spans="2:46" ht="12" customHeight="1" x14ac:dyDescent="0.2">
      <c r="B6" s="13"/>
      <c r="D6" s="16" t="s">
        <v>5</v>
      </c>
      <c r="L6" s="13"/>
    </row>
    <row r="7" spans="2:46" ht="16.5" customHeight="1" x14ac:dyDescent="0.2">
      <c r="B7" s="13"/>
      <c r="E7" s="136" t="e">
        <f>#REF!</f>
        <v>#REF!</v>
      </c>
      <c r="F7" s="137"/>
      <c r="G7" s="137"/>
      <c r="H7" s="137"/>
      <c r="L7" s="13"/>
    </row>
    <row r="8" spans="2:46" s="1" customFormat="1" ht="12" customHeight="1" x14ac:dyDescent="0.2">
      <c r="B8" s="19"/>
      <c r="D8" s="16" t="s">
        <v>50</v>
      </c>
      <c r="L8" s="19"/>
    </row>
    <row r="9" spans="2:46" s="1" customFormat="1" ht="16.5" customHeight="1" x14ac:dyDescent="0.2">
      <c r="B9" s="19"/>
      <c r="E9" s="132" t="s">
        <v>597</v>
      </c>
      <c r="F9" s="138"/>
      <c r="G9" s="138"/>
      <c r="H9" s="138"/>
      <c r="L9" s="19"/>
    </row>
    <row r="10" spans="2:46" s="1" customFormat="1" ht="10.199999999999999" x14ac:dyDescent="0.2">
      <c r="B10" s="19"/>
      <c r="L10" s="19"/>
    </row>
    <row r="11" spans="2:46" s="1" customFormat="1" ht="12" customHeight="1" x14ac:dyDescent="0.2">
      <c r="B11" s="19"/>
      <c r="D11" s="16" t="s">
        <v>6</v>
      </c>
      <c r="F11" s="15" t="s">
        <v>0</v>
      </c>
      <c r="I11" s="16" t="s">
        <v>7</v>
      </c>
      <c r="J11" s="15" t="s">
        <v>0</v>
      </c>
      <c r="L11" s="19"/>
    </row>
    <row r="12" spans="2:46" s="1" customFormat="1" ht="12" customHeight="1" x14ac:dyDescent="0.2">
      <c r="B12" s="19"/>
      <c r="D12" s="16" t="s">
        <v>8</v>
      </c>
      <c r="F12" s="15" t="s">
        <v>13</v>
      </c>
      <c r="I12" s="16" t="s">
        <v>10</v>
      </c>
      <c r="J12" s="29" t="e">
        <f>#REF!</f>
        <v>#REF!</v>
      </c>
      <c r="L12" s="19"/>
    </row>
    <row r="13" spans="2:46" s="1" customFormat="1" ht="10.8" customHeight="1" x14ac:dyDescent="0.2">
      <c r="B13" s="19"/>
      <c r="L13" s="19"/>
    </row>
    <row r="14" spans="2:46" s="1" customFormat="1" ht="12" customHeight="1" x14ac:dyDescent="0.2">
      <c r="B14" s="19"/>
      <c r="D14" s="16" t="s">
        <v>11</v>
      </c>
      <c r="I14" s="16" t="s">
        <v>12</v>
      </c>
      <c r="J14" s="15" t="s">
        <v>0</v>
      </c>
      <c r="L14" s="19"/>
    </row>
    <row r="15" spans="2:46" s="1" customFormat="1" ht="18" customHeight="1" x14ac:dyDescent="0.2">
      <c r="B15" s="19"/>
      <c r="E15" s="15" t="s">
        <v>13</v>
      </c>
      <c r="I15" s="16" t="s">
        <v>14</v>
      </c>
      <c r="J15" s="15" t="s">
        <v>0</v>
      </c>
      <c r="L15" s="19"/>
    </row>
    <row r="16" spans="2:46" s="1" customFormat="1" ht="6.9" customHeight="1" x14ac:dyDescent="0.2">
      <c r="B16" s="19"/>
      <c r="L16" s="19"/>
    </row>
    <row r="17" spans="2:12" s="1" customFormat="1" ht="12" customHeight="1" x14ac:dyDescent="0.2">
      <c r="B17" s="19"/>
      <c r="D17" s="16" t="s">
        <v>15</v>
      </c>
      <c r="I17" s="16" t="s">
        <v>12</v>
      </c>
      <c r="J17" s="17" t="e">
        <f>#REF!</f>
        <v>#REF!</v>
      </c>
      <c r="L17" s="19"/>
    </row>
    <row r="18" spans="2:12" s="1" customFormat="1" ht="18" customHeight="1" x14ac:dyDescent="0.2">
      <c r="B18" s="19"/>
      <c r="E18" s="139" t="e">
        <f>#REF!</f>
        <v>#REF!</v>
      </c>
      <c r="F18" s="133"/>
      <c r="G18" s="133"/>
      <c r="H18" s="133"/>
      <c r="I18" s="16" t="s">
        <v>14</v>
      </c>
      <c r="J18" s="17" t="e">
        <f>#REF!</f>
        <v>#REF!</v>
      </c>
      <c r="L18" s="19"/>
    </row>
    <row r="19" spans="2:12" s="1" customFormat="1" ht="6.9" customHeight="1" x14ac:dyDescent="0.2">
      <c r="B19" s="19"/>
      <c r="L19" s="19"/>
    </row>
    <row r="20" spans="2:12" s="1" customFormat="1" ht="12" customHeight="1" x14ac:dyDescent="0.2">
      <c r="B20" s="19"/>
      <c r="D20" s="16" t="s">
        <v>16</v>
      </c>
      <c r="I20" s="16" t="s">
        <v>12</v>
      </c>
      <c r="J20" s="15" t="s">
        <v>0</v>
      </c>
      <c r="L20" s="19"/>
    </row>
    <row r="21" spans="2:12" s="1" customFormat="1" ht="18" customHeight="1" x14ac:dyDescent="0.2">
      <c r="B21" s="19"/>
      <c r="E21" s="15" t="s">
        <v>17</v>
      </c>
      <c r="I21" s="16" t="s">
        <v>14</v>
      </c>
      <c r="J21" s="15" t="s">
        <v>0</v>
      </c>
      <c r="L21" s="19"/>
    </row>
    <row r="22" spans="2:12" s="1" customFormat="1" ht="6.9" customHeight="1" x14ac:dyDescent="0.2">
      <c r="B22" s="19"/>
      <c r="L22" s="19"/>
    </row>
    <row r="23" spans="2:12" s="1" customFormat="1" ht="12" customHeight="1" x14ac:dyDescent="0.2">
      <c r="B23" s="19"/>
      <c r="D23" s="16" t="s">
        <v>19</v>
      </c>
      <c r="I23" s="16" t="s">
        <v>12</v>
      </c>
      <c r="J23" s="15" t="s">
        <v>0</v>
      </c>
      <c r="L23" s="19"/>
    </row>
    <row r="24" spans="2:12" s="1" customFormat="1" ht="18" customHeight="1" x14ac:dyDescent="0.2">
      <c r="B24" s="19"/>
      <c r="E24" s="15" t="s">
        <v>13</v>
      </c>
      <c r="I24" s="16" t="s">
        <v>14</v>
      </c>
      <c r="J24" s="15" t="s">
        <v>0</v>
      </c>
      <c r="L24" s="19"/>
    </row>
    <row r="25" spans="2:12" s="1" customFormat="1" ht="6.9" customHeight="1" x14ac:dyDescent="0.2">
      <c r="B25" s="19"/>
      <c r="L25" s="19"/>
    </row>
    <row r="26" spans="2:12" s="1" customFormat="1" ht="12" customHeight="1" x14ac:dyDescent="0.2">
      <c r="B26" s="19"/>
      <c r="D26" s="16" t="s">
        <v>20</v>
      </c>
      <c r="L26" s="19"/>
    </row>
    <row r="27" spans="2:12" s="2" customFormat="1" ht="16.5" customHeight="1" x14ac:dyDescent="0.2">
      <c r="B27" s="41"/>
      <c r="E27" s="135" t="s">
        <v>0</v>
      </c>
      <c r="F27" s="135"/>
      <c r="G27" s="135"/>
      <c r="H27" s="135"/>
      <c r="L27" s="41"/>
    </row>
    <row r="28" spans="2:12" s="1" customFormat="1" ht="6.9" customHeight="1" x14ac:dyDescent="0.2">
      <c r="B28" s="19"/>
      <c r="L28" s="19"/>
    </row>
    <row r="29" spans="2:12" s="1" customFormat="1" ht="6.9" customHeight="1" x14ac:dyDescent="0.2">
      <c r="B29" s="19"/>
      <c r="D29" s="30"/>
      <c r="E29" s="30"/>
      <c r="F29" s="30"/>
      <c r="G29" s="30"/>
      <c r="H29" s="30"/>
      <c r="I29" s="30"/>
      <c r="J29" s="30"/>
      <c r="K29" s="30"/>
      <c r="L29" s="19"/>
    </row>
    <row r="30" spans="2:12" s="1" customFormat="1" ht="25.35" customHeight="1" x14ac:dyDescent="0.2">
      <c r="B30" s="19"/>
      <c r="D30" s="42" t="s">
        <v>21</v>
      </c>
      <c r="J30" s="39">
        <f>ROUND(J125, 2)</f>
        <v>0</v>
      </c>
      <c r="L30" s="19"/>
    </row>
    <row r="31" spans="2:12" s="1" customFormat="1" ht="6.9" customHeight="1" x14ac:dyDescent="0.2">
      <c r="B31" s="19"/>
      <c r="D31" s="30"/>
      <c r="E31" s="30"/>
      <c r="F31" s="30"/>
      <c r="G31" s="30"/>
      <c r="H31" s="30"/>
      <c r="I31" s="30"/>
      <c r="J31" s="30"/>
      <c r="K31" s="30"/>
      <c r="L31" s="19"/>
    </row>
    <row r="32" spans="2:12" s="1" customFormat="1" ht="14.4" customHeight="1" x14ac:dyDescent="0.2">
      <c r="B32" s="19"/>
      <c r="F32" s="21" t="s">
        <v>23</v>
      </c>
      <c r="I32" s="21" t="s">
        <v>22</v>
      </c>
      <c r="J32" s="21" t="s">
        <v>24</v>
      </c>
      <c r="L32" s="19"/>
    </row>
    <row r="33" spans="2:12" s="1" customFormat="1" ht="14.4" customHeight="1" x14ac:dyDescent="0.2">
      <c r="B33" s="19"/>
      <c r="D33" s="31" t="s">
        <v>25</v>
      </c>
      <c r="E33" s="16" t="s">
        <v>26</v>
      </c>
      <c r="F33" s="43">
        <f>ROUND((SUM(BE125:BE301)),  2)</f>
        <v>0</v>
      </c>
      <c r="I33" s="44">
        <v>0.21</v>
      </c>
      <c r="J33" s="43">
        <f>ROUND(((SUM(BE125:BE301))*I33),  2)</f>
        <v>0</v>
      </c>
      <c r="L33" s="19"/>
    </row>
    <row r="34" spans="2:12" s="1" customFormat="1" ht="14.4" customHeight="1" x14ac:dyDescent="0.2">
      <c r="B34" s="19"/>
      <c r="E34" s="16" t="s">
        <v>27</v>
      </c>
      <c r="F34" s="43">
        <f>ROUND((SUM(BF125:BF301)),  2)</f>
        <v>0</v>
      </c>
      <c r="I34" s="44">
        <v>0.12</v>
      </c>
      <c r="J34" s="43">
        <f>ROUND(((SUM(BF125:BF301))*I34),  2)</f>
        <v>0</v>
      </c>
      <c r="L34" s="19"/>
    </row>
    <row r="35" spans="2:12" s="1" customFormat="1" ht="14.4" hidden="1" customHeight="1" x14ac:dyDescent="0.2">
      <c r="B35" s="19"/>
      <c r="E35" s="16" t="s">
        <v>28</v>
      </c>
      <c r="F35" s="43">
        <f>ROUND((SUM(BG125:BG301)),  2)</f>
        <v>0</v>
      </c>
      <c r="I35" s="44">
        <v>0.21</v>
      </c>
      <c r="J35" s="43">
        <f>0</f>
        <v>0</v>
      </c>
      <c r="L35" s="19"/>
    </row>
    <row r="36" spans="2:12" s="1" customFormat="1" ht="14.4" hidden="1" customHeight="1" x14ac:dyDescent="0.2">
      <c r="B36" s="19"/>
      <c r="E36" s="16" t="s">
        <v>29</v>
      </c>
      <c r="F36" s="43">
        <f>ROUND((SUM(BH125:BH301)),  2)</f>
        <v>0</v>
      </c>
      <c r="I36" s="44">
        <v>0.12</v>
      </c>
      <c r="J36" s="43">
        <f>0</f>
        <v>0</v>
      </c>
      <c r="L36" s="19"/>
    </row>
    <row r="37" spans="2:12" s="1" customFormat="1" ht="14.4" hidden="1" customHeight="1" x14ac:dyDescent="0.2">
      <c r="B37" s="19"/>
      <c r="E37" s="16" t="s">
        <v>30</v>
      </c>
      <c r="F37" s="43">
        <f>ROUND((SUM(BI125:BI301)),  2)</f>
        <v>0</v>
      </c>
      <c r="I37" s="44">
        <v>0</v>
      </c>
      <c r="J37" s="43">
        <f>0</f>
        <v>0</v>
      </c>
      <c r="L37" s="19"/>
    </row>
    <row r="38" spans="2:12" s="1" customFormat="1" ht="6.9" customHeight="1" x14ac:dyDescent="0.2">
      <c r="B38" s="19"/>
      <c r="L38" s="19"/>
    </row>
    <row r="39" spans="2:12" s="1" customFormat="1" ht="25.35" customHeight="1" x14ac:dyDescent="0.2">
      <c r="B39" s="19"/>
      <c r="C39" s="45"/>
      <c r="D39" s="46" t="s">
        <v>31</v>
      </c>
      <c r="E39" s="33"/>
      <c r="F39" s="33"/>
      <c r="G39" s="47" t="s">
        <v>32</v>
      </c>
      <c r="H39" s="48" t="s">
        <v>33</v>
      </c>
      <c r="I39" s="33"/>
      <c r="J39" s="49">
        <f>SUM(J30:J37)</f>
        <v>0</v>
      </c>
      <c r="K39" s="50"/>
      <c r="L39" s="19"/>
    </row>
    <row r="40" spans="2:12" s="1" customFormat="1" ht="14.4" customHeight="1" x14ac:dyDescent="0.2">
      <c r="B40" s="19"/>
      <c r="L40" s="19"/>
    </row>
    <row r="41" spans="2:12" ht="14.4" customHeight="1" x14ac:dyDescent="0.2">
      <c r="B41" s="13"/>
      <c r="L41" s="13"/>
    </row>
    <row r="42" spans="2:12" ht="14.4" customHeight="1" x14ac:dyDescent="0.2">
      <c r="B42" s="13"/>
      <c r="L42" s="13"/>
    </row>
    <row r="43" spans="2:12" ht="14.4" customHeight="1" x14ac:dyDescent="0.2">
      <c r="B43" s="13"/>
      <c r="L43" s="13"/>
    </row>
    <row r="44" spans="2:12" ht="14.4" customHeight="1" x14ac:dyDescent="0.2">
      <c r="B44" s="13"/>
      <c r="L44" s="13"/>
    </row>
    <row r="45" spans="2:12" ht="14.4" customHeight="1" x14ac:dyDescent="0.2">
      <c r="B45" s="13"/>
      <c r="L45" s="13"/>
    </row>
    <row r="46" spans="2:12" ht="14.4" customHeight="1" x14ac:dyDescent="0.2">
      <c r="B46" s="13"/>
      <c r="L46" s="13"/>
    </row>
    <row r="47" spans="2:12" ht="14.4" customHeight="1" x14ac:dyDescent="0.2">
      <c r="B47" s="13"/>
      <c r="L47" s="13"/>
    </row>
    <row r="48" spans="2:12" ht="14.4" customHeight="1" x14ac:dyDescent="0.2">
      <c r="B48" s="13"/>
      <c r="L48" s="13"/>
    </row>
    <row r="49" spans="2:12" ht="14.4" customHeight="1" x14ac:dyDescent="0.2">
      <c r="B49" s="13"/>
      <c r="L49" s="13"/>
    </row>
    <row r="50" spans="2:12" s="1" customFormat="1" ht="14.4" customHeight="1" x14ac:dyDescent="0.2">
      <c r="B50" s="19"/>
      <c r="D50" s="22" t="s">
        <v>34</v>
      </c>
      <c r="E50" s="23"/>
      <c r="F50" s="23"/>
      <c r="G50" s="22" t="s">
        <v>35</v>
      </c>
      <c r="H50" s="23"/>
      <c r="I50" s="23"/>
      <c r="J50" s="23"/>
      <c r="K50" s="23"/>
      <c r="L50" s="19"/>
    </row>
    <row r="51" spans="2:12" ht="10.199999999999999" x14ac:dyDescent="0.2">
      <c r="B51" s="13"/>
      <c r="L51" s="13"/>
    </row>
    <row r="52" spans="2:12" ht="10.199999999999999" x14ac:dyDescent="0.2">
      <c r="B52" s="13"/>
      <c r="L52" s="13"/>
    </row>
    <row r="53" spans="2:12" ht="10.199999999999999" x14ac:dyDescent="0.2">
      <c r="B53" s="13"/>
      <c r="L53" s="13"/>
    </row>
    <row r="54" spans="2:12" ht="10.199999999999999" x14ac:dyDescent="0.2">
      <c r="B54" s="13"/>
      <c r="L54" s="13"/>
    </row>
    <row r="55" spans="2:12" ht="10.199999999999999" x14ac:dyDescent="0.2">
      <c r="B55" s="13"/>
      <c r="L55" s="13"/>
    </row>
    <row r="56" spans="2:12" ht="10.199999999999999" x14ac:dyDescent="0.2">
      <c r="B56" s="13"/>
      <c r="L56" s="13"/>
    </row>
    <row r="57" spans="2:12" ht="10.199999999999999" x14ac:dyDescent="0.2">
      <c r="B57" s="13"/>
      <c r="L57" s="13"/>
    </row>
    <row r="58" spans="2:12" ht="10.199999999999999" x14ac:dyDescent="0.2">
      <c r="B58" s="13"/>
      <c r="L58" s="13"/>
    </row>
    <row r="59" spans="2:12" ht="10.199999999999999" x14ac:dyDescent="0.2">
      <c r="B59" s="13"/>
      <c r="L59" s="13"/>
    </row>
    <row r="60" spans="2:12" ht="10.199999999999999" x14ac:dyDescent="0.2">
      <c r="B60" s="13"/>
      <c r="L60" s="13"/>
    </row>
    <row r="61" spans="2:12" s="1" customFormat="1" ht="13.2" x14ac:dyDescent="0.2">
      <c r="B61" s="19"/>
      <c r="D61" s="24" t="s">
        <v>36</v>
      </c>
      <c r="E61" s="20"/>
      <c r="F61" s="51" t="s">
        <v>37</v>
      </c>
      <c r="G61" s="24" t="s">
        <v>36</v>
      </c>
      <c r="H61" s="20"/>
      <c r="I61" s="20"/>
      <c r="J61" s="52" t="s">
        <v>37</v>
      </c>
      <c r="K61" s="20"/>
      <c r="L61" s="19"/>
    </row>
    <row r="62" spans="2:12" ht="10.199999999999999" x14ac:dyDescent="0.2">
      <c r="B62" s="13"/>
      <c r="L62" s="13"/>
    </row>
    <row r="63" spans="2:12" ht="10.199999999999999" x14ac:dyDescent="0.2">
      <c r="B63" s="13"/>
      <c r="L63" s="13"/>
    </row>
    <row r="64" spans="2:12" ht="10.199999999999999" x14ac:dyDescent="0.2">
      <c r="B64" s="13"/>
      <c r="L64" s="13"/>
    </row>
    <row r="65" spans="2:12" s="1" customFormat="1" ht="13.2" x14ac:dyDescent="0.2">
      <c r="B65" s="19"/>
      <c r="D65" s="22" t="s">
        <v>38</v>
      </c>
      <c r="E65" s="23"/>
      <c r="F65" s="23"/>
      <c r="G65" s="22" t="s">
        <v>39</v>
      </c>
      <c r="H65" s="23"/>
      <c r="I65" s="23"/>
      <c r="J65" s="23"/>
      <c r="K65" s="23"/>
      <c r="L65" s="19"/>
    </row>
    <row r="66" spans="2:12" ht="10.199999999999999" x14ac:dyDescent="0.2">
      <c r="B66" s="13"/>
      <c r="L66" s="13"/>
    </row>
    <row r="67" spans="2:12" ht="10.199999999999999" x14ac:dyDescent="0.2">
      <c r="B67" s="13"/>
      <c r="L67" s="13"/>
    </row>
    <row r="68" spans="2:12" ht="10.199999999999999" x14ac:dyDescent="0.2">
      <c r="B68" s="13"/>
      <c r="L68" s="13"/>
    </row>
    <row r="69" spans="2:12" ht="10.199999999999999" x14ac:dyDescent="0.2">
      <c r="B69" s="13"/>
      <c r="L69" s="13"/>
    </row>
    <row r="70" spans="2:12" ht="10.199999999999999" x14ac:dyDescent="0.2">
      <c r="B70" s="13"/>
      <c r="L70" s="13"/>
    </row>
    <row r="71" spans="2:12" ht="10.199999999999999" x14ac:dyDescent="0.2">
      <c r="B71" s="13"/>
      <c r="L71" s="13"/>
    </row>
    <row r="72" spans="2:12" ht="10.199999999999999" x14ac:dyDescent="0.2">
      <c r="B72" s="13"/>
      <c r="L72" s="13"/>
    </row>
    <row r="73" spans="2:12" ht="10.199999999999999" x14ac:dyDescent="0.2">
      <c r="B73" s="13"/>
      <c r="L73" s="13"/>
    </row>
    <row r="74" spans="2:12" ht="10.199999999999999" x14ac:dyDescent="0.2">
      <c r="B74" s="13"/>
      <c r="L74" s="13"/>
    </row>
    <row r="75" spans="2:12" ht="10.199999999999999" x14ac:dyDescent="0.2">
      <c r="B75" s="13"/>
      <c r="L75" s="13"/>
    </row>
    <row r="76" spans="2:12" s="1" customFormat="1" ht="13.2" x14ac:dyDescent="0.2">
      <c r="B76" s="19"/>
      <c r="D76" s="24" t="s">
        <v>36</v>
      </c>
      <c r="E76" s="20"/>
      <c r="F76" s="51" t="s">
        <v>37</v>
      </c>
      <c r="G76" s="24" t="s">
        <v>36</v>
      </c>
      <c r="H76" s="20"/>
      <c r="I76" s="20"/>
      <c r="J76" s="52" t="s">
        <v>37</v>
      </c>
      <c r="K76" s="20"/>
      <c r="L76" s="19"/>
    </row>
    <row r="77" spans="2:12" s="1" customFormat="1" ht="14.4" customHeight="1" x14ac:dyDescent="0.2"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19"/>
    </row>
    <row r="81" spans="2:47" s="1" customFormat="1" ht="6.9" customHeight="1" x14ac:dyDescent="0.2">
      <c r="B81" s="27"/>
      <c r="C81" s="28"/>
      <c r="D81" s="28"/>
      <c r="E81" s="28"/>
      <c r="F81" s="28"/>
      <c r="G81" s="28"/>
      <c r="H81" s="28"/>
      <c r="I81" s="28"/>
      <c r="J81" s="28"/>
      <c r="K81" s="28"/>
      <c r="L81" s="19"/>
    </row>
    <row r="82" spans="2:47" s="1" customFormat="1" ht="24.9" customHeight="1" x14ac:dyDescent="0.2">
      <c r="B82" s="19"/>
      <c r="C82" s="14" t="s">
        <v>52</v>
      </c>
      <c r="L82" s="19"/>
    </row>
    <row r="83" spans="2:47" s="1" customFormat="1" ht="6.9" customHeight="1" x14ac:dyDescent="0.2">
      <c r="B83" s="19"/>
      <c r="L83" s="19"/>
    </row>
    <row r="84" spans="2:47" s="1" customFormat="1" ht="12" customHeight="1" x14ac:dyDescent="0.2">
      <c r="B84" s="19"/>
      <c r="C84" s="16" t="s">
        <v>5</v>
      </c>
      <c r="L84" s="19"/>
    </row>
    <row r="85" spans="2:47" s="1" customFormat="1" ht="16.5" customHeight="1" x14ac:dyDescent="0.2">
      <c r="B85" s="19"/>
      <c r="E85" s="136" t="e">
        <f>E7</f>
        <v>#REF!</v>
      </c>
      <c r="F85" s="137"/>
      <c r="G85" s="137"/>
      <c r="H85" s="137"/>
      <c r="L85" s="19"/>
    </row>
    <row r="86" spans="2:47" s="1" customFormat="1" ht="12" customHeight="1" x14ac:dyDescent="0.2">
      <c r="B86" s="19"/>
      <c r="C86" s="16" t="s">
        <v>50</v>
      </c>
      <c r="L86" s="19"/>
    </row>
    <row r="87" spans="2:47" s="1" customFormat="1" ht="16.5" customHeight="1" x14ac:dyDescent="0.2">
      <c r="B87" s="19"/>
      <c r="E87" s="132" t="str">
        <f>E9</f>
        <v>02 - Komunikace a chodník</v>
      </c>
      <c r="F87" s="138"/>
      <c r="G87" s="138"/>
      <c r="H87" s="138"/>
      <c r="L87" s="19"/>
    </row>
    <row r="88" spans="2:47" s="1" customFormat="1" ht="6.9" customHeight="1" x14ac:dyDescent="0.2">
      <c r="B88" s="19"/>
      <c r="L88" s="19"/>
    </row>
    <row r="89" spans="2:47" s="1" customFormat="1" ht="12" customHeight="1" x14ac:dyDescent="0.2">
      <c r="B89" s="19"/>
      <c r="C89" s="16" t="s">
        <v>8</v>
      </c>
      <c r="F89" s="15" t="str">
        <f>F12</f>
        <v xml:space="preserve"> </v>
      </c>
      <c r="I89" s="16" t="s">
        <v>10</v>
      </c>
      <c r="J89" s="29" t="e">
        <f>IF(J12="","",J12)</f>
        <v>#REF!</v>
      </c>
      <c r="L89" s="19"/>
    </row>
    <row r="90" spans="2:47" s="1" customFormat="1" ht="6.9" customHeight="1" x14ac:dyDescent="0.2">
      <c r="B90" s="19"/>
      <c r="L90" s="19"/>
    </row>
    <row r="91" spans="2:47" s="1" customFormat="1" ht="15.15" customHeight="1" x14ac:dyDescent="0.2">
      <c r="B91" s="19"/>
      <c r="C91" s="16" t="s">
        <v>11</v>
      </c>
      <c r="F91" s="15" t="str">
        <f>E15</f>
        <v xml:space="preserve"> </v>
      </c>
      <c r="I91" s="16" t="s">
        <v>16</v>
      </c>
      <c r="J91" s="18" t="str">
        <f>E21</f>
        <v>CreoPlan s.r.o.</v>
      </c>
      <c r="L91" s="19"/>
    </row>
    <row r="92" spans="2:47" s="1" customFormat="1" ht="15.15" customHeight="1" x14ac:dyDescent="0.2">
      <c r="B92" s="19"/>
      <c r="C92" s="16" t="s">
        <v>15</v>
      </c>
      <c r="F92" s="15" t="e">
        <f>IF(E18="","",E18)</f>
        <v>#REF!</v>
      </c>
      <c r="I92" s="16" t="s">
        <v>19</v>
      </c>
      <c r="J92" s="18" t="str">
        <f>E24</f>
        <v xml:space="preserve"> </v>
      </c>
      <c r="L92" s="19"/>
    </row>
    <row r="93" spans="2:47" s="1" customFormat="1" ht="10.35" customHeight="1" x14ac:dyDescent="0.2">
      <c r="B93" s="19"/>
      <c r="L93" s="19"/>
    </row>
    <row r="94" spans="2:47" s="1" customFormat="1" ht="29.25" customHeight="1" x14ac:dyDescent="0.2">
      <c r="B94" s="19"/>
      <c r="C94" s="53" t="s">
        <v>53</v>
      </c>
      <c r="D94" s="45"/>
      <c r="E94" s="45"/>
      <c r="F94" s="45"/>
      <c r="G94" s="45"/>
      <c r="H94" s="45"/>
      <c r="I94" s="45"/>
      <c r="J94" s="54" t="s">
        <v>54</v>
      </c>
      <c r="K94" s="45"/>
      <c r="L94" s="19"/>
    </row>
    <row r="95" spans="2:47" s="1" customFormat="1" ht="10.35" customHeight="1" x14ac:dyDescent="0.2">
      <c r="B95" s="19"/>
      <c r="L95" s="19"/>
    </row>
    <row r="96" spans="2:47" s="1" customFormat="1" ht="22.8" customHeight="1" x14ac:dyDescent="0.2">
      <c r="B96" s="19"/>
      <c r="C96" s="55" t="s">
        <v>55</v>
      </c>
      <c r="J96" s="39">
        <f>J125</f>
        <v>0</v>
      </c>
      <c r="L96" s="19"/>
      <c r="AU96" s="10" t="s">
        <v>56</v>
      </c>
    </row>
    <row r="97" spans="2:12" s="3" customFormat="1" ht="24.9" customHeight="1" x14ac:dyDescent="0.2">
      <c r="B97" s="56"/>
      <c r="D97" s="57" t="s">
        <v>57</v>
      </c>
      <c r="E97" s="58"/>
      <c r="F97" s="58"/>
      <c r="G97" s="58"/>
      <c r="H97" s="58"/>
      <c r="I97" s="58"/>
      <c r="J97" s="59">
        <f>J126</f>
        <v>0</v>
      </c>
      <c r="L97" s="56"/>
    </row>
    <row r="98" spans="2:12" s="4" customFormat="1" ht="19.95" customHeight="1" x14ac:dyDescent="0.2">
      <c r="B98" s="60"/>
      <c r="D98" s="61" t="s">
        <v>58</v>
      </c>
      <c r="E98" s="62"/>
      <c r="F98" s="62"/>
      <c r="G98" s="62"/>
      <c r="H98" s="62"/>
      <c r="I98" s="62"/>
      <c r="J98" s="63">
        <f>J127</f>
        <v>0</v>
      </c>
      <c r="L98" s="60"/>
    </row>
    <row r="99" spans="2:12" s="4" customFormat="1" ht="19.95" customHeight="1" x14ac:dyDescent="0.2">
      <c r="B99" s="60"/>
      <c r="D99" s="61" t="s">
        <v>59</v>
      </c>
      <c r="E99" s="62"/>
      <c r="F99" s="62"/>
      <c r="G99" s="62"/>
      <c r="H99" s="62"/>
      <c r="I99" s="62"/>
      <c r="J99" s="63">
        <f>J160</f>
        <v>0</v>
      </c>
      <c r="L99" s="60"/>
    </row>
    <row r="100" spans="2:12" s="4" customFormat="1" ht="19.95" customHeight="1" x14ac:dyDescent="0.2">
      <c r="B100" s="60"/>
      <c r="D100" s="61" t="s">
        <v>598</v>
      </c>
      <c r="E100" s="62"/>
      <c r="F100" s="62"/>
      <c r="G100" s="62"/>
      <c r="H100" s="62"/>
      <c r="I100" s="62"/>
      <c r="J100" s="63">
        <f>J172</f>
        <v>0</v>
      </c>
      <c r="L100" s="60"/>
    </row>
    <row r="101" spans="2:12" s="4" customFormat="1" ht="19.95" customHeight="1" x14ac:dyDescent="0.2">
      <c r="B101" s="60"/>
      <c r="D101" s="61" t="s">
        <v>599</v>
      </c>
      <c r="E101" s="62"/>
      <c r="F101" s="62"/>
      <c r="G101" s="62"/>
      <c r="H101" s="62"/>
      <c r="I101" s="62"/>
      <c r="J101" s="63">
        <f>J233</f>
        <v>0</v>
      </c>
      <c r="L101" s="60"/>
    </row>
    <row r="102" spans="2:12" s="4" customFormat="1" ht="19.95" customHeight="1" x14ac:dyDescent="0.2">
      <c r="B102" s="60"/>
      <c r="D102" s="61" t="s">
        <v>590</v>
      </c>
      <c r="E102" s="62"/>
      <c r="F102" s="62"/>
      <c r="G102" s="62"/>
      <c r="H102" s="62"/>
      <c r="I102" s="62"/>
      <c r="J102" s="63">
        <f>J240</f>
        <v>0</v>
      </c>
      <c r="L102" s="60"/>
    </row>
    <row r="103" spans="2:12" s="4" customFormat="1" ht="19.95" customHeight="1" x14ac:dyDescent="0.2">
      <c r="B103" s="60"/>
      <c r="D103" s="61" t="s">
        <v>591</v>
      </c>
      <c r="E103" s="62"/>
      <c r="F103" s="62"/>
      <c r="G103" s="62"/>
      <c r="H103" s="62"/>
      <c r="I103" s="62"/>
      <c r="J103" s="63">
        <f>J245</f>
        <v>0</v>
      </c>
      <c r="L103" s="60"/>
    </row>
    <row r="104" spans="2:12" s="4" customFormat="1" ht="19.95" customHeight="1" x14ac:dyDescent="0.2">
      <c r="B104" s="60"/>
      <c r="D104" s="61" t="s">
        <v>600</v>
      </c>
      <c r="E104" s="62"/>
      <c r="F104" s="62"/>
      <c r="G104" s="62"/>
      <c r="H104" s="62"/>
      <c r="I104" s="62"/>
      <c r="J104" s="63">
        <f>J285</f>
        <v>0</v>
      </c>
      <c r="L104" s="60"/>
    </row>
    <row r="105" spans="2:12" s="4" customFormat="1" ht="19.95" customHeight="1" x14ac:dyDescent="0.2">
      <c r="B105" s="60"/>
      <c r="D105" s="61" t="s">
        <v>61</v>
      </c>
      <c r="E105" s="62"/>
      <c r="F105" s="62"/>
      <c r="G105" s="62"/>
      <c r="H105" s="62"/>
      <c r="I105" s="62"/>
      <c r="J105" s="63">
        <f>J299</f>
        <v>0</v>
      </c>
      <c r="L105" s="60"/>
    </row>
    <row r="106" spans="2:12" s="1" customFormat="1" ht="21.75" customHeight="1" x14ac:dyDescent="0.2">
      <c r="B106" s="19"/>
      <c r="L106" s="19"/>
    </row>
    <row r="107" spans="2:12" s="1" customFormat="1" ht="6.9" customHeight="1" x14ac:dyDescent="0.2"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19"/>
    </row>
    <row r="111" spans="2:12" s="1" customFormat="1" ht="6.9" customHeight="1" x14ac:dyDescent="0.2">
      <c r="B111" s="27"/>
      <c r="C111" s="28"/>
      <c r="D111" s="28"/>
      <c r="E111" s="28"/>
      <c r="F111" s="28"/>
      <c r="G111" s="28"/>
      <c r="H111" s="28"/>
      <c r="I111" s="28"/>
      <c r="J111" s="28"/>
      <c r="K111" s="28"/>
      <c r="L111" s="19"/>
    </row>
    <row r="112" spans="2:12" s="1" customFormat="1" ht="24.9" customHeight="1" x14ac:dyDescent="0.2">
      <c r="B112" s="19"/>
      <c r="C112" s="14" t="s">
        <v>62</v>
      </c>
      <c r="L112" s="19"/>
    </row>
    <row r="113" spans="2:65" s="1" customFormat="1" ht="6.9" customHeight="1" x14ac:dyDescent="0.2">
      <c r="B113" s="19"/>
      <c r="L113" s="19"/>
    </row>
    <row r="114" spans="2:65" s="1" customFormat="1" ht="12" customHeight="1" x14ac:dyDescent="0.2">
      <c r="B114" s="19"/>
      <c r="C114" s="16" t="s">
        <v>5</v>
      </c>
      <c r="L114" s="19"/>
    </row>
    <row r="115" spans="2:65" s="1" customFormat="1" ht="16.5" customHeight="1" x14ac:dyDescent="0.2">
      <c r="B115" s="19"/>
      <c r="E115" s="136" t="e">
        <f>E7</f>
        <v>#REF!</v>
      </c>
      <c r="F115" s="137"/>
      <c r="G115" s="137"/>
      <c r="H115" s="137"/>
      <c r="L115" s="19"/>
    </row>
    <row r="116" spans="2:65" s="1" customFormat="1" ht="12" customHeight="1" x14ac:dyDescent="0.2">
      <c r="B116" s="19"/>
      <c r="C116" s="16" t="s">
        <v>50</v>
      </c>
      <c r="L116" s="19"/>
    </row>
    <row r="117" spans="2:65" s="1" customFormat="1" ht="16.5" customHeight="1" x14ac:dyDescent="0.2">
      <c r="B117" s="19"/>
      <c r="E117" s="132" t="str">
        <f>E9</f>
        <v>02 - Komunikace a chodník</v>
      </c>
      <c r="F117" s="138"/>
      <c r="G117" s="138"/>
      <c r="H117" s="138"/>
      <c r="L117" s="19"/>
    </row>
    <row r="118" spans="2:65" s="1" customFormat="1" ht="6.9" customHeight="1" x14ac:dyDescent="0.2">
      <c r="B118" s="19"/>
      <c r="L118" s="19"/>
    </row>
    <row r="119" spans="2:65" s="1" customFormat="1" ht="12" customHeight="1" x14ac:dyDescent="0.2">
      <c r="B119" s="19"/>
      <c r="C119" s="16" t="s">
        <v>8</v>
      </c>
      <c r="F119" s="15" t="str">
        <f>F12</f>
        <v xml:space="preserve"> </v>
      </c>
      <c r="I119" s="16" t="s">
        <v>10</v>
      </c>
      <c r="J119" s="29" t="e">
        <f>IF(J12="","",J12)</f>
        <v>#REF!</v>
      </c>
      <c r="L119" s="19"/>
    </row>
    <row r="120" spans="2:65" s="1" customFormat="1" ht="6.9" customHeight="1" x14ac:dyDescent="0.2">
      <c r="B120" s="19"/>
      <c r="L120" s="19"/>
    </row>
    <row r="121" spans="2:65" s="1" customFormat="1" ht="15.15" customHeight="1" x14ac:dyDescent="0.2">
      <c r="B121" s="19"/>
      <c r="C121" s="16" t="s">
        <v>11</v>
      </c>
      <c r="F121" s="15" t="str">
        <f>E15</f>
        <v xml:space="preserve"> </v>
      </c>
      <c r="I121" s="16" t="s">
        <v>16</v>
      </c>
      <c r="J121" s="18" t="str">
        <f>E21</f>
        <v>CreoPlan s.r.o.</v>
      </c>
      <c r="L121" s="19"/>
    </row>
    <row r="122" spans="2:65" s="1" customFormat="1" ht="15.15" customHeight="1" x14ac:dyDescent="0.2">
      <c r="B122" s="19"/>
      <c r="C122" s="16" t="s">
        <v>15</v>
      </c>
      <c r="F122" s="15" t="e">
        <f>IF(E18="","",E18)</f>
        <v>#REF!</v>
      </c>
      <c r="I122" s="16" t="s">
        <v>19</v>
      </c>
      <c r="J122" s="18" t="str">
        <f>E24</f>
        <v xml:space="preserve"> </v>
      </c>
      <c r="L122" s="19"/>
    </row>
    <row r="123" spans="2:65" s="1" customFormat="1" ht="10.35" customHeight="1" x14ac:dyDescent="0.2">
      <c r="B123" s="19"/>
      <c r="L123" s="19"/>
    </row>
    <row r="124" spans="2:65" s="5" customFormat="1" ht="29.25" customHeight="1" x14ac:dyDescent="0.2">
      <c r="B124" s="64"/>
      <c r="C124" s="65" t="s">
        <v>63</v>
      </c>
      <c r="D124" s="66" t="s">
        <v>42</v>
      </c>
      <c r="E124" s="66" t="s">
        <v>40</v>
      </c>
      <c r="F124" s="66" t="s">
        <v>41</v>
      </c>
      <c r="G124" s="66" t="s">
        <v>64</v>
      </c>
      <c r="H124" s="66" t="s">
        <v>65</v>
      </c>
      <c r="I124" s="66" t="s">
        <v>66</v>
      </c>
      <c r="J124" s="66" t="s">
        <v>54</v>
      </c>
      <c r="K124" s="67" t="s">
        <v>67</v>
      </c>
      <c r="L124" s="64"/>
      <c r="M124" s="34" t="s">
        <v>0</v>
      </c>
      <c r="N124" s="35" t="s">
        <v>25</v>
      </c>
      <c r="O124" s="35" t="s">
        <v>68</v>
      </c>
      <c r="P124" s="35" t="s">
        <v>69</v>
      </c>
      <c r="Q124" s="35" t="s">
        <v>70</v>
      </c>
      <c r="R124" s="35" t="s">
        <v>71</v>
      </c>
      <c r="S124" s="35" t="s">
        <v>72</v>
      </c>
      <c r="T124" s="36" t="s">
        <v>73</v>
      </c>
    </row>
    <row r="125" spans="2:65" s="1" customFormat="1" ht="22.8" customHeight="1" x14ac:dyDescent="0.3">
      <c r="B125" s="19"/>
      <c r="C125" s="38" t="s">
        <v>74</v>
      </c>
      <c r="J125" s="68">
        <f>BK125</f>
        <v>0</v>
      </c>
      <c r="L125" s="19"/>
      <c r="M125" s="37"/>
      <c r="N125" s="30"/>
      <c r="O125" s="30"/>
      <c r="P125" s="69">
        <f>P126</f>
        <v>0</v>
      </c>
      <c r="Q125" s="30"/>
      <c r="R125" s="69">
        <f>R126</f>
        <v>288.669047385</v>
      </c>
      <c r="S125" s="30"/>
      <c r="T125" s="70">
        <f>T126</f>
        <v>28.75</v>
      </c>
      <c r="AT125" s="10" t="s">
        <v>43</v>
      </c>
      <c r="AU125" s="10" t="s">
        <v>56</v>
      </c>
      <c r="BK125" s="71">
        <f>BK126</f>
        <v>0</v>
      </c>
    </row>
    <row r="126" spans="2:65" s="6" customFormat="1" ht="25.95" customHeight="1" x14ac:dyDescent="0.25">
      <c r="B126" s="72"/>
      <c r="D126" s="73" t="s">
        <v>43</v>
      </c>
      <c r="E126" s="74" t="s">
        <v>75</v>
      </c>
      <c r="F126" s="74" t="s">
        <v>76</v>
      </c>
      <c r="I126" s="75"/>
      <c r="J126" s="76">
        <f>BK126</f>
        <v>0</v>
      </c>
      <c r="L126" s="72"/>
      <c r="M126" s="77"/>
      <c r="P126" s="78">
        <f>P127+P160+P172+P233+P240+P245+P285+P299</f>
        <v>0</v>
      </c>
      <c r="R126" s="78">
        <f>R127+R160+R172+R233+R240+R245+R285+R299</f>
        <v>288.669047385</v>
      </c>
      <c r="T126" s="79">
        <f>T127+T160+T172+T233+T240+T245+T285+T299</f>
        <v>28.75</v>
      </c>
      <c r="AR126" s="73" t="s">
        <v>45</v>
      </c>
      <c r="AT126" s="80" t="s">
        <v>43</v>
      </c>
      <c r="AU126" s="80" t="s">
        <v>44</v>
      </c>
      <c r="AY126" s="73" t="s">
        <v>77</v>
      </c>
      <c r="BK126" s="81">
        <f>BK127+BK160+BK172+BK233+BK240+BK245+BK285+BK299</f>
        <v>0</v>
      </c>
    </row>
    <row r="127" spans="2:65" s="6" customFormat="1" ht="22.8" customHeight="1" x14ac:dyDescent="0.25">
      <c r="B127" s="72"/>
      <c r="D127" s="73" t="s">
        <v>43</v>
      </c>
      <c r="E127" s="82" t="s">
        <v>45</v>
      </c>
      <c r="F127" s="82" t="s">
        <v>78</v>
      </c>
      <c r="I127" s="75"/>
      <c r="J127" s="83">
        <f>BK127</f>
        <v>0</v>
      </c>
      <c r="L127" s="72"/>
      <c r="M127" s="77"/>
      <c r="P127" s="78">
        <f>SUM(P128:P159)</f>
        <v>0</v>
      </c>
      <c r="R127" s="78">
        <f>SUM(R128:R159)</f>
        <v>9.4999999999999998E-3</v>
      </c>
      <c r="T127" s="79">
        <f>SUM(T128:T159)</f>
        <v>28.75</v>
      </c>
      <c r="AR127" s="73" t="s">
        <v>45</v>
      </c>
      <c r="AT127" s="80" t="s">
        <v>43</v>
      </c>
      <c r="AU127" s="80" t="s">
        <v>45</v>
      </c>
      <c r="AY127" s="73" t="s">
        <v>77</v>
      </c>
      <c r="BK127" s="81">
        <f>SUM(BK128:BK159)</f>
        <v>0</v>
      </c>
    </row>
    <row r="128" spans="2:65" s="1" customFormat="1" ht="24.15" customHeight="1" x14ac:dyDescent="0.2">
      <c r="B128" s="19"/>
      <c r="C128" s="84" t="s">
        <v>45</v>
      </c>
      <c r="D128" s="84" t="s">
        <v>79</v>
      </c>
      <c r="E128" s="85" t="s">
        <v>601</v>
      </c>
      <c r="F128" s="86" t="s">
        <v>602</v>
      </c>
      <c r="G128" s="87" t="s">
        <v>82</v>
      </c>
      <c r="H128" s="88">
        <v>250</v>
      </c>
      <c r="I128" s="89"/>
      <c r="J128" s="88">
        <f>ROUND(I128*H128,2)</f>
        <v>0</v>
      </c>
      <c r="K128" s="86" t="s">
        <v>83</v>
      </c>
      <c r="L128" s="19"/>
      <c r="M128" s="90" t="s">
        <v>0</v>
      </c>
      <c r="N128" s="91" t="s">
        <v>26</v>
      </c>
      <c r="P128" s="92">
        <f>O128*H128</f>
        <v>0</v>
      </c>
      <c r="Q128" s="92">
        <v>1.0000000000000001E-5</v>
      </c>
      <c r="R128" s="92">
        <f>Q128*H128</f>
        <v>2.5000000000000001E-3</v>
      </c>
      <c r="S128" s="92">
        <v>0.115</v>
      </c>
      <c r="T128" s="93">
        <f>S128*H128</f>
        <v>28.75</v>
      </c>
      <c r="AR128" s="94" t="s">
        <v>84</v>
      </c>
      <c r="AT128" s="94" t="s">
        <v>79</v>
      </c>
      <c r="AU128" s="94" t="s">
        <v>47</v>
      </c>
      <c r="AY128" s="10" t="s">
        <v>77</v>
      </c>
      <c r="BE128" s="95">
        <f>IF(N128="základní",J128,0)</f>
        <v>0</v>
      </c>
      <c r="BF128" s="95">
        <f>IF(N128="snížená",J128,0)</f>
        <v>0</v>
      </c>
      <c r="BG128" s="95">
        <f>IF(N128="zákl. přenesená",J128,0)</f>
        <v>0</v>
      </c>
      <c r="BH128" s="95">
        <f>IF(N128="sníž. přenesená",J128,0)</f>
        <v>0</v>
      </c>
      <c r="BI128" s="95">
        <f>IF(N128="nulová",J128,0)</f>
        <v>0</v>
      </c>
      <c r="BJ128" s="10" t="s">
        <v>45</v>
      </c>
      <c r="BK128" s="95">
        <f>ROUND(I128*H128,2)</f>
        <v>0</v>
      </c>
      <c r="BL128" s="10" t="s">
        <v>84</v>
      </c>
      <c r="BM128" s="94" t="s">
        <v>603</v>
      </c>
    </row>
    <row r="129" spans="2:65" s="1" customFormat="1" ht="28.8" x14ac:dyDescent="0.2">
      <c r="B129" s="19"/>
      <c r="D129" s="96" t="s">
        <v>86</v>
      </c>
      <c r="F129" s="97" t="s">
        <v>604</v>
      </c>
      <c r="I129" s="98"/>
      <c r="L129" s="19"/>
      <c r="M129" s="99"/>
      <c r="T129" s="32"/>
      <c r="AT129" s="10" t="s">
        <v>86</v>
      </c>
      <c r="AU129" s="10" t="s">
        <v>47</v>
      </c>
    </row>
    <row r="130" spans="2:65" s="7" customFormat="1" ht="10.199999999999999" x14ac:dyDescent="0.2">
      <c r="B130" s="100"/>
      <c r="D130" s="96" t="s">
        <v>88</v>
      </c>
      <c r="E130" s="101" t="s">
        <v>0</v>
      </c>
      <c r="F130" s="102" t="s">
        <v>605</v>
      </c>
      <c r="H130" s="101" t="s">
        <v>0</v>
      </c>
      <c r="I130" s="103"/>
      <c r="L130" s="100"/>
      <c r="M130" s="104"/>
      <c r="T130" s="105"/>
      <c r="AT130" s="101" t="s">
        <v>88</v>
      </c>
      <c r="AU130" s="101" t="s">
        <v>47</v>
      </c>
      <c r="AV130" s="7" t="s">
        <v>45</v>
      </c>
      <c r="AW130" s="7" t="s">
        <v>18</v>
      </c>
      <c r="AX130" s="7" t="s">
        <v>44</v>
      </c>
      <c r="AY130" s="101" t="s">
        <v>77</v>
      </c>
    </row>
    <row r="131" spans="2:65" s="8" customFormat="1" ht="10.199999999999999" x14ac:dyDescent="0.2">
      <c r="B131" s="106"/>
      <c r="D131" s="96" t="s">
        <v>88</v>
      </c>
      <c r="E131" s="107" t="s">
        <v>0</v>
      </c>
      <c r="F131" s="108" t="s">
        <v>606</v>
      </c>
      <c r="H131" s="109">
        <v>250</v>
      </c>
      <c r="I131" s="110"/>
      <c r="L131" s="106"/>
      <c r="M131" s="111"/>
      <c r="T131" s="112"/>
      <c r="AT131" s="107" t="s">
        <v>88</v>
      </c>
      <c r="AU131" s="107" t="s">
        <v>47</v>
      </c>
      <c r="AV131" s="8" t="s">
        <v>47</v>
      </c>
      <c r="AW131" s="8" t="s">
        <v>18</v>
      </c>
      <c r="AX131" s="8" t="s">
        <v>45</v>
      </c>
      <c r="AY131" s="107" t="s">
        <v>77</v>
      </c>
    </row>
    <row r="132" spans="2:65" s="1" customFormat="1" ht="37.799999999999997" customHeight="1" x14ac:dyDescent="0.2">
      <c r="B132" s="19"/>
      <c r="C132" s="84" t="s">
        <v>47</v>
      </c>
      <c r="D132" s="84" t="s">
        <v>79</v>
      </c>
      <c r="E132" s="85" t="s">
        <v>607</v>
      </c>
      <c r="F132" s="86" t="s">
        <v>608</v>
      </c>
      <c r="G132" s="87" t="s">
        <v>94</v>
      </c>
      <c r="H132" s="88">
        <v>482.6</v>
      </c>
      <c r="I132" s="89"/>
      <c r="J132" s="88">
        <f>ROUND(I132*H132,2)</f>
        <v>0</v>
      </c>
      <c r="K132" s="86" t="s">
        <v>83</v>
      </c>
      <c r="L132" s="19"/>
      <c r="M132" s="90" t="s">
        <v>0</v>
      </c>
      <c r="N132" s="91" t="s">
        <v>26</v>
      </c>
      <c r="P132" s="92">
        <f>O132*H132</f>
        <v>0</v>
      </c>
      <c r="Q132" s="92">
        <v>0</v>
      </c>
      <c r="R132" s="92">
        <f>Q132*H132</f>
        <v>0</v>
      </c>
      <c r="S132" s="92">
        <v>0</v>
      </c>
      <c r="T132" s="93">
        <f>S132*H132</f>
        <v>0</v>
      </c>
      <c r="AR132" s="94" t="s">
        <v>84</v>
      </c>
      <c r="AT132" s="94" t="s">
        <v>79</v>
      </c>
      <c r="AU132" s="94" t="s">
        <v>47</v>
      </c>
      <c r="AY132" s="10" t="s">
        <v>77</v>
      </c>
      <c r="BE132" s="95">
        <f>IF(N132="základní",J132,0)</f>
        <v>0</v>
      </c>
      <c r="BF132" s="95">
        <f>IF(N132="snížená",J132,0)</f>
        <v>0</v>
      </c>
      <c r="BG132" s="95">
        <f>IF(N132="zákl. přenesená",J132,0)</f>
        <v>0</v>
      </c>
      <c r="BH132" s="95">
        <f>IF(N132="sníž. přenesená",J132,0)</f>
        <v>0</v>
      </c>
      <c r="BI132" s="95">
        <f>IF(N132="nulová",J132,0)</f>
        <v>0</v>
      </c>
      <c r="BJ132" s="10" t="s">
        <v>45</v>
      </c>
      <c r="BK132" s="95">
        <f>ROUND(I132*H132,2)</f>
        <v>0</v>
      </c>
      <c r="BL132" s="10" t="s">
        <v>84</v>
      </c>
      <c r="BM132" s="94" t="s">
        <v>609</v>
      </c>
    </row>
    <row r="133" spans="2:65" s="1" customFormat="1" ht="19.2" x14ac:dyDescent="0.2">
      <c r="B133" s="19"/>
      <c r="D133" s="96" t="s">
        <v>86</v>
      </c>
      <c r="F133" s="97" t="s">
        <v>610</v>
      </c>
      <c r="I133" s="98"/>
      <c r="L133" s="19"/>
      <c r="M133" s="99"/>
      <c r="T133" s="32"/>
      <c r="AT133" s="10" t="s">
        <v>86</v>
      </c>
      <c r="AU133" s="10" t="s">
        <v>47</v>
      </c>
    </row>
    <row r="134" spans="2:65" s="8" customFormat="1" ht="20.399999999999999" x14ac:dyDescent="0.2">
      <c r="B134" s="106"/>
      <c r="D134" s="96" t="s">
        <v>88</v>
      </c>
      <c r="E134" s="107" t="s">
        <v>0</v>
      </c>
      <c r="F134" s="108" t="s">
        <v>611</v>
      </c>
      <c r="H134" s="109">
        <v>119</v>
      </c>
      <c r="I134" s="110"/>
      <c r="L134" s="106"/>
      <c r="M134" s="111"/>
      <c r="T134" s="112"/>
      <c r="AT134" s="107" t="s">
        <v>88</v>
      </c>
      <c r="AU134" s="107" t="s">
        <v>47</v>
      </c>
      <c r="AV134" s="8" t="s">
        <v>47</v>
      </c>
      <c r="AW134" s="8" t="s">
        <v>18</v>
      </c>
      <c r="AX134" s="8" t="s">
        <v>44</v>
      </c>
      <c r="AY134" s="107" t="s">
        <v>77</v>
      </c>
    </row>
    <row r="135" spans="2:65" s="8" customFormat="1" ht="10.199999999999999" x14ac:dyDescent="0.2">
      <c r="B135" s="106"/>
      <c r="D135" s="96" t="s">
        <v>88</v>
      </c>
      <c r="E135" s="107" t="s">
        <v>0</v>
      </c>
      <c r="F135" s="108" t="s">
        <v>612</v>
      </c>
      <c r="H135" s="109">
        <v>51</v>
      </c>
      <c r="I135" s="110"/>
      <c r="L135" s="106"/>
      <c r="M135" s="111"/>
      <c r="T135" s="112"/>
      <c r="AT135" s="107" t="s">
        <v>88</v>
      </c>
      <c r="AU135" s="107" t="s">
        <v>47</v>
      </c>
      <c r="AV135" s="8" t="s">
        <v>47</v>
      </c>
      <c r="AW135" s="8" t="s">
        <v>18</v>
      </c>
      <c r="AX135" s="8" t="s">
        <v>44</v>
      </c>
      <c r="AY135" s="107" t="s">
        <v>77</v>
      </c>
    </row>
    <row r="136" spans="2:65" s="8" customFormat="1" ht="10.199999999999999" x14ac:dyDescent="0.2">
      <c r="B136" s="106"/>
      <c r="D136" s="96" t="s">
        <v>88</v>
      </c>
      <c r="E136" s="107" t="s">
        <v>0</v>
      </c>
      <c r="F136" s="108" t="s">
        <v>613</v>
      </c>
      <c r="H136" s="109">
        <v>35</v>
      </c>
      <c r="I136" s="110"/>
      <c r="L136" s="106"/>
      <c r="M136" s="111"/>
      <c r="T136" s="112"/>
      <c r="AT136" s="107" t="s">
        <v>88</v>
      </c>
      <c r="AU136" s="107" t="s">
        <v>47</v>
      </c>
      <c r="AV136" s="8" t="s">
        <v>47</v>
      </c>
      <c r="AW136" s="8" t="s">
        <v>18</v>
      </c>
      <c r="AX136" s="8" t="s">
        <v>44</v>
      </c>
      <c r="AY136" s="107" t="s">
        <v>77</v>
      </c>
    </row>
    <row r="137" spans="2:65" s="8" customFormat="1" ht="10.199999999999999" x14ac:dyDescent="0.2">
      <c r="B137" s="106"/>
      <c r="D137" s="96" t="s">
        <v>88</v>
      </c>
      <c r="E137" s="107" t="s">
        <v>0</v>
      </c>
      <c r="F137" s="108" t="s">
        <v>614</v>
      </c>
      <c r="H137" s="109">
        <v>23.5</v>
      </c>
      <c r="I137" s="110"/>
      <c r="L137" s="106"/>
      <c r="M137" s="111"/>
      <c r="T137" s="112"/>
      <c r="AT137" s="107" t="s">
        <v>88</v>
      </c>
      <c r="AU137" s="107" t="s">
        <v>47</v>
      </c>
      <c r="AV137" s="8" t="s">
        <v>47</v>
      </c>
      <c r="AW137" s="8" t="s">
        <v>18</v>
      </c>
      <c r="AX137" s="8" t="s">
        <v>44</v>
      </c>
      <c r="AY137" s="107" t="s">
        <v>77</v>
      </c>
    </row>
    <row r="138" spans="2:65" s="8" customFormat="1" ht="10.199999999999999" x14ac:dyDescent="0.2">
      <c r="B138" s="106"/>
      <c r="D138" s="96" t="s">
        <v>88</v>
      </c>
      <c r="E138" s="107" t="s">
        <v>0</v>
      </c>
      <c r="F138" s="108" t="s">
        <v>615</v>
      </c>
      <c r="H138" s="109">
        <v>254.1</v>
      </c>
      <c r="I138" s="110"/>
      <c r="L138" s="106"/>
      <c r="M138" s="111"/>
      <c r="T138" s="112"/>
      <c r="AT138" s="107" t="s">
        <v>88</v>
      </c>
      <c r="AU138" s="107" t="s">
        <v>47</v>
      </c>
      <c r="AV138" s="8" t="s">
        <v>47</v>
      </c>
      <c r="AW138" s="8" t="s">
        <v>18</v>
      </c>
      <c r="AX138" s="8" t="s">
        <v>44</v>
      </c>
      <c r="AY138" s="107" t="s">
        <v>77</v>
      </c>
    </row>
    <row r="139" spans="2:65" s="9" customFormat="1" ht="10.199999999999999" x14ac:dyDescent="0.2">
      <c r="B139" s="113"/>
      <c r="D139" s="96" t="s">
        <v>88</v>
      </c>
      <c r="E139" s="114" t="s">
        <v>0</v>
      </c>
      <c r="F139" s="115" t="s">
        <v>91</v>
      </c>
      <c r="H139" s="116">
        <v>482.6</v>
      </c>
      <c r="I139" s="117"/>
      <c r="L139" s="113"/>
      <c r="M139" s="118"/>
      <c r="T139" s="119"/>
      <c r="AT139" s="114" t="s">
        <v>88</v>
      </c>
      <c r="AU139" s="114" t="s">
        <v>47</v>
      </c>
      <c r="AV139" s="9" t="s">
        <v>84</v>
      </c>
      <c r="AW139" s="9" t="s">
        <v>18</v>
      </c>
      <c r="AX139" s="9" t="s">
        <v>45</v>
      </c>
      <c r="AY139" s="114" t="s">
        <v>77</v>
      </c>
    </row>
    <row r="140" spans="2:65" s="1" customFormat="1" ht="24.15" customHeight="1" x14ac:dyDescent="0.2">
      <c r="B140" s="19"/>
      <c r="C140" s="84" t="s">
        <v>101</v>
      </c>
      <c r="D140" s="84" t="s">
        <v>79</v>
      </c>
      <c r="E140" s="85" t="s">
        <v>616</v>
      </c>
      <c r="F140" s="86" t="s">
        <v>617</v>
      </c>
      <c r="G140" s="87" t="s">
        <v>82</v>
      </c>
      <c r="H140" s="88">
        <v>752</v>
      </c>
      <c r="I140" s="89"/>
      <c r="J140" s="88">
        <f>ROUND(I140*H140,2)</f>
        <v>0</v>
      </c>
      <c r="K140" s="86" t="s">
        <v>83</v>
      </c>
      <c r="L140" s="19"/>
      <c r="M140" s="90" t="s">
        <v>0</v>
      </c>
      <c r="N140" s="91" t="s">
        <v>26</v>
      </c>
      <c r="P140" s="92">
        <f>O140*H140</f>
        <v>0</v>
      </c>
      <c r="Q140" s="92">
        <v>0</v>
      </c>
      <c r="R140" s="92">
        <f>Q140*H140</f>
        <v>0</v>
      </c>
      <c r="S140" s="92">
        <v>0</v>
      </c>
      <c r="T140" s="93">
        <f>S140*H140</f>
        <v>0</v>
      </c>
      <c r="AR140" s="94" t="s">
        <v>84</v>
      </c>
      <c r="AT140" s="94" t="s">
        <v>79</v>
      </c>
      <c r="AU140" s="94" t="s">
        <v>47</v>
      </c>
      <c r="AY140" s="10" t="s">
        <v>77</v>
      </c>
      <c r="BE140" s="95">
        <f>IF(N140="základní",J140,0)</f>
        <v>0</v>
      </c>
      <c r="BF140" s="95">
        <f>IF(N140="snížená",J140,0)</f>
        <v>0</v>
      </c>
      <c r="BG140" s="95">
        <f>IF(N140="zákl. přenesená",J140,0)</f>
        <v>0</v>
      </c>
      <c r="BH140" s="95">
        <f>IF(N140="sníž. přenesená",J140,0)</f>
        <v>0</v>
      </c>
      <c r="BI140" s="95">
        <f>IF(N140="nulová",J140,0)</f>
        <v>0</v>
      </c>
      <c r="BJ140" s="10" t="s">
        <v>45</v>
      </c>
      <c r="BK140" s="95">
        <f>ROUND(I140*H140,2)</f>
        <v>0</v>
      </c>
      <c r="BL140" s="10" t="s">
        <v>84</v>
      </c>
      <c r="BM140" s="94" t="s">
        <v>618</v>
      </c>
    </row>
    <row r="141" spans="2:65" s="1" customFormat="1" ht="19.2" x14ac:dyDescent="0.2">
      <c r="B141" s="19"/>
      <c r="D141" s="96" t="s">
        <v>86</v>
      </c>
      <c r="F141" s="97" t="s">
        <v>619</v>
      </c>
      <c r="I141" s="98"/>
      <c r="L141" s="19"/>
      <c r="M141" s="99"/>
      <c r="T141" s="32"/>
      <c r="AT141" s="10" t="s">
        <v>86</v>
      </c>
      <c r="AU141" s="10" t="s">
        <v>47</v>
      </c>
    </row>
    <row r="142" spans="2:65" s="8" customFormat="1" ht="20.399999999999999" x14ac:dyDescent="0.2">
      <c r="B142" s="106"/>
      <c r="D142" s="96" t="s">
        <v>88</v>
      </c>
      <c r="E142" s="107" t="s">
        <v>0</v>
      </c>
      <c r="F142" s="108" t="s">
        <v>620</v>
      </c>
      <c r="H142" s="109">
        <v>170</v>
      </c>
      <c r="I142" s="110"/>
      <c r="L142" s="106"/>
      <c r="M142" s="111"/>
      <c r="T142" s="112"/>
      <c r="AT142" s="107" t="s">
        <v>88</v>
      </c>
      <c r="AU142" s="107" t="s">
        <v>47</v>
      </c>
      <c r="AV142" s="8" t="s">
        <v>47</v>
      </c>
      <c r="AW142" s="8" t="s">
        <v>18</v>
      </c>
      <c r="AX142" s="8" t="s">
        <v>44</v>
      </c>
      <c r="AY142" s="107" t="s">
        <v>77</v>
      </c>
    </row>
    <row r="143" spans="2:65" s="8" customFormat="1" ht="10.199999999999999" x14ac:dyDescent="0.2">
      <c r="B143" s="106"/>
      <c r="D143" s="96" t="s">
        <v>88</v>
      </c>
      <c r="E143" s="107" t="s">
        <v>0</v>
      </c>
      <c r="F143" s="108" t="s">
        <v>621</v>
      </c>
      <c r="H143" s="109">
        <v>102</v>
      </c>
      <c r="I143" s="110"/>
      <c r="L143" s="106"/>
      <c r="M143" s="111"/>
      <c r="T143" s="112"/>
      <c r="AT143" s="107" t="s">
        <v>88</v>
      </c>
      <c r="AU143" s="107" t="s">
        <v>47</v>
      </c>
      <c r="AV143" s="8" t="s">
        <v>47</v>
      </c>
      <c r="AW143" s="8" t="s">
        <v>18</v>
      </c>
      <c r="AX143" s="8" t="s">
        <v>44</v>
      </c>
      <c r="AY143" s="107" t="s">
        <v>77</v>
      </c>
    </row>
    <row r="144" spans="2:65" s="8" customFormat="1" ht="10.199999999999999" x14ac:dyDescent="0.2">
      <c r="B144" s="106"/>
      <c r="D144" s="96" t="s">
        <v>88</v>
      </c>
      <c r="E144" s="107" t="s">
        <v>0</v>
      </c>
      <c r="F144" s="108" t="s">
        <v>622</v>
      </c>
      <c r="H144" s="109">
        <v>70</v>
      </c>
      <c r="I144" s="110"/>
      <c r="L144" s="106"/>
      <c r="M144" s="111"/>
      <c r="T144" s="112"/>
      <c r="AT144" s="107" t="s">
        <v>88</v>
      </c>
      <c r="AU144" s="107" t="s">
        <v>47</v>
      </c>
      <c r="AV144" s="8" t="s">
        <v>47</v>
      </c>
      <c r="AW144" s="8" t="s">
        <v>18</v>
      </c>
      <c r="AX144" s="8" t="s">
        <v>44</v>
      </c>
      <c r="AY144" s="107" t="s">
        <v>77</v>
      </c>
    </row>
    <row r="145" spans="2:65" s="8" customFormat="1" ht="10.199999999999999" x14ac:dyDescent="0.2">
      <c r="B145" s="106"/>
      <c r="D145" s="96" t="s">
        <v>88</v>
      </c>
      <c r="E145" s="107" t="s">
        <v>0</v>
      </c>
      <c r="F145" s="108" t="s">
        <v>623</v>
      </c>
      <c r="H145" s="109">
        <v>47</v>
      </c>
      <c r="I145" s="110"/>
      <c r="L145" s="106"/>
      <c r="M145" s="111"/>
      <c r="T145" s="112"/>
      <c r="AT145" s="107" t="s">
        <v>88</v>
      </c>
      <c r="AU145" s="107" t="s">
        <v>47</v>
      </c>
      <c r="AV145" s="8" t="s">
        <v>47</v>
      </c>
      <c r="AW145" s="8" t="s">
        <v>18</v>
      </c>
      <c r="AX145" s="8" t="s">
        <v>44</v>
      </c>
      <c r="AY145" s="107" t="s">
        <v>77</v>
      </c>
    </row>
    <row r="146" spans="2:65" s="8" customFormat="1" ht="10.199999999999999" x14ac:dyDescent="0.2">
      <c r="B146" s="106"/>
      <c r="D146" s="96" t="s">
        <v>88</v>
      </c>
      <c r="E146" s="107" t="s">
        <v>0</v>
      </c>
      <c r="F146" s="108" t="s">
        <v>624</v>
      </c>
      <c r="H146" s="109">
        <v>363</v>
      </c>
      <c r="I146" s="110"/>
      <c r="L146" s="106"/>
      <c r="M146" s="111"/>
      <c r="T146" s="112"/>
      <c r="AT146" s="107" t="s">
        <v>88</v>
      </c>
      <c r="AU146" s="107" t="s">
        <v>47</v>
      </c>
      <c r="AV146" s="8" t="s">
        <v>47</v>
      </c>
      <c r="AW146" s="8" t="s">
        <v>18</v>
      </c>
      <c r="AX146" s="8" t="s">
        <v>44</v>
      </c>
      <c r="AY146" s="107" t="s">
        <v>77</v>
      </c>
    </row>
    <row r="147" spans="2:65" s="9" customFormat="1" ht="10.199999999999999" x14ac:dyDescent="0.2">
      <c r="B147" s="113"/>
      <c r="D147" s="96" t="s">
        <v>88</v>
      </c>
      <c r="E147" s="114" t="s">
        <v>0</v>
      </c>
      <c r="F147" s="115" t="s">
        <v>91</v>
      </c>
      <c r="H147" s="116">
        <v>752</v>
      </c>
      <c r="I147" s="117"/>
      <c r="L147" s="113"/>
      <c r="M147" s="118"/>
      <c r="T147" s="119"/>
      <c r="AT147" s="114" t="s">
        <v>88</v>
      </c>
      <c r="AU147" s="114" t="s">
        <v>47</v>
      </c>
      <c r="AV147" s="9" t="s">
        <v>84</v>
      </c>
      <c r="AW147" s="9" t="s">
        <v>18</v>
      </c>
      <c r="AX147" s="9" t="s">
        <v>45</v>
      </c>
      <c r="AY147" s="114" t="s">
        <v>77</v>
      </c>
    </row>
    <row r="148" spans="2:65" s="1" customFormat="1" ht="24.15" customHeight="1" x14ac:dyDescent="0.2">
      <c r="B148" s="19"/>
      <c r="C148" s="84" t="s">
        <v>84</v>
      </c>
      <c r="D148" s="84" t="s">
        <v>79</v>
      </c>
      <c r="E148" s="85" t="s">
        <v>625</v>
      </c>
      <c r="F148" s="86" t="s">
        <v>626</v>
      </c>
      <c r="G148" s="87" t="s">
        <v>82</v>
      </c>
      <c r="H148" s="88">
        <v>350</v>
      </c>
      <c r="I148" s="89"/>
      <c r="J148" s="88">
        <f>ROUND(I148*H148,2)</f>
        <v>0</v>
      </c>
      <c r="K148" s="86" t="s">
        <v>83</v>
      </c>
      <c r="L148" s="19"/>
      <c r="M148" s="90" t="s">
        <v>0</v>
      </c>
      <c r="N148" s="91" t="s">
        <v>26</v>
      </c>
      <c r="P148" s="92">
        <f>O148*H148</f>
        <v>0</v>
      </c>
      <c r="Q148" s="92">
        <v>0</v>
      </c>
      <c r="R148" s="92">
        <f>Q148*H148</f>
        <v>0</v>
      </c>
      <c r="S148" s="92">
        <v>0</v>
      </c>
      <c r="T148" s="93">
        <f>S148*H148</f>
        <v>0</v>
      </c>
      <c r="AR148" s="94" t="s">
        <v>84</v>
      </c>
      <c r="AT148" s="94" t="s">
        <v>79</v>
      </c>
      <c r="AU148" s="94" t="s">
        <v>47</v>
      </c>
      <c r="AY148" s="10" t="s">
        <v>77</v>
      </c>
      <c r="BE148" s="95">
        <f>IF(N148="základní",J148,0)</f>
        <v>0</v>
      </c>
      <c r="BF148" s="95">
        <f>IF(N148="snížená",J148,0)</f>
        <v>0</v>
      </c>
      <c r="BG148" s="95">
        <f>IF(N148="zákl. přenesená",J148,0)</f>
        <v>0</v>
      </c>
      <c r="BH148" s="95">
        <f>IF(N148="sníž. přenesená",J148,0)</f>
        <v>0</v>
      </c>
      <c r="BI148" s="95">
        <f>IF(N148="nulová",J148,0)</f>
        <v>0</v>
      </c>
      <c r="BJ148" s="10" t="s">
        <v>45</v>
      </c>
      <c r="BK148" s="95">
        <f>ROUND(I148*H148,2)</f>
        <v>0</v>
      </c>
      <c r="BL148" s="10" t="s">
        <v>84</v>
      </c>
      <c r="BM148" s="94" t="s">
        <v>627</v>
      </c>
    </row>
    <row r="149" spans="2:65" s="1" customFormat="1" ht="19.2" x14ac:dyDescent="0.2">
      <c r="B149" s="19"/>
      <c r="D149" s="96" t="s">
        <v>86</v>
      </c>
      <c r="F149" s="97" t="s">
        <v>628</v>
      </c>
      <c r="I149" s="98"/>
      <c r="L149" s="19"/>
      <c r="M149" s="99"/>
      <c r="T149" s="32"/>
      <c r="AT149" s="10" t="s">
        <v>86</v>
      </c>
      <c r="AU149" s="10" t="s">
        <v>47</v>
      </c>
    </row>
    <row r="150" spans="2:65" s="8" customFormat="1" ht="10.199999999999999" x14ac:dyDescent="0.2">
      <c r="B150" s="106"/>
      <c r="D150" s="96" t="s">
        <v>88</v>
      </c>
      <c r="E150" s="107" t="s">
        <v>0</v>
      </c>
      <c r="F150" s="108" t="s">
        <v>629</v>
      </c>
      <c r="H150" s="109">
        <v>350</v>
      </c>
      <c r="I150" s="110"/>
      <c r="L150" s="106"/>
      <c r="M150" s="111"/>
      <c r="T150" s="112"/>
      <c r="AT150" s="107" t="s">
        <v>88</v>
      </c>
      <c r="AU150" s="107" t="s">
        <v>47</v>
      </c>
      <c r="AV150" s="8" t="s">
        <v>47</v>
      </c>
      <c r="AW150" s="8" t="s">
        <v>18</v>
      </c>
      <c r="AX150" s="8" t="s">
        <v>45</v>
      </c>
      <c r="AY150" s="107" t="s">
        <v>77</v>
      </c>
    </row>
    <row r="151" spans="2:65" s="1" customFormat="1" ht="24.15" customHeight="1" x14ac:dyDescent="0.2">
      <c r="B151" s="19"/>
      <c r="C151" s="84" t="s">
        <v>127</v>
      </c>
      <c r="D151" s="84" t="s">
        <v>79</v>
      </c>
      <c r="E151" s="85" t="s">
        <v>630</v>
      </c>
      <c r="F151" s="86" t="s">
        <v>631</v>
      </c>
      <c r="G151" s="87" t="s">
        <v>82</v>
      </c>
      <c r="H151" s="88">
        <v>350</v>
      </c>
      <c r="I151" s="89"/>
      <c r="J151" s="88">
        <f>ROUND(I151*H151,2)</f>
        <v>0</v>
      </c>
      <c r="K151" s="86" t="s">
        <v>83</v>
      </c>
      <c r="L151" s="19"/>
      <c r="M151" s="90" t="s">
        <v>0</v>
      </c>
      <c r="N151" s="91" t="s">
        <v>26</v>
      </c>
      <c r="P151" s="92">
        <f>O151*H151</f>
        <v>0</v>
      </c>
      <c r="Q151" s="92">
        <v>0</v>
      </c>
      <c r="R151" s="92">
        <f>Q151*H151</f>
        <v>0</v>
      </c>
      <c r="S151" s="92">
        <v>0</v>
      </c>
      <c r="T151" s="93">
        <f>S151*H151</f>
        <v>0</v>
      </c>
      <c r="AR151" s="94" t="s">
        <v>84</v>
      </c>
      <c r="AT151" s="94" t="s">
        <v>79</v>
      </c>
      <c r="AU151" s="94" t="s">
        <v>47</v>
      </c>
      <c r="AY151" s="10" t="s">
        <v>77</v>
      </c>
      <c r="BE151" s="95">
        <f>IF(N151="základní",J151,0)</f>
        <v>0</v>
      </c>
      <c r="BF151" s="95">
        <f>IF(N151="snížená",J151,0)</f>
        <v>0</v>
      </c>
      <c r="BG151" s="95">
        <f>IF(N151="zákl. přenesená",J151,0)</f>
        <v>0</v>
      </c>
      <c r="BH151" s="95">
        <f>IF(N151="sníž. přenesená",J151,0)</f>
        <v>0</v>
      </c>
      <c r="BI151" s="95">
        <f>IF(N151="nulová",J151,0)</f>
        <v>0</v>
      </c>
      <c r="BJ151" s="10" t="s">
        <v>45</v>
      </c>
      <c r="BK151" s="95">
        <f>ROUND(I151*H151,2)</f>
        <v>0</v>
      </c>
      <c r="BL151" s="10" t="s">
        <v>84</v>
      </c>
      <c r="BM151" s="94" t="s">
        <v>632</v>
      </c>
    </row>
    <row r="152" spans="2:65" s="1" customFormat="1" ht="28.8" x14ac:dyDescent="0.2">
      <c r="B152" s="19"/>
      <c r="D152" s="96" t="s">
        <v>86</v>
      </c>
      <c r="F152" s="97" t="s">
        <v>633</v>
      </c>
      <c r="I152" s="98"/>
      <c r="L152" s="19"/>
      <c r="M152" s="99"/>
      <c r="T152" s="32"/>
      <c r="AT152" s="10" t="s">
        <v>86</v>
      </c>
      <c r="AU152" s="10" t="s">
        <v>47</v>
      </c>
    </row>
    <row r="153" spans="2:65" s="1" customFormat="1" ht="16.5" customHeight="1" x14ac:dyDescent="0.2">
      <c r="B153" s="19"/>
      <c r="C153" s="120" t="s">
        <v>134</v>
      </c>
      <c r="D153" s="120" t="s">
        <v>204</v>
      </c>
      <c r="E153" s="121" t="s">
        <v>634</v>
      </c>
      <c r="F153" s="122" t="s">
        <v>635</v>
      </c>
      <c r="G153" s="123" t="s">
        <v>636</v>
      </c>
      <c r="H153" s="124">
        <v>7</v>
      </c>
      <c r="I153" s="125"/>
      <c r="J153" s="124">
        <f>ROUND(I153*H153,2)</f>
        <v>0</v>
      </c>
      <c r="K153" s="122" t="s">
        <v>83</v>
      </c>
      <c r="L153" s="126"/>
      <c r="M153" s="127" t="s">
        <v>0</v>
      </c>
      <c r="N153" s="128" t="s">
        <v>26</v>
      </c>
      <c r="P153" s="92">
        <f>O153*H153</f>
        <v>0</v>
      </c>
      <c r="Q153" s="92">
        <v>1E-3</v>
      </c>
      <c r="R153" s="92">
        <f>Q153*H153</f>
        <v>7.0000000000000001E-3</v>
      </c>
      <c r="S153" s="92">
        <v>0</v>
      </c>
      <c r="T153" s="93">
        <f>S153*H153</f>
        <v>0</v>
      </c>
      <c r="AR153" s="94" t="s">
        <v>147</v>
      </c>
      <c r="AT153" s="94" t="s">
        <v>204</v>
      </c>
      <c r="AU153" s="94" t="s">
        <v>47</v>
      </c>
      <c r="AY153" s="10" t="s">
        <v>77</v>
      </c>
      <c r="BE153" s="95">
        <f>IF(N153="základní",J153,0)</f>
        <v>0</v>
      </c>
      <c r="BF153" s="95">
        <f>IF(N153="snížená",J153,0)</f>
        <v>0</v>
      </c>
      <c r="BG153" s="95">
        <f>IF(N153="zákl. přenesená",J153,0)</f>
        <v>0</v>
      </c>
      <c r="BH153" s="95">
        <f>IF(N153="sníž. přenesená",J153,0)</f>
        <v>0</v>
      </c>
      <c r="BI153" s="95">
        <f>IF(N153="nulová",J153,0)</f>
        <v>0</v>
      </c>
      <c r="BJ153" s="10" t="s">
        <v>45</v>
      </c>
      <c r="BK153" s="95">
        <f>ROUND(I153*H153,2)</f>
        <v>0</v>
      </c>
      <c r="BL153" s="10" t="s">
        <v>84</v>
      </c>
      <c r="BM153" s="94" t="s">
        <v>637</v>
      </c>
    </row>
    <row r="154" spans="2:65" s="1" customFormat="1" ht="10.199999999999999" x14ac:dyDescent="0.2">
      <c r="B154" s="19"/>
      <c r="D154" s="96" t="s">
        <v>86</v>
      </c>
      <c r="F154" s="97" t="s">
        <v>635</v>
      </c>
      <c r="I154" s="98"/>
      <c r="L154" s="19"/>
      <c r="M154" s="99"/>
      <c r="T154" s="32"/>
      <c r="AT154" s="10" t="s">
        <v>86</v>
      </c>
      <c r="AU154" s="10" t="s">
        <v>47</v>
      </c>
    </row>
    <row r="155" spans="2:65" s="8" customFormat="1" ht="10.199999999999999" x14ac:dyDescent="0.2">
      <c r="B155" s="106"/>
      <c r="D155" s="96" t="s">
        <v>88</v>
      </c>
      <c r="F155" s="108" t="s">
        <v>638</v>
      </c>
      <c r="H155" s="109">
        <v>7</v>
      </c>
      <c r="I155" s="110"/>
      <c r="L155" s="106"/>
      <c r="M155" s="111"/>
      <c r="T155" s="112"/>
      <c r="AT155" s="107" t="s">
        <v>88</v>
      </c>
      <c r="AU155" s="107" t="s">
        <v>47</v>
      </c>
      <c r="AV155" s="8" t="s">
        <v>47</v>
      </c>
      <c r="AW155" s="8" t="s">
        <v>1</v>
      </c>
      <c r="AX155" s="8" t="s">
        <v>45</v>
      </c>
      <c r="AY155" s="107" t="s">
        <v>77</v>
      </c>
    </row>
    <row r="156" spans="2:65" s="1" customFormat="1" ht="24.15" customHeight="1" x14ac:dyDescent="0.2">
      <c r="B156" s="19"/>
      <c r="C156" s="84" t="s">
        <v>140</v>
      </c>
      <c r="D156" s="84" t="s">
        <v>79</v>
      </c>
      <c r="E156" s="85" t="s">
        <v>639</v>
      </c>
      <c r="F156" s="86" t="s">
        <v>640</v>
      </c>
      <c r="G156" s="87" t="s">
        <v>82</v>
      </c>
      <c r="H156" s="88">
        <v>350</v>
      </c>
      <c r="I156" s="89"/>
      <c r="J156" s="88">
        <f>ROUND(I156*H156,2)</f>
        <v>0</v>
      </c>
      <c r="K156" s="86" t="s">
        <v>83</v>
      </c>
      <c r="L156" s="19"/>
      <c r="M156" s="90" t="s">
        <v>0</v>
      </c>
      <c r="N156" s="91" t="s">
        <v>26</v>
      </c>
      <c r="P156" s="92">
        <f>O156*H156</f>
        <v>0</v>
      </c>
      <c r="Q156" s="92">
        <v>0</v>
      </c>
      <c r="R156" s="92">
        <f>Q156*H156</f>
        <v>0</v>
      </c>
      <c r="S156" s="92">
        <v>0</v>
      </c>
      <c r="T156" s="93">
        <f>S156*H156</f>
        <v>0</v>
      </c>
      <c r="AR156" s="94" t="s">
        <v>84</v>
      </c>
      <c r="AT156" s="94" t="s">
        <v>79</v>
      </c>
      <c r="AU156" s="94" t="s">
        <v>47</v>
      </c>
      <c r="AY156" s="10" t="s">
        <v>77</v>
      </c>
      <c r="BE156" s="95">
        <f>IF(N156="základní",J156,0)</f>
        <v>0</v>
      </c>
      <c r="BF156" s="95">
        <f>IF(N156="snížená",J156,0)</f>
        <v>0</v>
      </c>
      <c r="BG156" s="95">
        <f>IF(N156="zákl. přenesená",J156,0)</f>
        <v>0</v>
      </c>
      <c r="BH156" s="95">
        <f>IF(N156="sníž. přenesená",J156,0)</f>
        <v>0</v>
      </c>
      <c r="BI156" s="95">
        <f>IF(N156="nulová",J156,0)</f>
        <v>0</v>
      </c>
      <c r="BJ156" s="10" t="s">
        <v>45</v>
      </c>
      <c r="BK156" s="95">
        <f>ROUND(I156*H156,2)</f>
        <v>0</v>
      </c>
      <c r="BL156" s="10" t="s">
        <v>84</v>
      </c>
      <c r="BM156" s="94" t="s">
        <v>641</v>
      </c>
    </row>
    <row r="157" spans="2:65" s="1" customFormat="1" ht="19.2" x14ac:dyDescent="0.2">
      <c r="B157" s="19"/>
      <c r="D157" s="96" t="s">
        <v>86</v>
      </c>
      <c r="F157" s="97" t="s">
        <v>642</v>
      </c>
      <c r="I157" s="98"/>
      <c r="L157" s="19"/>
      <c r="M157" s="99"/>
      <c r="T157" s="32"/>
      <c r="AT157" s="10" t="s">
        <v>86</v>
      </c>
      <c r="AU157" s="10" t="s">
        <v>47</v>
      </c>
    </row>
    <row r="158" spans="2:65" s="7" customFormat="1" ht="10.199999999999999" x14ac:dyDescent="0.2">
      <c r="B158" s="100"/>
      <c r="D158" s="96" t="s">
        <v>88</v>
      </c>
      <c r="E158" s="101" t="s">
        <v>0</v>
      </c>
      <c r="F158" s="102" t="s">
        <v>643</v>
      </c>
      <c r="H158" s="101" t="s">
        <v>0</v>
      </c>
      <c r="I158" s="103"/>
      <c r="L158" s="100"/>
      <c r="M158" s="104"/>
      <c r="T158" s="105"/>
      <c r="AT158" s="101" t="s">
        <v>88</v>
      </c>
      <c r="AU158" s="101" t="s">
        <v>47</v>
      </c>
      <c r="AV158" s="7" t="s">
        <v>45</v>
      </c>
      <c r="AW158" s="7" t="s">
        <v>18</v>
      </c>
      <c r="AX158" s="7" t="s">
        <v>44</v>
      </c>
      <c r="AY158" s="101" t="s">
        <v>77</v>
      </c>
    </row>
    <row r="159" spans="2:65" s="8" customFormat="1" ht="10.199999999999999" x14ac:dyDescent="0.2">
      <c r="B159" s="106"/>
      <c r="D159" s="96" t="s">
        <v>88</v>
      </c>
      <c r="E159" s="107" t="s">
        <v>0</v>
      </c>
      <c r="F159" s="108" t="s">
        <v>644</v>
      </c>
      <c r="H159" s="109">
        <v>350</v>
      </c>
      <c r="I159" s="110"/>
      <c r="L159" s="106"/>
      <c r="M159" s="111"/>
      <c r="T159" s="112"/>
      <c r="AT159" s="107" t="s">
        <v>88</v>
      </c>
      <c r="AU159" s="107" t="s">
        <v>47</v>
      </c>
      <c r="AV159" s="8" t="s">
        <v>47</v>
      </c>
      <c r="AW159" s="8" t="s">
        <v>18</v>
      </c>
      <c r="AX159" s="8" t="s">
        <v>45</v>
      </c>
      <c r="AY159" s="107" t="s">
        <v>77</v>
      </c>
    </row>
    <row r="160" spans="2:65" s="6" customFormat="1" ht="22.8" customHeight="1" x14ac:dyDescent="0.25">
      <c r="B160" s="72"/>
      <c r="D160" s="73" t="s">
        <v>43</v>
      </c>
      <c r="E160" s="82" t="s">
        <v>84</v>
      </c>
      <c r="F160" s="82" t="s">
        <v>221</v>
      </c>
      <c r="I160" s="75"/>
      <c r="J160" s="83">
        <f>BK160</f>
        <v>0</v>
      </c>
      <c r="L160" s="72"/>
      <c r="M160" s="77"/>
      <c r="P160" s="78">
        <f>SUM(P161:P171)</f>
        <v>0</v>
      </c>
      <c r="R160" s="78">
        <f>SUM(R161:R171)</f>
        <v>0</v>
      </c>
      <c r="T160" s="79">
        <f>SUM(T161:T171)</f>
        <v>0</v>
      </c>
      <c r="AR160" s="73" t="s">
        <v>45</v>
      </c>
      <c r="AT160" s="80" t="s">
        <v>43</v>
      </c>
      <c r="AU160" s="80" t="s">
        <v>45</v>
      </c>
      <c r="AY160" s="73" t="s">
        <v>77</v>
      </c>
      <c r="BK160" s="81">
        <f>SUM(BK161:BK171)</f>
        <v>0</v>
      </c>
    </row>
    <row r="161" spans="2:65" s="1" customFormat="1" ht="33" customHeight="1" x14ac:dyDescent="0.2">
      <c r="B161" s="19"/>
      <c r="C161" s="84" t="s">
        <v>147</v>
      </c>
      <c r="D161" s="84" t="s">
        <v>79</v>
      </c>
      <c r="E161" s="85" t="s">
        <v>645</v>
      </c>
      <c r="F161" s="86" t="s">
        <v>646</v>
      </c>
      <c r="G161" s="87" t="s">
        <v>82</v>
      </c>
      <c r="H161" s="88">
        <v>582</v>
      </c>
      <c r="I161" s="89"/>
      <c r="J161" s="88">
        <f>ROUND(I161*H161,2)</f>
        <v>0</v>
      </c>
      <c r="K161" s="86" t="s">
        <v>83</v>
      </c>
      <c r="L161" s="19"/>
      <c r="M161" s="90" t="s">
        <v>0</v>
      </c>
      <c r="N161" s="91" t="s">
        <v>26</v>
      </c>
      <c r="P161" s="92">
        <f>O161*H161</f>
        <v>0</v>
      </c>
      <c r="Q161" s="92">
        <v>0</v>
      </c>
      <c r="R161" s="92">
        <f>Q161*H161</f>
        <v>0</v>
      </c>
      <c r="S161" s="92">
        <v>0</v>
      </c>
      <c r="T161" s="93">
        <f>S161*H161</f>
        <v>0</v>
      </c>
      <c r="AR161" s="94" t="s">
        <v>84</v>
      </c>
      <c r="AT161" s="94" t="s">
        <v>79</v>
      </c>
      <c r="AU161" s="94" t="s">
        <v>47</v>
      </c>
      <c r="AY161" s="10" t="s">
        <v>77</v>
      </c>
      <c r="BE161" s="95">
        <f>IF(N161="základní",J161,0)</f>
        <v>0</v>
      </c>
      <c r="BF161" s="95">
        <f>IF(N161="snížená",J161,0)</f>
        <v>0</v>
      </c>
      <c r="BG161" s="95">
        <f>IF(N161="zákl. přenesená",J161,0)</f>
        <v>0</v>
      </c>
      <c r="BH161" s="95">
        <f>IF(N161="sníž. přenesená",J161,0)</f>
        <v>0</v>
      </c>
      <c r="BI161" s="95">
        <f>IF(N161="nulová",J161,0)</f>
        <v>0</v>
      </c>
      <c r="BJ161" s="10" t="s">
        <v>45</v>
      </c>
      <c r="BK161" s="95">
        <f>ROUND(I161*H161,2)</f>
        <v>0</v>
      </c>
      <c r="BL161" s="10" t="s">
        <v>84</v>
      </c>
      <c r="BM161" s="94" t="s">
        <v>647</v>
      </c>
    </row>
    <row r="162" spans="2:65" s="1" customFormat="1" ht="28.8" x14ac:dyDescent="0.2">
      <c r="B162" s="19"/>
      <c r="D162" s="96" t="s">
        <v>86</v>
      </c>
      <c r="F162" s="97" t="s">
        <v>648</v>
      </c>
      <c r="I162" s="98"/>
      <c r="L162" s="19"/>
      <c r="M162" s="99"/>
      <c r="T162" s="32"/>
      <c r="AT162" s="10" t="s">
        <v>86</v>
      </c>
      <c r="AU162" s="10" t="s">
        <v>47</v>
      </c>
    </row>
    <row r="163" spans="2:65" s="8" customFormat="1" ht="10.199999999999999" x14ac:dyDescent="0.2">
      <c r="B163" s="106"/>
      <c r="D163" s="96" t="s">
        <v>88</v>
      </c>
      <c r="E163" s="107" t="s">
        <v>0</v>
      </c>
      <c r="F163" s="108" t="s">
        <v>649</v>
      </c>
      <c r="H163" s="109">
        <v>47</v>
      </c>
      <c r="I163" s="110"/>
      <c r="L163" s="106"/>
      <c r="M163" s="111"/>
      <c r="T163" s="112"/>
      <c r="AT163" s="107" t="s">
        <v>88</v>
      </c>
      <c r="AU163" s="107" t="s">
        <v>47</v>
      </c>
      <c r="AV163" s="8" t="s">
        <v>47</v>
      </c>
      <c r="AW163" s="8" t="s">
        <v>18</v>
      </c>
      <c r="AX163" s="8" t="s">
        <v>44</v>
      </c>
      <c r="AY163" s="107" t="s">
        <v>77</v>
      </c>
    </row>
    <row r="164" spans="2:65" s="8" customFormat="1" ht="10.199999999999999" x14ac:dyDescent="0.2">
      <c r="B164" s="106"/>
      <c r="D164" s="96" t="s">
        <v>88</v>
      </c>
      <c r="E164" s="107" t="s">
        <v>0</v>
      </c>
      <c r="F164" s="108" t="s">
        <v>650</v>
      </c>
      <c r="H164" s="109">
        <v>70</v>
      </c>
      <c r="I164" s="110"/>
      <c r="L164" s="106"/>
      <c r="M164" s="111"/>
      <c r="T164" s="112"/>
      <c r="AT164" s="107" t="s">
        <v>88</v>
      </c>
      <c r="AU164" s="107" t="s">
        <v>47</v>
      </c>
      <c r="AV164" s="8" t="s">
        <v>47</v>
      </c>
      <c r="AW164" s="8" t="s">
        <v>18</v>
      </c>
      <c r="AX164" s="8" t="s">
        <v>44</v>
      </c>
      <c r="AY164" s="107" t="s">
        <v>77</v>
      </c>
    </row>
    <row r="165" spans="2:65" s="8" customFormat="1" ht="10.199999999999999" x14ac:dyDescent="0.2">
      <c r="B165" s="106"/>
      <c r="D165" s="96" t="s">
        <v>88</v>
      </c>
      <c r="E165" s="107" t="s">
        <v>0</v>
      </c>
      <c r="F165" s="108" t="s">
        <v>651</v>
      </c>
      <c r="H165" s="109">
        <v>363</v>
      </c>
      <c r="I165" s="110"/>
      <c r="L165" s="106"/>
      <c r="M165" s="111"/>
      <c r="T165" s="112"/>
      <c r="AT165" s="107" t="s">
        <v>88</v>
      </c>
      <c r="AU165" s="107" t="s">
        <v>47</v>
      </c>
      <c r="AV165" s="8" t="s">
        <v>47</v>
      </c>
      <c r="AW165" s="8" t="s">
        <v>18</v>
      </c>
      <c r="AX165" s="8" t="s">
        <v>44</v>
      </c>
      <c r="AY165" s="107" t="s">
        <v>77</v>
      </c>
    </row>
    <row r="166" spans="2:65" s="8" customFormat="1" ht="10.199999999999999" x14ac:dyDescent="0.2">
      <c r="B166" s="106"/>
      <c r="D166" s="96" t="s">
        <v>88</v>
      </c>
      <c r="E166" s="107" t="s">
        <v>0</v>
      </c>
      <c r="F166" s="108" t="s">
        <v>652</v>
      </c>
      <c r="H166" s="109">
        <v>102</v>
      </c>
      <c r="I166" s="110"/>
      <c r="L166" s="106"/>
      <c r="M166" s="111"/>
      <c r="T166" s="112"/>
      <c r="AT166" s="107" t="s">
        <v>88</v>
      </c>
      <c r="AU166" s="107" t="s">
        <v>47</v>
      </c>
      <c r="AV166" s="8" t="s">
        <v>47</v>
      </c>
      <c r="AW166" s="8" t="s">
        <v>18</v>
      </c>
      <c r="AX166" s="8" t="s">
        <v>44</v>
      </c>
      <c r="AY166" s="107" t="s">
        <v>77</v>
      </c>
    </row>
    <row r="167" spans="2:65" s="9" customFormat="1" ht="10.199999999999999" x14ac:dyDescent="0.2">
      <c r="B167" s="113"/>
      <c r="D167" s="96" t="s">
        <v>88</v>
      </c>
      <c r="E167" s="114" t="s">
        <v>0</v>
      </c>
      <c r="F167" s="115" t="s">
        <v>91</v>
      </c>
      <c r="H167" s="116">
        <v>582</v>
      </c>
      <c r="I167" s="117"/>
      <c r="L167" s="113"/>
      <c r="M167" s="118"/>
      <c r="T167" s="119"/>
      <c r="AT167" s="114" t="s">
        <v>88</v>
      </c>
      <c r="AU167" s="114" t="s">
        <v>47</v>
      </c>
      <c r="AV167" s="9" t="s">
        <v>84</v>
      </c>
      <c r="AW167" s="9" t="s">
        <v>18</v>
      </c>
      <c r="AX167" s="9" t="s">
        <v>45</v>
      </c>
      <c r="AY167" s="114" t="s">
        <v>77</v>
      </c>
    </row>
    <row r="168" spans="2:65" s="1" customFormat="1" ht="37.799999999999997" customHeight="1" x14ac:dyDescent="0.2">
      <c r="B168" s="19"/>
      <c r="C168" s="84" t="s">
        <v>154</v>
      </c>
      <c r="D168" s="84" t="s">
        <v>79</v>
      </c>
      <c r="E168" s="85" t="s">
        <v>653</v>
      </c>
      <c r="F168" s="86" t="s">
        <v>654</v>
      </c>
      <c r="G168" s="87" t="s">
        <v>82</v>
      </c>
      <c r="H168" s="88">
        <v>170</v>
      </c>
      <c r="I168" s="89"/>
      <c r="J168" s="88">
        <f>ROUND(I168*H168,2)</f>
        <v>0</v>
      </c>
      <c r="K168" s="86" t="s">
        <v>83</v>
      </c>
      <c r="L168" s="19"/>
      <c r="M168" s="90" t="s">
        <v>0</v>
      </c>
      <c r="N168" s="91" t="s">
        <v>26</v>
      </c>
      <c r="P168" s="92">
        <f>O168*H168</f>
        <v>0</v>
      </c>
      <c r="Q168" s="92">
        <v>0</v>
      </c>
      <c r="R168" s="92">
        <f>Q168*H168</f>
        <v>0</v>
      </c>
      <c r="S168" s="92">
        <v>0</v>
      </c>
      <c r="T168" s="93">
        <f>S168*H168</f>
        <v>0</v>
      </c>
      <c r="AR168" s="94" t="s">
        <v>84</v>
      </c>
      <c r="AT168" s="94" t="s">
        <v>79</v>
      </c>
      <c r="AU168" s="94" t="s">
        <v>47</v>
      </c>
      <c r="AY168" s="10" t="s">
        <v>77</v>
      </c>
      <c r="BE168" s="95">
        <f>IF(N168="základní",J168,0)</f>
        <v>0</v>
      </c>
      <c r="BF168" s="95">
        <f>IF(N168="snížená",J168,0)</f>
        <v>0</v>
      </c>
      <c r="BG168" s="95">
        <f>IF(N168="zákl. přenesená",J168,0)</f>
        <v>0</v>
      </c>
      <c r="BH168" s="95">
        <f>IF(N168="sníž. přenesená",J168,0)</f>
        <v>0</v>
      </c>
      <c r="BI168" s="95">
        <f>IF(N168="nulová",J168,0)</f>
        <v>0</v>
      </c>
      <c r="BJ168" s="10" t="s">
        <v>45</v>
      </c>
      <c r="BK168" s="95">
        <f>ROUND(I168*H168,2)</f>
        <v>0</v>
      </c>
      <c r="BL168" s="10" t="s">
        <v>84</v>
      </c>
      <c r="BM168" s="94" t="s">
        <v>655</v>
      </c>
    </row>
    <row r="169" spans="2:65" s="1" customFormat="1" ht="28.8" x14ac:dyDescent="0.2">
      <c r="B169" s="19"/>
      <c r="D169" s="96" t="s">
        <v>86</v>
      </c>
      <c r="F169" s="97" t="s">
        <v>656</v>
      </c>
      <c r="I169" s="98"/>
      <c r="L169" s="19"/>
      <c r="M169" s="99"/>
      <c r="T169" s="32"/>
      <c r="AT169" s="10" t="s">
        <v>86</v>
      </c>
      <c r="AU169" s="10" t="s">
        <v>47</v>
      </c>
    </row>
    <row r="170" spans="2:65" s="7" customFormat="1" ht="20.399999999999999" x14ac:dyDescent="0.2">
      <c r="B170" s="100"/>
      <c r="D170" s="96" t="s">
        <v>88</v>
      </c>
      <c r="E170" s="101" t="s">
        <v>0</v>
      </c>
      <c r="F170" s="102" t="s">
        <v>657</v>
      </c>
      <c r="H170" s="101" t="s">
        <v>0</v>
      </c>
      <c r="I170" s="103"/>
      <c r="L170" s="100"/>
      <c r="M170" s="104"/>
      <c r="T170" s="105"/>
      <c r="AT170" s="101" t="s">
        <v>88</v>
      </c>
      <c r="AU170" s="101" t="s">
        <v>47</v>
      </c>
      <c r="AV170" s="7" t="s">
        <v>45</v>
      </c>
      <c r="AW170" s="7" t="s">
        <v>18</v>
      </c>
      <c r="AX170" s="7" t="s">
        <v>44</v>
      </c>
      <c r="AY170" s="101" t="s">
        <v>77</v>
      </c>
    </row>
    <row r="171" spans="2:65" s="8" customFormat="1" ht="10.199999999999999" x14ac:dyDescent="0.2">
      <c r="B171" s="106"/>
      <c r="D171" s="96" t="s">
        <v>88</v>
      </c>
      <c r="E171" s="107" t="s">
        <v>0</v>
      </c>
      <c r="F171" s="108" t="s">
        <v>658</v>
      </c>
      <c r="H171" s="109">
        <v>170</v>
      </c>
      <c r="I171" s="110"/>
      <c r="L171" s="106"/>
      <c r="M171" s="111"/>
      <c r="T171" s="112"/>
      <c r="AT171" s="107" t="s">
        <v>88</v>
      </c>
      <c r="AU171" s="107" t="s">
        <v>47</v>
      </c>
      <c r="AV171" s="8" t="s">
        <v>47</v>
      </c>
      <c r="AW171" s="8" t="s">
        <v>18</v>
      </c>
      <c r="AX171" s="8" t="s">
        <v>45</v>
      </c>
      <c r="AY171" s="107" t="s">
        <v>77</v>
      </c>
    </row>
    <row r="172" spans="2:65" s="6" customFormat="1" ht="22.8" customHeight="1" x14ac:dyDescent="0.25">
      <c r="B172" s="72"/>
      <c r="D172" s="73" t="s">
        <v>43</v>
      </c>
      <c r="E172" s="82" t="s">
        <v>127</v>
      </c>
      <c r="F172" s="82" t="s">
        <v>659</v>
      </c>
      <c r="I172" s="75"/>
      <c r="J172" s="83">
        <f>BK172</f>
        <v>0</v>
      </c>
      <c r="L172" s="72"/>
      <c r="M172" s="77"/>
      <c r="P172" s="78">
        <f>SUM(P173:P232)</f>
        <v>0</v>
      </c>
      <c r="R172" s="78">
        <f>SUM(R173:R232)</f>
        <v>168.2166</v>
      </c>
      <c r="T172" s="79">
        <f>SUM(T173:T232)</f>
        <v>0</v>
      </c>
      <c r="AR172" s="73" t="s">
        <v>45</v>
      </c>
      <c r="AT172" s="80" t="s">
        <v>43</v>
      </c>
      <c r="AU172" s="80" t="s">
        <v>45</v>
      </c>
      <c r="AY172" s="73" t="s">
        <v>77</v>
      </c>
      <c r="BK172" s="81">
        <f>SUM(BK173:BK232)</f>
        <v>0</v>
      </c>
    </row>
    <row r="173" spans="2:65" s="1" customFormat="1" ht="33" customHeight="1" x14ac:dyDescent="0.2">
      <c r="B173" s="19"/>
      <c r="C173" s="84" t="s">
        <v>161</v>
      </c>
      <c r="D173" s="84" t="s">
        <v>79</v>
      </c>
      <c r="E173" s="85" t="s">
        <v>660</v>
      </c>
      <c r="F173" s="86" t="s">
        <v>661</v>
      </c>
      <c r="G173" s="87" t="s">
        <v>82</v>
      </c>
      <c r="H173" s="88">
        <v>828</v>
      </c>
      <c r="I173" s="89"/>
      <c r="J173" s="88">
        <f>ROUND(I173*H173,2)</f>
        <v>0</v>
      </c>
      <c r="K173" s="86" t="s">
        <v>83</v>
      </c>
      <c r="L173" s="19"/>
      <c r="M173" s="90" t="s">
        <v>0</v>
      </c>
      <c r="N173" s="91" t="s">
        <v>26</v>
      </c>
      <c r="P173" s="92">
        <f>O173*H173</f>
        <v>0</v>
      </c>
      <c r="Q173" s="92">
        <v>0</v>
      </c>
      <c r="R173" s="92">
        <f>Q173*H173</f>
        <v>0</v>
      </c>
      <c r="S173" s="92">
        <v>0</v>
      </c>
      <c r="T173" s="93">
        <f>S173*H173</f>
        <v>0</v>
      </c>
      <c r="AR173" s="94" t="s">
        <v>84</v>
      </c>
      <c r="AT173" s="94" t="s">
        <v>79</v>
      </c>
      <c r="AU173" s="94" t="s">
        <v>47</v>
      </c>
      <c r="AY173" s="10" t="s">
        <v>77</v>
      </c>
      <c r="BE173" s="95">
        <f>IF(N173="základní",J173,0)</f>
        <v>0</v>
      </c>
      <c r="BF173" s="95">
        <f>IF(N173="snížená",J173,0)</f>
        <v>0</v>
      </c>
      <c r="BG173" s="95">
        <f>IF(N173="zákl. přenesená",J173,0)</f>
        <v>0</v>
      </c>
      <c r="BH173" s="95">
        <f>IF(N173="sníž. přenesená",J173,0)</f>
        <v>0</v>
      </c>
      <c r="BI173" s="95">
        <f>IF(N173="nulová",J173,0)</f>
        <v>0</v>
      </c>
      <c r="BJ173" s="10" t="s">
        <v>45</v>
      </c>
      <c r="BK173" s="95">
        <f>ROUND(I173*H173,2)</f>
        <v>0</v>
      </c>
      <c r="BL173" s="10" t="s">
        <v>84</v>
      </c>
      <c r="BM173" s="94" t="s">
        <v>662</v>
      </c>
    </row>
    <row r="174" spans="2:65" s="1" customFormat="1" ht="28.8" x14ac:dyDescent="0.2">
      <c r="B174" s="19"/>
      <c r="D174" s="96" t="s">
        <v>86</v>
      </c>
      <c r="F174" s="97" t="s">
        <v>663</v>
      </c>
      <c r="I174" s="98"/>
      <c r="L174" s="19"/>
      <c r="M174" s="99"/>
      <c r="T174" s="32"/>
      <c r="AT174" s="10" t="s">
        <v>86</v>
      </c>
      <c r="AU174" s="10" t="s">
        <v>47</v>
      </c>
    </row>
    <row r="175" spans="2:65" s="8" customFormat="1" ht="10.199999999999999" x14ac:dyDescent="0.2">
      <c r="B175" s="106"/>
      <c r="D175" s="96" t="s">
        <v>88</v>
      </c>
      <c r="E175" s="107" t="s">
        <v>0</v>
      </c>
      <c r="F175" s="108" t="s">
        <v>664</v>
      </c>
      <c r="H175" s="109">
        <v>726</v>
      </c>
      <c r="I175" s="110"/>
      <c r="L175" s="106"/>
      <c r="M175" s="111"/>
      <c r="T175" s="112"/>
      <c r="AT175" s="107" t="s">
        <v>88</v>
      </c>
      <c r="AU175" s="107" t="s">
        <v>47</v>
      </c>
      <c r="AV175" s="8" t="s">
        <v>47</v>
      </c>
      <c r="AW175" s="8" t="s">
        <v>18</v>
      </c>
      <c r="AX175" s="8" t="s">
        <v>44</v>
      </c>
      <c r="AY175" s="107" t="s">
        <v>77</v>
      </c>
    </row>
    <row r="176" spans="2:65" s="8" customFormat="1" ht="10.199999999999999" x14ac:dyDescent="0.2">
      <c r="B176" s="106"/>
      <c r="D176" s="96" t="s">
        <v>88</v>
      </c>
      <c r="E176" s="107" t="s">
        <v>0</v>
      </c>
      <c r="F176" s="108" t="s">
        <v>652</v>
      </c>
      <c r="H176" s="109">
        <v>102</v>
      </c>
      <c r="I176" s="110"/>
      <c r="L176" s="106"/>
      <c r="M176" s="111"/>
      <c r="T176" s="112"/>
      <c r="AT176" s="107" t="s">
        <v>88</v>
      </c>
      <c r="AU176" s="107" t="s">
        <v>47</v>
      </c>
      <c r="AV176" s="8" t="s">
        <v>47</v>
      </c>
      <c r="AW176" s="8" t="s">
        <v>18</v>
      </c>
      <c r="AX176" s="8" t="s">
        <v>44</v>
      </c>
      <c r="AY176" s="107" t="s">
        <v>77</v>
      </c>
    </row>
    <row r="177" spans="2:65" s="9" customFormat="1" ht="10.199999999999999" x14ac:dyDescent="0.2">
      <c r="B177" s="113"/>
      <c r="D177" s="96" t="s">
        <v>88</v>
      </c>
      <c r="E177" s="114" t="s">
        <v>0</v>
      </c>
      <c r="F177" s="115" t="s">
        <v>91</v>
      </c>
      <c r="H177" s="116">
        <v>828</v>
      </c>
      <c r="I177" s="117"/>
      <c r="L177" s="113"/>
      <c r="M177" s="118"/>
      <c r="T177" s="119"/>
      <c r="AT177" s="114" t="s">
        <v>88</v>
      </c>
      <c r="AU177" s="114" t="s">
        <v>47</v>
      </c>
      <c r="AV177" s="9" t="s">
        <v>84</v>
      </c>
      <c r="AW177" s="9" t="s">
        <v>18</v>
      </c>
      <c r="AX177" s="9" t="s">
        <v>45</v>
      </c>
      <c r="AY177" s="114" t="s">
        <v>77</v>
      </c>
    </row>
    <row r="178" spans="2:65" s="1" customFormat="1" ht="33" customHeight="1" x14ac:dyDescent="0.2">
      <c r="B178" s="19"/>
      <c r="C178" s="84" t="s">
        <v>167</v>
      </c>
      <c r="D178" s="84" t="s">
        <v>79</v>
      </c>
      <c r="E178" s="85" t="s">
        <v>665</v>
      </c>
      <c r="F178" s="86" t="s">
        <v>666</v>
      </c>
      <c r="G178" s="87" t="s">
        <v>82</v>
      </c>
      <c r="H178" s="88">
        <v>102</v>
      </c>
      <c r="I178" s="89"/>
      <c r="J178" s="88">
        <f>ROUND(I178*H178,2)</f>
        <v>0</v>
      </c>
      <c r="K178" s="86" t="s">
        <v>83</v>
      </c>
      <c r="L178" s="19"/>
      <c r="M178" s="90" t="s">
        <v>0</v>
      </c>
      <c r="N178" s="91" t="s">
        <v>26</v>
      </c>
      <c r="P178" s="92">
        <f>O178*H178</f>
        <v>0</v>
      </c>
      <c r="Q178" s="92">
        <v>0</v>
      </c>
      <c r="R178" s="92">
        <f>Q178*H178</f>
        <v>0</v>
      </c>
      <c r="S178" s="92">
        <v>0</v>
      </c>
      <c r="T178" s="93">
        <f>S178*H178</f>
        <v>0</v>
      </c>
      <c r="AR178" s="94" t="s">
        <v>84</v>
      </c>
      <c r="AT178" s="94" t="s">
        <v>79</v>
      </c>
      <c r="AU178" s="94" t="s">
        <v>47</v>
      </c>
      <c r="AY178" s="10" t="s">
        <v>77</v>
      </c>
      <c r="BE178" s="95">
        <f>IF(N178="základní",J178,0)</f>
        <v>0</v>
      </c>
      <c r="BF178" s="95">
        <f>IF(N178="snížená",J178,0)</f>
        <v>0</v>
      </c>
      <c r="BG178" s="95">
        <f>IF(N178="zákl. přenesená",J178,0)</f>
        <v>0</v>
      </c>
      <c r="BH178" s="95">
        <f>IF(N178="sníž. přenesená",J178,0)</f>
        <v>0</v>
      </c>
      <c r="BI178" s="95">
        <f>IF(N178="nulová",J178,0)</f>
        <v>0</v>
      </c>
      <c r="BJ178" s="10" t="s">
        <v>45</v>
      </c>
      <c r="BK178" s="95">
        <f>ROUND(I178*H178,2)</f>
        <v>0</v>
      </c>
      <c r="BL178" s="10" t="s">
        <v>84</v>
      </c>
      <c r="BM178" s="94" t="s">
        <v>667</v>
      </c>
    </row>
    <row r="179" spans="2:65" s="1" customFormat="1" ht="28.8" x14ac:dyDescent="0.2">
      <c r="B179" s="19"/>
      <c r="D179" s="96" t="s">
        <v>86</v>
      </c>
      <c r="F179" s="97" t="s">
        <v>668</v>
      </c>
      <c r="I179" s="98"/>
      <c r="L179" s="19"/>
      <c r="M179" s="99"/>
      <c r="T179" s="32"/>
      <c r="AT179" s="10" t="s">
        <v>86</v>
      </c>
      <c r="AU179" s="10" t="s">
        <v>47</v>
      </c>
    </row>
    <row r="180" spans="2:65" s="8" customFormat="1" ht="10.199999999999999" x14ac:dyDescent="0.2">
      <c r="B180" s="106"/>
      <c r="D180" s="96" t="s">
        <v>88</v>
      </c>
      <c r="E180" s="107" t="s">
        <v>0</v>
      </c>
      <c r="F180" s="108" t="s">
        <v>652</v>
      </c>
      <c r="H180" s="109">
        <v>102</v>
      </c>
      <c r="I180" s="110"/>
      <c r="L180" s="106"/>
      <c r="M180" s="111"/>
      <c r="T180" s="112"/>
      <c r="AT180" s="107" t="s">
        <v>88</v>
      </c>
      <c r="AU180" s="107" t="s">
        <v>47</v>
      </c>
      <c r="AV180" s="8" t="s">
        <v>47</v>
      </c>
      <c r="AW180" s="8" t="s">
        <v>18</v>
      </c>
      <c r="AX180" s="8" t="s">
        <v>44</v>
      </c>
      <c r="AY180" s="107" t="s">
        <v>77</v>
      </c>
    </row>
    <row r="181" spans="2:65" s="9" customFormat="1" ht="10.199999999999999" x14ac:dyDescent="0.2">
      <c r="B181" s="113"/>
      <c r="D181" s="96" t="s">
        <v>88</v>
      </c>
      <c r="E181" s="114" t="s">
        <v>0</v>
      </c>
      <c r="F181" s="115" t="s">
        <v>91</v>
      </c>
      <c r="H181" s="116">
        <v>102</v>
      </c>
      <c r="I181" s="117"/>
      <c r="L181" s="113"/>
      <c r="M181" s="118"/>
      <c r="T181" s="119"/>
      <c r="AT181" s="114" t="s">
        <v>88</v>
      </c>
      <c r="AU181" s="114" t="s">
        <v>47</v>
      </c>
      <c r="AV181" s="9" t="s">
        <v>84</v>
      </c>
      <c r="AW181" s="9" t="s">
        <v>18</v>
      </c>
      <c r="AX181" s="9" t="s">
        <v>45</v>
      </c>
      <c r="AY181" s="114" t="s">
        <v>77</v>
      </c>
    </row>
    <row r="182" spans="2:65" s="1" customFormat="1" ht="33" customHeight="1" x14ac:dyDescent="0.2">
      <c r="B182" s="19"/>
      <c r="C182" s="84" t="s">
        <v>3</v>
      </c>
      <c r="D182" s="84" t="s">
        <v>79</v>
      </c>
      <c r="E182" s="85" t="s">
        <v>669</v>
      </c>
      <c r="F182" s="86" t="s">
        <v>670</v>
      </c>
      <c r="G182" s="87" t="s">
        <v>82</v>
      </c>
      <c r="H182" s="88">
        <v>117</v>
      </c>
      <c r="I182" s="89"/>
      <c r="J182" s="88">
        <f>ROUND(I182*H182,2)</f>
        <v>0</v>
      </c>
      <c r="K182" s="86" t="s">
        <v>83</v>
      </c>
      <c r="L182" s="19"/>
      <c r="M182" s="90" t="s">
        <v>0</v>
      </c>
      <c r="N182" s="91" t="s">
        <v>26</v>
      </c>
      <c r="P182" s="92">
        <f>O182*H182</f>
        <v>0</v>
      </c>
      <c r="Q182" s="92">
        <v>0</v>
      </c>
      <c r="R182" s="92">
        <f>Q182*H182</f>
        <v>0</v>
      </c>
      <c r="S182" s="92">
        <v>0</v>
      </c>
      <c r="T182" s="93">
        <f>S182*H182</f>
        <v>0</v>
      </c>
      <c r="AR182" s="94" t="s">
        <v>84</v>
      </c>
      <c r="AT182" s="94" t="s">
        <v>79</v>
      </c>
      <c r="AU182" s="94" t="s">
        <v>47</v>
      </c>
      <c r="AY182" s="10" t="s">
        <v>77</v>
      </c>
      <c r="BE182" s="95">
        <f>IF(N182="základní",J182,0)</f>
        <v>0</v>
      </c>
      <c r="BF182" s="95">
        <f>IF(N182="snížená",J182,0)</f>
        <v>0</v>
      </c>
      <c r="BG182" s="95">
        <f>IF(N182="zákl. přenesená",J182,0)</f>
        <v>0</v>
      </c>
      <c r="BH182" s="95">
        <f>IF(N182="sníž. přenesená",J182,0)</f>
        <v>0</v>
      </c>
      <c r="BI182" s="95">
        <f>IF(N182="nulová",J182,0)</f>
        <v>0</v>
      </c>
      <c r="BJ182" s="10" t="s">
        <v>45</v>
      </c>
      <c r="BK182" s="95">
        <f>ROUND(I182*H182,2)</f>
        <v>0</v>
      </c>
      <c r="BL182" s="10" t="s">
        <v>84</v>
      </c>
      <c r="BM182" s="94" t="s">
        <v>671</v>
      </c>
    </row>
    <row r="183" spans="2:65" s="1" customFormat="1" ht="28.8" x14ac:dyDescent="0.2">
      <c r="B183" s="19"/>
      <c r="D183" s="96" t="s">
        <v>86</v>
      </c>
      <c r="F183" s="97" t="s">
        <v>672</v>
      </c>
      <c r="I183" s="98"/>
      <c r="L183" s="19"/>
      <c r="M183" s="99"/>
      <c r="T183" s="32"/>
      <c r="AT183" s="10" t="s">
        <v>86</v>
      </c>
      <c r="AU183" s="10" t="s">
        <v>47</v>
      </c>
    </row>
    <row r="184" spans="2:65" s="8" customFormat="1" ht="10.199999999999999" x14ac:dyDescent="0.2">
      <c r="B184" s="106"/>
      <c r="D184" s="96" t="s">
        <v>88</v>
      </c>
      <c r="E184" s="107" t="s">
        <v>0</v>
      </c>
      <c r="F184" s="108" t="s">
        <v>650</v>
      </c>
      <c r="H184" s="109">
        <v>70</v>
      </c>
      <c r="I184" s="110"/>
      <c r="L184" s="106"/>
      <c r="M184" s="111"/>
      <c r="T184" s="112"/>
      <c r="AT184" s="107" t="s">
        <v>88</v>
      </c>
      <c r="AU184" s="107" t="s">
        <v>47</v>
      </c>
      <c r="AV184" s="8" t="s">
        <v>47</v>
      </c>
      <c r="AW184" s="8" t="s">
        <v>18</v>
      </c>
      <c r="AX184" s="8" t="s">
        <v>44</v>
      </c>
      <c r="AY184" s="107" t="s">
        <v>77</v>
      </c>
    </row>
    <row r="185" spans="2:65" s="8" customFormat="1" ht="10.199999999999999" x14ac:dyDescent="0.2">
      <c r="B185" s="106"/>
      <c r="D185" s="96" t="s">
        <v>88</v>
      </c>
      <c r="E185" s="107" t="s">
        <v>0</v>
      </c>
      <c r="F185" s="108" t="s">
        <v>649</v>
      </c>
      <c r="H185" s="109">
        <v>47</v>
      </c>
      <c r="I185" s="110"/>
      <c r="L185" s="106"/>
      <c r="M185" s="111"/>
      <c r="T185" s="112"/>
      <c r="AT185" s="107" t="s">
        <v>88</v>
      </c>
      <c r="AU185" s="107" t="s">
        <v>47</v>
      </c>
      <c r="AV185" s="8" t="s">
        <v>47</v>
      </c>
      <c r="AW185" s="8" t="s">
        <v>18</v>
      </c>
      <c r="AX185" s="8" t="s">
        <v>44</v>
      </c>
      <c r="AY185" s="107" t="s">
        <v>77</v>
      </c>
    </row>
    <row r="186" spans="2:65" s="9" customFormat="1" ht="10.199999999999999" x14ac:dyDescent="0.2">
      <c r="B186" s="113"/>
      <c r="D186" s="96" t="s">
        <v>88</v>
      </c>
      <c r="E186" s="114" t="s">
        <v>0</v>
      </c>
      <c r="F186" s="115" t="s">
        <v>91</v>
      </c>
      <c r="H186" s="116">
        <v>117</v>
      </c>
      <c r="I186" s="117"/>
      <c r="L186" s="113"/>
      <c r="M186" s="118"/>
      <c r="T186" s="119"/>
      <c r="AT186" s="114" t="s">
        <v>88</v>
      </c>
      <c r="AU186" s="114" t="s">
        <v>47</v>
      </c>
      <c r="AV186" s="9" t="s">
        <v>84</v>
      </c>
      <c r="AW186" s="9" t="s">
        <v>18</v>
      </c>
      <c r="AX186" s="9" t="s">
        <v>45</v>
      </c>
      <c r="AY186" s="114" t="s">
        <v>77</v>
      </c>
    </row>
    <row r="187" spans="2:65" s="1" customFormat="1" ht="33" customHeight="1" x14ac:dyDescent="0.2">
      <c r="B187" s="19"/>
      <c r="C187" s="84" t="s">
        <v>179</v>
      </c>
      <c r="D187" s="84" t="s">
        <v>79</v>
      </c>
      <c r="E187" s="85" t="s">
        <v>673</v>
      </c>
      <c r="F187" s="86" t="s">
        <v>674</v>
      </c>
      <c r="G187" s="87" t="s">
        <v>82</v>
      </c>
      <c r="H187" s="88">
        <v>480</v>
      </c>
      <c r="I187" s="89"/>
      <c r="J187" s="88">
        <f>ROUND(I187*H187,2)</f>
        <v>0</v>
      </c>
      <c r="K187" s="86" t="s">
        <v>83</v>
      </c>
      <c r="L187" s="19"/>
      <c r="M187" s="90" t="s">
        <v>0</v>
      </c>
      <c r="N187" s="91" t="s">
        <v>26</v>
      </c>
      <c r="P187" s="92">
        <f>O187*H187</f>
        <v>0</v>
      </c>
      <c r="Q187" s="92">
        <v>0</v>
      </c>
      <c r="R187" s="92">
        <f>Q187*H187</f>
        <v>0</v>
      </c>
      <c r="S187" s="92">
        <v>0</v>
      </c>
      <c r="T187" s="93">
        <f>S187*H187</f>
        <v>0</v>
      </c>
      <c r="AR187" s="94" t="s">
        <v>84</v>
      </c>
      <c r="AT187" s="94" t="s">
        <v>79</v>
      </c>
      <c r="AU187" s="94" t="s">
        <v>47</v>
      </c>
      <c r="AY187" s="10" t="s">
        <v>77</v>
      </c>
      <c r="BE187" s="95">
        <f>IF(N187="základní",J187,0)</f>
        <v>0</v>
      </c>
      <c r="BF187" s="95">
        <f>IF(N187="snížená",J187,0)</f>
        <v>0</v>
      </c>
      <c r="BG187" s="95">
        <f>IF(N187="zákl. přenesená",J187,0)</f>
        <v>0</v>
      </c>
      <c r="BH187" s="95">
        <f>IF(N187="sníž. přenesená",J187,0)</f>
        <v>0</v>
      </c>
      <c r="BI187" s="95">
        <f>IF(N187="nulová",J187,0)</f>
        <v>0</v>
      </c>
      <c r="BJ187" s="10" t="s">
        <v>45</v>
      </c>
      <c r="BK187" s="95">
        <f>ROUND(I187*H187,2)</f>
        <v>0</v>
      </c>
      <c r="BL187" s="10" t="s">
        <v>84</v>
      </c>
      <c r="BM187" s="94" t="s">
        <v>675</v>
      </c>
    </row>
    <row r="188" spans="2:65" s="1" customFormat="1" ht="28.8" x14ac:dyDescent="0.2">
      <c r="B188" s="19"/>
      <c r="D188" s="96" t="s">
        <v>86</v>
      </c>
      <c r="F188" s="97" t="s">
        <v>676</v>
      </c>
      <c r="I188" s="98"/>
      <c r="L188" s="19"/>
      <c r="M188" s="99"/>
      <c r="T188" s="32"/>
      <c r="AT188" s="10" t="s">
        <v>86</v>
      </c>
      <c r="AU188" s="10" t="s">
        <v>47</v>
      </c>
    </row>
    <row r="189" spans="2:65" s="8" customFormat="1" ht="10.199999999999999" x14ac:dyDescent="0.2">
      <c r="B189" s="106"/>
      <c r="D189" s="96" t="s">
        <v>88</v>
      </c>
      <c r="E189" s="107" t="s">
        <v>0</v>
      </c>
      <c r="F189" s="108" t="s">
        <v>649</v>
      </c>
      <c r="H189" s="109">
        <v>47</v>
      </c>
      <c r="I189" s="110"/>
      <c r="L189" s="106"/>
      <c r="M189" s="111"/>
      <c r="T189" s="112"/>
      <c r="AT189" s="107" t="s">
        <v>88</v>
      </c>
      <c r="AU189" s="107" t="s">
        <v>47</v>
      </c>
      <c r="AV189" s="8" t="s">
        <v>47</v>
      </c>
      <c r="AW189" s="8" t="s">
        <v>18</v>
      </c>
      <c r="AX189" s="8" t="s">
        <v>44</v>
      </c>
      <c r="AY189" s="107" t="s">
        <v>77</v>
      </c>
    </row>
    <row r="190" spans="2:65" s="8" customFormat="1" ht="10.199999999999999" x14ac:dyDescent="0.2">
      <c r="B190" s="106"/>
      <c r="D190" s="96" t="s">
        <v>88</v>
      </c>
      <c r="E190" s="107" t="s">
        <v>0</v>
      </c>
      <c r="F190" s="108" t="s">
        <v>650</v>
      </c>
      <c r="H190" s="109">
        <v>70</v>
      </c>
      <c r="I190" s="110"/>
      <c r="L190" s="106"/>
      <c r="M190" s="111"/>
      <c r="T190" s="112"/>
      <c r="AT190" s="107" t="s">
        <v>88</v>
      </c>
      <c r="AU190" s="107" t="s">
        <v>47</v>
      </c>
      <c r="AV190" s="8" t="s">
        <v>47</v>
      </c>
      <c r="AW190" s="8" t="s">
        <v>18</v>
      </c>
      <c r="AX190" s="8" t="s">
        <v>44</v>
      </c>
      <c r="AY190" s="107" t="s">
        <v>77</v>
      </c>
    </row>
    <row r="191" spans="2:65" s="8" customFormat="1" ht="10.199999999999999" x14ac:dyDescent="0.2">
      <c r="B191" s="106"/>
      <c r="D191" s="96" t="s">
        <v>88</v>
      </c>
      <c r="E191" s="107" t="s">
        <v>0</v>
      </c>
      <c r="F191" s="108" t="s">
        <v>651</v>
      </c>
      <c r="H191" s="109">
        <v>363</v>
      </c>
      <c r="I191" s="110"/>
      <c r="L191" s="106"/>
      <c r="M191" s="111"/>
      <c r="T191" s="112"/>
      <c r="AT191" s="107" t="s">
        <v>88</v>
      </c>
      <c r="AU191" s="107" t="s">
        <v>47</v>
      </c>
      <c r="AV191" s="8" t="s">
        <v>47</v>
      </c>
      <c r="AW191" s="8" t="s">
        <v>18</v>
      </c>
      <c r="AX191" s="8" t="s">
        <v>44</v>
      </c>
      <c r="AY191" s="107" t="s">
        <v>77</v>
      </c>
    </row>
    <row r="192" spans="2:65" s="9" customFormat="1" ht="10.199999999999999" x14ac:dyDescent="0.2">
      <c r="B192" s="113"/>
      <c r="D192" s="96" t="s">
        <v>88</v>
      </c>
      <c r="E192" s="114" t="s">
        <v>0</v>
      </c>
      <c r="F192" s="115" t="s">
        <v>91</v>
      </c>
      <c r="H192" s="116">
        <v>480</v>
      </c>
      <c r="I192" s="117"/>
      <c r="L192" s="113"/>
      <c r="M192" s="118"/>
      <c r="T192" s="119"/>
      <c r="AT192" s="114" t="s">
        <v>88</v>
      </c>
      <c r="AU192" s="114" t="s">
        <v>47</v>
      </c>
      <c r="AV192" s="9" t="s">
        <v>84</v>
      </c>
      <c r="AW192" s="9" t="s">
        <v>18</v>
      </c>
      <c r="AX192" s="9" t="s">
        <v>45</v>
      </c>
      <c r="AY192" s="114" t="s">
        <v>77</v>
      </c>
    </row>
    <row r="193" spans="2:65" s="1" customFormat="1" ht="24.15" customHeight="1" x14ac:dyDescent="0.2">
      <c r="B193" s="19"/>
      <c r="C193" s="84" t="s">
        <v>192</v>
      </c>
      <c r="D193" s="84" t="s">
        <v>79</v>
      </c>
      <c r="E193" s="85" t="s">
        <v>677</v>
      </c>
      <c r="F193" s="86" t="s">
        <v>678</v>
      </c>
      <c r="G193" s="87" t="s">
        <v>82</v>
      </c>
      <c r="H193" s="88">
        <v>102</v>
      </c>
      <c r="I193" s="89"/>
      <c r="J193" s="88">
        <f>ROUND(I193*H193,2)</f>
        <v>0</v>
      </c>
      <c r="K193" s="86" t="s">
        <v>83</v>
      </c>
      <c r="L193" s="19"/>
      <c r="M193" s="90" t="s">
        <v>0</v>
      </c>
      <c r="N193" s="91" t="s">
        <v>26</v>
      </c>
      <c r="P193" s="92">
        <f>O193*H193</f>
        <v>0</v>
      </c>
      <c r="Q193" s="92">
        <v>0</v>
      </c>
      <c r="R193" s="92">
        <f>Q193*H193</f>
        <v>0</v>
      </c>
      <c r="S193" s="92">
        <v>0</v>
      </c>
      <c r="T193" s="93">
        <f>S193*H193</f>
        <v>0</v>
      </c>
      <c r="AR193" s="94" t="s">
        <v>84</v>
      </c>
      <c r="AT193" s="94" t="s">
        <v>79</v>
      </c>
      <c r="AU193" s="94" t="s">
        <v>47</v>
      </c>
      <c r="AY193" s="10" t="s">
        <v>77</v>
      </c>
      <c r="BE193" s="95">
        <f>IF(N193="základní",J193,0)</f>
        <v>0</v>
      </c>
      <c r="BF193" s="95">
        <f>IF(N193="snížená",J193,0)</f>
        <v>0</v>
      </c>
      <c r="BG193" s="95">
        <f>IF(N193="zákl. přenesená",J193,0)</f>
        <v>0</v>
      </c>
      <c r="BH193" s="95">
        <f>IF(N193="sníž. přenesená",J193,0)</f>
        <v>0</v>
      </c>
      <c r="BI193" s="95">
        <f>IF(N193="nulová",J193,0)</f>
        <v>0</v>
      </c>
      <c r="BJ193" s="10" t="s">
        <v>45</v>
      </c>
      <c r="BK193" s="95">
        <f>ROUND(I193*H193,2)</f>
        <v>0</v>
      </c>
      <c r="BL193" s="10" t="s">
        <v>84</v>
      </c>
      <c r="BM193" s="94" t="s">
        <v>679</v>
      </c>
    </row>
    <row r="194" spans="2:65" s="1" customFormat="1" ht="19.2" x14ac:dyDescent="0.2">
      <c r="B194" s="19"/>
      <c r="D194" s="96" t="s">
        <v>86</v>
      </c>
      <c r="F194" s="97" t="s">
        <v>680</v>
      </c>
      <c r="I194" s="98"/>
      <c r="L194" s="19"/>
      <c r="M194" s="99"/>
      <c r="T194" s="32"/>
      <c r="AT194" s="10" t="s">
        <v>86</v>
      </c>
      <c r="AU194" s="10" t="s">
        <v>47</v>
      </c>
    </row>
    <row r="195" spans="2:65" s="8" customFormat="1" ht="10.199999999999999" x14ac:dyDescent="0.2">
      <c r="B195" s="106"/>
      <c r="D195" s="96" t="s">
        <v>88</v>
      </c>
      <c r="E195" s="107" t="s">
        <v>0</v>
      </c>
      <c r="F195" s="108" t="s">
        <v>652</v>
      </c>
      <c r="H195" s="109">
        <v>102</v>
      </c>
      <c r="I195" s="110"/>
      <c r="L195" s="106"/>
      <c r="M195" s="111"/>
      <c r="T195" s="112"/>
      <c r="AT195" s="107" t="s">
        <v>88</v>
      </c>
      <c r="AU195" s="107" t="s">
        <v>47</v>
      </c>
      <c r="AV195" s="8" t="s">
        <v>47</v>
      </c>
      <c r="AW195" s="8" t="s">
        <v>18</v>
      </c>
      <c r="AX195" s="8" t="s">
        <v>45</v>
      </c>
      <c r="AY195" s="107" t="s">
        <v>77</v>
      </c>
    </row>
    <row r="196" spans="2:65" s="1" customFormat="1" ht="24.15" customHeight="1" x14ac:dyDescent="0.2">
      <c r="B196" s="19"/>
      <c r="C196" s="84" t="s">
        <v>203</v>
      </c>
      <c r="D196" s="84" t="s">
        <v>79</v>
      </c>
      <c r="E196" s="85" t="s">
        <v>681</v>
      </c>
      <c r="F196" s="86" t="s">
        <v>682</v>
      </c>
      <c r="G196" s="87" t="s">
        <v>82</v>
      </c>
      <c r="H196" s="88">
        <v>340</v>
      </c>
      <c r="I196" s="89"/>
      <c r="J196" s="88">
        <f>ROUND(I196*H196,2)</f>
        <v>0</v>
      </c>
      <c r="K196" s="86" t="s">
        <v>83</v>
      </c>
      <c r="L196" s="19"/>
      <c r="M196" s="90" t="s">
        <v>0</v>
      </c>
      <c r="N196" s="91" t="s">
        <v>26</v>
      </c>
      <c r="P196" s="92">
        <f>O196*H196</f>
        <v>0</v>
      </c>
      <c r="Q196" s="92">
        <v>0</v>
      </c>
      <c r="R196" s="92">
        <f>Q196*H196</f>
        <v>0</v>
      </c>
      <c r="S196" s="92">
        <v>0</v>
      </c>
      <c r="T196" s="93">
        <f>S196*H196</f>
        <v>0</v>
      </c>
      <c r="AR196" s="94" t="s">
        <v>84</v>
      </c>
      <c r="AT196" s="94" t="s">
        <v>79</v>
      </c>
      <c r="AU196" s="94" t="s">
        <v>47</v>
      </c>
      <c r="AY196" s="10" t="s">
        <v>77</v>
      </c>
      <c r="BE196" s="95">
        <f>IF(N196="základní",J196,0)</f>
        <v>0</v>
      </c>
      <c r="BF196" s="95">
        <f>IF(N196="snížená",J196,0)</f>
        <v>0</v>
      </c>
      <c r="BG196" s="95">
        <f>IF(N196="zákl. přenesená",J196,0)</f>
        <v>0</v>
      </c>
      <c r="BH196" s="95">
        <f>IF(N196="sníž. přenesená",J196,0)</f>
        <v>0</v>
      </c>
      <c r="BI196" s="95">
        <f>IF(N196="nulová",J196,0)</f>
        <v>0</v>
      </c>
      <c r="BJ196" s="10" t="s">
        <v>45</v>
      </c>
      <c r="BK196" s="95">
        <f>ROUND(I196*H196,2)</f>
        <v>0</v>
      </c>
      <c r="BL196" s="10" t="s">
        <v>84</v>
      </c>
      <c r="BM196" s="94" t="s">
        <v>683</v>
      </c>
    </row>
    <row r="197" spans="2:65" s="1" customFormat="1" ht="19.2" x14ac:dyDescent="0.2">
      <c r="B197" s="19"/>
      <c r="D197" s="96" t="s">
        <v>86</v>
      </c>
      <c r="F197" s="97" t="s">
        <v>684</v>
      </c>
      <c r="I197" s="98"/>
      <c r="L197" s="19"/>
      <c r="M197" s="99"/>
      <c r="T197" s="32"/>
      <c r="AT197" s="10" t="s">
        <v>86</v>
      </c>
      <c r="AU197" s="10" t="s">
        <v>47</v>
      </c>
    </row>
    <row r="198" spans="2:65" s="7" customFormat="1" ht="10.199999999999999" x14ac:dyDescent="0.2">
      <c r="B198" s="100"/>
      <c r="D198" s="96" t="s">
        <v>88</v>
      </c>
      <c r="E198" s="101" t="s">
        <v>0</v>
      </c>
      <c r="F198" s="102" t="s">
        <v>685</v>
      </c>
      <c r="H198" s="101" t="s">
        <v>0</v>
      </c>
      <c r="I198" s="103"/>
      <c r="L198" s="100"/>
      <c r="M198" s="104"/>
      <c r="T198" s="105"/>
      <c r="AT198" s="101" t="s">
        <v>88</v>
      </c>
      <c r="AU198" s="101" t="s">
        <v>47</v>
      </c>
      <c r="AV198" s="7" t="s">
        <v>45</v>
      </c>
      <c r="AW198" s="7" t="s">
        <v>18</v>
      </c>
      <c r="AX198" s="7" t="s">
        <v>44</v>
      </c>
      <c r="AY198" s="101" t="s">
        <v>77</v>
      </c>
    </row>
    <row r="199" spans="2:65" s="8" customFormat="1" ht="20.399999999999999" x14ac:dyDescent="0.2">
      <c r="B199" s="106"/>
      <c r="D199" s="96" t="s">
        <v>88</v>
      </c>
      <c r="E199" s="107" t="s">
        <v>0</v>
      </c>
      <c r="F199" s="108" t="s">
        <v>686</v>
      </c>
      <c r="H199" s="109">
        <v>340</v>
      </c>
      <c r="I199" s="110"/>
      <c r="L199" s="106"/>
      <c r="M199" s="111"/>
      <c r="T199" s="112"/>
      <c r="AT199" s="107" t="s">
        <v>88</v>
      </c>
      <c r="AU199" s="107" t="s">
        <v>47</v>
      </c>
      <c r="AV199" s="8" t="s">
        <v>47</v>
      </c>
      <c r="AW199" s="8" t="s">
        <v>18</v>
      </c>
      <c r="AX199" s="8" t="s">
        <v>45</v>
      </c>
      <c r="AY199" s="107" t="s">
        <v>77</v>
      </c>
    </row>
    <row r="200" spans="2:65" s="1" customFormat="1" ht="24.15" customHeight="1" x14ac:dyDescent="0.2">
      <c r="B200" s="19"/>
      <c r="C200" s="84" t="s">
        <v>210</v>
      </c>
      <c r="D200" s="84" t="s">
        <v>79</v>
      </c>
      <c r="E200" s="85" t="s">
        <v>687</v>
      </c>
      <c r="F200" s="86" t="s">
        <v>688</v>
      </c>
      <c r="G200" s="87" t="s">
        <v>82</v>
      </c>
      <c r="H200" s="88">
        <v>420</v>
      </c>
      <c r="I200" s="89"/>
      <c r="J200" s="88">
        <f>ROUND(I200*H200,2)</f>
        <v>0</v>
      </c>
      <c r="K200" s="86" t="s">
        <v>83</v>
      </c>
      <c r="L200" s="19"/>
      <c r="M200" s="90" t="s">
        <v>0</v>
      </c>
      <c r="N200" s="91" t="s">
        <v>26</v>
      </c>
      <c r="P200" s="92">
        <f>O200*H200</f>
        <v>0</v>
      </c>
      <c r="Q200" s="92">
        <v>0</v>
      </c>
      <c r="R200" s="92">
        <f>Q200*H200</f>
        <v>0</v>
      </c>
      <c r="S200" s="92">
        <v>0</v>
      </c>
      <c r="T200" s="93">
        <f>S200*H200</f>
        <v>0</v>
      </c>
      <c r="AR200" s="94" t="s">
        <v>84</v>
      </c>
      <c r="AT200" s="94" t="s">
        <v>79</v>
      </c>
      <c r="AU200" s="94" t="s">
        <v>47</v>
      </c>
      <c r="AY200" s="10" t="s">
        <v>77</v>
      </c>
      <c r="BE200" s="95">
        <f>IF(N200="základní",J200,0)</f>
        <v>0</v>
      </c>
      <c r="BF200" s="95">
        <f>IF(N200="snížená",J200,0)</f>
        <v>0</v>
      </c>
      <c r="BG200" s="95">
        <f>IF(N200="zákl. přenesená",J200,0)</f>
        <v>0</v>
      </c>
      <c r="BH200" s="95">
        <f>IF(N200="sníž. přenesená",J200,0)</f>
        <v>0</v>
      </c>
      <c r="BI200" s="95">
        <f>IF(N200="nulová",J200,0)</f>
        <v>0</v>
      </c>
      <c r="BJ200" s="10" t="s">
        <v>45</v>
      </c>
      <c r="BK200" s="95">
        <f>ROUND(I200*H200,2)</f>
        <v>0</v>
      </c>
      <c r="BL200" s="10" t="s">
        <v>84</v>
      </c>
      <c r="BM200" s="94" t="s">
        <v>689</v>
      </c>
    </row>
    <row r="201" spans="2:65" s="1" customFormat="1" ht="19.2" x14ac:dyDescent="0.2">
      <c r="B201" s="19"/>
      <c r="D201" s="96" t="s">
        <v>86</v>
      </c>
      <c r="F201" s="97" t="s">
        <v>690</v>
      </c>
      <c r="I201" s="98"/>
      <c r="L201" s="19"/>
      <c r="M201" s="99"/>
      <c r="T201" s="32"/>
      <c r="AT201" s="10" t="s">
        <v>86</v>
      </c>
      <c r="AU201" s="10" t="s">
        <v>47</v>
      </c>
    </row>
    <row r="202" spans="2:65" s="7" customFormat="1" ht="10.199999999999999" x14ac:dyDescent="0.2">
      <c r="B202" s="100"/>
      <c r="D202" s="96" t="s">
        <v>88</v>
      </c>
      <c r="E202" s="101" t="s">
        <v>0</v>
      </c>
      <c r="F202" s="102" t="s">
        <v>685</v>
      </c>
      <c r="H202" s="101" t="s">
        <v>0</v>
      </c>
      <c r="I202" s="103"/>
      <c r="L202" s="100"/>
      <c r="M202" s="104"/>
      <c r="T202" s="105"/>
      <c r="AT202" s="101" t="s">
        <v>88</v>
      </c>
      <c r="AU202" s="101" t="s">
        <v>47</v>
      </c>
      <c r="AV202" s="7" t="s">
        <v>45</v>
      </c>
      <c r="AW202" s="7" t="s">
        <v>18</v>
      </c>
      <c r="AX202" s="7" t="s">
        <v>44</v>
      </c>
      <c r="AY202" s="101" t="s">
        <v>77</v>
      </c>
    </row>
    <row r="203" spans="2:65" s="8" customFormat="1" ht="10.199999999999999" x14ac:dyDescent="0.2">
      <c r="B203" s="106"/>
      <c r="D203" s="96" t="s">
        <v>88</v>
      </c>
      <c r="E203" s="107" t="s">
        <v>0</v>
      </c>
      <c r="F203" s="108" t="s">
        <v>691</v>
      </c>
      <c r="H203" s="109">
        <v>420</v>
      </c>
      <c r="I203" s="110"/>
      <c r="L203" s="106"/>
      <c r="M203" s="111"/>
      <c r="T203" s="112"/>
      <c r="AT203" s="107" t="s">
        <v>88</v>
      </c>
      <c r="AU203" s="107" t="s">
        <v>47</v>
      </c>
      <c r="AV203" s="8" t="s">
        <v>47</v>
      </c>
      <c r="AW203" s="8" t="s">
        <v>18</v>
      </c>
      <c r="AX203" s="8" t="s">
        <v>45</v>
      </c>
      <c r="AY203" s="107" t="s">
        <v>77</v>
      </c>
    </row>
    <row r="204" spans="2:65" s="1" customFormat="1" ht="24.15" customHeight="1" x14ac:dyDescent="0.2">
      <c r="B204" s="19"/>
      <c r="C204" s="84" t="s">
        <v>217</v>
      </c>
      <c r="D204" s="84" t="s">
        <v>79</v>
      </c>
      <c r="E204" s="85" t="s">
        <v>692</v>
      </c>
      <c r="F204" s="86" t="s">
        <v>693</v>
      </c>
      <c r="G204" s="87" t="s">
        <v>82</v>
      </c>
      <c r="H204" s="88">
        <v>420</v>
      </c>
      <c r="I204" s="89"/>
      <c r="J204" s="88">
        <f>ROUND(I204*H204,2)</f>
        <v>0</v>
      </c>
      <c r="K204" s="86" t="s">
        <v>83</v>
      </c>
      <c r="L204" s="19"/>
      <c r="M204" s="90" t="s">
        <v>0</v>
      </c>
      <c r="N204" s="91" t="s">
        <v>26</v>
      </c>
      <c r="P204" s="92">
        <f>O204*H204</f>
        <v>0</v>
      </c>
      <c r="Q204" s="92">
        <v>0</v>
      </c>
      <c r="R204" s="92">
        <f>Q204*H204</f>
        <v>0</v>
      </c>
      <c r="S204" s="92">
        <v>0</v>
      </c>
      <c r="T204" s="93">
        <f>S204*H204</f>
        <v>0</v>
      </c>
      <c r="AR204" s="94" t="s">
        <v>84</v>
      </c>
      <c r="AT204" s="94" t="s">
        <v>79</v>
      </c>
      <c r="AU204" s="94" t="s">
        <v>47</v>
      </c>
      <c r="AY204" s="10" t="s">
        <v>77</v>
      </c>
      <c r="BE204" s="95">
        <f>IF(N204="základní",J204,0)</f>
        <v>0</v>
      </c>
      <c r="BF204" s="95">
        <f>IF(N204="snížená",J204,0)</f>
        <v>0</v>
      </c>
      <c r="BG204" s="95">
        <f>IF(N204="zákl. přenesená",J204,0)</f>
        <v>0</v>
      </c>
      <c r="BH204" s="95">
        <f>IF(N204="sníž. přenesená",J204,0)</f>
        <v>0</v>
      </c>
      <c r="BI204" s="95">
        <f>IF(N204="nulová",J204,0)</f>
        <v>0</v>
      </c>
      <c r="BJ204" s="10" t="s">
        <v>45</v>
      </c>
      <c r="BK204" s="95">
        <f>ROUND(I204*H204,2)</f>
        <v>0</v>
      </c>
      <c r="BL204" s="10" t="s">
        <v>84</v>
      </c>
      <c r="BM204" s="94" t="s">
        <v>694</v>
      </c>
    </row>
    <row r="205" spans="2:65" s="1" customFormat="1" ht="19.2" x14ac:dyDescent="0.2">
      <c r="B205" s="19"/>
      <c r="D205" s="96" t="s">
        <v>86</v>
      </c>
      <c r="F205" s="97" t="s">
        <v>695</v>
      </c>
      <c r="I205" s="98"/>
      <c r="L205" s="19"/>
      <c r="M205" s="99"/>
      <c r="T205" s="32"/>
      <c r="AT205" s="10" t="s">
        <v>86</v>
      </c>
      <c r="AU205" s="10" t="s">
        <v>47</v>
      </c>
    </row>
    <row r="206" spans="2:65" s="7" customFormat="1" ht="10.199999999999999" x14ac:dyDescent="0.2">
      <c r="B206" s="100"/>
      <c r="D206" s="96" t="s">
        <v>88</v>
      </c>
      <c r="E206" s="101" t="s">
        <v>0</v>
      </c>
      <c r="F206" s="102" t="s">
        <v>685</v>
      </c>
      <c r="H206" s="101" t="s">
        <v>0</v>
      </c>
      <c r="I206" s="103"/>
      <c r="L206" s="100"/>
      <c r="M206" s="104"/>
      <c r="T206" s="105"/>
      <c r="AT206" s="101" t="s">
        <v>88</v>
      </c>
      <c r="AU206" s="101" t="s">
        <v>47</v>
      </c>
      <c r="AV206" s="7" t="s">
        <v>45</v>
      </c>
      <c r="AW206" s="7" t="s">
        <v>18</v>
      </c>
      <c r="AX206" s="7" t="s">
        <v>44</v>
      </c>
      <c r="AY206" s="101" t="s">
        <v>77</v>
      </c>
    </row>
    <row r="207" spans="2:65" s="8" customFormat="1" ht="10.199999999999999" x14ac:dyDescent="0.2">
      <c r="B207" s="106"/>
      <c r="D207" s="96" t="s">
        <v>88</v>
      </c>
      <c r="E207" s="107" t="s">
        <v>0</v>
      </c>
      <c r="F207" s="108" t="s">
        <v>696</v>
      </c>
      <c r="H207" s="109">
        <v>420</v>
      </c>
      <c r="I207" s="110"/>
      <c r="L207" s="106"/>
      <c r="M207" s="111"/>
      <c r="T207" s="112"/>
      <c r="AT207" s="107" t="s">
        <v>88</v>
      </c>
      <c r="AU207" s="107" t="s">
        <v>47</v>
      </c>
      <c r="AV207" s="8" t="s">
        <v>47</v>
      </c>
      <c r="AW207" s="8" t="s">
        <v>18</v>
      </c>
      <c r="AX207" s="8" t="s">
        <v>45</v>
      </c>
      <c r="AY207" s="107" t="s">
        <v>77</v>
      </c>
    </row>
    <row r="208" spans="2:65" s="1" customFormat="1" ht="24.15" customHeight="1" x14ac:dyDescent="0.2">
      <c r="B208" s="19"/>
      <c r="C208" s="84" t="s">
        <v>222</v>
      </c>
      <c r="D208" s="84" t="s">
        <v>79</v>
      </c>
      <c r="E208" s="85" t="s">
        <v>697</v>
      </c>
      <c r="F208" s="86" t="s">
        <v>698</v>
      </c>
      <c r="G208" s="87" t="s">
        <v>82</v>
      </c>
      <c r="H208" s="88">
        <v>420</v>
      </c>
      <c r="I208" s="89"/>
      <c r="J208" s="88">
        <f>ROUND(I208*H208,2)</f>
        <v>0</v>
      </c>
      <c r="K208" s="86" t="s">
        <v>83</v>
      </c>
      <c r="L208" s="19"/>
      <c r="M208" s="90" t="s">
        <v>0</v>
      </c>
      <c r="N208" s="91" t="s">
        <v>26</v>
      </c>
      <c r="P208" s="92">
        <f>O208*H208</f>
        <v>0</v>
      </c>
      <c r="Q208" s="92">
        <v>0</v>
      </c>
      <c r="R208" s="92">
        <f>Q208*H208</f>
        <v>0</v>
      </c>
      <c r="S208" s="92">
        <v>0</v>
      </c>
      <c r="T208" s="93">
        <f>S208*H208</f>
        <v>0</v>
      </c>
      <c r="AR208" s="94" t="s">
        <v>84</v>
      </c>
      <c r="AT208" s="94" t="s">
        <v>79</v>
      </c>
      <c r="AU208" s="94" t="s">
        <v>47</v>
      </c>
      <c r="AY208" s="10" t="s">
        <v>77</v>
      </c>
      <c r="BE208" s="95">
        <f>IF(N208="základní",J208,0)</f>
        <v>0</v>
      </c>
      <c r="BF208" s="95">
        <f>IF(N208="snížená",J208,0)</f>
        <v>0</v>
      </c>
      <c r="BG208" s="95">
        <f>IF(N208="zákl. přenesená",J208,0)</f>
        <v>0</v>
      </c>
      <c r="BH208" s="95">
        <f>IF(N208="sníž. přenesená",J208,0)</f>
        <v>0</v>
      </c>
      <c r="BI208" s="95">
        <f>IF(N208="nulová",J208,0)</f>
        <v>0</v>
      </c>
      <c r="BJ208" s="10" t="s">
        <v>45</v>
      </c>
      <c r="BK208" s="95">
        <f>ROUND(I208*H208,2)</f>
        <v>0</v>
      </c>
      <c r="BL208" s="10" t="s">
        <v>84</v>
      </c>
      <c r="BM208" s="94" t="s">
        <v>699</v>
      </c>
    </row>
    <row r="209" spans="2:65" s="1" customFormat="1" ht="28.8" x14ac:dyDescent="0.2">
      <c r="B209" s="19"/>
      <c r="D209" s="96" t="s">
        <v>86</v>
      </c>
      <c r="F209" s="97" t="s">
        <v>700</v>
      </c>
      <c r="I209" s="98"/>
      <c r="L209" s="19"/>
      <c r="M209" s="99"/>
      <c r="T209" s="32"/>
      <c r="AT209" s="10" t="s">
        <v>86</v>
      </c>
      <c r="AU209" s="10" t="s">
        <v>47</v>
      </c>
    </row>
    <row r="210" spans="2:65" s="7" customFormat="1" ht="10.199999999999999" x14ac:dyDescent="0.2">
      <c r="B210" s="100"/>
      <c r="D210" s="96" t="s">
        <v>88</v>
      </c>
      <c r="E210" s="101" t="s">
        <v>0</v>
      </c>
      <c r="F210" s="102" t="s">
        <v>685</v>
      </c>
      <c r="H210" s="101" t="s">
        <v>0</v>
      </c>
      <c r="I210" s="103"/>
      <c r="L210" s="100"/>
      <c r="M210" s="104"/>
      <c r="T210" s="105"/>
      <c r="AT210" s="101" t="s">
        <v>88</v>
      </c>
      <c r="AU210" s="101" t="s">
        <v>47</v>
      </c>
      <c r="AV210" s="7" t="s">
        <v>45</v>
      </c>
      <c r="AW210" s="7" t="s">
        <v>18</v>
      </c>
      <c r="AX210" s="7" t="s">
        <v>44</v>
      </c>
      <c r="AY210" s="101" t="s">
        <v>77</v>
      </c>
    </row>
    <row r="211" spans="2:65" s="8" customFormat="1" ht="10.199999999999999" x14ac:dyDescent="0.2">
      <c r="B211" s="106"/>
      <c r="D211" s="96" t="s">
        <v>88</v>
      </c>
      <c r="E211" s="107" t="s">
        <v>0</v>
      </c>
      <c r="F211" s="108" t="s">
        <v>696</v>
      </c>
      <c r="H211" s="109">
        <v>420</v>
      </c>
      <c r="I211" s="110"/>
      <c r="L211" s="106"/>
      <c r="M211" s="111"/>
      <c r="T211" s="112"/>
      <c r="AT211" s="107" t="s">
        <v>88</v>
      </c>
      <c r="AU211" s="107" t="s">
        <v>47</v>
      </c>
      <c r="AV211" s="8" t="s">
        <v>47</v>
      </c>
      <c r="AW211" s="8" t="s">
        <v>18</v>
      </c>
      <c r="AX211" s="8" t="s">
        <v>45</v>
      </c>
      <c r="AY211" s="107" t="s">
        <v>77</v>
      </c>
    </row>
    <row r="212" spans="2:65" s="1" customFormat="1" ht="24.15" customHeight="1" x14ac:dyDescent="0.2">
      <c r="B212" s="19"/>
      <c r="C212" s="84" t="s">
        <v>229</v>
      </c>
      <c r="D212" s="84" t="s">
        <v>79</v>
      </c>
      <c r="E212" s="85" t="s">
        <v>701</v>
      </c>
      <c r="F212" s="86" t="s">
        <v>702</v>
      </c>
      <c r="G212" s="87" t="s">
        <v>82</v>
      </c>
      <c r="H212" s="88">
        <v>420</v>
      </c>
      <c r="I212" s="89"/>
      <c r="J212" s="88">
        <f>ROUND(I212*H212,2)</f>
        <v>0</v>
      </c>
      <c r="K212" s="86" t="s">
        <v>83</v>
      </c>
      <c r="L212" s="19"/>
      <c r="M212" s="90" t="s">
        <v>0</v>
      </c>
      <c r="N212" s="91" t="s">
        <v>26</v>
      </c>
      <c r="P212" s="92">
        <f>O212*H212</f>
        <v>0</v>
      </c>
      <c r="Q212" s="92">
        <v>0</v>
      </c>
      <c r="R212" s="92">
        <f>Q212*H212</f>
        <v>0</v>
      </c>
      <c r="S212" s="92">
        <v>0</v>
      </c>
      <c r="T212" s="93">
        <f>S212*H212</f>
        <v>0</v>
      </c>
      <c r="AR212" s="94" t="s">
        <v>84</v>
      </c>
      <c r="AT212" s="94" t="s">
        <v>79</v>
      </c>
      <c r="AU212" s="94" t="s">
        <v>47</v>
      </c>
      <c r="AY212" s="10" t="s">
        <v>77</v>
      </c>
      <c r="BE212" s="95">
        <f>IF(N212="základní",J212,0)</f>
        <v>0</v>
      </c>
      <c r="BF212" s="95">
        <f>IF(N212="snížená",J212,0)</f>
        <v>0</v>
      </c>
      <c r="BG212" s="95">
        <f>IF(N212="zákl. přenesená",J212,0)</f>
        <v>0</v>
      </c>
      <c r="BH212" s="95">
        <f>IF(N212="sníž. přenesená",J212,0)</f>
        <v>0</v>
      </c>
      <c r="BI212" s="95">
        <f>IF(N212="nulová",J212,0)</f>
        <v>0</v>
      </c>
      <c r="BJ212" s="10" t="s">
        <v>45</v>
      </c>
      <c r="BK212" s="95">
        <f>ROUND(I212*H212,2)</f>
        <v>0</v>
      </c>
      <c r="BL212" s="10" t="s">
        <v>84</v>
      </c>
      <c r="BM212" s="94" t="s">
        <v>703</v>
      </c>
    </row>
    <row r="213" spans="2:65" s="1" customFormat="1" ht="28.8" x14ac:dyDescent="0.2">
      <c r="B213" s="19"/>
      <c r="D213" s="96" t="s">
        <v>86</v>
      </c>
      <c r="F213" s="97" t="s">
        <v>704</v>
      </c>
      <c r="I213" s="98"/>
      <c r="L213" s="19"/>
      <c r="M213" s="99"/>
      <c r="T213" s="32"/>
      <c r="AT213" s="10" t="s">
        <v>86</v>
      </c>
      <c r="AU213" s="10" t="s">
        <v>47</v>
      </c>
    </row>
    <row r="214" spans="2:65" s="7" customFormat="1" ht="10.199999999999999" x14ac:dyDescent="0.2">
      <c r="B214" s="100"/>
      <c r="D214" s="96" t="s">
        <v>88</v>
      </c>
      <c r="E214" s="101" t="s">
        <v>0</v>
      </c>
      <c r="F214" s="102" t="s">
        <v>685</v>
      </c>
      <c r="H214" s="101" t="s">
        <v>0</v>
      </c>
      <c r="I214" s="103"/>
      <c r="L214" s="100"/>
      <c r="M214" s="104"/>
      <c r="T214" s="105"/>
      <c r="AT214" s="101" t="s">
        <v>88</v>
      </c>
      <c r="AU214" s="101" t="s">
        <v>47</v>
      </c>
      <c r="AV214" s="7" t="s">
        <v>45</v>
      </c>
      <c r="AW214" s="7" t="s">
        <v>18</v>
      </c>
      <c r="AX214" s="7" t="s">
        <v>44</v>
      </c>
      <c r="AY214" s="101" t="s">
        <v>77</v>
      </c>
    </row>
    <row r="215" spans="2:65" s="8" customFormat="1" ht="10.199999999999999" x14ac:dyDescent="0.2">
      <c r="B215" s="106"/>
      <c r="D215" s="96" t="s">
        <v>88</v>
      </c>
      <c r="E215" s="107" t="s">
        <v>0</v>
      </c>
      <c r="F215" s="108" t="s">
        <v>696</v>
      </c>
      <c r="H215" s="109">
        <v>420</v>
      </c>
      <c r="I215" s="110"/>
      <c r="L215" s="106"/>
      <c r="M215" s="111"/>
      <c r="T215" s="112"/>
      <c r="AT215" s="107" t="s">
        <v>88</v>
      </c>
      <c r="AU215" s="107" t="s">
        <v>47</v>
      </c>
      <c r="AV215" s="8" t="s">
        <v>47</v>
      </c>
      <c r="AW215" s="8" t="s">
        <v>18</v>
      </c>
      <c r="AX215" s="8" t="s">
        <v>45</v>
      </c>
      <c r="AY215" s="107" t="s">
        <v>77</v>
      </c>
    </row>
    <row r="216" spans="2:65" s="1" customFormat="1" ht="24.15" customHeight="1" x14ac:dyDescent="0.2">
      <c r="B216" s="19"/>
      <c r="C216" s="84" t="s">
        <v>235</v>
      </c>
      <c r="D216" s="84" t="s">
        <v>79</v>
      </c>
      <c r="E216" s="85" t="s">
        <v>705</v>
      </c>
      <c r="F216" s="86" t="s">
        <v>706</v>
      </c>
      <c r="G216" s="87" t="s">
        <v>82</v>
      </c>
      <c r="H216" s="88">
        <v>8</v>
      </c>
      <c r="I216" s="89"/>
      <c r="J216" s="88">
        <f>ROUND(I216*H216,2)</f>
        <v>0</v>
      </c>
      <c r="K216" s="86" t="s">
        <v>83</v>
      </c>
      <c r="L216" s="19"/>
      <c r="M216" s="90" t="s">
        <v>0</v>
      </c>
      <c r="N216" s="91" t="s">
        <v>26</v>
      </c>
      <c r="P216" s="92">
        <f>O216*H216</f>
        <v>0</v>
      </c>
      <c r="Q216" s="92">
        <v>0.11162</v>
      </c>
      <c r="R216" s="92">
        <f>Q216*H216</f>
        <v>0.89295999999999998</v>
      </c>
      <c r="S216" s="92">
        <v>0</v>
      </c>
      <c r="T216" s="93">
        <f>S216*H216</f>
        <v>0</v>
      </c>
      <c r="AR216" s="94" t="s">
        <v>84</v>
      </c>
      <c r="AT216" s="94" t="s">
        <v>79</v>
      </c>
      <c r="AU216" s="94" t="s">
        <v>47</v>
      </c>
      <c r="AY216" s="10" t="s">
        <v>77</v>
      </c>
      <c r="BE216" s="95">
        <f>IF(N216="základní",J216,0)</f>
        <v>0</v>
      </c>
      <c r="BF216" s="95">
        <f>IF(N216="snížená",J216,0)</f>
        <v>0</v>
      </c>
      <c r="BG216" s="95">
        <f>IF(N216="zákl. přenesená",J216,0)</f>
        <v>0</v>
      </c>
      <c r="BH216" s="95">
        <f>IF(N216="sníž. přenesená",J216,0)</f>
        <v>0</v>
      </c>
      <c r="BI216" s="95">
        <f>IF(N216="nulová",J216,0)</f>
        <v>0</v>
      </c>
      <c r="BJ216" s="10" t="s">
        <v>45</v>
      </c>
      <c r="BK216" s="95">
        <f>ROUND(I216*H216,2)</f>
        <v>0</v>
      </c>
      <c r="BL216" s="10" t="s">
        <v>84</v>
      </c>
      <c r="BM216" s="94" t="s">
        <v>707</v>
      </c>
    </row>
    <row r="217" spans="2:65" s="1" customFormat="1" ht="48" x14ac:dyDescent="0.2">
      <c r="B217" s="19"/>
      <c r="D217" s="96" t="s">
        <v>86</v>
      </c>
      <c r="F217" s="97" t="s">
        <v>708</v>
      </c>
      <c r="I217" s="98"/>
      <c r="L217" s="19"/>
      <c r="M217" s="99"/>
      <c r="T217" s="32"/>
      <c r="AT217" s="10" t="s">
        <v>86</v>
      </c>
      <c r="AU217" s="10" t="s">
        <v>47</v>
      </c>
    </row>
    <row r="218" spans="2:65" s="7" customFormat="1" ht="10.199999999999999" x14ac:dyDescent="0.2">
      <c r="B218" s="100"/>
      <c r="D218" s="96" t="s">
        <v>88</v>
      </c>
      <c r="E218" s="101" t="s">
        <v>0</v>
      </c>
      <c r="F218" s="102" t="s">
        <v>709</v>
      </c>
      <c r="H218" s="101" t="s">
        <v>0</v>
      </c>
      <c r="I218" s="103"/>
      <c r="L218" s="100"/>
      <c r="M218" s="104"/>
      <c r="T218" s="105"/>
      <c r="AT218" s="101" t="s">
        <v>88</v>
      </c>
      <c r="AU218" s="101" t="s">
        <v>47</v>
      </c>
      <c r="AV218" s="7" t="s">
        <v>45</v>
      </c>
      <c r="AW218" s="7" t="s">
        <v>18</v>
      </c>
      <c r="AX218" s="7" t="s">
        <v>44</v>
      </c>
      <c r="AY218" s="101" t="s">
        <v>77</v>
      </c>
    </row>
    <row r="219" spans="2:65" s="8" customFormat="1" ht="10.199999999999999" x14ac:dyDescent="0.2">
      <c r="B219" s="106"/>
      <c r="D219" s="96" t="s">
        <v>88</v>
      </c>
      <c r="E219" s="107" t="s">
        <v>0</v>
      </c>
      <c r="F219" s="108" t="s">
        <v>147</v>
      </c>
      <c r="H219" s="109">
        <v>8</v>
      </c>
      <c r="I219" s="110"/>
      <c r="L219" s="106"/>
      <c r="M219" s="111"/>
      <c r="T219" s="112"/>
      <c r="AT219" s="107" t="s">
        <v>88</v>
      </c>
      <c r="AU219" s="107" t="s">
        <v>47</v>
      </c>
      <c r="AV219" s="8" t="s">
        <v>47</v>
      </c>
      <c r="AW219" s="8" t="s">
        <v>18</v>
      </c>
      <c r="AX219" s="8" t="s">
        <v>45</v>
      </c>
      <c r="AY219" s="107" t="s">
        <v>77</v>
      </c>
    </row>
    <row r="220" spans="2:65" s="1" customFormat="1" ht="24.15" customHeight="1" x14ac:dyDescent="0.2">
      <c r="B220" s="19"/>
      <c r="C220" s="120" t="s">
        <v>2</v>
      </c>
      <c r="D220" s="120" t="s">
        <v>204</v>
      </c>
      <c r="E220" s="121" t="s">
        <v>710</v>
      </c>
      <c r="F220" s="122" t="s">
        <v>711</v>
      </c>
      <c r="G220" s="123" t="s">
        <v>82</v>
      </c>
      <c r="H220" s="124">
        <v>8.24</v>
      </c>
      <c r="I220" s="125"/>
      <c r="J220" s="124">
        <f>ROUND(I220*H220,2)</f>
        <v>0</v>
      </c>
      <c r="K220" s="122" t="s">
        <v>83</v>
      </c>
      <c r="L220" s="126"/>
      <c r="M220" s="127" t="s">
        <v>0</v>
      </c>
      <c r="N220" s="128" t="s">
        <v>26</v>
      </c>
      <c r="P220" s="92">
        <f>O220*H220</f>
        <v>0</v>
      </c>
      <c r="Q220" s="92">
        <v>0.17499999999999999</v>
      </c>
      <c r="R220" s="92">
        <f>Q220*H220</f>
        <v>1.4419999999999999</v>
      </c>
      <c r="S220" s="92">
        <v>0</v>
      </c>
      <c r="T220" s="93">
        <f>S220*H220</f>
        <v>0</v>
      </c>
      <c r="AR220" s="94" t="s">
        <v>147</v>
      </c>
      <c r="AT220" s="94" t="s">
        <v>204</v>
      </c>
      <c r="AU220" s="94" t="s">
        <v>47</v>
      </c>
      <c r="AY220" s="10" t="s">
        <v>77</v>
      </c>
      <c r="BE220" s="95">
        <f>IF(N220="základní",J220,0)</f>
        <v>0</v>
      </c>
      <c r="BF220" s="95">
        <f>IF(N220="snížená",J220,0)</f>
        <v>0</v>
      </c>
      <c r="BG220" s="95">
        <f>IF(N220="zákl. přenesená",J220,0)</f>
        <v>0</v>
      </c>
      <c r="BH220" s="95">
        <f>IF(N220="sníž. přenesená",J220,0)</f>
        <v>0</v>
      </c>
      <c r="BI220" s="95">
        <f>IF(N220="nulová",J220,0)</f>
        <v>0</v>
      </c>
      <c r="BJ220" s="10" t="s">
        <v>45</v>
      </c>
      <c r="BK220" s="95">
        <f>ROUND(I220*H220,2)</f>
        <v>0</v>
      </c>
      <c r="BL220" s="10" t="s">
        <v>84</v>
      </c>
      <c r="BM220" s="94" t="s">
        <v>712</v>
      </c>
    </row>
    <row r="221" spans="2:65" s="1" customFormat="1" ht="10.199999999999999" x14ac:dyDescent="0.2">
      <c r="B221" s="19"/>
      <c r="D221" s="96" t="s">
        <v>86</v>
      </c>
      <c r="F221" s="97" t="s">
        <v>711</v>
      </c>
      <c r="I221" s="98"/>
      <c r="L221" s="19"/>
      <c r="M221" s="99"/>
      <c r="T221" s="32"/>
      <c r="AT221" s="10" t="s">
        <v>86</v>
      </c>
      <c r="AU221" s="10" t="s">
        <v>47</v>
      </c>
    </row>
    <row r="222" spans="2:65" s="8" customFormat="1" ht="10.199999999999999" x14ac:dyDescent="0.2">
      <c r="B222" s="106"/>
      <c r="D222" s="96" t="s">
        <v>88</v>
      </c>
      <c r="F222" s="108" t="s">
        <v>713</v>
      </c>
      <c r="H222" s="109">
        <v>8.24</v>
      </c>
      <c r="I222" s="110"/>
      <c r="L222" s="106"/>
      <c r="M222" s="111"/>
      <c r="T222" s="112"/>
      <c r="AT222" s="107" t="s">
        <v>88</v>
      </c>
      <c r="AU222" s="107" t="s">
        <v>47</v>
      </c>
      <c r="AV222" s="8" t="s">
        <v>47</v>
      </c>
      <c r="AW222" s="8" t="s">
        <v>1</v>
      </c>
      <c r="AX222" s="8" t="s">
        <v>45</v>
      </c>
      <c r="AY222" s="107" t="s">
        <v>77</v>
      </c>
    </row>
    <row r="223" spans="2:65" s="1" customFormat="1" ht="33" customHeight="1" x14ac:dyDescent="0.2">
      <c r="B223" s="19"/>
      <c r="C223" s="84" t="s">
        <v>247</v>
      </c>
      <c r="D223" s="84" t="s">
        <v>79</v>
      </c>
      <c r="E223" s="85" t="s">
        <v>714</v>
      </c>
      <c r="F223" s="86" t="s">
        <v>715</v>
      </c>
      <c r="G223" s="87" t="s">
        <v>82</v>
      </c>
      <c r="H223" s="88">
        <v>582</v>
      </c>
      <c r="I223" s="89"/>
      <c r="J223" s="88">
        <f>ROUND(I223*H223,2)</f>
        <v>0</v>
      </c>
      <c r="K223" s="86" t="s">
        <v>83</v>
      </c>
      <c r="L223" s="19"/>
      <c r="M223" s="90" t="s">
        <v>0</v>
      </c>
      <c r="N223" s="91" t="s">
        <v>26</v>
      </c>
      <c r="P223" s="92">
        <f>O223*H223</f>
        <v>0</v>
      </c>
      <c r="Q223" s="92">
        <v>0.11162</v>
      </c>
      <c r="R223" s="92">
        <f>Q223*H223</f>
        <v>64.96284</v>
      </c>
      <c r="S223" s="92">
        <v>0</v>
      </c>
      <c r="T223" s="93">
        <f>S223*H223</f>
        <v>0</v>
      </c>
      <c r="AR223" s="94" t="s">
        <v>84</v>
      </c>
      <c r="AT223" s="94" t="s">
        <v>79</v>
      </c>
      <c r="AU223" s="94" t="s">
        <v>47</v>
      </c>
      <c r="AY223" s="10" t="s">
        <v>77</v>
      </c>
      <c r="BE223" s="95">
        <f>IF(N223="základní",J223,0)</f>
        <v>0</v>
      </c>
      <c r="BF223" s="95">
        <f>IF(N223="snížená",J223,0)</f>
        <v>0</v>
      </c>
      <c r="BG223" s="95">
        <f>IF(N223="zákl. přenesená",J223,0)</f>
        <v>0</v>
      </c>
      <c r="BH223" s="95">
        <f>IF(N223="sníž. přenesená",J223,0)</f>
        <v>0</v>
      </c>
      <c r="BI223" s="95">
        <f>IF(N223="nulová",J223,0)</f>
        <v>0</v>
      </c>
      <c r="BJ223" s="10" t="s">
        <v>45</v>
      </c>
      <c r="BK223" s="95">
        <f>ROUND(I223*H223,2)</f>
        <v>0</v>
      </c>
      <c r="BL223" s="10" t="s">
        <v>84</v>
      </c>
      <c r="BM223" s="94" t="s">
        <v>716</v>
      </c>
    </row>
    <row r="224" spans="2:65" s="1" customFormat="1" ht="48" x14ac:dyDescent="0.2">
      <c r="B224" s="19"/>
      <c r="D224" s="96" t="s">
        <v>86</v>
      </c>
      <c r="F224" s="97" t="s">
        <v>717</v>
      </c>
      <c r="I224" s="98"/>
      <c r="L224" s="19"/>
      <c r="M224" s="99"/>
      <c r="T224" s="32"/>
      <c r="AT224" s="10" t="s">
        <v>86</v>
      </c>
      <c r="AU224" s="10" t="s">
        <v>47</v>
      </c>
    </row>
    <row r="225" spans="2:65" s="8" customFormat="1" ht="10.199999999999999" x14ac:dyDescent="0.2">
      <c r="B225" s="106"/>
      <c r="D225" s="96" t="s">
        <v>88</v>
      </c>
      <c r="E225" s="107" t="s">
        <v>0</v>
      </c>
      <c r="F225" s="108" t="s">
        <v>651</v>
      </c>
      <c r="H225" s="109">
        <v>363</v>
      </c>
      <c r="I225" s="110"/>
      <c r="L225" s="106"/>
      <c r="M225" s="111"/>
      <c r="T225" s="112"/>
      <c r="AT225" s="107" t="s">
        <v>88</v>
      </c>
      <c r="AU225" s="107" t="s">
        <v>47</v>
      </c>
      <c r="AV225" s="8" t="s">
        <v>47</v>
      </c>
      <c r="AW225" s="8" t="s">
        <v>18</v>
      </c>
      <c r="AX225" s="8" t="s">
        <v>44</v>
      </c>
      <c r="AY225" s="107" t="s">
        <v>77</v>
      </c>
    </row>
    <row r="226" spans="2:65" s="8" customFormat="1" ht="10.199999999999999" x14ac:dyDescent="0.2">
      <c r="B226" s="106"/>
      <c r="D226" s="96" t="s">
        <v>88</v>
      </c>
      <c r="E226" s="107" t="s">
        <v>0</v>
      </c>
      <c r="F226" s="108" t="s">
        <v>652</v>
      </c>
      <c r="H226" s="109">
        <v>102</v>
      </c>
      <c r="I226" s="110"/>
      <c r="L226" s="106"/>
      <c r="M226" s="111"/>
      <c r="T226" s="112"/>
      <c r="AT226" s="107" t="s">
        <v>88</v>
      </c>
      <c r="AU226" s="107" t="s">
        <v>47</v>
      </c>
      <c r="AV226" s="8" t="s">
        <v>47</v>
      </c>
      <c r="AW226" s="8" t="s">
        <v>18</v>
      </c>
      <c r="AX226" s="8" t="s">
        <v>44</v>
      </c>
      <c r="AY226" s="107" t="s">
        <v>77</v>
      </c>
    </row>
    <row r="227" spans="2:65" s="8" customFormat="1" ht="10.199999999999999" x14ac:dyDescent="0.2">
      <c r="B227" s="106"/>
      <c r="D227" s="96" t="s">
        <v>88</v>
      </c>
      <c r="E227" s="107" t="s">
        <v>0</v>
      </c>
      <c r="F227" s="108" t="s">
        <v>649</v>
      </c>
      <c r="H227" s="109">
        <v>47</v>
      </c>
      <c r="I227" s="110"/>
      <c r="L227" s="106"/>
      <c r="M227" s="111"/>
      <c r="T227" s="112"/>
      <c r="AT227" s="107" t="s">
        <v>88</v>
      </c>
      <c r="AU227" s="107" t="s">
        <v>47</v>
      </c>
      <c r="AV227" s="8" t="s">
        <v>47</v>
      </c>
      <c r="AW227" s="8" t="s">
        <v>18</v>
      </c>
      <c r="AX227" s="8" t="s">
        <v>44</v>
      </c>
      <c r="AY227" s="107" t="s">
        <v>77</v>
      </c>
    </row>
    <row r="228" spans="2:65" s="8" customFormat="1" ht="10.199999999999999" x14ac:dyDescent="0.2">
      <c r="B228" s="106"/>
      <c r="D228" s="96" t="s">
        <v>88</v>
      </c>
      <c r="E228" s="107" t="s">
        <v>0</v>
      </c>
      <c r="F228" s="108" t="s">
        <v>650</v>
      </c>
      <c r="H228" s="109">
        <v>70</v>
      </c>
      <c r="I228" s="110"/>
      <c r="L228" s="106"/>
      <c r="M228" s="111"/>
      <c r="T228" s="112"/>
      <c r="AT228" s="107" t="s">
        <v>88</v>
      </c>
      <c r="AU228" s="107" t="s">
        <v>47</v>
      </c>
      <c r="AV228" s="8" t="s">
        <v>47</v>
      </c>
      <c r="AW228" s="8" t="s">
        <v>18</v>
      </c>
      <c r="AX228" s="8" t="s">
        <v>44</v>
      </c>
      <c r="AY228" s="107" t="s">
        <v>77</v>
      </c>
    </row>
    <row r="229" spans="2:65" s="9" customFormat="1" ht="10.199999999999999" x14ac:dyDescent="0.2">
      <c r="B229" s="113"/>
      <c r="D229" s="96" t="s">
        <v>88</v>
      </c>
      <c r="E229" s="114" t="s">
        <v>0</v>
      </c>
      <c r="F229" s="115" t="s">
        <v>91</v>
      </c>
      <c r="H229" s="116">
        <v>582</v>
      </c>
      <c r="I229" s="117"/>
      <c r="L229" s="113"/>
      <c r="M229" s="118"/>
      <c r="T229" s="119"/>
      <c r="AT229" s="114" t="s">
        <v>88</v>
      </c>
      <c r="AU229" s="114" t="s">
        <v>47</v>
      </c>
      <c r="AV229" s="9" t="s">
        <v>84</v>
      </c>
      <c r="AW229" s="9" t="s">
        <v>18</v>
      </c>
      <c r="AX229" s="9" t="s">
        <v>45</v>
      </c>
      <c r="AY229" s="114" t="s">
        <v>77</v>
      </c>
    </row>
    <row r="230" spans="2:65" s="1" customFormat="1" ht="24.15" customHeight="1" x14ac:dyDescent="0.2">
      <c r="B230" s="19"/>
      <c r="C230" s="120" t="s">
        <v>253</v>
      </c>
      <c r="D230" s="120" t="s">
        <v>204</v>
      </c>
      <c r="E230" s="121" t="s">
        <v>718</v>
      </c>
      <c r="F230" s="122" t="s">
        <v>719</v>
      </c>
      <c r="G230" s="123" t="s">
        <v>82</v>
      </c>
      <c r="H230" s="124">
        <v>593.64</v>
      </c>
      <c r="I230" s="125"/>
      <c r="J230" s="124">
        <f>ROUND(I230*H230,2)</f>
        <v>0</v>
      </c>
      <c r="K230" s="122" t="s">
        <v>83</v>
      </c>
      <c r="L230" s="126"/>
      <c r="M230" s="127" t="s">
        <v>0</v>
      </c>
      <c r="N230" s="128" t="s">
        <v>26</v>
      </c>
      <c r="P230" s="92">
        <f>O230*H230</f>
        <v>0</v>
      </c>
      <c r="Q230" s="92">
        <v>0.17</v>
      </c>
      <c r="R230" s="92">
        <f>Q230*H230</f>
        <v>100.9188</v>
      </c>
      <c r="S230" s="92">
        <v>0</v>
      </c>
      <c r="T230" s="93">
        <f>S230*H230</f>
        <v>0</v>
      </c>
      <c r="AR230" s="94" t="s">
        <v>147</v>
      </c>
      <c r="AT230" s="94" t="s">
        <v>204</v>
      </c>
      <c r="AU230" s="94" t="s">
        <v>47</v>
      </c>
      <c r="AY230" s="10" t="s">
        <v>77</v>
      </c>
      <c r="BE230" s="95">
        <f>IF(N230="základní",J230,0)</f>
        <v>0</v>
      </c>
      <c r="BF230" s="95">
        <f>IF(N230="snížená",J230,0)</f>
        <v>0</v>
      </c>
      <c r="BG230" s="95">
        <f>IF(N230="zákl. přenesená",J230,0)</f>
        <v>0</v>
      </c>
      <c r="BH230" s="95">
        <f>IF(N230="sníž. přenesená",J230,0)</f>
        <v>0</v>
      </c>
      <c r="BI230" s="95">
        <f>IF(N230="nulová",J230,0)</f>
        <v>0</v>
      </c>
      <c r="BJ230" s="10" t="s">
        <v>45</v>
      </c>
      <c r="BK230" s="95">
        <f>ROUND(I230*H230,2)</f>
        <v>0</v>
      </c>
      <c r="BL230" s="10" t="s">
        <v>84</v>
      </c>
      <c r="BM230" s="94" t="s">
        <v>720</v>
      </c>
    </row>
    <row r="231" spans="2:65" s="1" customFormat="1" ht="19.2" x14ac:dyDescent="0.2">
      <c r="B231" s="19"/>
      <c r="D231" s="96" t="s">
        <v>86</v>
      </c>
      <c r="F231" s="97" t="s">
        <v>719</v>
      </c>
      <c r="I231" s="98"/>
      <c r="L231" s="19"/>
      <c r="M231" s="99"/>
      <c r="T231" s="32"/>
      <c r="AT231" s="10" t="s">
        <v>86</v>
      </c>
      <c r="AU231" s="10" t="s">
        <v>47</v>
      </c>
    </row>
    <row r="232" spans="2:65" s="8" customFormat="1" ht="10.199999999999999" x14ac:dyDescent="0.2">
      <c r="B232" s="106"/>
      <c r="D232" s="96" t="s">
        <v>88</v>
      </c>
      <c r="F232" s="108" t="s">
        <v>721</v>
      </c>
      <c r="H232" s="109">
        <v>593.64</v>
      </c>
      <c r="I232" s="110"/>
      <c r="L232" s="106"/>
      <c r="M232" s="111"/>
      <c r="T232" s="112"/>
      <c r="AT232" s="107" t="s">
        <v>88</v>
      </c>
      <c r="AU232" s="107" t="s">
        <v>47</v>
      </c>
      <c r="AV232" s="8" t="s">
        <v>47</v>
      </c>
      <c r="AW232" s="8" t="s">
        <v>1</v>
      </c>
      <c r="AX232" s="8" t="s">
        <v>45</v>
      </c>
      <c r="AY232" s="107" t="s">
        <v>77</v>
      </c>
    </row>
    <row r="233" spans="2:65" s="6" customFormat="1" ht="22.8" customHeight="1" x14ac:dyDescent="0.25">
      <c r="B233" s="72"/>
      <c r="D233" s="73" t="s">
        <v>43</v>
      </c>
      <c r="E233" s="82" t="s">
        <v>134</v>
      </c>
      <c r="F233" s="82" t="s">
        <v>722</v>
      </c>
      <c r="I233" s="75"/>
      <c r="J233" s="83">
        <f>BK233</f>
        <v>0</v>
      </c>
      <c r="L233" s="72"/>
      <c r="M233" s="77"/>
      <c r="P233" s="78">
        <f>SUM(P234:P239)</f>
        <v>0</v>
      </c>
      <c r="R233" s="78">
        <f>SUM(R234:R239)</f>
        <v>9.0262200000000004</v>
      </c>
      <c r="T233" s="79">
        <f>SUM(T234:T239)</f>
        <v>0</v>
      </c>
      <c r="AR233" s="73" t="s">
        <v>45</v>
      </c>
      <c r="AT233" s="80" t="s">
        <v>43</v>
      </c>
      <c r="AU233" s="80" t="s">
        <v>45</v>
      </c>
      <c r="AY233" s="73" t="s">
        <v>77</v>
      </c>
      <c r="BK233" s="81">
        <f>SUM(BK234:BK239)</f>
        <v>0</v>
      </c>
    </row>
    <row r="234" spans="2:65" s="1" customFormat="1" ht="24.15" customHeight="1" x14ac:dyDescent="0.2">
      <c r="B234" s="19"/>
      <c r="C234" s="84" t="s">
        <v>259</v>
      </c>
      <c r="D234" s="84" t="s">
        <v>79</v>
      </c>
      <c r="E234" s="85" t="s">
        <v>723</v>
      </c>
      <c r="F234" s="86" t="s">
        <v>724</v>
      </c>
      <c r="G234" s="87" t="s">
        <v>130</v>
      </c>
      <c r="H234" s="88">
        <v>70</v>
      </c>
      <c r="I234" s="89"/>
      <c r="J234" s="88">
        <f>ROUND(I234*H234,2)</f>
        <v>0</v>
      </c>
      <c r="K234" s="86" t="s">
        <v>83</v>
      </c>
      <c r="L234" s="19"/>
      <c r="M234" s="90" t="s">
        <v>0</v>
      </c>
      <c r="N234" s="91" t="s">
        <v>26</v>
      </c>
      <c r="P234" s="92">
        <f>O234*H234</f>
        <v>0</v>
      </c>
      <c r="Q234" s="92">
        <v>0.12894600000000001</v>
      </c>
      <c r="R234" s="92">
        <f>Q234*H234</f>
        <v>9.0262200000000004</v>
      </c>
      <c r="S234" s="92">
        <v>0</v>
      </c>
      <c r="T234" s="93">
        <f>S234*H234</f>
        <v>0</v>
      </c>
      <c r="AR234" s="94" t="s">
        <v>84</v>
      </c>
      <c r="AT234" s="94" t="s">
        <v>79</v>
      </c>
      <c r="AU234" s="94" t="s">
        <v>47</v>
      </c>
      <c r="AY234" s="10" t="s">
        <v>77</v>
      </c>
      <c r="BE234" s="95">
        <f>IF(N234="základní",J234,0)</f>
        <v>0</v>
      </c>
      <c r="BF234" s="95">
        <f>IF(N234="snížená",J234,0)</f>
        <v>0</v>
      </c>
      <c r="BG234" s="95">
        <f>IF(N234="zákl. přenesená",J234,0)</f>
        <v>0</v>
      </c>
      <c r="BH234" s="95">
        <f>IF(N234="sníž. přenesená",J234,0)</f>
        <v>0</v>
      </c>
      <c r="BI234" s="95">
        <f>IF(N234="nulová",J234,0)</f>
        <v>0</v>
      </c>
      <c r="BJ234" s="10" t="s">
        <v>45</v>
      </c>
      <c r="BK234" s="95">
        <f>ROUND(I234*H234,2)</f>
        <v>0</v>
      </c>
      <c r="BL234" s="10" t="s">
        <v>84</v>
      </c>
      <c r="BM234" s="94" t="s">
        <v>725</v>
      </c>
    </row>
    <row r="235" spans="2:65" s="1" customFormat="1" ht="19.2" x14ac:dyDescent="0.2">
      <c r="B235" s="19"/>
      <c r="D235" s="96" t="s">
        <v>86</v>
      </c>
      <c r="F235" s="97" t="s">
        <v>726</v>
      </c>
      <c r="I235" s="98"/>
      <c r="L235" s="19"/>
      <c r="M235" s="99"/>
      <c r="T235" s="32"/>
      <c r="AT235" s="10" t="s">
        <v>86</v>
      </c>
      <c r="AU235" s="10" t="s">
        <v>47</v>
      </c>
    </row>
    <row r="236" spans="2:65" s="7" customFormat="1" ht="20.399999999999999" x14ac:dyDescent="0.2">
      <c r="B236" s="100"/>
      <c r="D236" s="96" t="s">
        <v>88</v>
      </c>
      <c r="E236" s="101" t="s">
        <v>0</v>
      </c>
      <c r="F236" s="102" t="s">
        <v>727</v>
      </c>
      <c r="H236" s="101" t="s">
        <v>0</v>
      </c>
      <c r="I236" s="103"/>
      <c r="L236" s="100"/>
      <c r="M236" s="104"/>
      <c r="T236" s="105"/>
      <c r="AT236" s="101" t="s">
        <v>88</v>
      </c>
      <c r="AU236" s="101" t="s">
        <v>47</v>
      </c>
      <c r="AV236" s="7" t="s">
        <v>45</v>
      </c>
      <c r="AW236" s="7" t="s">
        <v>18</v>
      </c>
      <c r="AX236" s="7" t="s">
        <v>44</v>
      </c>
      <c r="AY236" s="101" t="s">
        <v>77</v>
      </c>
    </row>
    <row r="237" spans="2:65" s="8" customFormat="1" ht="20.399999999999999" x14ac:dyDescent="0.2">
      <c r="B237" s="106"/>
      <c r="D237" s="96" t="s">
        <v>88</v>
      </c>
      <c r="E237" s="107" t="s">
        <v>0</v>
      </c>
      <c r="F237" s="108" t="s">
        <v>728</v>
      </c>
      <c r="H237" s="109">
        <v>67</v>
      </c>
      <c r="I237" s="110"/>
      <c r="L237" s="106"/>
      <c r="M237" s="111"/>
      <c r="T237" s="112"/>
      <c r="AT237" s="107" t="s">
        <v>88</v>
      </c>
      <c r="AU237" s="107" t="s">
        <v>47</v>
      </c>
      <c r="AV237" s="8" t="s">
        <v>47</v>
      </c>
      <c r="AW237" s="8" t="s">
        <v>18</v>
      </c>
      <c r="AX237" s="8" t="s">
        <v>44</v>
      </c>
      <c r="AY237" s="107" t="s">
        <v>77</v>
      </c>
    </row>
    <row r="238" spans="2:65" s="8" customFormat="1" ht="20.399999999999999" x14ac:dyDescent="0.2">
      <c r="B238" s="106"/>
      <c r="D238" s="96" t="s">
        <v>88</v>
      </c>
      <c r="E238" s="107" t="s">
        <v>0</v>
      </c>
      <c r="F238" s="108" t="s">
        <v>729</v>
      </c>
      <c r="H238" s="109">
        <v>3</v>
      </c>
      <c r="I238" s="110"/>
      <c r="L238" s="106"/>
      <c r="M238" s="111"/>
      <c r="T238" s="112"/>
      <c r="AT238" s="107" t="s">
        <v>88</v>
      </c>
      <c r="AU238" s="107" t="s">
        <v>47</v>
      </c>
      <c r="AV238" s="8" t="s">
        <v>47</v>
      </c>
      <c r="AW238" s="8" t="s">
        <v>18</v>
      </c>
      <c r="AX238" s="8" t="s">
        <v>44</v>
      </c>
      <c r="AY238" s="107" t="s">
        <v>77</v>
      </c>
    </row>
    <row r="239" spans="2:65" s="9" customFormat="1" ht="10.199999999999999" x14ac:dyDescent="0.2">
      <c r="B239" s="113"/>
      <c r="D239" s="96" t="s">
        <v>88</v>
      </c>
      <c r="E239" s="114" t="s">
        <v>0</v>
      </c>
      <c r="F239" s="115" t="s">
        <v>91</v>
      </c>
      <c r="H239" s="116">
        <v>70</v>
      </c>
      <c r="I239" s="117"/>
      <c r="L239" s="113"/>
      <c r="M239" s="118"/>
      <c r="T239" s="119"/>
      <c r="AT239" s="114" t="s">
        <v>88</v>
      </c>
      <c r="AU239" s="114" t="s">
        <v>47</v>
      </c>
      <c r="AV239" s="9" t="s">
        <v>84</v>
      </c>
      <c r="AW239" s="9" t="s">
        <v>18</v>
      </c>
      <c r="AX239" s="9" t="s">
        <v>45</v>
      </c>
      <c r="AY239" s="114" t="s">
        <v>77</v>
      </c>
    </row>
    <row r="240" spans="2:65" s="6" customFormat="1" ht="22.8" customHeight="1" x14ac:dyDescent="0.25">
      <c r="B240" s="72"/>
      <c r="D240" s="73" t="s">
        <v>43</v>
      </c>
      <c r="E240" s="82" t="s">
        <v>147</v>
      </c>
      <c r="F240" s="82" t="s">
        <v>592</v>
      </c>
      <c r="I240" s="75"/>
      <c r="J240" s="83">
        <f>BK240</f>
        <v>0</v>
      </c>
      <c r="L240" s="72"/>
      <c r="M240" s="77"/>
      <c r="P240" s="78">
        <f>SUM(P241:P244)</f>
        <v>0</v>
      </c>
      <c r="R240" s="78">
        <f>SUM(R241:R244)</f>
        <v>6.6465360000000002</v>
      </c>
      <c r="T240" s="79">
        <f>SUM(T241:T244)</f>
        <v>0</v>
      </c>
      <c r="AR240" s="73" t="s">
        <v>45</v>
      </c>
      <c r="AT240" s="80" t="s">
        <v>43</v>
      </c>
      <c r="AU240" s="80" t="s">
        <v>45</v>
      </c>
      <c r="AY240" s="73" t="s">
        <v>77</v>
      </c>
      <c r="BK240" s="81">
        <f>SUM(BK241:BK244)</f>
        <v>0</v>
      </c>
    </row>
    <row r="241" spans="2:65" s="1" customFormat="1" ht="24.15" customHeight="1" x14ac:dyDescent="0.2">
      <c r="B241" s="19"/>
      <c r="C241" s="84" t="s">
        <v>264</v>
      </c>
      <c r="D241" s="84" t="s">
        <v>79</v>
      </c>
      <c r="E241" s="85" t="s">
        <v>730</v>
      </c>
      <c r="F241" s="86" t="s">
        <v>731</v>
      </c>
      <c r="G241" s="87" t="s">
        <v>274</v>
      </c>
      <c r="H241" s="88">
        <v>4</v>
      </c>
      <c r="I241" s="89"/>
      <c r="J241" s="88">
        <f>ROUND(I241*H241,2)</f>
        <v>0</v>
      </c>
      <c r="K241" s="86" t="s">
        <v>83</v>
      </c>
      <c r="L241" s="19"/>
      <c r="M241" s="90" t="s">
        <v>0</v>
      </c>
      <c r="N241" s="91" t="s">
        <v>26</v>
      </c>
      <c r="P241" s="92">
        <f>O241*H241</f>
        <v>0</v>
      </c>
      <c r="Q241" s="92">
        <v>0.24663399999999999</v>
      </c>
      <c r="R241" s="92">
        <f>Q241*H241</f>
        <v>0.98653599999999997</v>
      </c>
      <c r="S241" s="92">
        <v>0</v>
      </c>
      <c r="T241" s="93">
        <f>S241*H241</f>
        <v>0</v>
      </c>
      <c r="AR241" s="94" t="s">
        <v>84</v>
      </c>
      <c r="AT241" s="94" t="s">
        <v>79</v>
      </c>
      <c r="AU241" s="94" t="s">
        <v>47</v>
      </c>
      <c r="AY241" s="10" t="s">
        <v>77</v>
      </c>
      <c r="BE241" s="95">
        <f>IF(N241="základní",J241,0)</f>
        <v>0</v>
      </c>
      <c r="BF241" s="95">
        <f>IF(N241="snížená",J241,0)</f>
        <v>0</v>
      </c>
      <c r="BG241" s="95">
        <f>IF(N241="zákl. přenesená",J241,0)</f>
        <v>0</v>
      </c>
      <c r="BH241" s="95">
        <f>IF(N241="sníž. přenesená",J241,0)</f>
        <v>0</v>
      </c>
      <c r="BI241" s="95">
        <f>IF(N241="nulová",J241,0)</f>
        <v>0</v>
      </c>
      <c r="BJ241" s="10" t="s">
        <v>45</v>
      </c>
      <c r="BK241" s="95">
        <f>ROUND(I241*H241,2)</f>
        <v>0</v>
      </c>
      <c r="BL241" s="10" t="s">
        <v>84</v>
      </c>
      <c r="BM241" s="94" t="s">
        <v>732</v>
      </c>
    </row>
    <row r="242" spans="2:65" s="1" customFormat="1" ht="19.2" x14ac:dyDescent="0.2">
      <c r="B242" s="19"/>
      <c r="D242" s="96" t="s">
        <v>86</v>
      </c>
      <c r="F242" s="97" t="s">
        <v>731</v>
      </c>
      <c r="I242" s="98"/>
      <c r="L242" s="19"/>
      <c r="M242" s="99"/>
      <c r="T242" s="32"/>
      <c r="AT242" s="10" t="s">
        <v>86</v>
      </c>
      <c r="AU242" s="10" t="s">
        <v>47</v>
      </c>
    </row>
    <row r="243" spans="2:65" s="1" customFormat="1" ht="16.5" customHeight="1" x14ac:dyDescent="0.2">
      <c r="B243" s="19"/>
      <c r="C243" s="120" t="s">
        <v>271</v>
      </c>
      <c r="D243" s="120" t="s">
        <v>204</v>
      </c>
      <c r="E243" s="121" t="s">
        <v>733</v>
      </c>
      <c r="F243" s="122" t="s">
        <v>734</v>
      </c>
      <c r="G243" s="123" t="s">
        <v>274</v>
      </c>
      <c r="H243" s="124">
        <v>4</v>
      </c>
      <c r="I243" s="125"/>
      <c r="J243" s="124">
        <f>ROUND(I243*H243,2)</f>
        <v>0</v>
      </c>
      <c r="K243" s="122" t="s">
        <v>83</v>
      </c>
      <c r="L243" s="126"/>
      <c r="M243" s="127" t="s">
        <v>0</v>
      </c>
      <c r="N243" s="128" t="s">
        <v>26</v>
      </c>
      <c r="P243" s="92">
        <f>O243*H243</f>
        <v>0</v>
      </c>
      <c r="Q243" s="92">
        <v>1.415</v>
      </c>
      <c r="R243" s="92">
        <f>Q243*H243</f>
        <v>5.66</v>
      </c>
      <c r="S243" s="92">
        <v>0</v>
      </c>
      <c r="T243" s="93">
        <f>S243*H243</f>
        <v>0</v>
      </c>
      <c r="AR243" s="94" t="s">
        <v>147</v>
      </c>
      <c r="AT243" s="94" t="s">
        <v>204</v>
      </c>
      <c r="AU243" s="94" t="s">
        <v>47</v>
      </c>
      <c r="AY243" s="10" t="s">
        <v>77</v>
      </c>
      <c r="BE243" s="95">
        <f>IF(N243="základní",J243,0)</f>
        <v>0</v>
      </c>
      <c r="BF243" s="95">
        <f>IF(N243="snížená",J243,0)</f>
        <v>0</v>
      </c>
      <c r="BG243" s="95">
        <f>IF(N243="zákl. přenesená",J243,0)</f>
        <v>0</v>
      </c>
      <c r="BH243" s="95">
        <f>IF(N243="sníž. přenesená",J243,0)</f>
        <v>0</v>
      </c>
      <c r="BI243" s="95">
        <f>IF(N243="nulová",J243,0)</f>
        <v>0</v>
      </c>
      <c r="BJ243" s="10" t="s">
        <v>45</v>
      </c>
      <c r="BK243" s="95">
        <f>ROUND(I243*H243,2)</f>
        <v>0</v>
      </c>
      <c r="BL243" s="10" t="s">
        <v>84</v>
      </c>
      <c r="BM243" s="94" t="s">
        <v>735</v>
      </c>
    </row>
    <row r="244" spans="2:65" s="1" customFormat="1" ht="10.199999999999999" x14ac:dyDescent="0.2">
      <c r="B244" s="19"/>
      <c r="D244" s="96" t="s">
        <v>86</v>
      </c>
      <c r="F244" s="97" t="s">
        <v>734</v>
      </c>
      <c r="I244" s="98"/>
      <c r="L244" s="19"/>
      <c r="M244" s="99"/>
      <c r="T244" s="32"/>
      <c r="AT244" s="10" t="s">
        <v>86</v>
      </c>
      <c r="AU244" s="10" t="s">
        <v>47</v>
      </c>
    </row>
    <row r="245" spans="2:65" s="6" customFormat="1" ht="22.8" customHeight="1" x14ac:dyDescent="0.25">
      <c r="B245" s="72"/>
      <c r="D245" s="73" t="s">
        <v>43</v>
      </c>
      <c r="E245" s="82" t="s">
        <v>154</v>
      </c>
      <c r="F245" s="82" t="s">
        <v>593</v>
      </c>
      <c r="I245" s="75"/>
      <c r="J245" s="83">
        <f>BK245</f>
        <v>0</v>
      </c>
      <c r="L245" s="72"/>
      <c r="M245" s="77"/>
      <c r="P245" s="78">
        <f>SUM(P246:P284)</f>
        <v>0</v>
      </c>
      <c r="R245" s="78">
        <f>SUM(R246:R284)</f>
        <v>104.77019138499999</v>
      </c>
      <c r="T245" s="79">
        <f>SUM(T246:T284)</f>
        <v>0</v>
      </c>
      <c r="AR245" s="73" t="s">
        <v>45</v>
      </c>
      <c r="AT245" s="80" t="s">
        <v>43</v>
      </c>
      <c r="AU245" s="80" t="s">
        <v>45</v>
      </c>
      <c r="AY245" s="73" t="s">
        <v>77</v>
      </c>
      <c r="BK245" s="81">
        <f>SUM(BK246:BK284)</f>
        <v>0</v>
      </c>
    </row>
    <row r="246" spans="2:65" s="1" customFormat="1" ht="24.15" customHeight="1" x14ac:dyDescent="0.2">
      <c r="B246" s="19"/>
      <c r="C246" s="84" t="s">
        <v>278</v>
      </c>
      <c r="D246" s="84" t="s">
        <v>79</v>
      </c>
      <c r="E246" s="85" t="s">
        <v>736</v>
      </c>
      <c r="F246" s="86" t="s">
        <v>737</v>
      </c>
      <c r="G246" s="87" t="s">
        <v>274</v>
      </c>
      <c r="H246" s="88">
        <v>5</v>
      </c>
      <c r="I246" s="89"/>
      <c r="J246" s="88">
        <f>ROUND(I246*H246,2)</f>
        <v>0</v>
      </c>
      <c r="K246" s="86" t="s">
        <v>83</v>
      </c>
      <c r="L246" s="19"/>
      <c r="M246" s="90" t="s">
        <v>0</v>
      </c>
      <c r="N246" s="91" t="s">
        <v>26</v>
      </c>
      <c r="P246" s="92">
        <f>O246*H246</f>
        <v>0</v>
      </c>
      <c r="Q246" s="92">
        <v>6.9999999999999999E-4</v>
      </c>
      <c r="R246" s="92">
        <f>Q246*H246</f>
        <v>3.5000000000000001E-3</v>
      </c>
      <c r="S246" s="92">
        <v>0</v>
      </c>
      <c r="T246" s="93">
        <f>S246*H246</f>
        <v>0</v>
      </c>
      <c r="AR246" s="94" t="s">
        <v>84</v>
      </c>
      <c r="AT246" s="94" t="s">
        <v>79</v>
      </c>
      <c r="AU246" s="94" t="s">
        <v>47</v>
      </c>
      <c r="AY246" s="10" t="s">
        <v>77</v>
      </c>
      <c r="BE246" s="95">
        <f>IF(N246="základní",J246,0)</f>
        <v>0</v>
      </c>
      <c r="BF246" s="95">
        <f>IF(N246="snížená",J246,0)</f>
        <v>0</v>
      </c>
      <c r="BG246" s="95">
        <f>IF(N246="zákl. přenesená",J246,0)</f>
        <v>0</v>
      </c>
      <c r="BH246" s="95">
        <f>IF(N246="sníž. přenesená",J246,0)</f>
        <v>0</v>
      </c>
      <c r="BI246" s="95">
        <f>IF(N246="nulová",J246,0)</f>
        <v>0</v>
      </c>
      <c r="BJ246" s="10" t="s">
        <v>45</v>
      </c>
      <c r="BK246" s="95">
        <f>ROUND(I246*H246,2)</f>
        <v>0</v>
      </c>
      <c r="BL246" s="10" t="s">
        <v>84</v>
      </c>
      <c r="BM246" s="94" t="s">
        <v>738</v>
      </c>
    </row>
    <row r="247" spans="2:65" s="1" customFormat="1" ht="19.2" x14ac:dyDescent="0.2">
      <c r="B247" s="19"/>
      <c r="D247" s="96" t="s">
        <v>86</v>
      </c>
      <c r="F247" s="97" t="s">
        <v>739</v>
      </c>
      <c r="I247" s="98"/>
      <c r="L247" s="19"/>
      <c r="M247" s="99"/>
      <c r="T247" s="32"/>
      <c r="AT247" s="10" t="s">
        <v>86</v>
      </c>
      <c r="AU247" s="10" t="s">
        <v>47</v>
      </c>
    </row>
    <row r="248" spans="2:65" s="1" customFormat="1" ht="16.5" customHeight="1" x14ac:dyDescent="0.2">
      <c r="B248" s="19"/>
      <c r="C248" s="120" t="s">
        <v>282</v>
      </c>
      <c r="D248" s="120" t="s">
        <v>204</v>
      </c>
      <c r="E248" s="121" t="s">
        <v>740</v>
      </c>
      <c r="F248" s="122" t="s">
        <v>741</v>
      </c>
      <c r="G248" s="123" t="s">
        <v>274</v>
      </c>
      <c r="H248" s="124">
        <v>2</v>
      </c>
      <c r="I248" s="125"/>
      <c r="J248" s="124">
        <f>ROUND(I248*H248,2)</f>
        <v>0</v>
      </c>
      <c r="K248" s="122" t="s">
        <v>83</v>
      </c>
      <c r="L248" s="126"/>
      <c r="M248" s="127" t="s">
        <v>0</v>
      </c>
      <c r="N248" s="128" t="s">
        <v>26</v>
      </c>
      <c r="P248" s="92">
        <f>O248*H248</f>
        <v>0</v>
      </c>
      <c r="Q248" s="92">
        <v>7.7000000000000002E-3</v>
      </c>
      <c r="R248" s="92">
        <f>Q248*H248</f>
        <v>1.54E-2</v>
      </c>
      <c r="S248" s="92">
        <v>0</v>
      </c>
      <c r="T248" s="93">
        <f>S248*H248</f>
        <v>0</v>
      </c>
      <c r="AR248" s="94" t="s">
        <v>147</v>
      </c>
      <c r="AT248" s="94" t="s">
        <v>204</v>
      </c>
      <c r="AU248" s="94" t="s">
        <v>47</v>
      </c>
      <c r="AY248" s="10" t="s">
        <v>77</v>
      </c>
      <c r="BE248" s="95">
        <f>IF(N248="základní",J248,0)</f>
        <v>0</v>
      </c>
      <c r="BF248" s="95">
        <f>IF(N248="snížená",J248,0)</f>
        <v>0</v>
      </c>
      <c r="BG248" s="95">
        <f>IF(N248="zákl. přenesená",J248,0)</f>
        <v>0</v>
      </c>
      <c r="BH248" s="95">
        <f>IF(N248="sníž. přenesená",J248,0)</f>
        <v>0</v>
      </c>
      <c r="BI248" s="95">
        <f>IF(N248="nulová",J248,0)</f>
        <v>0</v>
      </c>
      <c r="BJ248" s="10" t="s">
        <v>45</v>
      </c>
      <c r="BK248" s="95">
        <f>ROUND(I248*H248,2)</f>
        <v>0</v>
      </c>
      <c r="BL248" s="10" t="s">
        <v>84</v>
      </c>
      <c r="BM248" s="94" t="s">
        <v>742</v>
      </c>
    </row>
    <row r="249" spans="2:65" s="1" customFormat="1" ht="10.199999999999999" x14ac:dyDescent="0.2">
      <c r="B249" s="19"/>
      <c r="D249" s="96" t="s">
        <v>86</v>
      </c>
      <c r="F249" s="97" t="s">
        <v>741</v>
      </c>
      <c r="I249" s="98"/>
      <c r="L249" s="19"/>
      <c r="M249" s="99"/>
      <c r="T249" s="32"/>
      <c r="AT249" s="10" t="s">
        <v>86</v>
      </c>
      <c r="AU249" s="10" t="s">
        <v>47</v>
      </c>
    </row>
    <row r="250" spans="2:65" s="1" customFormat="1" ht="16.5" customHeight="1" x14ac:dyDescent="0.2">
      <c r="B250" s="19"/>
      <c r="C250" s="120" t="s">
        <v>287</v>
      </c>
      <c r="D250" s="120" t="s">
        <v>204</v>
      </c>
      <c r="E250" s="121" t="s">
        <v>743</v>
      </c>
      <c r="F250" s="122" t="s">
        <v>744</v>
      </c>
      <c r="G250" s="123" t="s">
        <v>274</v>
      </c>
      <c r="H250" s="124">
        <v>1</v>
      </c>
      <c r="I250" s="125"/>
      <c r="J250" s="124">
        <f>ROUND(I250*H250,2)</f>
        <v>0</v>
      </c>
      <c r="K250" s="122" t="s">
        <v>83</v>
      </c>
      <c r="L250" s="126"/>
      <c r="M250" s="127" t="s">
        <v>0</v>
      </c>
      <c r="N250" s="128" t="s">
        <v>26</v>
      </c>
      <c r="P250" s="92">
        <f>O250*H250</f>
        <v>0</v>
      </c>
      <c r="Q250" s="92">
        <v>5.0000000000000001E-3</v>
      </c>
      <c r="R250" s="92">
        <f>Q250*H250</f>
        <v>5.0000000000000001E-3</v>
      </c>
      <c r="S250" s="92">
        <v>0</v>
      </c>
      <c r="T250" s="93">
        <f>S250*H250</f>
        <v>0</v>
      </c>
      <c r="AR250" s="94" t="s">
        <v>147</v>
      </c>
      <c r="AT250" s="94" t="s">
        <v>204</v>
      </c>
      <c r="AU250" s="94" t="s">
        <v>47</v>
      </c>
      <c r="AY250" s="10" t="s">
        <v>77</v>
      </c>
      <c r="BE250" s="95">
        <f>IF(N250="základní",J250,0)</f>
        <v>0</v>
      </c>
      <c r="BF250" s="95">
        <f>IF(N250="snížená",J250,0)</f>
        <v>0</v>
      </c>
      <c r="BG250" s="95">
        <f>IF(N250="zákl. přenesená",J250,0)</f>
        <v>0</v>
      </c>
      <c r="BH250" s="95">
        <f>IF(N250="sníž. přenesená",J250,0)</f>
        <v>0</v>
      </c>
      <c r="BI250" s="95">
        <f>IF(N250="nulová",J250,0)</f>
        <v>0</v>
      </c>
      <c r="BJ250" s="10" t="s">
        <v>45</v>
      </c>
      <c r="BK250" s="95">
        <f>ROUND(I250*H250,2)</f>
        <v>0</v>
      </c>
      <c r="BL250" s="10" t="s">
        <v>84</v>
      </c>
      <c r="BM250" s="94" t="s">
        <v>745</v>
      </c>
    </row>
    <row r="251" spans="2:65" s="1" customFormat="1" ht="10.199999999999999" x14ac:dyDescent="0.2">
      <c r="B251" s="19"/>
      <c r="D251" s="96" t="s">
        <v>86</v>
      </c>
      <c r="F251" s="97" t="s">
        <v>744</v>
      </c>
      <c r="I251" s="98"/>
      <c r="L251" s="19"/>
      <c r="M251" s="99"/>
      <c r="T251" s="32"/>
      <c r="AT251" s="10" t="s">
        <v>86</v>
      </c>
      <c r="AU251" s="10" t="s">
        <v>47</v>
      </c>
    </row>
    <row r="252" spans="2:65" s="1" customFormat="1" ht="16.5" customHeight="1" x14ac:dyDescent="0.2">
      <c r="B252" s="19"/>
      <c r="C252" s="120" t="s">
        <v>291</v>
      </c>
      <c r="D252" s="120" t="s">
        <v>204</v>
      </c>
      <c r="E252" s="121" t="s">
        <v>746</v>
      </c>
      <c r="F252" s="122" t="s">
        <v>747</v>
      </c>
      <c r="G252" s="123" t="s">
        <v>274</v>
      </c>
      <c r="H252" s="124">
        <v>1</v>
      </c>
      <c r="I252" s="125"/>
      <c r="J252" s="124">
        <f>ROUND(I252*H252,2)</f>
        <v>0</v>
      </c>
      <c r="K252" s="122" t="s">
        <v>83</v>
      </c>
      <c r="L252" s="126"/>
      <c r="M252" s="127" t="s">
        <v>0</v>
      </c>
      <c r="N252" s="128" t="s">
        <v>26</v>
      </c>
      <c r="P252" s="92">
        <f>O252*H252</f>
        <v>0</v>
      </c>
      <c r="Q252" s="92">
        <v>2.5000000000000001E-3</v>
      </c>
      <c r="R252" s="92">
        <f>Q252*H252</f>
        <v>2.5000000000000001E-3</v>
      </c>
      <c r="S252" s="92">
        <v>0</v>
      </c>
      <c r="T252" s="93">
        <f>S252*H252</f>
        <v>0</v>
      </c>
      <c r="AR252" s="94" t="s">
        <v>147</v>
      </c>
      <c r="AT252" s="94" t="s">
        <v>204</v>
      </c>
      <c r="AU252" s="94" t="s">
        <v>47</v>
      </c>
      <c r="AY252" s="10" t="s">
        <v>77</v>
      </c>
      <c r="BE252" s="95">
        <f>IF(N252="základní",J252,0)</f>
        <v>0</v>
      </c>
      <c r="BF252" s="95">
        <f>IF(N252="snížená",J252,0)</f>
        <v>0</v>
      </c>
      <c r="BG252" s="95">
        <f>IF(N252="zákl. přenesená",J252,0)</f>
        <v>0</v>
      </c>
      <c r="BH252" s="95">
        <f>IF(N252="sníž. přenesená",J252,0)</f>
        <v>0</v>
      </c>
      <c r="BI252" s="95">
        <f>IF(N252="nulová",J252,0)</f>
        <v>0</v>
      </c>
      <c r="BJ252" s="10" t="s">
        <v>45</v>
      </c>
      <c r="BK252" s="95">
        <f>ROUND(I252*H252,2)</f>
        <v>0</v>
      </c>
      <c r="BL252" s="10" t="s">
        <v>84</v>
      </c>
      <c r="BM252" s="94" t="s">
        <v>748</v>
      </c>
    </row>
    <row r="253" spans="2:65" s="1" customFormat="1" ht="10.199999999999999" x14ac:dyDescent="0.2">
      <c r="B253" s="19"/>
      <c r="D253" s="96" t="s">
        <v>86</v>
      </c>
      <c r="F253" s="97" t="s">
        <v>747</v>
      </c>
      <c r="I253" s="98"/>
      <c r="L253" s="19"/>
      <c r="M253" s="99"/>
      <c r="T253" s="32"/>
      <c r="AT253" s="10" t="s">
        <v>86</v>
      </c>
      <c r="AU253" s="10" t="s">
        <v>47</v>
      </c>
    </row>
    <row r="254" spans="2:65" s="1" customFormat="1" ht="24.15" customHeight="1" x14ac:dyDescent="0.2">
      <c r="B254" s="19"/>
      <c r="C254" s="84" t="s">
        <v>295</v>
      </c>
      <c r="D254" s="84" t="s">
        <v>79</v>
      </c>
      <c r="E254" s="85" t="s">
        <v>749</v>
      </c>
      <c r="F254" s="86" t="s">
        <v>750</v>
      </c>
      <c r="G254" s="87" t="s">
        <v>274</v>
      </c>
      <c r="H254" s="88">
        <v>5</v>
      </c>
      <c r="I254" s="89"/>
      <c r="J254" s="88">
        <f>ROUND(I254*H254,2)</f>
        <v>0</v>
      </c>
      <c r="K254" s="86" t="s">
        <v>83</v>
      </c>
      <c r="L254" s="19"/>
      <c r="M254" s="90" t="s">
        <v>0</v>
      </c>
      <c r="N254" s="91" t="s">
        <v>26</v>
      </c>
      <c r="P254" s="92">
        <f>O254*H254</f>
        <v>0</v>
      </c>
      <c r="Q254" s="92">
        <v>0.112405</v>
      </c>
      <c r="R254" s="92">
        <f>Q254*H254</f>
        <v>0.562025</v>
      </c>
      <c r="S254" s="92">
        <v>0</v>
      </c>
      <c r="T254" s="93">
        <f>S254*H254</f>
        <v>0</v>
      </c>
      <c r="AR254" s="94" t="s">
        <v>84</v>
      </c>
      <c r="AT254" s="94" t="s">
        <v>79</v>
      </c>
      <c r="AU254" s="94" t="s">
        <v>47</v>
      </c>
      <c r="AY254" s="10" t="s">
        <v>77</v>
      </c>
      <c r="BE254" s="95">
        <f>IF(N254="základní",J254,0)</f>
        <v>0</v>
      </c>
      <c r="BF254" s="95">
        <f>IF(N254="snížená",J254,0)</f>
        <v>0</v>
      </c>
      <c r="BG254" s="95">
        <f>IF(N254="zákl. přenesená",J254,0)</f>
        <v>0</v>
      </c>
      <c r="BH254" s="95">
        <f>IF(N254="sníž. přenesená",J254,0)</f>
        <v>0</v>
      </c>
      <c r="BI254" s="95">
        <f>IF(N254="nulová",J254,0)</f>
        <v>0</v>
      </c>
      <c r="BJ254" s="10" t="s">
        <v>45</v>
      </c>
      <c r="BK254" s="95">
        <f>ROUND(I254*H254,2)</f>
        <v>0</v>
      </c>
      <c r="BL254" s="10" t="s">
        <v>84</v>
      </c>
      <c r="BM254" s="94" t="s">
        <v>751</v>
      </c>
    </row>
    <row r="255" spans="2:65" s="1" customFormat="1" ht="19.2" x14ac:dyDescent="0.2">
      <c r="B255" s="19"/>
      <c r="D255" s="96" t="s">
        <v>86</v>
      </c>
      <c r="F255" s="97" t="s">
        <v>752</v>
      </c>
      <c r="I255" s="98"/>
      <c r="L255" s="19"/>
      <c r="M255" s="99"/>
      <c r="T255" s="32"/>
      <c r="AT255" s="10" t="s">
        <v>86</v>
      </c>
      <c r="AU255" s="10" t="s">
        <v>47</v>
      </c>
    </row>
    <row r="256" spans="2:65" s="1" customFormat="1" ht="21.75" customHeight="1" x14ac:dyDescent="0.2">
      <c r="B256" s="19"/>
      <c r="C256" s="120" t="s">
        <v>300</v>
      </c>
      <c r="D256" s="120" t="s">
        <v>204</v>
      </c>
      <c r="E256" s="121" t="s">
        <v>753</v>
      </c>
      <c r="F256" s="122" t="s">
        <v>754</v>
      </c>
      <c r="G256" s="123" t="s">
        <v>274</v>
      </c>
      <c r="H256" s="124">
        <v>5</v>
      </c>
      <c r="I256" s="125"/>
      <c r="J256" s="124">
        <f>ROUND(I256*H256,2)</f>
        <v>0</v>
      </c>
      <c r="K256" s="122" t="s">
        <v>83</v>
      </c>
      <c r="L256" s="126"/>
      <c r="M256" s="127" t="s">
        <v>0</v>
      </c>
      <c r="N256" s="128" t="s">
        <v>26</v>
      </c>
      <c r="P256" s="92">
        <f>O256*H256</f>
        <v>0</v>
      </c>
      <c r="Q256" s="92">
        <v>6.1000000000000004E-3</v>
      </c>
      <c r="R256" s="92">
        <f>Q256*H256</f>
        <v>3.0500000000000003E-2</v>
      </c>
      <c r="S256" s="92">
        <v>0</v>
      </c>
      <c r="T256" s="93">
        <f>S256*H256</f>
        <v>0</v>
      </c>
      <c r="AR256" s="94" t="s">
        <v>147</v>
      </c>
      <c r="AT256" s="94" t="s">
        <v>204</v>
      </c>
      <c r="AU256" s="94" t="s">
        <v>47</v>
      </c>
      <c r="AY256" s="10" t="s">
        <v>77</v>
      </c>
      <c r="BE256" s="95">
        <f>IF(N256="základní",J256,0)</f>
        <v>0</v>
      </c>
      <c r="BF256" s="95">
        <f>IF(N256="snížená",J256,0)</f>
        <v>0</v>
      </c>
      <c r="BG256" s="95">
        <f>IF(N256="zákl. přenesená",J256,0)</f>
        <v>0</v>
      </c>
      <c r="BH256" s="95">
        <f>IF(N256="sníž. přenesená",J256,0)</f>
        <v>0</v>
      </c>
      <c r="BI256" s="95">
        <f>IF(N256="nulová",J256,0)</f>
        <v>0</v>
      </c>
      <c r="BJ256" s="10" t="s">
        <v>45</v>
      </c>
      <c r="BK256" s="95">
        <f>ROUND(I256*H256,2)</f>
        <v>0</v>
      </c>
      <c r="BL256" s="10" t="s">
        <v>84</v>
      </c>
      <c r="BM256" s="94" t="s">
        <v>755</v>
      </c>
    </row>
    <row r="257" spans="2:65" s="1" customFormat="1" ht="10.199999999999999" x14ac:dyDescent="0.2">
      <c r="B257" s="19"/>
      <c r="D257" s="96" t="s">
        <v>86</v>
      </c>
      <c r="F257" s="97" t="s">
        <v>754</v>
      </c>
      <c r="I257" s="98"/>
      <c r="L257" s="19"/>
      <c r="M257" s="99"/>
      <c r="T257" s="32"/>
      <c r="AT257" s="10" t="s">
        <v>86</v>
      </c>
      <c r="AU257" s="10" t="s">
        <v>47</v>
      </c>
    </row>
    <row r="258" spans="2:65" s="1" customFormat="1" ht="16.5" customHeight="1" x14ac:dyDescent="0.2">
      <c r="B258" s="19"/>
      <c r="C258" s="120" t="s">
        <v>304</v>
      </c>
      <c r="D258" s="120" t="s">
        <v>204</v>
      </c>
      <c r="E258" s="121" t="s">
        <v>756</v>
      </c>
      <c r="F258" s="122" t="s">
        <v>757</v>
      </c>
      <c r="G258" s="123" t="s">
        <v>274</v>
      </c>
      <c r="H258" s="124">
        <v>5</v>
      </c>
      <c r="I258" s="125"/>
      <c r="J258" s="124">
        <f>ROUND(I258*H258,2)</f>
        <v>0</v>
      </c>
      <c r="K258" s="122" t="s">
        <v>83</v>
      </c>
      <c r="L258" s="126"/>
      <c r="M258" s="127" t="s">
        <v>0</v>
      </c>
      <c r="N258" s="128" t="s">
        <v>26</v>
      </c>
      <c r="P258" s="92">
        <f>O258*H258</f>
        <v>0</v>
      </c>
      <c r="Q258" s="92">
        <v>3.0000000000000001E-3</v>
      </c>
      <c r="R258" s="92">
        <f>Q258*H258</f>
        <v>1.4999999999999999E-2</v>
      </c>
      <c r="S258" s="92">
        <v>0</v>
      </c>
      <c r="T258" s="93">
        <f>S258*H258</f>
        <v>0</v>
      </c>
      <c r="AR258" s="94" t="s">
        <v>147</v>
      </c>
      <c r="AT258" s="94" t="s">
        <v>204</v>
      </c>
      <c r="AU258" s="94" t="s">
        <v>47</v>
      </c>
      <c r="AY258" s="10" t="s">
        <v>77</v>
      </c>
      <c r="BE258" s="95">
        <f>IF(N258="základní",J258,0)</f>
        <v>0</v>
      </c>
      <c r="BF258" s="95">
        <f>IF(N258="snížená",J258,0)</f>
        <v>0</v>
      </c>
      <c r="BG258" s="95">
        <f>IF(N258="zákl. přenesená",J258,0)</f>
        <v>0</v>
      </c>
      <c r="BH258" s="95">
        <f>IF(N258="sníž. přenesená",J258,0)</f>
        <v>0</v>
      </c>
      <c r="BI258" s="95">
        <f>IF(N258="nulová",J258,0)</f>
        <v>0</v>
      </c>
      <c r="BJ258" s="10" t="s">
        <v>45</v>
      </c>
      <c r="BK258" s="95">
        <f>ROUND(I258*H258,2)</f>
        <v>0</v>
      </c>
      <c r="BL258" s="10" t="s">
        <v>84</v>
      </c>
      <c r="BM258" s="94" t="s">
        <v>758</v>
      </c>
    </row>
    <row r="259" spans="2:65" s="1" customFormat="1" ht="10.199999999999999" x14ac:dyDescent="0.2">
      <c r="B259" s="19"/>
      <c r="D259" s="96" t="s">
        <v>86</v>
      </c>
      <c r="F259" s="97" t="s">
        <v>757</v>
      </c>
      <c r="I259" s="98"/>
      <c r="L259" s="19"/>
      <c r="M259" s="99"/>
      <c r="T259" s="32"/>
      <c r="AT259" s="10" t="s">
        <v>86</v>
      </c>
      <c r="AU259" s="10" t="s">
        <v>47</v>
      </c>
    </row>
    <row r="260" spans="2:65" s="1" customFormat="1" ht="21.75" customHeight="1" x14ac:dyDescent="0.2">
      <c r="B260" s="19"/>
      <c r="C260" s="120" t="s">
        <v>309</v>
      </c>
      <c r="D260" s="120" t="s">
        <v>204</v>
      </c>
      <c r="E260" s="121" t="s">
        <v>759</v>
      </c>
      <c r="F260" s="122" t="s">
        <v>760</v>
      </c>
      <c r="G260" s="123" t="s">
        <v>274</v>
      </c>
      <c r="H260" s="124">
        <v>10</v>
      </c>
      <c r="I260" s="125"/>
      <c r="J260" s="124">
        <f>ROUND(I260*H260,2)</f>
        <v>0</v>
      </c>
      <c r="K260" s="122" t="s">
        <v>83</v>
      </c>
      <c r="L260" s="126"/>
      <c r="M260" s="127" t="s">
        <v>0</v>
      </c>
      <c r="N260" s="128" t="s">
        <v>26</v>
      </c>
      <c r="P260" s="92">
        <f>O260*H260</f>
        <v>0</v>
      </c>
      <c r="Q260" s="92">
        <v>3.5E-4</v>
      </c>
      <c r="R260" s="92">
        <f>Q260*H260</f>
        <v>3.5000000000000001E-3</v>
      </c>
      <c r="S260" s="92">
        <v>0</v>
      </c>
      <c r="T260" s="93">
        <f>S260*H260</f>
        <v>0</v>
      </c>
      <c r="AR260" s="94" t="s">
        <v>147</v>
      </c>
      <c r="AT260" s="94" t="s">
        <v>204</v>
      </c>
      <c r="AU260" s="94" t="s">
        <v>47</v>
      </c>
      <c r="AY260" s="10" t="s">
        <v>77</v>
      </c>
      <c r="BE260" s="95">
        <f>IF(N260="základní",J260,0)</f>
        <v>0</v>
      </c>
      <c r="BF260" s="95">
        <f>IF(N260="snížená",J260,0)</f>
        <v>0</v>
      </c>
      <c r="BG260" s="95">
        <f>IF(N260="zákl. přenesená",J260,0)</f>
        <v>0</v>
      </c>
      <c r="BH260" s="95">
        <f>IF(N260="sníž. přenesená",J260,0)</f>
        <v>0</v>
      </c>
      <c r="BI260" s="95">
        <f>IF(N260="nulová",J260,0)</f>
        <v>0</v>
      </c>
      <c r="BJ260" s="10" t="s">
        <v>45</v>
      </c>
      <c r="BK260" s="95">
        <f>ROUND(I260*H260,2)</f>
        <v>0</v>
      </c>
      <c r="BL260" s="10" t="s">
        <v>84</v>
      </c>
      <c r="BM260" s="94" t="s">
        <v>761</v>
      </c>
    </row>
    <row r="261" spans="2:65" s="1" customFormat="1" ht="10.199999999999999" x14ac:dyDescent="0.2">
      <c r="B261" s="19"/>
      <c r="D261" s="96" t="s">
        <v>86</v>
      </c>
      <c r="F261" s="97" t="s">
        <v>760</v>
      </c>
      <c r="I261" s="98"/>
      <c r="L261" s="19"/>
      <c r="M261" s="99"/>
      <c r="T261" s="32"/>
      <c r="AT261" s="10" t="s">
        <v>86</v>
      </c>
      <c r="AU261" s="10" t="s">
        <v>47</v>
      </c>
    </row>
    <row r="262" spans="2:65" s="1" customFormat="1" ht="33" customHeight="1" x14ac:dyDescent="0.2">
      <c r="B262" s="19"/>
      <c r="C262" s="84" t="s">
        <v>313</v>
      </c>
      <c r="D262" s="84" t="s">
        <v>79</v>
      </c>
      <c r="E262" s="85" t="s">
        <v>762</v>
      </c>
      <c r="F262" s="86" t="s">
        <v>763</v>
      </c>
      <c r="G262" s="87" t="s">
        <v>130</v>
      </c>
      <c r="H262" s="88">
        <v>353</v>
      </c>
      <c r="I262" s="89"/>
      <c r="J262" s="88">
        <f>ROUND(I262*H262,2)</f>
        <v>0</v>
      </c>
      <c r="K262" s="86" t="s">
        <v>83</v>
      </c>
      <c r="L262" s="19"/>
      <c r="M262" s="90" t="s">
        <v>0</v>
      </c>
      <c r="N262" s="91" t="s">
        <v>26</v>
      </c>
      <c r="P262" s="92">
        <f>O262*H262</f>
        <v>0</v>
      </c>
      <c r="Q262" s="92">
        <v>0.16850351999999999</v>
      </c>
      <c r="R262" s="92">
        <f>Q262*H262</f>
        <v>59.481742559999994</v>
      </c>
      <c r="S262" s="92">
        <v>0</v>
      </c>
      <c r="T262" s="93">
        <f>S262*H262</f>
        <v>0</v>
      </c>
      <c r="AR262" s="94" t="s">
        <v>84</v>
      </c>
      <c r="AT262" s="94" t="s">
        <v>79</v>
      </c>
      <c r="AU262" s="94" t="s">
        <v>47</v>
      </c>
      <c r="AY262" s="10" t="s">
        <v>77</v>
      </c>
      <c r="BE262" s="95">
        <f>IF(N262="základní",J262,0)</f>
        <v>0</v>
      </c>
      <c r="BF262" s="95">
        <f>IF(N262="snížená",J262,0)</f>
        <v>0</v>
      </c>
      <c r="BG262" s="95">
        <f>IF(N262="zákl. přenesená",J262,0)</f>
        <v>0</v>
      </c>
      <c r="BH262" s="95">
        <f>IF(N262="sníž. přenesená",J262,0)</f>
        <v>0</v>
      </c>
      <c r="BI262" s="95">
        <f>IF(N262="nulová",J262,0)</f>
        <v>0</v>
      </c>
      <c r="BJ262" s="10" t="s">
        <v>45</v>
      </c>
      <c r="BK262" s="95">
        <f>ROUND(I262*H262,2)</f>
        <v>0</v>
      </c>
      <c r="BL262" s="10" t="s">
        <v>84</v>
      </c>
      <c r="BM262" s="94" t="s">
        <v>764</v>
      </c>
    </row>
    <row r="263" spans="2:65" s="1" customFormat="1" ht="28.8" x14ac:dyDescent="0.2">
      <c r="B263" s="19"/>
      <c r="D263" s="96" t="s">
        <v>86</v>
      </c>
      <c r="F263" s="97" t="s">
        <v>765</v>
      </c>
      <c r="I263" s="98"/>
      <c r="L263" s="19"/>
      <c r="M263" s="99"/>
      <c r="T263" s="32"/>
      <c r="AT263" s="10" t="s">
        <v>86</v>
      </c>
      <c r="AU263" s="10" t="s">
        <v>47</v>
      </c>
    </row>
    <row r="264" spans="2:65" s="8" customFormat="1" ht="20.399999999999999" x14ac:dyDescent="0.2">
      <c r="B264" s="106"/>
      <c r="D264" s="96" t="s">
        <v>88</v>
      </c>
      <c r="E264" s="107" t="s">
        <v>0</v>
      </c>
      <c r="F264" s="108" t="s">
        <v>766</v>
      </c>
      <c r="H264" s="109">
        <v>60</v>
      </c>
      <c r="I264" s="110"/>
      <c r="L264" s="106"/>
      <c r="M264" s="111"/>
      <c r="T264" s="112"/>
      <c r="AT264" s="107" t="s">
        <v>88</v>
      </c>
      <c r="AU264" s="107" t="s">
        <v>47</v>
      </c>
      <c r="AV264" s="8" t="s">
        <v>47</v>
      </c>
      <c r="AW264" s="8" t="s">
        <v>18</v>
      </c>
      <c r="AX264" s="8" t="s">
        <v>44</v>
      </c>
      <c r="AY264" s="107" t="s">
        <v>77</v>
      </c>
    </row>
    <row r="265" spans="2:65" s="8" customFormat="1" ht="20.399999999999999" x14ac:dyDescent="0.2">
      <c r="B265" s="106"/>
      <c r="D265" s="96" t="s">
        <v>88</v>
      </c>
      <c r="E265" s="107" t="s">
        <v>0</v>
      </c>
      <c r="F265" s="108" t="s">
        <v>767</v>
      </c>
      <c r="H265" s="109">
        <v>28</v>
      </c>
      <c r="I265" s="110"/>
      <c r="L265" s="106"/>
      <c r="M265" s="111"/>
      <c r="T265" s="112"/>
      <c r="AT265" s="107" t="s">
        <v>88</v>
      </c>
      <c r="AU265" s="107" t="s">
        <v>47</v>
      </c>
      <c r="AV265" s="8" t="s">
        <v>47</v>
      </c>
      <c r="AW265" s="8" t="s">
        <v>18</v>
      </c>
      <c r="AX265" s="8" t="s">
        <v>44</v>
      </c>
      <c r="AY265" s="107" t="s">
        <v>77</v>
      </c>
    </row>
    <row r="266" spans="2:65" s="8" customFormat="1" ht="10.199999999999999" x14ac:dyDescent="0.2">
      <c r="B266" s="106"/>
      <c r="D266" s="96" t="s">
        <v>88</v>
      </c>
      <c r="E266" s="107" t="s">
        <v>0</v>
      </c>
      <c r="F266" s="108" t="s">
        <v>768</v>
      </c>
      <c r="H266" s="109">
        <v>3</v>
      </c>
      <c r="I266" s="110"/>
      <c r="L266" s="106"/>
      <c r="M266" s="111"/>
      <c r="T266" s="112"/>
      <c r="AT266" s="107" t="s">
        <v>88</v>
      </c>
      <c r="AU266" s="107" t="s">
        <v>47</v>
      </c>
      <c r="AV266" s="8" t="s">
        <v>47</v>
      </c>
      <c r="AW266" s="8" t="s">
        <v>18</v>
      </c>
      <c r="AX266" s="8" t="s">
        <v>44</v>
      </c>
      <c r="AY266" s="107" t="s">
        <v>77</v>
      </c>
    </row>
    <row r="267" spans="2:65" s="8" customFormat="1" ht="10.199999999999999" x14ac:dyDescent="0.2">
      <c r="B267" s="106"/>
      <c r="D267" s="96" t="s">
        <v>88</v>
      </c>
      <c r="E267" s="107" t="s">
        <v>0</v>
      </c>
      <c r="F267" s="108" t="s">
        <v>769</v>
      </c>
      <c r="H267" s="109">
        <v>262</v>
      </c>
      <c r="I267" s="110"/>
      <c r="L267" s="106"/>
      <c r="M267" s="111"/>
      <c r="T267" s="112"/>
      <c r="AT267" s="107" t="s">
        <v>88</v>
      </c>
      <c r="AU267" s="107" t="s">
        <v>47</v>
      </c>
      <c r="AV267" s="8" t="s">
        <v>47</v>
      </c>
      <c r="AW267" s="8" t="s">
        <v>18</v>
      </c>
      <c r="AX267" s="8" t="s">
        <v>44</v>
      </c>
      <c r="AY267" s="107" t="s">
        <v>77</v>
      </c>
    </row>
    <row r="268" spans="2:65" s="9" customFormat="1" ht="10.199999999999999" x14ac:dyDescent="0.2">
      <c r="B268" s="113"/>
      <c r="D268" s="96" t="s">
        <v>88</v>
      </c>
      <c r="E268" s="114" t="s">
        <v>0</v>
      </c>
      <c r="F268" s="115" t="s">
        <v>91</v>
      </c>
      <c r="H268" s="116">
        <v>353</v>
      </c>
      <c r="I268" s="117"/>
      <c r="L268" s="113"/>
      <c r="M268" s="118"/>
      <c r="T268" s="119"/>
      <c r="AT268" s="114" t="s">
        <v>88</v>
      </c>
      <c r="AU268" s="114" t="s">
        <v>47</v>
      </c>
      <c r="AV268" s="9" t="s">
        <v>84</v>
      </c>
      <c r="AW268" s="9" t="s">
        <v>18</v>
      </c>
      <c r="AX268" s="9" t="s">
        <v>45</v>
      </c>
      <c r="AY268" s="114" t="s">
        <v>77</v>
      </c>
    </row>
    <row r="269" spans="2:65" s="1" customFormat="1" ht="16.5" customHeight="1" x14ac:dyDescent="0.2">
      <c r="B269" s="19"/>
      <c r="C269" s="120" t="s">
        <v>317</v>
      </c>
      <c r="D269" s="120" t="s">
        <v>204</v>
      </c>
      <c r="E269" s="121" t="s">
        <v>770</v>
      </c>
      <c r="F269" s="122" t="s">
        <v>771</v>
      </c>
      <c r="G269" s="123" t="s">
        <v>130</v>
      </c>
      <c r="H269" s="124">
        <v>353</v>
      </c>
      <c r="I269" s="125"/>
      <c r="J269" s="124">
        <f>ROUND(I269*H269,2)</f>
        <v>0</v>
      </c>
      <c r="K269" s="122" t="s">
        <v>83</v>
      </c>
      <c r="L269" s="126"/>
      <c r="M269" s="127" t="s">
        <v>0</v>
      </c>
      <c r="N269" s="128" t="s">
        <v>26</v>
      </c>
      <c r="P269" s="92">
        <f>O269*H269</f>
        <v>0</v>
      </c>
      <c r="Q269" s="92">
        <v>0.08</v>
      </c>
      <c r="R269" s="92">
        <f>Q269*H269</f>
        <v>28.240000000000002</v>
      </c>
      <c r="S269" s="92">
        <v>0</v>
      </c>
      <c r="T269" s="93">
        <f>S269*H269</f>
        <v>0</v>
      </c>
      <c r="AR269" s="94" t="s">
        <v>147</v>
      </c>
      <c r="AT269" s="94" t="s">
        <v>204</v>
      </c>
      <c r="AU269" s="94" t="s">
        <v>47</v>
      </c>
      <c r="AY269" s="10" t="s">
        <v>77</v>
      </c>
      <c r="BE269" s="95">
        <f>IF(N269="základní",J269,0)</f>
        <v>0</v>
      </c>
      <c r="BF269" s="95">
        <f>IF(N269="snížená",J269,0)</f>
        <v>0</v>
      </c>
      <c r="BG269" s="95">
        <f>IF(N269="zákl. přenesená",J269,0)</f>
        <v>0</v>
      </c>
      <c r="BH269" s="95">
        <f>IF(N269="sníž. přenesená",J269,0)</f>
        <v>0</v>
      </c>
      <c r="BI269" s="95">
        <f>IF(N269="nulová",J269,0)</f>
        <v>0</v>
      </c>
      <c r="BJ269" s="10" t="s">
        <v>45</v>
      </c>
      <c r="BK269" s="95">
        <f>ROUND(I269*H269,2)</f>
        <v>0</v>
      </c>
      <c r="BL269" s="10" t="s">
        <v>84</v>
      </c>
      <c r="BM269" s="94" t="s">
        <v>772</v>
      </c>
    </row>
    <row r="270" spans="2:65" s="1" customFormat="1" ht="10.199999999999999" x14ac:dyDescent="0.2">
      <c r="B270" s="19"/>
      <c r="D270" s="96" t="s">
        <v>86</v>
      </c>
      <c r="F270" s="97" t="s">
        <v>771</v>
      </c>
      <c r="I270" s="98"/>
      <c r="L270" s="19"/>
      <c r="M270" s="99"/>
      <c r="T270" s="32"/>
      <c r="AT270" s="10" t="s">
        <v>86</v>
      </c>
      <c r="AU270" s="10" t="s">
        <v>47</v>
      </c>
    </row>
    <row r="271" spans="2:65" s="8" customFormat="1" ht="20.399999999999999" x14ac:dyDescent="0.2">
      <c r="B271" s="106"/>
      <c r="D271" s="96" t="s">
        <v>88</v>
      </c>
      <c r="F271" s="108" t="s">
        <v>773</v>
      </c>
      <c r="H271" s="109">
        <v>353</v>
      </c>
      <c r="I271" s="110"/>
      <c r="L271" s="106"/>
      <c r="M271" s="111"/>
      <c r="T271" s="112"/>
      <c r="AT271" s="107" t="s">
        <v>88</v>
      </c>
      <c r="AU271" s="107" t="s">
        <v>47</v>
      </c>
      <c r="AV271" s="8" t="s">
        <v>47</v>
      </c>
      <c r="AW271" s="8" t="s">
        <v>1</v>
      </c>
      <c r="AX271" s="8" t="s">
        <v>45</v>
      </c>
      <c r="AY271" s="107" t="s">
        <v>77</v>
      </c>
    </row>
    <row r="272" spans="2:65" s="1" customFormat="1" ht="33" customHeight="1" x14ac:dyDescent="0.2">
      <c r="B272" s="19"/>
      <c r="C272" s="84" t="s">
        <v>321</v>
      </c>
      <c r="D272" s="84" t="s">
        <v>79</v>
      </c>
      <c r="E272" s="85" t="s">
        <v>774</v>
      </c>
      <c r="F272" s="86" t="s">
        <v>775</v>
      </c>
      <c r="G272" s="87" t="s">
        <v>130</v>
      </c>
      <c r="H272" s="88">
        <v>82</v>
      </c>
      <c r="I272" s="89"/>
      <c r="J272" s="88">
        <f>ROUND(I272*H272,2)</f>
        <v>0</v>
      </c>
      <c r="K272" s="86" t="s">
        <v>83</v>
      </c>
      <c r="L272" s="19"/>
      <c r="M272" s="90" t="s">
        <v>0</v>
      </c>
      <c r="N272" s="91" t="s">
        <v>26</v>
      </c>
      <c r="P272" s="92">
        <f>O272*H272</f>
        <v>0</v>
      </c>
      <c r="Q272" s="92">
        <v>0.14041960000000001</v>
      </c>
      <c r="R272" s="92">
        <f>Q272*H272</f>
        <v>11.514407200000001</v>
      </c>
      <c r="S272" s="92">
        <v>0</v>
      </c>
      <c r="T272" s="93">
        <f>S272*H272</f>
        <v>0</v>
      </c>
      <c r="AR272" s="94" t="s">
        <v>84</v>
      </c>
      <c r="AT272" s="94" t="s">
        <v>79</v>
      </c>
      <c r="AU272" s="94" t="s">
        <v>47</v>
      </c>
      <c r="AY272" s="10" t="s">
        <v>77</v>
      </c>
      <c r="BE272" s="95">
        <f>IF(N272="základní",J272,0)</f>
        <v>0</v>
      </c>
      <c r="BF272" s="95">
        <f>IF(N272="snížená",J272,0)</f>
        <v>0</v>
      </c>
      <c r="BG272" s="95">
        <f>IF(N272="zákl. přenesená",J272,0)</f>
        <v>0</v>
      </c>
      <c r="BH272" s="95">
        <f>IF(N272="sníž. přenesená",J272,0)</f>
        <v>0</v>
      </c>
      <c r="BI272" s="95">
        <f>IF(N272="nulová",J272,0)</f>
        <v>0</v>
      </c>
      <c r="BJ272" s="10" t="s">
        <v>45</v>
      </c>
      <c r="BK272" s="95">
        <f>ROUND(I272*H272,2)</f>
        <v>0</v>
      </c>
      <c r="BL272" s="10" t="s">
        <v>84</v>
      </c>
      <c r="BM272" s="94" t="s">
        <v>776</v>
      </c>
    </row>
    <row r="273" spans="2:65" s="1" customFormat="1" ht="38.4" x14ac:dyDescent="0.2">
      <c r="B273" s="19"/>
      <c r="D273" s="96" t="s">
        <v>86</v>
      </c>
      <c r="F273" s="97" t="s">
        <v>777</v>
      </c>
      <c r="I273" s="98"/>
      <c r="L273" s="19"/>
      <c r="M273" s="99"/>
      <c r="T273" s="32"/>
      <c r="AT273" s="10" t="s">
        <v>86</v>
      </c>
      <c r="AU273" s="10" t="s">
        <v>47</v>
      </c>
    </row>
    <row r="274" spans="2:65" s="1" customFormat="1" ht="16.5" customHeight="1" x14ac:dyDescent="0.2">
      <c r="B274" s="19"/>
      <c r="C274" s="120" t="s">
        <v>325</v>
      </c>
      <c r="D274" s="120" t="s">
        <v>204</v>
      </c>
      <c r="E274" s="121" t="s">
        <v>778</v>
      </c>
      <c r="F274" s="122" t="s">
        <v>779</v>
      </c>
      <c r="G274" s="123" t="s">
        <v>130</v>
      </c>
      <c r="H274" s="124">
        <v>82</v>
      </c>
      <c r="I274" s="125"/>
      <c r="J274" s="124">
        <f>ROUND(I274*H274,2)</f>
        <v>0</v>
      </c>
      <c r="K274" s="122" t="s">
        <v>83</v>
      </c>
      <c r="L274" s="126"/>
      <c r="M274" s="127" t="s">
        <v>0</v>
      </c>
      <c r="N274" s="128" t="s">
        <v>26</v>
      </c>
      <c r="P274" s="92">
        <f>O274*H274</f>
        <v>0</v>
      </c>
      <c r="Q274" s="92">
        <v>5.6120000000000003E-2</v>
      </c>
      <c r="R274" s="92">
        <f>Q274*H274</f>
        <v>4.6018400000000002</v>
      </c>
      <c r="S274" s="92">
        <v>0</v>
      </c>
      <c r="T274" s="93">
        <f>S274*H274</f>
        <v>0</v>
      </c>
      <c r="AR274" s="94" t="s">
        <v>147</v>
      </c>
      <c r="AT274" s="94" t="s">
        <v>204</v>
      </c>
      <c r="AU274" s="94" t="s">
        <v>47</v>
      </c>
      <c r="AY274" s="10" t="s">
        <v>77</v>
      </c>
      <c r="BE274" s="95">
        <f>IF(N274="základní",J274,0)</f>
        <v>0</v>
      </c>
      <c r="BF274" s="95">
        <f>IF(N274="snížená",J274,0)</f>
        <v>0</v>
      </c>
      <c r="BG274" s="95">
        <f>IF(N274="zákl. přenesená",J274,0)</f>
        <v>0</v>
      </c>
      <c r="BH274" s="95">
        <f>IF(N274="sníž. přenesená",J274,0)</f>
        <v>0</v>
      </c>
      <c r="BI274" s="95">
        <f>IF(N274="nulová",J274,0)</f>
        <v>0</v>
      </c>
      <c r="BJ274" s="10" t="s">
        <v>45</v>
      </c>
      <c r="BK274" s="95">
        <f>ROUND(I274*H274,2)</f>
        <v>0</v>
      </c>
      <c r="BL274" s="10" t="s">
        <v>84</v>
      </c>
      <c r="BM274" s="94" t="s">
        <v>780</v>
      </c>
    </row>
    <row r="275" spans="2:65" s="1" customFormat="1" ht="10.199999999999999" x14ac:dyDescent="0.2">
      <c r="B275" s="19"/>
      <c r="D275" s="96" t="s">
        <v>86</v>
      </c>
      <c r="F275" s="97" t="s">
        <v>779</v>
      </c>
      <c r="I275" s="98"/>
      <c r="L275" s="19"/>
      <c r="M275" s="99"/>
      <c r="T275" s="32"/>
      <c r="AT275" s="10" t="s">
        <v>86</v>
      </c>
      <c r="AU275" s="10" t="s">
        <v>47</v>
      </c>
    </row>
    <row r="276" spans="2:65" s="8" customFormat="1" ht="20.399999999999999" x14ac:dyDescent="0.2">
      <c r="B276" s="106"/>
      <c r="D276" s="96" t="s">
        <v>88</v>
      </c>
      <c r="F276" s="108" t="s">
        <v>781</v>
      </c>
      <c r="H276" s="109">
        <v>82</v>
      </c>
      <c r="I276" s="110"/>
      <c r="L276" s="106"/>
      <c r="M276" s="111"/>
      <c r="T276" s="112"/>
      <c r="AT276" s="107" t="s">
        <v>88</v>
      </c>
      <c r="AU276" s="107" t="s">
        <v>47</v>
      </c>
      <c r="AV276" s="8" t="s">
        <v>47</v>
      </c>
      <c r="AW276" s="8" t="s">
        <v>1</v>
      </c>
      <c r="AX276" s="8" t="s">
        <v>45</v>
      </c>
      <c r="AY276" s="107" t="s">
        <v>77</v>
      </c>
    </row>
    <row r="277" spans="2:65" s="1" customFormat="1" ht="24.15" customHeight="1" x14ac:dyDescent="0.2">
      <c r="B277" s="19"/>
      <c r="C277" s="84" t="s">
        <v>329</v>
      </c>
      <c r="D277" s="84" t="s">
        <v>79</v>
      </c>
      <c r="E277" s="85" t="s">
        <v>782</v>
      </c>
      <c r="F277" s="86" t="s">
        <v>783</v>
      </c>
      <c r="G277" s="87" t="s">
        <v>82</v>
      </c>
      <c r="H277" s="88">
        <v>824.55</v>
      </c>
      <c r="I277" s="89"/>
      <c r="J277" s="88">
        <f>ROUND(I277*H277,2)</f>
        <v>0</v>
      </c>
      <c r="K277" s="86" t="s">
        <v>83</v>
      </c>
      <c r="L277" s="19"/>
      <c r="M277" s="90" t="s">
        <v>0</v>
      </c>
      <c r="N277" s="91" t="s">
        <v>26</v>
      </c>
      <c r="P277" s="92">
        <f>O277*H277</f>
        <v>0</v>
      </c>
      <c r="Q277" s="92">
        <v>3.5750000000000002E-4</v>
      </c>
      <c r="R277" s="92">
        <f>Q277*H277</f>
        <v>0.29477662500000001</v>
      </c>
      <c r="S277" s="92">
        <v>0</v>
      </c>
      <c r="T277" s="93">
        <f>S277*H277</f>
        <v>0</v>
      </c>
      <c r="AR277" s="94" t="s">
        <v>84</v>
      </c>
      <c r="AT277" s="94" t="s">
        <v>79</v>
      </c>
      <c r="AU277" s="94" t="s">
        <v>47</v>
      </c>
      <c r="AY277" s="10" t="s">
        <v>77</v>
      </c>
      <c r="BE277" s="95">
        <f>IF(N277="základní",J277,0)</f>
        <v>0</v>
      </c>
      <c r="BF277" s="95">
        <f>IF(N277="snížená",J277,0)</f>
        <v>0</v>
      </c>
      <c r="BG277" s="95">
        <f>IF(N277="zákl. přenesená",J277,0)</f>
        <v>0</v>
      </c>
      <c r="BH277" s="95">
        <f>IF(N277="sníž. přenesená",J277,0)</f>
        <v>0</v>
      </c>
      <c r="BI277" s="95">
        <f>IF(N277="nulová",J277,0)</f>
        <v>0</v>
      </c>
      <c r="BJ277" s="10" t="s">
        <v>45</v>
      </c>
      <c r="BK277" s="95">
        <f>ROUND(I277*H277,2)</f>
        <v>0</v>
      </c>
      <c r="BL277" s="10" t="s">
        <v>84</v>
      </c>
      <c r="BM277" s="94" t="s">
        <v>784</v>
      </c>
    </row>
    <row r="278" spans="2:65" s="1" customFormat="1" ht="19.2" x14ac:dyDescent="0.2">
      <c r="B278" s="19"/>
      <c r="D278" s="96" t="s">
        <v>86</v>
      </c>
      <c r="F278" s="97" t="s">
        <v>785</v>
      </c>
      <c r="I278" s="98"/>
      <c r="L278" s="19"/>
      <c r="M278" s="99"/>
      <c r="T278" s="32"/>
      <c r="AT278" s="10" t="s">
        <v>86</v>
      </c>
      <c r="AU278" s="10" t="s">
        <v>47</v>
      </c>
    </row>
    <row r="279" spans="2:65" s="8" customFormat="1" ht="20.399999999999999" x14ac:dyDescent="0.2">
      <c r="B279" s="106"/>
      <c r="D279" s="96" t="s">
        <v>88</v>
      </c>
      <c r="E279" s="107" t="s">
        <v>0</v>
      </c>
      <c r="F279" s="108" t="s">
        <v>786</v>
      </c>
      <c r="H279" s="109">
        <v>195.5</v>
      </c>
      <c r="I279" s="110"/>
      <c r="L279" s="106"/>
      <c r="M279" s="111"/>
      <c r="T279" s="112"/>
      <c r="AT279" s="107" t="s">
        <v>88</v>
      </c>
      <c r="AU279" s="107" t="s">
        <v>47</v>
      </c>
      <c r="AV279" s="8" t="s">
        <v>47</v>
      </c>
      <c r="AW279" s="8" t="s">
        <v>18</v>
      </c>
      <c r="AX279" s="8" t="s">
        <v>44</v>
      </c>
      <c r="AY279" s="107" t="s">
        <v>77</v>
      </c>
    </row>
    <row r="280" spans="2:65" s="8" customFormat="1" ht="10.199999999999999" x14ac:dyDescent="0.2">
      <c r="B280" s="106"/>
      <c r="D280" s="96" t="s">
        <v>88</v>
      </c>
      <c r="E280" s="107" t="s">
        <v>0</v>
      </c>
      <c r="F280" s="108" t="s">
        <v>787</v>
      </c>
      <c r="H280" s="109">
        <v>117.3</v>
      </c>
      <c r="I280" s="110"/>
      <c r="L280" s="106"/>
      <c r="M280" s="111"/>
      <c r="T280" s="112"/>
      <c r="AT280" s="107" t="s">
        <v>88</v>
      </c>
      <c r="AU280" s="107" t="s">
        <v>47</v>
      </c>
      <c r="AV280" s="8" t="s">
        <v>47</v>
      </c>
      <c r="AW280" s="8" t="s">
        <v>18</v>
      </c>
      <c r="AX280" s="8" t="s">
        <v>44</v>
      </c>
      <c r="AY280" s="107" t="s">
        <v>77</v>
      </c>
    </row>
    <row r="281" spans="2:65" s="8" customFormat="1" ht="10.199999999999999" x14ac:dyDescent="0.2">
      <c r="B281" s="106"/>
      <c r="D281" s="96" t="s">
        <v>88</v>
      </c>
      <c r="E281" s="107" t="s">
        <v>0</v>
      </c>
      <c r="F281" s="108" t="s">
        <v>788</v>
      </c>
      <c r="H281" s="109">
        <v>40.25</v>
      </c>
      <c r="I281" s="110"/>
      <c r="L281" s="106"/>
      <c r="M281" s="111"/>
      <c r="T281" s="112"/>
      <c r="AT281" s="107" t="s">
        <v>88</v>
      </c>
      <c r="AU281" s="107" t="s">
        <v>47</v>
      </c>
      <c r="AV281" s="8" t="s">
        <v>47</v>
      </c>
      <c r="AW281" s="8" t="s">
        <v>18</v>
      </c>
      <c r="AX281" s="8" t="s">
        <v>44</v>
      </c>
      <c r="AY281" s="107" t="s">
        <v>77</v>
      </c>
    </row>
    <row r="282" spans="2:65" s="8" customFormat="1" ht="10.199999999999999" x14ac:dyDescent="0.2">
      <c r="B282" s="106"/>
      <c r="D282" s="96" t="s">
        <v>88</v>
      </c>
      <c r="E282" s="107" t="s">
        <v>0</v>
      </c>
      <c r="F282" s="108" t="s">
        <v>789</v>
      </c>
      <c r="H282" s="109">
        <v>54.05</v>
      </c>
      <c r="I282" s="110"/>
      <c r="L282" s="106"/>
      <c r="M282" s="111"/>
      <c r="T282" s="112"/>
      <c r="AT282" s="107" t="s">
        <v>88</v>
      </c>
      <c r="AU282" s="107" t="s">
        <v>47</v>
      </c>
      <c r="AV282" s="8" t="s">
        <v>47</v>
      </c>
      <c r="AW282" s="8" t="s">
        <v>18</v>
      </c>
      <c r="AX282" s="8" t="s">
        <v>44</v>
      </c>
      <c r="AY282" s="107" t="s">
        <v>77</v>
      </c>
    </row>
    <row r="283" spans="2:65" s="8" customFormat="1" ht="10.199999999999999" x14ac:dyDescent="0.2">
      <c r="B283" s="106"/>
      <c r="D283" s="96" t="s">
        <v>88</v>
      </c>
      <c r="E283" s="107" t="s">
        <v>0</v>
      </c>
      <c r="F283" s="108" t="s">
        <v>790</v>
      </c>
      <c r="H283" s="109">
        <v>417.45</v>
      </c>
      <c r="I283" s="110"/>
      <c r="L283" s="106"/>
      <c r="M283" s="111"/>
      <c r="T283" s="112"/>
      <c r="AT283" s="107" t="s">
        <v>88</v>
      </c>
      <c r="AU283" s="107" t="s">
        <v>47</v>
      </c>
      <c r="AV283" s="8" t="s">
        <v>47</v>
      </c>
      <c r="AW283" s="8" t="s">
        <v>18</v>
      </c>
      <c r="AX283" s="8" t="s">
        <v>44</v>
      </c>
      <c r="AY283" s="107" t="s">
        <v>77</v>
      </c>
    </row>
    <row r="284" spans="2:65" s="9" customFormat="1" ht="10.199999999999999" x14ac:dyDescent="0.2">
      <c r="B284" s="113"/>
      <c r="D284" s="96" t="s">
        <v>88</v>
      </c>
      <c r="E284" s="114" t="s">
        <v>0</v>
      </c>
      <c r="F284" s="115" t="s">
        <v>91</v>
      </c>
      <c r="H284" s="116">
        <v>824.55</v>
      </c>
      <c r="I284" s="117"/>
      <c r="L284" s="113"/>
      <c r="M284" s="118"/>
      <c r="T284" s="119"/>
      <c r="AT284" s="114" t="s">
        <v>88</v>
      </c>
      <c r="AU284" s="114" t="s">
        <v>47</v>
      </c>
      <c r="AV284" s="9" t="s">
        <v>84</v>
      </c>
      <c r="AW284" s="9" t="s">
        <v>18</v>
      </c>
      <c r="AX284" s="9" t="s">
        <v>45</v>
      </c>
      <c r="AY284" s="114" t="s">
        <v>77</v>
      </c>
    </row>
    <row r="285" spans="2:65" s="6" customFormat="1" ht="22.8" customHeight="1" x14ac:dyDescent="0.25">
      <c r="B285" s="72"/>
      <c r="D285" s="73" t="s">
        <v>43</v>
      </c>
      <c r="E285" s="82" t="s">
        <v>791</v>
      </c>
      <c r="F285" s="82" t="s">
        <v>792</v>
      </c>
      <c r="I285" s="75"/>
      <c r="J285" s="83">
        <f>BK285</f>
        <v>0</v>
      </c>
      <c r="L285" s="72"/>
      <c r="M285" s="77"/>
      <c r="P285" s="78">
        <f>SUM(P286:P298)</f>
        <v>0</v>
      </c>
      <c r="R285" s="78">
        <f>SUM(R286:R298)</f>
        <v>0</v>
      </c>
      <c r="T285" s="79">
        <f>SUM(T286:T298)</f>
        <v>0</v>
      </c>
      <c r="AR285" s="73" t="s">
        <v>45</v>
      </c>
      <c r="AT285" s="80" t="s">
        <v>43</v>
      </c>
      <c r="AU285" s="80" t="s">
        <v>45</v>
      </c>
      <c r="AY285" s="73" t="s">
        <v>77</v>
      </c>
      <c r="BK285" s="81">
        <f>SUM(BK286:BK298)</f>
        <v>0</v>
      </c>
    </row>
    <row r="286" spans="2:65" s="1" customFormat="1" ht="44.25" customHeight="1" x14ac:dyDescent="0.2">
      <c r="B286" s="19"/>
      <c r="C286" s="84" t="s">
        <v>334</v>
      </c>
      <c r="D286" s="84" t="s">
        <v>79</v>
      </c>
      <c r="E286" s="85" t="s">
        <v>793</v>
      </c>
      <c r="F286" s="86" t="s">
        <v>794</v>
      </c>
      <c r="G286" s="87" t="s">
        <v>207</v>
      </c>
      <c r="H286" s="88">
        <v>20</v>
      </c>
      <c r="I286" s="89"/>
      <c r="J286" s="88">
        <f>ROUND(I286*H286,2)</f>
        <v>0</v>
      </c>
      <c r="K286" s="86" t="s">
        <v>83</v>
      </c>
      <c r="L286" s="19"/>
      <c r="M286" s="90" t="s">
        <v>0</v>
      </c>
      <c r="N286" s="91" t="s">
        <v>26</v>
      </c>
      <c r="P286" s="92">
        <f>O286*H286</f>
        <v>0</v>
      </c>
      <c r="Q286" s="92">
        <v>0</v>
      </c>
      <c r="R286" s="92">
        <f>Q286*H286</f>
        <v>0</v>
      </c>
      <c r="S286" s="92">
        <v>0</v>
      </c>
      <c r="T286" s="93">
        <f>S286*H286</f>
        <v>0</v>
      </c>
      <c r="AR286" s="94" t="s">
        <v>84</v>
      </c>
      <c r="AT286" s="94" t="s">
        <v>79</v>
      </c>
      <c r="AU286" s="94" t="s">
        <v>47</v>
      </c>
      <c r="AY286" s="10" t="s">
        <v>77</v>
      </c>
      <c r="BE286" s="95">
        <f>IF(N286="základní",J286,0)</f>
        <v>0</v>
      </c>
      <c r="BF286" s="95">
        <f>IF(N286="snížená",J286,0)</f>
        <v>0</v>
      </c>
      <c r="BG286" s="95">
        <f>IF(N286="zákl. přenesená",J286,0)</f>
        <v>0</v>
      </c>
      <c r="BH286" s="95">
        <f>IF(N286="sníž. přenesená",J286,0)</f>
        <v>0</v>
      </c>
      <c r="BI286" s="95">
        <f>IF(N286="nulová",J286,0)</f>
        <v>0</v>
      </c>
      <c r="BJ286" s="10" t="s">
        <v>45</v>
      </c>
      <c r="BK286" s="95">
        <f>ROUND(I286*H286,2)</f>
        <v>0</v>
      </c>
      <c r="BL286" s="10" t="s">
        <v>84</v>
      </c>
      <c r="BM286" s="94" t="s">
        <v>795</v>
      </c>
    </row>
    <row r="287" spans="2:65" s="1" customFormat="1" ht="28.8" x14ac:dyDescent="0.2">
      <c r="B287" s="19"/>
      <c r="D287" s="96" t="s">
        <v>86</v>
      </c>
      <c r="F287" s="97" t="s">
        <v>794</v>
      </c>
      <c r="I287" s="98"/>
      <c r="L287" s="19"/>
      <c r="M287" s="99"/>
      <c r="T287" s="32"/>
      <c r="AT287" s="10" t="s">
        <v>86</v>
      </c>
      <c r="AU287" s="10" t="s">
        <v>47</v>
      </c>
    </row>
    <row r="288" spans="2:65" s="7" customFormat="1" ht="10.199999999999999" x14ac:dyDescent="0.2">
      <c r="B288" s="100"/>
      <c r="D288" s="96" t="s">
        <v>88</v>
      </c>
      <c r="E288" s="101" t="s">
        <v>0</v>
      </c>
      <c r="F288" s="102" t="s">
        <v>605</v>
      </c>
      <c r="H288" s="101" t="s">
        <v>0</v>
      </c>
      <c r="I288" s="103"/>
      <c r="L288" s="100"/>
      <c r="M288" s="104"/>
      <c r="T288" s="105"/>
      <c r="AT288" s="101" t="s">
        <v>88</v>
      </c>
      <c r="AU288" s="101" t="s">
        <v>47</v>
      </c>
      <c r="AV288" s="7" t="s">
        <v>45</v>
      </c>
      <c r="AW288" s="7" t="s">
        <v>18</v>
      </c>
      <c r="AX288" s="7" t="s">
        <v>44</v>
      </c>
      <c r="AY288" s="101" t="s">
        <v>77</v>
      </c>
    </row>
    <row r="289" spans="2:65" s="8" customFormat="1" ht="10.199999999999999" x14ac:dyDescent="0.2">
      <c r="B289" s="106"/>
      <c r="D289" s="96" t="s">
        <v>88</v>
      </c>
      <c r="E289" s="107" t="s">
        <v>0</v>
      </c>
      <c r="F289" s="108" t="s">
        <v>796</v>
      </c>
      <c r="H289" s="109">
        <v>20</v>
      </c>
      <c r="I289" s="110"/>
      <c r="L289" s="106"/>
      <c r="M289" s="111"/>
      <c r="T289" s="112"/>
      <c r="AT289" s="107" t="s">
        <v>88</v>
      </c>
      <c r="AU289" s="107" t="s">
        <v>47</v>
      </c>
      <c r="AV289" s="8" t="s">
        <v>47</v>
      </c>
      <c r="AW289" s="8" t="s">
        <v>18</v>
      </c>
      <c r="AX289" s="8" t="s">
        <v>45</v>
      </c>
      <c r="AY289" s="107" t="s">
        <v>77</v>
      </c>
    </row>
    <row r="290" spans="2:65" s="1" customFormat="1" ht="16.5" customHeight="1" x14ac:dyDescent="0.2">
      <c r="B290" s="19"/>
      <c r="C290" s="84" t="s">
        <v>338</v>
      </c>
      <c r="D290" s="84" t="s">
        <v>79</v>
      </c>
      <c r="E290" s="85" t="s">
        <v>797</v>
      </c>
      <c r="F290" s="86" t="s">
        <v>798</v>
      </c>
      <c r="G290" s="87" t="s">
        <v>207</v>
      </c>
      <c r="H290" s="88">
        <v>20</v>
      </c>
      <c r="I290" s="89"/>
      <c r="J290" s="88">
        <f>ROUND(I290*H290,2)</f>
        <v>0</v>
      </c>
      <c r="K290" s="86" t="s">
        <v>83</v>
      </c>
      <c r="L290" s="19"/>
      <c r="M290" s="90" t="s">
        <v>0</v>
      </c>
      <c r="N290" s="91" t="s">
        <v>26</v>
      </c>
      <c r="P290" s="92">
        <f>O290*H290</f>
        <v>0</v>
      </c>
      <c r="Q290" s="92">
        <v>0</v>
      </c>
      <c r="R290" s="92">
        <f>Q290*H290</f>
        <v>0</v>
      </c>
      <c r="S290" s="92">
        <v>0</v>
      </c>
      <c r="T290" s="93">
        <f>S290*H290</f>
        <v>0</v>
      </c>
      <c r="AR290" s="94" t="s">
        <v>84</v>
      </c>
      <c r="AT290" s="94" t="s">
        <v>79</v>
      </c>
      <c r="AU290" s="94" t="s">
        <v>47</v>
      </c>
      <c r="AY290" s="10" t="s">
        <v>77</v>
      </c>
      <c r="BE290" s="95">
        <f>IF(N290="základní",J290,0)</f>
        <v>0</v>
      </c>
      <c r="BF290" s="95">
        <f>IF(N290="snížená",J290,0)</f>
        <v>0</v>
      </c>
      <c r="BG290" s="95">
        <f>IF(N290="zákl. přenesená",J290,0)</f>
        <v>0</v>
      </c>
      <c r="BH290" s="95">
        <f>IF(N290="sníž. přenesená",J290,0)</f>
        <v>0</v>
      </c>
      <c r="BI290" s="95">
        <f>IF(N290="nulová",J290,0)</f>
        <v>0</v>
      </c>
      <c r="BJ290" s="10" t="s">
        <v>45</v>
      </c>
      <c r="BK290" s="95">
        <f>ROUND(I290*H290,2)</f>
        <v>0</v>
      </c>
      <c r="BL290" s="10" t="s">
        <v>84</v>
      </c>
      <c r="BM290" s="94" t="s">
        <v>799</v>
      </c>
    </row>
    <row r="291" spans="2:65" s="1" customFormat="1" ht="19.2" x14ac:dyDescent="0.2">
      <c r="B291" s="19"/>
      <c r="D291" s="96" t="s">
        <v>86</v>
      </c>
      <c r="F291" s="97" t="s">
        <v>800</v>
      </c>
      <c r="I291" s="98"/>
      <c r="L291" s="19"/>
      <c r="M291" s="99"/>
      <c r="T291" s="32"/>
      <c r="AT291" s="10" t="s">
        <v>86</v>
      </c>
      <c r="AU291" s="10" t="s">
        <v>47</v>
      </c>
    </row>
    <row r="292" spans="2:65" s="7" customFormat="1" ht="10.199999999999999" x14ac:dyDescent="0.2">
      <c r="B292" s="100"/>
      <c r="D292" s="96" t="s">
        <v>88</v>
      </c>
      <c r="E292" s="101" t="s">
        <v>0</v>
      </c>
      <c r="F292" s="102" t="s">
        <v>605</v>
      </c>
      <c r="H292" s="101" t="s">
        <v>0</v>
      </c>
      <c r="I292" s="103"/>
      <c r="L292" s="100"/>
      <c r="M292" s="104"/>
      <c r="T292" s="105"/>
      <c r="AT292" s="101" t="s">
        <v>88</v>
      </c>
      <c r="AU292" s="101" t="s">
        <v>47</v>
      </c>
      <c r="AV292" s="7" t="s">
        <v>45</v>
      </c>
      <c r="AW292" s="7" t="s">
        <v>18</v>
      </c>
      <c r="AX292" s="7" t="s">
        <v>44</v>
      </c>
      <c r="AY292" s="101" t="s">
        <v>77</v>
      </c>
    </row>
    <row r="293" spans="2:65" s="8" customFormat="1" ht="10.199999999999999" x14ac:dyDescent="0.2">
      <c r="B293" s="106"/>
      <c r="D293" s="96" t="s">
        <v>88</v>
      </c>
      <c r="E293" s="107" t="s">
        <v>0</v>
      </c>
      <c r="F293" s="108" t="s">
        <v>796</v>
      </c>
      <c r="H293" s="109">
        <v>20</v>
      </c>
      <c r="I293" s="110"/>
      <c r="L293" s="106"/>
      <c r="M293" s="111"/>
      <c r="T293" s="112"/>
      <c r="AT293" s="107" t="s">
        <v>88</v>
      </c>
      <c r="AU293" s="107" t="s">
        <v>47</v>
      </c>
      <c r="AV293" s="8" t="s">
        <v>47</v>
      </c>
      <c r="AW293" s="8" t="s">
        <v>18</v>
      </c>
      <c r="AX293" s="8" t="s">
        <v>45</v>
      </c>
      <c r="AY293" s="107" t="s">
        <v>77</v>
      </c>
    </row>
    <row r="294" spans="2:65" s="1" customFormat="1" ht="24.15" customHeight="1" x14ac:dyDescent="0.2">
      <c r="B294" s="19"/>
      <c r="C294" s="84" t="s">
        <v>345</v>
      </c>
      <c r="D294" s="84" t="s">
        <v>79</v>
      </c>
      <c r="E294" s="85" t="s">
        <v>801</v>
      </c>
      <c r="F294" s="86" t="s">
        <v>802</v>
      </c>
      <c r="G294" s="87" t="s">
        <v>207</v>
      </c>
      <c r="H294" s="88">
        <v>200</v>
      </c>
      <c r="I294" s="89"/>
      <c r="J294" s="88">
        <f>ROUND(I294*H294,2)</f>
        <v>0</v>
      </c>
      <c r="K294" s="86" t="s">
        <v>83</v>
      </c>
      <c r="L294" s="19"/>
      <c r="M294" s="90" t="s">
        <v>0</v>
      </c>
      <c r="N294" s="91" t="s">
        <v>26</v>
      </c>
      <c r="P294" s="92">
        <f>O294*H294</f>
        <v>0</v>
      </c>
      <c r="Q294" s="92">
        <v>0</v>
      </c>
      <c r="R294" s="92">
        <f>Q294*H294</f>
        <v>0</v>
      </c>
      <c r="S294" s="92">
        <v>0</v>
      </c>
      <c r="T294" s="93">
        <f>S294*H294</f>
        <v>0</v>
      </c>
      <c r="AR294" s="94" t="s">
        <v>84</v>
      </c>
      <c r="AT294" s="94" t="s">
        <v>79</v>
      </c>
      <c r="AU294" s="94" t="s">
        <v>47</v>
      </c>
      <c r="AY294" s="10" t="s">
        <v>77</v>
      </c>
      <c r="BE294" s="95">
        <f>IF(N294="základní",J294,0)</f>
        <v>0</v>
      </c>
      <c r="BF294" s="95">
        <f>IF(N294="snížená",J294,0)</f>
        <v>0</v>
      </c>
      <c r="BG294" s="95">
        <f>IF(N294="zákl. přenesená",J294,0)</f>
        <v>0</v>
      </c>
      <c r="BH294" s="95">
        <f>IF(N294="sníž. přenesená",J294,0)</f>
        <v>0</v>
      </c>
      <c r="BI294" s="95">
        <f>IF(N294="nulová",J294,0)</f>
        <v>0</v>
      </c>
      <c r="BJ294" s="10" t="s">
        <v>45</v>
      </c>
      <c r="BK294" s="95">
        <f>ROUND(I294*H294,2)</f>
        <v>0</v>
      </c>
      <c r="BL294" s="10" t="s">
        <v>84</v>
      </c>
      <c r="BM294" s="94" t="s">
        <v>803</v>
      </c>
    </row>
    <row r="295" spans="2:65" s="1" customFormat="1" ht="28.8" x14ac:dyDescent="0.2">
      <c r="B295" s="19"/>
      <c r="D295" s="96" t="s">
        <v>86</v>
      </c>
      <c r="F295" s="97" t="s">
        <v>804</v>
      </c>
      <c r="I295" s="98"/>
      <c r="L295" s="19"/>
      <c r="M295" s="99"/>
      <c r="T295" s="32"/>
      <c r="AT295" s="10" t="s">
        <v>86</v>
      </c>
      <c r="AU295" s="10" t="s">
        <v>47</v>
      </c>
    </row>
    <row r="296" spans="2:65" s="7" customFormat="1" ht="10.199999999999999" x14ac:dyDescent="0.2">
      <c r="B296" s="100"/>
      <c r="D296" s="96" t="s">
        <v>88</v>
      </c>
      <c r="E296" s="101" t="s">
        <v>0</v>
      </c>
      <c r="F296" s="102" t="s">
        <v>805</v>
      </c>
      <c r="H296" s="101" t="s">
        <v>0</v>
      </c>
      <c r="I296" s="103"/>
      <c r="L296" s="100"/>
      <c r="M296" s="104"/>
      <c r="T296" s="105"/>
      <c r="AT296" s="101" t="s">
        <v>88</v>
      </c>
      <c r="AU296" s="101" t="s">
        <v>47</v>
      </c>
      <c r="AV296" s="7" t="s">
        <v>45</v>
      </c>
      <c r="AW296" s="7" t="s">
        <v>18</v>
      </c>
      <c r="AX296" s="7" t="s">
        <v>44</v>
      </c>
      <c r="AY296" s="101" t="s">
        <v>77</v>
      </c>
    </row>
    <row r="297" spans="2:65" s="7" customFormat="1" ht="10.199999999999999" x14ac:dyDescent="0.2">
      <c r="B297" s="100"/>
      <c r="D297" s="96" t="s">
        <v>88</v>
      </c>
      <c r="E297" s="101" t="s">
        <v>0</v>
      </c>
      <c r="F297" s="102" t="s">
        <v>605</v>
      </c>
      <c r="H297" s="101" t="s">
        <v>0</v>
      </c>
      <c r="I297" s="103"/>
      <c r="L297" s="100"/>
      <c r="M297" s="104"/>
      <c r="T297" s="105"/>
      <c r="AT297" s="101" t="s">
        <v>88</v>
      </c>
      <c r="AU297" s="101" t="s">
        <v>47</v>
      </c>
      <c r="AV297" s="7" t="s">
        <v>45</v>
      </c>
      <c r="AW297" s="7" t="s">
        <v>18</v>
      </c>
      <c r="AX297" s="7" t="s">
        <v>44</v>
      </c>
      <c r="AY297" s="101" t="s">
        <v>77</v>
      </c>
    </row>
    <row r="298" spans="2:65" s="8" customFormat="1" ht="10.199999999999999" x14ac:dyDescent="0.2">
      <c r="B298" s="106"/>
      <c r="D298" s="96" t="s">
        <v>88</v>
      </c>
      <c r="E298" s="107" t="s">
        <v>0</v>
      </c>
      <c r="F298" s="108" t="s">
        <v>806</v>
      </c>
      <c r="H298" s="109">
        <v>200</v>
      </c>
      <c r="I298" s="110"/>
      <c r="L298" s="106"/>
      <c r="M298" s="111"/>
      <c r="T298" s="112"/>
      <c r="AT298" s="107" t="s">
        <v>88</v>
      </c>
      <c r="AU298" s="107" t="s">
        <v>47</v>
      </c>
      <c r="AV298" s="8" t="s">
        <v>47</v>
      </c>
      <c r="AW298" s="8" t="s">
        <v>18</v>
      </c>
      <c r="AX298" s="8" t="s">
        <v>45</v>
      </c>
      <c r="AY298" s="107" t="s">
        <v>77</v>
      </c>
    </row>
    <row r="299" spans="2:65" s="6" customFormat="1" ht="22.8" customHeight="1" x14ac:dyDescent="0.25">
      <c r="B299" s="72"/>
      <c r="D299" s="73" t="s">
        <v>43</v>
      </c>
      <c r="E299" s="82" t="s">
        <v>583</v>
      </c>
      <c r="F299" s="82" t="s">
        <v>584</v>
      </c>
      <c r="I299" s="75"/>
      <c r="J299" s="83">
        <f>BK299</f>
        <v>0</v>
      </c>
      <c r="L299" s="72"/>
      <c r="M299" s="77"/>
      <c r="P299" s="78">
        <f>SUM(P300:P301)</f>
        <v>0</v>
      </c>
      <c r="R299" s="78">
        <f>SUM(R300:R301)</f>
        <v>0</v>
      </c>
      <c r="T299" s="79">
        <f>SUM(T300:T301)</f>
        <v>0</v>
      </c>
      <c r="AR299" s="73" t="s">
        <v>45</v>
      </c>
      <c r="AT299" s="80" t="s">
        <v>43</v>
      </c>
      <c r="AU299" s="80" t="s">
        <v>45</v>
      </c>
      <c r="AY299" s="73" t="s">
        <v>77</v>
      </c>
      <c r="BK299" s="81">
        <f>SUM(BK300:BK301)</f>
        <v>0</v>
      </c>
    </row>
    <row r="300" spans="2:65" s="1" customFormat="1" ht="33" customHeight="1" x14ac:dyDescent="0.2">
      <c r="B300" s="19"/>
      <c r="C300" s="84" t="s">
        <v>349</v>
      </c>
      <c r="D300" s="84" t="s">
        <v>79</v>
      </c>
      <c r="E300" s="85" t="s">
        <v>594</v>
      </c>
      <c r="F300" s="86" t="s">
        <v>595</v>
      </c>
      <c r="G300" s="87" t="s">
        <v>207</v>
      </c>
      <c r="H300" s="88">
        <v>288.67</v>
      </c>
      <c r="I300" s="89"/>
      <c r="J300" s="88">
        <f>ROUND(I300*H300,2)</f>
        <v>0</v>
      </c>
      <c r="K300" s="86" t="s">
        <v>83</v>
      </c>
      <c r="L300" s="19"/>
      <c r="M300" s="90" t="s">
        <v>0</v>
      </c>
      <c r="N300" s="91" t="s">
        <v>26</v>
      </c>
      <c r="P300" s="92">
        <f>O300*H300</f>
        <v>0</v>
      </c>
      <c r="Q300" s="92">
        <v>0</v>
      </c>
      <c r="R300" s="92">
        <f>Q300*H300</f>
        <v>0</v>
      </c>
      <c r="S300" s="92">
        <v>0</v>
      </c>
      <c r="T300" s="93">
        <f>S300*H300</f>
        <v>0</v>
      </c>
      <c r="AR300" s="94" t="s">
        <v>84</v>
      </c>
      <c r="AT300" s="94" t="s">
        <v>79</v>
      </c>
      <c r="AU300" s="94" t="s">
        <v>47</v>
      </c>
      <c r="AY300" s="10" t="s">
        <v>77</v>
      </c>
      <c r="BE300" s="95">
        <f>IF(N300="základní",J300,0)</f>
        <v>0</v>
      </c>
      <c r="BF300" s="95">
        <f>IF(N300="snížená",J300,0)</f>
        <v>0</v>
      </c>
      <c r="BG300" s="95">
        <f>IF(N300="zákl. přenesená",J300,0)</f>
        <v>0</v>
      </c>
      <c r="BH300" s="95">
        <f>IF(N300="sníž. přenesená",J300,0)</f>
        <v>0</v>
      </c>
      <c r="BI300" s="95">
        <f>IF(N300="nulová",J300,0)</f>
        <v>0</v>
      </c>
      <c r="BJ300" s="10" t="s">
        <v>45</v>
      </c>
      <c r="BK300" s="95">
        <f>ROUND(I300*H300,2)</f>
        <v>0</v>
      </c>
      <c r="BL300" s="10" t="s">
        <v>84</v>
      </c>
      <c r="BM300" s="94" t="s">
        <v>807</v>
      </c>
    </row>
    <row r="301" spans="2:65" s="1" customFormat="1" ht="28.8" x14ac:dyDescent="0.2">
      <c r="B301" s="19"/>
      <c r="D301" s="96" t="s">
        <v>86</v>
      </c>
      <c r="F301" s="97" t="s">
        <v>596</v>
      </c>
      <c r="I301" s="98"/>
      <c r="L301" s="19"/>
      <c r="M301" s="129"/>
      <c r="N301" s="130"/>
      <c r="O301" s="130"/>
      <c r="P301" s="130"/>
      <c r="Q301" s="130"/>
      <c r="R301" s="130"/>
      <c r="S301" s="130"/>
      <c r="T301" s="131"/>
      <c r="AT301" s="10" t="s">
        <v>86</v>
      </c>
      <c r="AU301" s="10" t="s">
        <v>47</v>
      </c>
    </row>
    <row r="302" spans="2:65" s="1" customFormat="1" ht="6.9" customHeight="1" x14ac:dyDescent="0.2">
      <c r="B302" s="25"/>
      <c r="C302" s="26"/>
      <c r="D302" s="26"/>
      <c r="E302" s="26"/>
      <c r="F302" s="26"/>
      <c r="G302" s="26"/>
      <c r="H302" s="26"/>
      <c r="I302" s="26"/>
      <c r="J302" s="26"/>
      <c r="K302" s="26"/>
      <c r="L302" s="19"/>
    </row>
  </sheetData>
  <sheetProtection algorithmName="SHA-512" hashValue="gooeo3KyAS1IhTyyHrzCDmwRfsbreuoFiovVqW/OPVZUR7IPCLmYa/FnIR1rpTjpJJS6s6654375aZO+FcrAwg==" saltValue="QJPcmAG1J4JX4NGrcRaGWdtf/o+8UGoP53rZFaTEXs0jlIhWZ3k329vqDh3L4udsQb25NSTyovdy2DDz6Y7V3g==" spinCount="100000" sheet="1" objects="1" scenarios="1" formatColumns="0" formatRows="0" autoFilter="0"/>
  <autoFilter ref="C124:K301" xr:uid="{00000000-0009-0000-0000-000003000000}"/>
  <mergeCells count="9">
    <mergeCell ref="E87:H87"/>
    <mergeCell ref="E115:H115"/>
    <mergeCell ref="E117:H117"/>
    <mergeCell ref="L2:V2"/>
    <mergeCell ref="E7:H7"/>
    <mergeCell ref="E9:H9"/>
    <mergeCell ref="E18:H18"/>
    <mergeCell ref="E27:H27"/>
    <mergeCell ref="E85:H85"/>
  </mergeCells>
  <pageMargins left="0.39374999999999999" right="0.39374999999999999" top="0.39374999999999999" bottom="0.39374999999999999" header="0" footer="0"/>
  <pageSetup paperSize="9" fitToHeight="100" orientation="portrait" blackAndWhite="1"/>
  <headerFooter>
    <oddFooter>&amp;CStrana &amp;P z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4</vt:i4>
      </vt:variant>
    </vt:vector>
  </HeadingPairs>
  <TitlesOfParts>
    <vt:vector size="6" baseType="lpstr">
      <vt:lpstr>01 - Vodovod vč. přípojek</vt:lpstr>
      <vt:lpstr>02 - Komunikace a chodník</vt:lpstr>
      <vt:lpstr>'01 - Vodovod vč. přípojek'!Názvy_tisku</vt:lpstr>
      <vt:lpstr>'02 - Komunikace a chodník'!Názvy_tisku</vt:lpstr>
      <vt:lpstr>'01 - Vodovod vč. přípojek'!Oblast_tisku</vt:lpstr>
      <vt:lpstr>'02 - Komunikace a chodník'!Oblast_tisku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Prokopov, Oleksandr</dc:creator>
  <cp:lastModifiedBy>Prokopov, Oleksandr</cp:lastModifiedBy>
  <dcterms:created xsi:type="dcterms:W3CDTF">2025-11-06T13:14:03Z</dcterms:created>
  <dcterms:modified xsi:type="dcterms:W3CDTF">2026-01-22T11:25:12Z</dcterms:modified>
</cp:coreProperties>
</file>
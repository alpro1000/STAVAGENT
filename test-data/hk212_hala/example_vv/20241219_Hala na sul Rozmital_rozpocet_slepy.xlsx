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5" rupBuild="28227"/>
  <workbookPr codeName="ThisWorkbook" defaultThemeVersion="124226"/>
  <mc:AlternateContent xmlns:mc="http://schemas.openxmlformats.org/markup-compatibility/2006">
    <mc:Choice Requires="x15">
      <x15ac:absPath xmlns:x15ac="http://schemas.microsoft.com/office/spreadsheetml/2010/11/ac" url="\\SPICZ008\B_Bohemia\Vyroba\Pozemní stavby\Kalkulace DPS\2025\004-25-DPS - Rožmitál hala na sůl\C VV\Kros\"/>
    </mc:Choice>
  </mc:AlternateContent>
  <bookViews>
    <workbookView xWindow="28680" yWindow="-120" windowWidth="29040" windowHeight="15720"/>
  </bookViews>
  <sheets>
    <sheet name="Pokyny pro vyplnění" sheetId="11" r:id="rId1"/>
    <sheet name="Stavba" sheetId="1" r:id="rId2"/>
    <sheet name="VzorPolozky" sheetId="10" state="hidden" r:id="rId3"/>
    <sheet name="SO01 01 Pol" sheetId="12" r:id="rId4"/>
    <sheet name="SO02 01 Pol" sheetId="13" r:id="rId5"/>
    <sheet name="SO02 02 Pol" sheetId="14" r:id="rId6"/>
    <sheet name="SO03 01 Naklady" sheetId="15" r:id="rId7"/>
  </sheets>
  <definedNames>
    <definedName name="CenaCelkem">Stavba!$G$29</definedName>
    <definedName name="CenaCelkemBezDPH">Stavba!$G$28</definedName>
    <definedName name="cisloobjektu">Stavba!$D$3</definedName>
    <definedName name="CisloStavebnihoRozpoctu">Stavba!$D$4</definedName>
    <definedName name="dadresa">Stavba!$D$12:$G$12</definedName>
    <definedName name="dmisto">Stavba!$E$13:$G$13</definedName>
    <definedName name="DPHSni">Stavba!$G$24</definedName>
    <definedName name="DPHZakl">Stavba!$G$26</definedName>
    <definedName name="Mena">Stavba!$J$29</definedName>
    <definedName name="MistoStavby">Stavba!$D$4</definedName>
    <definedName name="nazevobjektu">Stavba!$E$3</definedName>
    <definedName name="NazevStavebnihoRozpoctu">Stavba!$E$4</definedName>
    <definedName name="oadresa">Stavba!$D$6</definedName>
    <definedName name="padresa">Stavba!$D$9</definedName>
    <definedName name="pdic">Stavba!$I$9</definedName>
    <definedName name="pico">Stavba!$I$8</definedName>
    <definedName name="pmisto">Stavba!$E$10</definedName>
    <definedName name="PocetMJ">#REF!</definedName>
    <definedName name="PoptavkaID">Stavba!$A$1</definedName>
    <definedName name="pPSC">Stavba!$D$10</definedName>
    <definedName name="Projektant">Stavba!$D$8</definedName>
    <definedName name="SloupecCC">#REF!</definedName>
    <definedName name="SloupecCisloPol">#REF!</definedName>
    <definedName name="SloupecJC">#REF!</definedName>
    <definedName name="SloupecMJ">#REF!</definedName>
    <definedName name="SloupecMnozstvi">#REF!</definedName>
    <definedName name="SloupecNazPol">#REF!</definedName>
    <definedName name="SloupecPC">#REF!</definedName>
    <definedName name="Vypracoval">Stavba!$D$14</definedName>
    <definedName name="ZakladDPHSni">Stavba!$G$23</definedName>
    <definedName name="ZakladDPHZakl">Stavba!$G$25</definedName>
    <definedName name="ZaObjednatele">Stavba!$G$34</definedName>
    <definedName name="Zaokrouhleni">Stavba!$G$27</definedName>
    <definedName name="ZaZhotovitele">Stavba!$D$34</definedName>
    <definedName name="Zhotovitel">Stavba!$D$11:$G$11</definedName>
    <definedName name="CelkemDPHVypocet" localSheetId="1">Stavba!$H$47</definedName>
    <definedName name="CenaCelkemVypocet" localSheetId="1">Stavba!$I$47</definedName>
    <definedName name="CisloStavby" localSheetId="1">Stavba!$D$2</definedName>
    <definedName name="DIČ" localSheetId="1">Stavba!$I$12</definedName>
    <definedName name="dpsc" localSheetId="1">Stavba!$D$13</definedName>
    <definedName name="IČO" localSheetId="1">Stavba!$I$11</definedName>
    <definedName name="NazevStavby" localSheetId="1">Stavba!$E$2</definedName>
    <definedName name="Objednatel" localSheetId="1">Stavba!$D$5</definedName>
    <definedName name="Objekt" localSheetId="1">Stavba!$B$38</definedName>
    <definedName name="_xlnm.Print_Area" localSheetId="1">Stavba!$A$1:$J$158</definedName>
    <definedName name="odic" localSheetId="1">Stavba!$I$6</definedName>
    <definedName name="oico" localSheetId="1">Stavba!$I$5</definedName>
    <definedName name="omisto" localSheetId="1">Stavba!$E$7</definedName>
    <definedName name="onazev" localSheetId="1">Stavba!$D$6</definedName>
    <definedName name="opsc" localSheetId="1">Stavba!$D$7</definedName>
    <definedName name="SazbaDPH1" localSheetId="1">Stavba!$E$23</definedName>
    <definedName name="SazbaDPH2" localSheetId="1">Stavba!$E$25</definedName>
    <definedName name="Z_B7E7C763_C459_487D_8ABA_5CFDDFBD5A84_.wvu.Cols" localSheetId="1" hidden="1">Stavba!$A:$A</definedName>
    <definedName name="Z_B7E7C763_C459_487D_8ABA_5CFDDFBD5A84_.wvu.PrintArea" localSheetId="1" hidden="1">Stavba!$B$1:$J$36</definedName>
    <definedName name="ZakladDPHSniVypocet" localSheetId="1">Stavba!$F$47</definedName>
    <definedName name="ZakladDPHZaklVypocet" localSheetId="1">Stavba!$G$47</definedName>
    <definedName name="_xlnm.Print_Titles" localSheetId="3">'SO01 01 Pol'!$1:$7</definedName>
    <definedName name="_xlnm.Print_Area" localSheetId="3">'SO01 01 Pol'!$A$1:$Y$188</definedName>
    <definedName name="_xlnm.Print_Titles" localSheetId="4">'SO02 01 Pol'!$1:$7</definedName>
    <definedName name="_xlnm.Print_Area" localSheetId="4">'SO02 01 Pol'!$A$1:$Y$282</definedName>
    <definedName name="_xlnm.Print_Titles" localSheetId="5">'SO02 02 Pol'!$1:$7</definedName>
    <definedName name="_xlnm.Print_Area" localSheetId="5">'SO02 02 Pol'!$A$1:$Y$120</definedName>
    <definedName name="_xlnm.Print_Titles" localSheetId="6">'SO03 01 Naklady'!$1:$7</definedName>
    <definedName name="_xlnm.Print_Area" localSheetId="6">'SO03 01 Naklady'!$A$1:$Y$46</definedName>
  </definedNames>
  <calcPr calcMode="manual"/>
</workbook>
</file>

<file path=xl/calcChain.xml><?xml version="1.0" encoding="utf-8"?>
<calcChain xmlns="http://schemas.openxmlformats.org/spreadsheetml/2006/main">
  <c i="1" l="1" r="E26"/>
  <c r="A25"/>
  <c r="H45"/>
  <c r="H40"/>
  <c r="H46"/>
  <c r="H44"/>
  <c r="H43"/>
  <c r="H42"/>
  <c r="H41"/>
  <c r="H39"/>
  <c r="A23"/>
  <c r="E24"/>
  <c r="I157"/>
  <c r="I156"/>
  <c r="I155"/>
  <c r="I154"/>
  <c r="I153"/>
  <c r="I152"/>
  <c r="I151"/>
  <c r="I150"/>
  <c r="I149"/>
  <c r="I148"/>
  <c r="I17"/>
  <c r="I147"/>
  <c r="I146"/>
  <c r="I145"/>
  <c r="I144"/>
  <c r="I143"/>
  <c r="I142"/>
  <c r="I141"/>
  <c r="I140"/>
  <c r="I139"/>
  <c r="I138"/>
  <c r="I137"/>
  <c r="I136"/>
  <c r="I135"/>
  <c r="I134"/>
  <c r="I133"/>
  <c r="G46"/>
  <c r="F46"/>
  <c r="G45"/>
  <c r="F45"/>
  <c r="I45"/>
  <c r="G44"/>
  <c r="F44"/>
  <c r="G43"/>
  <c r="F43"/>
  <c r="G42"/>
  <c r="F42"/>
  <c r="G41"/>
  <c r="F41"/>
  <c r="G40"/>
  <c r="I40"/>
  <c r="F40"/>
  <c r="G39"/>
  <c r="F39"/>
  <c i="15" r="G36"/>
  <c r="BA34"/>
  <c r="BA27"/>
  <c r="BA26"/>
  <c r="BA24"/>
  <c r="BA22"/>
  <c r="BA20"/>
  <c r="BA16"/>
  <c r="BA12"/>
  <c r="G8"/>
  <c r="G9"/>
  <c r="I9"/>
  <c r="I8"/>
  <c r="K9"/>
  <c r="K8"/>
  <c r="M9"/>
  <c r="O9"/>
  <c r="Q9"/>
  <c r="V9"/>
  <c r="V8"/>
  <c r="G10"/>
  <c r="AF36"/>
  <c r="I10"/>
  <c r="K10"/>
  <c r="M10"/>
  <c r="O10"/>
  <c r="O8"/>
  <c r="Q10"/>
  <c r="V10"/>
  <c r="G14"/>
  <c r="M14"/>
  <c r="I14"/>
  <c r="K14"/>
  <c r="O14"/>
  <c r="Q14"/>
  <c r="Q8"/>
  <c r="V14"/>
  <c r="G19"/>
  <c r="I19"/>
  <c r="K19"/>
  <c r="K18"/>
  <c r="M19"/>
  <c r="O19"/>
  <c r="Q19"/>
  <c r="Q18"/>
  <c r="V19"/>
  <c r="V18"/>
  <c r="G21"/>
  <c r="G18"/>
  <c r="I21"/>
  <c r="K21"/>
  <c r="M21"/>
  <c r="O21"/>
  <c r="O18"/>
  <c r="Q21"/>
  <c r="V21"/>
  <c r="G23"/>
  <c r="M23"/>
  <c r="I23"/>
  <c r="I18"/>
  <c r="K23"/>
  <c r="O23"/>
  <c r="Q23"/>
  <c r="V23"/>
  <c r="G25"/>
  <c r="M25"/>
  <c r="I25"/>
  <c r="K25"/>
  <c r="O25"/>
  <c r="Q25"/>
  <c r="V25"/>
  <c r="G29"/>
  <c r="I29"/>
  <c r="K29"/>
  <c r="M29"/>
  <c r="O29"/>
  <c r="Q29"/>
  <c r="V29"/>
  <c r="G30"/>
  <c r="I30"/>
  <c r="K30"/>
  <c r="M30"/>
  <c r="O30"/>
  <c r="Q30"/>
  <c r="V30"/>
  <c r="G31"/>
  <c r="M31"/>
  <c r="I31"/>
  <c r="K31"/>
  <c r="O31"/>
  <c r="Q31"/>
  <c r="V31"/>
  <c r="G32"/>
  <c r="M32"/>
  <c r="I32"/>
  <c r="K32"/>
  <c r="O32"/>
  <c r="Q32"/>
  <c r="V32"/>
  <c r="G33"/>
  <c r="I33"/>
  <c r="K33"/>
  <c r="M33"/>
  <c r="O33"/>
  <c r="Q33"/>
  <c r="V33"/>
  <c r="AE36"/>
  <c i="14" r="G105"/>
  <c r="G9"/>
  <c r="I9"/>
  <c r="I8"/>
  <c r="K9"/>
  <c r="K8"/>
  <c r="M9"/>
  <c r="O9"/>
  <c r="Q9"/>
  <c r="V9"/>
  <c r="V8"/>
  <c r="G10"/>
  <c r="G8"/>
  <c r="I10"/>
  <c r="K10"/>
  <c r="M10"/>
  <c r="O10"/>
  <c r="O8"/>
  <c r="Q10"/>
  <c r="V10"/>
  <c r="G11"/>
  <c r="M11"/>
  <c r="I11"/>
  <c r="K11"/>
  <c r="O11"/>
  <c r="Q11"/>
  <c r="Q8"/>
  <c r="V11"/>
  <c r="G12"/>
  <c r="M12"/>
  <c r="I12"/>
  <c r="K12"/>
  <c r="O12"/>
  <c r="Q12"/>
  <c r="V12"/>
  <c r="G13"/>
  <c r="I13"/>
  <c r="K13"/>
  <c r="M13"/>
  <c r="O13"/>
  <c r="Q13"/>
  <c r="V13"/>
  <c r="G14"/>
  <c r="I14"/>
  <c r="K14"/>
  <c r="M14"/>
  <c r="O14"/>
  <c r="Q14"/>
  <c r="V14"/>
  <c r="G15"/>
  <c r="M15"/>
  <c r="I15"/>
  <c r="K15"/>
  <c r="O15"/>
  <c r="Q15"/>
  <c r="V15"/>
  <c r="G16"/>
  <c r="M16"/>
  <c r="I16"/>
  <c r="K16"/>
  <c r="O16"/>
  <c r="Q16"/>
  <c r="V16"/>
  <c r="G17"/>
  <c r="I17"/>
  <c r="K17"/>
  <c r="M17"/>
  <c r="O17"/>
  <c r="Q17"/>
  <c r="V17"/>
  <c r="G18"/>
  <c r="M18"/>
  <c r="I18"/>
  <c r="K18"/>
  <c r="O18"/>
  <c r="Q18"/>
  <c r="V18"/>
  <c r="G19"/>
  <c r="M19"/>
  <c r="I19"/>
  <c r="K19"/>
  <c r="O19"/>
  <c r="Q19"/>
  <c r="V19"/>
  <c r="G20"/>
  <c r="M20"/>
  <c r="I20"/>
  <c r="K20"/>
  <c r="O20"/>
  <c r="Q20"/>
  <c r="V20"/>
  <c r="G21"/>
  <c r="I21"/>
  <c r="K21"/>
  <c r="M21"/>
  <c r="O21"/>
  <c r="Q21"/>
  <c r="V21"/>
  <c r="G22"/>
  <c r="I22"/>
  <c r="K22"/>
  <c r="M22"/>
  <c r="O22"/>
  <c r="Q22"/>
  <c r="V22"/>
  <c r="G23"/>
  <c r="M23"/>
  <c r="I23"/>
  <c r="K23"/>
  <c r="O23"/>
  <c r="Q23"/>
  <c r="V23"/>
  <c r="G24"/>
  <c r="M24"/>
  <c r="I24"/>
  <c r="K24"/>
  <c r="O24"/>
  <c r="Q24"/>
  <c r="V24"/>
  <c r="G25"/>
  <c r="I25"/>
  <c r="K25"/>
  <c r="M25"/>
  <c r="O25"/>
  <c r="Q25"/>
  <c r="V25"/>
  <c r="G26"/>
  <c r="M26"/>
  <c r="I26"/>
  <c r="K26"/>
  <c r="O26"/>
  <c r="Q26"/>
  <c r="V26"/>
  <c r="G27"/>
  <c r="M27"/>
  <c r="I27"/>
  <c r="K27"/>
  <c r="O27"/>
  <c r="Q27"/>
  <c r="V27"/>
  <c r="G28"/>
  <c r="M28"/>
  <c r="I28"/>
  <c r="K28"/>
  <c r="O28"/>
  <c r="Q28"/>
  <c r="V28"/>
  <c r="G29"/>
  <c r="I29"/>
  <c r="K29"/>
  <c r="M29"/>
  <c r="O29"/>
  <c r="Q29"/>
  <c r="V29"/>
  <c r="G30"/>
  <c r="I30"/>
  <c r="K30"/>
  <c r="M30"/>
  <c r="O30"/>
  <c r="Q30"/>
  <c r="V30"/>
  <c r="G31"/>
  <c r="M31"/>
  <c r="I31"/>
  <c r="K31"/>
  <c r="O31"/>
  <c r="Q31"/>
  <c r="V31"/>
  <c r="G32"/>
  <c r="M32"/>
  <c r="I32"/>
  <c r="K32"/>
  <c r="O32"/>
  <c r="Q32"/>
  <c r="V32"/>
  <c r="G33"/>
  <c r="I33"/>
  <c r="K33"/>
  <c r="M33"/>
  <c r="O33"/>
  <c r="Q33"/>
  <c r="V33"/>
  <c r="G34"/>
  <c r="M34"/>
  <c r="I34"/>
  <c r="K34"/>
  <c r="O34"/>
  <c r="Q34"/>
  <c r="V34"/>
  <c r="G35"/>
  <c r="M35"/>
  <c r="I35"/>
  <c r="K35"/>
  <c r="O35"/>
  <c r="Q35"/>
  <c r="V35"/>
  <c r="G36"/>
  <c r="M36"/>
  <c r="I36"/>
  <c r="K36"/>
  <c r="O36"/>
  <c r="Q36"/>
  <c r="V36"/>
  <c r="G37"/>
  <c r="I37"/>
  <c r="K37"/>
  <c r="M37"/>
  <c r="O37"/>
  <c r="Q37"/>
  <c r="V37"/>
  <c r="G38"/>
  <c r="I38"/>
  <c r="K38"/>
  <c r="M38"/>
  <c r="O38"/>
  <c r="Q38"/>
  <c r="V38"/>
  <c r="G39"/>
  <c r="M39"/>
  <c r="I39"/>
  <c r="K39"/>
  <c r="O39"/>
  <c r="Q39"/>
  <c r="V39"/>
  <c r="G40"/>
  <c r="M40"/>
  <c r="I40"/>
  <c r="K40"/>
  <c r="O40"/>
  <c r="Q40"/>
  <c r="V40"/>
  <c r="G41"/>
  <c r="I41"/>
  <c r="K41"/>
  <c r="M41"/>
  <c r="O41"/>
  <c r="Q41"/>
  <c r="V41"/>
  <c r="G42"/>
  <c r="M42"/>
  <c r="I42"/>
  <c r="K42"/>
  <c r="O42"/>
  <c r="Q42"/>
  <c r="V42"/>
  <c r="G43"/>
  <c r="M43"/>
  <c r="I43"/>
  <c r="K43"/>
  <c r="O43"/>
  <c r="Q43"/>
  <c r="V43"/>
  <c r="G44"/>
  <c r="M44"/>
  <c r="I44"/>
  <c r="K44"/>
  <c r="O44"/>
  <c r="Q44"/>
  <c r="V44"/>
  <c r="G45"/>
  <c r="I45"/>
  <c r="K45"/>
  <c r="M45"/>
  <c r="O45"/>
  <c r="Q45"/>
  <c r="V45"/>
  <c r="G46"/>
  <c r="I46"/>
  <c r="K46"/>
  <c r="M46"/>
  <c r="O46"/>
  <c r="Q46"/>
  <c r="V46"/>
  <c r="G47"/>
  <c r="M47"/>
  <c r="I47"/>
  <c r="K47"/>
  <c r="O47"/>
  <c r="Q47"/>
  <c r="V47"/>
  <c r="G48"/>
  <c r="M48"/>
  <c r="I48"/>
  <c r="K48"/>
  <c r="O48"/>
  <c r="Q48"/>
  <c r="V48"/>
  <c r="G49"/>
  <c r="I49"/>
  <c r="K49"/>
  <c r="M49"/>
  <c r="O49"/>
  <c r="Q49"/>
  <c r="V49"/>
  <c r="G50"/>
  <c r="M50"/>
  <c r="I50"/>
  <c r="K50"/>
  <c r="O50"/>
  <c r="Q50"/>
  <c r="V50"/>
  <c r="G51"/>
  <c r="M51"/>
  <c r="I51"/>
  <c r="K51"/>
  <c r="O51"/>
  <c r="Q51"/>
  <c r="V51"/>
  <c r="G52"/>
  <c r="M52"/>
  <c r="I52"/>
  <c r="K52"/>
  <c r="O52"/>
  <c r="Q52"/>
  <c r="V52"/>
  <c r="G53"/>
  <c r="I53"/>
  <c r="K53"/>
  <c r="M53"/>
  <c r="O53"/>
  <c r="Q53"/>
  <c r="V53"/>
  <c r="G54"/>
  <c r="I54"/>
  <c r="K54"/>
  <c r="M54"/>
  <c r="O54"/>
  <c r="Q54"/>
  <c r="V54"/>
  <c r="G55"/>
  <c r="M55"/>
  <c r="I55"/>
  <c r="K55"/>
  <c r="O55"/>
  <c r="Q55"/>
  <c r="V55"/>
  <c r="G56"/>
  <c r="M56"/>
  <c r="I56"/>
  <c r="K56"/>
  <c r="O56"/>
  <c r="Q56"/>
  <c r="V56"/>
  <c r="G57"/>
  <c r="I57"/>
  <c r="K57"/>
  <c r="M57"/>
  <c r="O57"/>
  <c r="Q57"/>
  <c r="V57"/>
  <c r="G58"/>
  <c r="M58"/>
  <c r="I58"/>
  <c r="K58"/>
  <c r="O58"/>
  <c r="Q58"/>
  <c r="V58"/>
  <c r="G59"/>
  <c r="M59"/>
  <c r="I59"/>
  <c r="K59"/>
  <c r="O59"/>
  <c r="Q59"/>
  <c r="V59"/>
  <c r="G60"/>
  <c r="M60"/>
  <c r="I60"/>
  <c r="K60"/>
  <c r="O60"/>
  <c r="Q60"/>
  <c r="V60"/>
  <c r="G61"/>
  <c r="I61"/>
  <c r="K61"/>
  <c r="M61"/>
  <c r="O61"/>
  <c r="Q61"/>
  <c r="V61"/>
  <c r="G62"/>
  <c r="I62"/>
  <c r="K62"/>
  <c r="M62"/>
  <c r="O62"/>
  <c r="Q62"/>
  <c r="V62"/>
  <c r="G63"/>
  <c r="M63"/>
  <c r="I63"/>
  <c r="K63"/>
  <c r="O63"/>
  <c r="Q63"/>
  <c r="V63"/>
  <c r="G64"/>
  <c r="M64"/>
  <c r="I64"/>
  <c r="K64"/>
  <c r="O64"/>
  <c r="Q64"/>
  <c r="V64"/>
  <c r="G65"/>
  <c r="I65"/>
  <c r="K65"/>
  <c r="M65"/>
  <c r="O65"/>
  <c r="Q65"/>
  <c r="V65"/>
  <c r="G66"/>
  <c r="M66"/>
  <c r="I66"/>
  <c r="K66"/>
  <c r="O66"/>
  <c r="Q66"/>
  <c r="V66"/>
  <c r="G67"/>
  <c r="M67"/>
  <c r="I67"/>
  <c r="K67"/>
  <c r="O67"/>
  <c r="Q67"/>
  <c r="V67"/>
  <c r="I68"/>
  <c r="Q68"/>
  <c r="G69"/>
  <c r="I69"/>
  <c r="K69"/>
  <c r="K68"/>
  <c r="M69"/>
  <c r="M68"/>
  <c r="O69"/>
  <c r="Q69"/>
  <c r="V69"/>
  <c r="V68"/>
  <c r="G70"/>
  <c r="G68"/>
  <c r="I70"/>
  <c r="K70"/>
  <c r="M70"/>
  <c r="O70"/>
  <c r="O68"/>
  <c r="Q70"/>
  <c r="V70"/>
  <c r="G71"/>
  <c r="G72"/>
  <c r="M72"/>
  <c r="M71"/>
  <c r="I72"/>
  <c r="I71"/>
  <c r="K72"/>
  <c r="K71"/>
  <c r="O72"/>
  <c r="Q72"/>
  <c r="Q71"/>
  <c r="V72"/>
  <c r="V71"/>
  <c r="G73"/>
  <c r="I73"/>
  <c r="K73"/>
  <c r="M73"/>
  <c r="O73"/>
  <c r="Q73"/>
  <c r="V73"/>
  <c r="G74"/>
  <c r="I74"/>
  <c r="K74"/>
  <c r="M74"/>
  <c r="O74"/>
  <c r="O71"/>
  <c r="Q74"/>
  <c r="V74"/>
  <c r="G75"/>
  <c r="M75"/>
  <c r="I75"/>
  <c r="K75"/>
  <c r="O75"/>
  <c r="Q75"/>
  <c r="V75"/>
  <c r="G76"/>
  <c r="M76"/>
  <c r="I76"/>
  <c r="K76"/>
  <c r="O76"/>
  <c r="Q76"/>
  <c r="V76"/>
  <c r="I77"/>
  <c r="K77"/>
  <c r="Q77"/>
  <c r="V77"/>
  <c r="G78"/>
  <c r="G77"/>
  <c r="I78"/>
  <c r="K78"/>
  <c r="M78"/>
  <c r="M77"/>
  <c r="O78"/>
  <c r="O77"/>
  <c r="Q78"/>
  <c r="V78"/>
  <c r="G79"/>
  <c r="G80"/>
  <c r="M80"/>
  <c r="M79"/>
  <c r="I80"/>
  <c r="I79"/>
  <c r="K80"/>
  <c r="K79"/>
  <c r="O80"/>
  <c r="Q80"/>
  <c r="V80"/>
  <c r="V79"/>
  <c r="G81"/>
  <c r="I81"/>
  <c r="K81"/>
  <c r="M81"/>
  <c r="O81"/>
  <c r="Q81"/>
  <c r="V81"/>
  <c r="G82"/>
  <c r="I82"/>
  <c r="K82"/>
  <c r="M82"/>
  <c r="O82"/>
  <c r="O79"/>
  <c r="Q82"/>
  <c r="V82"/>
  <c r="G83"/>
  <c r="M83"/>
  <c r="I83"/>
  <c r="K83"/>
  <c r="O83"/>
  <c r="Q83"/>
  <c r="Q79"/>
  <c r="V83"/>
  <c r="G84"/>
  <c r="M84"/>
  <c r="I84"/>
  <c r="K84"/>
  <c r="O84"/>
  <c r="Q84"/>
  <c r="V84"/>
  <c r="G85"/>
  <c r="I85"/>
  <c r="K85"/>
  <c r="M85"/>
  <c r="O85"/>
  <c r="Q85"/>
  <c r="V85"/>
  <c r="G86"/>
  <c r="M86"/>
  <c r="I86"/>
  <c r="K86"/>
  <c r="O86"/>
  <c r="Q86"/>
  <c r="V86"/>
  <c r="G87"/>
  <c r="M87"/>
  <c r="I87"/>
  <c r="K87"/>
  <c r="O87"/>
  <c r="Q87"/>
  <c r="V87"/>
  <c r="G88"/>
  <c r="M88"/>
  <c r="I88"/>
  <c r="K88"/>
  <c r="O88"/>
  <c r="Q88"/>
  <c r="V88"/>
  <c r="K89"/>
  <c r="V89"/>
  <c r="G90"/>
  <c r="G89"/>
  <c r="I90"/>
  <c r="K90"/>
  <c r="M90"/>
  <c r="M89"/>
  <c r="O90"/>
  <c r="O89"/>
  <c r="Q90"/>
  <c r="V90"/>
  <c r="G91"/>
  <c r="M91"/>
  <c r="I91"/>
  <c r="I89"/>
  <c r="K91"/>
  <c r="O91"/>
  <c r="Q91"/>
  <c r="Q89"/>
  <c r="V91"/>
  <c r="G93"/>
  <c r="I93"/>
  <c r="K93"/>
  <c r="M93"/>
  <c r="O93"/>
  <c r="Q93"/>
  <c r="V93"/>
  <c r="V92"/>
  <c r="G94"/>
  <c r="G92"/>
  <c r="I94"/>
  <c r="K94"/>
  <c r="O94"/>
  <c r="O92"/>
  <c r="Q94"/>
  <c r="V94"/>
  <c r="G95"/>
  <c r="M95"/>
  <c r="I95"/>
  <c r="I92"/>
  <c r="K95"/>
  <c r="O95"/>
  <c r="Q95"/>
  <c r="V95"/>
  <c r="G96"/>
  <c r="M96"/>
  <c r="I96"/>
  <c r="K96"/>
  <c r="K92"/>
  <c r="O96"/>
  <c r="Q96"/>
  <c r="V96"/>
  <c r="G97"/>
  <c r="I97"/>
  <c r="K97"/>
  <c r="M97"/>
  <c r="O97"/>
  <c r="Q97"/>
  <c r="V97"/>
  <c r="G98"/>
  <c r="I98"/>
  <c r="K98"/>
  <c r="M98"/>
  <c r="O98"/>
  <c r="Q98"/>
  <c r="V98"/>
  <c r="G99"/>
  <c r="M99"/>
  <c r="I99"/>
  <c r="K99"/>
  <c r="O99"/>
  <c r="Q99"/>
  <c r="V99"/>
  <c r="G100"/>
  <c r="M100"/>
  <c r="I100"/>
  <c r="K100"/>
  <c r="O100"/>
  <c r="Q100"/>
  <c r="Q92"/>
  <c r="V100"/>
  <c r="K101"/>
  <c r="V101"/>
  <c r="G102"/>
  <c r="G101"/>
  <c r="I102"/>
  <c r="K102"/>
  <c r="O102"/>
  <c r="O101"/>
  <c r="Q102"/>
  <c r="V102"/>
  <c r="G103"/>
  <c r="M103"/>
  <c r="I103"/>
  <c r="I101"/>
  <c r="K103"/>
  <c r="O103"/>
  <c r="Q103"/>
  <c r="Q101"/>
  <c r="V103"/>
  <c r="AE105"/>
  <c r="AF105"/>
  <c i="13" r="G267"/>
  <c r="BA259"/>
  <c r="BA179"/>
  <c r="BA177"/>
  <c r="BA169"/>
  <c r="BA168"/>
  <c r="BA167"/>
  <c r="BA165"/>
  <c r="BA164"/>
  <c r="BA155"/>
  <c r="BA144"/>
  <c r="BA143"/>
  <c r="BA142"/>
  <c r="BA141"/>
  <c r="BA131"/>
  <c r="BA129"/>
  <c r="BA121"/>
  <c r="BA120"/>
  <c r="BA119"/>
  <c r="BA117"/>
  <c r="BA116"/>
  <c r="BA107"/>
  <c r="BA97"/>
  <c r="BA96"/>
  <c r="BA95"/>
  <c r="BA94"/>
  <c r="BA91"/>
  <c r="BA89"/>
  <c r="BA87"/>
  <c r="G9"/>
  <c r="I9"/>
  <c r="I8"/>
  <c r="K9"/>
  <c r="K8"/>
  <c r="M9"/>
  <c r="O9"/>
  <c r="Q9"/>
  <c r="Q8"/>
  <c r="V9"/>
  <c r="G13"/>
  <c r="I13"/>
  <c r="K13"/>
  <c r="M13"/>
  <c r="O13"/>
  <c r="O8"/>
  <c r="Q13"/>
  <c r="V13"/>
  <c r="G15"/>
  <c r="I15"/>
  <c r="K15"/>
  <c r="M15"/>
  <c r="O15"/>
  <c r="Q15"/>
  <c r="V15"/>
  <c r="G18"/>
  <c r="M18"/>
  <c r="I18"/>
  <c r="K18"/>
  <c r="O18"/>
  <c r="Q18"/>
  <c r="V18"/>
  <c r="G21"/>
  <c r="I21"/>
  <c r="K21"/>
  <c r="M21"/>
  <c r="O21"/>
  <c r="Q21"/>
  <c r="V21"/>
  <c r="V8"/>
  <c r="G23"/>
  <c r="I23"/>
  <c r="K23"/>
  <c r="M23"/>
  <c r="O23"/>
  <c r="Q23"/>
  <c r="V23"/>
  <c r="G25"/>
  <c r="M25"/>
  <c r="I25"/>
  <c r="K25"/>
  <c r="O25"/>
  <c r="Q25"/>
  <c r="V25"/>
  <c r="G29"/>
  <c r="G8"/>
  <c r="I29"/>
  <c r="K29"/>
  <c r="O29"/>
  <c r="Q29"/>
  <c r="V29"/>
  <c r="G31"/>
  <c r="I31"/>
  <c r="K31"/>
  <c r="M31"/>
  <c r="O31"/>
  <c r="Q31"/>
  <c r="V31"/>
  <c r="G34"/>
  <c r="I34"/>
  <c r="K34"/>
  <c r="M34"/>
  <c r="O34"/>
  <c r="Q34"/>
  <c r="V34"/>
  <c r="G39"/>
  <c r="M39"/>
  <c r="I39"/>
  <c r="I38"/>
  <c r="K39"/>
  <c r="K38"/>
  <c r="O39"/>
  <c r="O38"/>
  <c r="Q39"/>
  <c r="Q38"/>
  <c r="V39"/>
  <c r="V38"/>
  <c r="G43"/>
  <c r="I43"/>
  <c r="K43"/>
  <c r="M43"/>
  <c r="O43"/>
  <c r="Q43"/>
  <c r="V43"/>
  <c r="G46"/>
  <c r="I46"/>
  <c r="K46"/>
  <c r="M46"/>
  <c r="O46"/>
  <c r="Q46"/>
  <c r="V46"/>
  <c r="G49"/>
  <c r="M49"/>
  <c r="I49"/>
  <c r="K49"/>
  <c r="O49"/>
  <c r="Q49"/>
  <c r="V49"/>
  <c r="G52"/>
  <c r="G38"/>
  <c r="I52"/>
  <c r="K52"/>
  <c r="O52"/>
  <c r="Q52"/>
  <c r="V52"/>
  <c r="G54"/>
  <c r="I54"/>
  <c r="K54"/>
  <c r="M54"/>
  <c r="O54"/>
  <c r="Q54"/>
  <c r="V54"/>
  <c r="G56"/>
  <c r="I56"/>
  <c r="K56"/>
  <c r="M56"/>
  <c r="O56"/>
  <c r="Q56"/>
  <c r="V56"/>
  <c r="G59"/>
  <c r="I59"/>
  <c r="K59"/>
  <c r="M59"/>
  <c r="O59"/>
  <c r="Q59"/>
  <c r="V59"/>
  <c r="G61"/>
  <c r="M61"/>
  <c r="I61"/>
  <c r="K61"/>
  <c r="O61"/>
  <c r="Q61"/>
  <c r="V61"/>
  <c r="G68"/>
  <c r="I68"/>
  <c r="K68"/>
  <c r="M68"/>
  <c r="O68"/>
  <c r="Q68"/>
  <c r="V68"/>
  <c r="G70"/>
  <c r="I70"/>
  <c r="K70"/>
  <c r="M70"/>
  <c r="O70"/>
  <c r="Q70"/>
  <c r="V70"/>
  <c r="G72"/>
  <c r="M72"/>
  <c r="I72"/>
  <c r="K72"/>
  <c r="O72"/>
  <c r="Q72"/>
  <c r="V72"/>
  <c r="G74"/>
  <c r="G75"/>
  <c r="I75"/>
  <c r="I74"/>
  <c r="K75"/>
  <c r="K74"/>
  <c r="M75"/>
  <c r="O75"/>
  <c r="Q75"/>
  <c r="V75"/>
  <c r="V74"/>
  <c r="G77"/>
  <c r="I77"/>
  <c r="K77"/>
  <c r="M77"/>
  <c r="O77"/>
  <c r="O74"/>
  <c r="Q77"/>
  <c r="V77"/>
  <c r="G79"/>
  <c r="I79"/>
  <c r="K79"/>
  <c r="M79"/>
  <c r="O79"/>
  <c r="Q79"/>
  <c r="V79"/>
  <c r="G81"/>
  <c r="M81"/>
  <c r="I81"/>
  <c r="K81"/>
  <c r="O81"/>
  <c r="Q81"/>
  <c r="V81"/>
  <c r="G83"/>
  <c r="I83"/>
  <c r="K83"/>
  <c r="M83"/>
  <c r="O83"/>
  <c r="Q83"/>
  <c r="Q74"/>
  <c r="V83"/>
  <c r="G85"/>
  <c r="I85"/>
  <c r="K85"/>
  <c r="M85"/>
  <c r="O85"/>
  <c r="Q85"/>
  <c r="V85"/>
  <c r="O92"/>
  <c r="G93"/>
  <c r="G92"/>
  <c r="I93"/>
  <c r="I92"/>
  <c r="K93"/>
  <c r="K92"/>
  <c r="O93"/>
  <c r="Q93"/>
  <c r="Q92"/>
  <c r="V93"/>
  <c r="V92"/>
  <c r="G140"/>
  <c r="I140"/>
  <c r="K140"/>
  <c r="M140"/>
  <c r="O140"/>
  <c r="Q140"/>
  <c r="V140"/>
  <c r="G190"/>
  <c r="G189"/>
  <c r="I190"/>
  <c r="I189"/>
  <c r="K190"/>
  <c r="M190"/>
  <c r="O190"/>
  <c r="O189"/>
  <c r="Q190"/>
  <c r="Q189"/>
  <c r="V190"/>
  <c r="G195"/>
  <c r="M195"/>
  <c r="I195"/>
  <c r="K195"/>
  <c r="O195"/>
  <c r="Q195"/>
  <c r="V195"/>
  <c r="V189"/>
  <c r="G197"/>
  <c r="I197"/>
  <c r="K197"/>
  <c r="M197"/>
  <c r="O197"/>
  <c r="Q197"/>
  <c r="V197"/>
  <c r="G201"/>
  <c r="I201"/>
  <c r="K201"/>
  <c r="M201"/>
  <c r="O201"/>
  <c r="Q201"/>
  <c r="V201"/>
  <c r="G203"/>
  <c r="M203"/>
  <c r="I203"/>
  <c r="K203"/>
  <c r="O203"/>
  <c r="Q203"/>
  <c r="V203"/>
  <c r="G206"/>
  <c r="M206"/>
  <c r="I206"/>
  <c r="K206"/>
  <c r="O206"/>
  <c r="Q206"/>
  <c r="V206"/>
  <c r="G208"/>
  <c r="I208"/>
  <c r="K208"/>
  <c r="M208"/>
  <c r="O208"/>
  <c r="Q208"/>
  <c r="V208"/>
  <c r="G210"/>
  <c r="I210"/>
  <c r="K210"/>
  <c r="K189"/>
  <c r="M210"/>
  <c r="O210"/>
  <c r="Q210"/>
  <c r="V210"/>
  <c r="G212"/>
  <c r="I212"/>
  <c r="K212"/>
  <c r="M212"/>
  <c r="O212"/>
  <c r="Q212"/>
  <c r="V212"/>
  <c r="G216"/>
  <c r="M216"/>
  <c r="I216"/>
  <c r="K216"/>
  <c r="O216"/>
  <c r="Q216"/>
  <c r="V216"/>
  <c r="G219"/>
  <c r="I219"/>
  <c r="K219"/>
  <c r="M219"/>
  <c r="O219"/>
  <c r="Q219"/>
  <c r="V219"/>
  <c r="G221"/>
  <c r="I221"/>
  <c r="K221"/>
  <c r="M221"/>
  <c r="O221"/>
  <c r="Q221"/>
  <c r="V221"/>
  <c r="G225"/>
  <c r="G224"/>
  <c r="I225"/>
  <c r="I224"/>
  <c r="K225"/>
  <c r="K224"/>
  <c r="O225"/>
  <c r="Q225"/>
  <c r="V225"/>
  <c r="V224"/>
  <c r="G227"/>
  <c r="I227"/>
  <c r="K227"/>
  <c r="M227"/>
  <c r="O227"/>
  <c r="Q227"/>
  <c r="V227"/>
  <c r="G228"/>
  <c r="I228"/>
  <c r="K228"/>
  <c r="M228"/>
  <c r="O228"/>
  <c r="Q228"/>
  <c r="V228"/>
  <c r="G229"/>
  <c r="I229"/>
  <c r="K229"/>
  <c r="M229"/>
  <c r="O229"/>
  <c r="O224"/>
  <c r="Q229"/>
  <c r="V229"/>
  <c r="G230"/>
  <c r="M230"/>
  <c r="I230"/>
  <c r="K230"/>
  <c r="O230"/>
  <c r="Q230"/>
  <c r="Q224"/>
  <c r="V230"/>
  <c r="G231"/>
  <c r="I231"/>
  <c r="K231"/>
  <c r="M231"/>
  <c r="O231"/>
  <c r="Q231"/>
  <c r="V231"/>
  <c r="G232"/>
  <c r="I232"/>
  <c r="K232"/>
  <c r="M232"/>
  <c r="O232"/>
  <c r="Q232"/>
  <c r="V232"/>
  <c r="G233"/>
  <c r="M233"/>
  <c r="I233"/>
  <c r="K233"/>
  <c r="O233"/>
  <c r="Q233"/>
  <c r="V233"/>
  <c r="G234"/>
  <c r="O234"/>
  <c r="Q234"/>
  <c r="V234"/>
  <c r="G235"/>
  <c r="I235"/>
  <c r="I234"/>
  <c r="K235"/>
  <c r="K234"/>
  <c r="M235"/>
  <c r="M234"/>
  <c r="O235"/>
  <c r="Q235"/>
  <c r="V235"/>
  <c r="G236"/>
  <c r="K236"/>
  <c r="G237"/>
  <c r="I237"/>
  <c r="I236"/>
  <c r="K237"/>
  <c r="M237"/>
  <c r="M236"/>
  <c r="O237"/>
  <c r="O236"/>
  <c r="Q237"/>
  <c r="Q236"/>
  <c r="V237"/>
  <c r="G240"/>
  <c r="M240"/>
  <c r="I240"/>
  <c r="K240"/>
  <c r="O240"/>
  <c r="Q240"/>
  <c r="V240"/>
  <c r="V236"/>
  <c r="G242"/>
  <c r="I242"/>
  <c r="K242"/>
  <c r="M242"/>
  <c r="O242"/>
  <c r="Q242"/>
  <c r="V242"/>
  <c r="V243"/>
  <c r="G244"/>
  <c r="G243"/>
  <c r="I244"/>
  <c r="I243"/>
  <c r="K244"/>
  <c r="O244"/>
  <c r="Q244"/>
  <c r="Q243"/>
  <c r="V244"/>
  <c r="G247"/>
  <c r="M247"/>
  <c r="I247"/>
  <c r="K247"/>
  <c r="K243"/>
  <c r="O247"/>
  <c r="Q247"/>
  <c r="V247"/>
  <c r="G249"/>
  <c r="I249"/>
  <c r="K249"/>
  <c r="M249"/>
  <c r="O249"/>
  <c r="Q249"/>
  <c r="V249"/>
  <c r="G250"/>
  <c r="I250"/>
  <c r="K250"/>
  <c r="M250"/>
  <c r="O250"/>
  <c r="Q250"/>
  <c r="V250"/>
  <c r="G252"/>
  <c r="I252"/>
  <c r="K252"/>
  <c r="M252"/>
  <c r="O252"/>
  <c r="O243"/>
  <c r="Q252"/>
  <c r="V252"/>
  <c r="G254"/>
  <c r="M254"/>
  <c r="I254"/>
  <c r="K254"/>
  <c r="O254"/>
  <c r="Q254"/>
  <c r="V254"/>
  <c r="G256"/>
  <c r="I256"/>
  <c r="K256"/>
  <c r="M256"/>
  <c r="O256"/>
  <c r="Q256"/>
  <c r="V256"/>
  <c r="O257"/>
  <c r="V257"/>
  <c r="G258"/>
  <c r="G257"/>
  <c r="I258"/>
  <c r="I257"/>
  <c r="K258"/>
  <c r="O258"/>
  <c r="Q258"/>
  <c r="Q257"/>
  <c r="V258"/>
  <c r="G265"/>
  <c r="M265"/>
  <c r="I265"/>
  <c r="K265"/>
  <c r="K257"/>
  <c r="O265"/>
  <c r="Q265"/>
  <c r="V265"/>
  <c r="AE267"/>
  <c r="AF267"/>
  <c i="12" r="G178"/>
  <c r="BA99"/>
  <c r="BA95"/>
  <c r="BA89"/>
  <c r="BA83"/>
  <c r="BA16"/>
  <c r="G8"/>
  <c r="I8"/>
  <c r="K8"/>
  <c r="G9"/>
  <c r="I9"/>
  <c r="K9"/>
  <c r="M9"/>
  <c r="O9"/>
  <c r="O8"/>
  <c r="Q9"/>
  <c r="Q8"/>
  <c r="V9"/>
  <c r="V8"/>
  <c r="G14"/>
  <c r="I14"/>
  <c r="K14"/>
  <c r="M14"/>
  <c r="O14"/>
  <c r="Q14"/>
  <c r="V14"/>
  <c r="G21"/>
  <c r="I21"/>
  <c r="K21"/>
  <c r="M21"/>
  <c r="O21"/>
  <c r="Q21"/>
  <c r="V21"/>
  <c r="G24"/>
  <c r="M24"/>
  <c r="I24"/>
  <c r="K24"/>
  <c r="O24"/>
  <c r="Q24"/>
  <c r="V24"/>
  <c r="G31"/>
  <c r="I31"/>
  <c r="K31"/>
  <c r="M31"/>
  <c r="O31"/>
  <c r="Q31"/>
  <c r="V31"/>
  <c r="G36"/>
  <c r="G37"/>
  <c r="M37"/>
  <c r="I37"/>
  <c r="I36"/>
  <c r="K37"/>
  <c r="O37"/>
  <c r="O36"/>
  <c r="Q37"/>
  <c r="Q36"/>
  <c r="V37"/>
  <c r="G42"/>
  <c r="M42"/>
  <c r="I42"/>
  <c r="K42"/>
  <c r="K36"/>
  <c r="O42"/>
  <c r="Q42"/>
  <c r="V42"/>
  <c r="G48"/>
  <c r="I48"/>
  <c r="K48"/>
  <c r="M48"/>
  <c r="O48"/>
  <c r="Q48"/>
  <c r="V48"/>
  <c r="G52"/>
  <c r="I52"/>
  <c r="K52"/>
  <c r="M52"/>
  <c r="O52"/>
  <c r="Q52"/>
  <c r="V52"/>
  <c r="G55"/>
  <c r="I55"/>
  <c r="K55"/>
  <c r="M55"/>
  <c r="O55"/>
  <c r="Q55"/>
  <c r="V55"/>
  <c r="G59"/>
  <c r="I59"/>
  <c r="K59"/>
  <c r="M59"/>
  <c r="O59"/>
  <c r="Q59"/>
  <c r="V59"/>
  <c r="V36"/>
  <c r="G63"/>
  <c r="I63"/>
  <c r="K63"/>
  <c r="M63"/>
  <c r="O63"/>
  <c r="Q63"/>
  <c r="V63"/>
  <c r="G67"/>
  <c r="M67"/>
  <c r="I67"/>
  <c r="K67"/>
  <c r="O67"/>
  <c r="Q67"/>
  <c r="V67"/>
  <c r="G68"/>
  <c r="M68"/>
  <c r="I68"/>
  <c r="K68"/>
  <c r="O68"/>
  <c r="Q68"/>
  <c r="V68"/>
  <c r="G69"/>
  <c r="M69"/>
  <c r="I69"/>
  <c r="K69"/>
  <c r="O69"/>
  <c r="Q69"/>
  <c r="V69"/>
  <c r="G70"/>
  <c r="I70"/>
  <c r="K70"/>
  <c r="M70"/>
  <c r="O70"/>
  <c r="Q70"/>
  <c r="V70"/>
  <c r="G72"/>
  <c r="I72"/>
  <c r="I71"/>
  <c r="K72"/>
  <c r="M72"/>
  <c r="O72"/>
  <c r="Q72"/>
  <c r="Q71"/>
  <c r="V72"/>
  <c r="V71"/>
  <c r="G73"/>
  <c r="I73"/>
  <c r="K73"/>
  <c r="M73"/>
  <c r="O73"/>
  <c r="Q73"/>
  <c r="V73"/>
  <c r="G74"/>
  <c r="I74"/>
  <c r="K74"/>
  <c r="M74"/>
  <c r="O74"/>
  <c r="Q74"/>
  <c r="V74"/>
  <c r="G77"/>
  <c r="M77"/>
  <c r="I77"/>
  <c r="K77"/>
  <c r="O77"/>
  <c r="Q77"/>
  <c r="V77"/>
  <c r="G78"/>
  <c r="M78"/>
  <c r="I78"/>
  <c r="K78"/>
  <c r="O78"/>
  <c r="Q78"/>
  <c r="V78"/>
  <c r="G81"/>
  <c r="M81"/>
  <c r="I81"/>
  <c r="K81"/>
  <c r="K71"/>
  <c r="O81"/>
  <c r="Q81"/>
  <c r="V81"/>
  <c r="G87"/>
  <c r="I87"/>
  <c r="K87"/>
  <c r="M87"/>
  <c r="O87"/>
  <c r="Q87"/>
  <c r="V87"/>
  <c r="G90"/>
  <c r="I90"/>
  <c r="K90"/>
  <c r="M90"/>
  <c r="O90"/>
  <c r="O71"/>
  <c r="Q90"/>
  <c r="V90"/>
  <c r="G93"/>
  <c r="I93"/>
  <c r="K93"/>
  <c r="M93"/>
  <c r="O93"/>
  <c r="Q93"/>
  <c r="V93"/>
  <c r="G96"/>
  <c r="I96"/>
  <c r="K96"/>
  <c r="M96"/>
  <c r="O96"/>
  <c r="Q96"/>
  <c r="V96"/>
  <c r="G97"/>
  <c r="I97"/>
  <c r="K97"/>
  <c r="M97"/>
  <c r="O97"/>
  <c r="Q97"/>
  <c r="V97"/>
  <c r="G100"/>
  <c r="V100"/>
  <c r="G101"/>
  <c r="M101"/>
  <c r="M100"/>
  <c r="I101"/>
  <c r="I100"/>
  <c r="K101"/>
  <c r="K100"/>
  <c r="O101"/>
  <c r="Q101"/>
  <c r="Q100"/>
  <c r="V101"/>
  <c r="G105"/>
  <c r="M105"/>
  <c r="I105"/>
  <c r="K105"/>
  <c r="O105"/>
  <c r="Q105"/>
  <c r="V105"/>
  <c r="G109"/>
  <c r="I109"/>
  <c r="K109"/>
  <c r="M109"/>
  <c r="O109"/>
  <c r="Q109"/>
  <c r="V109"/>
  <c r="G113"/>
  <c r="I113"/>
  <c r="K113"/>
  <c r="M113"/>
  <c r="O113"/>
  <c r="O100"/>
  <c r="Q113"/>
  <c r="V113"/>
  <c r="G118"/>
  <c r="I118"/>
  <c r="K118"/>
  <c r="M118"/>
  <c r="O118"/>
  <c r="Q118"/>
  <c r="V118"/>
  <c r="O120"/>
  <c r="Q120"/>
  <c r="V120"/>
  <c r="G121"/>
  <c r="I121"/>
  <c r="I120"/>
  <c r="K121"/>
  <c r="M121"/>
  <c r="O121"/>
  <c r="Q121"/>
  <c r="V121"/>
  <c r="G125"/>
  <c r="G120"/>
  <c r="I125"/>
  <c r="K125"/>
  <c r="K120"/>
  <c r="O125"/>
  <c r="Q125"/>
  <c r="V125"/>
  <c r="G128"/>
  <c r="M128"/>
  <c r="I128"/>
  <c r="K128"/>
  <c r="O128"/>
  <c r="Q128"/>
  <c r="V128"/>
  <c r="G132"/>
  <c r="I132"/>
  <c r="K132"/>
  <c r="G133"/>
  <c r="I133"/>
  <c r="K133"/>
  <c r="M133"/>
  <c r="O133"/>
  <c r="Q133"/>
  <c r="Q132"/>
  <c r="V133"/>
  <c r="G138"/>
  <c r="I138"/>
  <c r="K138"/>
  <c r="M138"/>
  <c r="O138"/>
  <c r="O132"/>
  <c r="Q138"/>
  <c r="V138"/>
  <c r="V132"/>
  <c r="G142"/>
  <c r="I142"/>
  <c r="K142"/>
  <c r="M142"/>
  <c r="O142"/>
  <c r="Q142"/>
  <c r="V142"/>
  <c r="G146"/>
  <c r="M146"/>
  <c r="I146"/>
  <c r="K146"/>
  <c r="O146"/>
  <c r="Q146"/>
  <c r="V146"/>
  <c r="Q150"/>
  <c r="V150"/>
  <c r="G151"/>
  <c r="G150"/>
  <c r="I151"/>
  <c r="K151"/>
  <c r="K150"/>
  <c r="O151"/>
  <c r="O150"/>
  <c r="Q151"/>
  <c r="V151"/>
  <c r="G154"/>
  <c r="M154"/>
  <c r="I154"/>
  <c r="I150"/>
  <c r="K154"/>
  <c r="O154"/>
  <c r="Q154"/>
  <c r="V154"/>
  <c r="G157"/>
  <c r="I157"/>
  <c r="K157"/>
  <c r="G158"/>
  <c r="I158"/>
  <c r="K158"/>
  <c r="M158"/>
  <c r="M157"/>
  <c r="O158"/>
  <c r="Q158"/>
  <c r="Q157"/>
  <c r="V158"/>
  <c r="G161"/>
  <c r="I161"/>
  <c r="K161"/>
  <c r="M161"/>
  <c r="O161"/>
  <c r="O157"/>
  <c r="Q161"/>
  <c r="V161"/>
  <c r="V157"/>
  <c r="G164"/>
  <c r="I164"/>
  <c r="K164"/>
  <c r="M164"/>
  <c r="O164"/>
  <c r="Q164"/>
  <c r="V164"/>
  <c r="G167"/>
  <c r="I167"/>
  <c r="O167"/>
  <c r="Q167"/>
  <c r="V167"/>
  <c r="G168"/>
  <c r="I168"/>
  <c r="K168"/>
  <c r="K167"/>
  <c r="M168"/>
  <c r="M167"/>
  <c r="O168"/>
  <c r="Q168"/>
  <c r="V168"/>
  <c r="G172"/>
  <c r="V172"/>
  <c r="G173"/>
  <c r="M173"/>
  <c r="I173"/>
  <c r="I172"/>
  <c r="K173"/>
  <c r="O173"/>
  <c r="O172"/>
  <c r="Q173"/>
  <c r="Q172"/>
  <c r="V173"/>
  <c r="G174"/>
  <c r="M174"/>
  <c r="I174"/>
  <c r="K174"/>
  <c r="K172"/>
  <c r="O174"/>
  <c r="Q174"/>
  <c r="V174"/>
  <c r="AE178"/>
  <c i="1" r="I20"/>
  <c r="I19"/>
  <c r="I18"/>
  <c r="I16"/>
  <c r="AZ120"/>
  <c r="AZ119"/>
  <c r="AZ117"/>
  <c r="AZ116"/>
  <c r="AZ114"/>
  <c r="AZ113"/>
  <c r="AZ111"/>
  <c r="AZ109"/>
  <c r="AZ108"/>
  <c r="AZ107"/>
  <c r="AZ105"/>
  <c r="AZ102"/>
  <c r="AZ100"/>
  <c r="AZ96"/>
  <c r="AZ95"/>
  <c r="AZ93"/>
  <c r="AZ92"/>
  <c r="AZ90"/>
  <c r="AZ89"/>
  <c r="AZ88"/>
  <c r="AZ86"/>
  <c r="AZ85"/>
  <c r="AZ83"/>
  <c r="AZ81"/>
  <c r="AZ80"/>
  <c r="AZ78"/>
  <c r="AZ76"/>
  <c r="AZ75"/>
  <c r="AZ73"/>
  <c r="AZ72"/>
  <c r="AZ70"/>
  <c r="AZ69"/>
  <c r="AZ67"/>
  <c r="AZ65"/>
  <c r="AZ64"/>
  <c r="AZ63"/>
  <c r="AZ62"/>
  <c r="AZ61"/>
  <c r="AZ60"/>
  <c r="AZ57"/>
  <c r="AZ55"/>
  <c r="AZ54"/>
  <c r="AZ52"/>
  <c r="AZ50"/>
  <c r="F47"/>
  <c r="G23"/>
  <c r="G47"/>
  <c r="G25"/>
  <c r="I46"/>
  <c r="I44"/>
  <c r="I43"/>
  <c r="I42"/>
  <c r="I41"/>
  <c r="H47"/>
  <c r="J28"/>
  <c r="J26"/>
  <c r="G38"/>
  <c r="F38"/>
  <c r="J23"/>
  <c r="J24"/>
  <c r="J25"/>
  <c r="J27"/>
  <c l="1" r="I158"/>
  <c r="J157"/>
  <c r="G26"/>
  <c r="A26"/>
  <c r="G28"/>
  <c i="15" r="M8"/>
  <c r="M18"/>
  <c i="14" r="M8"/>
  <c r="M102"/>
  <c r="M101"/>
  <c r="M94"/>
  <c r="M92"/>
  <c i="13" r="M189"/>
  <c r="M74"/>
  <c r="M258"/>
  <c r="M257"/>
  <c r="M244"/>
  <c r="M243"/>
  <c r="M225"/>
  <c r="M224"/>
  <c r="M93"/>
  <c r="M92"/>
  <c r="M52"/>
  <c r="M38"/>
  <c r="M29"/>
  <c r="M8"/>
  <c i="12" r="M36"/>
  <c r="M8"/>
  <c r="M132"/>
  <c r="M172"/>
  <c r="M71"/>
  <c r="AF178"/>
  <c r="G71"/>
  <c r="M151"/>
  <c r="M150"/>
  <c r="M125"/>
  <c r="M120"/>
  <c i="1" r="I21"/>
  <c r="J138"/>
  <c r="J146"/>
  <c r="J139"/>
  <c r="J147"/>
  <c r="J151"/>
  <c r="J154"/>
  <c r="J135"/>
  <c r="J140"/>
  <c r="J156"/>
  <c r="J142"/>
  <c r="J150"/>
  <c r="J143"/>
  <c r="J136"/>
  <c r="J144"/>
  <c r="J148"/>
  <c r="J152"/>
  <c r="J133"/>
  <c r="J137"/>
  <c r="J141"/>
  <c r="J145"/>
  <c r="J149"/>
  <c r="J153"/>
  <c r="I39"/>
  <c r="I47"/>
  <c l="1" r="J134"/>
  <c r="J155"/>
  <c r="A24"/>
  <c r="G24"/>
  <c r="A27"/>
  <c r="J42"/>
  <c r="J39"/>
  <c r="J47"/>
  <c r="J45"/>
  <c r="J44"/>
  <c r="J41"/>
  <c r="J46"/>
  <c r="J43"/>
  <c r="J40"/>
  <c l="1" r="J158"/>
  <c r="G29"/>
  <c r="G27"/>
  <c r="A29"/>
</calcChain>
</file>

<file path=xl/comments1.xml><?xml version="1.0" encoding="utf-8"?>
<comments xmlns="http://schemas.openxmlformats.org/spreadsheetml/2006/main">
  <authors>
    <author>Radim Štěpánek</author>
    <author>Pavel Veternik</author>
  </authors>
  <commentList>
    <comment ref="D11" authorId="0">
      <text>
        <r>
          <rPr>
            <rFont val="Tahoma"/>
            <charset val="238"/>
            <color indexed="81"/>
            <sz val="9"/>
            <scheme val="none"/>
          </rPr>
          <t>Název</t>
        </r>
      </text>
    </comment>
    <comment ref="I11" authorId="0">
      <text>
        <r>
          <rPr>
            <rFont val="Tahoma"/>
            <charset val="238"/>
            <color indexed="81"/>
            <sz val="9"/>
            <scheme val="none"/>
          </rPr>
          <t>IČO</t>
        </r>
      </text>
    </comment>
    <comment ref="D12" authorId="0">
      <text>
        <r>
          <rPr>
            <rFont val="Tahoma"/>
            <charset val="238"/>
            <color indexed="81"/>
            <sz val="9"/>
            <scheme val="none"/>
          </rPr>
          <t>Ulice</t>
        </r>
      </text>
    </comment>
    <comment ref="I12" authorId="0">
      <text>
        <r>
          <rPr>
            <rFont val="Tahoma"/>
            <charset val="238"/>
            <color indexed="81"/>
            <sz val="9"/>
            <scheme val="none"/>
          </rPr>
          <t>DIČ</t>
        </r>
      </text>
    </comment>
    <comment ref="D13" authorId="0">
      <text>
        <r>
          <rPr>
            <rFont val="Tahoma"/>
            <charset val="238"/>
            <color indexed="81"/>
            <sz val="9"/>
            <scheme val="none"/>
          </rPr>
          <t>PSČ</t>
        </r>
      </text>
    </comment>
    <comment ref="E13" authorId="1">
      <text>
        <r>
          <rPr>
            <rFont val="Tahoma"/>
            <charset val="238"/>
            <color indexed="81"/>
            <sz val="9"/>
            <scheme val="none"/>
          </rPr>
          <t>Místo</t>
        </r>
      </text>
    </comment>
  </commentList>
</comments>
</file>

<file path=xl/comments2.xml><?xml version="1.0" encoding="utf-8"?>
<comments xmlns="http://schemas.openxmlformats.org/spreadsheetml/2006/main">
  <authors>
    <author>Eliška Janůtková</author>
  </authors>
  <commentList>
    <comment ref="S6" authorId="0">
      <text>
        <r>
          <rPr>
            <rFont val="Tahoma"/>
            <charset val="238"/>
            <color indexed="81"/>
            <sz val="9"/>
            <scheme val="none"/>
          </rPr>
          <t>Jedná se o informaci, zda se jedná o položku, která je do rozpočtu zadána z cenové soustavy RTS, nebo vlastní.</t>
        </r>
      </text>
    </comment>
    <comment ref="T6" authorId="0">
      <text>
        <r>
          <rPr>
            <rFont val="Tahoma"/>
            <charset val="238"/>
            <color indexed="81"/>
            <sz val="9"/>
            <scheme val="none"/>
          </rPr>
          <t>Jedná se o název CÚ, která je zadána u položky rozpočtu</t>
        </r>
      </text>
    </comment>
  </commentList>
</comments>
</file>

<file path=xl/comments3.xml><?xml version="1.0" encoding="utf-8"?>
<comments xmlns="http://schemas.openxmlformats.org/spreadsheetml/2006/main">
  <authors>
    <author>Eliška Janůtková</author>
  </authors>
  <commentList>
    <comment ref="S6" authorId="0">
      <text>
        <r>
          <rPr>
            <rFont val="Tahoma"/>
            <charset val="238"/>
            <color indexed="81"/>
            <sz val="9"/>
            <scheme val="none"/>
          </rPr>
          <t>Jedná se o informaci, zda se jedná o položku, která je do rozpočtu zadána z cenové soustavy RTS, nebo vlastní.</t>
        </r>
      </text>
    </comment>
    <comment ref="T6" authorId="0">
      <text>
        <r>
          <rPr>
            <rFont val="Tahoma"/>
            <charset val="238"/>
            <color indexed="81"/>
            <sz val="9"/>
            <scheme val="none"/>
          </rPr>
          <t>Jedná se o název CÚ, která je zadána u položky rozpočtu</t>
        </r>
      </text>
    </comment>
  </commentList>
</comments>
</file>

<file path=xl/comments4.xml><?xml version="1.0" encoding="utf-8"?>
<comments xmlns="http://schemas.openxmlformats.org/spreadsheetml/2006/main">
  <authors>
    <author>Eliška Janůtková</author>
  </authors>
  <commentList>
    <comment ref="S6" authorId="0">
      <text>
        <r>
          <rPr>
            <rFont val="Tahoma"/>
            <charset val="238"/>
            <color indexed="81"/>
            <sz val="9"/>
            <scheme val="none"/>
          </rPr>
          <t>Jedná se o informaci, zda se jedná o položku, která je do rozpočtu zadána z cenové soustavy RTS, nebo vlastní.</t>
        </r>
      </text>
    </comment>
    <comment ref="T6" authorId="0">
      <text>
        <r>
          <rPr>
            <rFont val="Tahoma"/>
            <charset val="238"/>
            <color indexed="81"/>
            <sz val="9"/>
            <scheme val="none"/>
          </rPr>
          <t>Jedná se o název CÚ, která je zadána u položky rozpočtu</t>
        </r>
      </text>
    </comment>
  </commentList>
</comments>
</file>

<file path=xl/comments5.xml><?xml version="1.0" encoding="utf-8"?>
<comments xmlns="http://schemas.openxmlformats.org/spreadsheetml/2006/main">
  <authors>
    <author>Eliška Janůtková</author>
  </authors>
  <commentList>
    <comment ref="S6" authorId="0">
      <text>
        <r>
          <rPr>
            <rFont val="Tahoma"/>
            <charset val="238"/>
            <color indexed="81"/>
            <sz val="9"/>
            <scheme val="none"/>
          </rPr>
          <t>Jedná se o informaci, zda se jedná o položku, která je do rozpočtu zadána z cenové soustavy RTS, nebo vlastní.</t>
        </r>
      </text>
    </comment>
    <comment ref="T6" authorId="0">
      <text>
        <r>
          <rPr>
            <rFont val="Tahoma"/>
            <charset val="238"/>
            <color indexed="81"/>
            <sz val="9"/>
            <scheme val="none"/>
          </rPr>
          <t>Jedná se o název CÚ, která je zadána u položky rozpočtu</t>
        </r>
      </text>
    </comment>
  </commentList>
</comments>
</file>

<file path=xl/sharedStrings.xml><?xml version="1.0" encoding="utf-8"?>
<sst xmlns="http://schemas.openxmlformats.org/spreadsheetml/2006/main">
  <si>
    <t>Pokyny pro vyplnění</t>
  </si>
  <si>
    <t>Ve všech listech tohoto souboru můžete měnit pouze buňky s modrým pozadím. Jedná se o tyto údaje : 
- údaje o firmě
- jednotkové ceny položek zadané na maximálně dvě desetinná místa</t>
  </si>
  <si>
    <t>#RTSROZP#</t>
  </si>
  <si>
    <t>Položkový rozpočet stavby</t>
  </si>
  <si>
    <t>Stavba:</t>
  </si>
  <si>
    <t>38</t>
  </si>
  <si>
    <t>Demolice a následná novostavba haly na sůl Rožmitál pod Třemšínem</t>
  </si>
  <si>
    <t>Objednatel:</t>
  </si>
  <si>
    <t>Krajská správa a údržba silnic Středočeského kraje, příspěvková organizace</t>
  </si>
  <si>
    <t>IČO:</t>
  </si>
  <si>
    <t>00066001</t>
  </si>
  <si>
    <t>Zborovská 81/11</t>
  </si>
  <si>
    <t>DIČ:</t>
  </si>
  <si>
    <t>CZ00066001</t>
  </si>
  <si>
    <t>15000</t>
  </si>
  <si>
    <t>Praha - Smíchov</t>
  </si>
  <si>
    <t>Projektant:</t>
  </si>
  <si>
    <t>Atelier Elzet s.r.o.</t>
  </si>
  <si>
    <t>08714771</t>
  </si>
  <si>
    <t>Budějovická 2201</t>
  </si>
  <si>
    <t>CZ08714771</t>
  </si>
  <si>
    <t>39002</t>
  </si>
  <si>
    <t>Tábor</t>
  </si>
  <si>
    <t>Zhotovitel:</t>
  </si>
  <si>
    <t>Vypracoval:</t>
  </si>
  <si>
    <t>Rozpis ceny</t>
  </si>
  <si>
    <t>Celkem</t>
  </si>
  <si>
    <t>HSV</t>
  </si>
  <si>
    <t>PSV</t>
  </si>
  <si>
    <t>MON</t>
  </si>
  <si>
    <t>VN</t>
  </si>
  <si>
    <t>Vedlejší náklady</t>
  </si>
  <si>
    <t>ON</t>
  </si>
  <si>
    <t>Ostatní náklady</t>
  </si>
  <si>
    <t>Rekapitulace daní</t>
  </si>
  <si>
    <t>Základ pro sníženou DPH</t>
  </si>
  <si>
    <t>%</t>
  </si>
  <si>
    <t>CZK</t>
  </si>
  <si>
    <t xml:space="preserve">Snížená DPH </t>
  </si>
  <si>
    <t>Základ pro základní DPH</t>
  </si>
  <si>
    <t xml:space="preserve">Základní DPH </t>
  </si>
  <si>
    <t>Zaokrouhlení</t>
  </si>
  <si>
    <t>Cena celkem bez DPH</t>
  </si>
  <si>
    <t>Cena celkem s DPH</t>
  </si>
  <si>
    <t>v</t>
  </si>
  <si>
    <t>dne</t>
  </si>
  <si>
    <t>Za zhotovitele</t>
  </si>
  <si>
    <t>Za objednatele</t>
  </si>
  <si>
    <t>Rekapitulace dílčích částí</t>
  </si>
  <si>
    <t>#CASTI&gt;&gt;</t>
  </si>
  <si>
    <t>Číslo</t>
  </si>
  <si>
    <t>Název</t>
  </si>
  <si>
    <t>DPH celkem</t>
  </si>
  <si>
    <t>Cena celkem</t>
  </si>
  <si>
    <t>Stavba</t>
  </si>
  <si>
    <t>SO01</t>
  </si>
  <si>
    <t>Demolice haly</t>
  </si>
  <si>
    <t>01</t>
  </si>
  <si>
    <t>Bourací práce původní haly</t>
  </si>
  <si>
    <t>SO02</t>
  </si>
  <si>
    <t>Novostavba haly</t>
  </si>
  <si>
    <t>Stavební práce</t>
  </si>
  <si>
    <t>02</t>
  </si>
  <si>
    <t>Elektroinstalace</t>
  </si>
  <si>
    <t>SO03</t>
  </si>
  <si>
    <t>Ostatní a vedlejší náklady stavby</t>
  </si>
  <si>
    <t>VRN</t>
  </si>
  <si>
    <t>Celkem za stavbu</t>
  </si>
  <si>
    <t>#POPS</t>
  </si>
  <si>
    <t>Popis stavby: 38 - Demolice a následná novostavba haly na sůl Rožmitál pod Třemšínem</t>
  </si>
  <si>
    <t>1. PODMÍNKY PRO ZPRACOVÁNÍ NABÍDKOVÉ CENY</t>
  </si>
  <si>
    <t xml:space="preserve">        Preambule</t>
  </si>
  <si>
    <t>Tento soupis stavebních prací, dodávek a služeb je sestaven jako podklad pro zpracování nabídek dodavatelů na veřejnou zakázku na stavební práce a obsahuje podmínky a požadavky zadavatele, za kterých má být zpracována nabídková cena dodavatelů. Účelem tohoto soupisu je zabezpečit obsahovou shodu všech nabídkových cen a usnadnit následné posouzení předložených cenových nabídek.</t>
  </si>
  <si>
    <t>Předpokládá se, že dodavatel před zpracováním cenové nabídky pečlivě prostuduje všechny pokyny a podmínky pro zpracování nabídkové ceny obsažené v zadávacích podmínkách a bude se jimi při zpracování nabídkové ceny řídit. Soupis stavebních prací, dodávek a služeb je sestaven v souladu s podmínkami vyhlášky Ministerstva pro místní rozvoj č.169/2016 Sb.</t>
  </si>
  <si>
    <t xml:space="preserve">        Vymezení některých pojmů</t>
  </si>
  <si>
    <t>Pro účely zpracování nabídkové ceny se jsou použity některé pojmy, pod kterými se rozumí:</t>
  </si>
  <si>
    <t xml:space="preserve">        Soupisem stavebních prací dodávek a služeb dokument, ve kterém jsou definovány zadavatelem požadované stavební práce, dodávky a služby v podrobnostech nezbytných pro zpracování cenové nabídky dodavatele. Soupis obsahuje i vymezení požadovaného množství stavebních prací, dodávek a služeb.</t>
  </si>
  <si>
    <t>Cenovou soustavou uspořádaný soubor informací o stavebních a montážních pracích, materiálech a výrobcích obsahující zatřídění položek, podrobný popis a měrnou jednotku, způsob měření a další technické a cenové podmínky pro možnost stanovení jednotkové ceny.</t>
  </si>
  <si>
    <t xml:space="preserve">        Ostatními náklady náklady dodavatele spojené se splněním povinností dodavatele vyplývajících z obchodních či jiných podmínek zadávací dokumentace. Patří do nich zejména náklady na vyhotovení dokumentace skutečného provedení stavby, náklady na geodetické zaměření dokončeného díla, náklady spojené s podmínkami pro publicitu projektu, náklady na dílenskou či výrobní dokumentaci apod.</t>
  </si>
  <si>
    <t xml:space="preserve">        Položkovým rozpočtem dokument odpovídající svým obsahem a strukturou soupisu stavebních prací, dodávek a služeb, předaného zadavatelem dodavateli ke zpracování nabídky, v němž dodavatel doplní k jednotlivým položkám stavebních prací, dodávek nebo služeb svoje nabídkové jednotkové ceny a stanoví i celkovou nabídkovou cenu příslušné položky a dále stanoví nabídkové ceny dle struktury soupisu až po celkovou nabídkovou cenu za veškeré stavební práce, dodávky nebo služby, které jsou obsahem soupisu stavebních prací, dodávek a služeb.</t>
  </si>
  <si>
    <t xml:space="preserve">        Vedlejšími náklady náklady na činností zhotovitele, které nejsou zahrnuty v položkách soupisu stavebních prací, dodávek nebo služeb, ale se zhotovením stav-by souvisí a jsou pro realizaci stavby nezbytné. Někdy se definují jako vedlejší rozpočtové náklady a zahrnují zejména náklady na vybudování, provoz a odstranění zařízení staveniště.</t>
  </si>
  <si>
    <t xml:space="preserve">        Cenová soustava</t>
  </si>
  <si>
    <t xml:space="preserve">        Použitá cenová soustava</t>
  </si>
  <si>
    <t>Soupisy stavebních prací, dodávek a služeb jsou zpracovány s použitím cenové soustavy zpracované společností RTS, a.s.. Položky z cenové soustavy mají uveden odkaz na cenovou soustavu včetně označení příslušného ceníku.</t>
  </si>
  <si>
    <t xml:space="preserve">        Technické podmínky</t>
  </si>
  <si>
    <t>Obsah jednotlivých položek, způsob měření a ostatní další podmínky definující obsah a použití jednotlivých položek jsou obsaženy v cenových a technických podmínkách příslušných ceníků (viz zařazení u položky), které jsou volně dostupné na elektronické adrese www.cenovasoustava.cz</t>
  </si>
  <si>
    <t>Individuální položky</t>
  </si>
  <si>
    <t>Položky soupisu prací, které cenová soustava neobsahuje, jsou označeny popisem „vlastní“. Pro tyto položky jsou cenové a technické podmínky definovány jejich popisem, případně odkazem na konkrétní část příslušné dokumentace.</t>
  </si>
  <si>
    <t xml:space="preserve">        Závaznost a změna soupisu</t>
  </si>
  <si>
    <t xml:space="preserve">        Závaznost soupisu</t>
  </si>
  <si>
    <t>Poskytnuté soupisy jsou pro zpracování nabídkové ceny závazné. Je vyloučeno jakékoliv vyřazení položek ze soupisu, doplnění položek do soupisu, slučování položek a jakýkoliv zásah do popisu položky, množství měrných jednotek nebo jakkoliv měnit či upravovat jakýkoliv jiný údaj v soupisu.</t>
  </si>
  <si>
    <t xml:space="preserve">        Zvláštní podmínky pro stanovení nabídkové ceny</t>
  </si>
  <si>
    <t xml:space="preserve">        Přeprava vybouraných hmot, suti a vytěžené zeminy</t>
  </si>
  <si>
    <t>Pokud soupis obsahuje i některé technologické položky vztahující se k uložení vytěžené zeminy nebo vybouraných hmot, vodorovné přesuny zeminy nebo vybouraných hmot pak v takových případech zpracovatel soupisu předpokládá určitou přepravní vzdálenost. Pokud z technologického postupu dodavatele vyplývá jiná přepravní vzdálenost, je povinností dodavatele stanovit takovou jednotkovou cenu, aby celková cena položky odpovídala jeho konkrétním technologickým podmínkám a konkrétní přepravní vzdálenosti, při soupisem vymezeném množství měrných jednotek.</t>
  </si>
  <si>
    <t xml:space="preserve">        Vnitrostaveništní přesun stavebního materiálu</t>
  </si>
  <si>
    <t>Pokud soupis obsahuje i položky vztahující se ke vnitrostaveništnímu přesunu materiálů (položky označené jako přesun hmot), pak v takových případech je povinností dodavatele stanovit takovou jednotkovou cenu, aby celková cena položky odpovídala jeho konkrétním technologickým podmínkám a konkrétní přepravní vzdálenosti, při soupisem vymezeném množství měrných jednotek.</t>
  </si>
  <si>
    <t>Vnitrostaveništní přesun hmot prací PSV (pomocná stavební výroba) může být v soupisu stanoven procenticky z hodnoty ceny za provedení příslušných řemeslných prací, dodávek a služeb. V takovém případě není v soupisu uvedeno množství měrných jednotek. Dodavatel ocení celkovou cenu u takové položky přesunu hmot vždy konkrétní částkou v Kč, bez ohledu na to, jakým způsobem k jejímu výpočtu dospěl.</t>
  </si>
  <si>
    <t xml:space="preserve">        Příplatky za ztížené podmínky prací</t>
  </si>
  <si>
    <t>Pokud soupis položku příplatku za ztížené podmínky obsahuje, je dodavatel povinen ji ocenit bez ohledu na to, že tento příplatek dodavatel standardně neuplatňuje.</t>
  </si>
  <si>
    <t xml:space="preserve">        Vedlejší a ostatní náklady</t>
  </si>
  <si>
    <t>Tyto náklady jsou popsány v samostatném soupisu stavebních prací, dodávek a služeb s tím, že dodavatel je povinen v rámci těchto nákladů ocenit všechny definované náklady souhrnně pro celou stavbu.</t>
  </si>
  <si>
    <t>2. SPECIFICKÉ PODMÍNKY PRO ZPRACOVÁNÍ NABÍDKOVÉ CENY</t>
  </si>
  <si>
    <t xml:space="preserve">Zde doplní zpracovatel soupisu  případná specifika týkající se konkrétní zakázky.</t>
  </si>
  <si>
    <t>3. ELEKTRONICKÁ PODOBA SOUPISU</t>
  </si>
  <si>
    <t xml:space="preserve">        Elektronická podoba soupisu</t>
  </si>
  <si>
    <t xml:space="preserve">V souladu se zákonem jsou předložené soupisy zpracovány i v elektronické podobě.  Elektronickou podobou soupisu stavebních prací, dodávek a služeb je formát MS EXCEL.</t>
  </si>
  <si>
    <t>Popis formátu soupisu odpovídá svou strukturou vzorovému soupisu volně dostupnému na internetové adrese:</t>
  </si>
  <si>
    <t>www.stavebnionline.cz/soupis</t>
  </si>
  <si>
    <t xml:space="preserve">        Zpracování elektronické podoby soupisu</t>
  </si>
  <si>
    <t>Předaný formát MS EXCEL je nepřístupným (uzamčeným) souborem, do kterého dodavatel doplňuje pouze jednotkové ceny ke všem položkám. Ostatní cenové údaje, jako celková cena položky, mezisoučty za stavební či funkční díly nebo součty celkové ceny stavebního objektu, jakož i cena stavby jsou výsledkem vložených matematických vzorců v příslušných pozicích souboru.</t>
  </si>
  <si>
    <t xml:space="preserve">        Jiný formát soupisu</t>
  </si>
  <si>
    <t>Pokud by kterýkoliv dodavatel měl problémy s předaným formátem, lze na požádání poskytnout soupis stavebních prací také ve formátu *.xml, což je standardní formát používaný pro přenosy dat. Dokumentace tohoto formátu je volně přístupná na webových stránkách MMR.</t>
  </si>
  <si>
    <t xml:space="preserve">        Závěrečné ustanovení</t>
  </si>
  <si>
    <t>Ostatní podmínky vztahující se ke zpracování nabídkové ceny jsou uvedeny v zadávací dokumentaci.</t>
  </si>
  <si>
    <t>#POPO</t>
  </si>
  <si>
    <t>Popis objektu: SO01 - Demolice haly</t>
  </si>
  <si>
    <t>#POPR</t>
  </si>
  <si>
    <t>Popis rozpočtu: 01 - Bourací práce původní haly</t>
  </si>
  <si>
    <t>Popis objektu: SO02 - Novostavba haly</t>
  </si>
  <si>
    <t>Popis rozpočtu: 01 - Stavební práce</t>
  </si>
  <si>
    <t>Popis rozpočtu: 02 - Elektroinstalace</t>
  </si>
  <si>
    <t>Popis objektu: SO03 - Ostatní a vedlejší náklady stavby</t>
  </si>
  <si>
    <t>Popis rozpočtu: 01 - VRN</t>
  </si>
  <si>
    <t>Rekapitulace dílů</t>
  </si>
  <si>
    <t>Typ dílu</t>
  </si>
  <si>
    <t>1</t>
  </si>
  <si>
    <t>Zemní práce</t>
  </si>
  <si>
    <t>2</t>
  </si>
  <si>
    <t>Základy a zvláštní zakládání</t>
  </si>
  <si>
    <t>21-M</t>
  </si>
  <si>
    <t>Elektromontáže</t>
  </si>
  <si>
    <t>3</t>
  </si>
  <si>
    <t>Svislé a kompletní konstrukce</t>
  </si>
  <si>
    <t>36-M</t>
  </si>
  <si>
    <t>Montáž prov.,měř. a regul. zařízení</t>
  </si>
  <si>
    <t>4</t>
  </si>
  <si>
    <t>Vodorovné konstrukce</t>
  </si>
  <si>
    <t>46-M</t>
  </si>
  <si>
    <t>Zemní práce při extr.mont.pracích</t>
  </si>
  <si>
    <t>63</t>
  </si>
  <si>
    <t>Podlahy a podlahové konstrukce</t>
  </si>
  <si>
    <t>9</t>
  </si>
  <si>
    <t>Ostatní konstrukce a práce, bourání</t>
  </si>
  <si>
    <t>95</t>
  </si>
  <si>
    <t>Dokončovací konstrukce na pozemních stavbách</t>
  </si>
  <si>
    <t>99</t>
  </si>
  <si>
    <t>Staveništní přesun hmot</t>
  </si>
  <si>
    <t>997</t>
  </si>
  <si>
    <t>Přesun sutě</t>
  </si>
  <si>
    <t>HZS</t>
  </si>
  <si>
    <t>Hodinové zúčtovací sazby</t>
  </si>
  <si>
    <t>711</t>
  </si>
  <si>
    <t>Izolace proti vodě</t>
  </si>
  <si>
    <t>741</t>
  </si>
  <si>
    <t>Elektroinstalace - silnoproud</t>
  </si>
  <si>
    <t>742</t>
  </si>
  <si>
    <t>Elektromontáže - rozvodný systém</t>
  </si>
  <si>
    <t>743</t>
  </si>
  <si>
    <t>Elektromontáže - hrubá montáž</t>
  </si>
  <si>
    <t>749</t>
  </si>
  <si>
    <t>Elektromontáže - ostatní práce a konstrukce</t>
  </si>
  <si>
    <t>762</t>
  </si>
  <si>
    <t>Konstrukce tesařské</t>
  </si>
  <si>
    <t>764</t>
  </si>
  <si>
    <t>Konstrukce klempířské</t>
  </si>
  <si>
    <t>765</t>
  </si>
  <si>
    <t>Krytina skládaná</t>
  </si>
  <si>
    <t>766</t>
  </si>
  <si>
    <t>Konstrukce truhlářské</t>
  </si>
  <si>
    <t>767</t>
  </si>
  <si>
    <t>Konstrukce zámečnické</t>
  </si>
  <si>
    <t xml:space="preserve">Položkový rozpočet </t>
  </si>
  <si>
    <t>S:</t>
  </si>
  <si>
    <t>O:</t>
  </si>
  <si>
    <t>R:</t>
  </si>
  <si>
    <t>#TypZaznamu#</t>
  </si>
  <si>
    <t>STA</t>
  </si>
  <si>
    <t>OBJ</t>
  </si>
  <si>
    <t>ROZ</t>
  </si>
  <si>
    <t>P.č.</t>
  </si>
  <si>
    <t>Číslo položky</t>
  </si>
  <si>
    <t>Název položky</t>
  </si>
  <si>
    <t>MJ</t>
  </si>
  <si>
    <t>Množství</t>
  </si>
  <si>
    <t>Cena / MJ</t>
  </si>
  <si>
    <t>Dodávka</t>
  </si>
  <si>
    <t>Dodávka celk.</t>
  </si>
  <si>
    <t>Montáž</t>
  </si>
  <si>
    <t>Montáž celk.</t>
  </si>
  <si>
    <t>DPH</t>
  </si>
  <si>
    <t>Cena s DPH</t>
  </si>
  <si>
    <t>Hmotnost / MJ</t>
  </si>
  <si>
    <t>Hmotnost celk.(t)</t>
  </si>
  <si>
    <t>Dem. hmotnost / MJ</t>
  </si>
  <si>
    <t>Dem. hmotnost celk.(t)</t>
  </si>
  <si>
    <t>Ceník</t>
  </si>
  <si>
    <t>Cen. soustava / platnost</t>
  </si>
  <si>
    <t>Cenová úroveň</t>
  </si>
  <si>
    <t>Nhod / MJ</t>
  </si>
  <si>
    <t>Nhod celk.</t>
  </si>
  <si>
    <t>Dodavatel</t>
  </si>
  <si>
    <t>Typ položky</t>
  </si>
  <si>
    <t>Stav položky</t>
  </si>
  <si>
    <t>Díl:</t>
  </si>
  <si>
    <t>DIL</t>
  </si>
  <si>
    <t>113107222</t>
  </si>
  <si>
    <t>Odstranění podkladu z kameniva drceného tl přes 100 do 200 mm strojně pl přes 200 m2</t>
  </si>
  <si>
    <t>m2</t>
  </si>
  <si>
    <t>Vlastní</t>
  </si>
  <si>
    <t>Indiv</t>
  </si>
  <si>
    <t>Práce</t>
  </si>
  <si>
    <t>Běžná</t>
  </si>
  <si>
    <t>POL1_1</t>
  </si>
  <si>
    <t>Poznámka k položce:</t>
  </si>
  <si>
    <t>POP</t>
  </si>
  <si>
    <t xml:space="preserve">Strojní odstranění štěrkového lože  frakce 16/32 tl.150 mm.</t>
  </si>
  <si>
    <t xml:space="preserve">(21,292*9,307) : </t>
  </si>
  <si>
    <t>VV</t>
  </si>
  <si>
    <t>198,165</t>
  </si>
  <si>
    <t>174151101</t>
  </si>
  <si>
    <t>Zásyp jam, šachet rýh nebo kolem objektů sypaninou se zhutněním</t>
  </si>
  <si>
    <t>m3</t>
  </si>
  <si>
    <t>V cenách je započteno přemístění sypaniny ze vzdálenosti 10 m od kraje výkopu nebo zasypávaného prostoru.</t>
  </si>
  <si>
    <t xml:space="preserve">(21,292*9,307)*0,15"kamenný podklad pod žb deskou : </t>
  </si>
  <si>
    <t xml:space="preserve">(21,292*9,307)*0,2"základová deska : </t>
  </si>
  <si>
    <t xml:space="preserve">18,715"základové pasy : </t>
  </si>
  <si>
    <t>88,073</t>
  </si>
  <si>
    <t>10364100</t>
  </si>
  <si>
    <t>zemina pro terénní úpravy - tříděná</t>
  </si>
  <si>
    <t>t</t>
  </si>
  <si>
    <t>Specifikace</t>
  </si>
  <si>
    <t>POL3_0</t>
  </si>
  <si>
    <t xml:space="preserve">88,073*1,6 : </t>
  </si>
  <si>
    <t>140,917</t>
  </si>
  <si>
    <t>162451106</t>
  </si>
  <si>
    <t>Vodorovné přemístění přes 1 500 do 2000 m výkopku/sypaniny z horniny třídy těžitelnosti I skupiny 1 až 3</t>
  </si>
  <si>
    <t>Dovození zeminy pro zásyp a terénní úpravu ze skládky vzdálené 1,5 - 2 km.</t>
  </si>
  <si>
    <t>181111131</t>
  </si>
  <si>
    <t>Plošná úprava terénu do 500 m2 zemina skupiny 1 až 4 nerovnosti přes 150 do 200 mm v rovinně a svahu do 1:5</t>
  </si>
  <si>
    <t>Na konci demolice.</t>
  </si>
  <si>
    <t>981511114</t>
  </si>
  <si>
    <t>Demolice konstrukcí objektů z betonu železového postupným rozebíráním</t>
  </si>
  <si>
    <t>Strojní odbourání železobetonové základové desky tl. 200 mm.</t>
  </si>
  <si>
    <t xml:space="preserve">(21,292*9,307)*0,2 : </t>
  </si>
  <si>
    <t>39,633</t>
  </si>
  <si>
    <t>962032432</t>
  </si>
  <si>
    <t>Bourání zdiva cihelných z dutých nebo plných cihel pálených i nepálených na MV nebo MVC přes 1 m3</t>
  </si>
  <si>
    <t xml:space="preserve">(21,891*4,1*0,3)*2 : </t>
  </si>
  <si>
    <t xml:space="preserve">(9,3*4,1*0,3)*2 : </t>
  </si>
  <si>
    <t xml:space="preserve">-(4,258*4,32*0,3) : </t>
  </si>
  <si>
    <t xml:space="preserve">-(4,161*4,21*0,3) : </t>
  </si>
  <si>
    <t>65,957</t>
  </si>
  <si>
    <t>962052211</t>
  </si>
  <si>
    <t>Bourání zdiva nadzákladového ze ŽB přes 1 m3</t>
  </si>
  <si>
    <t xml:space="preserve">(21,891*0,25*0,3)*2 : </t>
  </si>
  <si>
    <t xml:space="preserve">(9,3*0,25*0,3)*2 : </t>
  </si>
  <si>
    <t>4,679</t>
  </si>
  <si>
    <t>963012520</t>
  </si>
  <si>
    <t>Bourání stropů z ŽB desek š přes 300 mm tl přes 140 mm</t>
  </si>
  <si>
    <t xml:space="preserve">21,292*9,307*0,2 : </t>
  </si>
  <si>
    <t>961044111</t>
  </si>
  <si>
    <t>Bourání základů z betonu prostého</t>
  </si>
  <si>
    <t xml:space="preserve">(21,891*1*0,3)*2 : </t>
  </si>
  <si>
    <t xml:space="preserve">(9,3*1*0,3)*2 : </t>
  </si>
  <si>
    <t>18,715</t>
  </si>
  <si>
    <t>964011361</t>
  </si>
  <si>
    <t>Vybourání ŽB překladů prefabrikovaných dl do 4 m hmotnosti do 350 kg/m</t>
  </si>
  <si>
    <t xml:space="preserve">4,5*0,3*0,25 : </t>
  </si>
  <si>
    <t xml:space="preserve">4,2*0,3*0,25 : </t>
  </si>
  <si>
    <t>0,653</t>
  </si>
  <si>
    <t>966071131</t>
  </si>
  <si>
    <t>Demontáž ocelových kcí hmotnosti do 5 t z profilů hmotnosti přes 30 kg/m</t>
  </si>
  <si>
    <t>s kovovým odpadem bude nakládáno dle platných směrnic zadavatele</t>
  </si>
  <si>
    <t xml:space="preserve">(9,7*26,3*35)*0,001 : </t>
  </si>
  <si>
    <t>8,929</t>
  </si>
  <si>
    <t>945412111</t>
  </si>
  <si>
    <t>Teleskopická hydraulická montážní plošina výška zdvihu do 8 m</t>
  </si>
  <si>
    <t>den</t>
  </si>
  <si>
    <t>946113114</t>
  </si>
  <si>
    <t>Montáž pojízdných věží trubkových/dílcových o ploše přes 5 m2 v přes 3,5 do 4,5 m</t>
  </si>
  <si>
    <t>kus</t>
  </si>
  <si>
    <t>946113214</t>
  </si>
  <si>
    <t>Příplatek k pojízdným věžím o ploše přes 5 m2 v přes 3,5 do 4,5 m za každý den použití</t>
  </si>
  <si>
    <t>946113814</t>
  </si>
  <si>
    <t>Demontáž pojízdných věží trubkových/dílcových o ploše přes 5 m2 v přes 3,5 do 4,5 m</t>
  </si>
  <si>
    <t>997006002</t>
  </si>
  <si>
    <t>Strojové třídění stavebního odpadu</t>
  </si>
  <si>
    <t>997006512</t>
  </si>
  <si>
    <t>Vodorovné doprava suti s naložením a složením na skládku přes 100 m do 1 km</t>
  </si>
  <si>
    <t>997006519</t>
  </si>
  <si>
    <t>Příplatek k vodorovnému přemístění suti na skládku ZKD 1 km přes 1 km</t>
  </si>
  <si>
    <t xml:space="preserve">7334,64 : </t>
  </si>
  <si>
    <t>7334,64</t>
  </si>
  <si>
    <t>997013112</t>
  </si>
  <si>
    <t>Vnitrostaveništní doprava suti a vybouraných hmot pro budovy v přes 6 do 9 m</t>
  </si>
  <si>
    <t>997013601</t>
  </si>
  <si>
    <t>Poplatek za uložení na skládce (skládkovné) stavebního odpadu betonového kód odpadu 17 01 01</t>
  </si>
  <si>
    <t xml:space="preserve">Položka 961044111 -  Bourání základů z betonu prostého: 18,715 m3, 37,43 t</t>
  </si>
  <si>
    <t>997013602</t>
  </si>
  <si>
    <t>Poplatek za uložení na skládce (skládkovné) stavebního odpadu železobetonového kód odpadu 17 01 01</t>
  </si>
  <si>
    <t xml:space="preserve">Položka 981511114 - Demolice konstrukcí objektů z betonu železového postupným rozebíráním: 39,633  m3, 95,516 t</t>
  </si>
  <si>
    <t>Položka 962052211 - Bourání zdiva nadzákladového ze ŽB přes 1 m3: 4,679 m3, 11,23 t</t>
  </si>
  <si>
    <t>Položka 963012520 - Bourání stropů z ŽB desek š přes 300 mm tl přes 140 mm: 39,633 m3, 63,413 t</t>
  </si>
  <si>
    <t>Položka 964011361 - Vybourání ŽB překladů prefabrikovaných dl do 4 m hmotnosti do 350 kg/m: 1,567 t</t>
  </si>
  <si>
    <t>997013655</t>
  </si>
  <si>
    <t>Poplatek za uložení na skládce (skládkovné) zeminy a kamení kód odpadu 17 05 04</t>
  </si>
  <si>
    <t xml:space="preserve">Položka 113107222 -  Odstranění podkladu z kameniva drceného tl přes 100 do 200 mm strojně pl přes 200 m2: 198,165 m2, 57,468 t</t>
  </si>
  <si>
    <t>997013811</t>
  </si>
  <si>
    <t>Poplatek za uložení na skládce (skládkovné) stavebního odpadu dřevěného kód odpadu 17 02 01</t>
  </si>
  <si>
    <t>Oddíl Konstrukce tesařské: 6,718 t, Oddíl Konstrukce truhlářské: 0,591 t</t>
  </si>
  <si>
    <t>997013821</t>
  </si>
  <si>
    <t>Poplatek za uložení na skládce (skládkovné) stavebního odpadu s obsahem azbestu kód odpadu 17 06 05</t>
  </si>
  <si>
    <t xml:space="preserve">Položka 765131803 -  Demontáž azbestocementové skládané krytiny sklonu do 30° do suti: 269,076 m2, 4,784 t</t>
  </si>
  <si>
    <t>997006014</t>
  </si>
  <si>
    <t>Pytlování nebezpečného odpadu z vlnitých tabulí s obsahem azbestu</t>
  </si>
  <si>
    <t>997013603</t>
  </si>
  <si>
    <t>Poplatek za uložení na skládce (skládkovné) stavebního odpadu cihelného kód odpadu 17 01 02</t>
  </si>
  <si>
    <t>Položka 962032432 -Bourání zdiva cihelných z dutých nebo plných cihel pálených i nepálených na MV nebo MVC přes 1 m3: 65,957 m3, 77,499 t</t>
  </si>
  <si>
    <t>741421811</t>
  </si>
  <si>
    <t>Demontáž drátu nebo lana svodového vedení D do 8 mm kolmý svod</t>
  </si>
  <si>
    <t>m</t>
  </si>
  <si>
    <t>POL1_7</t>
  </si>
  <si>
    <t xml:space="preserve">4,55*4 : </t>
  </si>
  <si>
    <t>18,2</t>
  </si>
  <si>
    <t>741421821</t>
  </si>
  <si>
    <t>Demontáž drátu nebo lana svodového vedení D do 8 mm rovná střecha</t>
  </si>
  <si>
    <t xml:space="preserve">22,423 : </t>
  </si>
  <si>
    <t>22,423</t>
  </si>
  <si>
    <t>741421831</t>
  </si>
  <si>
    <t>Demontáž drátu nebo lana svodového vedení D do 8 mm šikmá střecha</t>
  </si>
  <si>
    <t xml:space="preserve">6*4 : </t>
  </si>
  <si>
    <t>24</t>
  </si>
  <si>
    <t>741421841</t>
  </si>
  <si>
    <t>Demontáž svorky šroubové hromosvodné s 1 šroubem</t>
  </si>
  <si>
    <t xml:space="preserve">16 : </t>
  </si>
  <si>
    <t xml:space="preserve">5*4 : </t>
  </si>
  <si>
    <t>36</t>
  </si>
  <si>
    <t>741421851</t>
  </si>
  <si>
    <t>Demontáž vedení hromosvodné-podpěra střešní pod hřeben</t>
  </si>
  <si>
    <t>762331812</t>
  </si>
  <si>
    <t>Demontáž vázaných kcí krovů z hranolů průřezové pl přes 120 do 224 cm2</t>
  </si>
  <si>
    <t xml:space="preserve">(6*2)*24"krokve : </t>
  </si>
  <si>
    <t xml:space="preserve">22,423*2"pozednice : </t>
  </si>
  <si>
    <t>332,846</t>
  </si>
  <si>
    <t>762342813</t>
  </si>
  <si>
    <t>Demontáž laťování střech z latí osové vzdálenosti přes 0,50 m</t>
  </si>
  <si>
    <t xml:space="preserve">(6*2)*22,423 : </t>
  </si>
  <si>
    <t>269,076</t>
  </si>
  <si>
    <t>762631803</t>
  </si>
  <si>
    <t>Demontáž vrat plochy přes 8 m2 včetně kování</t>
  </si>
  <si>
    <t xml:space="preserve">4,258*4,32*2 : </t>
  </si>
  <si>
    <t>36,789</t>
  </si>
  <si>
    <t>764002801</t>
  </si>
  <si>
    <t>Demontáž závětrné lišty do suti</t>
  </si>
  <si>
    <t xml:space="preserve">4,5*2 : </t>
  </si>
  <si>
    <t>33</t>
  </si>
  <si>
    <t>764004801</t>
  </si>
  <si>
    <t>Demontáž podokapního žlabu do suti</t>
  </si>
  <si>
    <t xml:space="preserve">22,423*2 : </t>
  </si>
  <si>
    <t>44,846</t>
  </si>
  <si>
    <t>764004841</t>
  </si>
  <si>
    <t>Demontáž háku do suti</t>
  </si>
  <si>
    <t xml:space="preserve">18*2 : </t>
  </si>
  <si>
    <t>764004861</t>
  </si>
  <si>
    <t>Demontáž svodu do suti</t>
  </si>
  <si>
    <t>20</t>
  </si>
  <si>
    <t>765131803</t>
  </si>
  <si>
    <t>Demontáž azbestocementové skládané krytiny sklonu do 30° do suti</t>
  </si>
  <si>
    <t>765131853</t>
  </si>
  <si>
    <t>Příplatek k cenám demontáže hřebene nebo nároží skládané azbestocementové krytiny za sklon přes 30°</t>
  </si>
  <si>
    <t>766411821</t>
  </si>
  <si>
    <t>Demontáž truhlářského obložení stěn z palubek</t>
  </si>
  <si>
    <t xml:space="preserve">9,11*2 : </t>
  </si>
  <si>
    <t>18,22</t>
  </si>
  <si>
    <t>766421821</t>
  </si>
  <si>
    <t>Demontáž truhlářského obložení podhledů z palubek</t>
  </si>
  <si>
    <t xml:space="preserve">(0,471*21,891)*2 : </t>
  </si>
  <si>
    <t>20,621</t>
  </si>
  <si>
    <t>766421822</t>
  </si>
  <si>
    <t>Demontáž truhlářského obložení podhledů podkladových roštů</t>
  </si>
  <si>
    <t>767134802</t>
  </si>
  <si>
    <t>Demontáž oplechování stěn šroubovaných</t>
  </si>
  <si>
    <t xml:space="preserve">21,891*4,833 : </t>
  </si>
  <si>
    <t>105,799</t>
  </si>
  <si>
    <t>218190403</t>
  </si>
  <si>
    <t>Demontáž rozvaděčů vn vnitřních 22 kV bez odpojení vodičů</t>
  </si>
  <si>
    <t>218812001</t>
  </si>
  <si>
    <t>Demontáž kabelů Cu plných nebo laněných kulatých do 1 kV žíly 2x1,5 až 6 mm2 (např. CYKY) bez odpojení vodičů uložených volně nebo v liště</t>
  </si>
  <si>
    <t xml:space="preserve">20 : </t>
  </si>
  <si>
    <t>SUM</t>
  </si>
  <si>
    <t>Poznámky uchazeče k zadání</t>
  </si>
  <si>
    <t>POPUZIV</t>
  </si>
  <si>
    <t>END</t>
  </si>
  <si>
    <t>131201112</t>
  </si>
  <si>
    <t>Hloubení nezapaž. jam hor.3 do 1000 m3, STROJNĚ</t>
  </si>
  <si>
    <t>RTS 24/ II</t>
  </si>
  <si>
    <t>POL1_</t>
  </si>
  <si>
    <t>jáma na halu : 0,550*(13,000+1,000)*(24,600+1,000)</t>
  </si>
  <si>
    <t>polštáž pod pasy : 0,750*13,000*2,200*2</t>
  </si>
  <si>
    <t>0,750*20,200*2,200*2</t>
  </si>
  <si>
    <t>131201119</t>
  </si>
  <si>
    <t>Příplatek za lepivost - hloubení nezap.jam v hor.3</t>
  </si>
  <si>
    <t>Odkaz na mn. položky pořadí 1 : 306,68000*0,5</t>
  </si>
  <si>
    <t>161101101</t>
  </si>
  <si>
    <t>Svislé přemístění výkopku z hor.1-4 do 2,5 m</t>
  </si>
  <si>
    <t xml:space="preserve">dle pravidel, nad 100m3 -&gt;8% : </t>
  </si>
  <si>
    <t>Odkaz na mn. položky pořadí 1 : 306,68000*0,08</t>
  </si>
  <si>
    <t>162301101</t>
  </si>
  <si>
    <t>Vodorovné přemístění výkopku z hor.1-4 do 500 m</t>
  </si>
  <si>
    <t xml:space="preserve">zemina ponechaná na zásypy -&gt; odvoz + přívoz : </t>
  </si>
  <si>
    <t>Odkaz na mn. položky pořadí 7 : 21,23000*2</t>
  </si>
  <si>
    <t>167101102</t>
  </si>
  <si>
    <t>Nakládání výkopku z hor. 1 ÷ 4 v množství nad 100 m3</t>
  </si>
  <si>
    <t>Odkaz na mn. položky pořadí 1 : 306,68000</t>
  </si>
  <si>
    <t>171201201</t>
  </si>
  <si>
    <t>Uložení sypaniny na skl.-sypanina na výšku přes 2m</t>
  </si>
  <si>
    <t>Odkaz na mn. položky pořadí 5 : 306,68000</t>
  </si>
  <si>
    <t>174101101</t>
  </si>
  <si>
    <t>Zásyp jam, rýh, šachet se zhutněním</t>
  </si>
  <si>
    <t>včetně strojního přemístění materiálu pro zásyp ze vzdálenosti do 10 m od okraje zásypu</t>
  </si>
  <si>
    <t>zásyp základů vytěženou zeminou : 0,550*13,000*0,500*2</t>
  </si>
  <si>
    <t>0,550*25,600*0,500*2</t>
  </si>
  <si>
    <t>181101102</t>
  </si>
  <si>
    <t>Úprava pláně v zářezech v hor. 1-4, se zhutněním</t>
  </si>
  <si>
    <t>(13,600+1,000)*(24,600+1,000)</t>
  </si>
  <si>
    <t>199000002</t>
  </si>
  <si>
    <t>Poplatek za skládku horniny 1- 4, č. dle katal. odpadů 17 05 04</t>
  </si>
  <si>
    <t>Cena dle Pískovny Černovice. www.piskovna-cernovice.cz</t>
  </si>
  <si>
    <t>Odkaz na mn. položky pořadí 10 : 285,45000</t>
  </si>
  <si>
    <t>1627011000Rpol</t>
  </si>
  <si>
    <t>Vodorovné přemístění výkopku z hor.1-4, rozvos na okolní skládky</t>
  </si>
  <si>
    <t xml:space="preserve">zemina ponechaná na zásypy : </t>
  </si>
  <si>
    <t>Odkaz na mn. položky pořadí 7 : 21,23000*-1</t>
  </si>
  <si>
    <t>271571111</t>
  </si>
  <si>
    <t>Polštář základu ze štěrkopísku tříděného fr. 0-32</t>
  </si>
  <si>
    <t>deska : 8,600*20,200*0,550</t>
  </si>
  <si>
    <t>pasy : 0,750*13,000*2,200*2</t>
  </si>
  <si>
    <t>273321311</t>
  </si>
  <si>
    <t>Železobeton základových desek C 16/20</t>
  </si>
  <si>
    <t>betonový nájezd : (3,000*0,250/2)*5,200</t>
  </si>
  <si>
    <t>malý základ na betonový nájezd : 5,200*3,000*0,250</t>
  </si>
  <si>
    <t>273351215</t>
  </si>
  <si>
    <t>Bednění stěn základových desek - zřízení</t>
  </si>
  <si>
    <t>0,550*(5,200+3,000*2)</t>
  </si>
  <si>
    <t>3,000*5,200*1,25</t>
  </si>
  <si>
    <t>273351216</t>
  </si>
  <si>
    <t>Bednění stěn základových desek - odstranění</t>
  </si>
  <si>
    <t>Včetně očištění, vytřídění a uložení bednicího materiálu.</t>
  </si>
  <si>
    <t>Odkaz na mn. položky pořadí 13 : 25,66000</t>
  </si>
  <si>
    <t>273361921</t>
  </si>
  <si>
    <t>Výztuž základových desek ze svařovaných sítí KH 30, drát d 6,0 mm, oko 100 x 100 mm</t>
  </si>
  <si>
    <t>4,44*5,200*3,000*3/1000*1,1</t>
  </si>
  <si>
    <t>274321411</t>
  </si>
  <si>
    <t>Železobeton základových pasů C 25/30</t>
  </si>
  <si>
    <t>2,200*(13,000*2+20,200*2)*0,550</t>
  </si>
  <si>
    <t>274351215</t>
  </si>
  <si>
    <t>Bednění stěn základových pasů - zřízení</t>
  </si>
  <si>
    <t>(13,000*2+24,600*2)*0,650</t>
  </si>
  <si>
    <t>(8,600*2+20,200*2)*0,650</t>
  </si>
  <si>
    <t>274351216</t>
  </si>
  <si>
    <t>Bednění stěn základových pasů - odstranění</t>
  </si>
  <si>
    <t>Odkaz na mn. položky pořadí 17 : 86,32000</t>
  </si>
  <si>
    <t>274361921</t>
  </si>
  <si>
    <t>Výztuž základových pasů ze svařovaných sítí KY 80, drát d 8,0 mm, oko 150 x 150 mm</t>
  </si>
  <si>
    <t>horní a dolní výztuž základu : (2,000*13,000)*2*5,40/1000*1,1*2</t>
  </si>
  <si>
    <t>(2,000*20,200)*2*5,40/1000*1,1*2</t>
  </si>
  <si>
    <t>boky : 0,350*13,000*2*5,40/1000*1,1</t>
  </si>
  <si>
    <t>0,350*24,600*2*5,40/1000*1,1</t>
  </si>
  <si>
    <t>0,350*20,200*2*5,40/1000*1,1</t>
  </si>
  <si>
    <t>0,350*8,600*2*5,40/1000*1,1</t>
  </si>
  <si>
    <t>289970111</t>
  </si>
  <si>
    <t>Vrstva geotextilie Geofiltex 300g/m2</t>
  </si>
  <si>
    <t>8,600*20,200</t>
  </si>
  <si>
    <t>271571111Rpol</t>
  </si>
  <si>
    <t>Zbavení povrchu ostrých kousků štěrku a uhlazení, aby nedošlo k porušení PE fólie</t>
  </si>
  <si>
    <t>Odkaz na mn. položky pořadí 20 : 173,72000</t>
  </si>
  <si>
    <t>271571112Rpol</t>
  </si>
  <si>
    <t>Příplatek za provedení šikmé nájezdové rampy do haly</t>
  </si>
  <si>
    <t>3,000*5,200</t>
  </si>
  <si>
    <t>311261100Rpol</t>
  </si>
  <si>
    <t>Skládané bloky z prostého betonu, o rozměrech 40x80x80cm, beton C30/37 XF4 S3</t>
  </si>
  <si>
    <t>Cena obsahuje dodávku a montáž bloků.</t>
  </si>
  <si>
    <t>311261131Rpol</t>
  </si>
  <si>
    <t>Skládané bloky z prostého betonu, o rozměrech 80x80x80cm, beton C30/37 XF4 S3</t>
  </si>
  <si>
    <t>311261141Rpol</t>
  </si>
  <si>
    <t>Skládané bloky z prostého betonu, o rozměrech 120x80x80cm, beton C30/37 XF4 S3</t>
  </si>
  <si>
    <t>311261142Rpol</t>
  </si>
  <si>
    <t>Skládané bloky z prostého betonu, o rozměrech 160x80x40 cm, beton C30/37 XF4 S3</t>
  </si>
  <si>
    <t>311261143Rpol</t>
  </si>
  <si>
    <t>Skládané bloky z prostého betonu, o rozměrech 80x80x40 cm, beton C30/37 XF4 S3</t>
  </si>
  <si>
    <t>311261150Rpol</t>
  </si>
  <si>
    <t>Kotvení bloků se základem a střechou</t>
  </si>
  <si>
    <t>kpl</t>
  </si>
  <si>
    <t>Cena obsahuje dodávku a montáž kotvících prvků, příložek, pásků atd.</t>
  </si>
  <si>
    <t>Ocelová pásovina S235: délka 3 900 mm, šířka 100 mm, tloušťka 15 mm. Celkem 30 kusů, všechny pozinkované</t>
  </si>
  <si>
    <t>Kotvení:</t>
  </si>
  <si>
    <t xml:space="preserve">Se základem - Pomocí závitové tyče  40 cm nebo roxoru M30, který bude ukotven do hloubky 30 cm (10 cm) nad povrch a následně přivařen k pásovině. – spoj se matla asfaltem</t>
  </si>
  <si>
    <t>Pásovina s blokem lze kotvit šroubem Hilti HUS3-H 14x150 mm nebo závitová na chemii M20, 300ks</t>
  </si>
  <si>
    <t>Každá pásovina bude kotvena do středu bloku podle jedné z výše uvedených variant. Součástí prací je nejen instalace a kotvení, ale také použití plošiny a další nezbytné činnosti.</t>
  </si>
  <si>
    <t>44117Rpol</t>
  </si>
  <si>
    <t>D+M střešní ocelové konstrukce haly</t>
  </si>
  <si>
    <t>Pozinkovaná ocel, profily válované za studena z žárově pozinkovaných pásů z oceli, Spoje prováděné pomocí pozinkovaných metrických šroubů.</t>
  </si>
  <si>
    <t>Sekundární nosné konstukce střechy jsou ocelové vaznice ze Z-profilů za studena tvarované a pozinkované.</t>
  </si>
  <si>
    <t>Primární nosná kce střechy jsou ocelové příhradové nosníky, plnostěnné nosníky ve štítech. Nosníky jsou stabilizované vaznicemi a střešními ztužidly příp. stabilizacemi. -&gt; pozinko. ocel za studena.</t>
  </si>
  <si>
    <t>Stěnová ztužidla jsou z táhel z ocelových plochých pásků z pozink. oceli za studena. Dále jsou součístí sloupy a vodorovné vzpěry.</t>
  </si>
  <si>
    <t/>
  </si>
  <si>
    <t>Součástí této položky je:</t>
  </si>
  <si>
    <t>Ocelová konstrukce včetně sekundární konstrukce</t>
  </si>
  <si>
    <t>Střešní plech</t>
  </si>
  <si>
    <t>Podhledový plech</t>
  </si>
  <si>
    <t>Montáž celkem</t>
  </si>
  <si>
    <t>Doprava</t>
  </si>
  <si>
    <t>A veškěré kotvení</t>
  </si>
  <si>
    <t>- dodání dílce požadovaného tvaru a vlastností, jeho skladování, doprava a osazení do definitivní polohy, včetně komplexní technologie výroby a montáže dílců, ošetření a ochrana dílců,</t>
  </si>
  <si>
    <t>- úpravy a zařízení pro uložení a transport dílce,</t>
  </si>
  <si>
    <t>- veškeré požadované úpravy dílců, včetně doplňkových konstrukcí a vybavení,</t>
  </si>
  <si>
    <t>- sestavení dílce na stavbě včetně montážních zařízení, plošin a prahů a pod.,</t>
  </si>
  <si>
    <t>- výplň, těsnění a tmelení spár a spojů,</t>
  </si>
  <si>
    <t>- očištění a ošetření úložných ploch,</t>
  </si>
  <si>
    <t>- označení dílce výrobním štítkem nebo jiným způsobem,</t>
  </si>
  <si>
    <t>- úpravy dílce pro dodržení požadované přesnosti jeho osazení, včetně případných měření,</t>
  </si>
  <si>
    <t>- veškerá zařízení pro zajištění stability v každém okamžiku,</t>
  </si>
  <si>
    <t>- další práce dané případně specifikací k příslušnému dílci (úprava pohledových ploch, příp. rubových ploch, osazení měřících zařízení, zkoušení a měření dílců a pod.).</t>
  </si>
  <si>
    <t xml:space="preserve">- dodání  materiálu  v požadované kvalitě a výroba konstrukce i dílenská (včetně  pomůcek,  přípravků a prostředků pro výrobu) bez ohledu na náročnost a její hmotnost, dílenská montáž,</t>
  </si>
  <si>
    <t>- dodání spojovacího materiálu,</t>
  </si>
  <si>
    <t xml:space="preserve">- zřízení  montážních  a  dilatačních  spojů,  spar, včetně potřebných úprav, vložek, opracování, očištění a ošetření,</t>
  </si>
  <si>
    <t>- podpěr. konstr. a lešení všech druhů pro montáž konstrukcí i doplňkových, včetně požadovaných otvorů, ochranných a bezpečnostních opatření a základů pro tyto konstrukce a lešení,</t>
  </si>
  <si>
    <t xml:space="preserve">- jakákoliv doprava a manipulace dílců  a  montážních  sestav,  včetně  dopravy konstrukce z výrobny na stavbu,</t>
  </si>
  <si>
    <t>- montáž konstrukce na staveništi, včetně montážních prostředků a pomůcek a zednických výpomocí,</t>
  </si>
  <si>
    <t>- montážní dokumentace včetně technologického předpisu montáže,</t>
  </si>
  <si>
    <t>- čištění konstrukce a odstranění všech vrubů (vrypy, otlačeniny a pod.),</t>
  </si>
  <si>
    <t>- veškeré druhy opracování povrchů, včetně úprav pod nátěry a pod izolaci,</t>
  </si>
  <si>
    <t>- veškeré druhy dílenských základů a základních nátěrů a povlaků,</t>
  </si>
  <si>
    <t>- všechny druhy ocelového kotvení,</t>
  </si>
  <si>
    <t>- dílenskou přejímku a montážní prohlídku, včetně požadovaných dokladů,</t>
  </si>
  <si>
    <t>- zřízení kotevních otvorů nebo jam, nejsou-li částí jiné konstrukce, jejich úpravy, očištění a ošetření,</t>
  </si>
  <si>
    <t>- osazení kotvení nebo přímo částí konstrukce do podpůrné konstrukce nebo do zeminy,</t>
  </si>
  <si>
    <t xml:space="preserve">- výplň kotevních otvorů  (příp.  podlití  patních  desek)  maltou,  betonem  nebo  jinou speciální hmotou</t>
  </si>
  <si>
    <t>- ošetření kotevní oblasti proti vzniku trhlin, vlivu povětrnosti a pod.,</t>
  </si>
  <si>
    <t>- osazení nivelačních značek, včetně jejich zaměření, označení znakem výrobce a vyznačení letopočtu.</t>
  </si>
  <si>
    <t>- veškeré druhy protikorozní ochrany a nátěry konstrukcí,</t>
  </si>
  <si>
    <t>- žárové zinkování,</t>
  </si>
  <si>
    <t>- osazení měřících zařízení a úpravy pro ně</t>
  </si>
  <si>
    <t>- ochranná opatření před účinky bludných proudů</t>
  </si>
  <si>
    <t>- ochranu před přepětím.</t>
  </si>
  <si>
    <t>5,515*22,315*2</t>
  </si>
  <si>
    <t>44118Rpol</t>
  </si>
  <si>
    <t>D+M svislé konstrukce haly</t>
  </si>
  <si>
    <t>Stěnový venkovní plech</t>
  </si>
  <si>
    <t>Vnitřní stěnový plech</t>
  </si>
  <si>
    <t>3,030*(22,315*2+10,810*2)</t>
  </si>
  <si>
    <t>(0,780*5,405)/2*2*2</t>
  </si>
  <si>
    <t>631315811</t>
  </si>
  <si>
    <t>Mazanina betonová tl. 12 - 24 cm C 30/37 z betonu prostého XA2</t>
  </si>
  <si>
    <t>Včetně vytvoření dilatačních spár, bez zaplnění.</t>
  </si>
  <si>
    <t>deska : 21,600*9,200*0,200</t>
  </si>
  <si>
    <t>0,800*5,200*0,200</t>
  </si>
  <si>
    <t>-0,800*0,800*0,200*2</t>
  </si>
  <si>
    <t>631316115</t>
  </si>
  <si>
    <t>Postřik nových beton. podlah proti prvotn. vysych.</t>
  </si>
  <si>
    <t>Odkaz na mn. položky pořadí 33 : 201,60000</t>
  </si>
  <si>
    <t>631316211</t>
  </si>
  <si>
    <t>Povrchový vsyp na betonové podlahy strojně hlazený posypová směs s korundem</t>
  </si>
  <si>
    <t>deska : 21,600*9,200</t>
  </si>
  <si>
    <t>0,800*5,200</t>
  </si>
  <si>
    <t>-0,800*0,800*2</t>
  </si>
  <si>
    <t>631316231</t>
  </si>
  <si>
    <t>Hlazení betonových mazanin, strojně</t>
  </si>
  <si>
    <t>631317210</t>
  </si>
  <si>
    <t>Řezání dilatační spáry hl. 0-100 mm, železobeton</t>
  </si>
  <si>
    <t>deska : 21,600*10</t>
  </si>
  <si>
    <t>9,200*21</t>
  </si>
  <si>
    <t>631319175</t>
  </si>
  <si>
    <t>Příplatek za stržení povrchu mazaniny tl. 24 cm</t>
  </si>
  <si>
    <t>Odkaz na mn. položky pořadí 31 : 40,32000</t>
  </si>
  <si>
    <t>631351101</t>
  </si>
  <si>
    <t>Bednění stěn, rýh a otvorů v podlahách - zřízení</t>
  </si>
  <si>
    <t>0,300*5,200</t>
  </si>
  <si>
    <t>631351102</t>
  </si>
  <si>
    <t>Bednění stěn, rýh a otvorů v podlahách -odstranění</t>
  </si>
  <si>
    <t>Odkaz na mn. položky pořadí 37 : 1,56000</t>
  </si>
  <si>
    <t>631361921</t>
  </si>
  <si>
    <t>Výztuž mazanin svařovanou sítí KH 20, drát d 6,0 mm, oko 150 x 150 mm</t>
  </si>
  <si>
    <t>Spodní výztuž desky : 3,03*21,600*9,200/1000*1,10</t>
  </si>
  <si>
    <t>3,03*0,800*5,200/1000*1,10</t>
  </si>
  <si>
    <t>-3,03*0,800*0,800*2/1000</t>
  </si>
  <si>
    <t>Výztuž mazanin z ocelových vláken bez materiálu</t>
  </si>
  <si>
    <t xml:space="preserve">30kg/m3 : </t>
  </si>
  <si>
    <t>Odkaz na mn. položky pořadí 31 : 40,32000*0,03</t>
  </si>
  <si>
    <t>634601131</t>
  </si>
  <si>
    <t>Zaplnění dilatačních spár mazanin asfaltem,š.30 mm</t>
  </si>
  <si>
    <t>Odkaz na mn. položky pořadí 35 : 409,20000</t>
  </si>
  <si>
    <t>31414930</t>
  </si>
  <si>
    <t>Vlákna ocelová do betonu 1,00 x 50 mm</t>
  </si>
  <si>
    <t>kg</t>
  </si>
  <si>
    <t>SPCM</t>
  </si>
  <si>
    <t>POL3_</t>
  </si>
  <si>
    <t>Odkaz na mn. položky pořadí 31 : 40,32000*30</t>
  </si>
  <si>
    <t>Koeficient ztratné: 0,15</t>
  </si>
  <si>
    <t>952901221</t>
  </si>
  <si>
    <t>Vyčištění průmyslových budov a objektů výrobních</t>
  </si>
  <si>
    <t>Odkaz na mn. položky pořadí 32 : 201,60000</t>
  </si>
  <si>
    <t>953941312</t>
  </si>
  <si>
    <t>Osazení požárního hasicího přístroje na stěnu</t>
  </si>
  <si>
    <t>953941391</t>
  </si>
  <si>
    <t>Revize požárního hasicího přístroje do 5 ks</t>
  </si>
  <si>
    <t>953941395</t>
  </si>
  <si>
    <t xml:space="preserve">Vystavení revizní zprávy-požární hasicí přístroj </t>
  </si>
  <si>
    <t>953981205</t>
  </si>
  <si>
    <t>Chemické kotvy, beton, hl.170 mm, M20, malta 2slož</t>
  </si>
  <si>
    <t>44984114</t>
  </si>
  <si>
    <t>Přístroj hasicí práškový 21A, 183B, C</t>
  </si>
  <si>
    <t>73534001RPol</t>
  </si>
  <si>
    <t xml:space="preserve">Tabulka bezpečnostní - hasící přístroj fotoluminiscenční </t>
  </si>
  <si>
    <t>73534101Rpol</t>
  </si>
  <si>
    <t xml:space="preserve">Šipka k požárnímu zařízení  fotoluminiscenční </t>
  </si>
  <si>
    <t>998011002</t>
  </si>
  <si>
    <t>Přesun hmot pro budovy zděné výšky do 12 m</t>
  </si>
  <si>
    <t>Přesun hmot</t>
  </si>
  <si>
    <t>POL7_</t>
  </si>
  <si>
    <t>711171559</t>
  </si>
  <si>
    <t>Provedení izolace proti vlhkosti na ploše vodorovné, fólií, volně včetně fólie PE, tl. 1,5 mm</t>
  </si>
  <si>
    <t>10,800*22,400</t>
  </si>
  <si>
    <t>0,800*0,800*10</t>
  </si>
  <si>
    <t>711172559</t>
  </si>
  <si>
    <t>Provedení izolace proti vlhkosti na ploše svislé, fólií, volně včetně fólie PE, tl. 1,5 mm</t>
  </si>
  <si>
    <t>0,250*(10,800*2+22,400*2+0,800*10*2-5,200)</t>
  </si>
  <si>
    <t>998711101</t>
  </si>
  <si>
    <t>Přesun hmot pro izolace proti vodě, výšky do 6 m</t>
  </si>
  <si>
    <t>764321240</t>
  </si>
  <si>
    <t>Oplechování Pz říms pod nadříms. žlabem, rš 750 mm</t>
  </si>
  <si>
    <t xml:space="preserve">pod okapem : </t>
  </si>
  <si>
    <t>22,400*2</t>
  </si>
  <si>
    <t>764352205</t>
  </si>
  <si>
    <t>Žlaby z Pz plechu podokapní půlkruhové, rš 400 mm</t>
  </si>
  <si>
    <t>Odkaz na mn. položky pořadí 55 : 44,80000</t>
  </si>
  <si>
    <t>764359212</t>
  </si>
  <si>
    <t>Kotlík z Pz plechu kónický pro trouby D do 125 mm</t>
  </si>
  <si>
    <t>764391230</t>
  </si>
  <si>
    <t>Závětrná lišta z Pz plechu, rš 400 mm</t>
  </si>
  <si>
    <t>5,515*4</t>
  </si>
  <si>
    <t>764430260</t>
  </si>
  <si>
    <t>Oplechování zdí z Pz plechu, rš 750 mm</t>
  </si>
  <si>
    <t>přechod ze zdi na ocelovku : 10,800*2+22,400*2+0,800*10*2</t>
  </si>
  <si>
    <t>764454203</t>
  </si>
  <si>
    <t>Odpadní trouby z Pz plechu, kruhové, D 120 mm</t>
  </si>
  <si>
    <t>3,050*2</t>
  </si>
  <si>
    <t>998764102</t>
  </si>
  <si>
    <t>Přesun hmot pro klempířské konstr., výšky do 12 m</t>
  </si>
  <si>
    <t>767653240Rpol</t>
  </si>
  <si>
    <t>D+M Posuvných ocelových vrat 5200x6000</t>
  </si>
  <si>
    <t>Vrata vč. ocelové zárubně</t>
  </si>
  <si>
    <t>998767202</t>
  </si>
  <si>
    <t>Přesun hmot pro zámečnické konstr., výšky do 12 m</t>
  </si>
  <si>
    <t>JKSO:</t>
  </si>
  <si>
    <t>812</t>
  </si>
  <si>
    <t>Budovy pro výrobu a služby</t>
  </si>
  <si>
    <t>JKSO</t>
  </si>
  <si>
    <t>2375 m3</t>
  </si>
  <si>
    <t>svislá nosná konstrukce montovaná z dílců betonových plošných</t>
  </si>
  <si>
    <t>JKSOChar</t>
  </si>
  <si>
    <t>JKSOAkce</t>
  </si>
  <si>
    <t>210010351</t>
  </si>
  <si>
    <t xml:space="preserve">Montáž rozvodek nástěnných plastových čtyřhranných  vodič D do 4 mm2</t>
  </si>
  <si>
    <t>Rpol10.078.068</t>
  </si>
  <si>
    <t>Krabice 855 IP67</t>
  </si>
  <si>
    <t>KS</t>
  </si>
  <si>
    <t>345626930</t>
  </si>
  <si>
    <t>svorkovnice krabicová bezšroubová TYP017, 400 V, 2 vstupy, 2,5 mm2, 24 A</t>
  </si>
  <si>
    <t>345626940</t>
  </si>
  <si>
    <t>svorkovnice krabicová bezšroubová TYP016, 400 V, 3 vstupy, 2,5 mm2, 24 A</t>
  </si>
  <si>
    <t>345626950</t>
  </si>
  <si>
    <t>svorkovnice krabicová bezšroubová TYP018, 400 V, 4 vstupy, 2,5 mm2, 24 A</t>
  </si>
  <si>
    <t>210102306</t>
  </si>
  <si>
    <t>Propojení kabelů silových celoplastových spojkou do 1 kV EPKJ 0235</t>
  </si>
  <si>
    <t>35436023</t>
  </si>
  <si>
    <t>spojka kabelová smršťovaná přímé do 1kV 91ah-22s 4x16-50mm</t>
  </si>
  <si>
    <t>210111131</t>
  </si>
  <si>
    <t>Montáž zásuvek průmyslových nástěnných provedení IP 44 2P+PE 16 A</t>
  </si>
  <si>
    <t>358110710</t>
  </si>
  <si>
    <t>zásuvka nepropustná nástěnná 400V/16A 5pól</t>
  </si>
  <si>
    <t>R210111131.1</t>
  </si>
  <si>
    <t>R10.028.726</t>
  </si>
  <si>
    <t>Zásuvka 230V IP44 bílá</t>
  </si>
  <si>
    <t>210220001</t>
  </si>
  <si>
    <t>Montáž uzemňovacího vedení vodičů FeZn pomocí svorek na povrchu páskou do 120 mm2</t>
  </si>
  <si>
    <t>354420620</t>
  </si>
  <si>
    <t>pás zemnící 30 x 4 mm FeZn</t>
  </si>
  <si>
    <t>210220002</t>
  </si>
  <si>
    <t>Montáž uzemňovacích vedení vodičů FeZn pomocí svorek na povrchu drátem nebo lanem do 10 mm</t>
  </si>
  <si>
    <t>354410730</t>
  </si>
  <si>
    <t>drát průměr 10 mm FeZn</t>
  </si>
  <si>
    <t>210220101</t>
  </si>
  <si>
    <t>Montáž hromosvodného vedení svodových vodičů s podpěrami průměru do 10 mm</t>
  </si>
  <si>
    <t>354410770</t>
  </si>
  <si>
    <t>drát průměr 8 mm AlMgSi</t>
  </si>
  <si>
    <t>200031</t>
  </si>
  <si>
    <t>Podpěra vedení hromosvodu na fasádě-set (PVC podpěra 55mm, FID hmoždinka 90mm, vrut 6/80mm)</t>
  </si>
  <si>
    <t>ks</t>
  </si>
  <si>
    <t>210220301</t>
  </si>
  <si>
    <t>Montáž svorek hromosvodných typu SS, SR 03 se 2 šrouby</t>
  </si>
  <si>
    <t>354354418751</t>
  </si>
  <si>
    <t>SUb svorka univerzální bez strředové destičky</t>
  </si>
  <si>
    <t>354418850</t>
  </si>
  <si>
    <t>svorka spojovací SS pro lano D8-10 mm</t>
  </si>
  <si>
    <t>210220302</t>
  </si>
  <si>
    <t>Montáž svorek hromosvodných typu ST, SJ, SK, SZ, SR 01, 02 se 3 a více šrouby</t>
  </si>
  <si>
    <t>354418950</t>
  </si>
  <si>
    <t>svorka připojovací SP1 k připojení kovových částí</t>
  </si>
  <si>
    <t>354418750</t>
  </si>
  <si>
    <t>svorka křížová SK pro vodič D6-10 mm</t>
  </si>
  <si>
    <t>354419250</t>
  </si>
  <si>
    <t xml:space="preserve">svorka zkušební SZ pro lano D6-12 mm   FeZn</t>
  </si>
  <si>
    <t>R210220302.1</t>
  </si>
  <si>
    <t>354419860</t>
  </si>
  <si>
    <t xml:space="preserve">svorka odbočovací a spojovací SR 3b pro pásek 30x4 mm    FeZn</t>
  </si>
  <si>
    <t>354419960</t>
  </si>
  <si>
    <t xml:space="preserve">svorka odbočovací a spojovací SR 3a pro spojování kruhových a páskových vodičů    FeZn</t>
  </si>
  <si>
    <t>210220303</t>
  </si>
  <si>
    <t>Montáž svorek hromosvodných typu S0 na okapové žlaby</t>
  </si>
  <si>
    <t>354419050</t>
  </si>
  <si>
    <t>svorka připojovací SOc k připojení okapových žlabů</t>
  </si>
  <si>
    <t>210220321</t>
  </si>
  <si>
    <t>Montáž svorek hromosvodných na potrubí typ Bernard se zhotovením pásku</t>
  </si>
  <si>
    <t>68500165</t>
  </si>
  <si>
    <t>SVORKA ST NA POTRUBI</t>
  </si>
  <si>
    <t>R210220372.1</t>
  </si>
  <si>
    <t>Montáž ochranných prvků - úhelníků nebo trubek do zdiva</t>
  </si>
  <si>
    <t>354418300</t>
  </si>
  <si>
    <t>úhelník ochranný OU 1.7 na ochranu svodu 1,7 m</t>
  </si>
  <si>
    <t>354418360</t>
  </si>
  <si>
    <t>držák ochranného úhelníku do zdiva DOU FeZn s prodloužením-instalovat před fasádou</t>
  </si>
  <si>
    <t>210220401</t>
  </si>
  <si>
    <t>Montáž vedení hromosvodné - štítků k označení svodů</t>
  </si>
  <si>
    <t>354421100</t>
  </si>
  <si>
    <t xml:space="preserve">štítek plastový č. 31 -  čísla svodů</t>
  </si>
  <si>
    <t>210220451</t>
  </si>
  <si>
    <t>Montáž vedení hromosvodné - ochranného pospojování volně nebo pod omítku</t>
  </si>
  <si>
    <t>10180202</t>
  </si>
  <si>
    <t>VODIC CYY 4 ZELENOZLUTY</t>
  </si>
  <si>
    <t>R210220451.1</t>
  </si>
  <si>
    <t>R341421600.1</t>
  </si>
  <si>
    <t>CYA 25 ZŽ Vodič H07V-K 25 ohebný zelenožlutý</t>
  </si>
  <si>
    <t>210810013</t>
  </si>
  <si>
    <t>Montáž měděných kabelů CYKY, CYKYD, CYKYDY, NYM, NYY, YSLY 750 V 4x10mm2 uložených volně</t>
  </si>
  <si>
    <t>10.048.218</t>
  </si>
  <si>
    <t>CYKY 4J10 (4Bx10)</t>
  </si>
  <si>
    <t>M</t>
  </si>
  <si>
    <t>210810046</t>
  </si>
  <si>
    <t>Montáž měděných kabelů CYKY, CYKYD, CYKYDY, NYM, NYY, YSLY 750 V 3x2,5 mm2 uložených pevně</t>
  </si>
  <si>
    <t>341110360</t>
  </si>
  <si>
    <t>kabel silový s Cu jádrem CYKY 3x2,5 mm2</t>
  </si>
  <si>
    <t>210810056</t>
  </si>
  <si>
    <t>Montáž měděných kabelů CYKY, CYKYD, CYKYDY, NYM, NYY, YSLY 750 V 5x2,5 mm2 uložených pevně</t>
  </si>
  <si>
    <t>341110940</t>
  </si>
  <si>
    <t>kabel silový s Cu jádrem CYKY 5x2,5 mm2</t>
  </si>
  <si>
    <t>460671112</t>
  </si>
  <si>
    <t>Výstražná fólie pro krytí kabelů šířky 25 cm</t>
  </si>
  <si>
    <t>R10.042.137</t>
  </si>
  <si>
    <t>Červená výkopová páska - délka 250 m a šířka 22 cm</t>
  </si>
  <si>
    <t>743621110</t>
  </si>
  <si>
    <t>Montáž drát nebo lano hromosvodné svodové D do 10 mm s podpěrou</t>
  </si>
  <si>
    <t>R10.046.510</t>
  </si>
  <si>
    <t>Podpěra PV 21c plast základna kulatá nebo systémový držák střechy-přivařené</t>
  </si>
  <si>
    <t>R-PD</t>
  </si>
  <si>
    <t>Přesun dodávek</t>
  </si>
  <si>
    <t>R-PM</t>
  </si>
  <si>
    <t>Přidružený materiál</t>
  </si>
  <si>
    <t>R-PPV</t>
  </si>
  <si>
    <t>Podíl přidružených výkonů</t>
  </si>
  <si>
    <t>R-ZV</t>
  </si>
  <si>
    <t>Zednické výpomoci</t>
  </si>
  <si>
    <t>246170260</t>
  </si>
  <si>
    <t>lak asfaltový A 1999 černý (á 9 kg)</t>
  </si>
  <si>
    <t>360020611</t>
  </si>
  <si>
    <t>Vyvrtání otvoru v betonovém zdivu do 450 mm, průměru 30 mm</t>
  </si>
  <si>
    <t>360020612</t>
  </si>
  <si>
    <t>Vyvrtání otvoru v betonovém zdivu do 700 mm, průměru 50 mm</t>
  </si>
  <si>
    <t>460010025</t>
  </si>
  <si>
    <t>Vytyčení trasy inženýrských sítí v zastavěném prostoru</t>
  </si>
  <si>
    <t>km</t>
  </si>
  <si>
    <t>460690031.1</t>
  </si>
  <si>
    <t>Osazení hmoždinek včetně vyvrtání otvoru ve stěnách cihelných průměru do 8 mm</t>
  </si>
  <si>
    <t>562810840.1</t>
  </si>
  <si>
    <t>hmoždinka HL 8+vrut</t>
  </si>
  <si>
    <t>tis kus</t>
  </si>
  <si>
    <t>460690032.1</t>
  </si>
  <si>
    <t>Osazení hmoždinek včetně vyvrtání otvoru ve stěnách cihelných průměru do 12 mm</t>
  </si>
  <si>
    <t>562810820.1</t>
  </si>
  <si>
    <t>hmoždinka HL 10+vrut</t>
  </si>
  <si>
    <t>HZS2222</t>
  </si>
  <si>
    <t>Hodinová zúčtovací sazba elektrikář - připojení na stávající elektroinstalaci</t>
  </si>
  <si>
    <t>hod</t>
  </si>
  <si>
    <t>741110142</t>
  </si>
  <si>
    <t>Montáž trubka pancéřová kovová tuhá závitová D přes 16 do 29 mm uložená pevně</t>
  </si>
  <si>
    <t>34571123</t>
  </si>
  <si>
    <t>trubka elektroinstalační ocelová lakovaná závitová P21 D 25,7/28,3mm</t>
  </si>
  <si>
    <t>311741000</t>
  </si>
  <si>
    <t>džák pro chráničky</t>
  </si>
  <si>
    <t>741130001</t>
  </si>
  <si>
    <t>Ukončení vodič izolovaný do 2,5mm2 v rozváděči nebo na přístroji</t>
  </si>
  <si>
    <t>741130006</t>
  </si>
  <si>
    <t>Ukončení vodič izolovaný do 16 mm2 v rozváděči nebo na přístroji</t>
  </si>
  <si>
    <t>741372062</t>
  </si>
  <si>
    <t>Montáž svítidlo LED bytové přisazené stropní panelové do 0,36 m2</t>
  </si>
  <si>
    <t>Rpol10.021.242.1</t>
  </si>
  <si>
    <t>1.4ft 6400/840 Kovové nerezové průmyslové LED svítidlo, s difuzorem z translucentního tepelně tvrzeného bezpečnostního skla 43W</t>
  </si>
  <si>
    <t>741810002</t>
  </si>
  <si>
    <t>Celková prohlídka elektrického rozvodu a zařízení přes 100 000 do 500 000,- Kč</t>
  </si>
  <si>
    <t>Rpol741372063</t>
  </si>
  <si>
    <t>D+M svítidla nad vrata</t>
  </si>
  <si>
    <t>742111100</t>
  </si>
  <si>
    <t>Montáž rozvodnice oceloplechová nebo plastová běžná do 20 kg</t>
  </si>
  <si>
    <t>R10.052.8251.1</t>
  </si>
  <si>
    <t>Rozvaděč RH včetně ovládání osvětlení - kompletní včetně zapojení</t>
  </si>
  <si>
    <t>743112119</t>
  </si>
  <si>
    <t>Montáž trubka plastová ohebná D 48 mm uložená pevně</t>
  </si>
  <si>
    <t>345713510</t>
  </si>
  <si>
    <t>trubka elektroinstalační ohebná63</t>
  </si>
  <si>
    <t>743112219.1</t>
  </si>
  <si>
    <t>Montáž trubka plastová ohebná D 48 mm uložená volně</t>
  </si>
  <si>
    <t>Rpol10.153.147.1</t>
  </si>
  <si>
    <t>Trubka KF 09040 EA</t>
  </si>
  <si>
    <t>743411121.1</t>
  </si>
  <si>
    <t>Montáž krabice zapuštěná plastová čtyřhranná typ KO100, KO125</t>
  </si>
  <si>
    <t>Rpol10.075.335.1</t>
  </si>
  <si>
    <t>Svorkovnice EPS 2 ekvipotencionální s krabicí</t>
  </si>
  <si>
    <t>743419130</t>
  </si>
  <si>
    <t>Otevření nebo uzavření krabice víčkem na 4 šrouby</t>
  </si>
  <si>
    <t>743991100</t>
  </si>
  <si>
    <t>Měření zemních odporů zemniče</t>
  </si>
  <si>
    <t>749913110</t>
  </si>
  <si>
    <t>Montáž tabulka výstražná a označovací pro rozvodny</t>
  </si>
  <si>
    <t>Rpol4321001.1.1</t>
  </si>
  <si>
    <t>Bezpečnostní tabulka - Elektrický rozvaděč Nehas vodou ani pěnovými přístroji</t>
  </si>
  <si>
    <t>NAK</t>
  </si>
  <si>
    <t>00511 R</t>
  </si>
  <si>
    <t xml:space="preserve">Geodetické práce </t>
  </si>
  <si>
    <t>Soubor</t>
  </si>
  <si>
    <t>POL99_2</t>
  </si>
  <si>
    <t>005121 R</t>
  </si>
  <si>
    <t>Zařízení staveniště</t>
  </si>
  <si>
    <t xml:space="preserve">měsíc </t>
  </si>
  <si>
    <t>POL99_8</t>
  </si>
  <si>
    <t>Veškeré náklady spojené s vybudováním, provozem a odstraněním zařízení staveniště.</t>
  </si>
  <si>
    <t>Zřízení a provoz staveništních elektrorozvodů vč.podružného měření s dodatečným vyúčtováním bude sjednáno s nájemcem areálů</t>
  </si>
  <si>
    <t>Zřízení podružného měření odběru vody s dodatečným vyúčtováním bude sjednáno s nájemcem areálů</t>
  </si>
  <si>
    <t xml:space="preserve">00523  R</t>
  </si>
  <si>
    <t>Zkoušky a revize</t>
  </si>
  <si>
    <t>005211020R</t>
  </si>
  <si>
    <t>Ochrana stávaj. inženýrských sítí na staveništi</t>
  </si>
  <si>
    <t>Náklady na přezkoumání podkladů objednatele o stavu inženýrských sítí probíhajících staveništěm nebo dotčenými stavbou i mimo území staveniště, kontrola vytýčení jejich skutečné trasy a provedení ochranných opatření pro zabezpečení stávajících inženýrských sítí.</t>
  </si>
  <si>
    <t>005211030R</t>
  </si>
  <si>
    <t xml:space="preserve">Dočasná dopravní opatření </t>
  </si>
  <si>
    <t>Náklady na vyhotovení návrhu dočasného dopravního značení, jeho projednání s dotčenými orgány a organizacemi, dodání dopravních značek a světelné signalizace, jejich rozmístění a přemísťování a jejich údržba v průběhu výstavby včetně následného odstranění po ukončení stavebních prací.</t>
  </si>
  <si>
    <t>005241010R</t>
  </si>
  <si>
    <t>Dílenská dokumentace</t>
  </si>
  <si>
    <t>POL99_</t>
  </si>
  <si>
    <t>Náklady na vyhotovení dokumentace skutečného provedení stavby a její předání objednateli v požadované formě a požadovaném počtu.</t>
  </si>
  <si>
    <t>005241020R</t>
  </si>
  <si>
    <t xml:space="preserve">Geodetické zaměření skutečného provedení  </t>
  </si>
  <si>
    <t>Náklady na provedení skutečného zaměření stavby v rozsahu nezbytném pro zápis změny do katastru nemovitostí.</t>
  </si>
  <si>
    <t>Přípravu podkladů, určení pevného měřického bodu pro mapování 1:500, technická nivelace, zaměření a zpracování mapy M1:500, digitální model terénu pro měřítko 1:500, předání zaměření skutečného stavu potřebných dat v tzv. jednotném výměnném formátu (JVF - dle specifik Vyhlášky o DTM 393/2020 Sb. Vyhláška o digitální technické mapě kraje.</t>
  </si>
  <si>
    <t>Dopravu.</t>
  </si>
  <si>
    <t>005241030Rpol</t>
  </si>
  <si>
    <t>Geometrický plán včetně zavkladování</t>
  </si>
  <si>
    <t>005241031Rpol</t>
  </si>
  <si>
    <t>Dokumentace skutečného provedení v elektronické i v tištěné podobě v počtu paré dle smlouvy</t>
  </si>
  <si>
    <t>005241032Rpol</t>
  </si>
  <si>
    <t xml:space="preserve">Vypracování a předání TP, KZP, plán BOZP, seznam rizik </t>
  </si>
  <si>
    <t>005241033Rpol</t>
  </si>
  <si>
    <t>Pasportizace před a po stavbou dotčených ploch a objektů vč. vyhodnocení tzv.závěrečné zprávy</t>
  </si>
  <si>
    <t>005241034Rpol</t>
  </si>
  <si>
    <t>Informační tabule umístěna na viditelném místě pro lidi mimo areál</t>
  </si>
  <si>
    <t>"V areálu probíhá demolice a následná výstavba nové haly na sůl…dále uvést info o investorovi/zhotoviteli a termíny + bezpečnostní značky.:</t>
  </si>
</sst>
</file>

<file path=xl/styles.xml><?xml version="1.0" encoding="utf-8"?>
<styleSheet xmlns="http://schemas.openxmlformats.org/spreadsheetml/2006/main">
  <numFmts count="2">
    <numFmt numFmtId="164" formatCode="#,##0.0"/>
    <numFmt numFmtId="165" formatCode="#,##0.00000"/>
  </numFmts>
  <fonts count="19">
    <font>
      <sz val="8"/>
      <name val="Trebuchet MS"/>
      <family val="2"/>
      <charset val="238"/>
    </font>
    <font>
      <b/>
      <sz val="10"/>
      <name val="Arial CE"/>
      <charset val="238"/>
    </font>
    <font>
      <sz val="9"/>
      <name val="Arial CE"/>
      <charset val="238"/>
    </font>
    <font>
      <b/>
      <sz val="14"/>
      <name val="Arial CE"/>
      <charset val="238"/>
    </font>
    <font>
      <sz val="12"/>
      <name val="Arial CE"/>
      <charset val="238"/>
    </font>
    <font>
      <b/>
      <sz val="12"/>
      <name val="Arial CE"/>
      <charset val="238"/>
    </font>
    <font>
      <sz val="11"/>
      <name val="Arial CE"/>
      <charset val="238"/>
    </font>
    <font>
      <b/>
      <sz val="11"/>
      <name val="Arial CE"/>
      <charset val="238"/>
    </font>
    <font>
      <b/>
      <sz val="13"/>
      <name val="Arial CE"/>
      <charset val="238"/>
    </font>
    <font>
      <sz val="7"/>
      <name val="Arial CE"/>
      <charset val="238"/>
    </font>
    <font>
      <sz val="10"/>
      <color indexed="9"/>
      <name val="Arial CE"/>
      <charset val="238"/>
    </font>
    <font>
      <b/>
      <sz val="9"/>
      <name val="Arial CE"/>
      <charset val="238"/>
    </font>
    <font>
      <sz val="10"/>
      <name val="Arial CE"/>
      <charset val="238"/>
    </font>
    <font>
      <sz val="8"/>
      <name val="Arial CE"/>
      <charset val="238"/>
    </font>
    <font>
      <sz val="8"/>
      <color indexed="17"/>
      <name val="Arial CE"/>
      <charset val="238"/>
    </font>
    <font>
      <sz val="8"/>
      <color indexed="12"/>
      <name val="Arial CE"/>
      <charset val="238"/>
    </font>
    <font>
      <sz val="8"/>
      <color indexed="9"/>
      <name val="Arial CE"/>
      <charset val="238"/>
    </font>
    <font>
      <sz val="8"/>
      <color indexed="14"/>
      <name val="Arial CE"/>
      <charset val="238"/>
    </font>
    <font>
      <sz val="9"/>
      <color indexed="81"/>
      <name val="Tahoma"/>
      <charset val="238"/>
    </font>
  </fonts>
  <fills count="6">
    <fill>
      <patternFill patternType="none"/>
    </fill>
    <fill>
      <patternFill patternType="gray125"/>
    </fill>
    <fill>
      <patternFill patternType="solid">
        <fgColor indexed="9"/>
        <bgColor indexed="64"/>
      </patternFill>
    </fill>
    <fill>
      <patternFill patternType="solid">
        <fgColor rgb="FFD6E1EE"/>
        <bgColor indexed="64"/>
      </patternFill>
    </fill>
    <fill>
      <patternFill patternType="solid">
        <fgColor rgb="FF99CCFF"/>
        <bgColor indexed="64"/>
      </patternFill>
    </fill>
    <fill>
      <patternFill patternType="solid">
        <fgColor rgb="FFDBDBDB"/>
        <bgColor indexed="64"/>
      </patternFill>
    </fill>
  </fills>
  <borders count="47">
    <border/>
    <border>
      <left style="medium">
        <color indexed="64"/>
      </left>
      <top style="medium">
        <color indexed="64"/>
      </top>
    </border>
    <border>
      <left style="medium">
        <color indexed="64"/>
      </left>
      <top style="medium">
        <color indexed="64"/>
      </top>
      <bottom style="thin">
        <color indexed="64"/>
      </bottom>
    </border>
    <border>
      <top style="medium">
        <color indexed="64"/>
      </top>
      <bottom style="thin">
        <color indexed="64"/>
      </bottom>
    </border>
    <border>
      <right style="medium">
        <color indexed="64"/>
      </right>
      <top style="medium">
        <color indexed="64"/>
      </top>
      <bottom style="thin">
        <color indexed="64"/>
      </bottom>
    </border>
    <border>
      <left style="medium">
        <color indexed="64"/>
      </left>
    </border>
    <border>
      <top style="thin">
        <color indexed="64"/>
      </top>
    </border>
    <border>
      <right style="medium">
        <color indexed="64"/>
      </right>
      <top style="thin">
        <color indexed="64"/>
      </top>
    </border>
    <border>
      <right style="medium">
        <color indexed="64"/>
      </right>
    </border>
    <border>
      <left style="medium">
        <color indexed="64"/>
      </left>
      <bottom style="thin">
        <color indexed="64"/>
      </bottom>
    </border>
    <border>
      <bottom style="thin">
        <color indexed="64"/>
      </bottom>
    </border>
    <border>
      <right style="medium">
        <color indexed="64"/>
      </right>
      <bottom style="thin">
        <color indexed="64"/>
      </bottom>
    </border>
    <border>
      <left style="medium">
        <color indexed="64"/>
      </left>
      <top style="thin">
        <color indexed="64"/>
      </top>
    </border>
    <border>
      <left style="medium">
        <color indexed="64"/>
      </left>
      <top style="thin">
        <color indexed="64"/>
      </top>
      <bottom style="thin">
        <color indexed="64"/>
      </bottom>
    </border>
    <border>
      <top style="thin">
        <color indexed="64"/>
      </top>
      <bottom style="thin">
        <color indexed="64"/>
      </bottom>
    </border>
    <border>
      <left style="thin">
        <color indexed="64"/>
      </left>
      <top style="thin">
        <color indexed="64"/>
      </top>
      <bottom style="thin">
        <color indexed="64"/>
      </bottom>
    </border>
    <border>
      <right style="thin">
        <color indexed="64"/>
      </right>
      <top style="thin">
        <color indexed="64"/>
      </top>
      <bottom style="thin">
        <color indexed="64"/>
      </bottom>
    </border>
    <border>
      <right style="medium">
        <color indexed="64"/>
      </right>
      <top style="thin">
        <color indexed="64"/>
      </top>
      <bottom style="thin">
        <color indexed="64"/>
      </bottom>
    </border>
    <border>
      <left style="thin">
        <color indexed="64"/>
      </left>
      <bottom style="thin">
        <color indexed="64"/>
      </bottom>
    </border>
    <border>
      <left style="medium">
        <color indexed="64"/>
      </left>
      <top style="medium">
        <color indexed="64"/>
      </top>
      <bottom style="medium">
        <color indexed="64"/>
      </bottom>
    </border>
    <border>
      <top style="medium">
        <color indexed="64"/>
      </top>
      <bottom style="medium">
        <color indexed="64"/>
      </bottom>
    </border>
    <border>
      <right style="medium">
        <color indexed="64"/>
      </right>
      <top style="medium">
        <color indexed="64"/>
      </top>
      <bottom style="medium">
        <color indexed="64"/>
      </bottom>
    </border>
    <border>
      <left style="medium">
        <color indexed="64"/>
      </left>
      <bottom style="medium">
        <color indexed="64"/>
      </bottom>
    </border>
    <border>
      <bottom style="medium">
        <color indexed="64"/>
      </bottom>
    </border>
    <border>
      <right style="medium">
        <color indexed="64"/>
      </right>
      <bottom style="medium">
        <color indexed="64"/>
      </bottom>
    </border>
    <border>
      <left style="thin">
        <color indexed="64"/>
      </left>
    </border>
    <border>
      <left style="thin">
        <color indexed="64"/>
      </left>
      <top style="thin">
        <color indexed="64"/>
      </top>
      <bottom style="thin">
        <color auto="1"/>
      </bottom>
    </border>
    <border>
      <top style="thin">
        <color indexed="64"/>
      </top>
      <bottom style="thin">
        <color auto="1"/>
      </bottom>
    </border>
    <border>
      <left style="thin">
        <color indexed="64"/>
      </left>
      <right style="thin">
        <color indexed="64"/>
      </right>
      <top style="thin">
        <color indexed="64"/>
      </top>
      <bottom style="thin">
        <color auto="1"/>
      </bottom>
    </border>
    <border>
      <left style="thin">
        <color indexed="64"/>
      </left>
      <top style="thin">
        <color auto="1"/>
      </top>
      <bottom style="thin">
        <color auto="1"/>
      </bottom>
    </border>
    <border>
      <top style="thin">
        <color auto="1"/>
      </top>
      <bottom style="thin">
        <color auto="1"/>
      </bottom>
    </border>
    <border>
      <left style="thin">
        <color indexed="64"/>
      </left>
      <right style="thin">
        <color indexed="64"/>
      </right>
      <top style="thin">
        <color auto="1"/>
      </top>
      <bottom style="thin">
        <color auto="1"/>
      </bottom>
    </border>
    <border>
      <left style="thin">
        <color indexed="64"/>
      </left>
      <top style="thin">
        <color auto="1"/>
      </top>
      <bottom style="thin">
        <color indexed="64"/>
      </bottom>
    </border>
    <border>
      <top style="thin">
        <color auto="1"/>
      </top>
      <bottom style="thin">
        <color indexed="64"/>
      </bottom>
    </border>
    <border>
      <right style="thin">
        <color indexed="64"/>
      </right>
      <top style="thin">
        <color auto="1"/>
      </top>
      <bottom style="thin">
        <color indexed="64"/>
      </bottom>
    </border>
    <border>
      <left style="thin">
        <color indexed="64"/>
      </left>
      <right style="thin">
        <color indexed="64"/>
      </right>
      <top style="thin">
        <color auto="1"/>
      </top>
      <bottom style="thin">
        <color indexed="64"/>
      </bottom>
    </border>
    <border>
      <left style="thin">
        <color indexed="64"/>
      </left>
      <right style="thin">
        <color indexed="64"/>
      </right>
      <top style="thin">
        <color indexed="64"/>
      </top>
      <bottom style="thin">
        <color indexed="64"/>
      </bottom>
    </border>
    <border>
      <left style="thin">
        <color indexed="64"/>
      </left>
      <top style="thin">
        <color indexed="64"/>
      </top>
    </border>
    <border>
      <right style="thin">
        <color indexed="64"/>
      </right>
      <top style="thin">
        <color indexed="64"/>
      </top>
    </border>
    <border>
      <left style="thin">
        <color indexed="64"/>
      </left>
      <right style="thin">
        <color indexed="23"/>
      </right>
      <top style="thin">
        <color indexed="64"/>
      </top>
      <bottom style="thin">
        <color indexed="64"/>
      </bottom>
    </border>
    <border>
      <left style="thin">
        <color indexed="23"/>
      </left>
      <right style="thin">
        <color indexed="23"/>
      </right>
      <top style="thin">
        <color indexed="64"/>
      </top>
      <bottom style="thin">
        <color indexed="64"/>
      </bottom>
    </border>
    <border>
      <left style="thin">
        <color indexed="23"/>
      </left>
      <right style="thin">
        <color indexed="64"/>
      </right>
      <top style="thin">
        <color indexed="64"/>
      </top>
      <bottom style="thin">
        <color indexed="64"/>
      </bottom>
    </border>
    <border>
      <left style="thin">
        <color indexed="64"/>
      </left>
      <right style="thin">
        <color indexed="23"/>
      </right>
      <top style="thin">
        <color indexed="64"/>
      </top>
    </border>
    <border>
      <left style="thin">
        <color indexed="23"/>
      </left>
      <right style="thin">
        <color indexed="23"/>
      </right>
      <top style="thin">
        <color indexed="64"/>
      </top>
    </border>
    <border>
      <left style="thin">
        <color indexed="23"/>
      </left>
      <right style="thin">
        <color indexed="64"/>
      </right>
      <top style="thin">
        <color indexed="64"/>
      </top>
    </border>
    <border>
      <right style="thin">
        <color indexed="64"/>
      </right>
    </border>
    <border>
      <right style="thin">
        <color indexed="64"/>
      </right>
      <bottom style="thin">
        <color indexed="64"/>
      </bottom>
    </border>
  </borders>
  <cellStyleXfs count="2">
    <xf numFmtId="0" fontId="0" fillId="0" borderId="0"/>
    <xf numFmtId="0" fontId="12" fillId="0" borderId="0"/>
  </cellStyleXfs>
  <cellXfs count="276">
    <xf numFmtId="0" fontId="0" fillId="0" borderId="0" xfId="0"/>
    <xf numFmtId="0" fontId="1" fillId="0" borderId="0" xfId="0" applyFont="1"/>
    <xf numFmtId="0" fontId="2" fillId="2" borderId="0" xfId="0" applyFont="1" applyFill="1" applyAlignment="1">
      <alignment horizontal="left" wrapText="1"/>
    </xf>
    <xf numFmtId="0" fontId="0" fillId="0" borderId="0" xfId="0" applyAlignment="1">
      <alignment wrapText="1"/>
    </xf>
    <xf numFmtId="0" fontId="0" fillId="0" borderId="1" xfId="0" applyBorder="1"/>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0" fillId="0" borderId="5" xfId="0" applyBorder="1"/>
    <xf numFmtId="0" fontId="4" fillId="3" borderId="5" xfId="0" applyFont="1" applyFill="1" applyBorder="1" applyAlignment="1">
      <alignment horizontal="left" vertical="center" indent="1"/>
    </xf>
    <xf numFmtId="0" fontId="0" fillId="3" borderId="0" xfId="0" applyFill="1" applyAlignment="1">
      <alignment wrapText="1"/>
    </xf>
    <xf numFmtId="49" fontId="5" fillId="3" borderId="0" xfId="0" applyNumberFormat="1" applyFont="1" applyFill="1" applyAlignment="1">
      <alignment horizontal="left" vertical="center" wrapText="1"/>
    </xf>
    <xf numFmtId="49" fontId="5" fillId="3" borderId="6" xfId="0" applyNumberFormat="1" applyFont="1" applyFill="1" applyBorder="1" applyAlignment="1">
      <alignment horizontal="left" vertical="center" wrapText="1"/>
    </xf>
    <xf numFmtId="0" fontId="0" fillId="3" borderId="6" xfId="0" applyFill="1" applyBorder="1" applyAlignment="1">
      <alignment wrapText="1"/>
    </xf>
    <xf numFmtId="0" fontId="0" fillId="3" borderId="7" xfId="0" applyFill="1" applyBorder="1" applyAlignment="1">
      <alignment wrapText="1"/>
    </xf>
    <xf numFmtId="14" fontId="2" fillId="0" borderId="0" xfId="0" applyNumberFormat="1" applyFont="1" applyAlignment="1">
      <alignment horizontal="left"/>
    </xf>
    <xf numFmtId="0" fontId="0" fillId="3" borderId="5" xfId="0" applyFill="1" applyBorder="1" applyAlignment="1">
      <alignment horizontal="left" vertical="center" indent="1"/>
    </xf>
    <xf numFmtId="0" fontId="1" fillId="3" borderId="0" xfId="0" applyFont="1" applyFill="1" applyAlignment="1">
      <alignment horizontal="left" vertical="center" wrapText="1"/>
    </xf>
    <xf numFmtId="0" fontId="0" fillId="3" borderId="8" xfId="0" applyFill="1" applyBorder="1" applyAlignment="1">
      <alignment wrapText="1"/>
    </xf>
    <xf numFmtId="0" fontId="0" fillId="3" borderId="9" xfId="0" applyFill="1" applyBorder="1" applyAlignment="1">
      <alignment horizontal="left" vertical="center" indent="1"/>
    </xf>
    <xf numFmtId="0" fontId="0" fillId="3" borderId="10" xfId="0" applyFill="1" applyBorder="1" applyAlignment="1">
      <alignment wrapText="1"/>
    </xf>
    <xf numFmtId="0" fontId="1" fillId="3" borderId="10"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0" fillId="0" borderId="5" xfId="0" applyBorder="1" applyAlignment="1">
      <alignment horizontal="left" vertical="center" indent="1"/>
    </xf>
    <xf numFmtId="49" fontId="1" fillId="0" borderId="6" xfId="0" applyNumberFormat="1" applyFont="1" applyBorder="1" applyAlignment="1">
      <alignment horizontal="left" vertical="center" wrapText="1"/>
    </xf>
    <xf numFmtId="0" fontId="0" fillId="0" borderId="6" xfId="0" applyBorder="1" applyAlignment="1">
      <alignment vertical="center" wrapText="1"/>
    </xf>
    <xf numFmtId="0" fontId="0" fillId="0" borderId="0" xfId="0" applyAlignment="1">
      <alignment horizontal="right" vertical="center"/>
    </xf>
    <xf numFmtId="49" fontId="1" fillId="0" borderId="0" xfId="0" applyNumberFormat="1" applyFont="1" applyAlignment="1">
      <alignment horizontal="left" vertical="center"/>
    </xf>
    <xf numFmtId="0" fontId="0" fillId="0" borderId="8" xfId="0" applyBorder="1"/>
    <xf numFmtId="0" fontId="1" fillId="0" borderId="5" xfId="0" applyFont="1" applyBorder="1" applyAlignment="1">
      <alignment horizontal="left" vertical="center" indent="1"/>
    </xf>
    <xf numFmtId="0" fontId="1" fillId="0" borderId="0" xfId="0" applyFont="1" applyAlignment="1">
      <alignment vertical="center" wrapText="1"/>
    </xf>
    <xf numFmtId="49" fontId="1" fillId="0" borderId="0" xfId="0" applyNumberFormat="1" applyFont="1" applyAlignment="1">
      <alignment horizontal="left" vertical="center" wrapText="1"/>
    </xf>
    <xf numFmtId="0" fontId="0" fillId="0" borderId="0" xfId="0" applyAlignment="1">
      <alignment vertical="center" wrapText="1"/>
    </xf>
    <xf numFmtId="0" fontId="1" fillId="0" borderId="9" xfId="0" applyFont="1" applyBorder="1" applyAlignment="1">
      <alignment horizontal="left" vertical="center" indent="1"/>
    </xf>
    <xf numFmtId="0" fontId="1" fillId="0" borderId="10" xfId="0" applyFont="1" applyBorder="1" applyAlignment="1">
      <alignment horizontal="right" vertical="center" wrapText="1"/>
    </xf>
    <xf numFmtId="49" fontId="1" fillId="0" borderId="10" xfId="0" applyNumberFormat="1" applyFont="1" applyBorder="1" applyAlignment="1">
      <alignment horizontal="left" vertical="center" wrapText="1"/>
    </xf>
    <xf numFmtId="49" fontId="1" fillId="0" borderId="10" xfId="0" applyNumberFormat="1" applyFont="1" applyBorder="1" applyAlignment="1">
      <alignment vertical="center" wrapText="1"/>
    </xf>
    <xf numFmtId="0" fontId="0" fillId="0" borderId="10" xfId="0" applyBorder="1" applyAlignment="1">
      <alignment vertical="center" wrapText="1"/>
    </xf>
    <xf numFmtId="0" fontId="0" fillId="0" borderId="10" xfId="0" applyBorder="1" applyAlignment="1">
      <alignment vertical="center"/>
    </xf>
    <xf numFmtId="0" fontId="1" fillId="0" borderId="10" xfId="0" applyFont="1" applyBorder="1" applyAlignment="1">
      <alignment vertical="center"/>
    </xf>
    <xf numFmtId="0" fontId="0" fillId="0" borderId="11" xfId="0" applyBorder="1"/>
    <xf numFmtId="0" fontId="0" fillId="0" borderId="9" xfId="0" applyBorder="1" applyAlignment="1">
      <alignment horizontal="left" indent="1"/>
    </xf>
    <xf numFmtId="49" fontId="0" fillId="0" borderId="10" xfId="0" applyNumberFormat="1" applyBorder="1" applyAlignment="1">
      <alignment vertical="center" wrapText="1"/>
    </xf>
    <xf numFmtId="0" fontId="0" fillId="0" borderId="10" xfId="0" applyBorder="1"/>
    <xf numFmtId="0" fontId="0" fillId="0" borderId="10" xfId="0" applyBorder="1" applyAlignment="1">
      <alignment horizontal="right"/>
    </xf>
    <xf numFmtId="0" fontId="1" fillId="4" borderId="6" xfId="0" applyFont="1" applyFill="1" applyBorder="1" applyAlignment="1" applyProtection="1">
      <alignment horizontal="left" vertical="center"/>
      <protection locked="0"/>
    </xf>
    <xf numFmtId="0" fontId="1" fillId="4" borderId="0" xfId="0" applyFont="1" applyFill="1" applyAlignment="1" applyProtection="1">
      <alignment horizontal="left" vertical="center"/>
      <protection locked="0"/>
    </xf>
    <xf numFmtId="0" fontId="1" fillId="4" borderId="10" xfId="0" applyFont="1" applyFill="1" applyBorder="1" applyAlignment="1" applyProtection="1">
      <alignment horizontal="left" vertical="center" wrapText="1"/>
      <protection locked="0"/>
    </xf>
    <xf numFmtId="0" fontId="1" fillId="4" borderId="10" xfId="0" applyFont="1" applyFill="1" applyBorder="1" applyAlignment="1" applyProtection="1">
      <alignment horizontal="left" vertical="center"/>
      <protection locked="0"/>
    </xf>
    <xf numFmtId="0" fontId="0" fillId="4" borderId="10" xfId="0" applyFill="1" applyBorder="1" applyAlignment="1" applyProtection="1">
      <alignment horizontal="left" vertical="center"/>
      <protection locked="0"/>
    </xf>
    <xf numFmtId="0" fontId="0" fillId="0" borderId="10" xfId="0" applyBorder="1" applyAlignment="1">
      <alignment horizontal="right" vertical="center"/>
    </xf>
    <xf numFmtId="0" fontId="0" fillId="0" borderId="12" xfId="0" applyBorder="1" applyAlignment="1">
      <alignment horizontal="left" vertical="top" indent="1"/>
    </xf>
    <xf numFmtId="0" fontId="0" fillId="0" borderId="6" xfId="0" applyBorder="1" applyAlignment="1">
      <alignment vertical="top" wrapText="1"/>
    </xf>
    <xf numFmtId="0" fontId="1" fillId="0" borderId="6" xfId="0" applyFont="1" applyBorder="1" applyAlignment="1">
      <alignment horizontal="left" vertical="top" wrapText="1"/>
    </xf>
    <xf numFmtId="0" fontId="1" fillId="0" borderId="6" xfId="0" applyFont="1" applyBorder="1" applyAlignment="1">
      <alignment vertical="center" wrapText="1"/>
    </xf>
    <xf numFmtId="0" fontId="1" fillId="0" borderId="6" xfId="0" applyFont="1" applyBorder="1" applyAlignment="1">
      <alignment vertical="center"/>
    </xf>
    <xf numFmtId="0" fontId="0" fillId="0" borderId="6" xfId="0" applyBorder="1" applyAlignment="1">
      <alignment horizontal="right" vertical="center"/>
    </xf>
    <xf numFmtId="0" fontId="0" fillId="0" borderId="7" xfId="0" applyBorder="1"/>
    <xf numFmtId="0" fontId="0" fillId="0" borderId="10" xfId="0" applyBorder="1" applyAlignment="1">
      <alignment horizontal="left" wrapText="1"/>
    </xf>
    <xf numFmtId="0" fontId="0" fillId="0" borderId="10" xfId="0" applyBorder="1" applyAlignment="1">
      <alignment wrapText="1"/>
    </xf>
    <xf numFmtId="1" fontId="0" fillId="0" borderId="10" xfId="0" applyNumberFormat="1" applyBorder="1" applyAlignment="1">
      <alignment horizontal="right" indent="1"/>
    </xf>
    <xf numFmtId="0" fontId="0" fillId="0" borderId="10" xfId="0" applyBorder="1" applyAlignment="1">
      <alignment horizontal="right" indent="1"/>
    </xf>
    <xf numFmtId="0" fontId="0" fillId="0" borderId="11" xfId="0" applyBorder="1" applyAlignment="1">
      <alignment horizontal="right" indent="1"/>
    </xf>
    <xf numFmtId="49" fontId="0" fillId="0" borderId="5" xfId="0" applyNumberFormat="1" applyBorder="1"/>
    <xf numFmtId="0" fontId="0" fillId="0" borderId="13" xfId="0" applyBorder="1" applyAlignment="1">
      <alignment horizontal="left" vertical="center" indent="1"/>
    </xf>
    <xf numFmtId="0" fontId="0" fillId="0" borderId="14" xfId="0" applyBorder="1" applyAlignment="1">
      <alignment horizontal="left" vertical="center" wrapText="1"/>
    </xf>
    <xf numFmtId="0" fontId="0" fillId="0" borderId="14" xfId="0" applyBorder="1" applyAlignment="1">
      <alignment wrapText="1"/>
    </xf>
    <xf numFmtId="4" fontId="6" fillId="0" borderId="15" xfId="0" applyNumberFormat="1" applyFont="1" applyBorder="1" applyAlignment="1">
      <alignment horizontal="right" vertical="center" indent="1"/>
    </xf>
    <xf numFmtId="4" fontId="6" fillId="0" borderId="16" xfId="0" applyNumberFormat="1" applyFont="1" applyBorder="1" applyAlignment="1">
      <alignment horizontal="right" vertical="center" indent="1"/>
    </xf>
    <xf numFmtId="4" fontId="6" fillId="0" borderId="17" xfId="0" applyNumberFormat="1" applyFont="1" applyBorder="1" applyAlignment="1">
      <alignment horizontal="right" vertical="center" indent="1"/>
    </xf>
    <xf numFmtId="0" fontId="1" fillId="0" borderId="13" xfId="0" applyFont="1" applyBorder="1" applyAlignment="1">
      <alignment horizontal="left" vertical="center" indent="1"/>
    </xf>
    <xf numFmtId="0" fontId="1" fillId="0" borderId="14" xfId="0" applyFont="1" applyBorder="1" applyAlignment="1">
      <alignment horizontal="left" vertical="center" wrapText="1"/>
    </xf>
    <xf numFmtId="0" fontId="1" fillId="0" borderId="14" xfId="0" applyFont="1" applyBorder="1" applyAlignment="1">
      <alignment wrapText="1"/>
    </xf>
    <xf numFmtId="4" fontId="7" fillId="0" borderId="15" xfId="0" applyNumberFormat="1" applyFont="1" applyBorder="1" applyAlignment="1">
      <alignment horizontal="right" vertical="center" indent="1"/>
    </xf>
    <xf numFmtId="4" fontId="7" fillId="0" borderId="16" xfId="0" applyNumberFormat="1" applyFont="1" applyBorder="1" applyAlignment="1">
      <alignment horizontal="right" vertical="center" indent="1"/>
    </xf>
    <xf numFmtId="4" fontId="7" fillId="0" borderId="17" xfId="0" applyNumberFormat="1" applyFont="1" applyBorder="1" applyAlignment="1">
      <alignment horizontal="right" vertical="center" indent="1"/>
    </xf>
    <xf numFmtId="0" fontId="0" fillId="0" borderId="13" xfId="0" applyBorder="1" applyAlignment="1">
      <alignment horizontal="left" indent="1"/>
    </xf>
    <xf numFmtId="1" fontId="1" fillId="0" borderId="14" xfId="0" applyNumberFormat="1" applyFont="1" applyBorder="1" applyAlignment="1">
      <alignment horizontal="right" vertical="center" wrapText="1"/>
    </xf>
    <xf numFmtId="0" fontId="0" fillId="0" borderId="14" xfId="0" applyBorder="1" applyAlignment="1">
      <alignment horizontal="left" vertical="center" indent="1"/>
    </xf>
    <xf numFmtId="0" fontId="1" fillId="0" borderId="14" xfId="0" applyFont="1" applyBorder="1" applyAlignment="1">
      <alignment vertical="center"/>
    </xf>
    <xf numFmtId="49" fontId="0" fillId="0" borderId="17" xfId="0" applyNumberFormat="1" applyBorder="1" applyAlignment="1">
      <alignment horizontal="left" vertical="center"/>
    </xf>
    <xf numFmtId="1" fontId="1" fillId="0" borderId="15" xfId="0" applyNumberFormat="1" applyFont="1" applyBorder="1" applyAlignment="1">
      <alignment horizontal="right" vertical="center" wrapText="1"/>
    </xf>
    <xf numFmtId="4" fontId="7" fillId="0" borderId="15" xfId="0" applyNumberFormat="1" applyFont="1" applyBorder="1" applyAlignment="1">
      <alignment vertical="center"/>
    </xf>
    <xf numFmtId="4" fontId="7" fillId="0" borderId="14" xfId="0" applyNumberFormat="1" applyFont="1" applyBorder="1" applyAlignment="1">
      <alignment vertical="center"/>
    </xf>
    <xf numFmtId="4" fontId="7" fillId="0" borderId="15" xfId="0" applyNumberFormat="1" applyFont="1" applyBorder="1" applyAlignment="1">
      <alignment horizontal="right" vertical="center"/>
    </xf>
    <xf numFmtId="4" fontId="7" fillId="0" borderId="14" xfId="0" applyNumberFormat="1" applyFont="1" applyBorder="1" applyAlignment="1">
      <alignment horizontal="right" vertical="center"/>
    </xf>
    <xf numFmtId="0" fontId="0" fillId="0" borderId="9" xfId="0" applyBorder="1" applyAlignment="1">
      <alignment horizontal="left" vertical="center" indent="1"/>
    </xf>
    <xf numFmtId="0" fontId="0" fillId="0" borderId="10" xfId="0" applyBorder="1" applyAlignment="1">
      <alignment horizontal="left" vertical="center" wrapText="1"/>
    </xf>
    <xf numFmtId="1" fontId="1" fillId="0" borderId="18" xfId="0" applyNumberFormat="1" applyFont="1" applyBorder="1" applyAlignment="1">
      <alignment horizontal="right" vertical="center" wrapText="1"/>
    </xf>
    <xf numFmtId="0" fontId="0" fillId="0" borderId="10" xfId="0" applyBorder="1" applyAlignment="1">
      <alignment horizontal="left" vertical="center" indent="1"/>
    </xf>
    <xf numFmtId="4" fontId="7" fillId="0" borderId="18" xfId="0" applyNumberFormat="1" applyFont="1" applyBorder="1" applyAlignment="1">
      <alignment horizontal="right" vertical="center"/>
    </xf>
    <xf numFmtId="4" fontId="7" fillId="0" borderId="10" xfId="0" applyNumberFormat="1" applyFont="1" applyBorder="1" applyAlignment="1">
      <alignment horizontal="right" vertical="center"/>
    </xf>
    <xf numFmtId="49" fontId="0" fillId="0" borderId="11" xfId="0" applyNumberFormat="1" applyBorder="1" applyAlignment="1">
      <alignment horizontal="left" vertical="center"/>
    </xf>
    <xf numFmtId="0" fontId="0" fillId="0" borderId="0" xfId="0" applyAlignment="1">
      <alignment horizontal="left" vertical="center" wrapText="1"/>
    </xf>
    <xf numFmtId="1" fontId="0" fillId="0" borderId="0" xfId="0" applyNumberFormat="1" applyAlignment="1">
      <alignment horizontal="left" vertical="center" wrapText="1"/>
    </xf>
    <xf numFmtId="4" fontId="0" fillId="0" borderId="0" xfId="0" applyNumberFormat="1" applyAlignment="1">
      <alignment horizontal="left" vertical="center"/>
    </xf>
    <xf numFmtId="4" fontId="7" fillId="0" borderId="6" xfId="0" applyNumberFormat="1" applyFont="1" applyBorder="1" applyAlignment="1">
      <alignment horizontal="right" vertical="center"/>
    </xf>
    <xf numFmtId="49" fontId="0" fillId="0" borderId="8" xfId="0" applyNumberFormat="1" applyBorder="1" applyAlignment="1">
      <alignment horizontal="left" vertical="center"/>
    </xf>
    <xf numFmtId="0" fontId="5" fillId="3" borderId="19" xfId="0" applyFont="1" applyFill="1" applyBorder="1" applyAlignment="1">
      <alignment horizontal="left" vertical="center" indent="1"/>
    </xf>
    <xf numFmtId="0" fontId="1" fillId="3" borderId="20" xfId="0" applyFont="1" applyFill="1" applyBorder="1" applyAlignment="1">
      <alignment horizontal="left" vertical="center" wrapText="1"/>
    </xf>
    <xf numFmtId="0" fontId="0" fillId="3" borderId="20" xfId="0" applyFill="1" applyBorder="1" applyAlignment="1">
      <alignment horizontal="left" vertical="center" wrapText="1"/>
    </xf>
    <xf numFmtId="4" fontId="5" fillId="3" borderId="20" xfId="0" applyNumberFormat="1" applyFont="1" applyFill="1" applyBorder="1" applyAlignment="1">
      <alignment horizontal="left" vertical="center"/>
    </xf>
    <xf numFmtId="2" fontId="8" fillId="3" borderId="20" xfId="0" applyNumberFormat="1" applyFont="1" applyFill="1" applyBorder="1" applyAlignment="1">
      <alignment horizontal="right" vertical="center"/>
    </xf>
    <xf numFmtId="49" fontId="0" fillId="3" borderId="21" xfId="0" applyNumberFormat="1" applyFill="1" applyBorder="1" applyAlignment="1">
      <alignment horizontal="left" vertical="center"/>
    </xf>
    <xf numFmtId="0" fontId="0" fillId="3" borderId="20" xfId="0" applyFill="1" applyBorder="1" applyAlignment="1">
      <alignment wrapText="1"/>
    </xf>
    <xf numFmtId="0" fontId="0" fillId="3" borderId="20" xfId="0" applyFill="1" applyBorder="1"/>
    <xf numFmtId="4" fontId="8" fillId="3" borderId="20" xfId="0" applyNumberFormat="1" applyFont="1" applyFill="1" applyBorder="1" applyAlignment="1">
      <alignment horizontal="right" vertical="center"/>
    </xf>
    <xf numFmtId="49" fontId="1" fillId="3" borderId="21" xfId="0" applyNumberFormat="1" applyFont="1" applyFill="1" applyBorder="1" applyAlignment="1">
      <alignment horizontal="left" vertical="center"/>
    </xf>
    <xf numFmtId="0" fontId="0" fillId="0" borderId="8" xfId="0" applyBorder="1" applyAlignment="1">
      <alignment horizontal="right"/>
    </xf>
    <xf numFmtId="0" fontId="0" fillId="0" borderId="5" xfId="0" applyBorder="1" applyAlignment="1">
      <alignment horizontal="right"/>
    </xf>
    <xf numFmtId="0" fontId="0" fillId="0" borderId="0" xfId="0" applyAlignment="1">
      <alignment horizontal="center" vertical="center" wrapText="1"/>
    </xf>
    <xf numFmtId="0" fontId="1" fillId="0" borderId="10" xfId="0" applyFont="1" applyBorder="1" applyAlignment="1">
      <alignment vertical="top" wrapText="1"/>
    </xf>
    <xf numFmtId="0" fontId="0" fillId="0" borderId="0" xfId="0" applyAlignment="1">
      <alignment horizontal="center" vertical="center"/>
    </xf>
    <xf numFmtId="0" fontId="1" fillId="0" borderId="10" xfId="0" applyFont="1" applyBorder="1" applyAlignment="1">
      <alignment vertical="top"/>
    </xf>
    <xf numFmtId="14" fontId="1" fillId="0" borderId="10" xfId="0" applyNumberFormat="1" applyFont="1" applyBorder="1" applyAlignment="1">
      <alignment horizontal="center" vertical="top"/>
    </xf>
    <xf numFmtId="0" fontId="1" fillId="0" borderId="5" xfId="0" applyFont="1" applyBorder="1"/>
    <xf numFmtId="0" fontId="1" fillId="0" borderId="0" xfId="0" applyFont="1" applyAlignment="1">
      <alignment wrapText="1"/>
    </xf>
    <xf numFmtId="0" fontId="1" fillId="0" borderId="10" xfId="0" applyFont="1" applyBorder="1" applyAlignment="1">
      <alignment horizontal="center" vertical="center" wrapText="1"/>
    </xf>
    <xf numFmtId="0" fontId="0" fillId="0" borderId="10" xfId="0" applyBorder="1" applyAlignment="1">
      <alignment horizontal="center" vertical="center" wrapText="1"/>
    </xf>
    <xf numFmtId="0" fontId="1" fillId="0" borderId="10" xfId="0" applyFont="1" applyBorder="1" applyAlignment="1">
      <alignment horizontal="center" vertical="center"/>
    </xf>
    <xf numFmtId="0" fontId="0" fillId="0" borderId="10" xfId="0" applyBorder="1" applyAlignment="1">
      <alignment horizontal="center" vertical="center"/>
    </xf>
    <xf numFmtId="0" fontId="1" fillId="0" borderId="8" xfId="0" applyFont="1" applyBorder="1" applyAlignment="1">
      <alignment horizontal="right"/>
    </xf>
    <xf numFmtId="0" fontId="0" fillId="0" borderId="6" xfId="0" applyBorder="1" applyAlignment="1">
      <alignment horizontal="center" wrapText="1"/>
    </xf>
    <xf numFmtId="0" fontId="0" fillId="0" borderId="0" xfId="0" applyAlignment="1">
      <alignment horizontal="center"/>
    </xf>
    <xf numFmtId="0" fontId="0" fillId="0" borderId="22" xfId="0" applyBorder="1"/>
    <xf numFmtId="0" fontId="0" fillId="0" borderId="23" xfId="0" applyBorder="1" applyAlignment="1">
      <alignment wrapText="1"/>
    </xf>
    <xf numFmtId="0" fontId="0" fillId="0" borderId="23" xfId="0" applyBorder="1"/>
    <xf numFmtId="0" fontId="0" fillId="0" borderId="24" xfId="0" applyBorder="1" applyAlignment="1">
      <alignment horizontal="right"/>
    </xf>
    <xf numFmtId="0" fontId="5" fillId="0" borderId="0" xfId="0" applyFont="1" applyAlignment="1">
      <alignment horizontal="left" vertical="center"/>
    </xf>
    <xf numFmtId="0" fontId="3" fillId="0" borderId="0" xfId="0" applyFont="1" applyAlignment="1">
      <alignment horizontal="center" vertical="center" wrapText="1"/>
    </xf>
    <xf numFmtId="0" fontId="3" fillId="0" borderId="0" xfId="0" applyFont="1" applyAlignment="1">
      <alignment horizontal="center" vertical="center" shrinkToFit="1"/>
    </xf>
    <xf numFmtId="0" fontId="3" fillId="0" borderId="0" xfId="0" applyFont="1" applyAlignment="1">
      <alignment horizontal="center" vertical="center"/>
    </xf>
    <xf numFmtId="4" fontId="0" fillId="0" borderId="25" xfId="0" applyNumberFormat="1" applyBorder="1"/>
    <xf numFmtId="4" fontId="2" fillId="5" borderId="26" xfId="0" applyNumberFormat="1" applyFont="1" applyFill="1" applyBorder="1" applyAlignment="1">
      <alignment vertical="center"/>
    </xf>
    <xf numFmtId="4" fontId="2" fillId="5" borderId="27" xfId="0" applyNumberFormat="1" applyFont="1" applyFill="1" applyBorder="1" applyAlignment="1">
      <alignment vertical="center" wrapText="1"/>
    </xf>
    <xf numFmtId="4" fontId="9" fillId="5" borderId="28" xfId="0" applyNumberFormat="1" applyFont="1" applyFill="1" applyBorder="1" applyAlignment="1">
      <alignment horizontal="center" vertical="center" wrapText="1" shrinkToFit="1"/>
    </xf>
    <xf numFmtId="4" fontId="2" fillId="5" borderId="28" xfId="0" applyNumberFormat="1" applyFont="1" applyFill="1" applyBorder="1" applyAlignment="1">
      <alignment horizontal="center" vertical="center" wrapText="1" shrinkToFit="1"/>
    </xf>
    <xf numFmtId="3" fontId="2" fillId="5" borderId="28" xfId="0" applyNumberFormat="1" applyFont="1" applyFill="1" applyBorder="1" applyAlignment="1">
      <alignment horizontal="center" vertical="center" wrapText="1"/>
    </xf>
    <xf numFmtId="4" fontId="0" fillId="0" borderId="29" xfId="0" applyNumberFormat="1" applyBorder="1" applyAlignment="1">
      <alignment vertical="center"/>
    </xf>
    <xf numFmtId="4" fontId="0" fillId="0" borderId="30" xfId="0" applyNumberFormat="1" applyBorder="1" applyAlignment="1">
      <alignment vertical="center" wrapText="1"/>
    </xf>
    <xf numFmtId="4" fontId="2" fillId="0" borderId="31" xfId="0" applyNumberFormat="1" applyFont="1" applyBorder="1" applyAlignment="1">
      <alignment horizontal="right" vertical="center" wrapText="1" shrinkToFit="1"/>
    </xf>
    <xf numFmtId="4" fontId="2" fillId="0" borderId="31" xfId="0" applyNumberFormat="1" applyFont="1" applyBorder="1" applyAlignment="1">
      <alignment horizontal="right" vertical="center" shrinkToFit="1"/>
    </xf>
    <xf numFmtId="4" fontId="0" fillId="0" borderId="31" xfId="0" applyNumberFormat="1" applyBorder="1" applyAlignment="1">
      <alignment vertical="center" shrinkToFit="1"/>
    </xf>
    <xf numFmtId="3" fontId="0" fillId="0" borderId="31" xfId="0" applyNumberFormat="1" applyBorder="1" applyAlignment="1">
      <alignment vertical="center"/>
    </xf>
    <xf numFmtId="4" fontId="1" fillId="0" borderId="29" xfId="0" applyNumberFormat="1" applyFont="1" applyBorder="1" applyAlignment="1">
      <alignment vertical="center"/>
    </xf>
    <xf numFmtId="4" fontId="1" fillId="0" borderId="30" xfId="0" applyNumberFormat="1" applyFont="1" applyBorder="1" applyAlignment="1">
      <alignment vertical="center" wrapText="1"/>
    </xf>
    <xf numFmtId="4" fontId="1" fillId="0" borderId="31" xfId="0" applyNumberFormat="1" applyFont="1" applyBorder="1" applyAlignment="1">
      <alignment vertical="center" wrapText="1" shrinkToFit="1"/>
    </xf>
    <xf numFmtId="4" fontId="1" fillId="0" borderId="31" xfId="0" applyNumberFormat="1" applyFont="1" applyBorder="1" applyAlignment="1">
      <alignment vertical="center" shrinkToFit="1"/>
    </xf>
    <xf numFmtId="3" fontId="1" fillId="0" borderId="31" xfId="0" applyNumberFormat="1" applyFont="1" applyBorder="1" applyAlignment="1">
      <alignment vertical="center"/>
    </xf>
    <xf numFmtId="4" fontId="0" fillId="0" borderId="29" xfId="0" applyNumberFormat="1" applyBorder="1" applyAlignment="1">
      <alignment horizontal="left" vertical="center"/>
    </xf>
    <xf numFmtId="4" fontId="0" fillId="0" borderId="31" xfId="0" applyNumberFormat="1" applyBorder="1" applyAlignment="1">
      <alignment vertical="center" wrapText="1" shrinkToFit="1"/>
    </xf>
    <xf numFmtId="4" fontId="0" fillId="3" borderId="32" xfId="0" applyNumberFormat="1" applyFill="1" applyBorder="1" applyAlignment="1">
      <alignment vertical="center"/>
    </xf>
    <xf numFmtId="4" fontId="0" fillId="3" borderId="33" xfId="0" applyNumberFormat="1" applyFill="1" applyBorder="1" applyAlignment="1">
      <alignment vertical="center"/>
    </xf>
    <xf numFmtId="4" fontId="0" fillId="3" borderId="34" xfId="0" applyNumberFormat="1" applyFill="1" applyBorder="1" applyAlignment="1">
      <alignment vertical="center"/>
    </xf>
    <xf numFmtId="4" fontId="0" fillId="3" borderId="35" xfId="0" applyNumberFormat="1" applyFill="1" applyBorder="1" applyAlignment="1">
      <alignment vertical="center" wrapText="1" shrinkToFit="1"/>
    </xf>
    <xf numFmtId="4" fontId="0" fillId="3" borderId="35" xfId="0" applyNumberFormat="1" applyFill="1" applyBorder="1" applyAlignment="1">
      <alignment vertical="center" shrinkToFit="1"/>
    </xf>
    <xf numFmtId="3" fontId="0" fillId="3" borderId="35" xfId="0" applyNumberFormat="1" applyFill="1" applyBorder="1" applyAlignment="1">
      <alignment vertical="center"/>
    </xf>
    <xf numFmtId="0" fontId="0" fillId="0" borderId="0" xfId="0" applyNumberFormat="1" applyAlignment="1">
      <alignment wrapText="1"/>
    </xf>
    <xf numFmtId="0" fontId="10" fillId="0" borderId="0" xfId="0" applyNumberFormat="1" applyFont="1" applyAlignment="1">
      <alignment wrapText="1"/>
    </xf>
    <xf numFmtId="0" fontId="5" fillId="0" borderId="0" xfId="0" applyFont="1"/>
    <xf numFmtId="0" fontId="11" fillId="0" borderId="25" xfId="0" applyFont="1" applyBorder="1" applyAlignment="1">
      <alignment horizontal="center" vertical="center" wrapText="1"/>
    </xf>
    <xf numFmtId="0" fontId="11" fillId="5" borderId="26"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2" fillId="0" borderId="25" xfId="0" applyFont="1" applyBorder="1" applyAlignment="1">
      <alignment vertical="center"/>
    </xf>
    <xf numFmtId="49" fontId="2" fillId="0" borderId="29" xfId="0" applyNumberFormat="1" applyFont="1" applyBorder="1" applyAlignment="1">
      <alignment vertical="center"/>
    </xf>
    <xf numFmtId="49" fontId="2" fillId="0" borderId="29" xfId="0" applyNumberFormat="1" applyFont="1" applyBorder="1" applyAlignment="1">
      <alignment vertical="center" wrapText="1"/>
    </xf>
    <xf numFmtId="49" fontId="2" fillId="0" borderId="30" xfId="0" applyNumberFormat="1" applyFont="1" applyBorder="1" applyAlignment="1">
      <alignment vertical="center" wrapText="1"/>
    </xf>
    <xf numFmtId="4" fontId="2" fillId="0" borderId="31" xfId="0" applyNumberFormat="1" applyFont="1" applyBorder="1" applyAlignment="1">
      <alignment horizontal="center" vertical="center"/>
    </xf>
    <xf numFmtId="4" fontId="2" fillId="0" borderId="31" xfId="0" applyNumberFormat="1" applyFont="1" applyBorder="1" applyAlignment="1">
      <alignment vertical="center"/>
    </xf>
    <xf numFmtId="164" fontId="2" fillId="0" borderId="31" xfId="0" applyNumberFormat="1" applyFont="1" applyBorder="1" applyAlignment="1">
      <alignment vertical="center"/>
    </xf>
    <xf numFmtId="0" fontId="2" fillId="0" borderId="25" xfId="0" applyFont="1" applyBorder="1"/>
    <xf numFmtId="0" fontId="2" fillId="3" borderId="32" xfId="0" applyFont="1" applyFill="1" applyBorder="1" applyAlignment="1">
      <alignment vertical="center"/>
    </xf>
    <xf numFmtId="0" fontId="2" fillId="3" borderId="32" xfId="0" applyFont="1" applyFill="1" applyBorder="1" applyAlignment="1">
      <alignment vertical="center" wrapText="1"/>
    </xf>
    <xf numFmtId="0" fontId="2" fillId="3" borderId="33" xfId="0" applyFont="1" applyFill="1" applyBorder="1" applyAlignment="1">
      <alignment vertical="center" wrapText="1"/>
    </xf>
    <xf numFmtId="4" fontId="2" fillId="3" borderId="35" xfId="0" applyNumberFormat="1" applyFont="1" applyFill="1" applyBorder="1" applyAlignment="1">
      <alignment horizontal="center" vertical="center"/>
    </xf>
    <xf numFmtId="4" fontId="2" fillId="3" borderId="35" xfId="0" applyNumberFormat="1" applyFont="1" applyFill="1" applyBorder="1" applyAlignment="1">
      <alignment vertical="center"/>
    </xf>
    <xf numFmtId="164" fontId="2" fillId="3" borderId="35" xfId="0" applyNumberFormat="1" applyFont="1" applyFill="1" applyBorder="1" applyAlignment="1">
      <alignment vertical="center"/>
    </xf>
    <xf numFmtId="4" fontId="0" fillId="0" borderId="0" xfId="0" applyNumberFormat="1"/>
    <xf numFmtId="164" fontId="0" fillId="0" borderId="0" xfId="0" applyNumberFormat="1"/>
    <xf numFmtId="0" fontId="0" fillId="0" borderId="0" xfId="0" applyAlignment="1">
      <alignment vertical="top"/>
    </xf>
    <xf numFmtId="0" fontId="0" fillId="0" borderId="0" xfId="0" applyAlignment="1">
      <alignment vertical="top" wrapText="1"/>
    </xf>
    <xf numFmtId="0" fontId="5" fillId="0" borderId="0" xfId="0" applyFont="1" applyAlignment="1">
      <alignment horizontal="center" vertical="top"/>
    </xf>
    <xf numFmtId="0" fontId="5" fillId="0" borderId="0" xfId="0" applyFont="1" applyAlignment="1">
      <alignment horizontal="center" vertical="top" wrapText="1"/>
    </xf>
    <xf numFmtId="0" fontId="0" fillId="0" borderId="36" xfId="0" applyBorder="1" applyAlignment="1">
      <alignment vertical="center"/>
    </xf>
    <xf numFmtId="49" fontId="0" fillId="0" borderId="14" xfId="0" applyNumberFormat="1" applyBorder="1" applyAlignment="1">
      <alignment vertical="center"/>
    </xf>
    <xf numFmtId="49" fontId="0" fillId="0" borderId="14" xfId="0" applyNumberFormat="1" applyBorder="1" applyAlignment="1">
      <alignment vertical="center" shrinkToFit="1"/>
    </xf>
    <xf numFmtId="49" fontId="0" fillId="0" borderId="16" xfId="0" applyNumberFormat="1" applyBorder="1" applyAlignment="1">
      <alignment vertical="center" shrinkToFit="1"/>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horizontal="center" vertical="top"/>
    </xf>
    <xf numFmtId="49" fontId="0" fillId="0" borderId="0" xfId="0" applyNumberFormat="1"/>
    <xf numFmtId="0" fontId="5" fillId="0" borderId="0" xfId="0" applyFont="1" applyAlignment="1">
      <alignment horizontal="center"/>
    </xf>
    <xf numFmtId="0" fontId="12" fillId="0" borderId="36" xfId="0" applyFont="1" applyBorder="1" applyAlignment="1">
      <alignment vertical="center"/>
    </xf>
    <xf numFmtId="0" fontId="0" fillId="0" borderId="14" xfId="0" applyBorder="1" applyAlignment="1">
      <alignment vertical="center"/>
    </xf>
    <xf numFmtId="0" fontId="0" fillId="0" borderId="16" xfId="0" applyBorder="1" applyAlignment="1">
      <alignment vertical="center"/>
    </xf>
    <xf numFmtId="0" fontId="12" fillId="3" borderId="36" xfId="0" applyFont="1" applyFill="1" applyBorder="1" applyAlignment="1">
      <alignment vertical="center"/>
    </xf>
    <xf numFmtId="49" fontId="0" fillId="3" borderId="14" xfId="0" applyNumberFormat="1" applyFill="1" applyBorder="1" applyAlignment="1">
      <alignment vertical="center"/>
    </xf>
    <xf numFmtId="0" fontId="0" fillId="3" borderId="14" xfId="0" applyFill="1" applyBorder="1" applyAlignment="1">
      <alignment vertical="center"/>
    </xf>
    <xf numFmtId="0" fontId="0" fillId="3" borderId="16" xfId="0" applyFill="1" applyBorder="1" applyAlignment="1">
      <alignment vertical="center"/>
    </xf>
    <xf numFmtId="0" fontId="0" fillId="5" borderId="36" xfId="0" applyFill="1" applyBorder="1"/>
    <xf numFmtId="49" fontId="0" fillId="5" borderId="36" xfId="0" applyNumberFormat="1" applyFill="1" applyBorder="1"/>
    <xf numFmtId="0" fontId="0" fillId="5" borderId="36" xfId="0" applyFill="1" applyBorder="1" applyAlignment="1">
      <alignment horizontal="center"/>
    </xf>
    <xf numFmtId="0" fontId="0" fillId="5" borderId="15" xfId="0" applyFill="1" applyBorder="1"/>
    <xf numFmtId="0" fontId="0" fillId="5" borderId="36" xfId="0" applyFill="1" applyBorder="1" applyAlignment="1">
      <alignment wrapText="1"/>
    </xf>
    <xf numFmtId="165" fontId="0" fillId="0" borderId="0" xfId="0" applyNumberFormat="1" applyAlignment="1">
      <alignment vertical="top"/>
    </xf>
    <xf numFmtId="4" fontId="0" fillId="0" borderId="0" xfId="0" applyNumberFormat="1" applyAlignment="1">
      <alignment vertical="top"/>
    </xf>
    <xf numFmtId="0" fontId="1" fillId="3" borderId="37" xfId="0" applyFont="1" applyFill="1" applyBorder="1" applyAlignment="1">
      <alignment vertical="top"/>
    </xf>
    <xf numFmtId="49" fontId="1" fillId="3" borderId="6" xfId="0" applyNumberFormat="1" applyFont="1" applyFill="1" applyBorder="1" applyAlignment="1">
      <alignment vertical="top"/>
    </xf>
    <xf numFmtId="49" fontId="1" fillId="3" borderId="6" xfId="0" applyNumberFormat="1" applyFont="1" applyFill="1" applyBorder="1" applyAlignment="1">
      <alignment horizontal="left" vertical="top" wrapText="1"/>
    </xf>
    <xf numFmtId="0" fontId="1" fillId="3" borderId="6" xfId="0" applyFont="1" applyFill="1" applyBorder="1" applyAlignment="1">
      <alignment horizontal="center" vertical="top" shrinkToFit="1"/>
    </xf>
    <xf numFmtId="165" fontId="1" fillId="3" borderId="6" xfId="0" applyNumberFormat="1" applyFont="1" applyFill="1" applyBorder="1" applyAlignment="1">
      <alignment vertical="top" shrinkToFit="1"/>
    </xf>
    <xf numFmtId="4" fontId="1" fillId="3" borderId="6" xfId="0" applyNumberFormat="1" applyFont="1" applyFill="1" applyBorder="1" applyAlignment="1">
      <alignment vertical="top" shrinkToFit="1"/>
    </xf>
    <xf numFmtId="4" fontId="1" fillId="3" borderId="38" xfId="0" applyNumberFormat="1" applyFont="1" applyFill="1" applyBorder="1" applyAlignment="1">
      <alignment vertical="top" shrinkToFit="1"/>
    </xf>
    <xf numFmtId="4" fontId="1" fillId="3" borderId="0" xfId="0" applyNumberFormat="1" applyFont="1" applyFill="1" applyBorder="1" applyAlignment="1">
      <alignment vertical="top" shrinkToFit="1"/>
    </xf>
    <xf numFmtId="165" fontId="1" fillId="3" borderId="0" xfId="0" applyNumberFormat="1" applyFont="1" applyFill="1" applyBorder="1" applyAlignment="1">
      <alignment vertical="top" shrinkToFit="1"/>
    </xf>
    <xf numFmtId="0" fontId="13" fillId="0" borderId="39" xfId="0" applyFont="1" applyBorder="1" applyAlignment="1">
      <alignment vertical="top"/>
    </xf>
    <xf numFmtId="49" fontId="13" fillId="0" borderId="40" xfId="0" applyNumberFormat="1" applyFont="1" applyBorder="1" applyAlignment="1">
      <alignment vertical="top"/>
    </xf>
    <xf numFmtId="49" fontId="13" fillId="0" borderId="40" xfId="0" applyNumberFormat="1" applyFont="1" applyBorder="1" applyAlignment="1">
      <alignment horizontal="left" vertical="top" wrapText="1"/>
    </xf>
    <xf numFmtId="0" fontId="13" fillId="0" borderId="40" xfId="0" applyFont="1" applyBorder="1" applyAlignment="1">
      <alignment horizontal="center" vertical="top" shrinkToFit="1"/>
    </xf>
    <xf numFmtId="165" fontId="13" fillId="0" borderId="40" xfId="0" applyNumberFormat="1" applyFont="1" applyBorder="1" applyAlignment="1">
      <alignment vertical="top" shrinkToFit="1"/>
    </xf>
    <xf numFmtId="4" fontId="13" fillId="4" borderId="40" xfId="0" applyNumberFormat="1" applyFont="1" applyFill="1" applyBorder="1" applyAlignment="1" applyProtection="1">
      <alignment vertical="top" shrinkToFit="1"/>
      <protection locked="0"/>
    </xf>
    <xf numFmtId="4" fontId="13" fillId="0" borderId="41" xfId="0" applyNumberFormat="1" applyFont="1" applyBorder="1" applyAlignment="1">
      <alignment vertical="top" shrinkToFit="1"/>
    </xf>
    <xf numFmtId="4" fontId="13" fillId="4" borderId="0" xfId="0" applyNumberFormat="1" applyFont="1" applyFill="1" applyBorder="1" applyAlignment="1" applyProtection="1">
      <alignment vertical="top" shrinkToFit="1"/>
      <protection locked="0"/>
    </xf>
    <xf numFmtId="4" fontId="13" fillId="0" borderId="0" xfId="0" applyNumberFormat="1" applyFont="1" applyBorder="1" applyAlignment="1">
      <alignment vertical="top" shrinkToFit="1"/>
    </xf>
    <xf numFmtId="165" fontId="13" fillId="0" borderId="0" xfId="0" applyNumberFormat="1" applyFont="1" applyBorder="1" applyAlignment="1">
      <alignment vertical="top" shrinkToFit="1"/>
    </xf>
    <xf numFmtId="0" fontId="13" fillId="0" borderId="0" xfId="0" applyFont="1"/>
    <xf numFmtId="0" fontId="13" fillId="0" borderId="0" xfId="0" applyFont="1" applyBorder="1" applyAlignment="1">
      <alignment vertical="top"/>
    </xf>
    <xf numFmtId="49" fontId="13" fillId="0" borderId="0" xfId="0" applyNumberFormat="1" applyFont="1" applyBorder="1" applyAlignment="1">
      <alignment vertical="top"/>
    </xf>
    <xf numFmtId="0" fontId="14" fillId="0" borderId="6" xfId="0" applyNumberFormat="1" applyFont="1" applyBorder="1" applyAlignment="1">
      <alignment horizontal="left" vertical="top" wrapText="1"/>
    </xf>
    <xf numFmtId="0" fontId="14" fillId="0" borderId="6" xfId="0" applyNumberFormat="1" applyFont="1" applyBorder="1" applyAlignment="1">
      <alignment vertical="top" wrapText="1"/>
    </xf>
    <xf numFmtId="0" fontId="14" fillId="0" borderId="0" xfId="0" applyNumberFormat="1" applyFont="1" applyBorder="1" applyAlignment="1">
      <alignment horizontal="left" vertical="top" wrapText="1"/>
    </xf>
    <xf numFmtId="0" fontId="14" fillId="0" borderId="0" xfId="0" applyNumberFormat="1" applyFont="1" applyBorder="1" applyAlignment="1">
      <alignment vertical="top" wrapText="1"/>
    </xf>
    <xf numFmtId="165" fontId="15" fillId="0" borderId="0" xfId="0" quotePrefix="1" applyNumberFormat="1" applyFont="1" applyBorder="1" applyAlignment="1">
      <alignment horizontal="left" vertical="top" wrapText="1"/>
    </xf>
    <xf numFmtId="165" fontId="15" fillId="0" borderId="0" xfId="0" applyNumberFormat="1" applyFont="1" applyBorder="1" applyAlignment="1">
      <alignment horizontal="center" vertical="top" wrapText="1" shrinkToFit="1"/>
    </xf>
    <xf numFmtId="165" fontId="15" fillId="0" borderId="0" xfId="0" applyNumberFormat="1" applyFont="1" applyBorder="1" applyAlignment="1">
      <alignment vertical="top" wrapText="1" shrinkToFit="1"/>
    </xf>
    <xf numFmtId="0" fontId="16" fillId="0" borderId="0" xfId="0" applyNumberFormat="1" applyFont="1" applyAlignment="1">
      <alignment wrapText="1"/>
    </xf>
    <xf numFmtId="0" fontId="13" fillId="0" borderId="42" xfId="0" applyFont="1" applyBorder="1" applyAlignment="1">
      <alignment vertical="top"/>
    </xf>
    <xf numFmtId="49" fontId="13" fillId="0" borderId="43" xfId="0" applyNumberFormat="1" applyFont="1" applyBorder="1" applyAlignment="1">
      <alignment vertical="top"/>
    </xf>
    <xf numFmtId="49" fontId="13" fillId="0" borderId="43" xfId="0" applyNumberFormat="1" applyFont="1" applyBorder="1" applyAlignment="1">
      <alignment horizontal="left" vertical="top" wrapText="1"/>
    </xf>
    <xf numFmtId="0" fontId="13" fillId="0" borderId="43" xfId="0" applyFont="1" applyBorder="1" applyAlignment="1">
      <alignment horizontal="center" vertical="top" shrinkToFit="1"/>
    </xf>
    <xf numFmtId="165" fontId="13" fillId="0" borderId="43" xfId="0" applyNumberFormat="1" applyFont="1" applyBorder="1" applyAlignment="1">
      <alignment vertical="top" shrinkToFit="1"/>
    </xf>
    <xf numFmtId="4" fontId="13" fillId="4" borderId="43" xfId="0" applyNumberFormat="1" applyFont="1" applyFill="1" applyBorder="1" applyAlignment="1" applyProtection="1">
      <alignment vertical="top" shrinkToFit="1"/>
      <protection locked="0"/>
    </xf>
    <xf numFmtId="4" fontId="13" fillId="0" borderId="44" xfId="0" applyNumberFormat="1" applyFont="1" applyBorder="1" applyAlignment="1">
      <alignment vertical="top" shrinkToFit="1"/>
    </xf>
    <xf numFmtId="49" fontId="0" fillId="0" borderId="0" xfId="0" applyNumberFormat="1" applyAlignment="1">
      <alignment horizontal="left" vertical="top" wrapText="1"/>
    </xf>
    <xf numFmtId="0" fontId="1" fillId="3" borderId="15" xfId="0" applyFont="1" applyFill="1" applyBorder="1" applyAlignment="1">
      <alignment vertical="top"/>
    </xf>
    <xf numFmtId="49" fontId="1" fillId="3" borderId="14" xfId="0" applyNumberFormat="1" applyFont="1" applyFill="1" applyBorder="1" applyAlignment="1">
      <alignment vertical="top"/>
    </xf>
    <xf numFmtId="49" fontId="1" fillId="3" borderId="14" xfId="0" applyNumberFormat="1" applyFont="1" applyFill="1" applyBorder="1" applyAlignment="1">
      <alignment horizontal="left" vertical="top" wrapText="1"/>
    </xf>
    <xf numFmtId="0" fontId="1" fillId="3" borderId="14" xfId="0" applyFont="1" applyFill="1" applyBorder="1" applyAlignment="1">
      <alignment horizontal="center" vertical="top"/>
    </xf>
    <xf numFmtId="0" fontId="1" fillId="3" borderId="14" xfId="0" applyFont="1" applyFill="1" applyBorder="1" applyAlignment="1">
      <alignment vertical="top"/>
    </xf>
    <xf numFmtId="4" fontId="1" fillId="3" borderId="16" xfId="0" applyNumberFormat="1" applyFont="1" applyFill="1" applyBorder="1" applyAlignment="1">
      <alignment vertical="top" shrinkToFit="1"/>
    </xf>
    <xf numFmtId="0" fontId="0" fillId="0" borderId="0" xfId="0" applyAlignment="1">
      <alignment horizontal="left" vertical="top" wrapText="1"/>
    </xf>
    <xf numFmtId="0" fontId="0" fillId="4" borderId="37" xfId="0" applyFill="1" applyBorder="1" applyAlignment="1" applyProtection="1">
      <alignment vertical="top" wrapText="1"/>
      <protection locked="0"/>
    </xf>
    <xf numFmtId="0" fontId="0" fillId="4" borderId="6" xfId="0" applyFill="1" applyBorder="1" applyAlignment="1" applyProtection="1">
      <alignment vertical="top" wrapText="1"/>
      <protection locked="0"/>
    </xf>
    <xf numFmtId="0" fontId="0" fillId="4" borderId="6" xfId="0" applyFill="1" applyBorder="1" applyAlignment="1" applyProtection="1">
      <alignment horizontal="left" vertical="top" wrapText="1"/>
      <protection locked="0"/>
    </xf>
    <xf numFmtId="0" fontId="0" fillId="4" borderId="38" xfId="0" applyFill="1" applyBorder="1" applyAlignment="1" applyProtection="1">
      <alignment vertical="top" wrapText="1"/>
      <protection locked="0"/>
    </xf>
    <xf numFmtId="0" fontId="0" fillId="4" borderId="25" xfId="0" applyFill="1" applyBorder="1" applyAlignment="1" applyProtection="1">
      <alignment vertical="top" wrapText="1"/>
      <protection locked="0"/>
    </xf>
    <xf numFmtId="0" fontId="0" fillId="4" borderId="0" xfId="0" applyFill="1" applyBorder="1" applyAlignment="1" applyProtection="1">
      <alignment vertical="top" wrapText="1"/>
      <protection locked="0"/>
    </xf>
    <xf numFmtId="0" fontId="0" fillId="4" borderId="0" xfId="0" applyFill="1" applyBorder="1" applyAlignment="1" applyProtection="1">
      <alignment horizontal="left" vertical="top" wrapText="1"/>
      <protection locked="0"/>
    </xf>
    <xf numFmtId="0" fontId="0" fillId="4" borderId="45" xfId="0" applyFill="1" applyBorder="1" applyAlignment="1" applyProtection="1">
      <alignment vertical="top" wrapText="1"/>
      <protection locked="0"/>
    </xf>
    <xf numFmtId="0" fontId="0" fillId="4" borderId="18" xfId="0" applyFill="1" applyBorder="1" applyAlignment="1" applyProtection="1">
      <alignment vertical="top" wrapText="1"/>
      <protection locked="0"/>
    </xf>
    <xf numFmtId="0" fontId="0" fillId="4" borderId="10" xfId="0" applyFill="1" applyBorder="1" applyAlignment="1" applyProtection="1">
      <alignment vertical="top" wrapText="1"/>
      <protection locked="0"/>
    </xf>
    <xf numFmtId="0" fontId="0" fillId="4" borderId="10" xfId="0" applyFill="1" applyBorder="1" applyAlignment="1" applyProtection="1">
      <alignment horizontal="left" vertical="top" wrapText="1"/>
      <protection locked="0"/>
    </xf>
    <xf numFmtId="0" fontId="0" fillId="4" borderId="46" xfId="0" applyFill="1" applyBorder="1" applyAlignment="1" applyProtection="1">
      <alignment vertical="top" wrapText="1"/>
      <protection locked="0"/>
    </xf>
    <xf numFmtId="49" fontId="0" fillId="0" borderId="0" xfId="0" applyNumberFormat="1" applyAlignment="1">
      <alignment horizontal="left" wrapText="1"/>
    </xf>
    <xf numFmtId="49" fontId="14" fillId="0" borderId="0" xfId="0" applyNumberFormat="1" applyFont="1" applyBorder="1" applyAlignment="1">
      <alignment horizontal="left" vertical="top" wrapText="1"/>
    </xf>
    <xf numFmtId="0" fontId="14" fillId="0" borderId="0" xfId="0" applyFont="1" applyBorder="1" applyAlignment="1">
      <alignment horizontal="center" vertical="top" shrinkToFit="1"/>
    </xf>
    <xf numFmtId="165" fontId="14" fillId="0" borderId="0" xfId="0" applyNumberFormat="1" applyFont="1" applyBorder="1" applyAlignment="1">
      <alignment vertical="top" shrinkToFit="1"/>
    </xf>
    <xf numFmtId="4" fontId="14" fillId="0" borderId="0" xfId="0" applyNumberFormat="1" applyFont="1" applyBorder="1" applyAlignment="1">
      <alignment vertical="top" shrinkToFit="1"/>
    </xf>
    <xf numFmtId="165" fontId="17" fillId="0" borderId="0" xfId="0" quotePrefix="1" applyNumberFormat="1" applyFont="1" applyBorder="1" applyAlignment="1">
      <alignment horizontal="left" vertical="top" wrapText="1"/>
    </xf>
    <xf numFmtId="165" fontId="17" fillId="0" borderId="0" xfId="0" applyNumberFormat="1" applyFont="1" applyBorder="1" applyAlignment="1">
      <alignment horizontal="center" vertical="top" wrapText="1" shrinkToFit="1"/>
    </xf>
    <xf numFmtId="165" fontId="17" fillId="0" borderId="0" xfId="0" applyNumberFormat="1" applyFont="1" applyBorder="1" applyAlignment="1">
      <alignment vertical="top" wrapText="1" shrinkToFit="1"/>
    </xf>
    <xf numFmtId="49" fontId="13" fillId="0" borderId="0" xfId="0" applyNumberFormat="1" applyFont="1" applyBorder="1" applyAlignment="1">
      <alignment horizontal="left" vertical="top" wrapText="1"/>
    </xf>
    <xf numFmtId="0" fontId="13" fillId="0" borderId="0" xfId="0" applyFont="1" applyBorder="1" applyAlignment="1">
      <alignment horizontal="center" vertical="top" shrinkToFit="1"/>
    </xf>
    <xf numFmtId="165" fontId="13" fillId="4" borderId="0" xfId="0" applyNumberFormat="1" applyFont="1" applyFill="1" applyBorder="1" applyAlignment="1" applyProtection="1">
      <alignment vertical="top" shrinkToFit="1"/>
      <protection locked="0"/>
    </xf>
    <xf numFmtId="0" fontId="0" fillId="0" borderId="6" xfId="0" applyBorder="1" applyAlignment="1">
      <alignment vertical="top"/>
    </xf>
  </cellXfs>
  <cellStyles count="2">
    <cellStyle name="Normal" xfId="0" builtinId="0" customBuiltin="1"/>
    <cellStyle name="normální 2" xfId="1"/>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styles" Target="styles.xml" /><Relationship Id="rId9" Type="http://schemas.openxmlformats.org/officeDocument/2006/relationships/theme" Target="theme/theme1.xml" /><Relationship Id="rId10" Type="http://schemas.openxmlformats.org/officeDocument/2006/relationships/calcChain" Target="calcChain.xml" /><Relationship Id="rId11"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_rels/sheet2.xml.rels>&#65279;<?xml version="1.0" encoding="utf-8"?><Relationships xmlns="http://schemas.openxmlformats.org/package/2006/relationships"><Relationship Id="rId1" Type="http://schemas.openxmlformats.org/officeDocument/2006/relationships/printerSettings" Target="../printerSettings/printerSettings2.bin" /><Relationship Id="rId2" Type="http://schemas.openxmlformats.org/officeDocument/2006/relationships/vmlDrawing" Target="../drawings/vmlDrawing1.vml" /><Relationship Id="rId3" Type="http://schemas.openxmlformats.org/officeDocument/2006/relationships/comments" Target="../comments1.xml" /></Relationships>
</file>

<file path=xl/worksheets/_rels/sheet3.xml.rels>&#65279;<?xml version="1.0" encoding="utf-8"?><Relationships xmlns="http://schemas.openxmlformats.org/package/2006/relationships"><Relationship Id="rId1" Type="http://schemas.openxmlformats.org/officeDocument/2006/relationships/printerSettings" Target="../printerSettings/printerSettings3.bin" /></Relationships>
</file>

<file path=xl/worksheets/_rels/sheet4.xml.rels>&#65279;<?xml version="1.0" encoding="utf-8"?><Relationships xmlns="http://schemas.openxmlformats.org/package/2006/relationships"><Relationship Id="rId1" Type="http://schemas.openxmlformats.org/officeDocument/2006/relationships/printerSettings" Target="../printerSettings/printerSettings4.bin" /><Relationship Id="rId2" Type="http://schemas.openxmlformats.org/officeDocument/2006/relationships/vmlDrawing" Target="../drawings/vmlDrawing2.vml" /><Relationship Id="rId3" Type="http://schemas.openxmlformats.org/officeDocument/2006/relationships/comments" Target="../comments2.xml" /></Relationships>
</file>

<file path=xl/worksheets/_rels/sheet5.xml.rels>&#65279;<?xml version="1.0" encoding="utf-8"?><Relationships xmlns="http://schemas.openxmlformats.org/package/2006/relationships"><Relationship Id="rId1" Type="http://schemas.openxmlformats.org/officeDocument/2006/relationships/printerSettings" Target="../printerSettings/printerSettings5.bin" /><Relationship Id="rId2" Type="http://schemas.openxmlformats.org/officeDocument/2006/relationships/vmlDrawing" Target="../drawings/vmlDrawing3.vml" /><Relationship Id="rId3" Type="http://schemas.openxmlformats.org/officeDocument/2006/relationships/comments" Target="../comments3.xml" /></Relationships>
</file>

<file path=xl/worksheets/_rels/sheet6.xml.rels>&#65279;<?xml version="1.0" encoding="utf-8"?><Relationships xmlns="http://schemas.openxmlformats.org/package/2006/relationships"><Relationship Id="rId1" Type="http://schemas.openxmlformats.org/officeDocument/2006/relationships/printerSettings" Target="../printerSettings/printerSettings6.bin" /><Relationship Id="rId2" Type="http://schemas.openxmlformats.org/officeDocument/2006/relationships/vmlDrawing" Target="../drawings/vmlDrawing4.vml" /><Relationship Id="rId3" Type="http://schemas.openxmlformats.org/officeDocument/2006/relationships/comments" Target="../comments4.xml" /></Relationships>
</file>

<file path=xl/worksheets/_rels/sheet7.xml.rels>&#65279;<?xml version="1.0" encoding="utf-8"?><Relationships xmlns="http://schemas.openxmlformats.org/package/2006/relationships"><Relationship Id="rId1" Type="http://schemas.openxmlformats.org/officeDocument/2006/relationships/printerSettings" Target="../printerSettings/printerSettings7.bin" /><Relationship Id="rId2" Type="http://schemas.openxmlformats.org/officeDocument/2006/relationships/vmlDrawing" Target="../drawings/vmlDrawing5.vml" /><Relationship Id="rId3" Type="http://schemas.openxmlformats.org/officeDocument/2006/relationships/comments" Target="../comments5.xml" /></Relationships>
</file>

<file path=xl/worksheets/sheet1.xml><?xml version="1.0" encoding="utf-8"?>
<worksheet xmlns:r="http://schemas.openxmlformats.org/officeDocument/2006/relationships" xmlns="http://schemas.openxmlformats.org/spreadsheetml/2006/main">
  <sheetPr codeName="List1"/>
  <sheetViews>
    <sheetView tabSelected="1" workbookViewId="0"/>
  </sheetViews>
  <sheetFormatPr defaultRowHeight="12.75"/>
  <sheetData>
    <row r="1">
      <c r="A1" s="1" t="s">
        <v>0</v>
      </c>
    </row>
    <row r="2" ht="57.75" customHeight="1">
      <c r="A2" s="2" t="s">
        <v>1</v>
      </c>
      <c r="B2" s="2"/>
      <c r="C2" s="2"/>
      <c r="D2" s="2"/>
      <c r="E2" s="2"/>
      <c r="F2" s="2"/>
      <c r="G2" s="2"/>
    </row>
  </sheetData>
  <sheetProtection sheet="1" formatRows="0" spinCount="100000" saltValue="FBnStTXSgXPoyihR0bzB7w==" hashValue="vWdmmeW5sLinjU+N0J3C5NqVyoMLm2m4dp7SlReJ3xYX3J2tn5LEAP/EsURWxLxTxwHH7hXQ8gDeVegqW9Y4dw==" algorithmName="SHA-512"/>
  <mergeCells count="1">
    <mergeCell ref="A2:G2"/>
  </mergeCells>
  <pageMargins left="0.7" right="0.7" top="0.7875" bottom="0.7875" header="0.3" footer="0.3"/>
  <pageSetup r:id="rId1" paperSize="9" orientation="portrait"/>
</worksheet>
</file>

<file path=xl/worksheets/sheet2.xml><?xml version="1.0" encoding="utf-8"?>
<worksheet xmlns:r="http://schemas.openxmlformats.org/officeDocument/2006/relationships" xmlns="http://schemas.openxmlformats.org/spreadsheetml/2006/main">
  <sheetPr codeName="List5112">
    <tabColor rgb="FF66FF66"/>
  </sheetPr>
  <sheetViews>
    <sheetView showGridLines="0" zoomScaleNormal="100" zoomScaleSheetLayoutView="75" workbookViewId="0" topLeftCell="B1">
      <selection activeCell="A28" sqref="A28"/>
    </sheetView>
  </sheetViews>
  <sheetFormatPr defaultColWidth="9.121094" defaultRowHeight="12.75"/>
  <cols>
    <col min="1" max="1" width="8.542969" hidden="1" customWidth="1"/>
    <col min="2" max="2" width="13.54297" customWidth="1"/>
    <col min="3" max="3" width="7.542969" style="3" customWidth="1"/>
    <col min="4" max="4" width="13.12109" style="3" customWidth="1"/>
    <col min="5" max="5" width="9.832031" style="3" customWidth="1"/>
    <col min="6" max="6" width="11.83203" customWidth="1"/>
    <col min="7" max="9" width="13.12109" customWidth="1"/>
    <col min="10" max="10" width="5.691406" customWidth="1"/>
    <col min="11" max="11" width="4.402344" customWidth="1"/>
    <col min="12" max="15" width="10.83203" customWidth="1"/>
    <col min="52" max="52" width="94.69141" customWidth="1"/>
  </cols>
  <sheetData>
    <row r="1" ht="33.75" customHeight="1">
      <c r="A1" s="4" t="s">
        <v>2</v>
      </c>
      <c r="B1" s="5" t="s">
        <v>3</v>
      </c>
      <c r="C1" s="6"/>
      <c r="D1" s="6"/>
      <c r="E1" s="6"/>
      <c r="F1" s="6"/>
      <c r="G1" s="6"/>
      <c r="H1" s="6"/>
      <c r="I1" s="6"/>
      <c r="J1" s="7"/>
    </row>
    <row r="2" ht="36" customHeight="1">
      <c r="A2" s="8"/>
      <c r="B2" s="9" t="s">
        <v>4</v>
      </c>
      <c r="C2" s="10"/>
      <c r="D2" s="11" t="s">
        <v>5</v>
      </c>
      <c r="E2" s="12" t="s">
        <v>6</v>
      </c>
      <c r="F2" s="13"/>
      <c r="G2" s="13"/>
      <c r="H2" s="13"/>
      <c r="I2" s="13"/>
      <c r="J2" s="14"/>
      <c r="O2" s="15"/>
    </row>
    <row r="3" hidden="1" ht="27" customHeight="1">
      <c r="A3" s="8"/>
      <c r="B3" s="16"/>
      <c r="C3" s="10"/>
      <c r="D3" s="17"/>
      <c r="E3" s="17"/>
      <c r="F3" s="10"/>
      <c r="G3" s="10"/>
      <c r="H3" s="10"/>
      <c r="I3" s="10"/>
      <c r="J3" s="18"/>
    </row>
    <row r="4" ht="23.25" customHeight="1">
      <c r="A4" s="8"/>
      <c r="B4" s="19"/>
      <c r="C4" s="20"/>
      <c r="D4" s="21"/>
      <c r="E4" s="21"/>
      <c r="F4" s="21"/>
      <c r="G4" s="21"/>
      <c r="H4" s="21"/>
      <c r="I4" s="21"/>
      <c r="J4" s="22"/>
    </row>
    <row r="5" ht="24" customHeight="1">
      <c r="A5" s="8"/>
      <c r="B5" s="23" t="s">
        <v>7</v>
      </c>
      <c r="D5" s="24" t="s">
        <v>8</v>
      </c>
      <c r="E5" s="25"/>
      <c r="F5" s="25"/>
      <c r="G5" s="25"/>
      <c r="H5" s="26" t="s">
        <v>9</v>
      </c>
      <c r="I5" s="27" t="s">
        <v>10</v>
      </c>
      <c r="J5" s="28"/>
    </row>
    <row r="6" ht="15.75" customHeight="1">
      <c r="A6" s="8"/>
      <c r="B6" s="29"/>
      <c r="C6" s="30"/>
      <c r="D6" s="31" t="s">
        <v>11</v>
      </c>
      <c r="E6" s="32"/>
      <c r="F6" s="32"/>
      <c r="G6" s="32"/>
      <c r="H6" s="26" t="s">
        <v>12</v>
      </c>
      <c r="I6" s="27" t="s">
        <v>13</v>
      </c>
      <c r="J6" s="28"/>
    </row>
    <row r="7" ht="15.75" customHeight="1">
      <c r="A7" s="8"/>
      <c r="B7" s="33"/>
      <c r="C7" s="34"/>
      <c r="D7" s="35" t="s">
        <v>14</v>
      </c>
      <c r="E7" s="36" t="s">
        <v>15</v>
      </c>
      <c r="F7" s="37"/>
      <c r="G7" s="37"/>
      <c r="H7" s="38"/>
      <c r="I7" s="39"/>
      <c r="J7" s="40"/>
    </row>
    <row r="8" hidden="1" ht="24" customHeight="1">
      <c r="A8" s="8"/>
      <c r="B8" s="23" t="s">
        <v>16</v>
      </c>
      <c r="D8" s="31" t="s">
        <v>17</v>
      </c>
      <c r="H8" s="26" t="s">
        <v>9</v>
      </c>
      <c r="I8" s="27" t="s">
        <v>18</v>
      </c>
      <c r="J8" s="28"/>
    </row>
    <row r="9" hidden="1" ht="15.75" customHeight="1">
      <c r="A9" s="8"/>
      <c r="B9" s="8"/>
      <c r="D9" s="31" t="s">
        <v>19</v>
      </c>
      <c r="H9" s="26" t="s">
        <v>12</v>
      </c>
      <c r="I9" s="27" t="s">
        <v>20</v>
      </c>
      <c r="J9" s="28"/>
    </row>
    <row r="10" hidden="1" ht="15.75" customHeight="1">
      <c r="A10" s="8"/>
      <c r="B10" s="41"/>
      <c r="C10" s="34"/>
      <c r="D10" s="35" t="s">
        <v>21</v>
      </c>
      <c r="E10" s="42" t="s">
        <v>22</v>
      </c>
      <c r="F10" s="38"/>
      <c r="G10" s="43"/>
      <c r="H10" s="43"/>
      <c r="I10" s="44"/>
      <c r="J10" s="40"/>
    </row>
    <row r="11" ht="24" customHeight="1">
      <c r="A11" s="8"/>
      <c r="B11" s="23" t="s">
        <v>23</v>
      </c>
      <c r="D11" s="45"/>
      <c r="E11" s="45"/>
      <c r="F11" s="45"/>
      <c r="G11" s="45"/>
      <c r="H11" s="26" t="s">
        <v>9</v>
      </c>
      <c r="I11" s="46"/>
      <c r="J11" s="28"/>
    </row>
    <row r="12" ht="15.75" customHeight="1">
      <c r="A12" s="8"/>
      <c r="B12" s="29"/>
      <c r="C12" s="30"/>
      <c r="D12" s="46"/>
      <c r="E12" s="46"/>
      <c r="F12" s="46"/>
      <c r="G12" s="46"/>
      <c r="H12" s="26" t="s">
        <v>12</v>
      </c>
      <c r="I12" s="46"/>
      <c r="J12" s="28"/>
    </row>
    <row r="13" ht="15.75" customHeight="1">
      <c r="A13" s="8"/>
      <c r="B13" s="33"/>
      <c r="C13" s="34"/>
      <c r="D13" s="47"/>
      <c r="E13" s="48"/>
      <c r="F13" s="49"/>
      <c r="G13" s="49"/>
      <c r="H13" s="50"/>
      <c r="I13" s="39"/>
      <c r="J13" s="40"/>
    </row>
    <row r="14" ht="24" customHeight="1">
      <c r="A14" s="8"/>
      <c r="B14" s="51" t="s">
        <v>24</v>
      </c>
      <c r="C14" s="52"/>
      <c r="D14" s="53"/>
      <c r="E14" s="54"/>
      <c r="F14" s="55"/>
      <c r="G14" s="55"/>
      <c r="H14" s="56"/>
      <c r="I14" s="55"/>
      <c r="J14" s="57"/>
    </row>
    <row r="15" ht="32.25" customHeight="1">
      <c r="A15" s="8"/>
      <c r="B15" s="41" t="s">
        <v>25</v>
      </c>
      <c r="C15" s="58"/>
      <c r="D15" s="59"/>
      <c r="E15" s="60"/>
      <c r="F15" s="60"/>
      <c r="G15" s="61"/>
      <c r="H15" s="61"/>
      <c r="I15" s="61" t="s">
        <v>26</v>
      </c>
      <c r="J15" s="62"/>
    </row>
    <row r="16" ht="23.25" customHeight="1">
      <c r="A16" s="63" t="s">
        <v>27</v>
      </c>
      <c r="B16" s="64" t="s">
        <v>27</v>
      </c>
      <c r="C16" s="65"/>
      <c r="D16" s="66"/>
      <c r="E16" s="67"/>
      <c r="F16" s="68"/>
      <c r="G16" s="67"/>
      <c r="H16" s="68"/>
      <c r="I16" s="67">
        <f>SUMIF(F133:F157,A16,I133:I157)+SUMIF(F133:F157,"PSU",I133:I157)</f>
        <v>0</v>
      </c>
      <c r="J16" s="69"/>
    </row>
    <row r="17" ht="23.25" customHeight="1">
      <c r="A17" s="63" t="s">
        <v>28</v>
      </c>
      <c r="B17" s="64" t="s">
        <v>28</v>
      </c>
      <c r="C17" s="65"/>
      <c r="D17" s="66"/>
      <c r="E17" s="67"/>
      <c r="F17" s="68"/>
      <c r="G17" s="67"/>
      <c r="H17" s="68"/>
      <c r="I17" s="67">
        <f>SUMIF(F133:F157,A17,I133:I157)</f>
        <v>0</v>
      </c>
      <c r="J17" s="69"/>
    </row>
    <row r="18" ht="23.25" customHeight="1">
      <c r="A18" s="63" t="s">
        <v>29</v>
      </c>
      <c r="B18" s="64" t="s">
        <v>29</v>
      </c>
      <c r="C18" s="65"/>
      <c r="D18" s="66"/>
      <c r="E18" s="67"/>
      <c r="F18" s="68"/>
      <c r="G18" s="67"/>
      <c r="H18" s="68"/>
      <c r="I18" s="67">
        <f>SUMIF(F133:F157,A18,I133:I157)</f>
        <v>0</v>
      </c>
      <c r="J18" s="69"/>
    </row>
    <row r="19" ht="23.25" customHeight="1">
      <c r="A19" s="63" t="s">
        <v>30</v>
      </c>
      <c r="B19" s="64" t="s">
        <v>31</v>
      </c>
      <c r="C19" s="65"/>
      <c r="D19" s="66"/>
      <c r="E19" s="67"/>
      <c r="F19" s="68"/>
      <c r="G19" s="67"/>
      <c r="H19" s="68"/>
      <c r="I19" s="67">
        <f>SUMIF(F133:F157,A19,I133:I157)</f>
        <v>0</v>
      </c>
      <c r="J19" s="69"/>
    </row>
    <row r="20" ht="23.25" customHeight="1">
      <c r="A20" s="63" t="s">
        <v>32</v>
      </c>
      <c r="B20" s="64" t="s">
        <v>33</v>
      </c>
      <c r="C20" s="65"/>
      <c r="D20" s="66"/>
      <c r="E20" s="67"/>
      <c r="F20" s="68"/>
      <c r="G20" s="67"/>
      <c r="H20" s="68"/>
      <c r="I20" s="67">
        <f>SUMIF(F133:F157,A20,I133:I157)</f>
        <v>0</v>
      </c>
      <c r="J20" s="69"/>
    </row>
    <row r="21" ht="23.25" customHeight="1">
      <c r="A21" s="8"/>
      <c r="B21" s="70" t="s">
        <v>26</v>
      </c>
      <c r="C21" s="71"/>
      <c r="D21" s="72"/>
      <c r="E21" s="73"/>
      <c r="F21" s="74"/>
      <c r="G21" s="73"/>
      <c r="H21" s="74"/>
      <c r="I21" s="73">
        <f>SUM(I16:J20)</f>
        <v>0</v>
      </c>
      <c r="J21" s="75"/>
    </row>
    <row r="22" ht="33" customHeight="1">
      <c r="A22" s="8"/>
      <c r="B22" s="76" t="s">
        <v>34</v>
      </c>
      <c r="C22" s="65"/>
      <c r="D22" s="66"/>
      <c r="E22" s="77"/>
      <c r="F22" s="78"/>
      <c r="G22" s="79"/>
      <c r="H22" s="79"/>
      <c r="I22" s="79"/>
      <c r="J22" s="80"/>
    </row>
    <row r="23" ht="23.25" customHeight="1">
      <c r="A23" s="8">
        <f>ZakladDPHSni*SazbaDPH1/100</f>
        <v>0</v>
      </c>
      <c r="B23" s="64" t="s">
        <v>35</v>
      </c>
      <c r="C23" s="65"/>
      <c r="D23" s="66"/>
      <c r="E23" s="81">
        <v>12</v>
      </c>
      <c r="F23" s="78" t="s">
        <v>36</v>
      </c>
      <c r="G23" s="82">
        <f>ZakladDPHSniVypocet</f>
        <v>0</v>
      </c>
      <c r="H23" s="83"/>
      <c r="I23" s="83"/>
      <c r="J23" s="80" t="str">
        <f t="shared" ref="J23:J28" si="0">Mena</f>
        <v>CZK</v>
      </c>
    </row>
    <row r="24" ht="23.25" customHeight="1">
      <c r="A24" s="8">
        <f>(A23-INT(A23))*100</f>
        <v>0</v>
      </c>
      <c r="B24" s="64" t="s">
        <v>38</v>
      </c>
      <c r="C24" s="65"/>
      <c r="D24" s="66"/>
      <c r="E24" s="81">
        <f>SazbaDPH1</f>
        <v>12</v>
      </c>
      <c r="F24" s="78" t="s">
        <v>36</v>
      </c>
      <c r="G24" s="84">
        <f>A23</f>
        <v>0</v>
      </c>
      <c r="H24" s="85"/>
      <c r="I24" s="85"/>
      <c r="J24" s="80" t="str">
        <f t="shared" si="0"/>
        <v>CZK</v>
      </c>
    </row>
    <row r="25" ht="23.25" customHeight="1">
      <c r="A25" s="8">
        <f>ZakladDPHZakl*SazbaDPH2/100</f>
        <v>0</v>
      </c>
      <c r="B25" s="64" t="s">
        <v>39</v>
      </c>
      <c r="C25" s="65"/>
      <c r="D25" s="66"/>
      <c r="E25" s="81">
        <v>21</v>
      </c>
      <c r="F25" s="78" t="s">
        <v>36</v>
      </c>
      <c r="G25" s="82">
        <f>ZakladDPHZaklVypocet</f>
        <v>0</v>
      </c>
      <c r="H25" s="83"/>
      <c r="I25" s="83"/>
      <c r="J25" s="80" t="str">
        <f t="shared" si="0"/>
        <v>CZK</v>
      </c>
    </row>
    <row r="26" ht="23.25" customHeight="1">
      <c r="A26" s="8">
        <f>(A25-INT(A25))*100</f>
        <v>0</v>
      </c>
      <c r="B26" s="86" t="s">
        <v>40</v>
      </c>
      <c r="C26" s="87"/>
      <c r="D26" s="59"/>
      <c r="E26" s="88">
        <f>SazbaDPH2</f>
        <v>21</v>
      </c>
      <c r="F26" s="89" t="s">
        <v>36</v>
      </c>
      <c r="G26" s="90">
        <f>A25</f>
        <v>0</v>
      </c>
      <c r="H26" s="91"/>
      <c r="I26" s="91"/>
      <c r="J26" s="92" t="str">
        <f t="shared" si="0"/>
        <v>CZK</v>
      </c>
    </row>
    <row r="27" thickBot="1" ht="23.25" customHeight="1">
      <c r="A27" s="8">
        <f>ZakladDPHSni+DPHSni+ZakladDPHZakl+DPHZakl</f>
        <v>0</v>
      </c>
      <c r="B27" s="23" t="s">
        <v>41</v>
      </c>
      <c r="C27" s="93"/>
      <c r="D27" s="94"/>
      <c r="E27" s="93"/>
      <c r="F27" s="95"/>
      <c r="G27" s="96">
        <f>CenaCelkem-(ZakladDPHSni+DPHSni+ZakladDPHZakl+DPHZakl)</f>
        <v>0</v>
      </c>
      <c r="H27" s="96"/>
      <c r="I27" s="96"/>
      <c r="J27" s="97" t="str">
        <f t="shared" si="0"/>
        <v>CZK</v>
      </c>
    </row>
    <row r="28" hidden="1" thickBot="1" ht="27.75" customHeight="1">
      <c r="A28" s="8"/>
      <c r="B28" s="98" t="s">
        <v>42</v>
      </c>
      <c r="C28" s="99"/>
      <c r="D28" s="99"/>
      <c r="E28" s="100"/>
      <c r="F28" s="101"/>
      <c r="G28" s="102">
        <f>ZakladDPHSniVypocet+ZakladDPHZaklVypocet</f>
        <v>0</v>
      </c>
      <c r="H28" s="102"/>
      <c r="I28" s="102"/>
      <c r="J28" s="103" t="str">
        <f t="shared" si="0"/>
        <v>CZK</v>
      </c>
    </row>
    <row r="29" thickBot="1" ht="27.75" customHeight="1">
      <c r="A29" s="8">
        <f>(A27-INT(A27))*100</f>
        <v>0</v>
      </c>
      <c r="B29" s="98" t="s">
        <v>43</v>
      </c>
      <c r="C29" s="104"/>
      <c r="D29" s="104"/>
      <c r="E29" s="104"/>
      <c r="F29" s="105"/>
      <c r="G29" s="106">
        <f>A27</f>
        <v>0</v>
      </c>
      <c r="H29" s="106"/>
      <c r="I29" s="106"/>
      <c r="J29" s="107" t="s">
        <v>37</v>
      </c>
    </row>
    <row r="30" ht="12.75" customHeight="1">
      <c r="A30" s="8"/>
      <c r="B30" s="8"/>
      <c r="J30" s="108"/>
    </row>
    <row r="31" ht="30" customHeight="1">
      <c r="A31" s="8"/>
      <c r="B31" s="8"/>
      <c r="J31" s="108"/>
    </row>
    <row r="32" ht="18.75" customHeight="1">
      <c r="A32" s="8"/>
      <c r="B32" s="109"/>
      <c r="C32" s="110" t="s">
        <v>44</v>
      </c>
      <c r="D32" s="111"/>
      <c r="E32" s="111"/>
      <c r="F32" s="112" t="s">
        <v>45</v>
      </c>
      <c r="G32" s="113"/>
      <c r="H32" s="114"/>
      <c r="I32" s="113"/>
      <c r="J32" s="108"/>
    </row>
    <row r="33" ht="47.25" customHeight="1">
      <c r="A33" s="8"/>
      <c r="B33" s="8"/>
      <c r="J33" s="108"/>
    </row>
    <row r="34" s="1" customFormat="1" ht="18.75" customHeight="1">
      <c r="A34" s="115"/>
      <c r="B34" s="115"/>
      <c r="C34" s="116"/>
      <c r="D34" s="117"/>
      <c r="E34" s="118"/>
      <c r="G34" s="119"/>
      <c r="H34" s="120"/>
      <c r="I34" s="120"/>
      <c r="J34" s="121"/>
    </row>
    <row r="35" ht="12.75" customHeight="1">
      <c r="A35" s="8"/>
      <c r="B35" s="8"/>
      <c r="D35" s="122" t="s">
        <v>46</v>
      </c>
      <c r="E35" s="122"/>
      <c r="H35" s="123" t="s">
        <v>47</v>
      </c>
      <c r="J35" s="108"/>
    </row>
    <row r="36" thickBot="1" ht="13.5" customHeight="1">
      <c r="A36" s="124"/>
      <c r="B36" s="124"/>
      <c r="C36" s="125"/>
      <c r="D36" s="125"/>
      <c r="E36" s="125"/>
      <c r="F36" s="126"/>
      <c r="G36" s="126"/>
      <c r="H36" s="126"/>
      <c r="I36" s="126"/>
      <c r="J36" s="127"/>
    </row>
    <row r="37" ht="27" customHeight="1">
      <c r="B37" s="128" t="s">
        <v>48</v>
      </c>
      <c r="C37" s="129"/>
      <c r="D37" s="129"/>
      <c r="E37" s="129"/>
      <c r="F37" s="130"/>
      <c r="G37" s="130"/>
      <c r="H37" s="130"/>
      <c r="I37" s="130"/>
      <c r="J37" s="131"/>
    </row>
    <row r="38" ht="25.5" customHeight="1">
      <c r="A38" s="132" t="s">
        <v>49</v>
      </c>
      <c r="B38" s="133" t="s">
        <v>50</v>
      </c>
      <c r="C38" s="134" t="s">
        <v>51</v>
      </c>
      <c r="D38" s="134"/>
      <c r="E38" s="134"/>
      <c r="F38" s="135" t="str">
        <f>B23</f>
        <v>Základ pro sníženou DPH</v>
      </c>
      <c r="G38" s="135" t="str">
        <f>B25</f>
        <v>Základ pro základní DPH</v>
      </c>
      <c r="H38" s="136" t="s">
        <v>52</v>
      </c>
      <c r="I38" s="136" t="s">
        <v>53</v>
      </c>
      <c r="J38" s="137" t="s">
        <v>36</v>
      </c>
    </row>
    <row r="39" hidden="1" ht="25.5" customHeight="1">
      <c r="A39" s="132">
        <v>1</v>
      </c>
      <c r="B39" s="138" t="s">
        <v>54</v>
      </c>
      <c r="C39" s="139"/>
      <c r="D39" s="139"/>
      <c r="E39" s="139"/>
      <c r="F39" s="140">
        <f>'SO01 01 Pol'!AE178+'SO02 01 Pol'!AE267+'SO02 02 Pol'!AE105+'SO03 01 Naklady'!AE36</f>
        <v>0</v>
      </c>
      <c r="G39" s="141">
        <f>'SO01 01 Pol'!AF178+'SO02 01 Pol'!AF267+'SO02 02 Pol'!AF105+'SO03 01 Naklady'!AF36</f>
        <v>0</v>
      </c>
      <c r="H39" s="142">
        <f>(F39*SazbaDPH1/100)+(G39*SazbaDPH2/100)</f>
        <v>0</v>
      </c>
      <c r="I39" s="142">
        <f>F39+G39+H39</f>
        <v>0</v>
      </c>
      <c r="J39" s="143" t="str">
        <f>IF(CenaCelkemVypocet=0,"",I39/CenaCelkemVypocet*100)</f>
        <v/>
      </c>
    </row>
    <row r="40" ht="25.5" customHeight="1">
      <c r="A40" s="132">
        <v>2</v>
      </c>
      <c r="B40" s="144" t="s">
        <v>55</v>
      </c>
      <c r="C40" s="145" t="s">
        <v>56</v>
      </c>
      <c r="D40" s="145"/>
      <c r="E40" s="145"/>
      <c r="F40" s="146">
        <f>'SO01 01 Pol'!AE178</f>
        <v>0</v>
      </c>
      <c r="G40" s="147">
        <f>'SO01 01 Pol'!AF178</f>
        <v>0</v>
      </c>
      <c r="H40" s="147">
        <f>(F40*SazbaDPH1/100)+(G40*SazbaDPH2/100)</f>
        <v>0</v>
      </c>
      <c r="I40" s="147">
        <f>F40+G40+H40</f>
        <v>0</v>
      </c>
      <c r="J40" s="148" t="str">
        <f>IF(CenaCelkemVypocet=0,"",I40/CenaCelkemVypocet*100)</f>
        <v/>
      </c>
    </row>
    <row r="41" ht="25.5" customHeight="1">
      <c r="A41" s="132">
        <v>3</v>
      </c>
      <c r="B41" s="149" t="s">
        <v>57</v>
      </c>
      <c r="C41" s="139" t="s">
        <v>58</v>
      </c>
      <c r="D41" s="139"/>
      <c r="E41" s="139"/>
      <c r="F41" s="150">
        <f>'SO01 01 Pol'!AE178</f>
        <v>0</v>
      </c>
      <c r="G41" s="142">
        <f>'SO01 01 Pol'!AF178</f>
        <v>0</v>
      </c>
      <c r="H41" s="142">
        <f>(F41*SazbaDPH1/100)+(G41*SazbaDPH2/100)</f>
        <v>0</v>
      </c>
      <c r="I41" s="142">
        <f>F41+G41+H41</f>
        <v>0</v>
      </c>
      <c r="J41" s="143" t="str">
        <f>IF(CenaCelkemVypocet=0,"",I41/CenaCelkemVypocet*100)</f>
        <v/>
      </c>
    </row>
    <row r="42" ht="25.5" customHeight="1">
      <c r="A42" s="132">
        <v>2</v>
      </c>
      <c r="B42" s="144" t="s">
        <v>59</v>
      </c>
      <c r="C42" s="145" t="s">
        <v>60</v>
      </c>
      <c r="D42" s="145"/>
      <c r="E42" s="145"/>
      <c r="F42" s="146">
        <f>'SO02 01 Pol'!AE267+'SO02 02 Pol'!AE105</f>
        <v>0</v>
      </c>
      <c r="G42" s="147">
        <f>'SO02 01 Pol'!AF267+'SO02 02 Pol'!AF105</f>
        <v>0</v>
      </c>
      <c r="H42" s="147">
        <f>(F42*SazbaDPH1/100)+(G42*SazbaDPH2/100)</f>
        <v>0</v>
      </c>
      <c r="I42" s="147">
        <f>F42+G42+H42</f>
        <v>0</v>
      </c>
      <c r="J42" s="148" t="str">
        <f>IF(CenaCelkemVypocet=0,"",I42/CenaCelkemVypocet*100)</f>
        <v/>
      </c>
    </row>
    <row r="43" ht="25.5" customHeight="1">
      <c r="A43" s="132">
        <v>3</v>
      </c>
      <c r="B43" s="149" t="s">
        <v>57</v>
      </c>
      <c r="C43" s="139" t="s">
        <v>61</v>
      </c>
      <c r="D43" s="139"/>
      <c r="E43" s="139"/>
      <c r="F43" s="150">
        <f>'SO02 01 Pol'!AE267</f>
        <v>0</v>
      </c>
      <c r="G43" s="142">
        <f>'SO02 01 Pol'!AF267</f>
        <v>0</v>
      </c>
      <c r="H43" s="142">
        <f>(F43*SazbaDPH1/100)+(G43*SazbaDPH2/100)</f>
        <v>0</v>
      </c>
      <c r="I43" s="142">
        <f>F43+G43+H43</f>
        <v>0</v>
      </c>
      <c r="J43" s="143" t="str">
        <f>IF(CenaCelkemVypocet=0,"",I43/CenaCelkemVypocet*100)</f>
        <v/>
      </c>
    </row>
    <row r="44" ht="25.5" customHeight="1">
      <c r="A44" s="132">
        <v>3</v>
      </c>
      <c r="B44" s="149" t="s">
        <v>62</v>
      </c>
      <c r="C44" s="139" t="s">
        <v>63</v>
      </c>
      <c r="D44" s="139"/>
      <c r="E44" s="139"/>
      <c r="F44" s="150">
        <f>'SO02 02 Pol'!AE105</f>
        <v>0</v>
      </c>
      <c r="G44" s="142">
        <f>'SO02 02 Pol'!AF105</f>
        <v>0</v>
      </c>
      <c r="H44" s="142">
        <f>(F44*SazbaDPH1/100)+(G44*SazbaDPH2/100)</f>
        <v>0</v>
      </c>
      <c r="I44" s="142">
        <f>F44+G44+H44</f>
        <v>0</v>
      </c>
      <c r="J44" s="143" t="str">
        <f>IF(CenaCelkemVypocet=0,"",I44/CenaCelkemVypocet*100)</f>
        <v/>
      </c>
    </row>
    <row r="45" ht="25.5" customHeight="1">
      <c r="A45" s="132">
        <v>2</v>
      </c>
      <c r="B45" s="144" t="s">
        <v>64</v>
      </c>
      <c r="C45" s="145" t="s">
        <v>65</v>
      </c>
      <c r="D45" s="145"/>
      <c r="E45" s="145"/>
      <c r="F45" s="146">
        <f>'SO03 01 Naklady'!AE36</f>
        <v>0</v>
      </c>
      <c r="G45" s="147">
        <f>'SO03 01 Naklady'!AF36</f>
        <v>0</v>
      </c>
      <c r="H45" s="147">
        <f>(F45*SazbaDPH1/100)+(G45*SazbaDPH2/100)</f>
        <v>0</v>
      </c>
      <c r="I45" s="147">
        <f>F45+G45+H45</f>
        <v>0</v>
      </c>
      <c r="J45" s="148" t="str">
        <f>IF(CenaCelkemVypocet=0,"",I45/CenaCelkemVypocet*100)</f>
        <v/>
      </c>
    </row>
    <row r="46" ht="25.5" customHeight="1">
      <c r="A46" s="132">
        <v>3</v>
      </c>
      <c r="B46" s="149" t="s">
        <v>57</v>
      </c>
      <c r="C46" s="139" t="s">
        <v>66</v>
      </c>
      <c r="D46" s="139"/>
      <c r="E46" s="139"/>
      <c r="F46" s="150">
        <f>'SO03 01 Naklady'!AE36</f>
        <v>0</v>
      </c>
      <c r="G46" s="142">
        <f>'SO03 01 Naklady'!AF36</f>
        <v>0</v>
      </c>
      <c r="H46" s="142">
        <f>(F46*SazbaDPH1/100)+(G46*SazbaDPH2/100)</f>
        <v>0</v>
      </c>
      <c r="I46" s="142">
        <f>F46+G46+H46</f>
        <v>0</v>
      </c>
      <c r="J46" s="143" t="str">
        <f>IF(CenaCelkemVypocet=0,"",I46/CenaCelkemVypocet*100)</f>
        <v/>
      </c>
    </row>
    <row r="47" ht="25.5" customHeight="1">
      <c r="A47" s="132"/>
      <c r="B47" s="151" t="s">
        <v>67</v>
      </c>
      <c r="C47" s="152"/>
      <c r="D47" s="152"/>
      <c r="E47" s="153"/>
      <c r="F47" s="154">
        <f>SUMIF(A39:A46,"=1",F39:F46)</f>
        <v>0</v>
      </c>
      <c r="G47" s="155">
        <f>SUMIF(A39:A46,"=1",G39:G46)</f>
        <v>0</v>
      </c>
      <c r="H47" s="155">
        <f>SUMIF(A39:A46,"=1",H39:H46)</f>
        <v>0</v>
      </c>
      <c r="I47" s="155">
        <f>SUMIF(A39:A46,"=1",I39:I46)</f>
        <v>0</v>
      </c>
      <c r="J47" s="156">
        <f>SUMIF(A39:A46,"=1",J39:J46)</f>
        <v>0</v>
      </c>
    </row>
    <row r="49">
      <c r="A49" t="s">
        <v>68</v>
      </c>
      <c r="B49" t="s">
        <v>69</v>
      </c>
    </row>
    <row r="50">
      <c r="B50" s="157" t="s">
        <v>70</v>
      </c>
      <c r="C50" s="157"/>
      <c r="D50" s="157"/>
      <c r="E50" s="157"/>
      <c r="F50" s="157"/>
      <c r="G50" s="157"/>
      <c r="H50" s="157"/>
      <c r="I50" s="157"/>
      <c r="J50" s="157"/>
      <c r="AZ50" s="158" t="str">
        <f>B50</f>
        <v>1. PODMÍNKY PRO ZPRACOVÁNÍ NABÍDKOVÉ CENY</v>
      </c>
    </row>
    <row r="52">
      <c r="B52" s="157" t="s">
        <v>71</v>
      </c>
      <c r="C52" s="157"/>
      <c r="D52" s="157"/>
      <c r="E52" s="157"/>
      <c r="F52" s="157"/>
      <c r="G52" s="157"/>
      <c r="H52" s="157"/>
      <c r="I52" s="157"/>
      <c r="J52" s="157"/>
      <c r="AZ52" s="158" t="str">
        <f>B52</f>
        <v xml:space="preserve">        Preambule</v>
      </c>
    </row>
    <row r="54" ht="51">
      <c r="B54" s="157" t="s">
        <v>72</v>
      </c>
      <c r="C54" s="157"/>
      <c r="D54" s="157"/>
      <c r="E54" s="157"/>
      <c r="F54" s="157"/>
      <c r="G54" s="157"/>
      <c r="H54" s="157"/>
      <c r="I54" s="157"/>
      <c r="J54" s="157"/>
      <c r="AZ54" s="158" t="str">
        <f>B54</f>
        <v>Tento soupis stavebních prací, dodávek a služeb je sestaven jako podklad pro zpracování nabídek dodavatelů na veřejnou zakázku na stavební práce a obsahuje podmínky a požadavky zadavatele, za kterých má být zpracována nabídková cena dodavatelů. Účelem tohoto soupisu je zabezpečit obsahovou shodu všech nabídkových cen a usnadnit následné posouzení předložených cenových nabídek.</v>
      </c>
    </row>
    <row r="55" ht="51">
      <c r="B55" s="157" t="s">
        <v>73</v>
      </c>
      <c r="C55" s="157"/>
      <c r="D55" s="157"/>
      <c r="E55" s="157"/>
      <c r="F55" s="157"/>
      <c r="G55" s="157"/>
      <c r="H55" s="157"/>
      <c r="I55" s="157"/>
      <c r="J55" s="157"/>
      <c r="AZ55" s="158" t="str">
        <f>B55</f>
        <v>Předpokládá se, že dodavatel před zpracováním cenové nabídky pečlivě prostuduje všechny pokyny a podmínky pro zpracování nabídkové ceny obsažené v zadávacích podmínkách a bude se jimi při zpracování nabídkové ceny řídit. Soupis stavebních prací, dodávek a služeb je sestaven v souladu s podmínkami vyhlášky Ministerstva pro místní rozvoj č.169/2016 Sb.</v>
      </c>
    </row>
    <row r="57">
      <c r="B57" s="157" t="s">
        <v>74</v>
      </c>
      <c r="C57" s="157"/>
      <c r="D57" s="157"/>
      <c r="E57" s="157"/>
      <c r="F57" s="157"/>
      <c r="G57" s="157"/>
      <c r="H57" s="157"/>
      <c r="I57" s="157"/>
      <c r="J57" s="157"/>
      <c r="AZ57" s="158" t="str">
        <f>B57</f>
        <v xml:space="preserve">        Vymezení některých pojmů</v>
      </c>
    </row>
    <row r="60">
      <c r="B60" s="157" t="s">
        <v>75</v>
      </c>
      <c r="C60" s="157"/>
      <c r="D60" s="157"/>
      <c r="E60" s="157"/>
      <c r="F60" s="157"/>
      <c r="G60" s="157"/>
      <c r="H60" s="157"/>
      <c r="I60" s="157"/>
      <c r="J60" s="157"/>
      <c r="AZ60" s="158" t="str">
        <f>B60</f>
        <v>Pro účely zpracování nabídkové ceny se jsou použity některé pojmy, pod kterými se rozumí:</v>
      </c>
    </row>
    <row r="61" ht="38.25">
      <c r="B61" s="157" t="s">
        <v>76</v>
      </c>
      <c r="C61" s="157"/>
      <c r="D61" s="157"/>
      <c r="E61" s="157"/>
      <c r="F61" s="157"/>
      <c r="G61" s="157"/>
      <c r="H61" s="157"/>
      <c r="I61" s="157"/>
      <c r="J61" s="157"/>
      <c r="AZ61" s="158" t="str">
        <f>B61</f>
        <v xml:space="preserve">        Soupisem stavebních prací dodávek a služeb dokument, ve kterém jsou definovány zadavatelem požadované stavební práce, dodávky a služby v podrobnostech nezbytných pro zpracování cenové nabídky dodavatele. Soupis obsahuje i vymezení požadovaného množství stavebních prací, dodávek a služeb.</v>
      </c>
    </row>
    <row r="62" ht="38.25">
      <c r="B62" s="157" t="s">
        <v>77</v>
      </c>
      <c r="C62" s="157"/>
      <c r="D62" s="157"/>
      <c r="E62" s="157"/>
      <c r="F62" s="157"/>
      <c r="G62" s="157"/>
      <c r="H62" s="157"/>
      <c r="I62" s="157"/>
      <c r="J62" s="157"/>
      <c r="AZ62" s="158" t="str">
        <f>B62</f>
        <v>Cenovou soustavou uspořádaný soubor informací o stavebních a montážních pracích, materiálech a výrobcích obsahující zatřídění položek, podrobný popis a měrnou jednotku, způsob měření a další technické a cenové podmínky pro možnost stanovení jednotkové ceny.</v>
      </c>
    </row>
    <row r="63" ht="51">
      <c r="B63" s="157" t="s">
        <v>78</v>
      </c>
      <c r="C63" s="157"/>
      <c r="D63" s="157"/>
      <c r="E63" s="157"/>
      <c r="F63" s="157"/>
      <c r="G63" s="157"/>
      <c r="H63" s="157"/>
      <c r="I63" s="157"/>
      <c r="J63" s="157"/>
      <c r="AZ63" s="158" t="str">
        <f>B63</f>
        <v xml:space="preserve">        Ostatními náklady náklady dodavatele spojené se splněním povinností dodavatele vyplývajících z obchodních či jiných podmínek zadávací dokumentace. Patří do nich zejména náklady na vyhotovení dokumentace skutečného provedení stavby, náklady na geodetické zaměření dokončeného díla, náklady spojené s podmínkami pro publicitu projektu, náklady na dílenskou či výrobní dokumentaci apod.</v>
      </c>
    </row>
    <row r="64" ht="76.5">
      <c r="B64" s="157" t="s">
        <v>79</v>
      </c>
      <c r="C64" s="157"/>
      <c r="D64" s="157"/>
      <c r="E64" s="157"/>
      <c r="F64" s="157"/>
      <c r="G64" s="157"/>
      <c r="H64" s="157"/>
      <c r="I64" s="157"/>
      <c r="J64" s="157"/>
      <c r="AZ64" s="158" t="str">
        <f>B64</f>
        <v xml:space="preserve">        Položkovým rozpočtem dokument odpovídající svým obsahem a strukturou soupisu stavebních prací, dodávek a služeb, předaného zadavatelem dodavateli ke zpracování nabídky, v němž dodavatel doplní k jednotlivým položkám stavebních prací, dodávek nebo služeb svoje nabídkové jednotkové ceny a stanoví i celkovou nabídkovou cenu příslušné položky a dále stanoví nabídkové ceny dle struktury soupisu až po celkovou nabídkovou cenu za veškeré stavební práce, dodávky nebo služby, které jsou obsahem soupisu stavebních prací, dodávek a služeb.</v>
      </c>
    </row>
    <row r="65" ht="51">
      <c r="B65" s="157" t="s">
        <v>80</v>
      </c>
      <c r="C65" s="157"/>
      <c r="D65" s="157"/>
      <c r="E65" s="157"/>
      <c r="F65" s="157"/>
      <c r="G65" s="157"/>
      <c r="H65" s="157"/>
      <c r="I65" s="157"/>
      <c r="J65" s="157"/>
      <c r="AZ65" s="158" t="str">
        <f>B65</f>
        <v xml:space="preserve">        Vedlejšími náklady náklady na činností zhotovitele, které nejsou zahrnuty v položkách soupisu stavebních prací, dodávek nebo služeb, ale se zhotovením stav-by souvisí a jsou pro realizaci stavby nezbytné. Někdy se definují jako vedlejší rozpočtové náklady a zahrnují zejména náklady na vybudování, provoz a odstranění zařízení staveniště.</v>
      </c>
    </row>
    <row r="67">
      <c r="B67" s="157" t="s">
        <v>81</v>
      </c>
      <c r="C67" s="157"/>
      <c r="D67" s="157"/>
      <c r="E67" s="157"/>
      <c r="F67" s="157"/>
      <c r="G67" s="157"/>
      <c r="H67" s="157"/>
      <c r="I67" s="157"/>
      <c r="J67" s="157"/>
      <c r="AZ67" s="158" t="str">
        <f>B67</f>
        <v xml:space="preserve">        Cenová soustava</v>
      </c>
    </row>
    <row r="69">
      <c r="B69" s="157" t="s">
        <v>82</v>
      </c>
      <c r="C69" s="157"/>
      <c r="D69" s="157"/>
      <c r="E69" s="157"/>
      <c r="F69" s="157"/>
      <c r="G69" s="157"/>
      <c r="H69" s="157"/>
      <c r="I69" s="157"/>
      <c r="J69" s="157"/>
      <c r="AZ69" s="158" t="str">
        <f>B69</f>
        <v xml:space="preserve">        Použitá cenová soustava</v>
      </c>
    </row>
    <row r="70" ht="38.25">
      <c r="B70" s="157" t="s">
        <v>83</v>
      </c>
      <c r="C70" s="157"/>
      <c r="D70" s="157"/>
      <c r="E70" s="157"/>
      <c r="F70" s="157"/>
      <c r="G70" s="157"/>
      <c r="H70" s="157"/>
      <c r="I70" s="157"/>
      <c r="J70" s="157"/>
      <c r="AZ70" s="158" t="str">
        <f>B70</f>
        <v>Soupisy stavebních prací, dodávek a služeb jsou zpracovány s použitím cenové soustavy zpracované společností RTS, a.s.. Položky z cenové soustavy mají uveden odkaz na cenovou soustavu včetně označení příslušného ceníku.</v>
      </c>
    </row>
    <row r="72">
      <c r="B72" s="157" t="s">
        <v>84</v>
      </c>
      <c r="C72" s="157"/>
      <c r="D72" s="157"/>
      <c r="E72" s="157"/>
      <c r="F72" s="157"/>
      <c r="G72" s="157"/>
      <c r="H72" s="157"/>
      <c r="I72" s="157"/>
      <c r="J72" s="157"/>
      <c r="AZ72" s="158" t="str">
        <f>B72</f>
        <v xml:space="preserve">        Technické podmínky</v>
      </c>
    </row>
    <row r="73" ht="38.25">
      <c r="B73" s="157" t="s">
        <v>85</v>
      </c>
      <c r="C73" s="157"/>
      <c r="D73" s="157"/>
      <c r="E73" s="157"/>
      <c r="F73" s="157"/>
      <c r="G73" s="157"/>
      <c r="H73" s="157"/>
      <c r="I73" s="157"/>
      <c r="J73" s="157"/>
      <c r="AZ73" s="158" t="str">
        <f>B73</f>
        <v>Obsah jednotlivých položek, způsob měření a ostatní další podmínky definující obsah a použití jednotlivých položek jsou obsaženy v cenových a technických podmínkách příslušných ceníků (viz zařazení u položky), které jsou volně dostupné na elektronické adrese www.cenovasoustava.cz</v>
      </c>
    </row>
    <row r="75">
      <c r="B75" s="157" t="s">
        <v>86</v>
      </c>
      <c r="C75" s="157"/>
      <c r="D75" s="157"/>
      <c r="E75" s="157"/>
      <c r="F75" s="157"/>
      <c r="G75" s="157"/>
      <c r="H75" s="157"/>
      <c r="I75" s="157"/>
      <c r="J75" s="157"/>
      <c r="AZ75" s="158" t="str">
        <f>B75</f>
        <v>Individuální položky</v>
      </c>
    </row>
    <row r="76" ht="38.25">
      <c r="B76" s="157" t="s">
        <v>87</v>
      </c>
      <c r="C76" s="157"/>
      <c r="D76" s="157"/>
      <c r="E76" s="157"/>
      <c r="F76" s="157"/>
      <c r="G76" s="157"/>
      <c r="H76" s="157"/>
      <c r="I76" s="157"/>
      <c r="J76" s="157"/>
      <c r="AZ76" s="158" t="str">
        <f>B76</f>
        <v>Položky soupisu prací, které cenová soustava neobsahuje, jsou označeny popisem „vlastní“. Pro tyto položky jsou cenové a technické podmínky definovány jejich popisem, případně odkazem na konkrétní část příslušné dokumentace.</v>
      </c>
    </row>
    <row r="78">
      <c r="B78" s="157" t="s">
        <v>88</v>
      </c>
      <c r="C78" s="157"/>
      <c r="D78" s="157"/>
      <c r="E78" s="157"/>
      <c r="F78" s="157"/>
      <c r="G78" s="157"/>
      <c r="H78" s="157"/>
      <c r="I78" s="157"/>
      <c r="J78" s="157"/>
      <c r="AZ78" s="158" t="str">
        <f>B78</f>
        <v xml:space="preserve">        Závaznost a změna soupisu</v>
      </c>
    </row>
    <row r="80">
      <c r="B80" s="157" t="s">
        <v>89</v>
      </c>
      <c r="C80" s="157"/>
      <c r="D80" s="157"/>
      <c r="E80" s="157"/>
      <c r="F80" s="157"/>
      <c r="G80" s="157"/>
      <c r="H80" s="157"/>
      <c r="I80" s="157"/>
      <c r="J80" s="157"/>
      <c r="AZ80" s="158" t="str">
        <f>B80</f>
        <v xml:space="preserve">        Závaznost soupisu</v>
      </c>
    </row>
    <row r="81" ht="38.25">
      <c r="B81" s="157" t="s">
        <v>90</v>
      </c>
      <c r="C81" s="157"/>
      <c r="D81" s="157"/>
      <c r="E81" s="157"/>
      <c r="F81" s="157"/>
      <c r="G81" s="157"/>
      <c r="H81" s="157"/>
      <c r="I81" s="157"/>
      <c r="J81" s="157"/>
      <c r="AZ81" s="158" t="str">
        <f>B81</f>
        <v>Poskytnuté soupisy jsou pro zpracování nabídkové ceny závazné. Je vyloučeno jakékoliv vyřazení položek ze soupisu, doplnění položek do soupisu, slučování položek a jakýkoliv zásah do popisu položky, množství měrných jednotek nebo jakkoliv měnit či upravovat jakýkoliv jiný údaj v soupisu.</v>
      </c>
    </row>
    <row r="83">
      <c r="B83" s="157" t="s">
        <v>91</v>
      </c>
      <c r="C83" s="157"/>
      <c r="D83" s="157"/>
      <c r="E83" s="157"/>
      <c r="F83" s="157"/>
      <c r="G83" s="157"/>
      <c r="H83" s="157"/>
      <c r="I83" s="157"/>
      <c r="J83" s="157"/>
      <c r="AZ83" s="158" t="str">
        <f>B83</f>
        <v xml:space="preserve">        Zvláštní podmínky pro stanovení nabídkové ceny</v>
      </c>
    </row>
    <row r="85">
      <c r="B85" s="157" t="s">
        <v>92</v>
      </c>
      <c r="C85" s="157"/>
      <c r="D85" s="157"/>
      <c r="E85" s="157"/>
      <c r="F85" s="157"/>
      <c r="G85" s="157"/>
      <c r="H85" s="157"/>
      <c r="I85" s="157"/>
      <c r="J85" s="157"/>
      <c r="AZ85" s="158" t="str">
        <f>B85</f>
        <v xml:space="preserve">        Přeprava vybouraných hmot, suti a vytěžené zeminy</v>
      </c>
    </row>
    <row r="86" ht="76.5">
      <c r="B86" s="157" t="s">
        <v>93</v>
      </c>
      <c r="C86" s="157"/>
      <c r="D86" s="157"/>
      <c r="E86" s="157"/>
      <c r="F86" s="157"/>
      <c r="G86" s="157"/>
      <c r="H86" s="157"/>
      <c r="I86" s="157"/>
      <c r="J86" s="157"/>
      <c r="AZ86" s="158" t="str">
        <f>B86</f>
        <v>Pokud soupis obsahuje i některé technologické položky vztahující se k uložení vytěžené zeminy nebo vybouraných hmot, vodorovné přesuny zeminy nebo vybouraných hmot pak v takových případech zpracovatel soupisu předpokládá určitou přepravní vzdálenost. Pokud z technologického postupu dodavatele vyplývá jiná přepravní vzdálenost, je povinností dodavatele stanovit takovou jednotkovou cenu, aby celková cena položky odpovídala jeho konkrétním technologickým podmínkám a konkrétní přepravní vzdálenosti, při soupisem vymezeném množství měrných jednotek.</v>
      </c>
    </row>
    <row r="88">
      <c r="B88" s="157" t="s">
        <v>94</v>
      </c>
      <c r="C88" s="157"/>
      <c r="D88" s="157"/>
      <c r="E88" s="157"/>
      <c r="F88" s="157"/>
      <c r="G88" s="157"/>
      <c r="H88" s="157"/>
      <c r="I88" s="157"/>
      <c r="J88" s="157"/>
      <c r="AZ88" s="158" t="str">
        <f>B88</f>
        <v xml:space="preserve">        Vnitrostaveništní přesun stavebního materiálu</v>
      </c>
    </row>
    <row r="89" ht="51">
      <c r="B89" s="157" t="s">
        <v>95</v>
      </c>
      <c r="C89" s="157"/>
      <c r="D89" s="157"/>
      <c r="E89" s="157"/>
      <c r="F89" s="157"/>
      <c r="G89" s="157"/>
      <c r="H89" s="157"/>
      <c r="I89" s="157"/>
      <c r="J89" s="157"/>
      <c r="AZ89" s="158" t="str">
        <f>B89</f>
        <v>Pokud soupis obsahuje i položky vztahující se ke vnitrostaveništnímu přesunu materiálů (položky označené jako přesun hmot), pak v takových případech je povinností dodavatele stanovit takovou jednotkovou cenu, aby celková cena položky odpovídala jeho konkrétním technologickým podmínkám a konkrétní přepravní vzdálenosti, při soupisem vymezeném množství měrných jednotek.</v>
      </c>
    </row>
    <row r="90" ht="51">
      <c r="B90" s="157" t="s">
        <v>96</v>
      </c>
      <c r="C90" s="157"/>
      <c r="D90" s="157"/>
      <c r="E90" s="157"/>
      <c r="F90" s="157"/>
      <c r="G90" s="157"/>
      <c r="H90" s="157"/>
      <c r="I90" s="157"/>
      <c r="J90" s="157"/>
      <c r="AZ90" s="158" t="str">
        <f>B90</f>
        <v>Vnitrostaveništní přesun hmot prací PSV (pomocná stavební výroba) může být v soupisu stanoven procenticky z hodnoty ceny za provedení příslušných řemeslných prací, dodávek a služeb. V takovém případě není v soupisu uvedeno množství měrných jednotek. Dodavatel ocení celkovou cenu u takové položky přesunu hmot vždy konkrétní částkou v Kč, bez ohledu na to, jakým způsobem k jejímu výpočtu dospěl.</v>
      </c>
    </row>
    <row r="92">
      <c r="B92" s="157" t="s">
        <v>97</v>
      </c>
      <c r="C92" s="157"/>
      <c r="D92" s="157"/>
      <c r="E92" s="157"/>
      <c r="F92" s="157"/>
      <c r="G92" s="157"/>
      <c r="H92" s="157"/>
      <c r="I92" s="157"/>
      <c r="J92" s="157"/>
      <c r="AZ92" s="158" t="str">
        <f>B92</f>
        <v xml:space="preserve">        Příplatky za ztížené podmínky prací</v>
      </c>
    </row>
    <row r="93" ht="25.5">
      <c r="B93" s="157" t="s">
        <v>98</v>
      </c>
      <c r="C93" s="157"/>
      <c r="D93" s="157"/>
      <c r="E93" s="157"/>
      <c r="F93" s="157"/>
      <c r="G93" s="157"/>
      <c r="H93" s="157"/>
      <c r="I93" s="157"/>
      <c r="J93" s="157"/>
      <c r="AZ93" s="158" t="str">
        <f>B93</f>
        <v>Pokud soupis položku příplatku za ztížené podmínky obsahuje, je dodavatel povinen ji ocenit bez ohledu na to, že tento příplatek dodavatel standardně neuplatňuje.</v>
      </c>
    </row>
    <row r="95">
      <c r="B95" s="157" t="s">
        <v>99</v>
      </c>
      <c r="C95" s="157"/>
      <c r="D95" s="157"/>
      <c r="E95" s="157"/>
      <c r="F95" s="157"/>
      <c r="G95" s="157"/>
      <c r="H95" s="157"/>
      <c r="I95" s="157"/>
      <c r="J95" s="157"/>
      <c r="AZ95" s="158" t="str">
        <f>B95</f>
        <v xml:space="preserve">        Vedlejší a ostatní náklady</v>
      </c>
    </row>
    <row r="96" ht="25.5">
      <c r="B96" s="157" t="s">
        <v>100</v>
      </c>
      <c r="C96" s="157"/>
      <c r="D96" s="157"/>
      <c r="E96" s="157"/>
      <c r="F96" s="157"/>
      <c r="G96" s="157"/>
      <c r="H96" s="157"/>
      <c r="I96" s="157"/>
      <c r="J96" s="157"/>
      <c r="AZ96" s="158" t="str">
        <f>B96</f>
        <v>Tyto náklady jsou popsány v samostatném soupisu stavebních prací, dodávek a služeb s tím, že dodavatel je povinen v rámci těchto nákladů ocenit všechny definované náklady souhrnně pro celou stavbu.</v>
      </c>
    </row>
    <row r="100">
      <c r="B100" s="157" t="s">
        <v>101</v>
      </c>
      <c r="C100" s="157"/>
      <c r="D100" s="157"/>
      <c r="E100" s="157"/>
      <c r="F100" s="157"/>
      <c r="G100" s="157"/>
      <c r="H100" s="157"/>
      <c r="I100" s="157"/>
      <c r="J100" s="157"/>
      <c r="AZ100" s="158" t="str">
        <f>B100</f>
        <v>2. SPECIFICKÉ PODMÍNKY PRO ZPRACOVÁNÍ NABÍDKOVÉ CENY</v>
      </c>
    </row>
    <row r="102">
      <c r="B102" s="157" t="s">
        <v>102</v>
      </c>
      <c r="C102" s="157"/>
      <c r="D102" s="157"/>
      <c r="E102" s="157"/>
      <c r="F102" s="157"/>
      <c r="G102" s="157"/>
      <c r="H102" s="157"/>
      <c r="I102" s="157"/>
      <c r="J102" s="157"/>
      <c r="AZ102" s="158" t="str">
        <f>B102</f>
        <v xml:space="preserve">Zde doplní zpracovatel soupisu  případná specifika týkající se konkrétní zakázky.</v>
      </c>
    </row>
    <row r="105">
      <c r="B105" s="157" t="s">
        <v>103</v>
      </c>
      <c r="C105" s="157"/>
      <c r="D105" s="157"/>
      <c r="E105" s="157"/>
      <c r="F105" s="157"/>
      <c r="G105" s="157"/>
      <c r="H105" s="157"/>
      <c r="I105" s="157"/>
      <c r="J105" s="157"/>
      <c r="AZ105" s="158" t="str">
        <f>B105</f>
        <v>3. ELEKTRONICKÁ PODOBA SOUPISU</v>
      </c>
    </row>
    <row r="107">
      <c r="B107" s="157" t="s">
        <v>104</v>
      </c>
      <c r="C107" s="157"/>
      <c r="D107" s="157"/>
      <c r="E107" s="157"/>
      <c r="F107" s="157"/>
      <c r="G107" s="157"/>
      <c r="H107" s="157"/>
      <c r="I107" s="157"/>
      <c r="J107" s="157"/>
      <c r="AZ107" s="158" t="str">
        <f>B107</f>
        <v xml:space="preserve">        Elektronická podoba soupisu</v>
      </c>
    </row>
    <row r="108" ht="25.5">
      <c r="B108" s="157" t="s">
        <v>105</v>
      </c>
      <c r="C108" s="157"/>
      <c r="D108" s="157"/>
      <c r="E108" s="157"/>
      <c r="F108" s="157"/>
      <c r="G108" s="157"/>
      <c r="H108" s="157"/>
      <c r="I108" s="157"/>
      <c r="J108" s="157"/>
      <c r="AZ108" s="158" t="str">
        <f>B108</f>
        <v xml:space="preserve">V souladu se zákonem jsou předložené soupisy zpracovány i v elektronické podobě.  Elektronickou podobou soupisu stavebních prací, dodávek a služeb je formát MS EXCEL.</v>
      </c>
    </row>
    <row r="109">
      <c r="B109" s="157" t="s">
        <v>106</v>
      </c>
      <c r="C109" s="157"/>
      <c r="D109" s="157"/>
      <c r="E109" s="157"/>
      <c r="F109" s="157"/>
      <c r="G109" s="157"/>
      <c r="H109" s="157"/>
      <c r="I109" s="157"/>
      <c r="J109" s="157"/>
      <c r="AZ109" s="158" t="str">
        <f>B109</f>
        <v>Popis formátu soupisu odpovídá svou strukturou vzorovému soupisu volně dostupnému na internetové adrese:</v>
      </c>
    </row>
    <row r="111">
      <c r="B111" s="157" t="s">
        <v>107</v>
      </c>
      <c r="C111" s="157"/>
      <c r="D111" s="157"/>
      <c r="E111" s="157"/>
      <c r="F111" s="157"/>
      <c r="G111" s="157"/>
      <c r="H111" s="157"/>
      <c r="I111" s="157"/>
      <c r="J111" s="157"/>
      <c r="AZ111" s="158" t="str">
        <f>B111</f>
        <v>www.stavebnionline.cz/soupis</v>
      </c>
    </row>
    <row r="113">
      <c r="B113" s="157" t="s">
        <v>108</v>
      </c>
      <c r="C113" s="157"/>
      <c r="D113" s="157"/>
      <c r="E113" s="157"/>
      <c r="F113" s="157"/>
      <c r="G113" s="157"/>
      <c r="H113" s="157"/>
      <c r="I113" s="157"/>
      <c r="J113" s="157"/>
      <c r="AZ113" s="158" t="str">
        <f>B113</f>
        <v xml:space="preserve">        Zpracování elektronické podoby soupisu</v>
      </c>
    </row>
    <row r="114" ht="51">
      <c r="B114" s="157" t="s">
        <v>109</v>
      </c>
      <c r="C114" s="157"/>
      <c r="D114" s="157"/>
      <c r="E114" s="157"/>
      <c r="F114" s="157"/>
      <c r="G114" s="157"/>
      <c r="H114" s="157"/>
      <c r="I114" s="157"/>
      <c r="J114" s="157"/>
      <c r="AZ114" s="158" t="str">
        <f>B114</f>
        <v>Předaný formát MS EXCEL je nepřístupným (uzamčeným) souborem, do kterého dodavatel doplňuje pouze jednotkové ceny ke všem položkám. Ostatní cenové údaje, jako celková cena položky, mezisoučty za stavební či funkční díly nebo součty celkové ceny stavebního objektu, jakož i cena stavby jsou výsledkem vložených matematických vzorců v příslušných pozicích souboru.</v>
      </c>
    </row>
    <row r="116">
      <c r="B116" s="157" t="s">
        <v>110</v>
      </c>
      <c r="C116" s="157"/>
      <c r="D116" s="157"/>
      <c r="E116" s="157"/>
      <c r="F116" s="157"/>
      <c r="G116" s="157"/>
      <c r="H116" s="157"/>
      <c r="I116" s="157"/>
      <c r="J116" s="157"/>
      <c r="AZ116" s="158" t="str">
        <f>B116</f>
        <v xml:space="preserve">        Jiný formát soupisu</v>
      </c>
    </row>
    <row r="117" ht="38.25">
      <c r="B117" s="157" t="s">
        <v>111</v>
      </c>
      <c r="C117" s="157"/>
      <c r="D117" s="157"/>
      <c r="E117" s="157"/>
      <c r="F117" s="157"/>
      <c r="G117" s="157"/>
      <c r="H117" s="157"/>
      <c r="I117" s="157"/>
      <c r="J117" s="157"/>
      <c r="AZ117" s="158" t="str">
        <f>B117</f>
        <v>Pokud by kterýkoliv dodavatel měl problémy s předaným formátem, lze na požádání poskytnout soupis stavebních prací také ve formátu *.xml, což je standardní formát používaný pro přenosy dat. Dokumentace tohoto formátu je volně přístupná na webových stránkách MMR.</v>
      </c>
    </row>
    <row r="119">
      <c r="B119" s="157" t="s">
        <v>112</v>
      </c>
      <c r="C119" s="157"/>
      <c r="D119" s="157"/>
      <c r="E119" s="157"/>
      <c r="F119" s="157"/>
      <c r="G119" s="157"/>
      <c r="H119" s="157"/>
      <c r="I119" s="157"/>
      <c r="J119" s="157"/>
      <c r="AZ119" s="158" t="str">
        <f>B119</f>
        <v xml:space="preserve">        Závěrečné ustanovení</v>
      </c>
    </row>
    <row r="120">
      <c r="B120" s="157" t="s">
        <v>113</v>
      </c>
      <c r="C120" s="157"/>
      <c r="D120" s="157"/>
      <c r="E120" s="157"/>
      <c r="F120" s="157"/>
      <c r="G120" s="157"/>
      <c r="H120" s="157"/>
      <c r="I120" s="157"/>
      <c r="J120" s="157"/>
      <c r="AZ120" s="158" t="str">
        <f>B120</f>
        <v>Ostatní podmínky vztahující se ke zpracování nabídkové ceny jsou uvedeny v zadávací dokumentaci.</v>
      </c>
    </row>
    <row r="121">
      <c r="A121" t="s">
        <v>114</v>
      </c>
      <c r="B121" t="s">
        <v>115</v>
      </c>
    </row>
    <row r="122">
      <c r="A122" t="s">
        <v>116</v>
      </c>
      <c r="B122" t="s">
        <v>117</v>
      </c>
    </row>
    <row r="123">
      <c r="A123" t="s">
        <v>114</v>
      </c>
      <c r="B123" t="s">
        <v>118</v>
      </c>
    </row>
    <row r="124">
      <c r="A124" t="s">
        <v>116</v>
      </c>
      <c r="B124" t="s">
        <v>119</v>
      </c>
    </row>
    <row r="125">
      <c r="A125" t="s">
        <v>116</v>
      </c>
      <c r="B125" t="s">
        <v>120</v>
      </c>
    </row>
    <row r="126">
      <c r="A126" t="s">
        <v>114</v>
      </c>
      <c r="B126" t="s">
        <v>121</v>
      </c>
    </row>
    <row r="127">
      <c r="A127" t="s">
        <v>116</v>
      </c>
      <c r="B127" t="s">
        <v>122</v>
      </c>
    </row>
    <row r="130" ht="15.75">
      <c r="B130" s="159" t="s">
        <v>123</v>
      </c>
    </row>
    <row r="132" ht="25.5" customHeight="1">
      <c r="A132" s="160"/>
      <c r="B132" s="161" t="s">
        <v>50</v>
      </c>
      <c r="C132" s="161" t="s">
        <v>51</v>
      </c>
      <c r="D132" s="162"/>
      <c r="E132" s="162"/>
      <c r="F132" s="163" t="s">
        <v>124</v>
      </c>
      <c r="G132" s="163"/>
      <c r="H132" s="163"/>
      <c r="I132" s="163" t="s">
        <v>26</v>
      </c>
      <c r="J132" s="163" t="s">
        <v>36</v>
      </c>
    </row>
    <row r="133" ht="36.75" customHeight="1">
      <c r="A133" s="164"/>
      <c r="B133" s="165" t="s">
        <v>125</v>
      </c>
      <c r="C133" s="166" t="s">
        <v>126</v>
      </c>
      <c r="D133" s="167"/>
      <c r="E133" s="167"/>
      <c r="F133" s="168" t="s">
        <v>27</v>
      </c>
      <c r="G133" s="169"/>
      <c r="H133" s="169"/>
      <c r="I133" s="169">
        <f>'SO01 01 Pol'!G8+'SO02 01 Pol'!G8</f>
        <v>0</v>
      </c>
      <c r="J133" s="170" t="str">
        <f>IF(I158=0,"",I133/I158*100)</f>
        <v/>
      </c>
    </row>
    <row r="134" ht="36.75" customHeight="1">
      <c r="A134" s="164"/>
      <c r="B134" s="165" t="s">
        <v>127</v>
      </c>
      <c r="C134" s="166" t="s">
        <v>128</v>
      </c>
      <c r="D134" s="167"/>
      <c r="E134" s="167"/>
      <c r="F134" s="168" t="s">
        <v>27</v>
      </c>
      <c r="G134" s="169"/>
      <c r="H134" s="169"/>
      <c r="I134" s="169">
        <f>'SO02 01 Pol'!G38</f>
        <v>0</v>
      </c>
      <c r="J134" s="170" t="str">
        <f>IF(I158=0,"",I134/I158*100)</f>
        <v/>
      </c>
    </row>
    <row r="135" ht="36.75" customHeight="1">
      <c r="A135" s="164"/>
      <c r="B135" s="165" t="s">
        <v>129</v>
      </c>
      <c r="C135" s="166" t="s">
        <v>130</v>
      </c>
      <c r="D135" s="167"/>
      <c r="E135" s="167"/>
      <c r="F135" s="168" t="s">
        <v>27</v>
      </c>
      <c r="G135" s="169"/>
      <c r="H135" s="169"/>
      <c r="I135" s="169">
        <f>'SO01 01 Pol'!G172+'SO02 02 Pol'!G8</f>
        <v>0</v>
      </c>
      <c r="J135" s="170" t="str">
        <f>IF(I158=0,"",I135/I158*100)</f>
        <v/>
      </c>
    </row>
    <row r="136" ht="36.75" customHeight="1">
      <c r="A136" s="164"/>
      <c r="B136" s="165" t="s">
        <v>131</v>
      </c>
      <c r="C136" s="166" t="s">
        <v>132</v>
      </c>
      <c r="D136" s="167"/>
      <c r="E136" s="167"/>
      <c r="F136" s="168" t="s">
        <v>27</v>
      </c>
      <c r="G136" s="169"/>
      <c r="H136" s="169"/>
      <c r="I136" s="169">
        <f>'SO02 01 Pol'!G74</f>
        <v>0</v>
      </c>
      <c r="J136" s="170" t="str">
        <f>IF(I158=0,"",I136/I158*100)</f>
        <v/>
      </c>
    </row>
    <row r="137" ht="36.75" customHeight="1">
      <c r="A137" s="164"/>
      <c r="B137" s="165" t="s">
        <v>133</v>
      </c>
      <c r="C137" s="166" t="s">
        <v>134</v>
      </c>
      <c r="D137" s="167"/>
      <c r="E137" s="167"/>
      <c r="F137" s="168" t="s">
        <v>27</v>
      </c>
      <c r="G137" s="169"/>
      <c r="H137" s="169"/>
      <c r="I137" s="169">
        <f>'SO02 02 Pol'!G68</f>
        <v>0</v>
      </c>
      <c r="J137" s="170" t="str">
        <f>IF(I158=0,"",I137/I158*100)</f>
        <v/>
      </c>
    </row>
    <row r="138" ht="36.75" customHeight="1">
      <c r="A138" s="164"/>
      <c r="B138" s="165" t="s">
        <v>135</v>
      </c>
      <c r="C138" s="166" t="s">
        <v>136</v>
      </c>
      <c r="D138" s="167"/>
      <c r="E138" s="167"/>
      <c r="F138" s="168" t="s">
        <v>27</v>
      </c>
      <c r="G138" s="169"/>
      <c r="H138" s="169"/>
      <c r="I138" s="169">
        <f>'SO02 01 Pol'!G92</f>
        <v>0</v>
      </c>
      <c r="J138" s="170" t="str">
        <f>IF(I158=0,"",I138/I158*100)</f>
        <v/>
      </c>
    </row>
    <row r="139" ht="36.75" customHeight="1">
      <c r="A139" s="164"/>
      <c r="B139" s="165" t="s">
        <v>137</v>
      </c>
      <c r="C139" s="166" t="s">
        <v>138</v>
      </c>
      <c r="D139" s="167"/>
      <c r="E139" s="167"/>
      <c r="F139" s="168" t="s">
        <v>27</v>
      </c>
      <c r="G139" s="169"/>
      <c r="H139" s="169"/>
      <c r="I139" s="169">
        <f>'SO02 02 Pol'!G71</f>
        <v>0</v>
      </c>
      <c r="J139" s="170" t="str">
        <f>IF(I158=0,"",I139/I158*100)</f>
        <v/>
      </c>
    </row>
    <row r="140" ht="36.75" customHeight="1">
      <c r="A140" s="164"/>
      <c r="B140" s="165" t="s">
        <v>139</v>
      </c>
      <c r="C140" s="166" t="s">
        <v>140</v>
      </c>
      <c r="D140" s="167"/>
      <c r="E140" s="167"/>
      <c r="F140" s="168" t="s">
        <v>27</v>
      </c>
      <c r="G140" s="169"/>
      <c r="H140" s="169"/>
      <c r="I140" s="169">
        <f>'SO02 01 Pol'!G189</f>
        <v>0</v>
      </c>
      <c r="J140" s="170" t="str">
        <f>IF(I158=0,"",I140/I158*100)</f>
        <v/>
      </c>
    </row>
    <row r="141" ht="36.75" customHeight="1">
      <c r="A141" s="164"/>
      <c r="B141" s="165" t="s">
        <v>141</v>
      </c>
      <c r="C141" s="166" t="s">
        <v>142</v>
      </c>
      <c r="D141" s="167"/>
      <c r="E141" s="167"/>
      <c r="F141" s="168" t="s">
        <v>27</v>
      </c>
      <c r="G141" s="169"/>
      <c r="H141" s="169"/>
      <c r="I141" s="169">
        <f>'SO01 01 Pol'!G36</f>
        <v>0</v>
      </c>
      <c r="J141" s="170" t="str">
        <f>IF(I158=0,"",I141/I158*100)</f>
        <v/>
      </c>
    </row>
    <row r="142" ht="36.75" customHeight="1">
      <c r="A142" s="164"/>
      <c r="B142" s="165" t="s">
        <v>143</v>
      </c>
      <c r="C142" s="166" t="s">
        <v>144</v>
      </c>
      <c r="D142" s="167"/>
      <c r="E142" s="167"/>
      <c r="F142" s="168" t="s">
        <v>27</v>
      </c>
      <c r="G142" s="169"/>
      <c r="H142" s="169"/>
      <c r="I142" s="169">
        <f>'SO02 01 Pol'!G224</f>
        <v>0</v>
      </c>
      <c r="J142" s="170" t="str">
        <f>IF(I158=0,"",I142/I158*100)</f>
        <v/>
      </c>
    </row>
    <row r="143" ht="36.75" customHeight="1">
      <c r="A143" s="164"/>
      <c r="B143" s="165" t="s">
        <v>145</v>
      </c>
      <c r="C143" s="166" t="s">
        <v>146</v>
      </c>
      <c r="D143" s="167"/>
      <c r="E143" s="167"/>
      <c r="F143" s="168" t="s">
        <v>27</v>
      </c>
      <c r="G143" s="169"/>
      <c r="H143" s="169"/>
      <c r="I143" s="169">
        <f>'SO02 01 Pol'!G234</f>
        <v>0</v>
      </c>
      <c r="J143" s="170" t="str">
        <f>IF(I158=0,"",I143/I158*100)</f>
        <v/>
      </c>
    </row>
    <row r="144" ht="36.75" customHeight="1">
      <c r="A144" s="164"/>
      <c r="B144" s="165" t="s">
        <v>147</v>
      </c>
      <c r="C144" s="166" t="s">
        <v>148</v>
      </c>
      <c r="D144" s="167"/>
      <c r="E144" s="167"/>
      <c r="F144" s="168" t="s">
        <v>27</v>
      </c>
      <c r="G144" s="169"/>
      <c r="H144" s="169"/>
      <c r="I144" s="169">
        <f>'SO01 01 Pol'!G71</f>
        <v>0</v>
      </c>
      <c r="J144" s="170" t="str">
        <f>IF(I158=0,"",I144/I158*100)</f>
        <v/>
      </c>
    </row>
    <row r="145" ht="36.75" customHeight="1">
      <c r="A145" s="164"/>
      <c r="B145" s="165" t="s">
        <v>149</v>
      </c>
      <c r="C145" s="166" t="s">
        <v>150</v>
      </c>
      <c r="D145" s="167"/>
      <c r="E145" s="167"/>
      <c r="F145" s="168" t="s">
        <v>27</v>
      </c>
      <c r="G145" s="169"/>
      <c r="H145" s="169"/>
      <c r="I145" s="169">
        <f>'SO02 02 Pol'!G77</f>
        <v>0</v>
      </c>
      <c r="J145" s="170" t="str">
        <f>IF(I158=0,"",I145/I158*100)</f>
        <v/>
      </c>
    </row>
    <row r="146" ht="36.75" customHeight="1">
      <c r="A146" s="164"/>
      <c r="B146" s="165" t="s">
        <v>151</v>
      </c>
      <c r="C146" s="166" t="s">
        <v>152</v>
      </c>
      <c r="D146" s="167"/>
      <c r="E146" s="167"/>
      <c r="F146" s="168" t="s">
        <v>28</v>
      </c>
      <c r="G146" s="169"/>
      <c r="H146" s="169"/>
      <c r="I146" s="169">
        <f>'SO02 01 Pol'!G236</f>
        <v>0</v>
      </c>
      <c r="J146" s="170" t="str">
        <f>IF(I158=0,"",I146/I158*100)</f>
        <v/>
      </c>
    </row>
    <row r="147" ht="36.75" customHeight="1">
      <c r="A147" s="164"/>
      <c r="B147" s="165" t="s">
        <v>153</v>
      </c>
      <c r="C147" s="166" t="s">
        <v>154</v>
      </c>
      <c r="D147" s="167"/>
      <c r="E147" s="167"/>
      <c r="F147" s="168" t="s">
        <v>28</v>
      </c>
      <c r="G147" s="169"/>
      <c r="H147" s="169"/>
      <c r="I147" s="169">
        <f>'SO01 01 Pol'!G100+'SO02 02 Pol'!G79</f>
        <v>0</v>
      </c>
      <c r="J147" s="170" t="str">
        <f>IF(I158=0,"",I147/I158*100)</f>
        <v/>
      </c>
    </row>
    <row r="148" ht="36.75" customHeight="1">
      <c r="A148" s="164"/>
      <c r="B148" s="165" t="s">
        <v>155</v>
      </c>
      <c r="C148" s="166" t="s">
        <v>156</v>
      </c>
      <c r="D148" s="167"/>
      <c r="E148" s="167"/>
      <c r="F148" s="168" t="s">
        <v>28</v>
      </c>
      <c r="G148" s="169"/>
      <c r="H148" s="169"/>
      <c r="I148" s="169">
        <f>'SO02 02 Pol'!G89</f>
        <v>0</v>
      </c>
      <c r="J148" s="170" t="str">
        <f>IF(I158=0,"",I148/I158*100)</f>
        <v/>
      </c>
    </row>
    <row r="149" ht="36.75" customHeight="1">
      <c r="A149" s="164"/>
      <c r="B149" s="165" t="s">
        <v>157</v>
      </c>
      <c r="C149" s="166" t="s">
        <v>158</v>
      </c>
      <c r="D149" s="167"/>
      <c r="E149" s="167"/>
      <c r="F149" s="168" t="s">
        <v>28</v>
      </c>
      <c r="G149" s="169"/>
      <c r="H149" s="169"/>
      <c r="I149" s="169">
        <f>'SO02 02 Pol'!G92</f>
        <v>0</v>
      </c>
      <c r="J149" s="170" t="str">
        <f>IF(I158=0,"",I149/I158*100)</f>
        <v/>
      </c>
    </row>
    <row r="150" ht="36.75" customHeight="1">
      <c r="A150" s="164"/>
      <c r="B150" s="165" t="s">
        <v>159</v>
      </c>
      <c r="C150" s="166" t="s">
        <v>160</v>
      </c>
      <c r="D150" s="167"/>
      <c r="E150" s="167"/>
      <c r="F150" s="168" t="s">
        <v>28</v>
      </c>
      <c r="G150" s="169"/>
      <c r="H150" s="169"/>
      <c r="I150" s="169">
        <f>'SO02 02 Pol'!G101</f>
        <v>0</v>
      </c>
      <c r="J150" s="170" t="str">
        <f>IF(I158=0,"",I150/I158*100)</f>
        <v/>
      </c>
    </row>
    <row r="151" ht="36.75" customHeight="1">
      <c r="A151" s="164"/>
      <c r="B151" s="165" t="s">
        <v>161</v>
      </c>
      <c r="C151" s="166" t="s">
        <v>162</v>
      </c>
      <c r="D151" s="167"/>
      <c r="E151" s="167"/>
      <c r="F151" s="168" t="s">
        <v>28</v>
      </c>
      <c r="G151" s="169"/>
      <c r="H151" s="169"/>
      <c r="I151" s="169">
        <f>'SO01 01 Pol'!G120</f>
        <v>0</v>
      </c>
      <c r="J151" s="170" t="str">
        <f>IF(I158=0,"",I151/I158*100)</f>
        <v/>
      </c>
    </row>
    <row r="152" ht="36.75" customHeight="1">
      <c r="A152" s="164"/>
      <c r="B152" s="165" t="s">
        <v>163</v>
      </c>
      <c r="C152" s="166" t="s">
        <v>164</v>
      </c>
      <c r="D152" s="167"/>
      <c r="E152" s="167"/>
      <c r="F152" s="168" t="s">
        <v>28</v>
      </c>
      <c r="G152" s="169"/>
      <c r="H152" s="169"/>
      <c r="I152" s="169">
        <f>'SO01 01 Pol'!G132+'SO02 01 Pol'!G243</f>
        <v>0</v>
      </c>
      <c r="J152" s="170" t="str">
        <f>IF(I158=0,"",I152/I158*100)</f>
        <v/>
      </c>
    </row>
    <row r="153" ht="36.75" customHeight="1">
      <c r="A153" s="164"/>
      <c r="B153" s="165" t="s">
        <v>165</v>
      </c>
      <c r="C153" s="166" t="s">
        <v>166</v>
      </c>
      <c r="D153" s="167"/>
      <c r="E153" s="167"/>
      <c r="F153" s="168" t="s">
        <v>28</v>
      </c>
      <c r="G153" s="169"/>
      <c r="H153" s="169"/>
      <c r="I153" s="169">
        <f>'SO01 01 Pol'!G150</f>
        <v>0</v>
      </c>
      <c r="J153" s="170" t="str">
        <f>IF(I158=0,"",I153/I158*100)</f>
        <v/>
      </c>
    </row>
    <row r="154" ht="36.75" customHeight="1">
      <c r="A154" s="164"/>
      <c r="B154" s="165" t="s">
        <v>167</v>
      </c>
      <c r="C154" s="166" t="s">
        <v>168</v>
      </c>
      <c r="D154" s="167"/>
      <c r="E154" s="167"/>
      <c r="F154" s="168" t="s">
        <v>28</v>
      </c>
      <c r="G154" s="169"/>
      <c r="H154" s="169"/>
      <c r="I154" s="169">
        <f>'SO01 01 Pol'!G157</f>
        <v>0</v>
      </c>
      <c r="J154" s="170" t="str">
        <f>IF(I158=0,"",I154/I158*100)</f>
        <v/>
      </c>
    </row>
    <row r="155" ht="36.75" customHeight="1">
      <c r="A155" s="164"/>
      <c r="B155" s="165" t="s">
        <v>169</v>
      </c>
      <c r="C155" s="166" t="s">
        <v>170</v>
      </c>
      <c r="D155" s="167"/>
      <c r="E155" s="167"/>
      <c r="F155" s="168" t="s">
        <v>28</v>
      </c>
      <c r="G155" s="169"/>
      <c r="H155" s="169"/>
      <c r="I155" s="169">
        <f>'SO01 01 Pol'!G167+'SO02 01 Pol'!G257</f>
        <v>0</v>
      </c>
      <c r="J155" s="170" t="str">
        <f>IF(I158=0,"",I155/I158*100)</f>
        <v/>
      </c>
    </row>
    <row r="156" ht="36.75" customHeight="1">
      <c r="A156" s="164"/>
      <c r="B156" s="165" t="s">
        <v>30</v>
      </c>
      <c r="C156" s="166" t="s">
        <v>31</v>
      </c>
      <c r="D156" s="167"/>
      <c r="E156" s="167"/>
      <c r="F156" s="168" t="s">
        <v>30</v>
      </c>
      <c r="G156" s="169"/>
      <c r="H156" s="169"/>
      <c r="I156" s="169">
        <f>'SO03 01 Naklady'!G8</f>
        <v>0</v>
      </c>
      <c r="J156" s="170" t="str">
        <f>IF(I158=0,"",I156/I158*100)</f>
        <v/>
      </c>
    </row>
    <row r="157" ht="36.75" customHeight="1">
      <c r="A157" s="164"/>
      <c r="B157" s="165" t="s">
        <v>32</v>
      </c>
      <c r="C157" s="166" t="s">
        <v>33</v>
      </c>
      <c r="D157" s="167"/>
      <c r="E157" s="167"/>
      <c r="F157" s="168" t="s">
        <v>32</v>
      </c>
      <c r="G157" s="169"/>
      <c r="H157" s="169"/>
      <c r="I157" s="169">
        <f>'SO03 01 Naklady'!G18</f>
        <v>0</v>
      </c>
      <c r="J157" s="170" t="str">
        <f>IF(I158=0,"",I157/I158*100)</f>
        <v/>
      </c>
    </row>
    <row r="158" ht="25.5" customHeight="1">
      <c r="A158" s="171"/>
      <c r="B158" s="172" t="s">
        <v>53</v>
      </c>
      <c r="C158" s="173"/>
      <c r="D158" s="174"/>
      <c r="E158" s="174"/>
      <c r="F158" s="175"/>
      <c r="G158" s="176"/>
      <c r="H158" s="176"/>
      <c r="I158" s="176">
        <f>SUM(I133:I157)</f>
        <v>0</v>
      </c>
      <c r="J158" s="177">
        <f>SUM(J133:J157)</f>
        <v>0</v>
      </c>
    </row>
    <row r="159">
      <c r="F159" s="178"/>
      <c r="G159" s="178"/>
      <c r="H159" s="178"/>
      <c r="I159" s="178"/>
      <c r="J159" s="179"/>
    </row>
    <row r="160">
      <c r="F160" s="178"/>
      <c r="G160" s="178"/>
      <c r="H160" s="178"/>
      <c r="I160" s="178"/>
      <c r="J160" s="179"/>
    </row>
    <row r="161">
      <c r="F161" s="178"/>
      <c r="G161" s="178"/>
      <c r="H161" s="178"/>
      <c r="I161" s="178"/>
      <c r="J161" s="179"/>
    </row>
  </sheetData>
  <sheetProtection sheet="1" formatRows="0" spinCount="100000" saltValue="qYOHK9LwqakXctwjbkk0lg==" hashValue="olV1kN+LUMnhiHbvcTA/YwWh8bfTWNdSi/jtUeXlydUMt8RUYbBgpocytmgQqKRVUgXg3LRfeZXI9vYdyJP9ag==" algorithmName="SHA-512"/>
  <mergeCells count="119">
    <mergeCell ref="C133:E133"/>
    <mergeCell ref="C134:E134"/>
    <mergeCell ref="C135:E135"/>
    <mergeCell ref="C136:E136"/>
    <mergeCell ref="C137:E137"/>
    <mergeCell ref="C138:E138"/>
    <mergeCell ref="C139:E139"/>
    <mergeCell ref="C140:E140"/>
    <mergeCell ref="C141:E141"/>
    <mergeCell ref="C142:E142"/>
    <mergeCell ref="C143:E143"/>
    <mergeCell ref="C144:E144"/>
    <mergeCell ref="C145:E145"/>
    <mergeCell ref="C146:E146"/>
    <mergeCell ref="C147:E147"/>
    <mergeCell ref="C148:E148"/>
    <mergeCell ref="C149:E149"/>
    <mergeCell ref="C150:E150"/>
    <mergeCell ref="C151:E151"/>
    <mergeCell ref="C152:E152"/>
    <mergeCell ref="C153:E153"/>
    <mergeCell ref="C154:E154"/>
    <mergeCell ref="C155:E155"/>
    <mergeCell ref="C156:E156"/>
    <mergeCell ref="C157:E157"/>
    <mergeCell ref="B1:J1"/>
    <mergeCell ref="E4:J4"/>
    <mergeCell ref="D5:G5"/>
    <mergeCell ref="D6:G6"/>
    <mergeCell ref="E7:G7"/>
    <mergeCell ref="D12:G12"/>
    <mergeCell ref="E13:G13"/>
    <mergeCell ref="G16:H16"/>
    <mergeCell ref="E16:F16"/>
    <mergeCell ref="G17:H17"/>
    <mergeCell ref="E17:F17"/>
    <mergeCell ref="I19:J19"/>
    <mergeCell ref="G19:H19"/>
    <mergeCell ref="E19:F19"/>
    <mergeCell ref="G20:H20"/>
    <mergeCell ref="E20:F20"/>
    <mergeCell ref="I20:J20"/>
    <mergeCell ref="I21:J21"/>
    <mergeCell ref="G23:I23"/>
    <mergeCell ref="G24:I24"/>
    <mergeCell ref="G25:I25"/>
    <mergeCell ref="G26:I26"/>
    <mergeCell ref="G27:I27"/>
    <mergeCell ref="G28:I28"/>
    <mergeCell ref="G29:I29"/>
    <mergeCell ref="G18:H18"/>
    <mergeCell ref="I17:J17"/>
    <mergeCell ref="I18:J18"/>
    <mergeCell ref="E18:F18"/>
    <mergeCell ref="E2:J2"/>
    <mergeCell ref="E3:J3"/>
    <mergeCell ref="E15:F15"/>
    <mergeCell ref="D11:G11"/>
    <mergeCell ref="G15:H15"/>
    <mergeCell ref="I15:J15"/>
    <mergeCell ref="I16:J16"/>
    <mergeCell ref="E21:F21"/>
    <mergeCell ref="G21:H21"/>
    <mergeCell ref="B72:J72"/>
    <mergeCell ref="B73:J73"/>
    <mergeCell ref="B75:J75"/>
    <mergeCell ref="B76:J76"/>
    <mergeCell ref="B78:J78"/>
    <mergeCell ref="B80:J80"/>
    <mergeCell ref="B81:J81"/>
    <mergeCell ref="B83:J83"/>
    <mergeCell ref="B85:J85"/>
    <mergeCell ref="B86:J86"/>
    <mergeCell ref="B88:J88"/>
    <mergeCell ref="B89:J89"/>
    <mergeCell ref="B90:J90"/>
    <mergeCell ref="B92:J92"/>
    <mergeCell ref="B93:J93"/>
    <mergeCell ref="B95:J95"/>
    <mergeCell ref="B96:J96"/>
    <mergeCell ref="B100:J100"/>
    <mergeCell ref="B102:J102"/>
    <mergeCell ref="B105:J105"/>
    <mergeCell ref="B107:J107"/>
    <mergeCell ref="B108:J108"/>
    <mergeCell ref="B109:J109"/>
    <mergeCell ref="B111:J111"/>
    <mergeCell ref="B113:J113"/>
    <mergeCell ref="B114:J114"/>
    <mergeCell ref="B116:J116"/>
    <mergeCell ref="B117:J117"/>
    <mergeCell ref="B119:J119"/>
    <mergeCell ref="B120:J120"/>
    <mergeCell ref="D34:E34"/>
    <mergeCell ref="G34:I34"/>
    <mergeCell ref="D35:E35"/>
    <mergeCell ref="C39:E39"/>
    <mergeCell ref="C40:E40"/>
    <mergeCell ref="C41:E41"/>
    <mergeCell ref="C42:E42"/>
    <mergeCell ref="C43:E43"/>
    <mergeCell ref="C44:E44"/>
    <mergeCell ref="C45:E45"/>
    <mergeCell ref="C46:E46"/>
    <mergeCell ref="B47:E47"/>
    <mergeCell ref="B50:J50"/>
    <mergeCell ref="B52:J52"/>
    <mergeCell ref="B54:J54"/>
    <mergeCell ref="B55:J55"/>
    <mergeCell ref="B57:J57"/>
    <mergeCell ref="B60:J60"/>
    <mergeCell ref="B61:J61"/>
    <mergeCell ref="B62:J62"/>
    <mergeCell ref="B63:J63"/>
    <mergeCell ref="B64:J64"/>
    <mergeCell ref="B65:J65"/>
    <mergeCell ref="B67:J67"/>
    <mergeCell ref="B69:J69"/>
    <mergeCell ref="B70:J70"/>
  </mergeCells>
  <pageMargins left="0.39375" right="0.1965278" top="0.5902778" bottom="0.39375" header="0" footer="0.1965278"/>
  <pageSetup r:id="rId1" paperSize="9" orientation="portrait" horizontalDpi="300" verticalDpi="300" fitToHeight="9999"/>
  <headerFooter alignWithMargins="0">
    <oddFooter xml:space="preserve">&amp;L&amp;9Zpracováno programem &amp;"Arial CE,tučné"BUILDpower S,  © RTS, a.s.&amp;R&amp;9Stránka &amp;P z &amp;N</oddFooter>
  </headerFooter>
  <rowBreaks count="2" manualBreakCount="2">
    <brk id="36" man="1" max="9"/>
    <brk id="127" man="1" max="9"/>
  </rowBreaks>
  <legacyDrawing r:id="rId2"/>
</worksheet>
</file>

<file path=xl/worksheets/sheet3.xml><?xml version="1.0" encoding="utf-8"?>
<worksheet xmlns:r="http://schemas.openxmlformats.org/officeDocument/2006/relationships" xmlns="http://schemas.openxmlformats.org/spreadsheetml/2006/main">
  <sheetPr codeName="List4">
    <tabColor rgb="FFFF9966"/>
  </sheetPr>
  <sheetViews>
    <sheetView workbookViewId="0">
      <pane activePane="bottomLeft" state="frozen" topLeftCell="A8" ySplit="7"/>
      <selection pane="bottomLeft" activeCell="I8" sqref="I8"/>
    </sheetView>
  </sheetViews>
  <sheetFormatPr defaultRowHeight="12.75"/>
  <cols>
    <col min="1" max="1" width="4.402344" style="180" customWidth="1"/>
    <col min="2" max="2" width="14.54297" style="180" customWidth="1"/>
    <col min="3" max="3" width="38.40234" style="181" customWidth="1"/>
    <col min="4" max="4" width="4.691406" style="180" customWidth="1"/>
    <col min="5" max="5" width="10.69141" style="180" customWidth="1"/>
    <col min="6" max="6" width="9.972656" style="180" customWidth="1"/>
    <col min="7" max="7" width="12.83203" style="180" customWidth="1"/>
    <col min="8" max="16384" width="9.261719" style="180"/>
  </cols>
  <sheetData>
    <row r="1" ht="15.75">
      <c r="A1" s="182" t="s">
        <v>171</v>
      </c>
      <c r="B1" s="182"/>
      <c r="C1" s="183"/>
      <c r="D1" s="182"/>
      <c r="E1" s="182"/>
      <c r="F1" s="182"/>
      <c r="G1" s="182"/>
    </row>
    <row r="2" ht="24.95" customHeight="1">
      <c r="A2" s="184" t="s">
        <v>172</v>
      </c>
      <c r="B2" s="185"/>
      <c r="C2" s="186"/>
      <c r="D2" s="186"/>
      <c r="E2" s="186"/>
      <c r="F2" s="186"/>
      <c r="G2" s="187"/>
    </row>
    <row r="3" ht="24.95" customHeight="1">
      <c r="A3" s="184" t="s">
        <v>173</v>
      </c>
      <c r="B3" s="185"/>
      <c r="C3" s="186"/>
      <c r="D3" s="186"/>
      <c r="E3" s="186"/>
      <c r="F3" s="186"/>
      <c r="G3" s="187"/>
    </row>
    <row r="4" ht="24.95" customHeight="1">
      <c r="A4" s="184" t="s">
        <v>174</v>
      </c>
      <c r="B4" s="185"/>
      <c r="C4" s="186"/>
      <c r="D4" s="186"/>
      <c r="E4" s="186"/>
      <c r="F4" s="186"/>
      <c r="G4" s="187"/>
    </row>
    <row r="5">
      <c r="B5" s="188"/>
      <c r="C5" s="189"/>
      <c r="D5" s="190"/>
    </row>
  </sheetData>
  <sheetProtection sheet="1" formatRows="0" spinCount="100000" saltValue="Qon00Kesf0mMSe7udyz5Dw==" hashValue="J66eRr1Iw+Tb+lxHzXcc+O2VsShQb5STIJC3Gd4CxH1zVulqc+bZrmLEM42RHA3JLX6arYWk7OpVOJ+kAbDBiw==" algorithmName="SHA-512"/>
  <mergeCells count="4">
    <mergeCell ref="A1:G1"/>
    <mergeCell ref="C2:G2"/>
    <mergeCell ref="C3:G3"/>
    <mergeCell ref="C4:G4"/>
  </mergeCells>
  <pageMargins left="0.5902778" right="0.39375" top="0.5902778" bottom="0.9840278" header="0.1965278" footer="0.5118055"/>
  <pageSetup r:id="rId1" paperSize="9" orientation="portrait"/>
  <headerFooter alignWithMargins="0">
    <oddFooter xml:space="preserve">&amp;L&amp;9Zpracováno programem &amp;"Arial CE,Tučné"BUILDpower S,  © RTS, a.s.&amp;R&amp;"Arial,Obyčejné"Strana &amp;P z &amp;N</oddFooter>
  </headerFooter>
</worksheet>
</file>

<file path=xl/worksheets/sheet4.xml><?xml version="1.0" encoding="utf-8"?>
<worksheet xmlns:r="http://schemas.openxmlformats.org/officeDocument/2006/relationships" xmlns="http://schemas.openxmlformats.org/spreadsheetml/2006/main">
  <sheetPr>
    <outlinePr summaryBelow="0"/>
  </sheetPr>
  <sheetViews>
    <sheetView workbookViewId="0">
      <pane activePane="bottomLeft" state="frozen" topLeftCell="A8" ySplit="7"/>
      <selection pane="bottomLeft" activeCell="A1" sqref="A1:G1"/>
    </sheetView>
  </sheetViews>
  <sheetFormatPr defaultRowHeight="12.75" outlineLevelRow="3"/>
  <cols>
    <col min="1" max="1" width="3.542969" customWidth="1"/>
    <col min="2" max="2" width="12.69141" style="191" customWidth="1"/>
    <col min="3" max="3" width="38.40234" style="191" customWidth="1"/>
    <col min="4" max="4" width="4.972656" customWidth="1"/>
    <col min="5" max="5" width="10.69141" customWidth="1"/>
    <col min="6" max="6" width="9.972656" customWidth="1"/>
    <col min="7" max="7" width="12.83203" customWidth="1"/>
    <col min="8" max="25" hidden="1" customWidth="1"/>
    <col min="29" max="29" hidden="1" customWidth="1"/>
    <col min="31" max="41" hidden="1" customWidth="1"/>
    <col min="53" max="53" width="73.83203" customWidth="1"/>
  </cols>
  <sheetData>
    <row r="1" ht="15.75" customHeight="1">
      <c r="A1" s="192" t="s">
        <v>171</v>
      </c>
      <c r="B1" s="192"/>
      <c r="C1" s="192"/>
      <c r="D1" s="192"/>
      <c r="E1" s="192"/>
      <c r="F1" s="192"/>
      <c r="G1" s="192"/>
      <c r="AG1" t="s">
        <v>175</v>
      </c>
    </row>
    <row r="2" ht="24.95" customHeight="1">
      <c r="A2" s="193" t="s">
        <v>172</v>
      </c>
      <c r="B2" s="185" t="s">
        <v>5</v>
      </c>
      <c r="C2" s="185" t="s">
        <v>6</v>
      </c>
      <c r="D2" s="194"/>
      <c r="E2" s="194"/>
      <c r="F2" s="194"/>
      <c r="G2" s="195"/>
      <c r="AG2" t="s">
        <v>176</v>
      </c>
    </row>
    <row r="3" ht="24.95" customHeight="1">
      <c r="A3" s="193" t="s">
        <v>173</v>
      </c>
      <c r="B3" s="185" t="s">
        <v>55</v>
      </c>
      <c r="C3" s="185" t="s">
        <v>56</v>
      </c>
      <c r="D3" s="194"/>
      <c r="E3" s="194"/>
      <c r="F3" s="194"/>
      <c r="G3" s="195"/>
      <c r="AC3" s="191" t="s">
        <v>176</v>
      </c>
      <c r="AG3" t="s">
        <v>177</v>
      </c>
    </row>
    <row r="4" ht="24.95" customHeight="1">
      <c r="A4" s="196" t="s">
        <v>174</v>
      </c>
      <c r="B4" s="197" t="s">
        <v>57</v>
      </c>
      <c r="C4" s="197" t="s">
        <v>58</v>
      </c>
      <c r="D4" s="198"/>
      <c r="E4" s="198"/>
      <c r="F4" s="198"/>
      <c r="G4" s="199"/>
      <c r="AG4" t="s">
        <v>178</v>
      </c>
    </row>
    <row r="5">
      <c r="D5" s="123"/>
    </row>
    <row r="6" ht="38.25">
      <c r="A6" s="200" t="s">
        <v>179</v>
      </c>
      <c r="B6" s="201" t="s">
        <v>180</v>
      </c>
      <c r="C6" s="201" t="s">
        <v>181</v>
      </c>
      <c r="D6" s="202" t="s">
        <v>182</v>
      </c>
      <c r="E6" s="200" t="s">
        <v>183</v>
      </c>
      <c r="F6" s="203" t="s">
        <v>184</v>
      </c>
      <c r="G6" s="200" t="s">
        <v>26</v>
      </c>
      <c r="H6" s="204" t="s">
        <v>185</v>
      </c>
      <c r="I6" s="204" t="s">
        <v>186</v>
      </c>
      <c r="J6" s="204" t="s">
        <v>187</v>
      </c>
      <c r="K6" s="204" t="s">
        <v>188</v>
      </c>
      <c r="L6" s="204" t="s">
        <v>189</v>
      </c>
      <c r="M6" s="204" t="s">
        <v>190</v>
      </c>
      <c r="N6" s="204" t="s">
        <v>191</v>
      </c>
      <c r="O6" s="204" t="s">
        <v>192</v>
      </c>
      <c r="P6" s="204" t="s">
        <v>193</v>
      </c>
      <c r="Q6" s="204" t="s">
        <v>194</v>
      </c>
      <c r="R6" s="204" t="s">
        <v>195</v>
      </c>
      <c r="S6" s="204" t="s">
        <v>196</v>
      </c>
      <c r="T6" s="204" t="s">
        <v>197</v>
      </c>
      <c r="U6" s="204" t="s">
        <v>198</v>
      </c>
      <c r="V6" s="204" t="s">
        <v>199</v>
      </c>
      <c r="W6" s="204" t="s">
        <v>200</v>
      </c>
      <c r="X6" s="204" t="s">
        <v>201</v>
      </c>
      <c r="Y6" s="204" t="s">
        <v>202</v>
      </c>
    </row>
    <row r="7" hidden="1">
      <c r="A7" s="180"/>
      <c r="B7" s="188"/>
      <c r="C7" s="188"/>
      <c r="D7" s="190"/>
      <c r="E7" s="205"/>
      <c r="F7" s="206"/>
      <c r="G7" s="206"/>
      <c r="H7" s="206"/>
      <c r="I7" s="206"/>
      <c r="J7" s="206"/>
      <c r="K7" s="206"/>
      <c r="L7" s="206"/>
      <c r="M7" s="206"/>
      <c r="N7" s="205"/>
      <c r="O7" s="205"/>
      <c r="P7" s="205"/>
      <c r="Q7" s="205"/>
      <c r="R7" s="206"/>
      <c r="S7" s="206"/>
      <c r="T7" s="206"/>
      <c r="U7" s="206"/>
      <c r="V7" s="206"/>
      <c r="W7" s="206"/>
      <c r="X7" s="206"/>
      <c r="Y7" s="206"/>
    </row>
    <row r="8">
      <c r="A8" s="207" t="s">
        <v>203</v>
      </c>
      <c r="B8" s="208" t="s">
        <v>125</v>
      </c>
      <c r="C8" s="209" t="s">
        <v>126</v>
      </c>
      <c r="D8" s="210"/>
      <c r="E8" s="211"/>
      <c r="F8" s="212"/>
      <c r="G8" s="213">
        <f>SUMIF(AG9:AG35,"&lt;&gt;NOR",G9:G35)</f>
        <v>0</v>
      </c>
      <c r="H8" s="214"/>
      <c r="I8" s="214">
        <f>SUM(I9:I35)</f>
        <v>0</v>
      </c>
      <c r="J8" s="214"/>
      <c r="K8" s="214">
        <f>SUM(K9:K35)</f>
        <v>0</v>
      </c>
      <c r="L8" s="214"/>
      <c r="M8" s="214">
        <f>SUM(M9:M35)</f>
        <v>0</v>
      </c>
      <c r="N8" s="215"/>
      <c r="O8" s="215">
        <f>SUM(O9:O35)</f>
        <v>140.91999999999999</v>
      </c>
      <c r="P8" s="215"/>
      <c r="Q8" s="215">
        <f>SUM(Q9:Q35)</f>
        <v>57.469999999999999</v>
      </c>
      <c r="R8" s="214"/>
      <c r="S8" s="214"/>
      <c r="T8" s="214"/>
      <c r="U8" s="214"/>
      <c r="V8" s="214">
        <f>SUM(V9:V35)</f>
        <v>0</v>
      </c>
      <c r="W8" s="214"/>
      <c r="X8" s="214"/>
      <c r="Y8" s="214"/>
      <c r="AG8" t="s">
        <v>204</v>
      </c>
    </row>
    <row r="9" outlineLevel="1" ht="22.5">
      <c r="A9" s="216">
        <v>1</v>
      </c>
      <c r="B9" s="217" t="s">
        <v>205</v>
      </c>
      <c r="C9" s="218" t="s">
        <v>206</v>
      </c>
      <c r="D9" s="219" t="s">
        <v>207</v>
      </c>
      <c r="E9" s="220">
        <v>198.16499999999999</v>
      </c>
      <c r="F9" s="221"/>
      <c r="G9" s="222">
        <f>ROUND(E9*F9,2)</f>
        <v>0</v>
      </c>
      <c r="H9" s="223"/>
      <c r="I9" s="224">
        <f>ROUND(E9*H9,2)</f>
        <v>0</v>
      </c>
      <c r="J9" s="223"/>
      <c r="K9" s="224">
        <f>ROUND(E9*J9,2)</f>
        <v>0</v>
      </c>
      <c r="L9" s="224">
        <v>21</v>
      </c>
      <c r="M9" s="224">
        <f>G9*(1+L9/100)</f>
        <v>0</v>
      </c>
      <c r="N9" s="225">
        <v>0</v>
      </c>
      <c r="O9" s="225">
        <f>ROUND(E9*N9,2)</f>
        <v>0</v>
      </c>
      <c r="P9" s="225">
        <v>0.28999999999999998</v>
      </c>
      <c r="Q9" s="225">
        <f>ROUND(E9*P9,2)</f>
        <v>57.469999999999999</v>
      </c>
      <c r="R9" s="224"/>
      <c r="S9" s="224" t="s">
        <v>208</v>
      </c>
      <c r="T9" s="224" t="s">
        <v>209</v>
      </c>
      <c r="U9" s="224">
        <v>0</v>
      </c>
      <c r="V9" s="224">
        <f>ROUND(E9*U9,2)</f>
        <v>0</v>
      </c>
      <c r="W9" s="224"/>
      <c r="X9" s="224" t="s">
        <v>210</v>
      </c>
      <c r="Y9" s="224" t="s">
        <v>211</v>
      </c>
      <c r="Z9" s="226"/>
      <c r="AA9" s="226"/>
      <c r="AB9" s="226"/>
      <c r="AC9" s="226"/>
      <c r="AD9" s="226"/>
      <c r="AE9" s="226"/>
      <c r="AF9" s="226"/>
      <c r="AG9" s="226" t="s">
        <v>212</v>
      </c>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row>
    <row r="10" outlineLevel="2">
      <c r="A10" s="227"/>
      <c r="B10" s="228"/>
      <c r="C10" s="229" t="s">
        <v>213</v>
      </c>
      <c r="D10" s="230"/>
      <c r="E10" s="230"/>
      <c r="F10" s="230"/>
      <c r="G10" s="230"/>
      <c r="H10" s="224"/>
      <c r="I10" s="224"/>
      <c r="J10" s="224"/>
      <c r="K10" s="224"/>
      <c r="L10" s="224"/>
      <c r="M10" s="224"/>
      <c r="N10" s="225"/>
      <c r="O10" s="225"/>
      <c r="P10" s="225"/>
      <c r="Q10" s="225"/>
      <c r="R10" s="224"/>
      <c r="S10" s="224"/>
      <c r="T10" s="224"/>
      <c r="U10" s="224"/>
      <c r="V10" s="224"/>
      <c r="W10" s="224"/>
      <c r="X10" s="224"/>
      <c r="Y10" s="224"/>
      <c r="Z10" s="226"/>
      <c r="AA10" s="226"/>
      <c r="AB10" s="226"/>
      <c r="AC10" s="226"/>
      <c r="AD10" s="226"/>
      <c r="AE10" s="226"/>
      <c r="AF10" s="226"/>
      <c r="AG10" s="226" t="s">
        <v>214</v>
      </c>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row>
    <row r="11" outlineLevel="3">
      <c r="A11" s="227"/>
      <c r="B11" s="228"/>
      <c r="C11" s="231" t="s">
        <v>215</v>
      </c>
      <c r="D11" s="232"/>
      <c r="E11" s="232"/>
      <c r="F11" s="232"/>
      <c r="G11" s="232"/>
      <c r="H11" s="224"/>
      <c r="I11" s="224"/>
      <c r="J11" s="224"/>
      <c r="K11" s="224"/>
      <c r="L11" s="224"/>
      <c r="M11" s="224"/>
      <c r="N11" s="225"/>
      <c r="O11" s="225"/>
      <c r="P11" s="225"/>
      <c r="Q11" s="225"/>
      <c r="R11" s="224"/>
      <c r="S11" s="224"/>
      <c r="T11" s="224"/>
      <c r="U11" s="224"/>
      <c r="V11" s="224"/>
      <c r="W11" s="224"/>
      <c r="X11" s="224"/>
      <c r="Y11" s="224"/>
      <c r="Z11" s="226"/>
      <c r="AA11" s="226"/>
      <c r="AB11" s="226"/>
      <c r="AC11" s="226"/>
      <c r="AD11" s="226"/>
      <c r="AE11" s="226"/>
      <c r="AF11" s="226"/>
      <c r="AG11" s="226" t="s">
        <v>214</v>
      </c>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row>
    <row r="12" outlineLevel="2">
      <c r="A12" s="227"/>
      <c r="B12" s="228"/>
      <c r="C12" s="233" t="s">
        <v>216</v>
      </c>
      <c r="D12" s="234"/>
      <c r="E12" s="235"/>
      <c r="F12" s="224"/>
      <c r="G12" s="224"/>
      <c r="H12" s="224"/>
      <c r="I12" s="224"/>
      <c r="J12" s="224"/>
      <c r="K12" s="224"/>
      <c r="L12" s="224"/>
      <c r="M12" s="224"/>
      <c r="N12" s="225"/>
      <c r="O12" s="225"/>
      <c r="P12" s="225"/>
      <c r="Q12" s="225"/>
      <c r="R12" s="224"/>
      <c r="S12" s="224"/>
      <c r="T12" s="224"/>
      <c r="U12" s="224"/>
      <c r="V12" s="224"/>
      <c r="W12" s="224"/>
      <c r="X12" s="224"/>
      <c r="Y12" s="224"/>
      <c r="Z12" s="226"/>
      <c r="AA12" s="226"/>
      <c r="AB12" s="226"/>
      <c r="AC12" s="226"/>
      <c r="AD12" s="226"/>
      <c r="AE12" s="226"/>
      <c r="AF12" s="226"/>
      <c r="AG12" s="226" t="s">
        <v>217</v>
      </c>
      <c r="AH12" s="226">
        <v>0</v>
      </c>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row>
    <row r="13" outlineLevel="3">
      <c r="A13" s="227"/>
      <c r="B13" s="228"/>
      <c r="C13" s="233" t="s">
        <v>218</v>
      </c>
      <c r="D13" s="234"/>
      <c r="E13" s="235">
        <v>198.16</v>
      </c>
      <c r="F13" s="224"/>
      <c r="G13" s="224"/>
      <c r="H13" s="224"/>
      <c r="I13" s="224"/>
      <c r="J13" s="224"/>
      <c r="K13" s="224"/>
      <c r="L13" s="224"/>
      <c r="M13" s="224"/>
      <c r="N13" s="225"/>
      <c r="O13" s="225"/>
      <c r="P13" s="225"/>
      <c r="Q13" s="225"/>
      <c r="R13" s="224"/>
      <c r="S13" s="224"/>
      <c r="T13" s="224"/>
      <c r="U13" s="224"/>
      <c r="V13" s="224"/>
      <c r="W13" s="224"/>
      <c r="X13" s="224"/>
      <c r="Y13" s="224"/>
      <c r="Z13" s="226"/>
      <c r="AA13" s="226"/>
      <c r="AB13" s="226"/>
      <c r="AC13" s="226"/>
      <c r="AD13" s="226"/>
      <c r="AE13" s="226"/>
      <c r="AF13" s="226"/>
      <c r="AG13" s="226" t="s">
        <v>217</v>
      </c>
      <c r="AH13" s="226">
        <v>0</v>
      </c>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row>
    <row r="14" outlineLevel="1" ht="22.5">
      <c r="A14" s="216">
        <v>2</v>
      </c>
      <c r="B14" s="217" t="s">
        <v>219</v>
      </c>
      <c r="C14" s="218" t="s">
        <v>220</v>
      </c>
      <c r="D14" s="219" t="s">
        <v>221</v>
      </c>
      <c r="E14" s="220">
        <v>88.072999999999993</v>
      </c>
      <c r="F14" s="221"/>
      <c r="G14" s="222">
        <f>ROUND(E14*F14,2)</f>
        <v>0</v>
      </c>
      <c r="H14" s="223"/>
      <c r="I14" s="224">
        <f>ROUND(E14*H14,2)</f>
        <v>0</v>
      </c>
      <c r="J14" s="223"/>
      <c r="K14" s="224">
        <f>ROUND(E14*J14,2)</f>
        <v>0</v>
      </c>
      <c r="L14" s="224">
        <v>21</v>
      </c>
      <c r="M14" s="224">
        <f>G14*(1+L14/100)</f>
        <v>0</v>
      </c>
      <c r="N14" s="225">
        <v>0</v>
      </c>
      <c r="O14" s="225">
        <f>ROUND(E14*N14,2)</f>
        <v>0</v>
      </c>
      <c r="P14" s="225">
        <v>0</v>
      </c>
      <c r="Q14" s="225">
        <f>ROUND(E14*P14,2)</f>
        <v>0</v>
      </c>
      <c r="R14" s="224"/>
      <c r="S14" s="224" t="s">
        <v>208</v>
      </c>
      <c r="T14" s="224" t="s">
        <v>209</v>
      </c>
      <c r="U14" s="224">
        <v>0</v>
      </c>
      <c r="V14" s="224">
        <f>ROUND(E14*U14,2)</f>
        <v>0</v>
      </c>
      <c r="W14" s="224"/>
      <c r="X14" s="224" t="s">
        <v>210</v>
      </c>
      <c r="Y14" s="224" t="s">
        <v>211</v>
      </c>
      <c r="Z14" s="226"/>
      <c r="AA14" s="226"/>
      <c r="AB14" s="226"/>
      <c r="AC14" s="226"/>
      <c r="AD14" s="226"/>
      <c r="AE14" s="226"/>
      <c r="AF14" s="226"/>
      <c r="AG14" s="226" t="s">
        <v>212</v>
      </c>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row>
    <row r="15" outlineLevel="2">
      <c r="A15" s="227"/>
      <c r="B15" s="228"/>
      <c r="C15" s="229" t="s">
        <v>213</v>
      </c>
      <c r="D15" s="230"/>
      <c r="E15" s="230"/>
      <c r="F15" s="230"/>
      <c r="G15" s="230"/>
      <c r="H15" s="224"/>
      <c r="I15" s="224"/>
      <c r="J15" s="224"/>
      <c r="K15" s="224"/>
      <c r="L15" s="224"/>
      <c r="M15" s="224"/>
      <c r="N15" s="225"/>
      <c r="O15" s="225"/>
      <c r="P15" s="225"/>
      <c r="Q15" s="225"/>
      <c r="R15" s="224"/>
      <c r="S15" s="224"/>
      <c r="T15" s="224"/>
      <c r="U15" s="224"/>
      <c r="V15" s="224"/>
      <c r="W15" s="224"/>
      <c r="X15" s="224"/>
      <c r="Y15" s="224"/>
      <c r="Z15" s="226"/>
      <c r="AA15" s="226"/>
      <c r="AB15" s="226"/>
      <c r="AC15" s="226"/>
      <c r="AD15" s="226"/>
      <c r="AE15" s="226"/>
      <c r="AF15" s="226"/>
      <c r="AG15" s="226" t="s">
        <v>214</v>
      </c>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row>
    <row r="16" outlineLevel="3" ht="22.5">
      <c r="A16" s="227"/>
      <c r="B16" s="228"/>
      <c r="C16" s="231" t="s">
        <v>222</v>
      </c>
      <c r="D16" s="232"/>
      <c r="E16" s="232"/>
      <c r="F16" s="232"/>
      <c r="G16" s="232"/>
      <c r="H16" s="224"/>
      <c r="I16" s="224"/>
      <c r="J16" s="224"/>
      <c r="K16" s="224"/>
      <c r="L16" s="224"/>
      <c r="M16" s="224"/>
      <c r="N16" s="225"/>
      <c r="O16" s="225"/>
      <c r="P16" s="225"/>
      <c r="Q16" s="225"/>
      <c r="R16" s="224"/>
      <c r="S16" s="224"/>
      <c r="T16" s="224"/>
      <c r="U16" s="224"/>
      <c r="V16" s="224"/>
      <c r="W16" s="224"/>
      <c r="X16" s="224"/>
      <c r="Y16" s="224"/>
      <c r="Z16" s="226"/>
      <c r="AA16" s="226"/>
      <c r="AB16" s="226"/>
      <c r="AC16" s="226"/>
      <c r="AD16" s="226"/>
      <c r="AE16" s="226"/>
      <c r="AF16" s="226"/>
      <c r="AG16" s="226" t="s">
        <v>214</v>
      </c>
      <c r="AH16" s="226"/>
      <c r="AI16" s="226"/>
      <c r="AJ16" s="226"/>
      <c r="AK16" s="226"/>
      <c r="AL16" s="226"/>
      <c r="AM16" s="226"/>
      <c r="AN16" s="226"/>
      <c r="AO16" s="226"/>
      <c r="AP16" s="226"/>
      <c r="AQ16" s="226"/>
      <c r="AR16" s="226"/>
      <c r="AS16" s="226"/>
      <c r="AT16" s="226"/>
      <c r="AU16" s="226"/>
      <c r="AV16" s="226"/>
      <c r="AW16" s="226"/>
      <c r="AX16" s="226"/>
      <c r="AY16" s="226"/>
      <c r="AZ16" s="226"/>
      <c r="BA16" s="236" t="str">
        <f>C16</f>
        <v>V cenách je započteno přemístění sypaniny ze vzdálenosti 10 m od kraje výkopu nebo zasypávaného prostoru.</v>
      </c>
      <c r="BB16" s="226"/>
      <c r="BC16" s="226"/>
      <c r="BD16" s="226"/>
      <c r="BE16" s="226"/>
      <c r="BF16" s="226"/>
      <c r="BG16" s="226"/>
      <c r="BH16" s="226"/>
    </row>
    <row r="17" outlineLevel="2" ht="22.5">
      <c r="A17" s="227"/>
      <c r="B17" s="228"/>
      <c r="C17" s="233" t="s">
        <v>223</v>
      </c>
      <c r="D17" s="234"/>
      <c r="E17" s="235"/>
      <c r="F17" s="224"/>
      <c r="G17" s="224"/>
      <c r="H17" s="224"/>
      <c r="I17" s="224"/>
      <c r="J17" s="224"/>
      <c r="K17" s="224"/>
      <c r="L17" s="224"/>
      <c r="M17" s="224"/>
      <c r="N17" s="225"/>
      <c r="O17" s="225"/>
      <c r="P17" s="225"/>
      <c r="Q17" s="225"/>
      <c r="R17" s="224"/>
      <c r="S17" s="224"/>
      <c r="T17" s="224"/>
      <c r="U17" s="224"/>
      <c r="V17" s="224"/>
      <c r="W17" s="224"/>
      <c r="X17" s="224"/>
      <c r="Y17" s="224"/>
      <c r="Z17" s="226"/>
      <c r="AA17" s="226"/>
      <c r="AB17" s="226"/>
      <c r="AC17" s="226"/>
      <c r="AD17" s="226"/>
      <c r="AE17" s="226"/>
      <c r="AF17" s="226"/>
      <c r="AG17" s="226" t="s">
        <v>217</v>
      </c>
      <c r="AH17" s="226">
        <v>0</v>
      </c>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row>
    <row r="18" outlineLevel="3">
      <c r="A18" s="227"/>
      <c r="B18" s="228"/>
      <c r="C18" s="233" t="s">
        <v>224</v>
      </c>
      <c r="D18" s="234"/>
      <c r="E18" s="235"/>
      <c r="F18" s="224"/>
      <c r="G18" s="224"/>
      <c r="H18" s="224"/>
      <c r="I18" s="224"/>
      <c r="J18" s="224"/>
      <c r="K18" s="224"/>
      <c r="L18" s="224"/>
      <c r="M18" s="224"/>
      <c r="N18" s="225"/>
      <c r="O18" s="225"/>
      <c r="P18" s="225"/>
      <c r="Q18" s="225"/>
      <c r="R18" s="224"/>
      <c r="S18" s="224"/>
      <c r="T18" s="224"/>
      <c r="U18" s="224"/>
      <c r="V18" s="224"/>
      <c r="W18" s="224"/>
      <c r="X18" s="224"/>
      <c r="Y18" s="224"/>
      <c r="Z18" s="226"/>
      <c r="AA18" s="226"/>
      <c r="AB18" s="226"/>
      <c r="AC18" s="226"/>
      <c r="AD18" s="226"/>
      <c r="AE18" s="226"/>
      <c r="AF18" s="226"/>
      <c r="AG18" s="226" t="s">
        <v>217</v>
      </c>
      <c r="AH18" s="226">
        <v>0</v>
      </c>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row>
    <row r="19" outlineLevel="3">
      <c r="A19" s="227"/>
      <c r="B19" s="228"/>
      <c r="C19" s="233" t="s">
        <v>225</v>
      </c>
      <c r="D19" s="234"/>
      <c r="E19" s="235"/>
      <c r="F19" s="224"/>
      <c r="G19" s="224"/>
      <c r="H19" s="224"/>
      <c r="I19" s="224"/>
      <c r="J19" s="224"/>
      <c r="K19" s="224"/>
      <c r="L19" s="224"/>
      <c r="M19" s="224"/>
      <c r="N19" s="225"/>
      <c r="O19" s="225"/>
      <c r="P19" s="225"/>
      <c r="Q19" s="225"/>
      <c r="R19" s="224"/>
      <c r="S19" s="224"/>
      <c r="T19" s="224"/>
      <c r="U19" s="224"/>
      <c r="V19" s="224"/>
      <c r="W19" s="224"/>
      <c r="X19" s="224"/>
      <c r="Y19" s="224"/>
      <c r="Z19" s="226"/>
      <c r="AA19" s="226"/>
      <c r="AB19" s="226"/>
      <c r="AC19" s="226"/>
      <c r="AD19" s="226"/>
      <c r="AE19" s="226"/>
      <c r="AF19" s="226"/>
      <c r="AG19" s="226" t="s">
        <v>217</v>
      </c>
      <c r="AH19" s="226">
        <v>0</v>
      </c>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row>
    <row r="20" outlineLevel="3">
      <c r="A20" s="227"/>
      <c r="B20" s="228"/>
      <c r="C20" s="233" t="s">
        <v>226</v>
      </c>
      <c r="D20" s="234"/>
      <c r="E20" s="235">
        <v>88.069999999999993</v>
      </c>
      <c r="F20" s="224"/>
      <c r="G20" s="224"/>
      <c r="H20" s="224"/>
      <c r="I20" s="224"/>
      <c r="J20" s="224"/>
      <c r="K20" s="224"/>
      <c r="L20" s="224"/>
      <c r="M20" s="224"/>
      <c r="N20" s="225"/>
      <c r="O20" s="225"/>
      <c r="P20" s="225"/>
      <c r="Q20" s="225"/>
      <c r="R20" s="224"/>
      <c r="S20" s="224"/>
      <c r="T20" s="224"/>
      <c r="U20" s="224"/>
      <c r="V20" s="224"/>
      <c r="W20" s="224"/>
      <c r="X20" s="224"/>
      <c r="Y20" s="224"/>
      <c r="Z20" s="226"/>
      <c r="AA20" s="226"/>
      <c r="AB20" s="226"/>
      <c r="AC20" s="226"/>
      <c r="AD20" s="226"/>
      <c r="AE20" s="226"/>
      <c r="AF20" s="226"/>
      <c r="AG20" s="226" t="s">
        <v>217</v>
      </c>
      <c r="AH20" s="226">
        <v>0</v>
      </c>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row>
    <row r="21" outlineLevel="1">
      <c r="A21" s="216">
        <v>3</v>
      </c>
      <c r="B21" s="217" t="s">
        <v>227</v>
      </c>
      <c r="C21" s="218" t="s">
        <v>228</v>
      </c>
      <c r="D21" s="219" t="s">
        <v>229</v>
      </c>
      <c r="E21" s="220">
        <v>140.917</v>
      </c>
      <c r="F21" s="221"/>
      <c r="G21" s="222">
        <f>ROUND(E21*F21,2)</f>
        <v>0</v>
      </c>
      <c r="H21" s="223"/>
      <c r="I21" s="224">
        <f>ROUND(E21*H21,2)</f>
        <v>0</v>
      </c>
      <c r="J21" s="223"/>
      <c r="K21" s="224">
        <f>ROUND(E21*J21,2)</f>
        <v>0</v>
      </c>
      <c r="L21" s="224">
        <v>21</v>
      </c>
      <c r="M21" s="224">
        <f>G21*(1+L21/100)</f>
        <v>0</v>
      </c>
      <c r="N21" s="225">
        <v>1</v>
      </c>
      <c r="O21" s="225">
        <f>ROUND(E21*N21,2)</f>
        <v>140.91999999999999</v>
      </c>
      <c r="P21" s="225">
        <v>0</v>
      </c>
      <c r="Q21" s="225">
        <f>ROUND(E21*P21,2)</f>
        <v>0</v>
      </c>
      <c r="R21" s="224"/>
      <c r="S21" s="224" t="s">
        <v>208</v>
      </c>
      <c r="T21" s="224" t="s">
        <v>209</v>
      </c>
      <c r="U21" s="224">
        <v>0</v>
      </c>
      <c r="V21" s="224">
        <f>ROUND(E21*U21,2)</f>
        <v>0</v>
      </c>
      <c r="W21" s="224"/>
      <c r="X21" s="224" t="s">
        <v>230</v>
      </c>
      <c r="Y21" s="224" t="s">
        <v>211</v>
      </c>
      <c r="Z21" s="226"/>
      <c r="AA21" s="226"/>
      <c r="AB21" s="226"/>
      <c r="AC21" s="226"/>
      <c r="AD21" s="226"/>
      <c r="AE21" s="226"/>
      <c r="AF21" s="226"/>
      <c r="AG21" s="226" t="s">
        <v>231</v>
      </c>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row>
    <row r="22" outlineLevel="2">
      <c r="A22" s="227"/>
      <c r="B22" s="228"/>
      <c r="C22" s="233" t="s">
        <v>232</v>
      </c>
      <c r="D22" s="234"/>
      <c r="E22" s="235"/>
      <c r="F22" s="224"/>
      <c r="G22" s="224"/>
      <c r="H22" s="224"/>
      <c r="I22" s="224"/>
      <c r="J22" s="224"/>
      <c r="K22" s="224"/>
      <c r="L22" s="224"/>
      <c r="M22" s="224"/>
      <c r="N22" s="225"/>
      <c r="O22" s="225"/>
      <c r="P22" s="225"/>
      <c r="Q22" s="225"/>
      <c r="R22" s="224"/>
      <c r="S22" s="224"/>
      <c r="T22" s="224"/>
      <c r="U22" s="224"/>
      <c r="V22" s="224"/>
      <c r="W22" s="224"/>
      <c r="X22" s="224"/>
      <c r="Y22" s="224"/>
      <c r="Z22" s="226"/>
      <c r="AA22" s="226"/>
      <c r="AB22" s="226"/>
      <c r="AC22" s="226"/>
      <c r="AD22" s="226"/>
      <c r="AE22" s="226"/>
      <c r="AF22" s="226"/>
      <c r="AG22" s="226" t="s">
        <v>217</v>
      </c>
      <c r="AH22" s="226">
        <v>0</v>
      </c>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row>
    <row r="23" outlineLevel="3">
      <c r="A23" s="227"/>
      <c r="B23" s="228"/>
      <c r="C23" s="233" t="s">
        <v>233</v>
      </c>
      <c r="D23" s="234"/>
      <c r="E23" s="235">
        <v>140.91999999999999</v>
      </c>
      <c r="F23" s="224"/>
      <c r="G23" s="224"/>
      <c r="H23" s="224"/>
      <c r="I23" s="224"/>
      <c r="J23" s="224"/>
      <c r="K23" s="224"/>
      <c r="L23" s="224"/>
      <c r="M23" s="224"/>
      <c r="N23" s="225"/>
      <c r="O23" s="225"/>
      <c r="P23" s="225"/>
      <c r="Q23" s="225"/>
      <c r="R23" s="224"/>
      <c r="S23" s="224"/>
      <c r="T23" s="224"/>
      <c r="U23" s="224"/>
      <c r="V23" s="224"/>
      <c r="W23" s="224"/>
      <c r="X23" s="224"/>
      <c r="Y23" s="224"/>
      <c r="Z23" s="226"/>
      <c r="AA23" s="226"/>
      <c r="AB23" s="226"/>
      <c r="AC23" s="226"/>
      <c r="AD23" s="226"/>
      <c r="AE23" s="226"/>
      <c r="AF23" s="226"/>
      <c r="AG23" s="226" t="s">
        <v>217</v>
      </c>
      <c r="AH23" s="226">
        <v>0</v>
      </c>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row>
    <row r="24" outlineLevel="1" ht="33.75">
      <c r="A24" s="216">
        <v>4</v>
      </c>
      <c r="B24" s="217" t="s">
        <v>234</v>
      </c>
      <c r="C24" s="218" t="s">
        <v>235</v>
      </c>
      <c r="D24" s="219" t="s">
        <v>221</v>
      </c>
      <c r="E24" s="220">
        <v>88.072999999999993</v>
      </c>
      <c r="F24" s="221"/>
      <c r="G24" s="222">
        <f>ROUND(E24*F24,2)</f>
        <v>0</v>
      </c>
      <c r="H24" s="223"/>
      <c r="I24" s="224">
        <f>ROUND(E24*H24,2)</f>
        <v>0</v>
      </c>
      <c r="J24" s="223"/>
      <c r="K24" s="224">
        <f>ROUND(E24*J24,2)</f>
        <v>0</v>
      </c>
      <c r="L24" s="224">
        <v>21</v>
      </c>
      <c r="M24" s="224">
        <f>G24*(1+L24/100)</f>
        <v>0</v>
      </c>
      <c r="N24" s="225">
        <v>0</v>
      </c>
      <c r="O24" s="225">
        <f>ROUND(E24*N24,2)</f>
        <v>0</v>
      </c>
      <c r="P24" s="225">
        <v>0</v>
      </c>
      <c r="Q24" s="225">
        <f>ROUND(E24*P24,2)</f>
        <v>0</v>
      </c>
      <c r="R24" s="224"/>
      <c r="S24" s="224" t="s">
        <v>208</v>
      </c>
      <c r="T24" s="224" t="s">
        <v>209</v>
      </c>
      <c r="U24" s="224">
        <v>0</v>
      </c>
      <c r="V24" s="224">
        <f>ROUND(E24*U24,2)</f>
        <v>0</v>
      </c>
      <c r="W24" s="224"/>
      <c r="X24" s="224" t="s">
        <v>210</v>
      </c>
      <c r="Y24" s="224" t="s">
        <v>211</v>
      </c>
      <c r="Z24" s="226"/>
      <c r="AA24" s="226"/>
      <c r="AB24" s="226"/>
      <c r="AC24" s="226"/>
      <c r="AD24" s="226"/>
      <c r="AE24" s="226"/>
      <c r="AF24" s="226"/>
      <c r="AG24" s="226" t="s">
        <v>212</v>
      </c>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row>
    <row r="25" outlineLevel="2">
      <c r="A25" s="227"/>
      <c r="B25" s="228"/>
      <c r="C25" s="229" t="s">
        <v>213</v>
      </c>
      <c r="D25" s="230"/>
      <c r="E25" s="230"/>
      <c r="F25" s="230"/>
      <c r="G25" s="230"/>
      <c r="H25" s="224"/>
      <c r="I25" s="224"/>
      <c r="J25" s="224"/>
      <c r="K25" s="224"/>
      <c r="L25" s="224"/>
      <c r="M25" s="224"/>
      <c r="N25" s="225"/>
      <c r="O25" s="225"/>
      <c r="P25" s="225"/>
      <c r="Q25" s="225"/>
      <c r="R25" s="224"/>
      <c r="S25" s="224"/>
      <c r="T25" s="224"/>
      <c r="U25" s="224"/>
      <c r="V25" s="224"/>
      <c r="W25" s="224"/>
      <c r="X25" s="224"/>
      <c r="Y25" s="224"/>
      <c r="Z25" s="226"/>
      <c r="AA25" s="226"/>
      <c r="AB25" s="226"/>
      <c r="AC25" s="226"/>
      <c r="AD25" s="226"/>
      <c r="AE25" s="226"/>
      <c r="AF25" s="226"/>
      <c r="AG25" s="226" t="s">
        <v>214</v>
      </c>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row>
    <row r="26" outlineLevel="3">
      <c r="A26" s="227"/>
      <c r="B26" s="228"/>
      <c r="C26" s="231" t="s">
        <v>236</v>
      </c>
      <c r="D26" s="232"/>
      <c r="E26" s="232"/>
      <c r="F26" s="232"/>
      <c r="G26" s="232"/>
      <c r="H26" s="224"/>
      <c r="I26" s="224"/>
      <c r="J26" s="224"/>
      <c r="K26" s="224"/>
      <c r="L26" s="224"/>
      <c r="M26" s="224"/>
      <c r="N26" s="225"/>
      <c r="O26" s="225"/>
      <c r="P26" s="225"/>
      <c r="Q26" s="225"/>
      <c r="R26" s="224"/>
      <c r="S26" s="224"/>
      <c r="T26" s="224"/>
      <c r="U26" s="224"/>
      <c r="V26" s="224"/>
      <c r="W26" s="224"/>
      <c r="X26" s="224"/>
      <c r="Y26" s="224"/>
      <c r="Z26" s="226"/>
      <c r="AA26" s="226"/>
      <c r="AB26" s="226"/>
      <c r="AC26" s="226"/>
      <c r="AD26" s="226"/>
      <c r="AE26" s="226"/>
      <c r="AF26" s="226"/>
      <c r="AG26" s="226" t="s">
        <v>214</v>
      </c>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row>
    <row r="27" outlineLevel="2" ht="22.5">
      <c r="A27" s="227"/>
      <c r="B27" s="228"/>
      <c r="C27" s="233" t="s">
        <v>223</v>
      </c>
      <c r="D27" s="234"/>
      <c r="E27" s="235"/>
      <c r="F27" s="224"/>
      <c r="G27" s="224"/>
      <c r="H27" s="224"/>
      <c r="I27" s="224"/>
      <c r="J27" s="224"/>
      <c r="K27" s="224"/>
      <c r="L27" s="224"/>
      <c r="M27" s="224"/>
      <c r="N27" s="225"/>
      <c r="O27" s="225"/>
      <c r="P27" s="225"/>
      <c r="Q27" s="225"/>
      <c r="R27" s="224"/>
      <c r="S27" s="224"/>
      <c r="T27" s="224"/>
      <c r="U27" s="224"/>
      <c r="V27" s="224"/>
      <c r="W27" s="224"/>
      <c r="X27" s="224"/>
      <c r="Y27" s="224"/>
      <c r="Z27" s="226"/>
      <c r="AA27" s="226"/>
      <c r="AB27" s="226"/>
      <c r="AC27" s="226"/>
      <c r="AD27" s="226"/>
      <c r="AE27" s="226"/>
      <c r="AF27" s="226"/>
      <c r="AG27" s="226" t="s">
        <v>217</v>
      </c>
      <c r="AH27" s="226">
        <v>0</v>
      </c>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row>
    <row r="28" outlineLevel="3">
      <c r="A28" s="227"/>
      <c r="B28" s="228"/>
      <c r="C28" s="233" t="s">
        <v>224</v>
      </c>
      <c r="D28" s="234"/>
      <c r="E28" s="235"/>
      <c r="F28" s="224"/>
      <c r="G28" s="224"/>
      <c r="H28" s="224"/>
      <c r="I28" s="224"/>
      <c r="J28" s="224"/>
      <c r="K28" s="224"/>
      <c r="L28" s="224"/>
      <c r="M28" s="224"/>
      <c r="N28" s="225"/>
      <c r="O28" s="225"/>
      <c r="P28" s="225"/>
      <c r="Q28" s="225"/>
      <c r="R28" s="224"/>
      <c r="S28" s="224"/>
      <c r="T28" s="224"/>
      <c r="U28" s="224"/>
      <c r="V28" s="224"/>
      <c r="W28" s="224"/>
      <c r="X28" s="224"/>
      <c r="Y28" s="224"/>
      <c r="Z28" s="226"/>
      <c r="AA28" s="226"/>
      <c r="AB28" s="226"/>
      <c r="AC28" s="226"/>
      <c r="AD28" s="226"/>
      <c r="AE28" s="226"/>
      <c r="AF28" s="226"/>
      <c r="AG28" s="226" t="s">
        <v>217</v>
      </c>
      <c r="AH28" s="226">
        <v>0</v>
      </c>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row>
    <row r="29" outlineLevel="3">
      <c r="A29" s="227"/>
      <c r="B29" s="228"/>
      <c r="C29" s="233" t="s">
        <v>225</v>
      </c>
      <c r="D29" s="234"/>
      <c r="E29" s="235"/>
      <c r="F29" s="224"/>
      <c r="G29" s="224"/>
      <c r="H29" s="224"/>
      <c r="I29" s="224"/>
      <c r="J29" s="224"/>
      <c r="K29" s="224"/>
      <c r="L29" s="224"/>
      <c r="M29" s="224"/>
      <c r="N29" s="225"/>
      <c r="O29" s="225"/>
      <c r="P29" s="225"/>
      <c r="Q29" s="225"/>
      <c r="R29" s="224"/>
      <c r="S29" s="224"/>
      <c r="T29" s="224"/>
      <c r="U29" s="224"/>
      <c r="V29" s="224"/>
      <c r="W29" s="224"/>
      <c r="X29" s="224"/>
      <c r="Y29" s="224"/>
      <c r="Z29" s="226"/>
      <c r="AA29" s="226"/>
      <c r="AB29" s="226"/>
      <c r="AC29" s="226"/>
      <c r="AD29" s="226"/>
      <c r="AE29" s="226"/>
      <c r="AF29" s="226"/>
      <c r="AG29" s="226" t="s">
        <v>217</v>
      </c>
      <c r="AH29" s="226">
        <v>0</v>
      </c>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row>
    <row r="30" outlineLevel="3">
      <c r="A30" s="227"/>
      <c r="B30" s="228"/>
      <c r="C30" s="233" t="s">
        <v>226</v>
      </c>
      <c r="D30" s="234"/>
      <c r="E30" s="235">
        <v>88.069999999999993</v>
      </c>
      <c r="F30" s="224"/>
      <c r="G30" s="224"/>
      <c r="H30" s="224"/>
      <c r="I30" s="224"/>
      <c r="J30" s="224"/>
      <c r="K30" s="224"/>
      <c r="L30" s="224"/>
      <c r="M30" s="224"/>
      <c r="N30" s="225"/>
      <c r="O30" s="225"/>
      <c r="P30" s="225"/>
      <c r="Q30" s="225"/>
      <c r="R30" s="224"/>
      <c r="S30" s="224"/>
      <c r="T30" s="224"/>
      <c r="U30" s="224"/>
      <c r="V30" s="224"/>
      <c r="W30" s="224"/>
      <c r="X30" s="224"/>
      <c r="Y30" s="224"/>
      <c r="Z30" s="226"/>
      <c r="AA30" s="226"/>
      <c r="AB30" s="226"/>
      <c r="AC30" s="226"/>
      <c r="AD30" s="226"/>
      <c r="AE30" s="226"/>
      <c r="AF30" s="226"/>
      <c r="AG30" s="226" t="s">
        <v>217</v>
      </c>
      <c r="AH30" s="226">
        <v>0</v>
      </c>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row>
    <row r="31" outlineLevel="1" ht="33.75">
      <c r="A31" s="216">
        <v>5</v>
      </c>
      <c r="B31" s="217" t="s">
        <v>237</v>
      </c>
      <c r="C31" s="218" t="s">
        <v>238</v>
      </c>
      <c r="D31" s="219" t="s">
        <v>207</v>
      </c>
      <c r="E31" s="220">
        <v>198.16499999999999</v>
      </c>
      <c r="F31" s="221"/>
      <c r="G31" s="222">
        <f>ROUND(E31*F31,2)</f>
        <v>0</v>
      </c>
      <c r="H31" s="223"/>
      <c r="I31" s="224">
        <f>ROUND(E31*H31,2)</f>
        <v>0</v>
      </c>
      <c r="J31" s="223"/>
      <c r="K31" s="224">
        <f>ROUND(E31*J31,2)</f>
        <v>0</v>
      </c>
      <c r="L31" s="224">
        <v>21</v>
      </c>
      <c r="M31" s="224">
        <f>G31*(1+L31/100)</f>
        <v>0</v>
      </c>
      <c r="N31" s="225">
        <v>0</v>
      </c>
      <c r="O31" s="225">
        <f>ROUND(E31*N31,2)</f>
        <v>0</v>
      </c>
      <c r="P31" s="225">
        <v>0</v>
      </c>
      <c r="Q31" s="225">
        <f>ROUND(E31*P31,2)</f>
        <v>0</v>
      </c>
      <c r="R31" s="224"/>
      <c r="S31" s="224" t="s">
        <v>208</v>
      </c>
      <c r="T31" s="224" t="s">
        <v>209</v>
      </c>
      <c r="U31" s="224">
        <v>0</v>
      </c>
      <c r="V31" s="224">
        <f>ROUND(E31*U31,2)</f>
        <v>0</v>
      </c>
      <c r="W31" s="224"/>
      <c r="X31" s="224" t="s">
        <v>210</v>
      </c>
      <c r="Y31" s="224" t="s">
        <v>211</v>
      </c>
      <c r="Z31" s="226"/>
      <c r="AA31" s="226"/>
      <c r="AB31" s="226"/>
      <c r="AC31" s="226"/>
      <c r="AD31" s="226"/>
      <c r="AE31" s="226"/>
      <c r="AF31" s="226"/>
      <c r="AG31" s="226" t="s">
        <v>212</v>
      </c>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row>
    <row r="32" outlineLevel="2">
      <c r="A32" s="227"/>
      <c r="B32" s="228"/>
      <c r="C32" s="229" t="s">
        <v>213</v>
      </c>
      <c r="D32" s="230"/>
      <c r="E32" s="230"/>
      <c r="F32" s="230"/>
      <c r="G32" s="230"/>
      <c r="H32" s="224"/>
      <c r="I32" s="224"/>
      <c r="J32" s="224"/>
      <c r="K32" s="224"/>
      <c r="L32" s="224"/>
      <c r="M32" s="224"/>
      <c r="N32" s="225"/>
      <c r="O32" s="225"/>
      <c r="P32" s="225"/>
      <c r="Q32" s="225"/>
      <c r="R32" s="224"/>
      <c r="S32" s="224"/>
      <c r="T32" s="224"/>
      <c r="U32" s="224"/>
      <c r="V32" s="224"/>
      <c r="W32" s="224"/>
      <c r="X32" s="224"/>
      <c r="Y32" s="224"/>
      <c r="Z32" s="226"/>
      <c r="AA32" s="226"/>
      <c r="AB32" s="226"/>
      <c r="AC32" s="226"/>
      <c r="AD32" s="226"/>
      <c r="AE32" s="226"/>
      <c r="AF32" s="226"/>
      <c r="AG32" s="226" t="s">
        <v>214</v>
      </c>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row>
    <row r="33" outlineLevel="3">
      <c r="A33" s="227"/>
      <c r="B33" s="228"/>
      <c r="C33" s="231" t="s">
        <v>239</v>
      </c>
      <c r="D33" s="232"/>
      <c r="E33" s="232"/>
      <c r="F33" s="232"/>
      <c r="G33" s="232"/>
      <c r="H33" s="224"/>
      <c r="I33" s="224"/>
      <c r="J33" s="224"/>
      <c r="K33" s="224"/>
      <c r="L33" s="224"/>
      <c r="M33" s="224"/>
      <c r="N33" s="225"/>
      <c r="O33" s="225"/>
      <c r="P33" s="225"/>
      <c r="Q33" s="225"/>
      <c r="R33" s="224"/>
      <c r="S33" s="224"/>
      <c r="T33" s="224"/>
      <c r="U33" s="224"/>
      <c r="V33" s="224"/>
      <c r="W33" s="224"/>
      <c r="X33" s="224"/>
      <c r="Y33" s="224"/>
      <c r="Z33" s="226"/>
      <c r="AA33" s="226"/>
      <c r="AB33" s="226"/>
      <c r="AC33" s="226"/>
      <c r="AD33" s="226"/>
      <c r="AE33" s="226"/>
      <c r="AF33" s="226"/>
      <c r="AG33" s="226" t="s">
        <v>214</v>
      </c>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6"/>
      <c r="BD33" s="226"/>
      <c r="BE33" s="226"/>
      <c r="BF33" s="226"/>
      <c r="BG33" s="226"/>
      <c r="BH33" s="226"/>
    </row>
    <row r="34" outlineLevel="2">
      <c r="A34" s="227"/>
      <c r="B34" s="228"/>
      <c r="C34" s="233" t="s">
        <v>216</v>
      </c>
      <c r="D34" s="234"/>
      <c r="E34" s="235"/>
      <c r="F34" s="224"/>
      <c r="G34" s="224"/>
      <c r="H34" s="224"/>
      <c r="I34" s="224"/>
      <c r="J34" s="224"/>
      <c r="K34" s="224"/>
      <c r="L34" s="224"/>
      <c r="M34" s="224"/>
      <c r="N34" s="225"/>
      <c r="O34" s="225"/>
      <c r="P34" s="225"/>
      <c r="Q34" s="225"/>
      <c r="R34" s="224"/>
      <c r="S34" s="224"/>
      <c r="T34" s="224"/>
      <c r="U34" s="224"/>
      <c r="V34" s="224"/>
      <c r="W34" s="224"/>
      <c r="X34" s="224"/>
      <c r="Y34" s="224"/>
      <c r="Z34" s="226"/>
      <c r="AA34" s="226"/>
      <c r="AB34" s="226"/>
      <c r="AC34" s="226"/>
      <c r="AD34" s="226"/>
      <c r="AE34" s="226"/>
      <c r="AF34" s="226"/>
      <c r="AG34" s="226" t="s">
        <v>217</v>
      </c>
      <c r="AH34" s="226">
        <v>0</v>
      </c>
      <c r="AI34" s="226"/>
      <c r="AJ34" s="226"/>
      <c r="AK34" s="226"/>
      <c r="AL34" s="226"/>
      <c r="AM34" s="226"/>
      <c r="AN34" s="226"/>
      <c r="AO34" s="226"/>
      <c r="AP34" s="226"/>
      <c r="AQ34" s="226"/>
      <c r="AR34" s="226"/>
      <c r="AS34" s="226"/>
      <c r="AT34" s="226"/>
      <c r="AU34" s="226"/>
      <c r="AV34" s="226"/>
      <c r="AW34" s="226"/>
      <c r="AX34" s="226"/>
      <c r="AY34" s="226"/>
      <c r="AZ34" s="226"/>
      <c r="BA34" s="226"/>
      <c r="BB34" s="226"/>
      <c r="BC34" s="226"/>
      <c r="BD34" s="226"/>
      <c r="BE34" s="226"/>
      <c r="BF34" s="226"/>
      <c r="BG34" s="226"/>
      <c r="BH34" s="226"/>
    </row>
    <row r="35" outlineLevel="3">
      <c r="A35" s="227"/>
      <c r="B35" s="228"/>
      <c r="C35" s="233" t="s">
        <v>218</v>
      </c>
      <c r="D35" s="234"/>
      <c r="E35" s="235">
        <v>198.16</v>
      </c>
      <c r="F35" s="224"/>
      <c r="G35" s="224"/>
      <c r="H35" s="224"/>
      <c r="I35" s="224"/>
      <c r="J35" s="224"/>
      <c r="K35" s="224"/>
      <c r="L35" s="224"/>
      <c r="M35" s="224"/>
      <c r="N35" s="225"/>
      <c r="O35" s="225"/>
      <c r="P35" s="225"/>
      <c r="Q35" s="225"/>
      <c r="R35" s="224"/>
      <c r="S35" s="224"/>
      <c r="T35" s="224"/>
      <c r="U35" s="224"/>
      <c r="V35" s="224"/>
      <c r="W35" s="224"/>
      <c r="X35" s="224"/>
      <c r="Y35" s="224"/>
      <c r="Z35" s="226"/>
      <c r="AA35" s="226"/>
      <c r="AB35" s="226"/>
      <c r="AC35" s="226"/>
      <c r="AD35" s="226"/>
      <c r="AE35" s="226"/>
      <c r="AF35" s="226"/>
      <c r="AG35" s="226" t="s">
        <v>217</v>
      </c>
      <c r="AH35" s="226">
        <v>0</v>
      </c>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row>
    <row r="36">
      <c r="A36" s="207" t="s">
        <v>203</v>
      </c>
      <c r="B36" s="208" t="s">
        <v>141</v>
      </c>
      <c r="C36" s="209" t="s">
        <v>142</v>
      </c>
      <c r="D36" s="210"/>
      <c r="E36" s="211"/>
      <c r="F36" s="212"/>
      <c r="G36" s="213">
        <f>SUMIF(AG37:AG70,"&lt;&gt;NOR",G37:G70)</f>
        <v>0</v>
      </c>
      <c r="H36" s="214"/>
      <c r="I36" s="214">
        <f>SUM(I37:I70)</f>
        <v>0</v>
      </c>
      <c r="J36" s="214"/>
      <c r="K36" s="214">
        <f>SUM(K37:K70)</f>
        <v>0</v>
      </c>
      <c r="L36" s="214"/>
      <c r="M36" s="214">
        <f>SUM(M37:M70)</f>
        <v>0</v>
      </c>
      <c r="N36" s="215"/>
      <c r="O36" s="215">
        <f>SUM(O37:O70)</f>
        <v>0</v>
      </c>
      <c r="P36" s="215"/>
      <c r="Q36" s="215">
        <f>SUM(Q37:Q70)</f>
        <v>295.58999999999997</v>
      </c>
      <c r="R36" s="214"/>
      <c r="S36" s="214"/>
      <c r="T36" s="214"/>
      <c r="U36" s="214"/>
      <c r="V36" s="214">
        <f>SUM(V37:V70)</f>
        <v>0</v>
      </c>
      <c r="W36" s="214"/>
      <c r="X36" s="214"/>
      <c r="Y36" s="214"/>
      <c r="AG36" t="s">
        <v>204</v>
      </c>
    </row>
    <row r="37" outlineLevel="1" ht="22.5">
      <c r="A37" s="216">
        <v>6</v>
      </c>
      <c r="B37" s="217" t="s">
        <v>240</v>
      </c>
      <c r="C37" s="218" t="s">
        <v>241</v>
      </c>
      <c r="D37" s="219" t="s">
        <v>221</v>
      </c>
      <c r="E37" s="220">
        <v>39.633000000000003</v>
      </c>
      <c r="F37" s="221"/>
      <c r="G37" s="222">
        <f>ROUND(E37*F37,2)</f>
        <v>0</v>
      </c>
      <c r="H37" s="223"/>
      <c r="I37" s="224">
        <f>ROUND(E37*H37,2)</f>
        <v>0</v>
      </c>
      <c r="J37" s="223"/>
      <c r="K37" s="224">
        <f>ROUND(E37*J37,2)</f>
        <v>0</v>
      </c>
      <c r="L37" s="224">
        <v>21</v>
      </c>
      <c r="M37" s="224">
        <f>G37*(1+L37/100)</f>
        <v>0</v>
      </c>
      <c r="N37" s="225">
        <v>0.00010000000000000001</v>
      </c>
      <c r="O37" s="225">
        <f>ROUND(E37*N37,2)</f>
        <v>0</v>
      </c>
      <c r="P37" s="225">
        <v>2.4100000000000001</v>
      </c>
      <c r="Q37" s="225">
        <f>ROUND(E37*P37,2)</f>
        <v>95.519999999999996</v>
      </c>
      <c r="R37" s="224"/>
      <c r="S37" s="224" t="s">
        <v>208</v>
      </c>
      <c r="T37" s="224" t="s">
        <v>209</v>
      </c>
      <c r="U37" s="224">
        <v>0</v>
      </c>
      <c r="V37" s="224">
        <f>ROUND(E37*U37,2)</f>
        <v>0</v>
      </c>
      <c r="W37" s="224"/>
      <c r="X37" s="224" t="s">
        <v>210</v>
      </c>
      <c r="Y37" s="224" t="s">
        <v>211</v>
      </c>
      <c r="Z37" s="226"/>
      <c r="AA37" s="226"/>
      <c r="AB37" s="226"/>
      <c r="AC37" s="226"/>
      <c r="AD37" s="226"/>
      <c r="AE37" s="226"/>
      <c r="AF37" s="226"/>
      <c r="AG37" s="226" t="s">
        <v>212</v>
      </c>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6"/>
      <c r="BD37" s="226"/>
      <c r="BE37" s="226"/>
      <c r="BF37" s="226"/>
      <c r="BG37" s="226"/>
      <c r="BH37" s="226"/>
    </row>
    <row r="38" outlineLevel="2">
      <c r="A38" s="227"/>
      <c r="B38" s="228"/>
      <c r="C38" s="229" t="s">
        <v>213</v>
      </c>
      <c r="D38" s="230"/>
      <c r="E38" s="230"/>
      <c r="F38" s="230"/>
      <c r="G38" s="230"/>
      <c r="H38" s="224"/>
      <c r="I38" s="224"/>
      <c r="J38" s="224"/>
      <c r="K38" s="224"/>
      <c r="L38" s="224"/>
      <c r="M38" s="224"/>
      <c r="N38" s="225"/>
      <c r="O38" s="225"/>
      <c r="P38" s="225"/>
      <c r="Q38" s="225"/>
      <c r="R38" s="224"/>
      <c r="S38" s="224"/>
      <c r="T38" s="224"/>
      <c r="U38" s="224"/>
      <c r="V38" s="224"/>
      <c r="W38" s="224"/>
      <c r="X38" s="224"/>
      <c r="Y38" s="224"/>
      <c r="Z38" s="226"/>
      <c r="AA38" s="226"/>
      <c r="AB38" s="226"/>
      <c r="AC38" s="226"/>
      <c r="AD38" s="226"/>
      <c r="AE38" s="226"/>
      <c r="AF38" s="226"/>
      <c r="AG38" s="226" t="s">
        <v>214</v>
      </c>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6"/>
      <c r="BD38" s="226"/>
      <c r="BE38" s="226"/>
      <c r="BF38" s="226"/>
      <c r="BG38" s="226"/>
      <c r="BH38" s="226"/>
    </row>
    <row r="39" outlineLevel="3">
      <c r="A39" s="227"/>
      <c r="B39" s="228"/>
      <c r="C39" s="231" t="s">
        <v>242</v>
      </c>
      <c r="D39" s="232"/>
      <c r="E39" s="232"/>
      <c r="F39" s="232"/>
      <c r="G39" s="232"/>
      <c r="H39" s="224"/>
      <c r="I39" s="224"/>
      <c r="J39" s="224"/>
      <c r="K39" s="224"/>
      <c r="L39" s="224"/>
      <c r="M39" s="224"/>
      <c r="N39" s="225"/>
      <c r="O39" s="225"/>
      <c r="P39" s="225"/>
      <c r="Q39" s="225"/>
      <c r="R39" s="224"/>
      <c r="S39" s="224"/>
      <c r="T39" s="224"/>
      <c r="U39" s="224"/>
      <c r="V39" s="224"/>
      <c r="W39" s="224"/>
      <c r="X39" s="224"/>
      <c r="Y39" s="224"/>
      <c r="Z39" s="226"/>
      <c r="AA39" s="226"/>
      <c r="AB39" s="226"/>
      <c r="AC39" s="226"/>
      <c r="AD39" s="226"/>
      <c r="AE39" s="226"/>
      <c r="AF39" s="226"/>
      <c r="AG39" s="226" t="s">
        <v>214</v>
      </c>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row>
    <row r="40" outlineLevel="2">
      <c r="A40" s="227"/>
      <c r="B40" s="228"/>
      <c r="C40" s="233" t="s">
        <v>243</v>
      </c>
      <c r="D40" s="234"/>
      <c r="E40" s="235"/>
      <c r="F40" s="224"/>
      <c r="G40" s="224"/>
      <c r="H40" s="224"/>
      <c r="I40" s="224"/>
      <c r="J40" s="224"/>
      <c r="K40" s="224"/>
      <c r="L40" s="224"/>
      <c r="M40" s="224"/>
      <c r="N40" s="225"/>
      <c r="O40" s="225"/>
      <c r="P40" s="225"/>
      <c r="Q40" s="225"/>
      <c r="R40" s="224"/>
      <c r="S40" s="224"/>
      <c r="T40" s="224"/>
      <c r="U40" s="224"/>
      <c r="V40" s="224"/>
      <c r="W40" s="224"/>
      <c r="X40" s="224"/>
      <c r="Y40" s="224"/>
      <c r="Z40" s="226"/>
      <c r="AA40" s="226"/>
      <c r="AB40" s="226"/>
      <c r="AC40" s="226"/>
      <c r="AD40" s="226"/>
      <c r="AE40" s="226"/>
      <c r="AF40" s="226"/>
      <c r="AG40" s="226" t="s">
        <v>217</v>
      </c>
      <c r="AH40" s="226">
        <v>0</v>
      </c>
      <c r="AI40" s="226"/>
      <c r="AJ40" s="226"/>
      <c r="AK40" s="226"/>
      <c r="AL40" s="226"/>
      <c r="AM40" s="226"/>
      <c r="AN40" s="226"/>
      <c r="AO40" s="226"/>
      <c r="AP40" s="226"/>
      <c r="AQ40" s="226"/>
      <c r="AR40" s="226"/>
      <c r="AS40" s="226"/>
      <c r="AT40" s="226"/>
      <c r="AU40" s="226"/>
      <c r="AV40" s="226"/>
      <c r="AW40" s="226"/>
      <c r="AX40" s="226"/>
      <c r="AY40" s="226"/>
      <c r="AZ40" s="226"/>
      <c r="BA40" s="226"/>
      <c r="BB40" s="226"/>
      <c r="BC40" s="226"/>
      <c r="BD40" s="226"/>
      <c r="BE40" s="226"/>
      <c r="BF40" s="226"/>
      <c r="BG40" s="226"/>
      <c r="BH40" s="226"/>
    </row>
    <row r="41" outlineLevel="3">
      <c r="A41" s="227"/>
      <c r="B41" s="228"/>
      <c r="C41" s="233" t="s">
        <v>244</v>
      </c>
      <c r="D41" s="234"/>
      <c r="E41" s="235">
        <v>39.630000000000003</v>
      </c>
      <c r="F41" s="224"/>
      <c r="G41" s="224"/>
      <c r="H41" s="224"/>
      <c r="I41" s="224"/>
      <c r="J41" s="224"/>
      <c r="K41" s="224"/>
      <c r="L41" s="224"/>
      <c r="M41" s="224"/>
      <c r="N41" s="225"/>
      <c r="O41" s="225"/>
      <c r="P41" s="225"/>
      <c r="Q41" s="225"/>
      <c r="R41" s="224"/>
      <c r="S41" s="224"/>
      <c r="T41" s="224"/>
      <c r="U41" s="224"/>
      <c r="V41" s="224"/>
      <c r="W41" s="224"/>
      <c r="X41" s="224"/>
      <c r="Y41" s="224"/>
      <c r="Z41" s="226"/>
      <c r="AA41" s="226"/>
      <c r="AB41" s="226"/>
      <c r="AC41" s="226"/>
      <c r="AD41" s="226"/>
      <c r="AE41" s="226"/>
      <c r="AF41" s="226"/>
      <c r="AG41" s="226" t="s">
        <v>217</v>
      </c>
      <c r="AH41" s="226">
        <v>0</v>
      </c>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row>
    <row r="42" outlineLevel="1" ht="22.5">
      <c r="A42" s="216">
        <v>7</v>
      </c>
      <c r="B42" s="217" t="s">
        <v>245</v>
      </c>
      <c r="C42" s="218" t="s">
        <v>246</v>
      </c>
      <c r="D42" s="219" t="s">
        <v>221</v>
      </c>
      <c r="E42" s="220">
        <v>65.956999999999994</v>
      </c>
      <c r="F42" s="221"/>
      <c r="G42" s="222">
        <f>ROUND(E42*F42,2)</f>
        <v>0</v>
      </c>
      <c r="H42" s="223"/>
      <c r="I42" s="224">
        <f>ROUND(E42*H42,2)</f>
        <v>0</v>
      </c>
      <c r="J42" s="223"/>
      <c r="K42" s="224">
        <f>ROUND(E42*J42,2)</f>
        <v>0</v>
      </c>
      <c r="L42" s="224">
        <v>21</v>
      </c>
      <c r="M42" s="224">
        <f>G42*(1+L42/100)</f>
        <v>0</v>
      </c>
      <c r="N42" s="225">
        <v>0</v>
      </c>
      <c r="O42" s="225">
        <f>ROUND(E42*N42,2)</f>
        <v>0</v>
      </c>
      <c r="P42" s="225">
        <v>1.175</v>
      </c>
      <c r="Q42" s="225">
        <f>ROUND(E42*P42,2)</f>
        <v>77.5</v>
      </c>
      <c r="R42" s="224"/>
      <c r="S42" s="224" t="s">
        <v>208</v>
      </c>
      <c r="T42" s="224" t="s">
        <v>209</v>
      </c>
      <c r="U42" s="224">
        <v>0</v>
      </c>
      <c r="V42" s="224">
        <f>ROUND(E42*U42,2)</f>
        <v>0</v>
      </c>
      <c r="W42" s="224"/>
      <c r="X42" s="224" t="s">
        <v>210</v>
      </c>
      <c r="Y42" s="224" t="s">
        <v>211</v>
      </c>
      <c r="Z42" s="226"/>
      <c r="AA42" s="226"/>
      <c r="AB42" s="226"/>
      <c r="AC42" s="226"/>
      <c r="AD42" s="226"/>
      <c r="AE42" s="226"/>
      <c r="AF42" s="226"/>
      <c r="AG42" s="226" t="s">
        <v>212</v>
      </c>
      <c r="AH42" s="226"/>
      <c r="AI42" s="226"/>
      <c r="AJ42" s="226"/>
      <c r="AK42" s="226"/>
      <c r="AL42" s="226"/>
      <c r="AM42" s="226"/>
      <c r="AN42" s="226"/>
      <c r="AO42" s="226"/>
      <c r="AP42" s="226"/>
      <c r="AQ42" s="226"/>
      <c r="AR42" s="226"/>
      <c r="AS42" s="226"/>
      <c r="AT42" s="226"/>
      <c r="AU42" s="226"/>
      <c r="AV42" s="226"/>
      <c r="AW42" s="226"/>
      <c r="AX42" s="226"/>
      <c r="AY42" s="226"/>
      <c r="AZ42" s="226"/>
      <c r="BA42" s="226"/>
      <c r="BB42" s="226"/>
      <c r="BC42" s="226"/>
      <c r="BD42" s="226"/>
      <c r="BE42" s="226"/>
      <c r="BF42" s="226"/>
      <c r="BG42" s="226"/>
      <c r="BH42" s="226"/>
    </row>
    <row r="43" outlineLevel="2">
      <c r="A43" s="227"/>
      <c r="B43" s="228"/>
      <c r="C43" s="233" t="s">
        <v>247</v>
      </c>
      <c r="D43" s="234"/>
      <c r="E43" s="235"/>
      <c r="F43" s="224"/>
      <c r="G43" s="224"/>
      <c r="H43" s="224"/>
      <c r="I43" s="224"/>
      <c r="J43" s="224"/>
      <c r="K43" s="224"/>
      <c r="L43" s="224"/>
      <c r="M43" s="224"/>
      <c r="N43" s="225"/>
      <c r="O43" s="225"/>
      <c r="P43" s="225"/>
      <c r="Q43" s="225"/>
      <c r="R43" s="224"/>
      <c r="S43" s="224"/>
      <c r="T43" s="224"/>
      <c r="U43" s="224"/>
      <c r="V43" s="224"/>
      <c r="W43" s="224"/>
      <c r="X43" s="224"/>
      <c r="Y43" s="224"/>
      <c r="Z43" s="226"/>
      <c r="AA43" s="226"/>
      <c r="AB43" s="226"/>
      <c r="AC43" s="226"/>
      <c r="AD43" s="226"/>
      <c r="AE43" s="226"/>
      <c r="AF43" s="226"/>
      <c r="AG43" s="226" t="s">
        <v>217</v>
      </c>
      <c r="AH43" s="226">
        <v>0</v>
      </c>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row>
    <row r="44" outlineLevel="3">
      <c r="A44" s="227"/>
      <c r="B44" s="228"/>
      <c r="C44" s="233" t="s">
        <v>248</v>
      </c>
      <c r="D44" s="234"/>
      <c r="E44" s="235"/>
      <c r="F44" s="224"/>
      <c r="G44" s="224"/>
      <c r="H44" s="224"/>
      <c r="I44" s="224"/>
      <c r="J44" s="224"/>
      <c r="K44" s="224"/>
      <c r="L44" s="224"/>
      <c r="M44" s="224"/>
      <c r="N44" s="225"/>
      <c r="O44" s="225"/>
      <c r="P44" s="225"/>
      <c r="Q44" s="225"/>
      <c r="R44" s="224"/>
      <c r="S44" s="224"/>
      <c r="T44" s="224"/>
      <c r="U44" s="224"/>
      <c r="V44" s="224"/>
      <c r="W44" s="224"/>
      <c r="X44" s="224"/>
      <c r="Y44" s="224"/>
      <c r="Z44" s="226"/>
      <c r="AA44" s="226"/>
      <c r="AB44" s="226"/>
      <c r="AC44" s="226"/>
      <c r="AD44" s="226"/>
      <c r="AE44" s="226"/>
      <c r="AF44" s="226"/>
      <c r="AG44" s="226" t="s">
        <v>217</v>
      </c>
      <c r="AH44" s="226">
        <v>0</v>
      </c>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row>
    <row r="45" outlineLevel="3">
      <c r="A45" s="227"/>
      <c r="B45" s="228"/>
      <c r="C45" s="233" t="s">
        <v>249</v>
      </c>
      <c r="D45" s="234"/>
      <c r="E45" s="235"/>
      <c r="F45" s="224"/>
      <c r="G45" s="224"/>
      <c r="H45" s="224"/>
      <c r="I45" s="224"/>
      <c r="J45" s="224"/>
      <c r="K45" s="224"/>
      <c r="L45" s="224"/>
      <c r="M45" s="224"/>
      <c r="N45" s="225"/>
      <c r="O45" s="225"/>
      <c r="P45" s="225"/>
      <c r="Q45" s="225"/>
      <c r="R45" s="224"/>
      <c r="S45" s="224"/>
      <c r="T45" s="224"/>
      <c r="U45" s="224"/>
      <c r="V45" s="224"/>
      <c r="W45" s="224"/>
      <c r="X45" s="224"/>
      <c r="Y45" s="224"/>
      <c r="Z45" s="226"/>
      <c r="AA45" s="226"/>
      <c r="AB45" s="226"/>
      <c r="AC45" s="226"/>
      <c r="AD45" s="226"/>
      <c r="AE45" s="226"/>
      <c r="AF45" s="226"/>
      <c r="AG45" s="226" t="s">
        <v>217</v>
      </c>
      <c r="AH45" s="226">
        <v>0</v>
      </c>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row>
    <row r="46" outlineLevel="3">
      <c r="A46" s="227"/>
      <c r="B46" s="228"/>
      <c r="C46" s="233" t="s">
        <v>250</v>
      </c>
      <c r="D46" s="234"/>
      <c r="E46" s="235"/>
      <c r="F46" s="224"/>
      <c r="G46" s="224"/>
      <c r="H46" s="224"/>
      <c r="I46" s="224"/>
      <c r="J46" s="224"/>
      <c r="K46" s="224"/>
      <c r="L46" s="224"/>
      <c r="M46" s="224"/>
      <c r="N46" s="225"/>
      <c r="O46" s="225"/>
      <c r="P46" s="225"/>
      <c r="Q46" s="225"/>
      <c r="R46" s="224"/>
      <c r="S46" s="224"/>
      <c r="T46" s="224"/>
      <c r="U46" s="224"/>
      <c r="V46" s="224"/>
      <c r="W46" s="224"/>
      <c r="X46" s="224"/>
      <c r="Y46" s="224"/>
      <c r="Z46" s="226"/>
      <c r="AA46" s="226"/>
      <c r="AB46" s="226"/>
      <c r="AC46" s="226"/>
      <c r="AD46" s="226"/>
      <c r="AE46" s="226"/>
      <c r="AF46" s="226"/>
      <c r="AG46" s="226" t="s">
        <v>217</v>
      </c>
      <c r="AH46" s="226">
        <v>0</v>
      </c>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row>
    <row r="47" outlineLevel="3">
      <c r="A47" s="227"/>
      <c r="B47" s="228"/>
      <c r="C47" s="233" t="s">
        <v>251</v>
      </c>
      <c r="D47" s="234"/>
      <c r="E47" s="235">
        <v>65.959999999999994</v>
      </c>
      <c r="F47" s="224"/>
      <c r="G47" s="224"/>
      <c r="H47" s="224"/>
      <c r="I47" s="224"/>
      <c r="J47" s="224"/>
      <c r="K47" s="224"/>
      <c r="L47" s="224"/>
      <c r="M47" s="224"/>
      <c r="N47" s="225"/>
      <c r="O47" s="225"/>
      <c r="P47" s="225"/>
      <c r="Q47" s="225"/>
      <c r="R47" s="224"/>
      <c r="S47" s="224"/>
      <c r="T47" s="224"/>
      <c r="U47" s="224"/>
      <c r="V47" s="224"/>
      <c r="W47" s="224"/>
      <c r="X47" s="224"/>
      <c r="Y47" s="224"/>
      <c r="Z47" s="226"/>
      <c r="AA47" s="226"/>
      <c r="AB47" s="226"/>
      <c r="AC47" s="226"/>
      <c r="AD47" s="226"/>
      <c r="AE47" s="226"/>
      <c r="AF47" s="226"/>
      <c r="AG47" s="226" t="s">
        <v>217</v>
      </c>
      <c r="AH47" s="226">
        <v>0</v>
      </c>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row>
    <row r="48" outlineLevel="1">
      <c r="A48" s="216">
        <v>8</v>
      </c>
      <c r="B48" s="217" t="s">
        <v>252</v>
      </c>
      <c r="C48" s="218" t="s">
        <v>253</v>
      </c>
      <c r="D48" s="219" t="s">
        <v>221</v>
      </c>
      <c r="E48" s="220">
        <v>4.6790000000000003</v>
      </c>
      <c r="F48" s="221"/>
      <c r="G48" s="222">
        <f>ROUND(E48*F48,2)</f>
        <v>0</v>
      </c>
      <c r="H48" s="223"/>
      <c r="I48" s="224">
        <f>ROUND(E48*H48,2)</f>
        <v>0</v>
      </c>
      <c r="J48" s="223"/>
      <c r="K48" s="224">
        <f>ROUND(E48*J48,2)</f>
        <v>0</v>
      </c>
      <c r="L48" s="224">
        <v>21</v>
      </c>
      <c r="M48" s="224">
        <f>G48*(1+L48/100)</f>
        <v>0</v>
      </c>
      <c r="N48" s="225">
        <v>0</v>
      </c>
      <c r="O48" s="225">
        <f>ROUND(E48*N48,2)</f>
        <v>0</v>
      </c>
      <c r="P48" s="225">
        <v>2.3999999999999999</v>
      </c>
      <c r="Q48" s="225">
        <f>ROUND(E48*P48,2)</f>
        <v>11.23</v>
      </c>
      <c r="R48" s="224"/>
      <c r="S48" s="224" t="s">
        <v>208</v>
      </c>
      <c r="T48" s="224" t="s">
        <v>209</v>
      </c>
      <c r="U48" s="224">
        <v>0</v>
      </c>
      <c r="V48" s="224">
        <f>ROUND(E48*U48,2)</f>
        <v>0</v>
      </c>
      <c r="W48" s="224"/>
      <c r="X48" s="224" t="s">
        <v>210</v>
      </c>
      <c r="Y48" s="224" t="s">
        <v>211</v>
      </c>
      <c r="Z48" s="226"/>
      <c r="AA48" s="226"/>
      <c r="AB48" s="226"/>
      <c r="AC48" s="226"/>
      <c r="AD48" s="226"/>
      <c r="AE48" s="226"/>
      <c r="AF48" s="226"/>
      <c r="AG48" s="226" t="s">
        <v>212</v>
      </c>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row>
    <row r="49" outlineLevel="2">
      <c r="A49" s="227"/>
      <c r="B49" s="228"/>
      <c r="C49" s="233" t="s">
        <v>254</v>
      </c>
      <c r="D49" s="234"/>
      <c r="E49" s="235"/>
      <c r="F49" s="224"/>
      <c r="G49" s="224"/>
      <c r="H49" s="224"/>
      <c r="I49" s="224"/>
      <c r="J49" s="224"/>
      <c r="K49" s="224"/>
      <c r="L49" s="224"/>
      <c r="M49" s="224"/>
      <c r="N49" s="225"/>
      <c r="O49" s="225"/>
      <c r="P49" s="225"/>
      <c r="Q49" s="225"/>
      <c r="R49" s="224"/>
      <c r="S49" s="224"/>
      <c r="T49" s="224"/>
      <c r="U49" s="224"/>
      <c r="V49" s="224"/>
      <c r="W49" s="224"/>
      <c r="X49" s="224"/>
      <c r="Y49" s="224"/>
      <c r="Z49" s="226"/>
      <c r="AA49" s="226"/>
      <c r="AB49" s="226"/>
      <c r="AC49" s="226"/>
      <c r="AD49" s="226"/>
      <c r="AE49" s="226"/>
      <c r="AF49" s="226"/>
      <c r="AG49" s="226" t="s">
        <v>217</v>
      </c>
      <c r="AH49" s="226">
        <v>0</v>
      </c>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row>
    <row r="50" outlineLevel="3">
      <c r="A50" s="227"/>
      <c r="B50" s="228"/>
      <c r="C50" s="233" t="s">
        <v>255</v>
      </c>
      <c r="D50" s="234"/>
      <c r="E50" s="235"/>
      <c r="F50" s="224"/>
      <c r="G50" s="224"/>
      <c r="H50" s="224"/>
      <c r="I50" s="224"/>
      <c r="J50" s="224"/>
      <c r="K50" s="224"/>
      <c r="L50" s="224"/>
      <c r="M50" s="224"/>
      <c r="N50" s="225"/>
      <c r="O50" s="225"/>
      <c r="P50" s="225"/>
      <c r="Q50" s="225"/>
      <c r="R50" s="224"/>
      <c r="S50" s="224"/>
      <c r="T50" s="224"/>
      <c r="U50" s="224"/>
      <c r="V50" s="224"/>
      <c r="W50" s="224"/>
      <c r="X50" s="224"/>
      <c r="Y50" s="224"/>
      <c r="Z50" s="226"/>
      <c r="AA50" s="226"/>
      <c r="AB50" s="226"/>
      <c r="AC50" s="226"/>
      <c r="AD50" s="226"/>
      <c r="AE50" s="226"/>
      <c r="AF50" s="226"/>
      <c r="AG50" s="226" t="s">
        <v>217</v>
      </c>
      <c r="AH50" s="226">
        <v>0</v>
      </c>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row>
    <row r="51" outlineLevel="3">
      <c r="A51" s="227"/>
      <c r="B51" s="228"/>
      <c r="C51" s="233" t="s">
        <v>256</v>
      </c>
      <c r="D51" s="234"/>
      <c r="E51" s="235">
        <v>4.6799999999999997</v>
      </c>
      <c r="F51" s="224"/>
      <c r="G51" s="224"/>
      <c r="H51" s="224"/>
      <c r="I51" s="224"/>
      <c r="J51" s="224"/>
      <c r="K51" s="224"/>
      <c r="L51" s="224"/>
      <c r="M51" s="224"/>
      <c r="N51" s="225"/>
      <c r="O51" s="225"/>
      <c r="P51" s="225"/>
      <c r="Q51" s="225"/>
      <c r="R51" s="224"/>
      <c r="S51" s="224"/>
      <c r="T51" s="224"/>
      <c r="U51" s="224"/>
      <c r="V51" s="224"/>
      <c r="W51" s="224"/>
      <c r="X51" s="224"/>
      <c r="Y51" s="224"/>
      <c r="Z51" s="226"/>
      <c r="AA51" s="226"/>
      <c r="AB51" s="226"/>
      <c r="AC51" s="226"/>
      <c r="AD51" s="226"/>
      <c r="AE51" s="226"/>
      <c r="AF51" s="226"/>
      <c r="AG51" s="226" t="s">
        <v>217</v>
      </c>
      <c r="AH51" s="226">
        <v>0</v>
      </c>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row>
    <row r="52" outlineLevel="1" ht="22.5">
      <c r="A52" s="216">
        <v>9</v>
      </c>
      <c r="B52" s="217" t="s">
        <v>257</v>
      </c>
      <c r="C52" s="218" t="s">
        <v>258</v>
      </c>
      <c r="D52" s="219" t="s">
        <v>221</v>
      </c>
      <c r="E52" s="220">
        <v>39.633000000000003</v>
      </c>
      <c r="F52" s="221"/>
      <c r="G52" s="222">
        <f>ROUND(E52*F52,2)</f>
        <v>0</v>
      </c>
      <c r="H52" s="223"/>
      <c r="I52" s="224">
        <f>ROUND(E52*H52,2)</f>
        <v>0</v>
      </c>
      <c r="J52" s="223"/>
      <c r="K52" s="224">
        <f>ROUND(E52*J52,2)</f>
        <v>0</v>
      </c>
      <c r="L52" s="224">
        <v>21</v>
      </c>
      <c r="M52" s="224">
        <f>G52*(1+L52/100)</f>
        <v>0</v>
      </c>
      <c r="N52" s="225">
        <v>0</v>
      </c>
      <c r="O52" s="225">
        <f>ROUND(E52*N52,2)</f>
        <v>0</v>
      </c>
      <c r="P52" s="225">
        <v>1.6000000000000001</v>
      </c>
      <c r="Q52" s="225">
        <f>ROUND(E52*P52,2)</f>
        <v>63.409999999999997</v>
      </c>
      <c r="R52" s="224"/>
      <c r="S52" s="224" t="s">
        <v>208</v>
      </c>
      <c r="T52" s="224" t="s">
        <v>209</v>
      </c>
      <c r="U52" s="224">
        <v>0</v>
      </c>
      <c r="V52" s="224">
        <f>ROUND(E52*U52,2)</f>
        <v>0</v>
      </c>
      <c r="W52" s="224"/>
      <c r="X52" s="224" t="s">
        <v>210</v>
      </c>
      <c r="Y52" s="224" t="s">
        <v>211</v>
      </c>
      <c r="Z52" s="226"/>
      <c r="AA52" s="226"/>
      <c r="AB52" s="226"/>
      <c r="AC52" s="226"/>
      <c r="AD52" s="226"/>
      <c r="AE52" s="226"/>
      <c r="AF52" s="226"/>
      <c r="AG52" s="226" t="s">
        <v>212</v>
      </c>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26"/>
      <c r="BD52" s="226"/>
      <c r="BE52" s="226"/>
      <c r="BF52" s="226"/>
      <c r="BG52" s="226"/>
      <c r="BH52" s="226"/>
    </row>
    <row r="53" outlineLevel="2">
      <c r="A53" s="227"/>
      <c r="B53" s="228"/>
      <c r="C53" s="233" t="s">
        <v>259</v>
      </c>
      <c r="D53" s="234"/>
      <c r="E53" s="235"/>
      <c r="F53" s="224"/>
      <c r="G53" s="224"/>
      <c r="H53" s="224"/>
      <c r="I53" s="224"/>
      <c r="J53" s="224"/>
      <c r="K53" s="224"/>
      <c r="L53" s="224"/>
      <c r="M53" s="224"/>
      <c r="N53" s="225"/>
      <c r="O53" s="225"/>
      <c r="P53" s="225"/>
      <c r="Q53" s="225"/>
      <c r="R53" s="224"/>
      <c r="S53" s="224"/>
      <c r="T53" s="224"/>
      <c r="U53" s="224"/>
      <c r="V53" s="224"/>
      <c r="W53" s="224"/>
      <c r="X53" s="224"/>
      <c r="Y53" s="224"/>
      <c r="Z53" s="226"/>
      <c r="AA53" s="226"/>
      <c r="AB53" s="226"/>
      <c r="AC53" s="226"/>
      <c r="AD53" s="226"/>
      <c r="AE53" s="226"/>
      <c r="AF53" s="226"/>
      <c r="AG53" s="226" t="s">
        <v>217</v>
      </c>
      <c r="AH53" s="226">
        <v>0</v>
      </c>
      <c r="AI53" s="226"/>
      <c r="AJ53" s="226"/>
      <c r="AK53" s="226"/>
      <c r="AL53" s="226"/>
      <c r="AM53" s="226"/>
      <c r="AN53" s="226"/>
      <c r="AO53" s="226"/>
      <c r="AP53" s="226"/>
      <c r="AQ53" s="226"/>
      <c r="AR53" s="226"/>
      <c r="AS53" s="226"/>
      <c r="AT53" s="226"/>
      <c r="AU53" s="226"/>
      <c r="AV53" s="226"/>
      <c r="AW53" s="226"/>
      <c r="AX53" s="226"/>
      <c r="AY53" s="226"/>
      <c r="AZ53" s="226"/>
      <c r="BA53" s="226"/>
      <c r="BB53" s="226"/>
      <c r="BC53" s="226"/>
      <c r="BD53" s="226"/>
      <c r="BE53" s="226"/>
      <c r="BF53" s="226"/>
      <c r="BG53" s="226"/>
      <c r="BH53" s="226"/>
    </row>
    <row r="54" outlineLevel="3">
      <c r="A54" s="227"/>
      <c r="B54" s="228"/>
      <c r="C54" s="233" t="s">
        <v>244</v>
      </c>
      <c r="D54" s="234"/>
      <c r="E54" s="235">
        <v>39.630000000000003</v>
      </c>
      <c r="F54" s="224"/>
      <c r="G54" s="224"/>
      <c r="H54" s="224"/>
      <c r="I54" s="224"/>
      <c r="J54" s="224"/>
      <c r="K54" s="224"/>
      <c r="L54" s="224"/>
      <c r="M54" s="224"/>
      <c r="N54" s="225"/>
      <c r="O54" s="225"/>
      <c r="P54" s="225"/>
      <c r="Q54" s="225"/>
      <c r="R54" s="224"/>
      <c r="S54" s="224"/>
      <c r="T54" s="224"/>
      <c r="U54" s="224"/>
      <c r="V54" s="224"/>
      <c r="W54" s="224"/>
      <c r="X54" s="224"/>
      <c r="Y54" s="224"/>
      <c r="Z54" s="226"/>
      <c r="AA54" s="226"/>
      <c r="AB54" s="226"/>
      <c r="AC54" s="226"/>
      <c r="AD54" s="226"/>
      <c r="AE54" s="226"/>
      <c r="AF54" s="226"/>
      <c r="AG54" s="226" t="s">
        <v>217</v>
      </c>
      <c r="AH54" s="226">
        <v>0</v>
      </c>
      <c r="AI54" s="226"/>
      <c r="AJ54" s="226"/>
      <c r="AK54" s="226"/>
      <c r="AL54" s="226"/>
      <c r="AM54" s="226"/>
      <c r="AN54" s="226"/>
      <c r="AO54" s="226"/>
      <c r="AP54" s="226"/>
      <c r="AQ54" s="226"/>
      <c r="AR54" s="226"/>
      <c r="AS54" s="226"/>
      <c r="AT54" s="226"/>
      <c r="AU54" s="226"/>
      <c r="AV54" s="226"/>
      <c r="AW54" s="226"/>
      <c r="AX54" s="226"/>
      <c r="AY54" s="226"/>
      <c r="AZ54" s="226"/>
      <c r="BA54" s="226"/>
      <c r="BB54" s="226"/>
      <c r="BC54" s="226"/>
      <c r="BD54" s="226"/>
      <c r="BE54" s="226"/>
      <c r="BF54" s="226"/>
      <c r="BG54" s="226"/>
      <c r="BH54" s="226"/>
    </row>
    <row r="55" outlineLevel="1">
      <c r="A55" s="216">
        <v>10</v>
      </c>
      <c r="B55" s="217" t="s">
        <v>260</v>
      </c>
      <c r="C55" s="218" t="s">
        <v>261</v>
      </c>
      <c r="D55" s="219" t="s">
        <v>221</v>
      </c>
      <c r="E55" s="220">
        <v>18.715</v>
      </c>
      <c r="F55" s="221"/>
      <c r="G55" s="222">
        <f>ROUND(E55*F55,2)</f>
        <v>0</v>
      </c>
      <c r="H55" s="223"/>
      <c r="I55" s="224">
        <f>ROUND(E55*H55,2)</f>
        <v>0</v>
      </c>
      <c r="J55" s="223"/>
      <c r="K55" s="224">
        <f>ROUND(E55*J55,2)</f>
        <v>0</v>
      </c>
      <c r="L55" s="224">
        <v>21</v>
      </c>
      <c r="M55" s="224">
        <f>G55*(1+L55/100)</f>
        <v>0</v>
      </c>
      <c r="N55" s="225">
        <v>0</v>
      </c>
      <c r="O55" s="225">
        <f>ROUND(E55*N55,2)</f>
        <v>0</v>
      </c>
      <c r="P55" s="225">
        <v>2</v>
      </c>
      <c r="Q55" s="225">
        <f>ROUND(E55*P55,2)</f>
        <v>37.43</v>
      </c>
      <c r="R55" s="224"/>
      <c r="S55" s="224" t="s">
        <v>208</v>
      </c>
      <c r="T55" s="224" t="s">
        <v>209</v>
      </c>
      <c r="U55" s="224">
        <v>0</v>
      </c>
      <c r="V55" s="224">
        <f>ROUND(E55*U55,2)</f>
        <v>0</v>
      </c>
      <c r="W55" s="224"/>
      <c r="X55" s="224" t="s">
        <v>210</v>
      </c>
      <c r="Y55" s="224" t="s">
        <v>211</v>
      </c>
      <c r="Z55" s="226"/>
      <c r="AA55" s="226"/>
      <c r="AB55" s="226"/>
      <c r="AC55" s="226"/>
      <c r="AD55" s="226"/>
      <c r="AE55" s="226"/>
      <c r="AF55" s="226"/>
      <c r="AG55" s="226" t="s">
        <v>212</v>
      </c>
      <c r="AH55" s="226"/>
      <c r="AI55" s="226"/>
      <c r="AJ55" s="226"/>
      <c r="AK55" s="226"/>
      <c r="AL55" s="226"/>
      <c r="AM55" s="226"/>
      <c r="AN55" s="226"/>
      <c r="AO55" s="226"/>
      <c r="AP55" s="226"/>
      <c r="AQ55" s="226"/>
      <c r="AR55" s="226"/>
      <c r="AS55" s="226"/>
      <c r="AT55" s="226"/>
      <c r="AU55" s="226"/>
      <c r="AV55" s="226"/>
      <c r="AW55" s="226"/>
      <c r="AX55" s="226"/>
      <c r="AY55" s="226"/>
      <c r="AZ55" s="226"/>
      <c r="BA55" s="226"/>
      <c r="BB55" s="226"/>
      <c r="BC55" s="226"/>
      <c r="BD55" s="226"/>
      <c r="BE55" s="226"/>
      <c r="BF55" s="226"/>
      <c r="BG55" s="226"/>
      <c r="BH55" s="226"/>
    </row>
    <row r="56" outlineLevel="2">
      <c r="A56" s="227"/>
      <c r="B56" s="228"/>
      <c r="C56" s="233" t="s">
        <v>262</v>
      </c>
      <c r="D56" s="234"/>
      <c r="E56" s="235"/>
      <c r="F56" s="224"/>
      <c r="G56" s="224"/>
      <c r="H56" s="224"/>
      <c r="I56" s="224"/>
      <c r="J56" s="224"/>
      <c r="K56" s="224"/>
      <c r="L56" s="224"/>
      <c r="M56" s="224"/>
      <c r="N56" s="225"/>
      <c r="O56" s="225"/>
      <c r="P56" s="225"/>
      <c r="Q56" s="225"/>
      <c r="R56" s="224"/>
      <c r="S56" s="224"/>
      <c r="T56" s="224"/>
      <c r="U56" s="224"/>
      <c r="V56" s="224"/>
      <c r="W56" s="224"/>
      <c r="X56" s="224"/>
      <c r="Y56" s="224"/>
      <c r="Z56" s="226"/>
      <c r="AA56" s="226"/>
      <c r="AB56" s="226"/>
      <c r="AC56" s="226"/>
      <c r="AD56" s="226"/>
      <c r="AE56" s="226"/>
      <c r="AF56" s="226"/>
      <c r="AG56" s="226" t="s">
        <v>217</v>
      </c>
      <c r="AH56" s="226">
        <v>0</v>
      </c>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row>
    <row r="57" outlineLevel="3">
      <c r="A57" s="227"/>
      <c r="B57" s="228"/>
      <c r="C57" s="233" t="s">
        <v>263</v>
      </c>
      <c r="D57" s="234"/>
      <c r="E57" s="235"/>
      <c r="F57" s="224"/>
      <c r="G57" s="224"/>
      <c r="H57" s="224"/>
      <c r="I57" s="224"/>
      <c r="J57" s="224"/>
      <c r="K57" s="224"/>
      <c r="L57" s="224"/>
      <c r="M57" s="224"/>
      <c r="N57" s="225"/>
      <c r="O57" s="225"/>
      <c r="P57" s="225"/>
      <c r="Q57" s="225"/>
      <c r="R57" s="224"/>
      <c r="S57" s="224"/>
      <c r="T57" s="224"/>
      <c r="U57" s="224"/>
      <c r="V57" s="224"/>
      <c r="W57" s="224"/>
      <c r="X57" s="224"/>
      <c r="Y57" s="224"/>
      <c r="Z57" s="226"/>
      <c r="AA57" s="226"/>
      <c r="AB57" s="226"/>
      <c r="AC57" s="226"/>
      <c r="AD57" s="226"/>
      <c r="AE57" s="226"/>
      <c r="AF57" s="226"/>
      <c r="AG57" s="226" t="s">
        <v>217</v>
      </c>
      <c r="AH57" s="226">
        <v>0</v>
      </c>
      <c r="AI57" s="226"/>
      <c r="AJ57" s="226"/>
      <c r="AK57" s="226"/>
      <c r="AL57" s="226"/>
      <c r="AM57" s="226"/>
      <c r="AN57" s="226"/>
      <c r="AO57" s="226"/>
      <c r="AP57" s="226"/>
      <c r="AQ57" s="226"/>
      <c r="AR57" s="226"/>
      <c r="AS57" s="226"/>
      <c r="AT57" s="226"/>
      <c r="AU57" s="226"/>
      <c r="AV57" s="226"/>
      <c r="AW57" s="226"/>
      <c r="AX57" s="226"/>
      <c r="AY57" s="226"/>
      <c r="AZ57" s="226"/>
      <c r="BA57" s="226"/>
      <c r="BB57" s="226"/>
      <c r="BC57" s="226"/>
      <c r="BD57" s="226"/>
      <c r="BE57" s="226"/>
      <c r="BF57" s="226"/>
      <c r="BG57" s="226"/>
      <c r="BH57" s="226"/>
    </row>
    <row r="58" outlineLevel="3">
      <c r="A58" s="227"/>
      <c r="B58" s="228"/>
      <c r="C58" s="233" t="s">
        <v>264</v>
      </c>
      <c r="D58" s="234"/>
      <c r="E58" s="235">
        <v>18.710000000000001</v>
      </c>
      <c r="F58" s="224"/>
      <c r="G58" s="224"/>
      <c r="H58" s="224"/>
      <c r="I58" s="224"/>
      <c r="J58" s="224"/>
      <c r="K58" s="224"/>
      <c r="L58" s="224"/>
      <c r="M58" s="224"/>
      <c r="N58" s="225"/>
      <c r="O58" s="225"/>
      <c r="P58" s="225"/>
      <c r="Q58" s="225"/>
      <c r="R58" s="224"/>
      <c r="S58" s="224"/>
      <c r="T58" s="224"/>
      <c r="U58" s="224"/>
      <c r="V58" s="224"/>
      <c r="W58" s="224"/>
      <c r="X58" s="224"/>
      <c r="Y58" s="224"/>
      <c r="Z58" s="226"/>
      <c r="AA58" s="226"/>
      <c r="AB58" s="226"/>
      <c r="AC58" s="226"/>
      <c r="AD58" s="226"/>
      <c r="AE58" s="226"/>
      <c r="AF58" s="226"/>
      <c r="AG58" s="226" t="s">
        <v>217</v>
      </c>
      <c r="AH58" s="226">
        <v>0</v>
      </c>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6"/>
      <c r="BH58" s="226"/>
    </row>
    <row r="59" outlineLevel="1" ht="22.5">
      <c r="A59" s="216">
        <v>11</v>
      </c>
      <c r="B59" s="217" t="s">
        <v>265</v>
      </c>
      <c r="C59" s="218" t="s">
        <v>266</v>
      </c>
      <c r="D59" s="219" t="s">
        <v>221</v>
      </c>
      <c r="E59" s="220">
        <v>0.65300000000000002</v>
      </c>
      <c r="F59" s="221"/>
      <c r="G59" s="222">
        <f>ROUND(E59*F59,2)</f>
        <v>0</v>
      </c>
      <c r="H59" s="223"/>
      <c r="I59" s="224">
        <f>ROUND(E59*H59,2)</f>
        <v>0</v>
      </c>
      <c r="J59" s="223"/>
      <c r="K59" s="224">
        <f>ROUND(E59*J59,2)</f>
        <v>0</v>
      </c>
      <c r="L59" s="224">
        <v>21</v>
      </c>
      <c r="M59" s="224">
        <f>G59*(1+L59/100)</f>
        <v>0</v>
      </c>
      <c r="N59" s="225">
        <v>0</v>
      </c>
      <c r="O59" s="225">
        <f>ROUND(E59*N59,2)</f>
        <v>0</v>
      </c>
      <c r="P59" s="225">
        <v>2.3999999999999999</v>
      </c>
      <c r="Q59" s="225">
        <f>ROUND(E59*P59,2)</f>
        <v>1.5700000000000001</v>
      </c>
      <c r="R59" s="224"/>
      <c r="S59" s="224" t="s">
        <v>208</v>
      </c>
      <c r="T59" s="224" t="s">
        <v>209</v>
      </c>
      <c r="U59" s="224">
        <v>0</v>
      </c>
      <c r="V59" s="224">
        <f>ROUND(E59*U59,2)</f>
        <v>0</v>
      </c>
      <c r="W59" s="224"/>
      <c r="X59" s="224" t="s">
        <v>210</v>
      </c>
      <c r="Y59" s="224" t="s">
        <v>211</v>
      </c>
      <c r="Z59" s="226"/>
      <c r="AA59" s="226"/>
      <c r="AB59" s="226"/>
      <c r="AC59" s="226"/>
      <c r="AD59" s="226"/>
      <c r="AE59" s="226"/>
      <c r="AF59" s="226"/>
      <c r="AG59" s="226" t="s">
        <v>212</v>
      </c>
      <c r="AH59" s="226"/>
      <c r="AI59" s="226"/>
      <c r="AJ59" s="226"/>
      <c r="AK59" s="226"/>
      <c r="AL59" s="226"/>
      <c r="AM59" s="226"/>
      <c r="AN59" s="226"/>
      <c r="AO59" s="226"/>
      <c r="AP59" s="226"/>
      <c r="AQ59" s="226"/>
      <c r="AR59" s="226"/>
      <c r="AS59" s="226"/>
      <c r="AT59" s="226"/>
      <c r="AU59" s="226"/>
      <c r="AV59" s="226"/>
      <c r="AW59" s="226"/>
      <c r="AX59" s="226"/>
      <c r="AY59" s="226"/>
      <c r="AZ59" s="226"/>
      <c r="BA59" s="226"/>
      <c r="BB59" s="226"/>
      <c r="BC59" s="226"/>
      <c r="BD59" s="226"/>
      <c r="BE59" s="226"/>
      <c r="BF59" s="226"/>
      <c r="BG59" s="226"/>
      <c r="BH59" s="226"/>
    </row>
    <row r="60" outlineLevel="2">
      <c r="A60" s="227"/>
      <c r="B60" s="228"/>
      <c r="C60" s="233" t="s">
        <v>267</v>
      </c>
      <c r="D60" s="234"/>
      <c r="E60" s="235"/>
      <c r="F60" s="224"/>
      <c r="G60" s="224"/>
      <c r="H60" s="224"/>
      <c r="I60" s="224"/>
      <c r="J60" s="224"/>
      <c r="K60" s="224"/>
      <c r="L60" s="224"/>
      <c r="M60" s="224"/>
      <c r="N60" s="225"/>
      <c r="O60" s="225"/>
      <c r="P60" s="225"/>
      <c r="Q60" s="225"/>
      <c r="R60" s="224"/>
      <c r="S60" s="224"/>
      <c r="T60" s="224"/>
      <c r="U60" s="224"/>
      <c r="V60" s="224"/>
      <c r="W60" s="224"/>
      <c r="X60" s="224"/>
      <c r="Y60" s="224"/>
      <c r="Z60" s="226"/>
      <c r="AA60" s="226"/>
      <c r="AB60" s="226"/>
      <c r="AC60" s="226"/>
      <c r="AD60" s="226"/>
      <c r="AE60" s="226"/>
      <c r="AF60" s="226"/>
      <c r="AG60" s="226" t="s">
        <v>217</v>
      </c>
      <c r="AH60" s="226">
        <v>0</v>
      </c>
      <c r="AI60" s="226"/>
      <c r="AJ60" s="226"/>
      <c r="AK60" s="226"/>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row>
    <row r="61" outlineLevel="3">
      <c r="A61" s="227"/>
      <c r="B61" s="228"/>
      <c r="C61" s="233" t="s">
        <v>268</v>
      </c>
      <c r="D61" s="234"/>
      <c r="E61" s="235"/>
      <c r="F61" s="224"/>
      <c r="G61" s="224"/>
      <c r="H61" s="224"/>
      <c r="I61" s="224"/>
      <c r="J61" s="224"/>
      <c r="K61" s="224"/>
      <c r="L61" s="224"/>
      <c r="M61" s="224"/>
      <c r="N61" s="225"/>
      <c r="O61" s="225"/>
      <c r="P61" s="225"/>
      <c r="Q61" s="225"/>
      <c r="R61" s="224"/>
      <c r="S61" s="224"/>
      <c r="T61" s="224"/>
      <c r="U61" s="224"/>
      <c r="V61" s="224"/>
      <c r="W61" s="224"/>
      <c r="X61" s="224"/>
      <c r="Y61" s="224"/>
      <c r="Z61" s="226"/>
      <c r="AA61" s="226"/>
      <c r="AB61" s="226"/>
      <c r="AC61" s="226"/>
      <c r="AD61" s="226"/>
      <c r="AE61" s="226"/>
      <c r="AF61" s="226"/>
      <c r="AG61" s="226" t="s">
        <v>217</v>
      </c>
      <c r="AH61" s="226">
        <v>0</v>
      </c>
      <c r="AI61" s="226"/>
      <c r="AJ61" s="226"/>
      <c r="AK61" s="226"/>
      <c r="AL61" s="226"/>
      <c r="AM61" s="226"/>
      <c r="AN61" s="226"/>
      <c r="AO61" s="226"/>
      <c r="AP61" s="226"/>
      <c r="AQ61" s="226"/>
      <c r="AR61" s="226"/>
      <c r="AS61" s="226"/>
      <c r="AT61" s="226"/>
      <c r="AU61" s="226"/>
      <c r="AV61" s="226"/>
      <c r="AW61" s="226"/>
      <c r="AX61" s="226"/>
      <c r="AY61" s="226"/>
      <c r="AZ61" s="226"/>
      <c r="BA61" s="226"/>
      <c r="BB61" s="226"/>
      <c r="BC61" s="226"/>
      <c r="BD61" s="226"/>
      <c r="BE61" s="226"/>
      <c r="BF61" s="226"/>
      <c r="BG61" s="226"/>
      <c r="BH61" s="226"/>
    </row>
    <row r="62" outlineLevel="3">
      <c r="A62" s="227"/>
      <c r="B62" s="228"/>
      <c r="C62" s="233" t="s">
        <v>269</v>
      </c>
      <c r="D62" s="234"/>
      <c r="E62" s="235">
        <v>0.65000000000000002</v>
      </c>
      <c r="F62" s="224"/>
      <c r="G62" s="224"/>
      <c r="H62" s="224"/>
      <c r="I62" s="224"/>
      <c r="J62" s="224"/>
      <c r="K62" s="224"/>
      <c r="L62" s="224"/>
      <c r="M62" s="224"/>
      <c r="N62" s="225"/>
      <c r="O62" s="225"/>
      <c r="P62" s="225"/>
      <c r="Q62" s="225"/>
      <c r="R62" s="224"/>
      <c r="S62" s="224"/>
      <c r="T62" s="224"/>
      <c r="U62" s="224"/>
      <c r="V62" s="224"/>
      <c r="W62" s="224"/>
      <c r="X62" s="224"/>
      <c r="Y62" s="224"/>
      <c r="Z62" s="226"/>
      <c r="AA62" s="226"/>
      <c r="AB62" s="226"/>
      <c r="AC62" s="226"/>
      <c r="AD62" s="226"/>
      <c r="AE62" s="226"/>
      <c r="AF62" s="226"/>
      <c r="AG62" s="226" t="s">
        <v>217</v>
      </c>
      <c r="AH62" s="226">
        <v>0</v>
      </c>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row>
    <row r="63" outlineLevel="1" ht="22.5">
      <c r="A63" s="216">
        <v>12</v>
      </c>
      <c r="B63" s="217" t="s">
        <v>270</v>
      </c>
      <c r="C63" s="218" t="s">
        <v>271</v>
      </c>
      <c r="D63" s="219" t="s">
        <v>229</v>
      </c>
      <c r="E63" s="220">
        <v>8.9290000000000003</v>
      </c>
      <c r="F63" s="221"/>
      <c r="G63" s="222">
        <f>ROUND(E63*F63,2)</f>
        <v>0</v>
      </c>
      <c r="H63" s="223"/>
      <c r="I63" s="224">
        <f>ROUND(E63*H63,2)</f>
        <v>0</v>
      </c>
      <c r="J63" s="223"/>
      <c r="K63" s="224">
        <f>ROUND(E63*J63,2)</f>
        <v>0</v>
      </c>
      <c r="L63" s="224">
        <v>21</v>
      </c>
      <c r="M63" s="224">
        <f>G63*(1+L63/100)</f>
        <v>0</v>
      </c>
      <c r="N63" s="225">
        <v>0</v>
      </c>
      <c r="O63" s="225">
        <f>ROUND(E63*N63,2)</f>
        <v>0</v>
      </c>
      <c r="P63" s="225">
        <v>1</v>
      </c>
      <c r="Q63" s="225">
        <f>ROUND(E63*P63,2)</f>
        <v>8.9299999999999997</v>
      </c>
      <c r="R63" s="224"/>
      <c r="S63" s="224" t="s">
        <v>208</v>
      </c>
      <c r="T63" s="224" t="s">
        <v>209</v>
      </c>
      <c r="U63" s="224">
        <v>0</v>
      </c>
      <c r="V63" s="224">
        <f>ROUND(E63*U63,2)</f>
        <v>0</v>
      </c>
      <c r="W63" s="224"/>
      <c r="X63" s="224" t="s">
        <v>210</v>
      </c>
      <c r="Y63" s="224" t="s">
        <v>211</v>
      </c>
      <c r="Z63" s="226"/>
      <c r="AA63" s="226"/>
      <c r="AB63" s="226"/>
      <c r="AC63" s="226"/>
      <c r="AD63" s="226"/>
      <c r="AE63" s="226"/>
      <c r="AF63" s="226"/>
      <c r="AG63" s="226" t="s">
        <v>212</v>
      </c>
      <c r="AH63" s="226"/>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row>
    <row r="64" outlineLevel="2">
      <c r="A64" s="227"/>
      <c r="B64" s="228"/>
      <c r="C64" s="229" t="s">
        <v>272</v>
      </c>
      <c r="D64" s="230"/>
      <c r="E64" s="230"/>
      <c r="F64" s="230"/>
      <c r="G64" s="230"/>
      <c r="H64" s="224"/>
      <c r="I64" s="224"/>
      <c r="J64" s="224"/>
      <c r="K64" s="224"/>
      <c r="L64" s="224"/>
      <c r="M64" s="224"/>
      <c r="N64" s="225"/>
      <c r="O64" s="225"/>
      <c r="P64" s="225"/>
      <c r="Q64" s="225"/>
      <c r="R64" s="224"/>
      <c r="S64" s="224"/>
      <c r="T64" s="224"/>
      <c r="U64" s="224"/>
      <c r="V64" s="224"/>
      <c r="W64" s="224"/>
      <c r="X64" s="224"/>
      <c r="Y64" s="224"/>
      <c r="Z64" s="226"/>
      <c r="AA64" s="226"/>
      <c r="AB64" s="226"/>
      <c r="AC64" s="226"/>
      <c r="AD64" s="226"/>
      <c r="AE64" s="226"/>
      <c r="AF64" s="226"/>
      <c r="AG64" s="226" t="s">
        <v>214</v>
      </c>
      <c r="AH64" s="226"/>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row>
    <row r="65" outlineLevel="2">
      <c r="A65" s="227"/>
      <c r="B65" s="228"/>
      <c r="C65" s="233" t="s">
        <v>273</v>
      </c>
      <c r="D65" s="234"/>
      <c r="E65" s="235"/>
      <c r="F65" s="224"/>
      <c r="G65" s="224"/>
      <c r="H65" s="224"/>
      <c r="I65" s="224"/>
      <c r="J65" s="224"/>
      <c r="K65" s="224"/>
      <c r="L65" s="224"/>
      <c r="M65" s="224"/>
      <c r="N65" s="225"/>
      <c r="O65" s="225"/>
      <c r="P65" s="225"/>
      <c r="Q65" s="225"/>
      <c r="R65" s="224"/>
      <c r="S65" s="224"/>
      <c r="T65" s="224"/>
      <c r="U65" s="224"/>
      <c r="V65" s="224"/>
      <c r="W65" s="224"/>
      <c r="X65" s="224"/>
      <c r="Y65" s="224"/>
      <c r="Z65" s="226"/>
      <c r="AA65" s="226"/>
      <c r="AB65" s="226"/>
      <c r="AC65" s="226"/>
      <c r="AD65" s="226"/>
      <c r="AE65" s="226"/>
      <c r="AF65" s="226"/>
      <c r="AG65" s="226" t="s">
        <v>217</v>
      </c>
      <c r="AH65" s="226">
        <v>0</v>
      </c>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row>
    <row r="66" outlineLevel="3">
      <c r="A66" s="227"/>
      <c r="B66" s="228"/>
      <c r="C66" s="233" t="s">
        <v>274</v>
      </c>
      <c r="D66" s="234"/>
      <c r="E66" s="235">
        <v>8.9299999999999997</v>
      </c>
      <c r="F66" s="224"/>
      <c r="G66" s="224"/>
      <c r="H66" s="224"/>
      <c r="I66" s="224"/>
      <c r="J66" s="224"/>
      <c r="K66" s="224"/>
      <c r="L66" s="224"/>
      <c r="M66" s="224"/>
      <c r="N66" s="225"/>
      <c r="O66" s="225"/>
      <c r="P66" s="225"/>
      <c r="Q66" s="225"/>
      <c r="R66" s="224"/>
      <c r="S66" s="224"/>
      <c r="T66" s="224"/>
      <c r="U66" s="224"/>
      <c r="V66" s="224"/>
      <c r="W66" s="224"/>
      <c r="X66" s="224"/>
      <c r="Y66" s="224"/>
      <c r="Z66" s="226"/>
      <c r="AA66" s="226"/>
      <c r="AB66" s="226"/>
      <c r="AC66" s="226"/>
      <c r="AD66" s="226"/>
      <c r="AE66" s="226"/>
      <c r="AF66" s="226"/>
      <c r="AG66" s="226" t="s">
        <v>217</v>
      </c>
      <c r="AH66" s="226">
        <v>0</v>
      </c>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row>
    <row r="67" outlineLevel="1" ht="22.5">
      <c r="A67" s="237">
        <v>13</v>
      </c>
      <c r="B67" s="238" t="s">
        <v>275</v>
      </c>
      <c r="C67" s="239" t="s">
        <v>276</v>
      </c>
      <c r="D67" s="240" t="s">
        <v>277</v>
      </c>
      <c r="E67" s="241">
        <v>3</v>
      </c>
      <c r="F67" s="242"/>
      <c r="G67" s="243">
        <f>ROUND(E67*F67,2)</f>
        <v>0</v>
      </c>
      <c r="H67" s="223"/>
      <c r="I67" s="224">
        <f>ROUND(E67*H67,2)</f>
        <v>0</v>
      </c>
      <c r="J67" s="223"/>
      <c r="K67" s="224">
        <f>ROUND(E67*J67,2)</f>
        <v>0</v>
      </c>
      <c r="L67" s="224">
        <v>21</v>
      </c>
      <c r="M67" s="224">
        <f>G67*(1+L67/100)</f>
        <v>0</v>
      </c>
      <c r="N67" s="225">
        <v>0</v>
      </c>
      <c r="O67" s="225">
        <f>ROUND(E67*N67,2)</f>
        <v>0</v>
      </c>
      <c r="P67" s="225">
        <v>0</v>
      </c>
      <c r="Q67" s="225">
        <f>ROUND(E67*P67,2)</f>
        <v>0</v>
      </c>
      <c r="R67" s="224"/>
      <c r="S67" s="224" t="s">
        <v>208</v>
      </c>
      <c r="T67" s="224" t="s">
        <v>209</v>
      </c>
      <c r="U67" s="224">
        <v>0</v>
      </c>
      <c r="V67" s="224">
        <f>ROUND(E67*U67,2)</f>
        <v>0</v>
      </c>
      <c r="W67" s="224"/>
      <c r="X67" s="224" t="s">
        <v>210</v>
      </c>
      <c r="Y67" s="224" t="s">
        <v>211</v>
      </c>
      <c r="Z67" s="226"/>
      <c r="AA67" s="226"/>
      <c r="AB67" s="226"/>
      <c r="AC67" s="226"/>
      <c r="AD67" s="226"/>
      <c r="AE67" s="226"/>
      <c r="AF67" s="226"/>
      <c r="AG67" s="226" t="s">
        <v>212</v>
      </c>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row>
    <row r="68" outlineLevel="1" ht="22.5">
      <c r="A68" s="237">
        <v>14</v>
      </c>
      <c r="B68" s="238" t="s">
        <v>278</v>
      </c>
      <c r="C68" s="239" t="s">
        <v>279</v>
      </c>
      <c r="D68" s="240" t="s">
        <v>280</v>
      </c>
      <c r="E68" s="241">
        <v>1</v>
      </c>
      <c r="F68" s="242"/>
      <c r="G68" s="243">
        <f>ROUND(E68*F68,2)</f>
        <v>0</v>
      </c>
      <c r="H68" s="223"/>
      <c r="I68" s="224">
        <f>ROUND(E68*H68,2)</f>
        <v>0</v>
      </c>
      <c r="J68" s="223"/>
      <c r="K68" s="224">
        <f>ROUND(E68*J68,2)</f>
        <v>0</v>
      </c>
      <c r="L68" s="224">
        <v>21</v>
      </c>
      <c r="M68" s="224">
        <f>G68*(1+L68/100)</f>
        <v>0</v>
      </c>
      <c r="N68" s="225">
        <v>0</v>
      </c>
      <c r="O68" s="225">
        <f>ROUND(E68*N68,2)</f>
        <v>0</v>
      </c>
      <c r="P68" s="225">
        <v>0</v>
      </c>
      <c r="Q68" s="225">
        <f>ROUND(E68*P68,2)</f>
        <v>0</v>
      </c>
      <c r="R68" s="224"/>
      <c r="S68" s="224" t="s">
        <v>208</v>
      </c>
      <c r="T68" s="224" t="s">
        <v>209</v>
      </c>
      <c r="U68" s="224">
        <v>0</v>
      </c>
      <c r="V68" s="224">
        <f>ROUND(E68*U68,2)</f>
        <v>0</v>
      </c>
      <c r="W68" s="224"/>
      <c r="X68" s="224" t="s">
        <v>210</v>
      </c>
      <c r="Y68" s="224" t="s">
        <v>211</v>
      </c>
      <c r="Z68" s="226"/>
      <c r="AA68" s="226"/>
      <c r="AB68" s="226"/>
      <c r="AC68" s="226"/>
      <c r="AD68" s="226"/>
      <c r="AE68" s="226"/>
      <c r="AF68" s="226"/>
      <c r="AG68" s="226" t="s">
        <v>212</v>
      </c>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6"/>
      <c r="BH68" s="226"/>
    </row>
    <row r="69" outlineLevel="1" ht="22.5">
      <c r="A69" s="237">
        <v>15</v>
      </c>
      <c r="B69" s="238" t="s">
        <v>281</v>
      </c>
      <c r="C69" s="239" t="s">
        <v>282</v>
      </c>
      <c r="D69" s="240" t="s">
        <v>280</v>
      </c>
      <c r="E69" s="241">
        <v>7</v>
      </c>
      <c r="F69" s="242"/>
      <c r="G69" s="243">
        <f>ROUND(E69*F69,2)</f>
        <v>0</v>
      </c>
      <c r="H69" s="223"/>
      <c r="I69" s="224">
        <f>ROUND(E69*H69,2)</f>
        <v>0</v>
      </c>
      <c r="J69" s="223"/>
      <c r="K69" s="224">
        <f>ROUND(E69*J69,2)</f>
        <v>0</v>
      </c>
      <c r="L69" s="224">
        <v>21</v>
      </c>
      <c r="M69" s="224">
        <f>G69*(1+L69/100)</f>
        <v>0</v>
      </c>
      <c r="N69" s="225">
        <v>0</v>
      </c>
      <c r="O69" s="225">
        <f>ROUND(E69*N69,2)</f>
        <v>0</v>
      </c>
      <c r="P69" s="225">
        <v>0</v>
      </c>
      <c r="Q69" s="225">
        <f>ROUND(E69*P69,2)</f>
        <v>0</v>
      </c>
      <c r="R69" s="224"/>
      <c r="S69" s="224" t="s">
        <v>208</v>
      </c>
      <c r="T69" s="224" t="s">
        <v>209</v>
      </c>
      <c r="U69" s="224">
        <v>0</v>
      </c>
      <c r="V69" s="224">
        <f>ROUND(E69*U69,2)</f>
        <v>0</v>
      </c>
      <c r="W69" s="224"/>
      <c r="X69" s="224" t="s">
        <v>210</v>
      </c>
      <c r="Y69" s="224" t="s">
        <v>211</v>
      </c>
      <c r="Z69" s="226"/>
      <c r="AA69" s="226"/>
      <c r="AB69" s="226"/>
      <c r="AC69" s="226"/>
      <c r="AD69" s="226"/>
      <c r="AE69" s="226"/>
      <c r="AF69" s="226"/>
      <c r="AG69" s="226" t="s">
        <v>212</v>
      </c>
      <c r="AH69" s="226"/>
      <c r="AI69" s="226"/>
      <c r="AJ69" s="226"/>
      <c r="AK69" s="226"/>
      <c r="AL69" s="226"/>
      <c r="AM69" s="226"/>
      <c r="AN69" s="226"/>
      <c r="AO69" s="226"/>
      <c r="AP69" s="226"/>
      <c r="AQ69" s="226"/>
      <c r="AR69" s="226"/>
      <c r="AS69" s="226"/>
      <c r="AT69" s="226"/>
      <c r="AU69" s="226"/>
      <c r="AV69" s="226"/>
      <c r="AW69" s="226"/>
      <c r="AX69" s="226"/>
      <c r="AY69" s="226"/>
      <c r="AZ69" s="226"/>
      <c r="BA69" s="226"/>
      <c r="BB69" s="226"/>
      <c r="BC69" s="226"/>
      <c r="BD69" s="226"/>
      <c r="BE69" s="226"/>
      <c r="BF69" s="226"/>
      <c r="BG69" s="226"/>
      <c r="BH69" s="226"/>
    </row>
    <row r="70" outlineLevel="1" ht="22.5">
      <c r="A70" s="237">
        <v>16</v>
      </c>
      <c r="B70" s="238" t="s">
        <v>283</v>
      </c>
      <c r="C70" s="239" t="s">
        <v>284</v>
      </c>
      <c r="D70" s="240" t="s">
        <v>280</v>
      </c>
      <c r="E70" s="241">
        <v>1</v>
      </c>
      <c r="F70" s="242"/>
      <c r="G70" s="243">
        <f>ROUND(E70*F70,2)</f>
        <v>0</v>
      </c>
      <c r="H70" s="223"/>
      <c r="I70" s="224">
        <f>ROUND(E70*H70,2)</f>
        <v>0</v>
      </c>
      <c r="J70" s="223"/>
      <c r="K70" s="224">
        <f>ROUND(E70*J70,2)</f>
        <v>0</v>
      </c>
      <c r="L70" s="224">
        <v>21</v>
      </c>
      <c r="M70" s="224">
        <f>G70*(1+L70/100)</f>
        <v>0</v>
      </c>
      <c r="N70" s="225">
        <v>0</v>
      </c>
      <c r="O70" s="225">
        <f>ROUND(E70*N70,2)</f>
        <v>0</v>
      </c>
      <c r="P70" s="225">
        <v>0</v>
      </c>
      <c r="Q70" s="225">
        <f>ROUND(E70*P70,2)</f>
        <v>0</v>
      </c>
      <c r="R70" s="224"/>
      <c r="S70" s="224" t="s">
        <v>208</v>
      </c>
      <c r="T70" s="224" t="s">
        <v>209</v>
      </c>
      <c r="U70" s="224">
        <v>0</v>
      </c>
      <c r="V70" s="224">
        <f>ROUND(E70*U70,2)</f>
        <v>0</v>
      </c>
      <c r="W70" s="224"/>
      <c r="X70" s="224" t="s">
        <v>210</v>
      </c>
      <c r="Y70" s="224" t="s">
        <v>211</v>
      </c>
      <c r="Z70" s="226"/>
      <c r="AA70" s="226"/>
      <c r="AB70" s="226"/>
      <c r="AC70" s="226"/>
      <c r="AD70" s="226"/>
      <c r="AE70" s="226"/>
      <c r="AF70" s="226"/>
      <c r="AG70" s="226" t="s">
        <v>212</v>
      </c>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row>
    <row r="71">
      <c r="A71" s="207" t="s">
        <v>203</v>
      </c>
      <c r="B71" s="208" t="s">
        <v>147</v>
      </c>
      <c r="C71" s="209" t="s">
        <v>148</v>
      </c>
      <c r="D71" s="210"/>
      <c r="E71" s="211"/>
      <c r="F71" s="212"/>
      <c r="G71" s="213">
        <f>SUMIF(AG72:AG99,"&lt;&gt;NOR",G72:G99)</f>
        <v>0</v>
      </c>
      <c r="H71" s="214"/>
      <c r="I71" s="214">
        <f>SUM(I72:I99)</f>
        <v>0</v>
      </c>
      <c r="J71" s="214"/>
      <c r="K71" s="214">
        <f>SUM(K72:K99)</f>
        <v>0</v>
      </c>
      <c r="L71" s="214"/>
      <c r="M71" s="214">
        <f>SUM(M72:M99)</f>
        <v>0</v>
      </c>
      <c r="N71" s="215"/>
      <c r="O71" s="215">
        <f>SUM(O72:O99)</f>
        <v>0.029999999999999999</v>
      </c>
      <c r="P71" s="215"/>
      <c r="Q71" s="215">
        <f>SUM(Q72:Q99)</f>
        <v>0</v>
      </c>
      <c r="R71" s="214"/>
      <c r="S71" s="214"/>
      <c r="T71" s="214"/>
      <c r="U71" s="214"/>
      <c r="V71" s="214">
        <f>SUM(V72:V99)</f>
        <v>0</v>
      </c>
      <c r="W71" s="214"/>
      <c r="X71" s="214"/>
      <c r="Y71" s="214"/>
      <c r="AG71" t="s">
        <v>204</v>
      </c>
    </row>
    <row r="72" outlineLevel="1">
      <c r="A72" s="237">
        <v>17</v>
      </c>
      <c r="B72" s="238" t="s">
        <v>285</v>
      </c>
      <c r="C72" s="239" t="s">
        <v>286</v>
      </c>
      <c r="D72" s="240" t="s">
        <v>229</v>
      </c>
      <c r="E72" s="241">
        <v>366.73200000000003</v>
      </c>
      <c r="F72" s="242"/>
      <c r="G72" s="243">
        <f>ROUND(E72*F72,2)</f>
        <v>0</v>
      </c>
      <c r="H72" s="223"/>
      <c r="I72" s="224">
        <f>ROUND(E72*H72,2)</f>
        <v>0</v>
      </c>
      <c r="J72" s="223"/>
      <c r="K72" s="224">
        <f>ROUND(E72*J72,2)</f>
        <v>0</v>
      </c>
      <c r="L72" s="224">
        <v>21</v>
      </c>
      <c r="M72" s="224">
        <f>G72*(1+L72/100)</f>
        <v>0</v>
      </c>
      <c r="N72" s="225">
        <v>0</v>
      </c>
      <c r="O72" s="225">
        <f>ROUND(E72*N72,2)</f>
        <v>0</v>
      </c>
      <c r="P72" s="225">
        <v>0</v>
      </c>
      <c r="Q72" s="225">
        <f>ROUND(E72*P72,2)</f>
        <v>0</v>
      </c>
      <c r="R72" s="224"/>
      <c r="S72" s="224" t="s">
        <v>208</v>
      </c>
      <c r="T72" s="224" t="s">
        <v>209</v>
      </c>
      <c r="U72" s="224">
        <v>0</v>
      </c>
      <c r="V72" s="224">
        <f>ROUND(E72*U72,2)</f>
        <v>0</v>
      </c>
      <c r="W72" s="224"/>
      <c r="X72" s="224" t="s">
        <v>210</v>
      </c>
      <c r="Y72" s="224" t="s">
        <v>211</v>
      </c>
      <c r="Z72" s="226"/>
      <c r="AA72" s="226"/>
      <c r="AB72" s="226"/>
      <c r="AC72" s="226"/>
      <c r="AD72" s="226"/>
      <c r="AE72" s="226"/>
      <c r="AF72" s="226"/>
      <c r="AG72" s="226" t="s">
        <v>212</v>
      </c>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row>
    <row r="73" outlineLevel="1" ht="22.5">
      <c r="A73" s="237">
        <v>18</v>
      </c>
      <c r="B73" s="238" t="s">
        <v>287</v>
      </c>
      <c r="C73" s="239" t="s">
        <v>288</v>
      </c>
      <c r="D73" s="240" t="s">
        <v>229</v>
      </c>
      <c r="E73" s="241">
        <v>366.73200000000003</v>
      </c>
      <c r="F73" s="242"/>
      <c r="G73" s="243">
        <f>ROUND(E73*F73,2)</f>
        <v>0</v>
      </c>
      <c r="H73" s="223"/>
      <c r="I73" s="224">
        <f>ROUND(E73*H73,2)</f>
        <v>0</v>
      </c>
      <c r="J73" s="223"/>
      <c r="K73" s="224">
        <f>ROUND(E73*J73,2)</f>
        <v>0</v>
      </c>
      <c r="L73" s="224">
        <v>21</v>
      </c>
      <c r="M73" s="224">
        <f>G73*(1+L73/100)</f>
        <v>0</v>
      </c>
      <c r="N73" s="225">
        <v>0</v>
      </c>
      <c r="O73" s="225">
        <f>ROUND(E73*N73,2)</f>
        <v>0</v>
      </c>
      <c r="P73" s="225">
        <v>0</v>
      </c>
      <c r="Q73" s="225">
        <f>ROUND(E73*P73,2)</f>
        <v>0</v>
      </c>
      <c r="R73" s="224"/>
      <c r="S73" s="224" t="s">
        <v>208</v>
      </c>
      <c r="T73" s="224" t="s">
        <v>209</v>
      </c>
      <c r="U73" s="224">
        <v>0</v>
      </c>
      <c r="V73" s="224">
        <f>ROUND(E73*U73,2)</f>
        <v>0</v>
      </c>
      <c r="W73" s="224"/>
      <c r="X73" s="224" t="s">
        <v>210</v>
      </c>
      <c r="Y73" s="224" t="s">
        <v>211</v>
      </c>
      <c r="Z73" s="226"/>
      <c r="AA73" s="226"/>
      <c r="AB73" s="226"/>
      <c r="AC73" s="226"/>
      <c r="AD73" s="226"/>
      <c r="AE73" s="226"/>
      <c r="AF73" s="226"/>
      <c r="AG73" s="226" t="s">
        <v>212</v>
      </c>
      <c r="AH73" s="226"/>
      <c r="AI73" s="226"/>
      <c r="AJ73" s="226"/>
      <c r="AK73" s="226"/>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row>
    <row r="74" outlineLevel="1" ht="22.5">
      <c r="A74" s="216">
        <v>19</v>
      </c>
      <c r="B74" s="217" t="s">
        <v>289</v>
      </c>
      <c r="C74" s="218" t="s">
        <v>290</v>
      </c>
      <c r="D74" s="219" t="s">
        <v>229</v>
      </c>
      <c r="E74" s="220">
        <v>7334.6400000000003</v>
      </c>
      <c r="F74" s="221"/>
      <c r="G74" s="222">
        <f>ROUND(E74*F74,2)</f>
        <v>0</v>
      </c>
      <c r="H74" s="223"/>
      <c r="I74" s="224">
        <f>ROUND(E74*H74,2)</f>
        <v>0</v>
      </c>
      <c r="J74" s="223"/>
      <c r="K74" s="224">
        <f>ROUND(E74*J74,2)</f>
        <v>0</v>
      </c>
      <c r="L74" s="224">
        <v>21</v>
      </c>
      <c r="M74" s="224">
        <f>G74*(1+L74/100)</f>
        <v>0</v>
      </c>
      <c r="N74" s="225">
        <v>0</v>
      </c>
      <c r="O74" s="225">
        <f>ROUND(E74*N74,2)</f>
        <v>0</v>
      </c>
      <c r="P74" s="225">
        <v>0</v>
      </c>
      <c r="Q74" s="225">
        <f>ROUND(E74*P74,2)</f>
        <v>0</v>
      </c>
      <c r="R74" s="224"/>
      <c r="S74" s="224" t="s">
        <v>208</v>
      </c>
      <c r="T74" s="224" t="s">
        <v>209</v>
      </c>
      <c r="U74" s="224">
        <v>0</v>
      </c>
      <c r="V74" s="224">
        <f>ROUND(E74*U74,2)</f>
        <v>0</v>
      </c>
      <c r="W74" s="224"/>
      <c r="X74" s="224" t="s">
        <v>210</v>
      </c>
      <c r="Y74" s="224" t="s">
        <v>211</v>
      </c>
      <c r="Z74" s="226"/>
      <c r="AA74" s="226"/>
      <c r="AB74" s="226"/>
      <c r="AC74" s="226"/>
      <c r="AD74" s="226"/>
      <c r="AE74" s="226"/>
      <c r="AF74" s="226"/>
      <c r="AG74" s="226" t="s">
        <v>212</v>
      </c>
      <c r="AH74" s="226"/>
      <c r="AI74" s="226"/>
      <c r="AJ74" s="226"/>
      <c r="AK74" s="226"/>
      <c r="AL74" s="226"/>
      <c r="AM74" s="226"/>
      <c r="AN74" s="226"/>
      <c r="AO74" s="226"/>
      <c r="AP74" s="226"/>
      <c r="AQ74" s="226"/>
      <c r="AR74" s="226"/>
      <c r="AS74" s="226"/>
      <c r="AT74" s="226"/>
      <c r="AU74" s="226"/>
      <c r="AV74" s="226"/>
      <c r="AW74" s="226"/>
      <c r="AX74" s="226"/>
      <c r="AY74" s="226"/>
      <c r="AZ74" s="226"/>
      <c r="BA74" s="226"/>
      <c r="BB74" s="226"/>
      <c r="BC74" s="226"/>
      <c r="BD74" s="226"/>
      <c r="BE74" s="226"/>
      <c r="BF74" s="226"/>
      <c r="BG74" s="226"/>
      <c r="BH74" s="226"/>
    </row>
    <row r="75" outlineLevel="2">
      <c r="A75" s="227"/>
      <c r="B75" s="228"/>
      <c r="C75" s="233" t="s">
        <v>291</v>
      </c>
      <c r="D75" s="234"/>
      <c r="E75" s="235"/>
      <c r="F75" s="224"/>
      <c r="G75" s="224"/>
      <c r="H75" s="224"/>
      <c r="I75" s="224"/>
      <c r="J75" s="224"/>
      <c r="K75" s="224"/>
      <c r="L75" s="224"/>
      <c r="M75" s="224"/>
      <c r="N75" s="225"/>
      <c r="O75" s="225"/>
      <c r="P75" s="225"/>
      <c r="Q75" s="225"/>
      <c r="R75" s="224"/>
      <c r="S75" s="224"/>
      <c r="T75" s="224"/>
      <c r="U75" s="224"/>
      <c r="V75" s="224"/>
      <c r="W75" s="224"/>
      <c r="X75" s="224"/>
      <c r="Y75" s="224"/>
      <c r="Z75" s="226"/>
      <c r="AA75" s="226"/>
      <c r="AB75" s="226"/>
      <c r="AC75" s="226"/>
      <c r="AD75" s="226"/>
      <c r="AE75" s="226"/>
      <c r="AF75" s="226"/>
      <c r="AG75" s="226" t="s">
        <v>217</v>
      </c>
      <c r="AH75" s="226">
        <v>0</v>
      </c>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row>
    <row r="76" outlineLevel="3">
      <c r="A76" s="227"/>
      <c r="B76" s="228"/>
      <c r="C76" s="233" t="s">
        <v>292</v>
      </c>
      <c r="D76" s="234"/>
      <c r="E76" s="235">
        <v>7334.6400000000003</v>
      </c>
      <c r="F76" s="224"/>
      <c r="G76" s="224"/>
      <c r="H76" s="224"/>
      <c r="I76" s="224"/>
      <c r="J76" s="224"/>
      <c r="K76" s="224"/>
      <c r="L76" s="224"/>
      <c r="M76" s="224"/>
      <c r="N76" s="225"/>
      <c r="O76" s="225"/>
      <c r="P76" s="225"/>
      <c r="Q76" s="225"/>
      <c r="R76" s="224"/>
      <c r="S76" s="224"/>
      <c r="T76" s="224"/>
      <c r="U76" s="224"/>
      <c r="V76" s="224"/>
      <c r="W76" s="224"/>
      <c r="X76" s="224"/>
      <c r="Y76" s="224"/>
      <c r="Z76" s="226"/>
      <c r="AA76" s="226"/>
      <c r="AB76" s="226"/>
      <c r="AC76" s="226"/>
      <c r="AD76" s="226"/>
      <c r="AE76" s="226"/>
      <c r="AF76" s="226"/>
      <c r="AG76" s="226" t="s">
        <v>217</v>
      </c>
      <c r="AH76" s="226">
        <v>0</v>
      </c>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row>
    <row r="77" outlineLevel="1" ht="22.5">
      <c r="A77" s="237">
        <v>20</v>
      </c>
      <c r="B77" s="238" t="s">
        <v>293</v>
      </c>
      <c r="C77" s="239" t="s">
        <v>294</v>
      </c>
      <c r="D77" s="240" t="s">
        <v>229</v>
      </c>
      <c r="E77" s="241">
        <v>366.73200000000003</v>
      </c>
      <c r="F77" s="242"/>
      <c r="G77" s="243">
        <f>ROUND(E77*F77,2)</f>
        <v>0</v>
      </c>
      <c r="H77" s="223"/>
      <c r="I77" s="224">
        <f>ROUND(E77*H77,2)</f>
        <v>0</v>
      </c>
      <c r="J77" s="223"/>
      <c r="K77" s="224">
        <f>ROUND(E77*J77,2)</f>
        <v>0</v>
      </c>
      <c r="L77" s="224">
        <v>21</v>
      </c>
      <c r="M77" s="224">
        <f>G77*(1+L77/100)</f>
        <v>0</v>
      </c>
      <c r="N77" s="225">
        <v>0</v>
      </c>
      <c r="O77" s="225">
        <f>ROUND(E77*N77,2)</f>
        <v>0</v>
      </c>
      <c r="P77" s="225">
        <v>0</v>
      </c>
      <c r="Q77" s="225">
        <f>ROUND(E77*P77,2)</f>
        <v>0</v>
      </c>
      <c r="R77" s="224"/>
      <c r="S77" s="224" t="s">
        <v>208</v>
      </c>
      <c r="T77" s="224" t="s">
        <v>209</v>
      </c>
      <c r="U77" s="224">
        <v>0</v>
      </c>
      <c r="V77" s="224">
        <f>ROUND(E77*U77,2)</f>
        <v>0</v>
      </c>
      <c r="W77" s="224"/>
      <c r="X77" s="224" t="s">
        <v>210</v>
      </c>
      <c r="Y77" s="224" t="s">
        <v>211</v>
      </c>
      <c r="Z77" s="226"/>
      <c r="AA77" s="226"/>
      <c r="AB77" s="226"/>
      <c r="AC77" s="226"/>
      <c r="AD77" s="226"/>
      <c r="AE77" s="226"/>
      <c r="AF77" s="226"/>
      <c r="AG77" s="226" t="s">
        <v>212</v>
      </c>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row>
    <row r="78" outlineLevel="1" ht="33.75">
      <c r="A78" s="216">
        <v>21</v>
      </c>
      <c r="B78" s="217" t="s">
        <v>295</v>
      </c>
      <c r="C78" s="218" t="s">
        <v>296</v>
      </c>
      <c r="D78" s="219" t="s">
        <v>229</v>
      </c>
      <c r="E78" s="220">
        <v>37.43</v>
      </c>
      <c r="F78" s="221"/>
      <c r="G78" s="222">
        <f>ROUND(E78*F78,2)</f>
        <v>0</v>
      </c>
      <c r="H78" s="223"/>
      <c r="I78" s="224">
        <f>ROUND(E78*H78,2)</f>
        <v>0</v>
      </c>
      <c r="J78" s="223"/>
      <c r="K78" s="224">
        <f>ROUND(E78*J78,2)</f>
        <v>0</v>
      </c>
      <c r="L78" s="224">
        <v>21</v>
      </c>
      <c r="M78" s="224">
        <f>G78*(1+L78/100)</f>
        <v>0</v>
      </c>
      <c r="N78" s="225">
        <v>0</v>
      </c>
      <c r="O78" s="225">
        <f>ROUND(E78*N78,2)</f>
        <v>0</v>
      </c>
      <c r="P78" s="225">
        <v>0</v>
      </c>
      <c r="Q78" s="225">
        <f>ROUND(E78*P78,2)</f>
        <v>0</v>
      </c>
      <c r="R78" s="224"/>
      <c r="S78" s="224" t="s">
        <v>208</v>
      </c>
      <c r="T78" s="224" t="s">
        <v>209</v>
      </c>
      <c r="U78" s="224">
        <v>0</v>
      </c>
      <c r="V78" s="224">
        <f>ROUND(E78*U78,2)</f>
        <v>0</v>
      </c>
      <c r="W78" s="224"/>
      <c r="X78" s="224" t="s">
        <v>210</v>
      </c>
      <c r="Y78" s="224" t="s">
        <v>211</v>
      </c>
      <c r="Z78" s="226"/>
      <c r="AA78" s="226"/>
      <c r="AB78" s="226"/>
      <c r="AC78" s="226"/>
      <c r="AD78" s="226"/>
      <c r="AE78" s="226"/>
      <c r="AF78" s="226"/>
      <c r="AG78" s="226" t="s">
        <v>212</v>
      </c>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row>
    <row r="79" outlineLevel="2">
      <c r="A79" s="227"/>
      <c r="B79" s="228"/>
      <c r="C79" s="229" t="s">
        <v>213</v>
      </c>
      <c r="D79" s="230"/>
      <c r="E79" s="230"/>
      <c r="F79" s="230"/>
      <c r="G79" s="230"/>
      <c r="H79" s="224"/>
      <c r="I79" s="224"/>
      <c r="J79" s="224"/>
      <c r="K79" s="224"/>
      <c r="L79" s="224"/>
      <c r="M79" s="224"/>
      <c r="N79" s="225"/>
      <c r="O79" s="225"/>
      <c r="P79" s="225"/>
      <c r="Q79" s="225"/>
      <c r="R79" s="224"/>
      <c r="S79" s="224"/>
      <c r="T79" s="224"/>
      <c r="U79" s="224"/>
      <c r="V79" s="224"/>
      <c r="W79" s="224"/>
      <c r="X79" s="224"/>
      <c r="Y79" s="224"/>
      <c r="Z79" s="226"/>
      <c r="AA79" s="226"/>
      <c r="AB79" s="226"/>
      <c r="AC79" s="226"/>
      <c r="AD79" s="226"/>
      <c r="AE79" s="226"/>
      <c r="AF79" s="226"/>
      <c r="AG79" s="226" t="s">
        <v>214</v>
      </c>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row>
    <row r="80" outlineLevel="3">
      <c r="A80" s="227"/>
      <c r="B80" s="228"/>
      <c r="C80" s="231" t="s">
        <v>297</v>
      </c>
      <c r="D80" s="232"/>
      <c r="E80" s="232"/>
      <c r="F80" s="232"/>
      <c r="G80" s="232"/>
      <c r="H80" s="224"/>
      <c r="I80" s="224"/>
      <c r="J80" s="224"/>
      <c r="K80" s="224"/>
      <c r="L80" s="224"/>
      <c r="M80" s="224"/>
      <c r="N80" s="225"/>
      <c r="O80" s="225"/>
      <c r="P80" s="225"/>
      <c r="Q80" s="225"/>
      <c r="R80" s="224"/>
      <c r="S80" s="224"/>
      <c r="T80" s="224"/>
      <c r="U80" s="224"/>
      <c r="V80" s="224"/>
      <c r="W80" s="224"/>
      <c r="X80" s="224"/>
      <c r="Y80" s="224"/>
      <c r="Z80" s="226"/>
      <c r="AA80" s="226"/>
      <c r="AB80" s="226"/>
      <c r="AC80" s="226"/>
      <c r="AD80" s="226"/>
      <c r="AE80" s="226"/>
      <c r="AF80" s="226"/>
      <c r="AG80" s="226" t="s">
        <v>214</v>
      </c>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row>
    <row r="81" outlineLevel="1" ht="33.75">
      <c r="A81" s="216">
        <v>22</v>
      </c>
      <c r="B81" s="217" t="s">
        <v>298</v>
      </c>
      <c r="C81" s="218" t="s">
        <v>299</v>
      </c>
      <c r="D81" s="219" t="s">
        <v>229</v>
      </c>
      <c r="E81" s="220">
        <v>171.72499999999999</v>
      </c>
      <c r="F81" s="221"/>
      <c r="G81" s="222">
        <f>ROUND(E81*F81,2)</f>
        <v>0</v>
      </c>
      <c r="H81" s="223"/>
      <c r="I81" s="224">
        <f>ROUND(E81*H81,2)</f>
        <v>0</v>
      </c>
      <c r="J81" s="223"/>
      <c r="K81" s="224">
        <f>ROUND(E81*J81,2)</f>
        <v>0</v>
      </c>
      <c r="L81" s="224">
        <v>21</v>
      </c>
      <c r="M81" s="224">
        <f>G81*(1+L81/100)</f>
        <v>0</v>
      </c>
      <c r="N81" s="225">
        <v>0</v>
      </c>
      <c r="O81" s="225">
        <f>ROUND(E81*N81,2)</f>
        <v>0</v>
      </c>
      <c r="P81" s="225">
        <v>0</v>
      </c>
      <c r="Q81" s="225">
        <f>ROUND(E81*P81,2)</f>
        <v>0</v>
      </c>
      <c r="R81" s="224"/>
      <c r="S81" s="224" t="s">
        <v>208</v>
      </c>
      <c r="T81" s="224" t="s">
        <v>209</v>
      </c>
      <c r="U81" s="224">
        <v>0</v>
      </c>
      <c r="V81" s="224">
        <f>ROUND(E81*U81,2)</f>
        <v>0</v>
      </c>
      <c r="W81" s="224"/>
      <c r="X81" s="224" t="s">
        <v>210</v>
      </c>
      <c r="Y81" s="224" t="s">
        <v>211</v>
      </c>
      <c r="Z81" s="226"/>
      <c r="AA81" s="226"/>
      <c r="AB81" s="226"/>
      <c r="AC81" s="226"/>
      <c r="AD81" s="226"/>
      <c r="AE81" s="226"/>
      <c r="AF81" s="226"/>
      <c r="AG81" s="226" t="s">
        <v>212</v>
      </c>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row>
    <row r="82" outlineLevel="2">
      <c r="A82" s="227"/>
      <c r="B82" s="228"/>
      <c r="C82" s="229" t="s">
        <v>213</v>
      </c>
      <c r="D82" s="230"/>
      <c r="E82" s="230"/>
      <c r="F82" s="230"/>
      <c r="G82" s="230"/>
      <c r="H82" s="224"/>
      <c r="I82" s="224"/>
      <c r="J82" s="224"/>
      <c r="K82" s="224"/>
      <c r="L82" s="224"/>
      <c r="M82" s="224"/>
      <c r="N82" s="225"/>
      <c r="O82" s="225"/>
      <c r="P82" s="225"/>
      <c r="Q82" s="225"/>
      <c r="R82" s="224"/>
      <c r="S82" s="224"/>
      <c r="T82" s="224"/>
      <c r="U82" s="224"/>
      <c r="V82" s="224"/>
      <c r="W82" s="224"/>
      <c r="X82" s="224"/>
      <c r="Y82" s="224"/>
      <c r="Z82" s="226"/>
      <c r="AA82" s="226"/>
      <c r="AB82" s="226"/>
      <c r="AC82" s="226"/>
      <c r="AD82" s="226"/>
      <c r="AE82" s="226"/>
      <c r="AF82" s="226"/>
      <c r="AG82" s="226" t="s">
        <v>214</v>
      </c>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row>
    <row r="83" outlineLevel="3" ht="22.5">
      <c r="A83" s="227"/>
      <c r="B83" s="228"/>
      <c r="C83" s="231" t="s">
        <v>300</v>
      </c>
      <c r="D83" s="232"/>
      <c r="E83" s="232"/>
      <c r="F83" s="232"/>
      <c r="G83" s="232"/>
      <c r="H83" s="224"/>
      <c r="I83" s="224"/>
      <c r="J83" s="224"/>
      <c r="K83" s="224"/>
      <c r="L83" s="224"/>
      <c r="M83" s="224"/>
      <c r="N83" s="225"/>
      <c r="O83" s="225"/>
      <c r="P83" s="225"/>
      <c r="Q83" s="225"/>
      <c r="R83" s="224"/>
      <c r="S83" s="224"/>
      <c r="T83" s="224"/>
      <c r="U83" s="224"/>
      <c r="V83" s="224"/>
      <c r="W83" s="224"/>
      <c r="X83" s="224"/>
      <c r="Y83" s="224"/>
      <c r="Z83" s="226"/>
      <c r="AA83" s="226"/>
      <c r="AB83" s="226"/>
      <c r="AC83" s="226"/>
      <c r="AD83" s="226"/>
      <c r="AE83" s="226"/>
      <c r="AF83" s="226"/>
      <c r="AG83" s="226" t="s">
        <v>214</v>
      </c>
      <c r="AH83" s="226"/>
      <c r="AI83" s="226"/>
      <c r="AJ83" s="226"/>
      <c r="AK83" s="226"/>
      <c r="AL83" s="226"/>
      <c r="AM83" s="226"/>
      <c r="AN83" s="226"/>
      <c r="AO83" s="226"/>
      <c r="AP83" s="226"/>
      <c r="AQ83" s="226"/>
      <c r="AR83" s="226"/>
      <c r="AS83" s="226"/>
      <c r="AT83" s="226"/>
      <c r="AU83" s="226"/>
      <c r="AV83" s="226"/>
      <c r="AW83" s="226"/>
      <c r="AX83" s="226"/>
      <c r="AY83" s="226"/>
      <c r="AZ83" s="226"/>
      <c r="BA83" s="236" t="str">
        <f>C83</f>
        <v xml:space="preserve">Položka 981511114 - Demolice konstrukcí objektů z betonu železového postupným rozebíráním: 39,633  m3, 95,516 t</v>
      </c>
      <c r="BB83" s="226"/>
      <c r="BC83" s="226"/>
      <c r="BD83" s="226"/>
      <c r="BE83" s="226"/>
      <c r="BF83" s="226"/>
      <c r="BG83" s="226"/>
      <c r="BH83" s="226"/>
    </row>
    <row r="84" outlineLevel="3">
      <c r="A84" s="227"/>
      <c r="B84" s="228"/>
      <c r="C84" s="231" t="s">
        <v>301</v>
      </c>
      <c r="D84" s="232"/>
      <c r="E84" s="232"/>
      <c r="F84" s="232"/>
      <c r="G84" s="232"/>
      <c r="H84" s="224"/>
      <c r="I84" s="224"/>
      <c r="J84" s="224"/>
      <c r="K84" s="224"/>
      <c r="L84" s="224"/>
      <c r="M84" s="224"/>
      <c r="N84" s="225"/>
      <c r="O84" s="225"/>
      <c r="P84" s="225"/>
      <c r="Q84" s="225"/>
      <c r="R84" s="224"/>
      <c r="S84" s="224"/>
      <c r="T84" s="224"/>
      <c r="U84" s="224"/>
      <c r="V84" s="224"/>
      <c r="W84" s="224"/>
      <c r="X84" s="224"/>
      <c r="Y84" s="224"/>
      <c r="Z84" s="226"/>
      <c r="AA84" s="226"/>
      <c r="AB84" s="226"/>
      <c r="AC84" s="226"/>
      <c r="AD84" s="226"/>
      <c r="AE84" s="226"/>
      <c r="AF84" s="226"/>
      <c r="AG84" s="226" t="s">
        <v>214</v>
      </c>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row>
    <row r="85" outlineLevel="3">
      <c r="A85" s="227"/>
      <c r="B85" s="228"/>
      <c r="C85" s="231" t="s">
        <v>302</v>
      </c>
      <c r="D85" s="232"/>
      <c r="E85" s="232"/>
      <c r="F85" s="232"/>
      <c r="G85" s="232"/>
      <c r="H85" s="224"/>
      <c r="I85" s="224"/>
      <c r="J85" s="224"/>
      <c r="K85" s="224"/>
      <c r="L85" s="224"/>
      <c r="M85" s="224"/>
      <c r="N85" s="225"/>
      <c r="O85" s="225"/>
      <c r="P85" s="225"/>
      <c r="Q85" s="225"/>
      <c r="R85" s="224"/>
      <c r="S85" s="224"/>
      <c r="T85" s="224"/>
      <c r="U85" s="224"/>
      <c r="V85" s="224"/>
      <c r="W85" s="224"/>
      <c r="X85" s="224"/>
      <c r="Y85" s="224"/>
      <c r="Z85" s="226"/>
      <c r="AA85" s="226"/>
      <c r="AB85" s="226"/>
      <c r="AC85" s="226"/>
      <c r="AD85" s="226"/>
      <c r="AE85" s="226"/>
      <c r="AF85" s="226"/>
      <c r="AG85" s="226" t="s">
        <v>214</v>
      </c>
      <c r="AH85" s="226"/>
      <c r="AI85" s="226"/>
      <c r="AJ85" s="226"/>
      <c r="AK85" s="226"/>
      <c r="AL85" s="226"/>
      <c r="AM85" s="226"/>
      <c r="AN85" s="226"/>
      <c r="AO85" s="226"/>
      <c r="AP85" s="226"/>
      <c r="AQ85" s="226"/>
      <c r="AR85" s="226"/>
      <c r="AS85" s="226"/>
      <c r="AT85" s="226"/>
      <c r="AU85" s="226"/>
      <c r="AV85" s="226"/>
      <c r="AW85" s="226"/>
      <c r="AX85" s="226"/>
      <c r="AY85" s="226"/>
      <c r="AZ85" s="226"/>
      <c r="BA85" s="226"/>
      <c r="BB85" s="226"/>
      <c r="BC85" s="226"/>
      <c r="BD85" s="226"/>
      <c r="BE85" s="226"/>
      <c r="BF85" s="226"/>
      <c r="BG85" s="226"/>
      <c r="BH85" s="226"/>
    </row>
    <row r="86" outlineLevel="3">
      <c r="A86" s="227"/>
      <c r="B86" s="228"/>
      <c r="C86" s="231" t="s">
        <v>303</v>
      </c>
      <c r="D86" s="232"/>
      <c r="E86" s="232"/>
      <c r="F86" s="232"/>
      <c r="G86" s="232"/>
      <c r="H86" s="224"/>
      <c r="I86" s="224"/>
      <c r="J86" s="224"/>
      <c r="K86" s="224"/>
      <c r="L86" s="224"/>
      <c r="M86" s="224"/>
      <c r="N86" s="225"/>
      <c r="O86" s="225"/>
      <c r="P86" s="225"/>
      <c r="Q86" s="225"/>
      <c r="R86" s="224"/>
      <c r="S86" s="224"/>
      <c r="T86" s="224"/>
      <c r="U86" s="224"/>
      <c r="V86" s="224"/>
      <c r="W86" s="224"/>
      <c r="X86" s="224"/>
      <c r="Y86" s="224"/>
      <c r="Z86" s="226"/>
      <c r="AA86" s="226"/>
      <c r="AB86" s="226"/>
      <c r="AC86" s="226"/>
      <c r="AD86" s="226"/>
      <c r="AE86" s="226"/>
      <c r="AF86" s="226"/>
      <c r="AG86" s="226" t="s">
        <v>214</v>
      </c>
      <c r="AH86" s="226"/>
      <c r="AI86" s="226"/>
      <c r="AJ86" s="226"/>
      <c r="AK86" s="226"/>
      <c r="AL86" s="226"/>
      <c r="AM86" s="226"/>
      <c r="AN86" s="226"/>
      <c r="AO86" s="226"/>
      <c r="AP86" s="226"/>
      <c r="AQ86" s="226"/>
      <c r="AR86" s="226"/>
      <c r="AS86" s="226"/>
      <c r="AT86" s="226"/>
      <c r="AU86" s="226"/>
      <c r="AV86" s="226"/>
      <c r="AW86" s="226"/>
      <c r="AX86" s="226"/>
      <c r="AY86" s="226"/>
      <c r="AZ86" s="226"/>
      <c r="BA86" s="226"/>
      <c r="BB86" s="226"/>
      <c r="BC86" s="226"/>
      <c r="BD86" s="226"/>
      <c r="BE86" s="226"/>
      <c r="BF86" s="226"/>
      <c r="BG86" s="226"/>
      <c r="BH86" s="226"/>
    </row>
    <row r="87" outlineLevel="1" ht="22.5">
      <c r="A87" s="216">
        <v>23</v>
      </c>
      <c r="B87" s="217" t="s">
        <v>304</v>
      </c>
      <c r="C87" s="218" t="s">
        <v>305</v>
      </c>
      <c r="D87" s="219" t="s">
        <v>229</v>
      </c>
      <c r="E87" s="220">
        <v>57.468000000000004</v>
      </c>
      <c r="F87" s="221"/>
      <c r="G87" s="222">
        <f>ROUND(E87*F87,2)</f>
        <v>0</v>
      </c>
      <c r="H87" s="223"/>
      <c r="I87" s="224">
        <f>ROUND(E87*H87,2)</f>
        <v>0</v>
      </c>
      <c r="J87" s="223"/>
      <c r="K87" s="224">
        <f>ROUND(E87*J87,2)</f>
        <v>0</v>
      </c>
      <c r="L87" s="224">
        <v>21</v>
      </c>
      <c r="M87" s="224">
        <f>G87*(1+L87/100)</f>
        <v>0</v>
      </c>
      <c r="N87" s="225">
        <v>0</v>
      </c>
      <c r="O87" s="225">
        <f>ROUND(E87*N87,2)</f>
        <v>0</v>
      </c>
      <c r="P87" s="225">
        <v>0</v>
      </c>
      <c r="Q87" s="225">
        <f>ROUND(E87*P87,2)</f>
        <v>0</v>
      </c>
      <c r="R87" s="224"/>
      <c r="S87" s="224" t="s">
        <v>208</v>
      </c>
      <c r="T87" s="224" t="s">
        <v>209</v>
      </c>
      <c r="U87" s="224">
        <v>0</v>
      </c>
      <c r="V87" s="224">
        <f>ROUND(E87*U87,2)</f>
        <v>0</v>
      </c>
      <c r="W87" s="224"/>
      <c r="X87" s="224" t="s">
        <v>210</v>
      </c>
      <c r="Y87" s="224" t="s">
        <v>211</v>
      </c>
      <c r="Z87" s="226"/>
      <c r="AA87" s="226"/>
      <c r="AB87" s="226"/>
      <c r="AC87" s="226"/>
      <c r="AD87" s="226"/>
      <c r="AE87" s="226"/>
      <c r="AF87" s="226"/>
      <c r="AG87" s="226" t="s">
        <v>212</v>
      </c>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row>
    <row r="88" outlineLevel="2">
      <c r="A88" s="227"/>
      <c r="B88" s="228"/>
      <c r="C88" s="229" t="s">
        <v>213</v>
      </c>
      <c r="D88" s="230"/>
      <c r="E88" s="230"/>
      <c r="F88" s="230"/>
      <c r="G88" s="230"/>
      <c r="H88" s="224"/>
      <c r="I88" s="224"/>
      <c r="J88" s="224"/>
      <c r="K88" s="224"/>
      <c r="L88" s="224"/>
      <c r="M88" s="224"/>
      <c r="N88" s="225"/>
      <c r="O88" s="225"/>
      <c r="P88" s="225"/>
      <c r="Q88" s="225"/>
      <c r="R88" s="224"/>
      <c r="S88" s="224"/>
      <c r="T88" s="224"/>
      <c r="U88" s="224"/>
      <c r="V88" s="224"/>
      <c r="W88" s="224"/>
      <c r="X88" s="224"/>
      <c r="Y88" s="224"/>
      <c r="Z88" s="226"/>
      <c r="AA88" s="226"/>
      <c r="AB88" s="226"/>
      <c r="AC88" s="226"/>
      <c r="AD88" s="226"/>
      <c r="AE88" s="226"/>
      <c r="AF88" s="226"/>
      <c r="AG88" s="226" t="s">
        <v>214</v>
      </c>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row>
    <row r="89" outlineLevel="3" ht="22.5">
      <c r="A89" s="227"/>
      <c r="B89" s="228"/>
      <c r="C89" s="231" t="s">
        <v>306</v>
      </c>
      <c r="D89" s="232"/>
      <c r="E89" s="232"/>
      <c r="F89" s="232"/>
      <c r="G89" s="232"/>
      <c r="H89" s="224"/>
      <c r="I89" s="224"/>
      <c r="J89" s="224"/>
      <c r="K89" s="224"/>
      <c r="L89" s="224"/>
      <c r="M89" s="224"/>
      <c r="N89" s="225"/>
      <c r="O89" s="225"/>
      <c r="P89" s="225"/>
      <c r="Q89" s="225"/>
      <c r="R89" s="224"/>
      <c r="S89" s="224"/>
      <c r="T89" s="224"/>
      <c r="U89" s="224"/>
      <c r="V89" s="224"/>
      <c r="W89" s="224"/>
      <c r="X89" s="224"/>
      <c r="Y89" s="224"/>
      <c r="Z89" s="226"/>
      <c r="AA89" s="226"/>
      <c r="AB89" s="226"/>
      <c r="AC89" s="226"/>
      <c r="AD89" s="226"/>
      <c r="AE89" s="226"/>
      <c r="AF89" s="226"/>
      <c r="AG89" s="226" t="s">
        <v>214</v>
      </c>
      <c r="AH89" s="226"/>
      <c r="AI89" s="226"/>
      <c r="AJ89" s="226"/>
      <c r="AK89" s="226"/>
      <c r="AL89" s="226"/>
      <c r="AM89" s="226"/>
      <c r="AN89" s="226"/>
      <c r="AO89" s="226"/>
      <c r="AP89" s="226"/>
      <c r="AQ89" s="226"/>
      <c r="AR89" s="226"/>
      <c r="AS89" s="226"/>
      <c r="AT89" s="226"/>
      <c r="AU89" s="226"/>
      <c r="AV89" s="226"/>
      <c r="AW89" s="226"/>
      <c r="AX89" s="226"/>
      <c r="AY89" s="226"/>
      <c r="AZ89" s="226"/>
      <c r="BA89" s="236" t="str">
        <f>C89</f>
        <v xml:space="preserve">Položka 113107222 -  Odstranění podkladu z kameniva drceného tl přes 100 do 200 mm strojně pl přes 200 m2: 198,165 m2, 57,468 t</v>
      </c>
      <c r="BB89" s="226"/>
      <c r="BC89" s="226"/>
      <c r="BD89" s="226"/>
      <c r="BE89" s="226"/>
      <c r="BF89" s="226"/>
      <c r="BG89" s="226"/>
      <c r="BH89" s="226"/>
    </row>
    <row r="90" outlineLevel="1" ht="22.5">
      <c r="A90" s="216">
        <v>24</v>
      </c>
      <c r="B90" s="217" t="s">
        <v>307</v>
      </c>
      <c r="C90" s="218" t="s">
        <v>308</v>
      </c>
      <c r="D90" s="219" t="s">
        <v>229</v>
      </c>
      <c r="E90" s="220">
        <v>7.3090000000000002</v>
      </c>
      <c r="F90" s="221"/>
      <c r="G90" s="222">
        <f>ROUND(E90*F90,2)</f>
        <v>0</v>
      </c>
      <c r="H90" s="223"/>
      <c r="I90" s="224">
        <f>ROUND(E90*H90,2)</f>
        <v>0</v>
      </c>
      <c r="J90" s="223"/>
      <c r="K90" s="224">
        <f>ROUND(E90*J90,2)</f>
        <v>0</v>
      </c>
      <c r="L90" s="224">
        <v>21</v>
      </c>
      <c r="M90" s="224">
        <f>G90*(1+L90/100)</f>
        <v>0</v>
      </c>
      <c r="N90" s="225">
        <v>0</v>
      </c>
      <c r="O90" s="225">
        <f>ROUND(E90*N90,2)</f>
        <v>0</v>
      </c>
      <c r="P90" s="225">
        <v>0</v>
      </c>
      <c r="Q90" s="225">
        <f>ROUND(E90*P90,2)</f>
        <v>0</v>
      </c>
      <c r="R90" s="224"/>
      <c r="S90" s="224" t="s">
        <v>208</v>
      </c>
      <c r="T90" s="224" t="s">
        <v>209</v>
      </c>
      <c r="U90" s="224">
        <v>0</v>
      </c>
      <c r="V90" s="224">
        <f>ROUND(E90*U90,2)</f>
        <v>0</v>
      </c>
      <c r="W90" s="224"/>
      <c r="X90" s="224" t="s">
        <v>210</v>
      </c>
      <c r="Y90" s="224" t="s">
        <v>211</v>
      </c>
      <c r="Z90" s="226"/>
      <c r="AA90" s="226"/>
      <c r="AB90" s="226"/>
      <c r="AC90" s="226"/>
      <c r="AD90" s="226"/>
      <c r="AE90" s="226"/>
      <c r="AF90" s="226"/>
      <c r="AG90" s="226" t="s">
        <v>212</v>
      </c>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6"/>
      <c r="BH90" s="226"/>
    </row>
    <row r="91" outlineLevel="2">
      <c r="A91" s="227"/>
      <c r="B91" s="228"/>
      <c r="C91" s="229" t="s">
        <v>213</v>
      </c>
      <c r="D91" s="230"/>
      <c r="E91" s="230"/>
      <c r="F91" s="230"/>
      <c r="G91" s="230"/>
      <c r="H91" s="224"/>
      <c r="I91" s="224"/>
      <c r="J91" s="224"/>
      <c r="K91" s="224"/>
      <c r="L91" s="224"/>
      <c r="M91" s="224"/>
      <c r="N91" s="225"/>
      <c r="O91" s="225"/>
      <c r="P91" s="225"/>
      <c r="Q91" s="225"/>
      <c r="R91" s="224"/>
      <c r="S91" s="224"/>
      <c r="T91" s="224"/>
      <c r="U91" s="224"/>
      <c r="V91" s="224"/>
      <c r="W91" s="224"/>
      <c r="X91" s="224"/>
      <c r="Y91" s="224"/>
      <c r="Z91" s="226"/>
      <c r="AA91" s="226"/>
      <c r="AB91" s="226"/>
      <c r="AC91" s="226"/>
      <c r="AD91" s="226"/>
      <c r="AE91" s="226"/>
      <c r="AF91" s="226"/>
      <c r="AG91" s="226" t="s">
        <v>214</v>
      </c>
      <c r="AH91" s="226"/>
      <c r="AI91" s="226"/>
      <c r="AJ91" s="226"/>
      <c r="AK91" s="226"/>
      <c r="AL91" s="226"/>
      <c r="AM91" s="226"/>
      <c r="AN91" s="226"/>
      <c r="AO91" s="226"/>
      <c r="AP91" s="226"/>
      <c r="AQ91" s="226"/>
      <c r="AR91" s="226"/>
      <c r="AS91" s="226"/>
      <c r="AT91" s="226"/>
      <c r="AU91" s="226"/>
      <c r="AV91" s="226"/>
      <c r="AW91" s="226"/>
      <c r="AX91" s="226"/>
      <c r="AY91" s="226"/>
      <c r="AZ91" s="226"/>
      <c r="BA91" s="226"/>
      <c r="BB91" s="226"/>
      <c r="BC91" s="226"/>
      <c r="BD91" s="226"/>
      <c r="BE91" s="226"/>
      <c r="BF91" s="226"/>
      <c r="BG91" s="226"/>
      <c r="BH91" s="226"/>
    </row>
    <row r="92" outlineLevel="3">
      <c r="A92" s="227"/>
      <c r="B92" s="228"/>
      <c r="C92" s="231" t="s">
        <v>309</v>
      </c>
      <c r="D92" s="232"/>
      <c r="E92" s="232"/>
      <c r="F92" s="232"/>
      <c r="G92" s="232"/>
      <c r="H92" s="224"/>
      <c r="I92" s="224"/>
      <c r="J92" s="224"/>
      <c r="K92" s="224"/>
      <c r="L92" s="224"/>
      <c r="M92" s="224"/>
      <c r="N92" s="225"/>
      <c r="O92" s="225"/>
      <c r="P92" s="225"/>
      <c r="Q92" s="225"/>
      <c r="R92" s="224"/>
      <c r="S92" s="224"/>
      <c r="T92" s="224"/>
      <c r="U92" s="224"/>
      <c r="V92" s="224"/>
      <c r="W92" s="224"/>
      <c r="X92" s="224"/>
      <c r="Y92" s="224"/>
      <c r="Z92" s="226"/>
      <c r="AA92" s="226"/>
      <c r="AB92" s="226"/>
      <c r="AC92" s="226"/>
      <c r="AD92" s="226"/>
      <c r="AE92" s="226"/>
      <c r="AF92" s="226"/>
      <c r="AG92" s="226" t="s">
        <v>214</v>
      </c>
      <c r="AH92" s="226"/>
      <c r="AI92" s="226"/>
      <c r="AJ92" s="226"/>
      <c r="AK92" s="226"/>
      <c r="AL92" s="226"/>
      <c r="AM92" s="226"/>
      <c r="AN92" s="226"/>
      <c r="AO92" s="226"/>
      <c r="AP92" s="226"/>
      <c r="AQ92" s="226"/>
      <c r="AR92" s="226"/>
      <c r="AS92" s="226"/>
      <c r="AT92" s="226"/>
      <c r="AU92" s="226"/>
      <c r="AV92" s="226"/>
      <c r="AW92" s="226"/>
      <c r="AX92" s="226"/>
      <c r="AY92" s="226"/>
      <c r="AZ92" s="226"/>
      <c r="BA92" s="226"/>
      <c r="BB92" s="226"/>
      <c r="BC92" s="226"/>
      <c r="BD92" s="226"/>
      <c r="BE92" s="226"/>
      <c r="BF92" s="226"/>
      <c r="BG92" s="226"/>
      <c r="BH92" s="226"/>
    </row>
    <row r="93" outlineLevel="1" ht="33.75">
      <c r="A93" s="216">
        <v>25</v>
      </c>
      <c r="B93" s="217" t="s">
        <v>310</v>
      </c>
      <c r="C93" s="218" t="s">
        <v>311</v>
      </c>
      <c r="D93" s="219" t="s">
        <v>229</v>
      </c>
      <c r="E93" s="220">
        <v>4.484</v>
      </c>
      <c r="F93" s="221"/>
      <c r="G93" s="222">
        <f>ROUND(E93*F93,2)</f>
        <v>0</v>
      </c>
      <c r="H93" s="223"/>
      <c r="I93" s="224">
        <f>ROUND(E93*H93,2)</f>
        <v>0</v>
      </c>
      <c r="J93" s="223"/>
      <c r="K93" s="224">
        <f>ROUND(E93*J93,2)</f>
        <v>0</v>
      </c>
      <c r="L93" s="224">
        <v>21</v>
      </c>
      <c r="M93" s="224">
        <f>G93*(1+L93/100)</f>
        <v>0</v>
      </c>
      <c r="N93" s="225">
        <v>0</v>
      </c>
      <c r="O93" s="225">
        <f>ROUND(E93*N93,2)</f>
        <v>0</v>
      </c>
      <c r="P93" s="225">
        <v>0</v>
      </c>
      <c r="Q93" s="225">
        <f>ROUND(E93*P93,2)</f>
        <v>0</v>
      </c>
      <c r="R93" s="224"/>
      <c r="S93" s="224" t="s">
        <v>208</v>
      </c>
      <c r="T93" s="224" t="s">
        <v>209</v>
      </c>
      <c r="U93" s="224">
        <v>0</v>
      </c>
      <c r="V93" s="224">
        <f>ROUND(E93*U93,2)</f>
        <v>0</v>
      </c>
      <c r="W93" s="224"/>
      <c r="X93" s="224" t="s">
        <v>210</v>
      </c>
      <c r="Y93" s="224" t="s">
        <v>211</v>
      </c>
      <c r="Z93" s="226"/>
      <c r="AA93" s="226"/>
      <c r="AB93" s="226"/>
      <c r="AC93" s="226"/>
      <c r="AD93" s="226"/>
      <c r="AE93" s="226"/>
      <c r="AF93" s="226"/>
      <c r="AG93" s="226" t="s">
        <v>212</v>
      </c>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row>
    <row r="94" outlineLevel="2">
      <c r="A94" s="227"/>
      <c r="B94" s="228"/>
      <c r="C94" s="229" t="s">
        <v>213</v>
      </c>
      <c r="D94" s="230"/>
      <c r="E94" s="230"/>
      <c r="F94" s="230"/>
      <c r="G94" s="230"/>
      <c r="H94" s="224"/>
      <c r="I94" s="224"/>
      <c r="J94" s="224"/>
      <c r="K94" s="224"/>
      <c r="L94" s="224"/>
      <c r="M94" s="224"/>
      <c r="N94" s="225"/>
      <c r="O94" s="225"/>
      <c r="P94" s="225"/>
      <c r="Q94" s="225"/>
      <c r="R94" s="224"/>
      <c r="S94" s="224"/>
      <c r="T94" s="224"/>
      <c r="U94" s="224"/>
      <c r="V94" s="224"/>
      <c r="W94" s="224"/>
      <c r="X94" s="224"/>
      <c r="Y94" s="224"/>
      <c r="Z94" s="226"/>
      <c r="AA94" s="226"/>
      <c r="AB94" s="226"/>
      <c r="AC94" s="226"/>
      <c r="AD94" s="226"/>
      <c r="AE94" s="226"/>
      <c r="AF94" s="226"/>
      <c r="AG94" s="226" t="s">
        <v>214</v>
      </c>
      <c r="AH94" s="226"/>
      <c r="AI94" s="226"/>
      <c r="AJ94" s="226"/>
      <c r="AK94" s="226"/>
      <c r="AL94" s="226"/>
      <c r="AM94" s="226"/>
      <c r="AN94" s="226"/>
      <c r="AO94" s="226"/>
      <c r="AP94" s="226"/>
      <c r="AQ94" s="226"/>
      <c r="AR94" s="226"/>
      <c r="AS94" s="226"/>
      <c r="AT94" s="226"/>
      <c r="AU94" s="226"/>
      <c r="AV94" s="226"/>
      <c r="AW94" s="226"/>
      <c r="AX94" s="226"/>
      <c r="AY94" s="226"/>
      <c r="AZ94" s="226"/>
      <c r="BA94" s="226"/>
      <c r="BB94" s="226"/>
      <c r="BC94" s="226"/>
      <c r="BD94" s="226"/>
      <c r="BE94" s="226"/>
      <c r="BF94" s="226"/>
      <c r="BG94" s="226"/>
      <c r="BH94" s="226"/>
    </row>
    <row r="95" outlineLevel="3" ht="22.5">
      <c r="A95" s="227"/>
      <c r="B95" s="228"/>
      <c r="C95" s="231" t="s">
        <v>312</v>
      </c>
      <c r="D95" s="232"/>
      <c r="E95" s="232"/>
      <c r="F95" s="232"/>
      <c r="G95" s="232"/>
      <c r="H95" s="224"/>
      <c r="I95" s="224"/>
      <c r="J95" s="224"/>
      <c r="K95" s="224"/>
      <c r="L95" s="224"/>
      <c r="M95" s="224"/>
      <c r="N95" s="225"/>
      <c r="O95" s="225"/>
      <c r="P95" s="225"/>
      <c r="Q95" s="225"/>
      <c r="R95" s="224"/>
      <c r="S95" s="224"/>
      <c r="T95" s="224"/>
      <c r="U95" s="224"/>
      <c r="V95" s="224"/>
      <c r="W95" s="224"/>
      <c r="X95" s="224"/>
      <c r="Y95" s="224"/>
      <c r="Z95" s="226"/>
      <c r="AA95" s="226"/>
      <c r="AB95" s="226"/>
      <c r="AC95" s="226"/>
      <c r="AD95" s="226"/>
      <c r="AE95" s="226"/>
      <c r="AF95" s="226"/>
      <c r="AG95" s="226" t="s">
        <v>214</v>
      </c>
      <c r="AH95" s="226"/>
      <c r="AI95" s="226"/>
      <c r="AJ95" s="226"/>
      <c r="AK95" s="226"/>
      <c r="AL95" s="226"/>
      <c r="AM95" s="226"/>
      <c r="AN95" s="226"/>
      <c r="AO95" s="226"/>
      <c r="AP95" s="226"/>
      <c r="AQ95" s="226"/>
      <c r="AR95" s="226"/>
      <c r="AS95" s="226"/>
      <c r="AT95" s="226"/>
      <c r="AU95" s="226"/>
      <c r="AV95" s="226"/>
      <c r="AW95" s="226"/>
      <c r="AX95" s="226"/>
      <c r="AY95" s="226"/>
      <c r="AZ95" s="226"/>
      <c r="BA95" s="236" t="str">
        <f>C95</f>
        <v xml:space="preserve">Položka 765131803 -  Demontáž azbestocementové skládané krytiny sklonu do 30° do suti: 269,076 m2, 4,784 t</v>
      </c>
      <c r="BB95" s="226"/>
      <c r="BC95" s="226"/>
      <c r="BD95" s="226"/>
      <c r="BE95" s="226"/>
      <c r="BF95" s="226"/>
      <c r="BG95" s="226"/>
      <c r="BH95" s="226"/>
    </row>
    <row r="96" outlineLevel="1" ht="22.5">
      <c r="A96" s="237">
        <v>26</v>
      </c>
      <c r="B96" s="238" t="s">
        <v>313</v>
      </c>
      <c r="C96" s="239" t="s">
        <v>314</v>
      </c>
      <c r="D96" s="240" t="s">
        <v>229</v>
      </c>
      <c r="E96" s="241">
        <v>4.484</v>
      </c>
      <c r="F96" s="242"/>
      <c r="G96" s="243">
        <f>ROUND(E96*F96,2)</f>
        <v>0</v>
      </c>
      <c r="H96" s="223"/>
      <c r="I96" s="224">
        <f>ROUND(E96*H96,2)</f>
        <v>0</v>
      </c>
      <c r="J96" s="223"/>
      <c r="K96" s="224">
        <f>ROUND(E96*J96,2)</f>
        <v>0</v>
      </c>
      <c r="L96" s="224">
        <v>21</v>
      </c>
      <c r="M96" s="224">
        <f>G96*(1+L96/100)</f>
        <v>0</v>
      </c>
      <c r="N96" s="225">
        <v>0.0074999999999999997</v>
      </c>
      <c r="O96" s="225">
        <f>ROUND(E96*N96,2)</f>
        <v>0.029999999999999999</v>
      </c>
      <c r="P96" s="225">
        <v>0</v>
      </c>
      <c r="Q96" s="225">
        <f>ROUND(E96*P96,2)</f>
        <v>0</v>
      </c>
      <c r="R96" s="224"/>
      <c r="S96" s="224" t="s">
        <v>208</v>
      </c>
      <c r="T96" s="224" t="s">
        <v>209</v>
      </c>
      <c r="U96" s="224">
        <v>0</v>
      </c>
      <c r="V96" s="224">
        <f>ROUND(E96*U96,2)</f>
        <v>0</v>
      </c>
      <c r="W96" s="224"/>
      <c r="X96" s="224" t="s">
        <v>210</v>
      </c>
      <c r="Y96" s="224" t="s">
        <v>211</v>
      </c>
      <c r="Z96" s="226"/>
      <c r="AA96" s="226"/>
      <c r="AB96" s="226"/>
      <c r="AC96" s="226"/>
      <c r="AD96" s="226"/>
      <c r="AE96" s="226"/>
      <c r="AF96" s="226"/>
      <c r="AG96" s="226" t="s">
        <v>212</v>
      </c>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row>
    <row r="97" outlineLevel="1" ht="22.5">
      <c r="A97" s="216">
        <v>27</v>
      </c>
      <c r="B97" s="217" t="s">
        <v>315</v>
      </c>
      <c r="C97" s="218" t="s">
        <v>316</v>
      </c>
      <c r="D97" s="219" t="s">
        <v>229</v>
      </c>
      <c r="E97" s="220">
        <v>77.498999999999995</v>
      </c>
      <c r="F97" s="221"/>
      <c r="G97" s="222">
        <f>ROUND(E97*F97,2)</f>
        <v>0</v>
      </c>
      <c r="H97" s="223"/>
      <c r="I97" s="224">
        <f>ROUND(E97*H97,2)</f>
        <v>0</v>
      </c>
      <c r="J97" s="223"/>
      <c r="K97" s="224">
        <f>ROUND(E97*J97,2)</f>
        <v>0</v>
      </c>
      <c r="L97" s="224">
        <v>21</v>
      </c>
      <c r="M97" s="224">
        <f>G97*(1+L97/100)</f>
        <v>0</v>
      </c>
      <c r="N97" s="225">
        <v>0</v>
      </c>
      <c r="O97" s="225">
        <f>ROUND(E97*N97,2)</f>
        <v>0</v>
      </c>
      <c r="P97" s="225">
        <v>0</v>
      </c>
      <c r="Q97" s="225">
        <f>ROUND(E97*P97,2)</f>
        <v>0</v>
      </c>
      <c r="R97" s="224"/>
      <c r="S97" s="224" t="s">
        <v>208</v>
      </c>
      <c r="T97" s="224" t="s">
        <v>209</v>
      </c>
      <c r="U97" s="224">
        <v>0</v>
      </c>
      <c r="V97" s="224">
        <f>ROUND(E97*U97,2)</f>
        <v>0</v>
      </c>
      <c r="W97" s="224"/>
      <c r="X97" s="224" t="s">
        <v>210</v>
      </c>
      <c r="Y97" s="224" t="s">
        <v>211</v>
      </c>
      <c r="Z97" s="226"/>
      <c r="AA97" s="226"/>
      <c r="AB97" s="226"/>
      <c r="AC97" s="226"/>
      <c r="AD97" s="226"/>
      <c r="AE97" s="226"/>
      <c r="AF97" s="226"/>
      <c r="AG97" s="226" t="s">
        <v>212</v>
      </c>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row>
    <row r="98" outlineLevel="2">
      <c r="A98" s="227"/>
      <c r="B98" s="228"/>
      <c r="C98" s="229" t="s">
        <v>213</v>
      </c>
      <c r="D98" s="230"/>
      <c r="E98" s="230"/>
      <c r="F98" s="230"/>
      <c r="G98" s="230"/>
      <c r="H98" s="224"/>
      <c r="I98" s="224"/>
      <c r="J98" s="224"/>
      <c r="K98" s="224"/>
      <c r="L98" s="224"/>
      <c r="M98" s="224"/>
      <c r="N98" s="225"/>
      <c r="O98" s="225"/>
      <c r="P98" s="225"/>
      <c r="Q98" s="225"/>
      <c r="R98" s="224"/>
      <c r="S98" s="224"/>
      <c r="T98" s="224"/>
      <c r="U98" s="224"/>
      <c r="V98" s="224"/>
      <c r="W98" s="224"/>
      <c r="X98" s="224"/>
      <c r="Y98" s="224"/>
      <c r="Z98" s="226"/>
      <c r="AA98" s="226"/>
      <c r="AB98" s="226"/>
      <c r="AC98" s="226"/>
      <c r="AD98" s="226"/>
      <c r="AE98" s="226"/>
      <c r="AF98" s="226"/>
      <c r="AG98" s="226" t="s">
        <v>214</v>
      </c>
      <c r="AH98" s="226"/>
      <c r="AI98" s="226"/>
      <c r="AJ98" s="226"/>
      <c r="AK98" s="226"/>
      <c r="AL98" s="226"/>
      <c r="AM98" s="226"/>
      <c r="AN98" s="226"/>
      <c r="AO98" s="226"/>
      <c r="AP98" s="226"/>
      <c r="AQ98" s="226"/>
      <c r="AR98" s="226"/>
      <c r="AS98" s="226"/>
      <c r="AT98" s="226"/>
      <c r="AU98" s="226"/>
      <c r="AV98" s="226"/>
      <c r="AW98" s="226"/>
      <c r="AX98" s="226"/>
      <c r="AY98" s="226"/>
      <c r="AZ98" s="226"/>
      <c r="BA98" s="226"/>
      <c r="BB98" s="226"/>
      <c r="BC98" s="226"/>
      <c r="BD98" s="226"/>
      <c r="BE98" s="226"/>
      <c r="BF98" s="226"/>
      <c r="BG98" s="226"/>
      <c r="BH98" s="226"/>
    </row>
    <row r="99" outlineLevel="3" ht="22.5">
      <c r="A99" s="227"/>
      <c r="B99" s="228"/>
      <c r="C99" s="231" t="s">
        <v>317</v>
      </c>
      <c r="D99" s="232"/>
      <c r="E99" s="232"/>
      <c r="F99" s="232"/>
      <c r="G99" s="232"/>
      <c r="H99" s="224"/>
      <c r="I99" s="224"/>
      <c r="J99" s="224"/>
      <c r="K99" s="224"/>
      <c r="L99" s="224"/>
      <c r="M99" s="224"/>
      <c r="N99" s="225"/>
      <c r="O99" s="225"/>
      <c r="P99" s="225"/>
      <c r="Q99" s="225"/>
      <c r="R99" s="224"/>
      <c r="S99" s="224"/>
      <c r="T99" s="224"/>
      <c r="U99" s="224"/>
      <c r="V99" s="224"/>
      <c r="W99" s="224"/>
      <c r="X99" s="224"/>
      <c r="Y99" s="224"/>
      <c r="Z99" s="226"/>
      <c r="AA99" s="226"/>
      <c r="AB99" s="226"/>
      <c r="AC99" s="226"/>
      <c r="AD99" s="226"/>
      <c r="AE99" s="226"/>
      <c r="AF99" s="226"/>
      <c r="AG99" s="226" t="s">
        <v>214</v>
      </c>
      <c r="AH99" s="226"/>
      <c r="AI99" s="226"/>
      <c r="AJ99" s="226"/>
      <c r="AK99" s="226"/>
      <c r="AL99" s="226"/>
      <c r="AM99" s="226"/>
      <c r="AN99" s="226"/>
      <c r="AO99" s="226"/>
      <c r="AP99" s="226"/>
      <c r="AQ99" s="226"/>
      <c r="AR99" s="226"/>
      <c r="AS99" s="226"/>
      <c r="AT99" s="226"/>
      <c r="AU99" s="226"/>
      <c r="AV99" s="226"/>
      <c r="AW99" s="226"/>
      <c r="AX99" s="226"/>
      <c r="AY99" s="226"/>
      <c r="AZ99" s="226"/>
      <c r="BA99" s="236" t="str">
        <f>C99</f>
        <v>Položka 962032432 -Bourání zdiva cihelných z dutých nebo plných cihel pálených i nepálených na MV nebo MVC přes 1 m3: 65,957 m3, 77,499 t</v>
      </c>
      <c r="BB99" s="226"/>
      <c r="BC99" s="226"/>
      <c r="BD99" s="226"/>
      <c r="BE99" s="226"/>
      <c r="BF99" s="226"/>
      <c r="BG99" s="226"/>
      <c r="BH99" s="226"/>
    </row>
    <row r="100">
      <c r="A100" s="207" t="s">
        <v>203</v>
      </c>
      <c r="B100" s="208" t="s">
        <v>153</v>
      </c>
      <c r="C100" s="209" t="s">
        <v>154</v>
      </c>
      <c r="D100" s="210"/>
      <c r="E100" s="211"/>
      <c r="F100" s="212"/>
      <c r="G100" s="213">
        <f>SUMIF(AG101:AG119,"&lt;&gt;NOR",G101:G119)</f>
        <v>0</v>
      </c>
      <c r="H100" s="214"/>
      <c r="I100" s="214">
        <f>SUM(I101:I119)</f>
        <v>0</v>
      </c>
      <c r="J100" s="214"/>
      <c r="K100" s="214">
        <f>SUM(K101:K119)</f>
        <v>0</v>
      </c>
      <c r="L100" s="214"/>
      <c r="M100" s="214">
        <f>SUM(M101:M119)</f>
        <v>0</v>
      </c>
      <c r="N100" s="215"/>
      <c r="O100" s="215">
        <f>SUM(O101:O119)</f>
        <v>0</v>
      </c>
      <c r="P100" s="215"/>
      <c r="Q100" s="215">
        <f>SUM(Q101:Q119)</f>
        <v>0.050000000000000003</v>
      </c>
      <c r="R100" s="214"/>
      <c r="S100" s="214"/>
      <c r="T100" s="214"/>
      <c r="U100" s="214"/>
      <c r="V100" s="214">
        <f>SUM(V101:V119)</f>
        <v>0</v>
      </c>
      <c r="W100" s="214"/>
      <c r="X100" s="214"/>
      <c r="Y100" s="214"/>
      <c r="AG100" t="s">
        <v>204</v>
      </c>
    </row>
    <row r="101" outlineLevel="1" ht="22.5">
      <c r="A101" s="216">
        <v>28</v>
      </c>
      <c r="B101" s="217" t="s">
        <v>318</v>
      </c>
      <c r="C101" s="218" t="s">
        <v>319</v>
      </c>
      <c r="D101" s="219" t="s">
        <v>320</v>
      </c>
      <c r="E101" s="220">
        <v>18.199999999999999</v>
      </c>
      <c r="F101" s="221"/>
      <c r="G101" s="222">
        <f>ROUND(E101*F101,2)</f>
        <v>0</v>
      </c>
      <c r="H101" s="223"/>
      <c r="I101" s="224">
        <f>ROUND(E101*H101,2)</f>
        <v>0</v>
      </c>
      <c r="J101" s="223"/>
      <c r="K101" s="224">
        <f>ROUND(E101*J101,2)</f>
        <v>0</v>
      </c>
      <c r="L101" s="224">
        <v>21</v>
      </c>
      <c r="M101" s="224">
        <f>G101*(1+L101/100)</f>
        <v>0</v>
      </c>
      <c r="N101" s="225">
        <v>0</v>
      </c>
      <c r="O101" s="225">
        <f>ROUND(E101*N101,2)</f>
        <v>0</v>
      </c>
      <c r="P101" s="225">
        <v>0.00040000000000000002</v>
      </c>
      <c r="Q101" s="225">
        <f>ROUND(E101*P101,2)</f>
        <v>0.01</v>
      </c>
      <c r="R101" s="224"/>
      <c r="S101" s="224" t="s">
        <v>208</v>
      </c>
      <c r="T101" s="224" t="s">
        <v>209</v>
      </c>
      <c r="U101" s="224">
        <v>0</v>
      </c>
      <c r="V101" s="224">
        <f>ROUND(E101*U101,2)</f>
        <v>0</v>
      </c>
      <c r="W101" s="224"/>
      <c r="X101" s="224" t="s">
        <v>210</v>
      </c>
      <c r="Y101" s="224" t="s">
        <v>211</v>
      </c>
      <c r="Z101" s="226"/>
      <c r="AA101" s="226"/>
      <c r="AB101" s="226"/>
      <c r="AC101" s="226"/>
      <c r="AD101" s="226"/>
      <c r="AE101" s="226"/>
      <c r="AF101" s="226"/>
      <c r="AG101" s="226" t="s">
        <v>321</v>
      </c>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row>
    <row r="102" outlineLevel="2">
      <c r="A102" s="227"/>
      <c r="B102" s="228"/>
      <c r="C102" s="229" t="s">
        <v>272</v>
      </c>
      <c r="D102" s="230"/>
      <c r="E102" s="230"/>
      <c r="F102" s="230"/>
      <c r="G102" s="230"/>
      <c r="H102" s="224"/>
      <c r="I102" s="224"/>
      <c r="J102" s="224"/>
      <c r="K102" s="224"/>
      <c r="L102" s="224"/>
      <c r="M102" s="224"/>
      <c r="N102" s="225"/>
      <c r="O102" s="225"/>
      <c r="P102" s="225"/>
      <c r="Q102" s="225"/>
      <c r="R102" s="224"/>
      <c r="S102" s="224"/>
      <c r="T102" s="224"/>
      <c r="U102" s="224"/>
      <c r="V102" s="224"/>
      <c r="W102" s="224"/>
      <c r="X102" s="224"/>
      <c r="Y102" s="224"/>
      <c r="Z102" s="226"/>
      <c r="AA102" s="226"/>
      <c r="AB102" s="226"/>
      <c r="AC102" s="226"/>
      <c r="AD102" s="226"/>
      <c r="AE102" s="226"/>
      <c r="AF102" s="226"/>
      <c r="AG102" s="226" t="s">
        <v>214</v>
      </c>
      <c r="AH102" s="226"/>
      <c r="AI102" s="226"/>
      <c r="AJ102" s="226"/>
      <c r="AK102" s="226"/>
      <c r="AL102" s="226"/>
      <c r="AM102" s="226"/>
      <c r="AN102" s="226"/>
      <c r="AO102" s="226"/>
      <c r="AP102" s="226"/>
      <c r="AQ102" s="226"/>
      <c r="AR102" s="226"/>
      <c r="AS102" s="226"/>
      <c r="AT102" s="226"/>
      <c r="AU102" s="226"/>
      <c r="AV102" s="226"/>
      <c r="AW102" s="226"/>
      <c r="AX102" s="226"/>
      <c r="AY102" s="226"/>
      <c r="AZ102" s="226"/>
      <c r="BA102" s="226"/>
      <c r="BB102" s="226"/>
      <c r="BC102" s="226"/>
      <c r="BD102" s="226"/>
      <c r="BE102" s="226"/>
      <c r="BF102" s="226"/>
      <c r="BG102" s="226"/>
      <c r="BH102" s="226"/>
    </row>
    <row r="103" outlineLevel="2">
      <c r="A103" s="227"/>
      <c r="B103" s="228"/>
      <c r="C103" s="233" t="s">
        <v>322</v>
      </c>
      <c r="D103" s="234"/>
      <c r="E103" s="235"/>
      <c r="F103" s="224"/>
      <c r="G103" s="224"/>
      <c r="H103" s="224"/>
      <c r="I103" s="224"/>
      <c r="J103" s="224"/>
      <c r="K103" s="224"/>
      <c r="L103" s="224"/>
      <c r="M103" s="224"/>
      <c r="N103" s="225"/>
      <c r="O103" s="225"/>
      <c r="P103" s="225"/>
      <c r="Q103" s="225"/>
      <c r="R103" s="224"/>
      <c r="S103" s="224"/>
      <c r="T103" s="224"/>
      <c r="U103" s="224"/>
      <c r="V103" s="224"/>
      <c r="W103" s="224"/>
      <c r="X103" s="224"/>
      <c r="Y103" s="224"/>
      <c r="Z103" s="226"/>
      <c r="AA103" s="226"/>
      <c r="AB103" s="226"/>
      <c r="AC103" s="226"/>
      <c r="AD103" s="226"/>
      <c r="AE103" s="226"/>
      <c r="AF103" s="226"/>
      <c r="AG103" s="226" t="s">
        <v>217</v>
      </c>
      <c r="AH103" s="226">
        <v>0</v>
      </c>
      <c r="AI103" s="226"/>
      <c r="AJ103" s="226"/>
      <c r="AK103" s="226"/>
      <c r="AL103" s="226"/>
      <c r="AM103" s="226"/>
      <c r="AN103" s="226"/>
      <c r="AO103" s="226"/>
      <c r="AP103" s="226"/>
      <c r="AQ103" s="226"/>
      <c r="AR103" s="226"/>
      <c r="AS103" s="226"/>
      <c r="AT103" s="226"/>
      <c r="AU103" s="226"/>
      <c r="AV103" s="226"/>
      <c r="AW103" s="226"/>
      <c r="AX103" s="226"/>
      <c r="AY103" s="226"/>
      <c r="AZ103" s="226"/>
      <c r="BA103" s="226"/>
      <c r="BB103" s="226"/>
      <c r="BC103" s="226"/>
      <c r="BD103" s="226"/>
      <c r="BE103" s="226"/>
      <c r="BF103" s="226"/>
      <c r="BG103" s="226"/>
      <c r="BH103" s="226"/>
    </row>
    <row r="104" outlineLevel="3">
      <c r="A104" s="227"/>
      <c r="B104" s="228"/>
      <c r="C104" s="233" t="s">
        <v>323</v>
      </c>
      <c r="D104" s="234"/>
      <c r="E104" s="235">
        <v>18.199999999999999</v>
      </c>
      <c r="F104" s="224"/>
      <c r="G104" s="224"/>
      <c r="H104" s="224"/>
      <c r="I104" s="224"/>
      <c r="J104" s="224"/>
      <c r="K104" s="224"/>
      <c r="L104" s="224"/>
      <c r="M104" s="224"/>
      <c r="N104" s="225"/>
      <c r="O104" s="225"/>
      <c r="P104" s="225"/>
      <c r="Q104" s="225"/>
      <c r="R104" s="224"/>
      <c r="S104" s="224"/>
      <c r="T104" s="224"/>
      <c r="U104" s="224"/>
      <c r="V104" s="224"/>
      <c r="W104" s="224"/>
      <c r="X104" s="224"/>
      <c r="Y104" s="224"/>
      <c r="Z104" s="226"/>
      <c r="AA104" s="226"/>
      <c r="AB104" s="226"/>
      <c r="AC104" s="226"/>
      <c r="AD104" s="226"/>
      <c r="AE104" s="226"/>
      <c r="AF104" s="226"/>
      <c r="AG104" s="226" t="s">
        <v>217</v>
      </c>
      <c r="AH104" s="226">
        <v>0</v>
      </c>
      <c r="AI104" s="226"/>
      <c r="AJ104" s="226"/>
      <c r="AK104" s="226"/>
      <c r="AL104" s="226"/>
      <c r="AM104" s="226"/>
      <c r="AN104" s="226"/>
      <c r="AO104" s="226"/>
      <c r="AP104" s="226"/>
      <c r="AQ104" s="226"/>
      <c r="AR104" s="226"/>
      <c r="AS104" s="226"/>
      <c r="AT104" s="226"/>
      <c r="AU104" s="226"/>
      <c r="AV104" s="226"/>
      <c r="AW104" s="226"/>
      <c r="AX104" s="226"/>
      <c r="AY104" s="226"/>
      <c r="AZ104" s="226"/>
      <c r="BA104" s="226"/>
      <c r="BB104" s="226"/>
      <c r="BC104" s="226"/>
      <c r="BD104" s="226"/>
      <c r="BE104" s="226"/>
      <c r="BF104" s="226"/>
      <c r="BG104" s="226"/>
      <c r="BH104" s="226"/>
    </row>
    <row r="105" outlineLevel="1" ht="22.5">
      <c r="A105" s="216">
        <v>29</v>
      </c>
      <c r="B105" s="217" t="s">
        <v>324</v>
      </c>
      <c r="C105" s="218" t="s">
        <v>325</v>
      </c>
      <c r="D105" s="219" t="s">
        <v>320</v>
      </c>
      <c r="E105" s="220">
        <v>22.422999999999998</v>
      </c>
      <c r="F105" s="221"/>
      <c r="G105" s="222">
        <f>ROUND(E105*F105,2)</f>
        <v>0</v>
      </c>
      <c r="H105" s="223"/>
      <c r="I105" s="224">
        <f>ROUND(E105*H105,2)</f>
        <v>0</v>
      </c>
      <c r="J105" s="223"/>
      <c r="K105" s="224">
        <f>ROUND(E105*J105,2)</f>
        <v>0</v>
      </c>
      <c r="L105" s="224">
        <v>21</v>
      </c>
      <c r="M105" s="224">
        <f>G105*(1+L105/100)</f>
        <v>0</v>
      </c>
      <c r="N105" s="225">
        <v>0</v>
      </c>
      <c r="O105" s="225">
        <f>ROUND(E105*N105,2)</f>
        <v>0</v>
      </c>
      <c r="P105" s="225">
        <v>0.00040000000000000002</v>
      </c>
      <c r="Q105" s="225">
        <f>ROUND(E105*P105,2)</f>
        <v>0.01</v>
      </c>
      <c r="R105" s="224"/>
      <c r="S105" s="224" t="s">
        <v>208</v>
      </c>
      <c r="T105" s="224" t="s">
        <v>209</v>
      </c>
      <c r="U105" s="224">
        <v>0</v>
      </c>
      <c r="V105" s="224">
        <f>ROUND(E105*U105,2)</f>
        <v>0</v>
      </c>
      <c r="W105" s="224"/>
      <c r="X105" s="224" t="s">
        <v>210</v>
      </c>
      <c r="Y105" s="224" t="s">
        <v>211</v>
      </c>
      <c r="Z105" s="226"/>
      <c r="AA105" s="226"/>
      <c r="AB105" s="226"/>
      <c r="AC105" s="226"/>
      <c r="AD105" s="226"/>
      <c r="AE105" s="226"/>
      <c r="AF105" s="226"/>
      <c r="AG105" s="226" t="s">
        <v>321</v>
      </c>
      <c r="AH105" s="226"/>
      <c r="AI105" s="226"/>
      <c r="AJ105" s="226"/>
      <c r="AK105" s="226"/>
      <c r="AL105" s="226"/>
      <c r="AM105" s="226"/>
      <c r="AN105" s="226"/>
      <c r="AO105" s="226"/>
      <c r="AP105" s="226"/>
      <c r="AQ105" s="226"/>
      <c r="AR105" s="226"/>
      <c r="AS105" s="226"/>
      <c r="AT105" s="226"/>
      <c r="AU105" s="226"/>
      <c r="AV105" s="226"/>
      <c r="AW105" s="226"/>
      <c r="AX105" s="226"/>
      <c r="AY105" s="226"/>
      <c r="AZ105" s="226"/>
      <c r="BA105" s="226"/>
      <c r="BB105" s="226"/>
      <c r="BC105" s="226"/>
      <c r="BD105" s="226"/>
      <c r="BE105" s="226"/>
      <c r="BF105" s="226"/>
      <c r="BG105" s="226"/>
      <c r="BH105" s="226"/>
    </row>
    <row r="106" outlineLevel="2">
      <c r="A106" s="227"/>
      <c r="B106" s="228"/>
      <c r="C106" s="229" t="s">
        <v>272</v>
      </c>
      <c r="D106" s="230"/>
      <c r="E106" s="230"/>
      <c r="F106" s="230"/>
      <c r="G106" s="230"/>
      <c r="H106" s="224"/>
      <c r="I106" s="224"/>
      <c r="J106" s="224"/>
      <c r="K106" s="224"/>
      <c r="L106" s="224"/>
      <c r="M106" s="224"/>
      <c r="N106" s="225"/>
      <c r="O106" s="225"/>
      <c r="P106" s="225"/>
      <c r="Q106" s="225"/>
      <c r="R106" s="224"/>
      <c r="S106" s="224"/>
      <c r="T106" s="224"/>
      <c r="U106" s="224"/>
      <c r="V106" s="224"/>
      <c r="W106" s="224"/>
      <c r="X106" s="224"/>
      <c r="Y106" s="224"/>
      <c r="Z106" s="226"/>
      <c r="AA106" s="226"/>
      <c r="AB106" s="226"/>
      <c r="AC106" s="226"/>
      <c r="AD106" s="226"/>
      <c r="AE106" s="226"/>
      <c r="AF106" s="226"/>
      <c r="AG106" s="226" t="s">
        <v>214</v>
      </c>
      <c r="AH106" s="226"/>
      <c r="AI106" s="226"/>
      <c r="AJ106" s="226"/>
      <c r="AK106" s="226"/>
      <c r="AL106" s="226"/>
      <c r="AM106" s="226"/>
      <c r="AN106" s="226"/>
      <c r="AO106" s="226"/>
      <c r="AP106" s="226"/>
      <c r="AQ106" s="226"/>
      <c r="AR106" s="226"/>
      <c r="AS106" s="226"/>
      <c r="AT106" s="226"/>
      <c r="AU106" s="226"/>
      <c r="AV106" s="226"/>
      <c r="AW106" s="226"/>
      <c r="AX106" s="226"/>
      <c r="AY106" s="226"/>
      <c r="AZ106" s="226"/>
      <c r="BA106" s="226"/>
      <c r="BB106" s="226"/>
      <c r="BC106" s="226"/>
      <c r="BD106" s="226"/>
      <c r="BE106" s="226"/>
      <c r="BF106" s="226"/>
      <c r="BG106" s="226"/>
      <c r="BH106" s="226"/>
    </row>
    <row r="107" outlineLevel="2">
      <c r="A107" s="227"/>
      <c r="B107" s="228"/>
      <c r="C107" s="233" t="s">
        <v>326</v>
      </c>
      <c r="D107" s="234"/>
      <c r="E107" s="235"/>
      <c r="F107" s="224"/>
      <c r="G107" s="224"/>
      <c r="H107" s="224"/>
      <c r="I107" s="224"/>
      <c r="J107" s="224"/>
      <c r="K107" s="224"/>
      <c r="L107" s="224"/>
      <c r="M107" s="224"/>
      <c r="N107" s="225"/>
      <c r="O107" s="225"/>
      <c r="P107" s="225"/>
      <c r="Q107" s="225"/>
      <c r="R107" s="224"/>
      <c r="S107" s="224"/>
      <c r="T107" s="224"/>
      <c r="U107" s="224"/>
      <c r="V107" s="224"/>
      <c r="W107" s="224"/>
      <c r="X107" s="224"/>
      <c r="Y107" s="224"/>
      <c r="Z107" s="226"/>
      <c r="AA107" s="226"/>
      <c r="AB107" s="226"/>
      <c r="AC107" s="226"/>
      <c r="AD107" s="226"/>
      <c r="AE107" s="226"/>
      <c r="AF107" s="226"/>
      <c r="AG107" s="226" t="s">
        <v>217</v>
      </c>
      <c r="AH107" s="226">
        <v>0</v>
      </c>
      <c r="AI107" s="226"/>
      <c r="AJ107" s="226"/>
      <c r="AK107" s="226"/>
      <c r="AL107" s="226"/>
      <c r="AM107" s="226"/>
      <c r="AN107" s="226"/>
      <c r="AO107" s="226"/>
      <c r="AP107" s="226"/>
      <c r="AQ107" s="226"/>
      <c r="AR107" s="226"/>
      <c r="AS107" s="226"/>
      <c r="AT107" s="226"/>
      <c r="AU107" s="226"/>
      <c r="AV107" s="226"/>
      <c r="AW107" s="226"/>
      <c r="AX107" s="226"/>
      <c r="AY107" s="226"/>
      <c r="AZ107" s="226"/>
      <c r="BA107" s="226"/>
      <c r="BB107" s="226"/>
      <c r="BC107" s="226"/>
      <c r="BD107" s="226"/>
      <c r="BE107" s="226"/>
      <c r="BF107" s="226"/>
      <c r="BG107" s="226"/>
      <c r="BH107" s="226"/>
    </row>
    <row r="108" outlineLevel="3">
      <c r="A108" s="227"/>
      <c r="B108" s="228"/>
      <c r="C108" s="233" t="s">
        <v>327</v>
      </c>
      <c r="D108" s="234"/>
      <c r="E108" s="235">
        <v>22.420000000000002</v>
      </c>
      <c r="F108" s="224"/>
      <c r="G108" s="224"/>
      <c r="H108" s="224"/>
      <c r="I108" s="224"/>
      <c r="J108" s="224"/>
      <c r="K108" s="224"/>
      <c r="L108" s="224"/>
      <c r="M108" s="224"/>
      <c r="N108" s="225"/>
      <c r="O108" s="225"/>
      <c r="P108" s="225"/>
      <c r="Q108" s="225"/>
      <c r="R108" s="224"/>
      <c r="S108" s="224"/>
      <c r="T108" s="224"/>
      <c r="U108" s="224"/>
      <c r="V108" s="224"/>
      <c r="W108" s="224"/>
      <c r="X108" s="224"/>
      <c r="Y108" s="224"/>
      <c r="Z108" s="226"/>
      <c r="AA108" s="226"/>
      <c r="AB108" s="226"/>
      <c r="AC108" s="226"/>
      <c r="AD108" s="226"/>
      <c r="AE108" s="226"/>
      <c r="AF108" s="226"/>
      <c r="AG108" s="226" t="s">
        <v>217</v>
      </c>
      <c r="AH108" s="226">
        <v>0</v>
      </c>
      <c r="AI108" s="226"/>
      <c r="AJ108" s="226"/>
      <c r="AK108" s="226"/>
      <c r="AL108" s="226"/>
      <c r="AM108" s="226"/>
      <c r="AN108" s="226"/>
      <c r="AO108" s="226"/>
      <c r="AP108" s="226"/>
      <c r="AQ108" s="226"/>
      <c r="AR108" s="226"/>
      <c r="AS108" s="226"/>
      <c r="AT108" s="226"/>
      <c r="AU108" s="226"/>
      <c r="AV108" s="226"/>
      <c r="AW108" s="226"/>
      <c r="AX108" s="226"/>
      <c r="AY108" s="226"/>
      <c r="AZ108" s="226"/>
      <c r="BA108" s="226"/>
      <c r="BB108" s="226"/>
      <c r="BC108" s="226"/>
      <c r="BD108" s="226"/>
      <c r="BE108" s="226"/>
      <c r="BF108" s="226"/>
      <c r="BG108" s="226"/>
      <c r="BH108" s="226"/>
    </row>
    <row r="109" outlineLevel="1" ht="22.5">
      <c r="A109" s="216">
        <v>30</v>
      </c>
      <c r="B109" s="217" t="s">
        <v>328</v>
      </c>
      <c r="C109" s="218" t="s">
        <v>329</v>
      </c>
      <c r="D109" s="219" t="s">
        <v>320</v>
      </c>
      <c r="E109" s="220">
        <v>24</v>
      </c>
      <c r="F109" s="221"/>
      <c r="G109" s="222">
        <f>ROUND(E109*F109,2)</f>
        <v>0</v>
      </c>
      <c r="H109" s="223"/>
      <c r="I109" s="224">
        <f>ROUND(E109*H109,2)</f>
        <v>0</v>
      </c>
      <c r="J109" s="223"/>
      <c r="K109" s="224">
        <f>ROUND(E109*J109,2)</f>
        <v>0</v>
      </c>
      <c r="L109" s="224">
        <v>21</v>
      </c>
      <c r="M109" s="224">
        <f>G109*(1+L109/100)</f>
        <v>0</v>
      </c>
      <c r="N109" s="225">
        <v>0</v>
      </c>
      <c r="O109" s="225">
        <f>ROUND(E109*N109,2)</f>
        <v>0</v>
      </c>
      <c r="P109" s="225">
        <v>0.00040000000000000002</v>
      </c>
      <c r="Q109" s="225">
        <f>ROUND(E109*P109,2)</f>
        <v>0.01</v>
      </c>
      <c r="R109" s="224"/>
      <c r="S109" s="224" t="s">
        <v>208</v>
      </c>
      <c r="T109" s="224" t="s">
        <v>209</v>
      </c>
      <c r="U109" s="224">
        <v>0</v>
      </c>
      <c r="V109" s="224">
        <f>ROUND(E109*U109,2)</f>
        <v>0</v>
      </c>
      <c r="W109" s="224"/>
      <c r="X109" s="224" t="s">
        <v>210</v>
      </c>
      <c r="Y109" s="224" t="s">
        <v>211</v>
      </c>
      <c r="Z109" s="226"/>
      <c r="AA109" s="226"/>
      <c r="AB109" s="226"/>
      <c r="AC109" s="226"/>
      <c r="AD109" s="226"/>
      <c r="AE109" s="226"/>
      <c r="AF109" s="226"/>
      <c r="AG109" s="226" t="s">
        <v>321</v>
      </c>
      <c r="AH109" s="226"/>
      <c r="AI109" s="226"/>
      <c r="AJ109" s="226"/>
      <c r="AK109" s="226"/>
      <c r="AL109" s="226"/>
      <c r="AM109" s="226"/>
      <c r="AN109" s="226"/>
      <c r="AO109" s="226"/>
      <c r="AP109" s="226"/>
      <c r="AQ109" s="226"/>
      <c r="AR109" s="226"/>
      <c r="AS109" s="226"/>
      <c r="AT109" s="226"/>
      <c r="AU109" s="226"/>
      <c r="AV109" s="226"/>
      <c r="AW109" s="226"/>
      <c r="AX109" s="226"/>
      <c r="AY109" s="226"/>
      <c r="AZ109" s="226"/>
      <c r="BA109" s="226"/>
      <c r="BB109" s="226"/>
      <c r="BC109" s="226"/>
      <c r="BD109" s="226"/>
      <c r="BE109" s="226"/>
      <c r="BF109" s="226"/>
      <c r="BG109" s="226"/>
      <c r="BH109" s="226"/>
    </row>
    <row r="110" outlineLevel="2">
      <c r="A110" s="227"/>
      <c r="B110" s="228"/>
      <c r="C110" s="229" t="s">
        <v>272</v>
      </c>
      <c r="D110" s="230"/>
      <c r="E110" s="230"/>
      <c r="F110" s="230"/>
      <c r="G110" s="230"/>
      <c r="H110" s="224"/>
      <c r="I110" s="224"/>
      <c r="J110" s="224"/>
      <c r="K110" s="224"/>
      <c r="L110" s="224"/>
      <c r="M110" s="224"/>
      <c r="N110" s="225"/>
      <c r="O110" s="225"/>
      <c r="P110" s="225"/>
      <c r="Q110" s="225"/>
      <c r="R110" s="224"/>
      <c r="S110" s="224"/>
      <c r="T110" s="224"/>
      <c r="U110" s="224"/>
      <c r="V110" s="224"/>
      <c r="W110" s="224"/>
      <c r="X110" s="224"/>
      <c r="Y110" s="224"/>
      <c r="Z110" s="226"/>
      <c r="AA110" s="226"/>
      <c r="AB110" s="226"/>
      <c r="AC110" s="226"/>
      <c r="AD110" s="226"/>
      <c r="AE110" s="226"/>
      <c r="AF110" s="226"/>
      <c r="AG110" s="226" t="s">
        <v>214</v>
      </c>
      <c r="AH110" s="226"/>
      <c r="AI110" s="226"/>
      <c r="AJ110" s="226"/>
      <c r="AK110" s="226"/>
      <c r="AL110" s="226"/>
      <c r="AM110" s="226"/>
      <c r="AN110" s="226"/>
      <c r="AO110" s="226"/>
      <c r="AP110" s="226"/>
      <c r="AQ110" s="226"/>
      <c r="AR110" s="226"/>
      <c r="AS110" s="226"/>
      <c r="AT110" s="226"/>
      <c r="AU110" s="226"/>
      <c r="AV110" s="226"/>
      <c r="AW110" s="226"/>
      <c r="AX110" s="226"/>
      <c r="AY110" s="226"/>
      <c r="AZ110" s="226"/>
      <c r="BA110" s="226"/>
      <c r="BB110" s="226"/>
      <c r="BC110" s="226"/>
      <c r="BD110" s="226"/>
      <c r="BE110" s="226"/>
      <c r="BF110" s="226"/>
      <c r="BG110" s="226"/>
      <c r="BH110" s="226"/>
    </row>
    <row r="111" outlineLevel="2">
      <c r="A111" s="227"/>
      <c r="B111" s="228"/>
      <c r="C111" s="233" t="s">
        <v>330</v>
      </c>
      <c r="D111" s="234"/>
      <c r="E111" s="235"/>
      <c r="F111" s="224"/>
      <c r="G111" s="224"/>
      <c r="H111" s="224"/>
      <c r="I111" s="224"/>
      <c r="J111" s="224"/>
      <c r="K111" s="224"/>
      <c r="L111" s="224"/>
      <c r="M111" s="224"/>
      <c r="N111" s="225"/>
      <c r="O111" s="225"/>
      <c r="P111" s="225"/>
      <c r="Q111" s="225"/>
      <c r="R111" s="224"/>
      <c r="S111" s="224"/>
      <c r="T111" s="224"/>
      <c r="U111" s="224"/>
      <c r="V111" s="224"/>
      <c r="W111" s="224"/>
      <c r="X111" s="224"/>
      <c r="Y111" s="224"/>
      <c r="Z111" s="226"/>
      <c r="AA111" s="226"/>
      <c r="AB111" s="226"/>
      <c r="AC111" s="226"/>
      <c r="AD111" s="226"/>
      <c r="AE111" s="226"/>
      <c r="AF111" s="226"/>
      <c r="AG111" s="226" t="s">
        <v>217</v>
      </c>
      <c r="AH111" s="226">
        <v>0</v>
      </c>
      <c r="AI111" s="226"/>
      <c r="AJ111" s="226"/>
      <c r="AK111" s="226"/>
      <c r="AL111" s="226"/>
      <c r="AM111" s="226"/>
      <c r="AN111" s="226"/>
      <c r="AO111" s="226"/>
      <c r="AP111" s="226"/>
      <c r="AQ111" s="226"/>
      <c r="AR111" s="226"/>
      <c r="AS111" s="226"/>
      <c r="AT111" s="226"/>
      <c r="AU111" s="226"/>
      <c r="AV111" s="226"/>
      <c r="AW111" s="226"/>
      <c r="AX111" s="226"/>
      <c r="AY111" s="226"/>
      <c r="AZ111" s="226"/>
      <c r="BA111" s="226"/>
      <c r="BB111" s="226"/>
      <c r="BC111" s="226"/>
      <c r="BD111" s="226"/>
      <c r="BE111" s="226"/>
      <c r="BF111" s="226"/>
      <c r="BG111" s="226"/>
      <c r="BH111" s="226"/>
    </row>
    <row r="112" outlineLevel="3">
      <c r="A112" s="227"/>
      <c r="B112" s="228"/>
      <c r="C112" s="233" t="s">
        <v>331</v>
      </c>
      <c r="D112" s="234"/>
      <c r="E112" s="235">
        <v>24</v>
      </c>
      <c r="F112" s="224"/>
      <c r="G112" s="224"/>
      <c r="H112" s="224"/>
      <c r="I112" s="224"/>
      <c r="J112" s="224"/>
      <c r="K112" s="224"/>
      <c r="L112" s="224"/>
      <c r="M112" s="224"/>
      <c r="N112" s="225"/>
      <c r="O112" s="225"/>
      <c r="P112" s="225"/>
      <c r="Q112" s="225"/>
      <c r="R112" s="224"/>
      <c r="S112" s="224"/>
      <c r="T112" s="224"/>
      <c r="U112" s="224"/>
      <c r="V112" s="224"/>
      <c r="W112" s="224"/>
      <c r="X112" s="224"/>
      <c r="Y112" s="224"/>
      <c r="Z112" s="226"/>
      <c r="AA112" s="226"/>
      <c r="AB112" s="226"/>
      <c r="AC112" s="226"/>
      <c r="AD112" s="226"/>
      <c r="AE112" s="226"/>
      <c r="AF112" s="226"/>
      <c r="AG112" s="226" t="s">
        <v>217</v>
      </c>
      <c r="AH112" s="226">
        <v>0</v>
      </c>
      <c r="AI112" s="226"/>
      <c r="AJ112" s="226"/>
      <c r="AK112" s="226"/>
      <c r="AL112" s="226"/>
      <c r="AM112" s="226"/>
      <c r="AN112" s="226"/>
      <c r="AO112" s="226"/>
      <c r="AP112" s="226"/>
      <c r="AQ112" s="226"/>
      <c r="AR112" s="226"/>
      <c r="AS112" s="226"/>
      <c r="AT112" s="226"/>
      <c r="AU112" s="226"/>
      <c r="AV112" s="226"/>
      <c r="AW112" s="226"/>
      <c r="AX112" s="226"/>
      <c r="AY112" s="226"/>
      <c r="AZ112" s="226"/>
      <c r="BA112" s="226"/>
      <c r="BB112" s="226"/>
      <c r="BC112" s="226"/>
      <c r="BD112" s="226"/>
      <c r="BE112" s="226"/>
      <c r="BF112" s="226"/>
      <c r="BG112" s="226"/>
      <c r="BH112" s="226"/>
    </row>
    <row r="113" outlineLevel="1" ht="22.5">
      <c r="A113" s="216">
        <v>31</v>
      </c>
      <c r="B113" s="217" t="s">
        <v>332</v>
      </c>
      <c r="C113" s="218" t="s">
        <v>333</v>
      </c>
      <c r="D113" s="219" t="s">
        <v>280</v>
      </c>
      <c r="E113" s="220">
        <v>36</v>
      </c>
      <c r="F113" s="221"/>
      <c r="G113" s="222">
        <f>ROUND(E113*F113,2)</f>
        <v>0</v>
      </c>
      <c r="H113" s="223"/>
      <c r="I113" s="224">
        <f>ROUND(E113*H113,2)</f>
        <v>0</v>
      </c>
      <c r="J113" s="223"/>
      <c r="K113" s="224">
        <f>ROUND(E113*J113,2)</f>
        <v>0</v>
      </c>
      <c r="L113" s="224">
        <v>21</v>
      </c>
      <c r="M113" s="224">
        <f>G113*(1+L113/100)</f>
        <v>0</v>
      </c>
      <c r="N113" s="225">
        <v>0</v>
      </c>
      <c r="O113" s="225">
        <f>ROUND(E113*N113,2)</f>
        <v>0</v>
      </c>
      <c r="P113" s="225">
        <v>0.00014999999999999999</v>
      </c>
      <c r="Q113" s="225">
        <f>ROUND(E113*P113,2)</f>
        <v>0.01</v>
      </c>
      <c r="R113" s="224"/>
      <c r="S113" s="224" t="s">
        <v>208</v>
      </c>
      <c r="T113" s="224" t="s">
        <v>209</v>
      </c>
      <c r="U113" s="224">
        <v>0</v>
      </c>
      <c r="V113" s="224">
        <f>ROUND(E113*U113,2)</f>
        <v>0</v>
      </c>
      <c r="W113" s="224"/>
      <c r="X113" s="224" t="s">
        <v>210</v>
      </c>
      <c r="Y113" s="224" t="s">
        <v>211</v>
      </c>
      <c r="Z113" s="226"/>
      <c r="AA113" s="226"/>
      <c r="AB113" s="226"/>
      <c r="AC113" s="226"/>
      <c r="AD113" s="226"/>
      <c r="AE113" s="226"/>
      <c r="AF113" s="226"/>
      <c r="AG113" s="226" t="s">
        <v>321</v>
      </c>
      <c r="AH113" s="226"/>
      <c r="AI113" s="226"/>
      <c r="AJ113" s="226"/>
      <c r="AK113" s="226"/>
      <c r="AL113" s="226"/>
      <c r="AM113" s="226"/>
      <c r="AN113" s="226"/>
      <c r="AO113" s="226"/>
      <c r="AP113" s="226"/>
      <c r="AQ113" s="226"/>
      <c r="AR113" s="226"/>
      <c r="AS113" s="226"/>
      <c r="AT113" s="226"/>
      <c r="AU113" s="226"/>
      <c r="AV113" s="226"/>
      <c r="AW113" s="226"/>
      <c r="AX113" s="226"/>
      <c r="AY113" s="226"/>
      <c r="AZ113" s="226"/>
      <c r="BA113" s="226"/>
      <c r="BB113" s="226"/>
      <c r="BC113" s="226"/>
      <c r="BD113" s="226"/>
      <c r="BE113" s="226"/>
      <c r="BF113" s="226"/>
      <c r="BG113" s="226"/>
      <c r="BH113" s="226"/>
    </row>
    <row r="114" outlineLevel="2">
      <c r="A114" s="227"/>
      <c r="B114" s="228"/>
      <c r="C114" s="229" t="s">
        <v>272</v>
      </c>
      <c r="D114" s="230"/>
      <c r="E114" s="230"/>
      <c r="F114" s="230"/>
      <c r="G114" s="230"/>
      <c r="H114" s="224"/>
      <c r="I114" s="224"/>
      <c r="J114" s="224"/>
      <c r="K114" s="224"/>
      <c r="L114" s="224"/>
      <c r="M114" s="224"/>
      <c r="N114" s="225"/>
      <c r="O114" s="225"/>
      <c r="P114" s="225"/>
      <c r="Q114" s="225"/>
      <c r="R114" s="224"/>
      <c r="S114" s="224"/>
      <c r="T114" s="224"/>
      <c r="U114" s="224"/>
      <c r="V114" s="224"/>
      <c r="W114" s="224"/>
      <c r="X114" s="224"/>
      <c r="Y114" s="224"/>
      <c r="Z114" s="226"/>
      <c r="AA114" s="226"/>
      <c r="AB114" s="226"/>
      <c r="AC114" s="226"/>
      <c r="AD114" s="226"/>
      <c r="AE114" s="226"/>
      <c r="AF114" s="226"/>
      <c r="AG114" s="226" t="s">
        <v>214</v>
      </c>
      <c r="AH114" s="226"/>
      <c r="AI114" s="226"/>
      <c r="AJ114" s="226"/>
      <c r="AK114" s="226"/>
      <c r="AL114" s="226"/>
      <c r="AM114" s="226"/>
      <c r="AN114" s="226"/>
      <c r="AO114" s="226"/>
      <c r="AP114" s="226"/>
      <c r="AQ114" s="226"/>
      <c r="AR114" s="226"/>
      <c r="AS114" s="226"/>
      <c r="AT114" s="226"/>
      <c r="AU114" s="226"/>
      <c r="AV114" s="226"/>
      <c r="AW114" s="226"/>
      <c r="AX114" s="226"/>
      <c r="AY114" s="226"/>
      <c r="AZ114" s="226"/>
      <c r="BA114" s="226"/>
      <c r="BB114" s="226"/>
      <c r="BC114" s="226"/>
      <c r="BD114" s="226"/>
      <c r="BE114" s="226"/>
      <c r="BF114" s="226"/>
      <c r="BG114" s="226"/>
      <c r="BH114" s="226"/>
    </row>
    <row r="115" outlineLevel="2">
      <c r="A115" s="227"/>
      <c r="B115" s="228"/>
      <c r="C115" s="233" t="s">
        <v>334</v>
      </c>
      <c r="D115" s="234"/>
      <c r="E115" s="235"/>
      <c r="F115" s="224"/>
      <c r="G115" s="224"/>
      <c r="H115" s="224"/>
      <c r="I115" s="224"/>
      <c r="J115" s="224"/>
      <c r="K115" s="224"/>
      <c r="L115" s="224"/>
      <c r="M115" s="224"/>
      <c r="N115" s="225"/>
      <c r="O115" s="225"/>
      <c r="P115" s="225"/>
      <c r="Q115" s="225"/>
      <c r="R115" s="224"/>
      <c r="S115" s="224"/>
      <c r="T115" s="224"/>
      <c r="U115" s="224"/>
      <c r="V115" s="224"/>
      <c r="W115" s="224"/>
      <c r="X115" s="224"/>
      <c r="Y115" s="224"/>
      <c r="Z115" s="226"/>
      <c r="AA115" s="226"/>
      <c r="AB115" s="226"/>
      <c r="AC115" s="226"/>
      <c r="AD115" s="226"/>
      <c r="AE115" s="226"/>
      <c r="AF115" s="226"/>
      <c r="AG115" s="226" t="s">
        <v>217</v>
      </c>
      <c r="AH115" s="226">
        <v>0</v>
      </c>
      <c r="AI115" s="226"/>
      <c r="AJ115" s="226"/>
      <c r="AK115" s="226"/>
      <c r="AL115" s="226"/>
      <c r="AM115" s="226"/>
      <c r="AN115" s="226"/>
      <c r="AO115" s="226"/>
      <c r="AP115" s="226"/>
      <c r="AQ115" s="226"/>
      <c r="AR115" s="226"/>
      <c r="AS115" s="226"/>
      <c r="AT115" s="226"/>
      <c r="AU115" s="226"/>
      <c r="AV115" s="226"/>
      <c r="AW115" s="226"/>
      <c r="AX115" s="226"/>
      <c r="AY115" s="226"/>
      <c r="AZ115" s="226"/>
      <c r="BA115" s="226"/>
      <c r="BB115" s="226"/>
      <c r="BC115" s="226"/>
      <c r="BD115" s="226"/>
      <c r="BE115" s="226"/>
      <c r="BF115" s="226"/>
      <c r="BG115" s="226"/>
      <c r="BH115" s="226"/>
    </row>
    <row r="116" outlineLevel="3">
      <c r="A116" s="227"/>
      <c r="B116" s="228"/>
      <c r="C116" s="233" t="s">
        <v>335</v>
      </c>
      <c r="D116" s="234"/>
      <c r="E116" s="235"/>
      <c r="F116" s="224"/>
      <c r="G116" s="224"/>
      <c r="H116" s="224"/>
      <c r="I116" s="224"/>
      <c r="J116" s="224"/>
      <c r="K116" s="224"/>
      <c r="L116" s="224"/>
      <c r="M116" s="224"/>
      <c r="N116" s="225"/>
      <c r="O116" s="225"/>
      <c r="P116" s="225"/>
      <c r="Q116" s="225"/>
      <c r="R116" s="224"/>
      <c r="S116" s="224"/>
      <c r="T116" s="224"/>
      <c r="U116" s="224"/>
      <c r="V116" s="224"/>
      <c r="W116" s="224"/>
      <c r="X116" s="224"/>
      <c r="Y116" s="224"/>
      <c r="Z116" s="226"/>
      <c r="AA116" s="226"/>
      <c r="AB116" s="226"/>
      <c r="AC116" s="226"/>
      <c r="AD116" s="226"/>
      <c r="AE116" s="226"/>
      <c r="AF116" s="226"/>
      <c r="AG116" s="226" t="s">
        <v>217</v>
      </c>
      <c r="AH116" s="226">
        <v>0</v>
      </c>
      <c r="AI116" s="226"/>
      <c r="AJ116" s="226"/>
      <c r="AK116" s="226"/>
      <c r="AL116" s="226"/>
      <c r="AM116" s="226"/>
      <c r="AN116" s="226"/>
      <c r="AO116" s="226"/>
      <c r="AP116" s="226"/>
      <c r="AQ116" s="226"/>
      <c r="AR116" s="226"/>
      <c r="AS116" s="226"/>
      <c r="AT116" s="226"/>
      <c r="AU116" s="226"/>
      <c r="AV116" s="226"/>
      <c r="AW116" s="226"/>
      <c r="AX116" s="226"/>
      <c r="AY116" s="226"/>
      <c r="AZ116" s="226"/>
      <c r="BA116" s="226"/>
      <c r="BB116" s="226"/>
      <c r="BC116" s="226"/>
      <c r="BD116" s="226"/>
      <c r="BE116" s="226"/>
      <c r="BF116" s="226"/>
      <c r="BG116" s="226"/>
      <c r="BH116" s="226"/>
    </row>
    <row r="117" outlineLevel="3">
      <c r="A117" s="227"/>
      <c r="B117" s="228"/>
      <c r="C117" s="233" t="s">
        <v>336</v>
      </c>
      <c r="D117" s="234"/>
      <c r="E117" s="235">
        <v>36</v>
      </c>
      <c r="F117" s="224"/>
      <c r="G117" s="224"/>
      <c r="H117" s="224"/>
      <c r="I117" s="224"/>
      <c r="J117" s="224"/>
      <c r="K117" s="224"/>
      <c r="L117" s="224"/>
      <c r="M117" s="224"/>
      <c r="N117" s="225"/>
      <c r="O117" s="225"/>
      <c r="P117" s="225"/>
      <c r="Q117" s="225"/>
      <c r="R117" s="224"/>
      <c r="S117" s="224"/>
      <c r="T117" s="224"/>
      <c r="U117" s="224"/>
      <c r="V117" s="224"/>
      <c r="W117" s="224"/>
      <c r="X117" s="224"/>
      <c r="Y117" s="224"/>
      <c r="Z117" s="226"/>
      <c r="AA117" s="226"/>
      <c r="AB117" s="226"/>
      <c r="AC117" s="226"/>
      <c r="AD117" s="226"/>
      <c r="AE117" s="226"/>
      <c r="AF117" s="226"/>
      <c r="AG117" s="226" t="s">
        <v>217</v>
      </c>
      <c r="AH117" s="226">
        <v>0</v>
      </c>
      <c r="AI117" s="226"/>
      <c r="AJ117" s="226"/>
      <c r="AK117" s="226"/>
      <c r="AL117" s="226"/>
      <c r="AM117" s="226"/>
      <c r="AN117" s="226"/>
      <c r="AO117" s="226"/>
      <c r="AP117" s="226"/>
      <c r="AQ117" s="226"/>
      <c r="AR117" s="226"/>
      <c r="AS117" s="226"/>
      <c r="AT117" s="226"/>
      <c r="AU117" s="226"/>
      <c r="AV117" s="226"/>
      <c r="AW117" s="226"/>
      <c r="AX117" s="226"/>
      <c r="AY117" s="226"/>
      <c r="AZ117" s="226"/>
      <c r="BA117" s="226"/>
      <c r="BB117" s="226"/>
      <c r="BC117" s="226"/>
      <c r="BD117" s="226"/>
      <c r="BE117" s="226"/>
      <c r="BF117" s="226"/>
      <c r="BG117" s="226"/>
      <c r="BH117" s="226"/>
    </row>
    <row r="118" outlineLevel="1" ht="22.5">
      <c r="A118" s="216">
        <v>32</v>
      </c>
      <c r="B118" s="217" t="s">
        <v>337</v>
      </c>
      <c r="C118" s="218" t="s">
        <v>338</v>
      </c>
      <c r="D118" s="219" t="s">
        <v>280</v>
      </c>
      <c r="E118" s="220">
        <v>24</v>
      </c>
      <c r="F118" s="221"/>
      <c r="G118" s="222">
        <f>ROUND(E118*F118,2)</f>
        <v>0</v>
      </c>
      <c r="H118" s="223"/>
      <c r="I118" s="224">
        <f>ROUND(E118*H118,2)</f>
        <v>0</v>
      </c>
      <c r="J118" s="223"/>
      <c r="K118" s="224">
        <f>ROUND(E118*J118,2)</f>
        <v>0</v>
      </c>
      <c r="L118" s="224">
        <v>21</v>
      </c>
      <c r="M118" s="224">
        <f>G118*(1+L118/100)</f>
        <v>0</v>
      </c>
      <c r="N118" s="225">
        <v>0</v>
      </c>
      <c r="O118" s="225">
        <f>ROUND(E118*N118,2)</f>
        <v>0</v>
      </c>
      <c r="P118" s="225">
        <v>0.00055000000000000003</v>
      </c>
      <c r="Q118" s="225">
        <f>ROUND(E118*P118,2)</f>
        <v>0.01</v>
      </c>
      <c r="R118" s="224"/>
      <c r="S118" s="224" t="s">
        <v>208</v>
      </c>
      <c r="T118" s="224" t="s">
        <v>209</v>
      </c>
      <c r="U118" s="224">
        <v>0</v>
      </c>
      <c r="V118" s="224">
        <f>ROUND(E118*U118,2)</f>
        <v>0</v>
      </c>
      <c r="W118" s="224"/>
      <c r="X118" s="224" t="s">
        <v>210</v>
      </c>
      <c r="Y118" s="224" t="s">
        <v>211</v>
      </c>
      <c r="Z118" s="226"/>
      <c r="AA118" s="226"/>
      <c r="AB118" s="226"/>
      <c r="AC118" s="226"/>
      <c r="AD118" s="226"/>
      <c r="AE118" s="226"/>
      <c r="AF118" s="226"/>
      <c r="AG118" s="226" t="s">
        <v>321</v>
      </c>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row>
    <row r="119" outlineLevel="2">
      <c r="A119" s="227"/>
      <c r="B119" s="228"/>
      <c r="C119" s="229" t="s">
        <v>272</v>
      </c>
      <c r="D119" s="230"/>
      <c r="E119" s="230"/>
      <c r="F119" s="230"/>
      <c r="G119" s="230"/>
      <c r="H119" s="224"/>
      <c r="I119" s="224"/>
      <c r="J119" s="224"/>
      <c r="K119" s="224"/>
      <c r="L119" s="224"/>
      <c r="M119" s="224"/>
      <c r="N119" s="225"/>
      <c r="O119" s="225"/>
      <c r="P119" s="225"/>
      <c r="Q119" s="225"/>
      <c r="R119" s="224"/>
      <c r="S119" s="224"/>
      <c r="T119" s="224"/>
      <c r="U119" s="224"/>
      <c r="V119" s="224"/>
      <c r="W119" s="224"/>
      <c r="X119" s="224"/>
      <c r="Y119" s="224"/>
      <c r="Z119" s="226"/>
      <c r="AA119" s="226"/>
      <c r="AB119" s="226"/>
      <c r="AC119" s="226"/>
      <c r="AD119" s="226"/>
      <c r="AE119" s="226"/>
      <c r="AF119" s="226"/>
      <c r="AG119" s="226" t="s">
        <v>214</v>
      </c>
      <c r="AH119" s="226"/>
      <c r="AI119" s="226"/>
      <c r="AJ119" s="226"/>
      <c r="AK119" s="226"/>
      <c r="AL119" s="226"/>
      <c r="AM119" s="226"/>
      <c r="AN119" s="226"/>
      <c r="AO119" s="226"/>
      <c r="AP119" s="226"/>
      <c r="AQ119" s="226"/>
      <c r="AR119" s="226"/>
      <c r="AS119" s="226"/>
      <c r="AT119" s="226"/>
      <c r="AU119" s="226"/>
      <c r="AV119" s="226"/>
      <c r="AW119" s="226"/>
      <c r="AX119" s="226"/>
      <c r="AY119" s="226"/>
      <c r="AZ119" s="226"/>
      <c r="BA119" s="226"/>
      <c r="BB119" s="226"/>
      <c r="BC119" s="226"/>
      <c r="BD119" s="226"/>
      <c r="BE119" s="226"/>
      <c r="BF119" s="226"/>
      <c r="BG119" s="226"/>
      <c r="BH119" s="226"/>
    </row>
    <row r="120">
      <c r="A120" s="207" t="s">
        <v>203</v>
      </c>
      <c r="B120" s="208" t="s">
        <v>161</v>
      </c>
      <c r="C120" s="209" t="s">
        <v>162</v>
      </c>
      <c r="D120" s="210"/>
      <c r="E120" s="211"/>
      <c r="F120" s="212"/>
      <c r="G120" s="213">
        <f>SUMIF(AG121:AG131,"&lt;&gt;NOR",G121:G131)</f>
        <v>0</v>
      </c>
      <c r="H120" s="214"/>
      <c r="I120" s="214">
        <f>SUM(I121:I131)</f>
        <v>0</v>
      </c>
      <c r="J120" s="214"/>
      <c r="K120" s="214">
        <f>SUM(K121:K131)</f>
        <v>0</v>
      </c>
      <c r="L120" s="214"/>
      <c r="M120" s="214">
        <f>SUM(M121:M131)</f>
        <v>0</v>
      </c>
      <c r="N120" s="215"/>
      <c r="O120" s="215">
        <f>SUM(O121:O131)</f>
        <v>0</v>
      </c>
      <c r="P120" s="215"/>
      <c r="Q120" s="215">
        <f>SUM(Q121:Q131)</f>
        <v>6.7200000000000006</v>
      </c>
      <c r="R120" s="214"/>
      <c r="S120" s="214"/>
      <c r="T120" s="214"/>
      <c r="U120" s="214"/>
      <c r="V120" s="214">
        <f>SUM(V121:V131)</f>
        <v>0</v>
      </c>
      <c r="W120" s="214"/>
      <c r="X120" s="214"/>
      <c r="Y120" s="214"/>
      <c r="AG120" t="s">
        <v>204</v>
      </c>
    </row>
    <row r="121" outlineLevel="1" ht="22.5">
      <c r="A121" s="216">
        <v>33</v>
      </c>
      <c r="B121" s="217" t="s">
        <v>339</v>
      </c>
      <c r="C121" s="218" t="s">
        <v>340</v>
      </c>
      <c r="D121" s="219" t="s">
        <v>320</v>
      </c>
      <c r="E121" s="220">
        <v>332.846</v>
      </c>
      <c r="F121" s="221"/>
      <c r="G121" s="222">
        <f>ROUND(E121*F121,2)</f>
        <v>0</v>
      </c>
      <c r="H121" s="223"/>
      <c r="I121" s="224">
        <f>ROUND(E121*H121,2)</f>
        <v>0</v>
      </c>
      <c r="J121" s="223"/>
      <c r="K121" s="224">
        <f>ROUND(E121*J121,2)</f>
        <v>0</v>
      </c>
      <c r="L121" s="224">
        <v>21</v>
      </c>
      <c r="M121" s="224">
        <f>G121*(1+L121/100)</f>
        <v>0</v>
      </c>
      <c r="N121" s="225">
        <v>0</v>
      </c>
      <c r="O121" s="225">
        <f>ROUND(E121*N121,2)</f>
        <v>0</v>
      </c>
      <c r="P121" s="225">
        <v>0.014</v>
      </c>
      <c r="Q121" s="225">
        <f>ROUND(E121*P121,2)</f>
        <v>4.6600000000000001</v>
      </c>
      <c r="R121" s="224"/>
      <c r="S121" s="224" t="s">
        <v>208</v>
      </c>
      <c r="T121" s="224" t="s">
        <v>209</v>
      </c>
      <c r="U121" s="224">
        <v>0</v>
      </c>
      <c r="V121" s="224">
        <f>ROUND(E121*U121,2)</f>
        <v>0</v>
      </c>
      <c r="W121" s="224"/>
      <c r="X121" s="224" t="s">
        <v>210</v>
      </c>
      <c r="Y121" s="224" t="s">
        <v>211</v>
      </c>
      <c r="Z121" s="226"/>
      <c r="AA121" s="226"/>
      <c r="AB121" s="226"/>
      <c r="AC121" s="226"/>
      <c r="AD121" s="226"/>
      <c r="AE121" s="226"/>
      <c r="AF121" s="226"/>
      <c r="AG121" s="226" t="s">
        <v>321</v>
      </c>
      <c r="AH121" s="226"/>
      <c r="AI121" s="226"/>
      <c r="AJ121" s="226"/>
      <c r="AK121" s="226"/>
      <c r="AL121" s="226"/>
      <c r="AM121" s="226"/>
      <c r="AN121" s="226"/>
      <c r="AO121" s="226"/>
      <c r="AP121" s="226"/>
      <c r="AQ121" s="226"/>
      <c r="AR121" s="226"/>
      <c r="AS121" s="226"/>
      <c r="AT121" s="226"/>
      <c r="AU121" s="226"/>
      <c r="AV121" s="226"/>
      <c r="AW121" s="226"/>
      <c r="AX121" s="226"/>
      <c r="AY121" s="226"/>
      <c r="AZ121" s="226"/>
      <c r="BA121" s="226"/>
      <c r="BB121" s="226"/>
      <c r="BC121" s="226"/>
      <c r="BD121" s="226"/>
      <c r="BE121" s="226"/>
      <c r="BF121" s="226"/>
      <c r="BG121" s="226"/>
      <c r="BH121" s="226"/>
    </row>
    <row r="122" outlineLevel="2">
      <c r="A122" s="227"/>
      <c r="B122" s="228"/>
      <c r="C122" s="233" t="s">
        <v>341</v>
      </c>
      <c r="D122" s="234"/>
      <c r="E122" s="235"/>
      <c r="F122" s="224"/>
      <c r="G122" s="224"/>
      <c r="H122" s="224"/>
      <c r="I122" s="224"/>
      <c r="J122" s="224"/>
      <c r="K122" s="224"/>
      <c r="L122" s="224"/>
      <c r="M122" s="224"/>
      <c r="N122" s="225"/>
      <c r="O122" s="225"/>
      <c r="P122" s="225"/>
      <c r="Q122" s="225"/>
      <c r="R122" s="224"/>
      <c r="S122" s="224"/>
      <c r="T122" s="224"/>
      <c r="U122" s="224"/>
      <c r="V122" s="224"/>
      <c r="W122" s="224"/>
      <c r="X122" s="224"/>
      <c r="Y122" s="224"/>
      <c r="Z122" s="226"/>
      <c r="AA122" s="226"/>
      <c r="AB122" s="226"/>
      <c r="AC122" s="226"/>
      <c r="AD122" s="226"/>
      <c r="AE122" s="226"/>
      <c r="AF122" s="226"/>
      <c r="AG122" s="226" t="s">
        <v>217</v>
      </c>
      <c r="AH122" s="226">
        <v>0</v>
      </c>
      <c r="AI122" s="226"/>
      <c r="AJ122" s="226"/>
      <c r="AK122" s="226"/>
      <c r="AL122" s="226"/>
      <c r="AM122" s="226"/>
      <c r="AN122" s="226"/>
      <c r="AO122" s="226"/>
      <c r="AP122" s="226"/>
      <c r="AQ122" s="226"/>
      <c r="AR122" s="226"/>
      <c r="AS122" s="226"/>
      <c r="AT122" s="226"/>
      <c r="AU122" s="226"/>
      <c r="AV122" s="226"/>
      <c r="AW122" s="226"/>
      <c r="AX122" s="226"/>
      <c r="AY122" s="226"/>
      <c r="AZ122" s="226"/>
      <c r="BA122" s="226"/>
      <c r="BB122" s="226"/>
      <c r="BC122" s="226"/>
      <c r="BD122" s="226"/>
      <c r="BE122" s="226"/>
      <c r="BF122" s="226"/>
      <c r="BG122" s="226"/>
      <c r="BH122" s="226"/>
    </row>
    <row r="123" outlineLevel="3">
      <c r="A123" s="227"/>
      <c r="B123" s="228"/>
      <c r="C123" s="233" t="s">
        <v>342</v>
      </c>
      <c r="D123" s="234"/>
      <c r="E123" s="235"/>
      <c r="F123" s="224"/>
      <c r="G123" s="224"/>
      <c r="H123" s="224"/>
      <c r="I123" s="224"/>
      <c r="J123" s="224"/>
      <c r="K123" s="224"/>
      <c r="L123" s="224"/>
      <c r="M123" s="224"/>
      <c r="N123" s="225"/>
      <c r="O123" s="225"/>
      <c r="P123" s="225"/>
      <c r="Q123" s="225"/>
      <c r="R123" s="224"/>
      <c r="S123" s="224"/>
      <c r="T123" s="224"/>
      <c r="U123" s="224"/>
      <c r="V123" s="224"/>
      <c r="W123" s="224"/>
      <c r="X123" s="224"/>
      <c r="Y123" s="224"/>
      <c r="Z123" s="226"/>
      <c r="AA123" s="226"/>
      <c r="AB123" s="226"/>
      <c r="AC123" s="226"/>
      <c r="AD123" s="226"/>
      <c r="AE123" s="226"/>
      <c r="AF123" s="226"/>
      <c r="AG123" s="226" t="s">
        <v>217</v>
      </c>
      <c r="AH123" s="226">
        <v>0</v>
      </c>
      <c r="AI123" s="226"/>
      <c r="AJ123" s="226"/>
      <c r="AK123" s="226"/>
      <c r="AL123" s="226"/>
      <c r="AM123" s="226"/>
      <c r="AN123" s="226"/>
      <c r="AO123" s="226"/>
      <c r="AP123" s="226"/>
      <c r="AQ123" s="226"/>
      <c r="AR123" s="226"/>
      <c r="AS123" s="226"/>
      <c r="AT123" s="226"/>
      <c r="AU123" s="226"/>
      <c r="AV123" s="226"/>
      <c r="AW123" s="226"/>
      <c r="AX123" s="226"/>
      <c r="AY123" s="226"/>
      <c r="AZ123" s="226"/>
      <c r="BA123" s="226"/>
      <c r="BB123" s="226"/>
      <c r="BC123" s="226"/>
      <c r="BD123" s="226"/>
      <c r="BE123" s="226"/>
      <c r="BF123" s="226"/>
      <c r="BG123" s="226"/>
      <c r="BH123" s="226"/>
    </row>
    <row r="124" outlineLevel="3">
      <c r="A124" s="227"/>
      <c r="B124" s="228"/>
      <c r="C124" s="233" t="s">
        <v>343</v>
      </c>
      <c r="D124" s="234"/>
      <c r="E124" s="235">
        <v>332.85000000000002</v>
      </c>
      <c r="F124" s="224"/>
      <c r="G124" s="224"/>
      <c r="H124" s="224"/>
      <c r="I124" s="224"/>
      <c r="J124" s="224"/>
      <c r="K124" s="224"/>
      <c r="L124" s="224"/>
      <c r="M124" s="224"/>
      <c r="N124" s="225"/>
      <c r="O124" s="225"/>
      <c r="P124" s="225"/>
      <c r="Q124" s="225"/>
      <c r="R124" s="224"/>
      <c r="S124" s="224"/>
      <c r="T124" s="224"/>
      <c r="U124" s="224"/>
      <c r="V124" s="224"/>
      <c r="W124" s="224"/>
      <c r="X124" s="224"/>
      <c r="Y124" s="224"/>
      <c r="Z124" s="226"/>
      <c r="AA124" s="226"/>
      <c r="AB124" s="226"/>
      <c r="AC124" s="226"/>
      <c r="AD124" s="226"/>
      <c r="AE124" s="226"/>
      <c r="AF124" s="226"/>
      <c r="AG124" s="226" t="s">
        <v>217</v>
      </c>
      <c r="AH124" s="226">
        <v>0</v>
      </c>
      <c r="AI124" s="226"/>
      <c r="AJ124" s="226"/>
      <c r="AK124" s="226"/>
      <c r="AL124" s="226"/>
      <c r="AM124" s="226"/>
      <c r="AN124" s="226"/>
      <c r="AO124" s="226"/>
      <c r="AP124" s="226"/>
      <c r="AQ124" s="226"/>
      <c r="AR124" s="226"/>
      <c r="AS124" s="226"/>
      <c r="AT124" s="226"/>
      <c r="AU124" s="226"/>
      <c r="AV124" s="226"/>
      <c r="AW124" s="226"/>
      <c r="AX124" s="226"/>
      <c r="AY124" s="226"/>
      <c r="AZ124" s="226"/>
      <c r="BA124" s="226"/>
      <c r="BB124" s="226"/>
      <c r="BC124" s="226"/>
      <c r="BD124" s="226"/>
      <c r="BE124" s="226"/>
      <c r="BF124" s="226"/>
      <c r="BG124" s="226"/>
      <c r="BH124" s="226"/>
    </row>
    <row r="125" outlineLevel="1" ht="22.5">
      <c r="A125" s="216">
        <v>34</v>
      </c>
      <c r="B125" s="217" t="s">
        <v>344</v>
      </c>
      <c r="C125" s="218" t="s">
        <v>345</v>
      </c>
      <c r="D125" s="219" t="s">
        <v>207</v>
      </c>
      <c r="E125" s="220">
        <v>269.07600000000002</v>
      </c>
      <c r="F125" s="221"/>
      <c r="G125" s="222">
        <f>ROUND(E125*F125,2)</f>
        <v>0</v>
      </c>
      <c r="H125" s="223"/>
      <c r="I125" s="224">
        <f>ROUND(E125*H125,2)</f>
        <v>0</v>
      </c>
      <c r="J125" s="223"/>
      <c r="K125" s="224">
        <f>ROUND(E125*J125,2)</f>
        <v>0</v>
      </c>
      <c r="L125" s="224">
        <v>21</v>
      </c>
      <c r="M125" s="224">
        <f>G125*(1+L125/100)</f>
        <v>0</v>
      </c>
      <c r="N125" s="225">
        <v>0</v>
      </c>
      <c r="O125" s="225">
        <f>ROUND(E125*N125,2)</f>
        <v>0</v>
      </c>
      <c r="P125" s="225">
        <v>0.0030000000000000001</v>
      </c>
      <c r="Q125" s="225">
        <f>ROUND(E125*P125,2)</f>
        <v>0.81000000000000005</v>
      </c>
      <c r="R125" s="224"/>
      <c r="S125" s="224" t="s">
        <v>208</v>
      </c>
      <c r="T125" s="224" t="s">
        <v>209</v>
      </c>
      <c r="U125" s="224">
        <v>0</v>
      </c>
      <c r="V125" s="224">
        <f>ROUND(E125*U125,2)</f>
        <v>0</v>
      </c>
      <c r="W125" s="224"/>
      <c r="X125" s="224" t="s">
        <v>210</v>
      </c>
      <c r="Y125" s="224" t="s">
        <v>211</v>
      </c>
      <c r="Z125" s="226"/>
      <c r="AA125" s="226"/>
      <c r="AB125" s="226"/>
      <c r="AC125" s="226"/>
      <c r="AD125" s="226"/>
      <c r="AE125" s="226"/>
      <c r="AF125" s="226"/>
      <c r="AG125" s="226" t="s">
        <v>321</v>
      </c>
      <c r="AH125" s="226"/>
      <c r="AI125" s="226"/>
      <c r="AJ125" s="226"/>
      <c r="AK125" s="226"/>
      <c r="AL125" s="226"/>
      <c r="AM125" s="226"/>
      <c r="AN125" s="226"/>
      <c r="AO125" s="226"/>
      <c r="AP125" s="226"/>
      <c r="AQ125" s="226"/>
      <c r="AR125" s="226"/>
      <c r="AS125" s="226"/>
      <c r="AT125" s="226"/>
      <c r="AU125" s="226"/>
      <c r="AV125" s="226"/>
      <c r="AW125" s="226"/>
      <c r="AX125" s="226"/>
      <c r="AY125" s="226"/>
      <c r="AZ125" s="226"/>
      <c r="BA125" s="226"/>
      <c r="BB125" s="226"/>
      <c r="BC125" s="226"/>
      <c r="BD125" s="226"/>
      <c r="BE125" s="226"/>
      <c r="BF125" s="226"/>
      <c r="BG125" s="226"/>
      <c r="BH125" s="226"/>
    </row>
    <row r="126" outlineLevel="2">
      <c r="A126" s="227"/>
      <c r="B126" s="228"/>
      <c r="C126" s="233" t="s">
        <v>346</v>
      </c>
      <c r="D126" s="234"/>
      <c r="E126" s="235"/>
      <c r="F126" s="224"/>
      <c r="G126" s="224"/>
      <c r="H126" s="224"/>
      <c r="I126" s="224"/>
      <c r="J126" s="224"/>
      <c r="K126" s="224"/>
      <c r="L126" s="224"/>
      <c r="M126" s="224"/>
      <c r="N126" s="225"/>
      <c r="O126" s="225"/>
      <c r="P126" s="225"/>
      <c r="Q126" s="225"/>
      <c r="R126" s="224"/>
      <c r="S126" s="224"/>
      <c r="T126" s="224"/>
      <c r="U126" s="224"/>
      <c r="V126" s="224"/>
      <c r="W126" s="224"/>
      <c r="X126" s="224"/>
      <c r="Y126" s="224"/>
      <c r="Z126" s="226"/>
      <c r="AA126" s="226"/>
      <c r="AB126" s="226"/>
      <c r="AC126" s="226"/>
      <c r="AD126" s="226"/>
      <c r="AE126" s="226"/>
      <c r="AF126" s="226"/>
      <c r="AG126" s="226" t="s">
        <v>217</v>
      </c>
      <c r="AH126" s="226">
        <v>0</v>
      </c>
      <c r="AI126" s="226"/>
      <c r="AJ126" s="226"/>
      <c r="AK126" s="226"/>
      <c r="AL126" s="226"/>
      <c r="AM126" s="226"/>
      <c r="AN126" s="226"/>
      <c r="AO126" s="226"/>
      <c r="AP126" s="226"/>
      <c r="AQ126" s="226"/>
      <c r="AR126" s="226"/>
      <c r="AS126" s="226"/>
      <c r="AT126" s="226"/>
      <c r="AU126" s="226"/>
      <c r="AV126" s="226"/>
      <c r="AW126" s="226"/>
      <c r="AX126" s="226"/>
      <c r="AY126" s="226"/>
      <c r="AZ126" s="226"/>
      <c r="BA126" s="226"/>
      <c r="BB126" s="226"/>
      <c r="BC126" s="226"/>
      <c r="BD126" s="226"/>
      <c r="BE126" s="226"/>
      <c r="BF126" s="226"/>
      <c r="BG126" s="226"/>
      <c r="BH126" s="226"/>
    </row>
    <row r="127" outlineLevel="3">
      <c r="A127" s="227"/>
      <c r="B127" s="228"/>
      <c r="C127" s="233" t="s">
        <v>347</v>
      </c>
      <c r="D127" s="234"/>
      <c r="E127" s="235">
        <v>269.07999999999998</v>
      </c>
      <c r="F127" s="224"/>
      <c r="G127" s="224"/>
      <c r="H127" s="224"/>
      <c r="I127" s="224"/>
      <c r="J127" s="224"/>
      <c r="K127" s="224"/>
      <c r="L127" s="224"/>
      <c r="M127" s="224"/>
      <c r="N127" s="225"/>
      <c r="O127" s="225"/>
      <c r="P127" s="225"/>
      <c r="Q127" s="225"/>
      <c r="R127" s="224"/>
      <c r="S127" s="224"/>
      <c r="T127" s="224"/>
      <c r="U127" s="224"/>
      <c r="V127" s="224"/>
      <c r="W127" s="224"/>
      <c r="X127" s="224"/>
      <c r="Y127" s="224"/>
      <c r="Z127" s="226"/>
      <c r="AA127" s="226"/>
      <c r="AB127" s="226"/>
      <c r="AC127" s="226"/>
      <c r="AD127" s="226"/>
      <c r="AE127" s="226"/>
      <c r="AF127" s="226"/>
      <c r="AG127" s="226" t="s">
        <v>217</v>
      </c>
      <c r="AH127" s="226">
        <v>0</v>
      </c>
      <c r="AI127" s="226"/>
      <c r="AJ127" s="226"/>
      <c r="AK127" s="226"/>
      <c r="AL127" s="226"/>
      <c r="AM127" s="226"/>
      <c r="AN127" s="226"/>
      <c r="AO127" s="226"/>
      <c r="AP127" s="226"/>
      <c r="AQ127" s="226"/>
      <c r="AR127" s="226"/>
      <c r="AS127" s="226"/>
      <c r="AT127" s="226"/>
      <c r="AU127" s="226"/>
      <c r="AV127" s="226"/>
      <c r="AW127" s="226"/>
      <c r="AX127" s="226"/>
      <c r="AY127" s="226"/>
      <c r="AZ127" s="226"/>
      <c r="BA127" s="226"/>
      <c r="BB127" s="226"/>
      <c r="BC127" s="226"/>
      <c r="BD127" s="226"/>
      <c r="BE127" s="226"/>
      <c r="BF127" s="226"/>
      <c r="BG127" s="226"/>
      <c r="BH127" s="226"/>
    </row>
    <row r="128" outlineLevel="1">
      <c r="A128" s="216">
        <v>35</v>
      </c>
      <c r="B128" s="217" t="s">
        <v>348</v>
      </c>
      <c r="C128" s="218" t="s">
        <v>349</v>
      </c>
      <c r="D128" s="219" t="s">
        <v>207</v>
      </c>
      <c r="E128" s="220">
        <v>36.789000000000001</v>
      </c>
      <c r="F128" s="221"/>
      <c r="G128" s="222">
        <f>ROUND(E128*F128,2)</f>
        <v>0</v>
      </c>
      <c r="H128" s="223"/>
      <c r="I128" s="224">
        <f>ROUND(E128*H128,2)</f>
        <v>0</v>
      </c>
      <c r="J128" s="223"/>
      <c r="K128" s="224">
        <f>ROUND(E128*J128,2)</f>
        <v>0</v>
      </c>
      <c r="L128" s="224">
        <v>21</v>
      </c>
      <c r="M128" s="224">
        <f>G128*(1+L128/100)</f>
        <v>0</v>
      </c>
      <c r="N128" s="225">
        <v>0</v>
      </c>
      <c r="O128" s="225">
        <f>ROUND(E128*N128,2)</f>
        <v>0</v>
      </c>
      <c r="P128" s="225">
        <v>0.034000000000000002</v>
      </c>
      <c r="Q128" s="225">
        <f>ROUND(E128*P128,2)</f>
        <v>1.25</v>
      </c>
      <c r="R128" s="224"/>
      <c r="S128" s="224" t="s">
        <v>208</v>
      </c>
      <c r="T128" s="224" t="s">
        <v>209</v>
      </c>
      <c r="U128" s="224">
        <v>0</v>
      </c>
      <c r="V128" s="224">
        <f>ROUND(E128*U128,2)</f>
        <v>0</v>
      </c>
      <c r="W128" s="224"/>
      <c r="X128" s="224" t="s">
        <v>210</v>
      </c>
      <c r="Y128" s="224" t="s">
        <v>211</v>
      </c>
      <c r="Z128" s="226"/>
      <c r="AA128" s="226"/>
      <c r="AB128" s="226"/>
      <c r="AC128" s="226"/>
      <c r="AD128" s="226"/>
      <c r="AE128" s="226"/>
      <c r="AF128" s="226"/>
      <c r="AG128" s="226" t="s">
        <v>321</v>
      </c>
      <c r="AH128" s="226"/>
      <c r="AI128" s="226"/>
      <c r="AJ128" s="226"/>
      <c r="AK128" s="226"/>
      <c r="AL128" s="226"/>
      <c r="AM128" s="226"/>
      <c r="AN128" s="226"/>
      <c r="AO128" s="226"/>
      <c r="AP128" s="226"/>
      <c r="AQ128" s="226"/>
      <c r="AR128" s="226"/>
      <c r="AS128" s="226"/>
      <c r="AT128" s="226"/>
      <c r="AU128" s="226"/>
      <c r="AV128" s="226"/>
      <c r="AW128" s="226"/>
      <c r="AX128" s="226"/>
      <c r="AY128" s="226"/>
      <c r="AZ128" s="226"/>
      <c r="BA128" s="226"/>
      <c r="BB128" s="226"/>
      <c r="BC128" s="226"/>
      <c r="BD128" s="226"/>
      <c r="BE128" s="226"/>
      <c r="BF128" s="226"/>
      <c r="BG128" s="226"/>
      <c r="BH128" s="226"/>
    </row>
    <row r="129" outlineLevel="2">
      <c r="A129" s="227"/>
      <c r="B129" s="228"/>
      <c r="C129" s="229" t="s">
        <v>272</v>
      </c>
      <c r="D129" s="230"/>
      <c r="E129" s="230"/>
      <c r="F129" s="230"/>
      <c r="G129" s="230"/>
      <c r="H129" s="224"/>
      <c r="I129" s="224"/>
      <c r="J129" s="224"/>
      <c r="K129" s="224"/>
      <c r="L129" s="224"/>
      <c r="M129" s="224"/>
      <c r="N129" s="225"/>
      <c r="O129" s="225"/>
      <c r="P129" s="225"/>
      <c r="Q129" s="225"/>
      <c r="R129" s="224"/>
      <c r="S129" s="224"/>
      <c r="T129" s="224"/>
      <c r="U129" s="224"/>
      <c r="V129" s="224"/>
      <c r="W129" s="224"/>
      <c r="X129" s="224"/>
      <c r="Y129" s="224"/>
      <c r="Z129" s="226"/>
      <c r="AA129" s="226"/>
      <c r="AB129" s="226"/>
      <c r="AC129" s="226"/>
      <c r="AD129" s="226"/>
      <c r="AE129" s="226"/>
      <c r="AF129" s="226"/>
      <c r="AG129" s="226" t="s">
        <v>214</v>
      </c>
      <c r="AH129" s="226"/>
      <c r="AI129" s="226"/>
      <c r="AJ129" s="226"/>
      <c r="AK129" s="226"/>
      <c r="AL129" s="226"/>
      <c r="AM129" s="226"/>
      <c r="AN129" s="226"/>
      <c r="AO129" s="226"/>
      <c r="AP129" s="226"/>
      <c r="AQ129" s="226"/>
      <c r="AR129" s="226"/>
      <c r="AS129" s="226"/>
      <c r="AT129" s="226"/>
      <c r="AU129" s="226"/>
      <c r="AV129" s="226"/>
      <c r="AW129" s="226"/>
      <c r="AX129" s="226"/>
      <c r="AY129" s="226"/>
      <c r="AZ129" s="226"/>
      <c r="BA129" s="226"/>
      <c r="BB129" s="226"/>
      <c r="BC129" s="226"/>
      <c r="BD129" s="226"/>
      <c r="BE129" s="226"/>
      <c r="BF129" s="226"/>
      <c r="BG129" s="226"/>
      <c r="BH129" s="226"/>
    </row>
    <row r="130" outlineLevel="2">
      <c r="A130" s="227"/>
      <c r="B130" s="228"/>
      <c r="C130" s="233" t="s">
        <v>350</v>
      </c>
      <c r="D130" s="234"/>
      <c r="E130" s="235"/>
      <c r="F130" s="224"/>
      <c r="G130" s="224"/>
      <c r="H130" s="224"/>
      <c r="I130" s="224"/>
      <c r="J130" s="224"/>
      <c r="K130" s="224"/>
      <c r="L130" s="224"/>
      <c r="M130" s="224"/>
      <c r="N130" s="225"/>
      <c r="O130" s="225"/>
      <c r="P130" s="225"/>
      <c r="Q130" s="225"/>
      <c r="R130" s="224"/>
      <c r="S130" s="224"/>
      <c r="T130" s="224"/>
      <c r="U130" s="224"/>
      <c r="V130" s="224"/>
      <c r="W130" s="224"/>
      <c r="X130" s="224"/>
      <c r="Y130" s="224"/>
      <c r="Z130" s="226"/>
      <c r="AA130" s="226"/>
      <c r="AB130" s="226"/>
      <c r="AC130" s="226"/>
      <c r="AD130" s="226"/>
      <c r="AE130" s="226"/>
      <c r="AF130" s="226"/>
      <c r="AG130" s="226" t="s">
        <v>217</v>
      </c>
      <c r="AH130" s="226">
        <v>0</v>
      </c>
      <c r="AI130" s="226"/>
      <c r="AJ130" s="226"/>
      <c r="AK130" s="226"/>
      <c r="AL130" s="226"/>
      <c r="AM130" s="226"/>
      <c r="AN130" s="226"/>
      <c r="AO130" s="226"/>
      <c r="AP130" s="226"/>
      <c r="AQ130" s="226"/>
      <c r="AR130" s="226"/>
      <c r="AS130" s="226"/>
      <c r="AT130" s="226"/>
      <c r="AU130" s="226"/>
      <c r="AV130" s="226"/>
      <c r="AW130" s="226"/>
      <c r="AX130" s="226"/>
      <c r="AY130" s="226"/>
      <c r="AZ130" s="226"/>
      <c r="BA130" s="226"/>
      <c r="BB130" s="226"/>
      <c r="BC130" s="226"/>
      <c r="BD130" s="226"/>
      <c r="BE130" s="226"/>
      <c r="BF130" s="226"/>
      <c r="BG130" s="226"/>
      <c r="BH130" s="226"/>
    </row>
    <row r="131" outlineLevel="3">
      <c r="A131" s="227"/>
      <c r="B131" s="228"/>
      <c r="C131" s="233" t="s">
        <v>351</v>
      </c>
      <c r="D131" s="234"/>
      <c r="E131" s="235">
        <v>36.789000000000001</v>
      </c>
      <c r="F131" s="224"/>
      <c r="G131" s="224"/>
      <c r="H131" s="224"/>
      <c r="I131" s="224"/>
      <c r="J131" s="224"/>
      <c r="K131" s="224"/>
      <c r="L131" s="224"/>
      <c r="M131" s="224"/>
      <c r="N131" s="225"/>
      <c r="O131" s="225"/>
      <c r="P131" s="225"/>
      <c r="Q131" s="225"/>
      <c r="R131" s="224"/>
      <c r="S131" s="224"/>
      <c r="T131" s="224"/>
      <c r="U131" s="224"/>
      <c r="V131" s="224"/>
      <c r="W131" s="224"/>
      <c r="X131" s="224"/>
      <c r="Y131" s="224"/>
      <c r="Z131" s="226"/>
      <c r="AA131" s="226"/>
      <c r="AB131" s="226"/>
      <c r="AC131" s="226"/>
      <c r="AD131" s="226"/>
      <c r="AE131" s="226"/>
      <c r="AF131" s="226"/>
      <c r="AG131" s="226" t="s">
        <v>217</v>
      </c>
      <c r="AH131" s="226">
        <v>0</v>
      </c>
      <c r="AI131" s="226"/>
      <c r="AJ131" s="226"/>
      <c r="AK131" s="226"/>
      <c r="AL131" s="226"/>
      <c r="AM131" s="226"/>
      <c r="AN131" s="226"/>
      <c r="AO131" s="226"/>
      <c r="AP131" s="226"/>
      <c r="AQ131" s="226"/>
      <c r="AR131" s="226"/>
      <c r="AS131" s="226"/>
      <c r="AT131" s="226"/>
      <c r="AU131" s="226"/>
      <c r="AV131" s="226"/>
      <c r="AW131" s="226"/>
      <c r="AX131" s="226"/>
      <c r="AY131" s="226"/>
      <c r="AZ131" s="226"/>
      <c r="BA131" s="226"/>
      <c r="BB131" s="226"/>
      <c r="BC131" s="226"/>
      <c r="BD131" s="226"/>
      <c r="BE131" s="226"/>
      <c r="BF131" s="226"/>
      <c r="BG131" s="226"/>
      <c r="BH131" s="226"/>
    </row>
    <row r="132">
      <c r="A132" s="207" t="s">
        <v>203</v>
      </c>
      <c r="B132" s="208" t="s">
        <v>163</v>
      </c>
      <c r="C132" s="209" t="s">
        <v>164</v>
      </c>
      <c r="D132" s="210"/>
      <c r="E132" s="211"/>
      <c r="F132" s="212"/>
      <c r="G132" s="213">
        <f>SUMIF(AG133:AG149,"&lt;&gt;NOR",G133:G149)</f>
        <v>0</v>
      </c>
      <c r="H132" s="214"/>
      <c r="I132" s="214">
        <f>SUM(I133:I149)</f>
        <v>0</v>
      </c>
      <c r="J132" s="214"/>
      <c r="K132" s="214">
        <f>SUM(K133:K149)</f>
        <v>0</v>
      </c>
      <c r="L132" s="214"/>
      <c r="M132" s="214">
        <f>SUM(M133:M149)</f>
        <v>0</v>
      </c>
      <c r="N132" s="215"/>
      <c r="O132" s="215">
        <f>SUM(O133:O149)</f>
        <v>0</v>
      </c>
      <c r="P132" s="215"/>
      <c r="Q132" s="215">
        <f>SUM(Q133:Q149)</f>
        <v>0.59999999999999998</v>
      </c>
      <c r="R132" s="214"/>
      <c r="S132" s="214"/>
      <c r="T132" s="214"/>
      <c r="U132" s="214"/>
      <c r="V132" s="214">
        <f>SUM(V133:V149)</f>
        <v>0</v>
      </c>
      <c r="W132" s="214"/>
      <c r="X132" s="214"/>
      <c r="Y132" s="214"/>
      <c r="AG132" t="s">
        <v>204</v>
      </c>
    </row>
    <row r="133" outlineLevel="1">
      <c r="A133" s="216">
        <v>36</v>
      </c>
      <c r="B133" s="217" t="s">
        <v>352</v>
      </c>
      <c r="C133" s="218" t="s">
        <v>353</v>
      </c>
      <c r="D133" s="219" t="s">
        <v>320</v>
      </c>
      <c r="E133" s="220">
        <v>33</v>
      </c>
      <c r="F133" s="221"/>
      <c r="G133" s="222">
        <f>ROUND(E133*F133,2)</f>
        <v>0</v>
      </c>
      <c r="H133" s="223"/>
      <c r="I133" s="224">
        <f>ROUND(E133*H133,2)</f>
        <v>0</v>
      </c>
      <c r="J133" s="223"/>
      <c r="K133" s="224">
        <f>ROUND(E133*J133,2)</f>
        <v>0</v>
      </c>
      <c r="L133" s="224">
        <v>21</v>
      </c>
      <c r="M133" s="224">
        <f>G133*(1+L133/100)</f>
        <v>0</v>
      </c>
      <c r="N133" s="225">
        <v>0</v>
      </c>
      <c r="O133" s="225">
        <f>ROUND(E133*N133,2)</f>
        <v>0</v>
      </c>
      <c r="P133" s="225">
        <v>0.0016999999999999999</v>
      </c>
      <c r="Q133" s="225">
        <f>ROUND(E133*P133,2)</f>
        <v>0.059999999999999998</v>
      </c>
      <c r="R133" s="224"/>
      <c r="S133" s="224" t="s">
        <v>208</v>
      </c>
      <c r="T133" s="224" t="s">
        <v>209</v>
      </c>
      <c r="U133" s="224">
        <v>0</v>
      </c>
      <c r="V133" s="224">
        <f>ROUND(E133*U133,2)</f>
        <v>0</v>
      </c>
      <c r="W133" s="224"/>
      <c r="X133" s="224" t="s">
        <v>210</v>
      </c>
      <c r="Y133" s="224" t="s">
        <v>211</v>
      </c>
      <c r="Z133" s="226"/>
      <c r="AA133" s="226"/>
      <c r="AB133" s="226"/>
      <c r="AC133" s="226"/>
      <c r="AD133" s="226"/>
      <c r="AE133" s="226"/>
      <c r="AF133" s="226"/>
      <c r="AG133" s="226" t="s">
        <v>321</v>
      </c>
      <c r="AH133" s="226"/>
      <c r="AI133" s="226"/>
      <c r="AJ133" s="226"/>
      <c r="AK133" s="226"/>
      <c r="AL133" s="226"/>
      <c r="AM133" s="226"/>
      <c r="AN133" s="226"/>
      <c r="AO133" s="226"/>
      <c r="AP133" s="226"/>
      <c r="AQ133" s="226"/>
      <c r="AR133" s="226"/>
      <c r="AS133" s="226"/>
      <c r="AT133" s="226"/>
      <c r="AU133" s="226"/>
      <c r="AV133" s="226"/>
      <c r="AW133" s="226"/>
      <c r="AX133" s="226"/>
      <c r="AY133" s="226"/>
      <c r="AZ133" s="226"/>
      <c r="BA133" s="226"/>
      <c r="BB133" s="226"/>
      <c r="BC133" s="226"/>
      <c r="BD133" s="226"/>
      <c r="BE133" s="226"/>
      <c r="BF133" s="226"/>
      <c r="BG133" s="226"/>
      <c r="BH133" s="226"/>
    </row>
    <row r="134" outlineLevel="2">
      <c r="A134" s="227"/>
      <c r="B134" s="228"/>
      <c r="C134" s="229" t="s">
        <v>272</v>
      </c>
      <c r="D134" s="230"/>
      <c r="E134" s="230"/>
      <c r="F134" s="230"/>
      <c r="G134" s="230"/>
      <c r="H134" s="224"/>
      <c r="I134" s="224"/>
      <c r="J134" s="224"/>
      <c r="K134" s="224"/>
      <c r="L134" s="224"/>
      <c r="M134" s="224"/>
      <c r="N134" s="225"/>
      <c r="O134" s="225"/>
      <c r="P134" s="225"/>
      <c r="Q134" s="225"/>
      <c r="R134" s="224"/>
      <c r="S134" s="224"/>
      <c r="T134" s="224"/>
      <c r="U134" s="224"/>
      <c r="V134" s="224"/>
      <c r="W134" s="224"/>
      <c r="X134" s="224"/>
      <c r="Y134" s="224"/>
      <c r="Z134" s="226"/>
      <c r="AA134" s="226"/>
      <c r="AB134" s="226"/>
      <c r="AC134" s="226"/>
      <c r="AD134" s="226"/>
      <c r="AE134" s="226"/>
      <c r="AF134" s="226"/>
      <c r="AG134" s="226" t="s">
        <v>214</v>
      </c>
      <c r="AH134" s="226"/>
      <c r="AI134" s="226"/>
      <c r="AJ134" s="226"/>
      <c r="AK134" s="226"/>
      <c r="AL134" s="226"/>
      <c r="AM134" s="226"/>
      <c r="AN134" s="226"/>
      <c r="AO134" s="226"/>
      <c r="AP134" s="226"/>
      <c r="AQ134" s="226"/>
      <c r="AR134" s="226"/>
      <c r="AS134" s="226"/>
      <c r="AT134" s="226"/>
      <c r="AU134" s="226"/>
      <c r="AV134" s="226"/>
      <c r="AW134" s="226"/>
      <c r="AX134" s="226"/>
      <c r="AY134" s="226"/>
      <c r="AZ134" s="226"/>
      <c r="BA134" s="226"/>
      <c r="BB134" s="226"/>
      <c r="BC134" s="226"/>
      <c r="BD134" s="226"/>
      <c r="BE134" s="226"/>
      <c r="BF134" s="226"/>
      <c r="BG134" s="226"/>
      <c r="BH134" s="226"/>
    </row>
    <row r="135" outlineLevel="2">
      <c r="A135" s="227"/>
      <c r="B135" s="228"/>
      <c r="C135" s="233" t="s">
        <v>330</v>
      </c>
      <c r="D135" s="234"/>
      <c r="E135" s="235"/>
      <c r="F135" s="224"/>
      <c r="G135" s="224"/>
      <c r="H135" s="224"/>
      <c r="I135" s="224"/>
      <c r="J135" s="224"/>
      <c r="K135" s="224"/>
      <c r="L135" s="224"/>
      <c r="M135" s="224"/>
      <c r="N135" s="225"/>
      <c r="O135" s="225"/>
      <c r="P135" s="225"/>
      <c r="Q135" s="225"/>
      <c r="R135" s="224"/>
      <c r="S135" s="224"/>
      <c r="T135" s="224"/>
      <c r="U135" s="224"/>
      <c r="V135" s="224"/>
      <c r="W135" s="224"/>
      <c r="X135" s="224"/>
      <c r="Y135" s="224"/>
      <c r="Z135" s="226"/>
      <c r="AA135" s="226"/>
      <c r="AB135" s="226"/>
      <c r="AC135" s="226"/>
      <c r="AD135" s="226"/>
      <c r="AE135" s="226"/>
      <c r="AF135" s="226"/>
      <c r="AG135" s="226" t="s">
        <v>217</v>
      </c>
      <c r="AH135" s="226">
        <v>0</v>
      </c>
      <c r="AI135" s="226"/>
      <c r="AJ135" s="226"/>
      <c r="AK135" s="226"/>
      <c r="AL135" s="226"/>
      <c r="AM135" s="226"/>
      <c r="AN135" s="226"/>
      <c r="AO135" s="226"/>
      <c r="AP135" s="226"/>
      <c r="AQ135" s="226"/>
      <c r="AR135" s="226"/>
      <c r="AS135" s="226"/>
      <c r="AT135" s="226"/>
      <c r="AU135" s="226"/>
      <c r="AV135" s="226"/>
      <c r="AW135" s="226"/>
      <c r="AX135" s="226"/>
      <c r="AY135" s="226"/>
      <c r="AZ135" s="226"/>
      <c r="BA135" s="226"/>
      <c r="BB135" s="226"/>
      <c r="BC135" s="226"/>
      <c r="BD135" s="226"/>
      <c r="BE135" s="226"/>
      <c r="BF135" s="226"/>
      <c r="BG135" s="226"/>
      <c r="BH135" s="226"/>
    </row>
    <row r="136" outlineLevel="3">
      <c r="A136" s="227"/>
      <c r="B136" s="228"/>
      <c r="C136" s="233" t="s">
        <v>354</v>
      </c>
      <c r="D136" s="234"/>
      <c r="E136" s="235"/>
      <c r="F136" s="224"/>
      <c r="G136" s="224"/>
      <c r="H136" s="224"/>
      <c r="I136" s="224"/>
      <c r="J136" s="224"/>
      <c r="K136" s="224"/>
      <c r="L136" s="224"/>
      <c r="M136" s="224"/>
      <c r="N136" s="225"/>
      <c r="O136" s="225"/>
      <c r="P136" s="225"/>
      <c r="Q136" s="225"/>
      <c r="R136" s="224"/>
      <c r="S136" s="224"/>
      <c r="T136" s="224"/>
      <c r="U136" s="224"/>
      <c r="V136" s="224"/>
      <c r="W136" s="224"/>
      <c r="X136" s="224"/>
      <c r="Y136" s="224"/>
      <c r="Z136" s="226"/>
      <c r="AA136" s="226"/>
      <c r="AB136" s="226"/>
      <c r="AC136" s="226"/>
      <c r="AD136" s="226"/>
      <c r="AE136" s="226"/>
      <c r="AF136" s="226"/>
      <c r="AG136" s="226" t="s">
        <v>217</v>
      </c>
      <c r="AH136" s="226">
        <v>0</v>
      </c>
      <c r="AI136" s="226"/>
      <c r="AJ136" s="226"/>
      <c r="AK136" s="226"/>
      <c r="AL136" s="226"/>
      <c r="AM136" s="226"/>
      <c r="AN136" s="226"/>
      <c r="AO136" s="226"/>
      <c r="AP136" s="226"/>
      <c r="AQ136" s="226"/>
      <c r="AR136" s="226"/>
      <c r="AS136" s="226"/>
      <c r="AT136" s="226"/>
      <c r="AU136" s="226"/>
      <c r="AV136" s="226"/>
      <c r="AW136" s="226"/>
      <c r="AX136" s="226"/>
      <c r="AY136" s="226"/>
      <c r="AZ136" s="226"/>
      <c r="BA136" s="226"/>
      <c r="BB136" s="226"/>
      <c r="BC136" s="226"/>
      <c r="BD136" s="226"/>
      <c r="BE136" s="226"/>
      <c r="BF136" s="226"/>
      <c r="BG136" s="226"/>
      <c r="BH136" s="226"/>
    </row>
    <row r="137" outlineLevel="3">
      <c r="A137" s="227"/>
      <c r="B137" s="228"/>
      <c r="C137" s="233" t="s">
        <v>355</v>
      </c>
      <c r="D137" s="234"/>
      <c r="E137" s="235">
        <v>33</v>
      </c>
      <c r="F137" s="224"/>
      <c r="G137" s="224"/>
      <c r="H137" s="224"/>
      <c r="I137" s="224"/>
      <c r="J137" s="224"/>
      <c r="K137" s="224"/>
      <c r="L137" s="224"/>
      <c r="M137" s="224"/>
      <c r="N137" s="225"/>
      <c r="O137" s="225"/>
      <c r="P137" s="225"/>
      <c r="Q137" s="225"/>
      <c r="R137" s="224"/>
      <c r="S137" s="224"/>
      <c r="T137" s="224"/>
      <c r="U137" s="224"/>
      <c r="V137" s="224"/>
      <c r="W137" s="224"/>
      <c r="X137" s="224"/>
      <c r="Y137" s="224"/>
      <c r="Z137" s="226"/>
      <c r="AA137" s="226"/>
      <c r="AB137" s="226"/>
      <c r="AC137" s="226"/>
      <c r="AD137" s="226"/>
      <c r="AE137" s="226"/>
      <c r="AF137" s="226"/>
      <c r="AG137" s="226" t="s">
        <v>217</v>
      </c>
      <c r="AH137" s="226">
        <v>0</v>
      </c>
      <c r="AI137" s="226"/>
      <c r="AJ137" s="226"/>
      <c r="AK137" s="226"/>
      <c r="AL137" s="226"/>
      <c r="AM137" s="226"/>
      <c r="AN137" s="226"/>
      <c r="AO137" s="226"/>
      <c r="AP137" s="226"/>
      <c r="AQ137" s="226"/>
      <c r="AR137" s="226"/>
      <c r="AS137" s="226"/>
      <c r="AT137" s="226"/>
      <c r="AU137" s="226"/>
      <c r="AV137" s="226"/>
      <c r="AW137" s="226"/>
      <c r="AX137" s="226"/>
      <c r="AY137" s="226"/>
      <c r="AZ137" s="226"/>
      <c r="BA137" s="226"/>
      <c r="BB137" s="226"/>
      <c r="BC137" s="226"/>
      <c r="BD137" s="226"/>
      <c r="BE137" s="226"/>
      <c r="BF137" s="226"/>
      <c r="BG137" s="226"/>
      <c r="BH137" s="226"/>
    </row>
    <row r="138" outlineLevel="1">
      <c r="A138" s="216">
        <v>37</v>
      </c>
      <c r="B138" s="217" t="s">
        <v>356</v>
      </c>
      <c r="C138" s="218" t="s">
        <v>357</v>
      </c>
      <c r="D138" s="219" t="s">
        <v>320</v>
      </c>
      <c r="E138" s="220">
        <v>44.845999999999997</v>
      </c>
      <c r="F138" s="221"/>
      <c r="G138" s="222">
        <f>ROUND(E138*F138,2)</f>
        <v>0</v>
      </c>
      <c r="H138" s="223"/>
      <c r="I138" s="224">
        <f>ROUND(E138*H138,2)</f>
        <v>0</v>
      </c>
      <c r="J138" s="223"/>
      <c r="K138" s="224">
        <f>ROUND(E138*J138,2)</f>
        <v>0</v>
      </c>
      <c r="L138" s="224">
        <v>21</v>
      </c>
      <c r="M138" s="224">
        <f>G138*(1+L138/100)</f>
        <v>0</v>
      </c>
      <c r="N138" s="225">
        <v>0</v>
      </c>
      <c r="O138" s="225">
        <f>ROUND(E138*N138,2)</f>
        <v>0</v>
      </c>
      <c r="P138" s="225">
        <v>0.0025999999999999999</v>
      </c>
      <c r="Q138" s="225">
        <f>ROUND(E138*P138,2)</f>
        <v>0.12</v>
      </c>
      <c r="R138" s="224"/>
      <c r="S138" s="224" t="s">
        <v>208</v>
      </c>
      <c r="T138" s="224" t="s">
        <v>209</v>
      </c>
      <c r="U138" s="224">
        <v>0</v>
      </c>
      <c r="V138" s="224">
        <f>ROUND(E138*U138,2)</f>
        <v>0</v>
      </c>
      <c r="W138" s="224"/>
      <c r="X138" s="224" t="s">
        <v>210</v>
      </c>
      <c r="Y138" s="224" t="s">
        <v>211</v>
      </c>
      <c r="Z138" s="226"/>
      <c r="AA138" s="226"/>
      <c r="AB138" s="226"/>
      <c r="AC138" s="226"/>
      <c r="AD138" s="226"/>
      <c r="AE138" s="226"/>
      <c r="AF138" s="226"/>
      <c r="AG138" s="226" t="s">
        <v>321</v>
      </c>
      <c r="AH138" s="226"/>
      <c r="AI138" s="226"/>
      <c r="AJ138" s="226"/>
      <c r="AK138" s="226"/>
      <c r="AL138" s="226"/>
      <c r="AM138" s="226"/>
      <c r="AN138" s="226"/>
      <c r="AO138" s="226"/>
      <c r="AP138" s="226"/>
      <c r="AQ138" s="226"/>
      <c r="AR138" s="226"/>
      <c r="AS138" s="226"/>
      <c r="AT138" s="226"/>
      <c r="AU138" s="226"/>
      <c r="AV138" s="226"/>
      <c r="AW138" s="226"/>
      <c r="AX138" s="226"/>
      <c r="AY138" s="226"/>
      <c r="AZ138" s="226"/>
      <c r="BA138" s="226"/>
      <c r="BB138" s="226"/>
      <c r="BC138" s="226"/>
      <c r="BD138" s="226"/>
      <c r="BE138" s="226"/>
      <c r="BF138" s="226"/>
      <c r="BG138" s="226"/>
      <c r="BH138" s="226"/>
    </row>
    <row r="139" outlineLevel="2">
      <c r="A139" s="227"/>
      <c r="B139" s="228"/>
      <c r="C139" s="229" t="s">
        <v>272</v>
      </c>
      <c r="D139" s="230"/>
      <c r="E139" s="230"/>
      <c r="F139" s="230"/>
      <c r="G139" s="230"/>
      <c r="H139" s="224"/>
      <c r="I139" s="224"/>
      <c r="J139" s="224"/>
      <c r="K139" s="224"/>
      <c r="L139" s="224"/>
      <c r="M139" s="224"/>
      <c r="N139" s="225"/>
      <c r="O139" s="225"/>
      <c r="P139" s="225"/>
      <c r="Q139" s="225"/>
      <c r="R139" s="224"/>
      <c r="S139" s="224"/>
      <c r="T139" s="224"/>
      <c r="U139" s="224"/>
      <c r="V139" s="224"/>
      <c r="W139" s="224"/>
      <c r="X139" s="224"/>
      <c r="Y139" s="224"/>
      <c r="Z139" s="226"/>
      <c r="AA139" s="226"/>
      <c r="AB139" s="226"/>
      <c r="AC139" s="226"/>
      <c r="AD139" s="226"/>
      <c r="AE139" s="226"/>
      <c r="AF139" s="226"/>
      <c r="AG139" s="226" t="s">
        <v>214</v>
      </c>
      <c r="AH139" s="226"/>
      <c r="AI139" s="226"/>
      <c r="AJ139" s="226"/>
      <c r="AK139" s="226"/>
      <c r="AL139" s="226"/>
      <c r="AM139" s="226"/>
      <c r="AN139" s="226"/>
      <c r="AO139" s="226"/>
      <c r="AP139" s="226"/>
      <c r="AQ139" s="226"/>
      <c r="AR139" s="226"/>
      <c r="AS139" s="226"/>
      <c r="AT139" s="226"/>
      <c r="AU139" s="226"/>
      <c r="AV139" s="226"/>
      <c r="AW139" s="226"/>
      <c r="AX139" s="226"/>
      <c r="AY139" s="226"/>
      <c r="AZ139" s="226"/>
      <c r="BA139" s="226"/>
      <c r="BB139" s="226"/>
      <c r="BC139" s="226"/>
      <c r="BD139" s="226"/>
      <c r="BE139" s="226"/>
      <c r="BF139" s="226"/>
      <c r="BG139" s="226"/>
      <c r="BH139" s="226"/>
    </row>
    <row r="140" outlineLevel="2">
      <c r="A140" s="227"/>
      <c r="B140" s="228"/>
      <c r="C140" s="233" t="s">
        <v>358</v>
      </c>
      <c r="D140" s="234"/>
      <c r="E140" s="235"/>
      <c r="F140" s="224"/>
      <c r="G140" s="224"/>
      <c r="H140" s="224"/>
      <c r="I140" s="224"/>
      <c r="J140" s="224"/>
      <c r="K140" s="224"/>
      <c r="L140" s="224"/>
      <c r="M140" s="224"/>
      <c r="N140" s="225"/>
      <c r="O140" s="225"/>
      <c r="P140" s="225"/>
      <c r="Q140" s="225"/>
      <c r="R140" s="224"/>
      <c r="S140" s="224"/>
      <c r="T140" s="224"/>
      <c r="U140" s="224"/>
      <c r="V140" s="224"/>
      <c r="W140" s="224"/>
      <c r="X140" s="224"/>
      <c r="Y140" s="224"/>
      <c r="Z140" s="226"/>
      <c r="AA140" s="226"/>
      <c r="AB140" s="226"/>
      <c r="AC140" s="226"/>
      <c r="AD140" s="226"/>
      <c r="AE140" s="226"/>
      <c r="AF140" s="226"/>
      <c r="AG140" s="226" t="s">
        <v>217</v>
      </c>
      <c r="AH140" s="226">
        <v>0</v>
      </c>
      <c r="AI140" s="226"/>
      <c r="AJ140" s="226"/>
      <c r="AK140" s="226"/>
      <c r="AL140" s="226"/>
      <c r="AM140" s="226"/>
      <c r="AN140" s="226"/>
      <c r="AO140" s="226"/>
      <c r="AP140" s="226"/>
      <c r="AQ140" s="226"/>
      <c r="AR140" s="226"/>
      <c r="AS140" s="226"/>
      <c r="AT140" s="226"/>
      <c r="AU140" s="226"/>
      <c r="AV140" s="226"/>
      <c r="AW140" s="226"/>
      <c r="AX140" s="226"/>
      <c r="AY140" s="226"/>
      <c r="AZ140" s="226"/>
      <c r="BA140" s="226"/>
      <c r="BB140" s="226"/>
      <c r="BC140" s="226"/>
      <c r="BD140" s="226"/>
      <c r="BE140" s="226"/>
      <c r="BF140" s="226"/>
      <c r="BG140" s="226"/>
      <c r="BH140" s="226"/>
    </row>
    <row r="141" outlineLevel="3">
      <c r="A141" s="227"/>
      <c r="B141" s="228"/>
      <c r="C141" s="233" t="s">
        <v>359</v>
      </c>
      <c r="D141" s="234"/>
      <c r="E141" s="235">
        <v>44.850000000000001</v>
      </c>
      <c r="F141" s="224"/>
      <c r="G141" s="224"/>
      <c r="H141" s="224"/>
      <c r="I141" s="224"/>
      <c r="J141" s="224"/>
      <c r="K141" s="224"/>
      <c r="L141" s="224"/>
      <c r="M141" s="224"/>
      <c r="N141" s="225"/>
      <c r="O141" s="225"/>
      <c r="P141" s="225"/>
      <c r="Q141" s="225"/>
      <c r="R141" s="224"/>
      <c r="S141" s="224"/>
      <c r="T141" s="224"/>
      <c r="U141" s="224"/>
      <c r="V141" s="224"/>
      <c r="W141" s="224"/>
      <c r="X141" s="224"/>
      <c r="Y141" s="224"/>
      <c r="Z141" s="226"/>
      <c r="AA141" s="226"/>
      <c r="AB141" s="226"/>
      <c r="AC141" s="226"/>
      <c r="AD141" s="226"/>
      <c r="AE141" s="226"/>
      <c r="AF141" s="226"/>
      <c r="AG141" s="226" t="s">
        <v>217</v>
      </c>
      <c r="AH141" s="226">
        <v>0</v>
      </c>
      <c r="AI141" s="226"/>
      <c r="AJ141" s="226"/>
      <c r="AK141" s="226"/>
      <c r="AL141" s="226"/>
      <c r="AM141" s="226"/>
      <c r="AN141" s="226"/>
      <c r="AO141" s="226"/>
      <c r="AP141" s="226"/>
      <c r="AQ141" s="226"/>
      <c r="AR141" s="226"/>
      <c r="AS141" s="226"/>
      <c r="AT141" s="226"/>
      <c r="AU141" s="226"/>
      <c r="AV141" s="226"/>
      <c r="AW141" s="226"/>
      <c r="AX141" s="226"/>
      <c r="AY141" s="226"/>
      <c r="AZ141" s="226"/>
      <c r="BA141" s="226"/>
      <c r="BB141" s="226"/>
      <c r="BC141" s="226"/>
      <c r="BD141" s="226"/>
      <c r="BE141" s="226"/>
      <c r="BF141" s="226"/>
      <c r="BG141" s="226"/>
      <c r="BH141" s="226"/>
    </row>
    <row r="142" outlineLevel="1">
      <c r="A142" s="216">
        <v>38</v>
      </c>
      <c r="B142" s="217" t="s">
        <v>360</v>
      </c>
      <c r="C142" s="218" t="s">
        <v>361</v>
      </c>
      <c r="D142" s="219" t="s">
        <v>280</v>
      </c>
      <c r="E142" s="220">
        <v>36</v>
      </c>
      <c r="F142" s="221"/>
      <c r="G142" s="222">
        <f>ROUND(E142*F142,2)</f>
        <v>0</v>
      </c>
      <c r="H142" s="223"/>
      <c r="I142" s="224">
        <f>ROUND(E142*H142,2)</f>
        <v>0</v>
      </c>
      <c r="J142" s="223"/>
      <c r="K142" s="224">
        <f>ROUND(E142*J142,2)</f>
        <v>0</v>
      </c>
      <c r="L142" s="224">
        <v>21</v>
      </c>
      <c r="M142" s="224">
        <f>G142*(1+L142/100)</f>
        <v>0</v>
      </c>
      <c r="N142" s="225">
        <v>0</v>
      </c>
      <c r="O142" s="225">
        <f>ROUND(E142*N142,2)</f>
        <v>0</v>
      </c>
      <c r="P142" s="225">
        <v>0.0094000000000000004</v>
      </c>
      <c r="Q142" s="225">
        <f>ROUND(E142*P142,2)</f>
        <v>0.34000000000000002</v>
      </c>
      <c r="R142" s="224"/>
      <c r="S142" s="224" t="s">
        <v>208</v>
      </c>
      <c r="T142" s="224" t="s">
        <v>209</v>
      </c>
      <c r="U142" s="224">
        <v>0</v>
      </c>
      <c r="V142" s="224">
        <f>ROUND(E142*U142,2)</f>
        <v>0</v>
      </c>
      <c r="W142" s="224"/>
      <c r="X142" s="224" t="s">
        <v>210</v>
      </c>
      <c r="Y142" s="224" t="s">
        <v>211</v>
      </c>
      <c r="Z142" s="226"/>
      <c r="AA142" s="226"/>
      <c r="AB142" s="226"/>
      <c r="AC142" s="226"/>
      <c r="AD142" s="226"/>
      <c r="AE142" s="226"/>
      <c r="AF142" s="226"/>
      <c r="AG142" s="226" t="s">
        <v>321</v>
      </c>
      <c r="AH142" s="226"/>
      <c r="AI142" s="226"/>
      <c r="AJ142" s="226"/>
      <c r="AK142" s="226"/>
      <c r="AL142" s="226"/>
      <c r="AM142" s="226"/>
      <c r="AN142" s="226"/>
      <c r="AO142" s="226"/>
      <c r="AP142" s="226"/>
      <c r="AQ142" s="226"/>
      <c r="AR142" s="226"/>
      <c r="AS142" s="226"/>
      <c r="AT142" s="226"/>
      <c r="AU142" s="226"/>
      <c r="AV142" s="226"/>
      <c r="AW142" s="226"/>
      <c r="AX142" s="226"/>
      <c r="AY142" s="226"/>
      <c r="AZ142" s="226"/>
      <c r="BA142" s="226"/>
      <c r="BB142" s="226"/>
      <c r="BC142" s="226"/>
      <c r="BD142" s="226"/>
      <c r="BE142" s="226"/>
      <c r="BF142" s="226"/>
      <c r="BG142" s="226"/>
      <c r="BH142" s="226"/>
    </row>
    <row r="143" outlineLevel="2">
      <c r="A143" s="227"/>
      <c r="B143" s="228"/>
      <c r="C143" s="229" t="s">
        <v>272</v>
      </c>
      <c r="D143" s="230"/>
      <c r="E143" s="230"/>
      <c r="F143" s="230"/>
      <c r="G143" s="230"/>
      <c r="H143" s="224"/>
      <c r="I143" s="224"/>
      <c r="J143" s="224"/>
      <c r="K143" s="224"/>
      <c r="L143" s="224"/>
      <c r="M143" s="224"/>
      <c r="N143" s="225"/>
      <c r="O143" s="225"/>
      <c r="P143" s="225"/>
      <c r="Q143" s="225"/>
      <c r="R143" s="224"/>
      <c r="S143" s="224"/>
      <c r="T143" s="224"/>
      <c r="U143" s="224"/>
      <c r="V143" s="224"/>
      <c r="W143" s="224"/>
      <c r="X143" s="224"/>
      <c r="Y143" s="224"/>
      <c r="Z143" s="226"/>
      <c r="AA143" s="226"/>
      <c r="AB143" s="226"/>
      <c r="AC143" s="226"/>
      <c r="AD143" s="226"/>
      <c r="AE143" s="226"/>
      <c r="AF143" s="226"/>
      <c r="AG143" s="226" t="s">
        <v>214</v>
      </c>
      <c r="AH143" s="226"/>
      <c r="AI143" s="226"/>
      <c r="AJ143" s="226"/>
      <c r="AK143" s="226"/>
      <c r="AL143" s="226"/>
      <c r="AM143" s="226"/>
      <c r="AN143" s="226"/>
      <c r="AO143" s="226"/>
      <c r="AP143" s="226"/>
      <c r="AQ143" s="226"/>
      <c r="AR143" s="226"/>
      <c r="AS143" s="226"/>
      <c r="AT143" s="226"/>
      <c r="AU143" s="226"/>
      <c r="AV143" s="226"/>
      <c r="AW143" s="226"/>
      <c r="AX143" s="226"/>
      <c r="AY143" s="226"/>
      <c r="AZ143" s="226"/>
      <c r="BA143" s="226"/>
      <c r="BB143" s="226"/>
      <c r="BC143" s="226"/>
      <c r="BD143" s="226"/>
      <c r="BE143" s="226"/>
      <c r="BF143" s="226"/>
      <c r="BG143" s="226"/>
      <c r="BH143" s="226"/>
    </row>
    <row r="144" outlineLevel="2">
      <c r="A144" s="227"/>
      <c r="B144" s="228"/>
      <c r="C144" s="233" t="s">
        <v>362</v>
      </c>
      <c r="D144" s="234"/>
      <c r="E144" s="235"/>
      <c r="F144" s="224"/>
      <c r="G144" s="224"/>
      <c r="H144" s="224"/>
      <c r="I144" s="224"/>
      <c r="J144" s="224"/>
      <c r="K144" s="224"/>
      <c r="L144" s="224"/>
      <c r="M144" s="224"/>
      <c r="N144" s="225"/>
      <c r="O144" s="225"/>
      <c r="P144" s="225"/>
      <c r="Q144" s="225"/>
      <c r="R144" s="224"/>
      <c r="S144" s="224"/>
      <c r="T144" s="224"/>
      <c r="U144" s="224"/>
      <c r="V144" s="224"/>
      <c r="W144" s="224"/>
      <c r="X144" s="224"/>
      <c r="Y144" s="224"/>
      <c r="Z144" s="226"/>
      <c r="AA144" s="226"/>
      <c r="AB144" s="226"/>
      <c r="AC144" s="226"/>
      <c r="AD144" s="226"/>
      <c r="AE144" s="226"/>
      <c r="AF144" s="226"/>
      <c r="AG144" s="226" t="s">
        <v>217</v>
      </c>
      <c r="AH144" s="226">
        <v>0</v>
      </c>
      <c r="AI144" s="226"/>
      <c r="AJ144" s="226"/>
      <c r="AK144" s="226"/>
      <c r="AL144" s="226"/>
      <c r="AM144" s="226"/>
      <c r="AN144" s="226"/>
      <c r="AO144" s="226"/>
      <c r="AP144" s="226"/>
      <c r="AQ144" s="226"/>
      <c r="AR144" s="226"/>
      <c r="AS144" s="226"/>
      <c r="AT144" s="226"/>
      <c r="AU144" s="226"/>
      <c r="AV144" s="226"/>
      <c r="AW144" s="226"/>
      <c r="AX144" s="226"/>
      <c r="AY144" s="226"/>
      <c r="AZ144" s="226"/>
      <c r="BA144" s="226"/>
      <c r="BB144" s="226"/>
      <c r="BC144" s="226"/>
      <c r="BD144" s="226"/>
      <c r="BE144" s="226"/>
      <c r="BF144" s="226"/>
      <c r="BG144" s="226"/>
      <c r="BH144" s="226"/>
    </row>
    <row r="145" outlineLevel="3">
      <c r="A145" s="227"/>
      <c r="B145" s="228"/>
      <c r="C145" s="233" t="s">
        <v>336</v>
      </c>
      <c r="D145" s="234"/>
      <c r="E145" s="235">
        <v>36</v>
      </c>
      <c r="F145" s="224"/>
      <c r="G145" s="224"/>
      <c r="H145" s="224"/>
      <c r="I145" s="224"/>
      <c r="J145" s="224"/>
      <c r="K145" s="224"/>
      <c r="L145" s="224"/>
      <c r="M145" s="224"/>
      <c r="N145" s="225"/>
      <c r="O145" s="225"/>
      <c r="P145" s="225"/>
      <c r="Q145" s="225"/>
      <c r="R145" s="224"/>
      <c r="S145" s="224"/>
      <c r="T145" s="224"/>
      <c r="U145" s="224"/>
      <c r="V145" s="224"/>
      <c r="W145" s="224"/>
      <c r="X145" s="224"/>
      <c r="Y145" s="224"/>
      <c r="Z145" s="226"/>
      <c r="AA145" s="226"/>
      <c r="AB145" s="226"/>
      <c r="AC145" s="226"/>
      <c r="AD145" s="226"/>
      <c r="AE145" s="226"/>
      <c r="AF145" s="226"/>
      <c r="AG145" s="226" t="s">
        <v>217</v>
      </c>
      <c r="AH145" s="226">
        <v>0</v>
      </c>
      <c r="AI145" s="226"/>
      <c r="AJ145" s="226"/>
      <c r="AK145" s="226"/>
      <c r="AL145" s="226"/>
      <c r="AM145" s="226"/>
      <c r="AN145" s="226"/>
      <c r="AO145" s="226"/>
      <c r="AP145" s="226"/>
      <c r="AQ145" s="226"/>
      <c r="AR145" s="226"/>
      <c r="AS145" s="226"/>
      <c r="AT145" s="226"/>
      <c r="AU145" s="226"/>
      <c r="AV145" s="226"/>
      <c r="AW145" s="226"/>
      <c r="AX145" s="226"/>
      <c r="AY145" s="226"/>
      <c r="AZ145" s="226"/>
      <c r="BA145" s="226"/>
      <c r="BB145" s="226"/>
      <c r="BC145" s="226"/>
      <c r="BD145" s="226"/>
      <c r="BE145" s="226"/>
      <c r="BF145" s="226"/>
      <c r="BG145" s="226"/>
      <c r="BH145" s="226"/>
    </row>
    <row r="146" outlineLevel="1">
      <c r="A146" s="216">
        <v>39</v>
      </c>
      <c r="B146" s="217" t="s">
        <v>363</v>
      </c>
      <c r="C146" s="218" t="s">
        <v>364</v>
      </c>
      <c r="D146" s="219" t="s">
        <v>320</v>
      </c>
      <c r="E146" s="220">
        <v>20</v>
      </c>
      <c r="F146" s="221"/>
      <c r="G146" s="222">
        <f>ROUND(E146*F146,2)</f>
        <v>0</v>
      </c>
      <c r="H146" s="223"/>
      <c r="I146" s="224">
        <f>ROUND(E146*H146,2)</f>
        <v>0</v>
      </c>
      <c r="J146" s="223"/>
      <c r="K146" s="224">
        <f>ROUND(E146*J146,2)</f>
        <v>0</v>
      </c>
      <c r="L146" s="224">
        <v>21</v>
      </c>
      <c r="M146" s="224">
        <f>G146*(1+L146/100)</f>
        <v>0</v>
      </c>
      <c r="N146" s="225">
        <v>0</v>
      </c>
      <c r="O146" s="225">
        <f>ROUND(E146*N146,2)</f>
        <v>0</v>
      </c>
      <c r="P146" s="225">
        <v>0.0039399999999999999</v>
      </c>
      <c r="Q146" s="225">
        <f>ROUND(E146*P146,2)</f>
        <v>0.080000000000000002</v>
      </c>
      <c r="R146" s="224"/>
      <c r="S146" s="224" t="s">
        <v>208</v>
      </c>
      <c r="T146" s="224" t="s">
        <v>209</v>
      </c>
      <c r="U146" s="224">
        <v>0</v>
      </c>
      <c r="V146" s="224">
        <f>ROUND(E146*U146,2)</f>
        <v>0</v>
      </c>
      <c r="W146" s="224"/>
      <c r="X146" s="224" t="s">
        <v>210</v>
      </c>
      <c r="Y146" s="224" t="s">
        <v>211</v>
      </c>
      <c r="Z146" s="226"/>
      <c r="AA146" s="226"/>
      <c r="AB146" s="226"/>
      <c r="AC146" s="226"/>
      <c r="AD146" s="226"/>
      <c r="AE146" s="226"/>
      <c r="AF146" s="226"/>
      <c r="AG146" s="226" t="s">
        <v>321</v>
      </c>
      <c r="AH146" s="226"/>
      <c r="AI146" s="226"/>
      <c r="AJ146" s="226"/>
      <c r="AK146" s="226"/>
      <c r="AL146" s="226"/>
      <c r="AM146" s="226"/>
      <c r="AN146" s="226"/>
      <c r="AO146" s="226"/>
      <c r="AP146" s="226"/>
      <c r="AQ146" s="226"/>
      <c r="AR146" s="226"/>
      <c r="AS146" s="226"/>
      <c r="AT146" s="226"/>
      <c r="AU146" s="226"/>
      <c r="AV146" s="226"/>
      <c r="AW146" s="226"/>
      <c r="AX146" s="226"/>
      <c r="AY146" s="226"/>
      <c r="AZ146" s="226"/>
      <c r="BA146" s="226"/>
      <c r="BB146" s="226"/>
      <c r="BC146" s="226"/>
      <c r="BD146" s="226"/>
      <c r="BE146" s="226"/>
      <c r="BF146" s="226"/>
      <c r="BG146" s="226"/>
      <c r="BH146" s="226"/>
    </row>
    <row r="147" outlineLevel="2">
      <c r="A147" s="227"/>
      <c r="B147" s="228"/>
      <c r="C147" s="229" t="s">
        <v>272</v>
      </c>
      <c r="D147" s="230"/>
      <c r="E147" s="230"/>
      <c r="F147" s="230"/>
      <c r="G147" s="230"/>
      <c r="H147" s="224"/>
      <c r="I147" s="224"/>
      <c r="J147" s="224"/>
      <c r="K147" s="224"/>
      <c r="L147" s="224"/>
      <c r="M147" s="224"/>
      <c r="N147" s="225"/>
      <c r="O147" s="225"/>
      <c r="P147" s="225"/>
      <c r="Q147" s="225"/>
      <c r="R147" s="224"/>
      <c r="S147" s="224"/>
      <c r="T147" s="224"/>
      <c r="U147" s="224"/>
      <c r="V147" s="224"/>
      <c r="W147" s="224"/>
      <c r="X147" s="224"/>
      <c r="Y147" s="224"/>
      <c r="Z147" s="226"/>
      <c r="AA147" s="226"/>
      <c r="AB147" s="226"/>
      <c r="AC147" s="226"/>
      <c r="AD147" s="226"/>
      <c r="AE147" s="226"/>
      <c r="AF147" s="226"/>
      <c r="AG147" s="226" t="s">
        <v>214</v>
      </c>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row>
    <row r="148" outlineLevel="2">
      <c r="A148" s="227"/>
      <c r="B148" s="228"/>
      <c r="C148" s="233" t="s">
        <v>335</v>
      </c>
      <c r="D148" s="234"/>
      <c r="E148" s="235"/>
      <c r="F148" s="224"/>
      <c r="G148" s="224"/>
      <c r="H148" s="224"/>
      <c r="I148" s="224"/>
      <c r="J148" s="224"/>
      <c r="K148" s="224"/>
      <c r="L148" s="224"/>
      <c r="M148" s="224"/>
      <c r="N148" s="225"/>
      <c r="O148" s="225"/>
      <c r="P148" s="225"/>
      <c r="Q148" s="225"/>
      <c r="R148" s="224"/>
      <c r="S148" s="224"/>
      <c r="T148" s="224"/>
      <c r="U148" s="224"/>
      <c r="V148" s="224"/>
      <c r="W148" s="224"/>
      <c r="X148" s="224"/>
      <c r="Y148" s="224"/>
      <c r="Z148" s="226"/>
      <c r="AA148" s="226"/>
      <c r="AB148" s="226"/>
      <c r="AC148" s="226"/>
      <c r="AD148" s="226"/>
      <c r="AE148" s="226"/>
      <c r="AF148" s="226"/>
      <c r="AG148" s="226" t="s">
        <v>217</v>
      </c>
      <c r="AH148" s="226">
        <v>0</v>
      </c>
      <c r="AI148" s="226"/>
      <c r="AJ148" s="226"/>
      <c r="AK148" s="226"/>
      <c r="AL148" s="226"/>
      <c r="AM148" s="226"/>
      <c r="AN148" s="226"/>
      <c r="AO148" s="226"/>
      <c r="AP148" s="226"/>
      <c r="AQ148" s="226"/>
      <c r="AR148" s="226"/>
      <c r="AS148" s="226"/>
      <c r="AT148" s="226"/>
      <c r="AU148" s="226"/>
      <c r="AV148" s="226"/>
      <c r="AW148" s="226"/>
      <c r="AX148" s="226"/>
      <c r="AY148" s="226"/>
      <c r="AZ148" s="226"/>
      <c r="BA148" s="226"/>
      <c r="BB148" s="226"/>
      <c r="BC148" s="226"/>
      <c r="BD148" s="226"/>
      <c r="BE148" s="226"/>
      <c r="BF148" s="226"/>
      <c r="BG148" s="226"/>
      <c r="BH148" s="226"/>
    </row>
    <row r="149" outlineLevel="3">
      <c r="A149" s="227"/>
      <c r="B149" s="228"/>
      <c r="C149" s="233" t="s">
        <v>365</v>
      </c>
      <c r="D149" s="234"/>
      <c r="E149" s="235">
        <v>20</v>
      </c>
      <c r="F149" s="224"/>
      <c r="G149" s="224"/>
      <c r="H149" s="224"/>
      <c r="I149" s="224"/>
      <c r="J149" s="224"/>
      <c r="K149" s="224"/>
      <c r="L149" s="224"/>
      <c r="M149" s="224"/>
      <c r="N149" s="225"/>
      <c r="O149" s="225"/>
      <c r="P149" s="225"/>
      <c r="Q149" s="225"/>
      <c r="R149" s="224"/>
      <c r="S149" s="224"/>
      <c r="T149" s="224"/>
      <c r="U149" s="224"/>
      <c r="V149" s="224"/>
      <c r="W149" s="224"/>
      <c r="X149" s="224"/>
      <c r="Y149" s="224"/>
      <c r="Z149" s="226"/>
      <c r="AA149" s="226"/>
      <c r="AB149" s="226"/>
      <c r="AC149" s="226"/>
      <c r="AD149" s="226"/>
      <c r="AE149" s="226"/>
      <c r="AF149" s="226"/>
      <c r="AG149" s="226" t="s">
        <v>217</v>
      </c>
      <c r="AH149" s="226">
        <v>0</v>
      </c>
      <c r="AI149" s="226"/>
      <c r="AJ149" s="226"/>
      <c r="AK149" s="226"/>
      <c r="AL149" s="226"/>
      <c r="AM149" s="226"/>
      <c r="AN149" s="226"/>
      <c r="AO149" s="226"/>
      <c r="AP149" s="226"/>
      <c r="AQ149" s="226"/>
      <c r="AR149" s="226"/>
      <c r="AS149" s="226"/>
      <c r="AT149" s="226"/>
      <c r="AU149" s="226"/>
      <c r="AV149" s="226"/>
      <c r="AW149" s="226"/>
      <c r="AX149" s="226"/>
      <c r="AY149" s="226"/>
      <c r="AZ149" s="226"/>
      <c r="BA149" s="226"/>
      <c r="BB149" s="226"/>
      <c r="BC149" s="226"/>
      <c r="BD149" s="226"/>
      <c r="BE149" s="226"/>
      <c r="BF149" s="226"/>
      <c r="BG149" s="226"/>
      <c r="BH149" s="226"/>
    </row>
    <row r="150">
      <c r="A150" s="207" t="s">
        <v>203</v>
      </c>
      <c r="B150" s="208" t="s">
        <v>165</v>
      </c>
      <c r="C150" s="209" t="s">
        <v>166</v>
      </c>
      <c r="D150" s="210"/>
      <c r="E150" s="211"/>
      <c r="F150" s="212"/>
      <c r="G150" s="213">
        <f>SUMIF(AG151:AG156,"&lt;&gt;NOR",G151:G156)</f>
        <v>0</v>
      </c>
      <c r="H150" s="214"/>
      <c r="I150" s="214">
        <f>SUM(I151:I156)</f>
        <v>0</v>
      </c>
      <c r="J150" s="214"/>
      <c r="K150" s="214">
        <f>SUM(K151:K156)</f>
        <v>0</v>
      </c>
      <c r="L150" s="214"/>
      <c r="M150" s="214">
        <f>SUM(M151:M156)</f>
        <v>0</v>
      </c>
      <c r="N150" s="215"/>
      <c r="O150" s="215">
        <f>SUM(O151:O156)</f>
        <v>0.050000000000000003</v>
      </c>
      <c r="P150" s="215"/>
      <c r="Q150" s="215">
        <f>SUM(Q151:Q156)</f>
        <v>4.7800000000000002</v>
      </c>
      <c r="R150" s="214"/>
      <c r="S150" s="214"/>
      <c r="T150" s="214"/>
      <c r="U150" s="214"/>
      <c r="V150" s="214">
        <f>SUM(V151:V156)</f>
        <v>0</v>
      </c>
      <c r="W150" s="214"/>
      <c r="X150" s="214"/>
      <c r="Y150" s="214"/>
      <c r="AG150" t="s">
        <v>204</v>
      </c>
    </row>
    <row r="151" outlineLevel="1" ht="22.5">
      <c r="A151" s="216">
        <v>40</v>
      </c>
      <c r="B151" s="217" t="s">
        <v>366</v>
      </c>
      <c r="C151" s="218" t="s">
        <v>367</v>
      </c>
      <c r="D151" s="219" t="s">
        <v>207</v>
      </c>
      <c r="E151" s="220">
        <v>269.07600000000002</v>
      </c>
      <c r="F151" s="221"/>
      <c r="G151" s="222">
        <f>ROUND(E151*F151,2)</f>
        <v>0</v>
      </c>
      <c r="H151" s="223"/>
      <c r="I151" s="224">
        <f>ROUND(E151*H151,2)</f>
        <v>0</v>
      </c>
      <c r="J151" s="223"/>
      <c r="K151" s="224">
        <f>ROUND(E151*J151,2)</f>
        <v>0</v>
      </c>
      <c r="L151" s="224">
        <v>21</v>
      </c>
      <c r="M151" s="224">
        <f>G151*(1+L151/100)</f>
        <v>0</v>
      </c>
      <c r="N151" s="225">
        <v>0.00020000000000000001</v>
      </c>
      <c r="O151" s="225">
        <f>ROUND(E151*N151,2)</f>
        <v>0.050000000000000003</v>
      </c>
      <c r="P151" s="225">
        <v>0.017780000000000001</v>
      </c>
      <c r="Q151" s="225">
        <f>ROUND(E151*P151,2)</f>
        <v>4.7800000000000002</v>
      </c>
      <c r="R151" s="224"/>
      <c r="S151" s="224" t="s">
        <v>208</v>
      </c>
      <c r="T151" s="224" t="s">
        <v>209</v>
      </c>
      <c r="U151" s="224">
        <v>0</v>
      </c>
      <c r="V151" s="224">
        <f>ROUND(E151*U151,2)</f>
        <v>0</v>
      </c>
      <c r="W151" s="224"/>
      <c r="X151" s="224" t="s">
        <v>210</v>
      </c>
      <c r="Y151" s="224" t="s">
        <v>211</v>
      </c>
      <c r="Z151" s="226"/>
      <c r="AA151" s="226"/>
      <c r="AB151" s="226"/>
      <c r="AC151" s="226"/>
      <c r="AD151" s="226"/>
      <c r="AE151" s="226"/>
      <c r="AF151" s="226"/>
      <c r="AG151" s="226" t="s">
        <v>321</v>
      </c>
      <c r="AH151" s="226"/>
      <c r="AI151" s="226"/>
      <c r="AJ151" s="226"/>
      <c r="AK151" s="226"/>
      <c r="AL151" s="226"/>
      <c r="AM151" s="226"/>
      <c r="AN151" s="226"/>
      <c r="AO151" s="226"/>
      <c r="AP151" s="226"/>
      <c r="AQ151" s="226"/>
      <c r="AR151" s="226"/>
      <c r="AS151" s="226"/>
      <c r="AT151" s="226"/>
      <c r="AU151" s="226"/>
      <c r="AV151" s="226"/>
      <c r="AW151" s="226"/>
      <c r="AX151" s="226"/>
      <c r="AY151" s="226"/>
      <c r="AZ151" s="226"/>
      <c r="BA151" s="226"/>
      <c r="BB151" s="226"/>
      <c r="BC151" s="226"/>
      <c r="BD151" s="226"/>
      <c r="BE151" s="226"/>
      <c r="BF151" s="226"/>
      <c r="BG151" s="226"/>
      <c r="BH151" s="226"/>
    </row>
    <row r="152" outlineLevel="2">
      <c r="A152" s="227"/>
      <c r="B152" s="228"/>
      <c r="C152" s="233" t="s">
        <v>346</v>
      </c>
      <c r="D152" s="234"/>
      <c r="E152" s="235"/>
      <c r="F152" s="224"/>
      <c r="G152" s="224"/>
      <c r="H152" s="224"/>
      <c r="I152" s="224"/>
      <c r="J152" s="224"/>
      <c r="K152" s="224"/>
      <c r="L152" s="224"/>
      <c r="M152" s="224"/>
      <c r="N152" s="225"/>
      <c r="O152" s="225"/>
      <c r="P152" s="225"/>
      <c r="Q152" s="225"/>
      <c r="R152" s="224"/>
      <c r="S152" s="224"/>
      <c r="T152" s="224"/>
      <c r="U152" s="224"/>
      <c r="V152" s="224"/>
      <c r="W152" s="224"/>
      <c r="X152" s="224"/>
      <c r="Y152" s="224"/>
      <c r="Z152" s="226"/>
      <c r="AA152" s="226"/>
      <c r="AB152" s="226"/>
      <c r="AC152" s="226"/>
      <c r="AD152" s="226"/>
      <c r="AE152" s="226"/>
      <c r="AF152" s="226"/>
      <c r="AG152" s="226" t="s">
        <v>217</v>
      </c>
      <c r="AH152" s="226">
        <v>0</v>
      </c>
      <c r="AI152" s="226"/>
      <c r="AJ152" s="226"/>
      <c r="AK152" s="226"/>
      <c r="AL152" s="226"/>
      <c r="AM152" s="226"/>
      <c r="AN152" s="226"/>
      <c r="AO152" s="226"/>
      <c r="AP152" s="226"/>
      <c r="AQ152" s="226"/>
      <c r="AR152" s="226"/>
      <c r="AS152" s="226"/>
      <c r="AT152" s="226"/>
      <c r="AU152" s="226"/>
      <c r="AV152" s="226"/>
      <c r="AW152" s="226"/>
      <c r="AX152" s="226"/>
      <c r="AY152" s="226"/>
      <c r="AZ152" s="226"/>
      <c r="BA152" s="226"/>
      <c r="BB152" s="226"/>
      <c r="BC152" s="226"/>
      <c r="BD152" s="226"/>
      <c r="BE152" s="226"/>
      <c r="BF152" s="226"/>
      <c r="BG152" s="226"/>
      <c r="BH152" s="226"/>
    </row>
    <row r="153" outlineLevel="3">
      <c r="A153" s="227"/>
      <c r="B153" s="228"/>
      <c r="C153" s="233" t="s">
        <v>347</v>
      </c>
      <c r="D153" s="234"/>
      <c r="E153" s="235">
        <v>269.07999999999998</v>
      </c>
      <c r="F153" s="224"/>
      <c r="G153" s="224"/>
      <c r="H153" s="224"/>
      <c r="I153" s="224"/>
      <c r="J153" s="224"/>
      <c r="K153" s="224"/>
      <c r="L153" s="224"/>
      <c r="M153" s="224"/>
      <c r="N153" s="225"/>
      <c r="O153" s="225"/>
      <c r="P153" s="225"/>
      <c r="Q153" s="225"/>
      <c r="R153" s="224"/>
      <c r="S153" s="224"/>
      <c r="T153" s="224"/>
      <c r="U153" s="224"/>
      <c r="V153" s="224"/>
      <c r="W153" s="224"/>
      <c r="X153" s="224"/>
      <c r="Y153" s="224"/>
      <c r="Z153" s="226"/>
      <c r="AA153" s="226"/>
      <c r="AB153" s="226"/>
      <c r="AC153" s="226"/>
      <c r="AD153" s="226"/>
      <c r="AE153" s="226"/>
      <c r="AF153" s="226"/>
      <c r="AG153" s="226" t="s">
        <v>217</v>
      </c>
      <c r="AH153" s="226">
        <v>0</v>
      </c>
      <c r="AI153" s="226"/>
      <c r="AJ153" s="226"/>
      <c r="AK153" s="226"/>
      <c r="AL153" s="226"/>
      <c r="AM153" s="226"/>
      <c r="AN153" s="226"/>
      <c r="AO153" s="226"/>
      <c r="AP153" s="226"/>
      <c r="AQ153" s="226"/>
      <c r="AR153" s="226"/>
      <c r="AS153" s="226"/>
      <c r="AT153" s="226"/>
      <c r="AU153" s="226"/>
      <c r="AV153" s="226"/>
      <c r="AW153" s="226"/>
      <c r="AX153" s="226"/>
      <c r="AY153" s="226"/>
      <c r="AZ153" s="226"/>
      <c r="BA153" s="226"/>
      <c r="BB153" s="226"/>
      <c r="BC153" s="226"/>
      <c r="BD153" s="226"/>
      <c r="BE153" s="226"/>
      <c r="BF153" s="226"/>
      <c r="BG153" s="226"/>
      <c r="BH153" s="226"/>
    </row>
    <row r="154" outlineLevel="1" ht="33.75">
      <c r="A154" s="216">
        <v>41</v>
      </c>
      <c r="B154" s="217" t="s">
        <v>368</v>
      </c>
      <c r="C154" s="218" t="s">
        <v>369</v>
      </c>
      <c r="D154" s="219" t="s">
        <v>320</v>
      </c>
      <c r="E154" s="220">
        <v>22.422999999999998</v>
      </c>
      <c r="F154" s="221"/>
      <c r="G154" s="222">
        <f>ROUND(E154*F154,2)</f>
        <v>0</v>
      </c>
      <c r="H154" s="223"/>
      <c r="I154" s="224">
        <f>ROUND(E154*H154,2)</f>
        <v>0</v>
      </c>
      <c r="J154" s="223"/>
      <c r="K154" s="224">
        <f>ROUND(E154*J154,2)</f>
        <v>0</v>
      </c>
      <c r="L154" s="224">
        <v>21</v>
      </c>
      <c r="M154" s="224">
        <f>G154*(1+L154/100)</f>
        <v>0</v>
      </c>
      <c r="N154" s="225">
        <v>0</v>
      </c>
      <c r="O154" s="225">
        <f>ROUND(E154*N154,2)</f>
        <v>0</v>
      </c>
      <c r="P154" s="225">
        <v>0</v>
      </c>
      <c r="Q154" s="225">
        <f>ROUND(E154*P154,2)</f>
        <v>0</v>
      </c>
      <c r="R154" s="224"/>
      <c r="S154" s="224" t="s">
        <v>208</v>
      </c>
      <c r="T154" s="224" t="s">
        <v>209</v>
      </c>
      <c r="U154" s="224">
        <v>0</v>
      </c>
      <c r="V154" s="224">
        <f>ROUND(E154*U154,2)</f>
        <v>0</v>
      </c>
      <c r="W154" s="224"/>
      <c r="X154" s="224" t="s">
        <v>210</v>
      </c>
      <c r="Y154" s="224" t="s">
        <v>211</v>
      </c>
      <c r="Z154" s="226"/>
      <c r="AA154" s="226"/>
      <c r="AB154" s="226"/>
      <c r="AC154" s="226"/>
      <c r="AD154" s="226"/>
      <c r="AE154" s="226"/>
      <c r="AF154" s="226"/>
      <c r="AG154" s="226" t="s">
        <v>321</v>
      </c>
      <c r="AH154" s="226"/>
      <c r="AI154" s="226"/>
      <c r="AJ154" s="226"/>
      <c r="AK154" s="226"/>
      <c r="AL154" s="226"/>
      <c r="AM154" s="226"/>
      <c r="AN154" s="226"/>
      <c r="AO154" s="226"/>
      <c r="AP154" s="226"/>
      <c r="AQ154" s="226"/>
      <c r="AR154" s="226"/>
      <c r="AS154" s="226"/>
      <c r="AT154" s="226"/>
      <c r="AU154" s="226"/>
      <c r="AV154" s="226"/>
      <c r="AW154" s="226"/>
      <c r="AX154" s="226"/>
      <c r="AY154" s="226"/>
      <c r="AZ154" s="226"/>
      <c r="BA154" s="226"/>
      <c r="BB154" s="226"/>
      <c r="BC154" s="226"/>
      <c r="BD154" s="226"/>
      <c r="BE154" s="226"/>
      <c r="BF154" s="226"/>
      <c r="BG154" s="226"/>
      <c r="BH154" s="226"/>
    </row>
    <row r="155" outlineLevel="2">
      <c r="A155" s="227"/>
      <c r="B155" s="228"/>
      <c r="C155" s="233" t="s">
        <v>326</v>
      </c>
      <c r="D155" s="234"/>
      <c r="E155" s="235"/>
      <c r="F155" s="224"/>
      <c r="G155" s="224"/>
      <c r="H155" s="224"/>
      <c r="I155" s="224"/>
      <c r="J155" s="224"/>
      <c r="K155" s="224"/>
      <c r="L155" s="224"/>
      <c r="M155" s="224"/>
      <c r="N155" s="225"/>
      <c r="O155" s="225"/>
      <c r="P155" s="225"/>
      <c r="Q155" s="225"/>
      <c r="R155" s="224"/>
      <c r="S155" s="224"/>
      <c r="T155" s="224"/>
      <c r="U155" s="224"/>
      <c r="V155" s="224"/>
      <c r="W155" s="224"/>
      <c r="X155" s="224"/>
      <c r="Y155" s="224"/>
      <c r="Z155" s="226"/>
      <c r="AA155" s="226"/>
      <c r="AB155" s="226"/>
      <c r="AC155" s="226"/>
      <c r="AD155" s="226"/>
      <c r="AE155" s="226"/>
      <c r="AF155" s="226"/>
      <c r="AG155" s="226" t="s">
        <v>217</v>
      </c>
      <c r="AH155" s="226">
        <v>0</v>
      </c>
      <c r="AI155" s="226"/>
      <c r="AJ155" s="226"/>
      <c r="AK155" s="226"/>
      <c r="AL155" s="226"/>
      <c r="AM155" s="226"/>
      <c r="AN155" s="226"/>
      <c r="AO155" s="226"/>
      <c r="AP155" s="226"/>
      <c r="AQ155" s="226"/>
      <c r="AR155" s="226"/>
      <c r="AS155" s="226"/>
      <c r="AT155" s="226"/>
      <c r="AU155" s="226"/>
      <c r="AV155" s="226"/>
      <c r="AW155" s="226"/>
      <c r="AX155" s="226"/>
      <c r="AY155" s="226"/>
      <c r="AZ155" s="226"/>
      <c r="BA155" s="226"/>
      <c r="BB155" s="226"/>
      <c r="BC155" s="226"/>
      <c r="BD155" s="226"/>
      <c r="BE155" s="226"/>
      <c r="BF155" s="226"/>
      <c r="BG155" s="226"/>
      <c r="BH155" s="226"/>
    </row>
    <row r="156" outlineLevel="3">
      <c r="A156" s="227"/>
      <c r="B156" s="228"/>
      <c r="C156" s="233" t="s">
        <v>327</v>
      </c>
      <c r="D156" s="234"/>
      <c r="E156" s="235">
        <v>22.420000000000002</v>
      </c>
      <c r="F156" s="224"/>
      <c r="G156" s="224"/>
      <c r="H156" s="224"/>
      <c r="I156" s="224"/>
      <c r="J156" s="224"/>
      <c r="K156" s="224"/>
      <c r="L156" s="224"/>
      <c r="M156" s="224"/>
      <c r="N156" s="225"/>
      <c r="O156" s="225"/>
      <c r="P156" s="225"/>
      <c r="Q156" s="225"/>
      <c r="R156" s="224"/>
      <c r="S156" s="224"/>
      <c r="T156" s="224"/>
      <c r="U156" s="224"/>
      <c r="V156" s="224"/>
      <c r="W156" s="224"/>
      <c r="X156" s="224"/>
      <c r="Y156" s="224"/>
      <c r="Z156" s="226"/>
      <c r="AA156" s="226"/>
      <c r="AB156" s="226"/>
      <c r="AC156" s="226"/>
      <c r="AD156" s="226"/>
      <c r="AE156" s="226"/>
      <c r="AF156" s="226"/>
      <c r="AG156" s="226" t="s">
        <v>217</v>
      </c>
      <c r="AH156" s="226">
        <v>0</v>
      </c>
      <c r="AI156" s="226"/>
      <c r="AJ156" s="226"/>
      <c r="AK156" s="226"/>
      <c r="AL156" s="226"/>
      <c r="AM156" s="226"/>
      <c r="AN156" s="226"/>
      <c r="AO156" s="226"/>
      <c r="AP156" s="226"/>
      <c r="AQ156" s="226"/>
      <c r="AR156" s="226"/>
      <c r="AS156" s="226"/>
      <c r="AT156" s="226"/>
      <c r="AU156" s="226"/>
      <c r="AV156" s="226"/>
      <c r="AW156" s="226"/>
      <c r="AX156" s="226"/>
      <c r="AY156" s="226"/>
      <c r="AZ156" s="226"/>
      <c r="BA156" s="226"/>
      <c r="BB156" s="226"/>
      <c r="BC156" s="226"/>
      <c r="BD156" s="226"/>
      <c r="BE156" s="226"/>
      <c r="BF156" s="226"/>
      <c r="BG156" s="226"/>
      <c r="BH156" s="226"/>
    </row>
    <row r="157">
      <c r="A157" s="207" t="s">
        <v>203</v>
      </c>
      <c r="B157" s="208" t="s">
        <v>167</v>
      </c>
      <c r="C157" s="209" t="s">
        <v>168</v>
      </c>
      <c r="D157" s="210"/>
      <c r="E157" s="211"/>
      <c r="F157" s="212"/>
      <c r="G157" s="213">
        <f>SUMIF(AG158:AG166,"&lt;&gt;NOR",G158:G166)</f>
        <v>0</v>
      </c>
      <c r="H157" s="214"/>
      <c r="I157" s="214">
        <f>SUM(I158:I166)</f>
        <v>0</v>
      </c>
      <c r="J157" s="214"/>
      <c r="K157" s="214">
        <f>SUM(K158:K166)</f>
        <v>0</v>
      </c>
      <c r="L157" s="214"/>
      <c r="M157" s="214">
        <f>SUM(M158:M166)</f>
        <v>0</v>
      </c>
      <c r="N157" s="215"/>
      <c r="O157" s="215">
        <f>SUM(O158:O166)</f>
        <v>0</v>
      </c>
      <c r="P157" s="215"/>
      <c r="Q157" s="215">
        <f>SUM(Q158:Q166)</f>
        <v>0.59000000000000008</v>
      </c>
      <c r="R157" s="214"/>
      <c r="S157" s="214"/>
      <c r="T157" s="214"/>
      <c r="U157" s="214"/>
      <c r="V157" s="214">
        <f>SUM(V158:V166)</f>
        <v>0</v>
      </c>
      <c r="W157" s="214"/>
      <c r="X157" s="214"/>
      <c r="Y157" s="214"/>
      <c r="AG157" t="s">
        <v>204</v>
      </c>
    </row>
    <row r="158" outlineLevel="1">
      <c r="A158" s="216">
        <v>42</v>
      </c>
      <c r="B158" s="217" t="s">
        <v>370</v>
      </c>
      <c r="C158" s="218" t="s">
        <v>371</v>
      </c>
      <c r="D158" s="219" t="s">
        <v>207</v>
      </c>
      <c r="E158" s="220">
        <v>18.219999999999999</v>
      </c>
      <c r="F158" s="221"/>
      <c r="G158" s="222">
        <f>ROUND(E158*F158,2)</f>
        <v>0</v>
      </c>
      <c r="H158" s="223"/>
      <c r="I158" s="224">
        <f>ROUND(E158*H158,2)</f>
        <v>0</v>
      </c>
      <c r="J158" s="223"/>
      <c r="K158" s="224">
        <f>ROUND(E158*J158,2)</f>
        <v>0</v>
      </c>
      <c r="L158" s="224">
        <v>21</v>
      </c>
      <c r="M158" s="224">
        <f>G158*(1+L158/100)</f>
        <v>0</v>
      </c>
      <c r="N158" s="225">
        <v>0</v>
      </c>
      <c r="O158" s="225">
        <f>ROUND(E158*N158,2)</f>
        <v>0</v>
      </c>
      <c r="P158" s="225">
        <v>0.01098</v>
      </c>
      <c r="Q158" s="225">
        <f>ROUND(E158*P158,2)</f>
        <v>0.20000000000000001</v>
      </c>
      <c r="R158" s="224"/>
      <c r="S158" s="224" t="s">
        <v>208</v>
      </c>
      <c r="T158" s="224" t="s">
        <v>209</v>
      </c>
      <c r="U158" s="224">
        <v>0</v>
      </c>
      <c r="V158" s="224">
        <f>ROUND(E158*U158,2)</f>
        <v>0</v>
      </c>
      <c r="W158" s="224"/>
      <c r="X158" s="224" t="s">
        <v>210</v>
      </c>
      <c r="Y158" s="224" t="s">
        <v>211</v>
      </c>
      <c r="Z158" s="226"/>
      <c r="AA158" s="226"/>
      <c r="AB158" s="226"/>
      <c r="AC158" s="226"/>
      <c r="AD158" s="226"/>
      <c r="AE158" s="226"/>
      <c r="AF158" s="226"/>
      <c r="AG158" s="226" t="s">
        <v>321</v>
      </c>
      <c r="AH158" s="226"/>
      <c r="AI158" s="226"/>
      <c r="AJ158" s="226"/>
      <c r="AK158" s="226"/>
      <c r="AL158" s="226"/>
      <c r="AM158" s="226"/>
      <c r="AN158" s="226"/>
      <c r="AO158" s="226"/>
      <c r="AP158" s="226"/>
      <c r="AQ158" s="226"/>
      <c r="AR158" s="226"/>
      <c r="AS158" s="226"/>
      <c r="AT158" s="226"/>
      <c r="AU158" s="226"/>
      <c r="AV158" s="226"/>
      <c r="AW158" s="226"/>
      <c r="AX158" s="226"/>
      <c r="AY158" s="226"/>
      <c r="AZ158" s="226"/>
      <c r="BA158" s="226"/>
      <c r="BB158" s="226"/>
      <c r="BC158" s="226"/>
      <c r="BD158" s="226"/>
      <c r="BE158" s="226"/>
      <c r="BF158" s="226"/>
      <c r="BG158" s="226"/>
      <c r="BH158" s="226"/>
    </row>
    <row r="159" outlineLevel="2">
      <c r="A159" s="227"/>
      <c r="B159" s="228"/>
      <c r="C159" s="233" t="s">
        <v>372</v>
      </c>
      <c r="D159" s="234"/>
      <c r="E159" s="235"/>
      <c r="F159" s="224"/>
      <c r="G159" s="224"/>
      <c r="H159" s="224"/>
      <c r="I159" s="224"/>
      <c r="J159" s="224"/>
      <c r="K159" s="224"/>
      <c r="L159" s="224"/>
      <c r="M159" s="224"/>
      <c r="N159" s="225"/>
      <c r="O159" s="225"/>
      <c r="P159" s="225"/>
      <c r="Q159" s="225"/>
      <c r="R159" s="224"/>
      <c r="S159" s="224"/>
      <c r="T159" s="224"/>
      <c r="U159" s="224"/>
      <c r="V159" s="224"/>
      <c r="W159" s="224"/>
      <c r="X159" s="224"/>
      <c r="Y159" s="224"/>
      <c r="Z159" s="226"/>
      <c r="AA159" s="226"/>
      <c r="AB159" s="226"/>
      <c r="AC159" s="226"/>
      <c r="AD159" s="226"/>
      <c r="AE159" s="226"/>
      <c r="AF159" s="226"/>
      <c r="AG159" s="226" t="s">
        <v>217</v>
      </c>
      <c r="AH159" s="226">
        <v>0</v>
      </c>
      <c r="AI159" s="226"/>
      <c r="AJ159" s="226"/>
      <c r="AK159" s="226"/>
      <c r="AL159" s="226"/>
      <c r="AM159" s="226"/>
      <c r="AN159" s="226"/>
      <c r="AO159" s="226"/>
      <c r="AP159" s="226"/>
      <c r="AQ159" s="226"/>
      <c r="AR159" s="226"/>
      <c r="AS159" s="226"/>
      <c r="AT159" s="226"/>
      <c r="AU159" s="226"/>
      <c r="AV159" s="226"/>
      <c r="AW159" s="226"/>
      <c r="AX159" s="226"/>
      <c r="AY159" s="226"/>
      <c r="AZ159" s="226"/>
      <c r="BA159" s="226"/>
      <c r="BB159" s="226"/>
      <c r="BC159" s="226"/>
      <c r="BD159" s="226"/>
      <c r="BE159" s="226"/>
      <c r="BF159" s="226"/>
      <c r="BG159" s="226"/>
      <c r="BH159" s="226"/>
    </row>
    <row r="160" outlineLevel="3">
      <c r="A160" s="227"/>
      <c r="B160" s="228"/>
      <c r="C160" s="233" t="s">
        <v>373</v>
      </c>
      <c r="D160" s="234"/>
      <c r="E160" s="235">
        <v>18.219999999999999</v>
      </c>
      <c r="F160" s="224"/>
      <c r="G160" s="224"/>
      <c r="H160" s="224"/>
      <c r="I160" s="224"/>
      <c r="J160" s="224"/>
      <c r="K160" s="224"/>
      <c r="L160" s="224"/>
      <c r="M160" s="224"/>
      <c r="N160" s="225"/>
      <c r="O160" s="225"/>
      <c r="P160" s="225"/>
      <c r="Q160" s="225"/>
      <c r="R160" s="224"/>
      <c r="S160" s="224"/>
      <c r="T160" s="224"/>
      <c r="U160" s="224"/>
      <c r="V160" s="224"/>
      <c r="W160" s="224"/>
      <c r="X160" s="224"/>
      <c r="Y160" s="224"/>
      <c r="Z160" s="226"/>
      <c r="AA160" s="226"/>
      <c r="AB160" s="226"/>
      <c r="AC160" s="226"/>
      <c r="AD160" s="226"/>
      <c r="AE160" s="226"/>
      <c r="AF160" s="226"/>
      <c r="AG160" s="226" t="s">
        <v>217</v>
      </c>
      <c r="AH160" s="226">
        <v>0</v>
      </c>
      <c r="AI160" s="226"/>
      <c r="AJ160" s="226"/>
      <c r="AK160" s="226"/>
      <c r="AL160" s="226"/>
      <c r="AM160" s="226"/>
      <c r="AN160" s="226"/>
      <c r="AO160" s="226"/>
      <c r="AP160" s="226"/>
      <c r="AQ160" s="226"/>
      <c r="AR160" s="226"/>
      <c r="AS160" s="226"/>
      <c r="AT160" s="226"/>
      <c r="AU160" s="226"/>
      <c r="AV160" s="226"/>
      <c r="AW160" s="226"/>
      <c r="AX160" s="226"/>
      <c r="AY160" s="226"/>
      <c r="AZ160" s="226"/>
      <c r="BA160" s="226"/>
      <c r="BB160" s="226"/>
      <c r="BC160" s="226"/>
      <c r="BD160" s="226"/>
      <c r="BE160" s="226"/>
      <c r="BF160" s="226"/>
      <c r="BG160" s="226"/>
      <c r="BH160" s="226"/>
    </row>
    <row r="161" outlineLevel="1">
      <c r="A161" s="216">
        <v>43</v>
      </c>
      <c r="B161" s="217" t="s">
        <v>374</v>
      </c>
      <c r="C161" s="218" t="s">
        <v>375</v>
      </c>
      <c r="D161" s="219" t="s">
        <v>207</v>
      </c>
      <c r="E161" s="220">
        <v>20.620999999999999</v>
      </c>
      <c r="F161" s="221"/>
      <c r="G161" s="222">
        <f>ROUND(E161*F161,2)</f>
        <v>0</v>
      </c>
      <c r="H161" s="223"/>
      <c r="I161" s="224">
        <f>ROUND(E161*H161,2)</f>
        <v>0</v>
      </c>
      <c r="J161" s="223"/>
      <c r="K161" s="224">
        <f>ROUND(E161*J161,2)</f>
        <v>0</v>
      </c>
      <c r="L161" s="224">
        <v>21</v>
      </c>
      <c r="M161" s="224">
        <f>G161*(1+L161/100)</f>
        <v>0</v>
      </c>
      <c r="N161" s="225">
        <v>0</v>
      </c>
      <c r="O161" s="225">
        <f>ROUND(E161*N161,2)</f>
        <v>0</v>
      </c>
      <c r="P161" s="225">
        <v>0.01098</v>
      </c>
      <c r="Q161" s="225">
        <f>ROUND(E161*P161,2)</f>
        <v>0.23000000000000001</v>
      </c>
      <c r="R161" s="224"/>
      <c r="S161" s="224" t="s">
        <v>208</v>
      </c>
      <c r="T161" s="224" t="s">
        <v>209</v>
      </c>
      <c r="U161" s="224">
        <v>0</v>
      </c>
      <c r="V161" s="224">
        <f>ROUND(E161*U161,2)</f>
        <v>0</v>
      </c>
      <c r="W161" s="224"/>
      <c r="X161" s="224" t="s">
        <v>210</v>
      </c>
      <c r="Y161" s="224" t="s">
        <v>211</v>
      </c>
      <c r="Z161" s="226"/>
      <c r="AA161" s="226"/>
      <c r="AB161" s="226"/>
      <c r="AC161" s="226"/>
      <c r="AD161" s="226"/>
      <c r="AE161" s="226"/>
      <c r="AF161" s="226"/>
      <c r="AG161" s="226" t="s">
        <v>321</v>
      </c>
      <c r="AH161" s="226"/>
      <c r="AI161" s="226"/>
      <c r="AJ161" s="226"/>
      <c r="AK161" s="226"/>
      <c r="AL161" s="226"/>
      <c r="AM161" s="226"/>
      <c r="AN161" s="226"/>
      <c r="AO161" s="226"/>
      <c r="AP161" s="226"/>
      <c r="AQ161" s="226"/>
      <c r="AR161" s="226"/>
      <c r="AS161" s="226"/>
      <c r="AT161" s="226"/>
      <c r="AU161" s="226"/>
      <c r="AV161" s="226"/>
      <c r="AW161" s="226"/>
      <c r="AX161" s="226"/>
      <c r="AY161" s="226"/>
      <c r="AZ161" s="226"/>
      <c r="BA161" s="226"/>
      <c r="BB161" s="226"/>
      <c r="BC161" s="226"/>
      <c r="BD161" s="226"/>
      <c r="BE161" s="226"/>
      <c r="BF161" s="226"/>
      <c r="BG161" s="226"/>
      <c r="BH161" s="226"/>
    </row>
    <row r="162" outlineLevel="2">
      <c r="A162" s="227"/>
      <c r="B162" s="228"/>
      <c r="C162" s="233" t="s">
        <v>376</v>
      </c>
      <c r="D162" s="234"/>
      <c r="E162" s="235"/>
      <c r="F162" s="224"/>
      <c r="G162" s="224"/>
      <c r="H162" s="224"/>
      <c r="I162" s="224"/>
      <c r="J162" s="224"/>
      <c r="K162" s="224"/>
      <c r="L162" s="224"/>
      <c r="M162" s="224"/>
      <c r="N162" s="225"/>
      <c r="O162" s="225"/>
      <c r="P162" s="225"/>
      <c r="Q162" s="225"/>
      <c r="R162" s="224"/>
      <c r="S162" s="224"/>
      <c r="T162" s="224"/>
      <c r="U162" s="224"/>
      <c r="V162" s="224"/>
      <c r="W162" s="224"/>
      <c r="X162" s="224"/>
      <c r="Y162" s="224"/>
      <c r="Z162" s="226"/>
      <c r="AA162" s="226"/>
      <c r="AB162" s="226"/>
      <c r="AC162" s="226"/>
      <c r="AD162" s="226"/>
      <c r="AE162" s="226"/>
      <c r="AF162" s="226"/>
      <c r="AG162" s="226" t="s">
        <v>217</v>
      </c>
      <c r="AH162" s="226">
        <v>0</v>
      </c>
      <c r="AI162" s="226"/>
      <c r="AJ162" s="226"/>
      <c r="AK162" s="226"/>
      <c r="AL162" s="226"/>
      <c r="AM162" s="226"/>
      <c r="AN162" s="226"/>
      <c r="AO162" s="226"/>
      <c r="AP162" s="226"/>
      <c r="AQ162" s="226"/>
      <c r="AR162" s="226"/>
      <c r="AS162" s="226"/>
      <c r="AT162" s="226"/>
      <c r="AU162" s="226"/>
      <c r="AV162" s="226"/>
      <c r="AW162" s="226"/>
      <c r="AX162" s="226"/>
      <c r="AY162" s="226"/>
      <c r="AZ162" s="226"/>
      <c r="BA162" s="226"/>
      <c r="BB162" s="226"/>
      <c r="BC162" s="226"/>
      <c r="BD162" s="226"/>
      <c r="BE162" s="226"/>
      <c r="BF162" s="226"/>
      <c r="BG162" s="226"/>
      <c r="BH162" s="226"/>
    </row>
    <row r="163" outlineLevel="3">
      <c r="A163" s="227"/>
      <c r="B163" s="228"/>
      <c r="C163" s="233" t="s">
        <v>377</v>
      </c>
      <c r="D163" s="234"/>
      <c r="E163" s="235">
        <v>20.620000000000001</v>
      </c>
      <c r="F163" s="224"/>
      <c r="G163" s="224"/>
      <c r="H163" s="224"/>
      <c r="I163" s="224"/>
      <c r="J163" s="224"/>
      <c r="K163" s="224"/>
      <c r="L163" s="224"/>
      <c r="M163" s="224"/>
      <c r="N163" s="225"/>
      <c r="O163" s="225"/>
      <c r="P163" s="225"/>
      <c r="Q163" s="225"/>
      <c r="R163" s="224"/>
      <c r="S163" s="224"/>
      <c r="T163" s="224"/>
      <c r="U163" s="224"/>
      <c r="V163" s="224"/>
      <c r="W163" s="224"/>
      <c r="X163" s="224"/>
      <c r="Y163" s="224"/>
      <c r="Z163" s="226"/>
      <c r="AA163" s="226"/>
      <c r="AB163" s="226"/>
      <c r="AC163" s="226"/>
      <c r="AD163" s="226"/>
      <c r="AE163" s="226"/>
      <c r="AF163" s="226"/>
      <c r="AG163" s="226" t="s">
        <v>217</v>
      </c>
      <c r="AH163" s="226">
        <v>0</v>
      </c>
      <c r="AI163" s="226"/>
      <c r="AJ163" s="226"/>
      <c r="AK163" s="226"/>
      <c r="AL163" s="226"/>
      <c r="AM163" s="226"/>
      <c r="AN163" s="226"/>
      <c r="AO163" s="226"/>
      <c r="AP163" s="226"/>
      <c r="AQ163" s="226"/>
      <c r="AR163" s="226"/>
      <c r="AS163" s="226"/>
      <c r="AT163" s="226"/>
      <c r="AU163" s="226"/>
      <c r="AV163" s="226"/>
      <c r="AW163" s="226"/>
      <c r="AX163" s="226"/>
      <c r="AY163" s="226"/>
      <c r="AZ163" s="226"/>
      <c r="BA163" s="226"/>
      <c r="BB163" s="226"/>
      <c r="BC163" s="226"/>
      <c r="BD163" s="226"/>
      <c r="BE163" s="226"/>
      <c r="BF163" s="226"/>
      <c r="BG163" s="226"/>
      <c r="BH163" s="226"/>
    </row>
    <row r="164" outlineLevel="1" ht="22.5">
      <c r="A164" s="216">
        <v>44</v>
      </c>
      <c r="B164" s="217" t="s">
        <v>378</v>
      </c>
      <c r="C164" s="218" t="s">
        <v>379</v>
      </c>
      <c r="D164" s="219" t="s">
        <v>207</v>
      </c>
      <c r="E164" s="220">
        <v>20.620999999999999</v>
      </c>
      <c r="F164" s="221"/>
      <c r="G164" s="222">
        <f>ROUND(E164*F164,2)</f>
        <v>0</v>
      </c>
      <c r="H164" s="223"/>
      <c r="I164" s="224">
        <f>ROUND(E164*H164,2)</f>
        <v>0</v>
      </c>
      <c r="J164" s="223"/>
      <c r="K164" s="224">
        <f>ROUND(E164*J164,2)</f>
        <v>0</v>
      </c>
      <c r="L164" s="224">
        <v>21</v>
      </c>
      <c r="M164" s="224">
        <f>G164*(1+L164/100)</f>
        <v>0</v>
      </c>
      <c r="N164" s="225">
        <v>0</v>
      </c>
      <c r="O164" s="225">
        <f>ROUND(E164*N164,2)</f>
        <v>0</v>
      </c>
      <c r="P164" s="225">
        <v>0.0080000000000000002</v>
      </c>
      <c r="Q164" s="225">
        <f>ROUND(E164*P164,2)</f>
        <v>0.16</v>
      </c>
      <c r="R164" s="224"/>
      <c r="S164" s="224" t="s">
        <v>208</v>
      </c>
      <c r="T164" s="224" t="s">
        <v>209</v>
      </c>
      <c r="U164" s="224">
        <v>0</v>
      </c>
      <c r="V164" s="224">
        <f>ROUND(E164*U164,2)</f>
        <v>0</v>
      </c>
      <c r="W164" s="224"/>
      <c r="X164" s="224" t="s">
        <v>210</v>
      </c>
      <c r="Y164" s="224" t="s">
        <v>211</v>
      </c>
      <c r="Z164" s="226"/>
      <c r="AA164" s="226"/>
      <c r="AB164" s="226"/>
      <c r="AC164" s="226"/>
      <c r="AD164" s="226"/>
      <c r="AE164" s="226"/>
      <c r="AF164" s="226"/>
      <c r="AG164" s="226" t="s">
        <v>321</v>
      </c>
      <c r="AH164" s="226"/>
      <c r="AI164" s="226"/>
      <c r="AJ164" s="226"/>
      <c r="AK164" s="226"/>
      <c r="AL164" s="226"/>
      <c r="AM164" s="226"/>
      <c r="AN164" s="226"/>
      <c r="AO164" s="226"/>
      <c r="AP164" s="226"/>
      <c r="AQ164" s="226"/>
      <c r="AR164" s="226"/>
      <c r="AS164" s="226"/>
      <c r="AT164" s="226"/>
      <c r="AU164" s="226"/>
      <c r="AV164" s="226"/>
      <c r="AW164" s="226"/>
      <c r="AX164" s="226"/>
      <c r="AY164" s="226"/>
      <c r="AZ164" s="226"/>
      <c r="BA164" s="226"/>
      <c r="BB164" s="226"/>
      <c r="BC164" s="226"/>
      <c r="BD164" s="226"/>
      <c r="BE164" s="226"/>
      <c r="BF164" s="226"/>
      <c r="BG164" s="226"/>
      <c r="BH164" s="226"/>
    </row>
    <row r="165" outlineLevel="2">
      <c r="A165" s="227"/>
      <c r="B165" s="228"/>
      <c r="C165" s="233" t="s">
        <v>376</v>
      </c>
      <c r="D165" s="234"/>
      <c r="E165" s="235"/>
      <c r="F165" s="224"/>
      <c r="G165" s="224"/>
      <c r="H165" s="224"/>
      <c r="I165" s="224"/>
      <c r="J165" s="224"/>
      <c r="K165" s="224"/>
      <c r="L165" s="224"/>
      <c r="M165" s="224"/>
      <c r="N165" s="225"/>
      <c r="O165" s="225"/>
      <c r="P165" s="225"/>
      <c r="Q165" s="225"/>
      <c r="R165" s="224"/>
      <c r="S165" s="224"/>
      <c r="T165" s="224"/>
      <c r="U165" s="224"/>
      <c r="V165" s="224"/>
      <c r="W165" s="224"/>
      <c r="X165" s="224"/>
      <c r="Y165" s="224"/>
      <c r="Z165" s="226"/>
      <c r="AA165" s="226"/>
      <c r="AB165" s="226"/>
      <c r="AC165" s="226"/>
      <c r="AD165" s="226"/>
      <c r="AE165" s="226"/>
      <c r="AF165" s="226"/>
      <c r="AG165" s="226" t="s">
        <v>217</v>
      </c>
      <c r="AH165" s="226">
        <v>0</v>
      </c>
      <c r="AI165" s="226"/>
      <c r="AJ165" s="226"/>
      <c r="AK165" s="226"/>
      <c r="AL165" s="226"/>
      <c r="AM165" s="226"/>
      <c r="AN165" s="226"/>
      <c r="AO165" s="226"/>
      <c r="AP165" s="226"/>
      <c r="AQ165" s="226"/>
      <c r="AR165" s="226"/>
      <c r="AS165" s="226"/>
      <c r="AT165" s="226"/>
      <c r="AU165" s="226"/>
      <c r="AV165" s="226"/>
      <c r="AW165" s="226"/>
      <c r="AX165" s="226"/>
      <c r="AY165" s="226"/>
      <c r="AZ165" s="226"/>
      <c r="BA165" s="226"/>
      <c r="BB165" s="226"/>
      <c r="BC165" s="226"/>
      <c r="BD165" s="226"/>
      <c r="BE165" s="226"/>
      <c r="BF165" s="226"/>
      <c r="BG165" s="226"/>
      <c r="BH165" s="226"/>
    </row>
    <row r="166" outlineLevel="3">
      <c r="A166" s="227"/>
      <c r="B166" s="228"/>
      <c r="C166" s="233" t="s">
        <v>377</v>
      </c>
      <c r="D166" s="234"/>
      <c r="E166" s="235">
        <v>20.620000000000001</v>
      </c>
      <c r="F166" s="224"/>
      <c r="G166" s="224"/>
      <c r="H166" s="224"/>
      <c r="I166" s="224"/>
      <c r="J166" s="224"/>
      <c r="K166" s="224"/>
      <c r="L166" s="224"/>
      <c r="M166" s="224"/>
      <c r="N166" s="225"/>
      <c r="O166" s="225"/>
      <c r="P166" s="225"/>
      <c r="Q166" s="225"/>
      <c r="R166" s="224"/>
      <c r="S166" s="224"/>
      <c r="T166" s="224"/>
      <c r="U166" s="224"/>
      <c r="V166" s="224"/>
      <c r="W166" s="224"/>
      <c r="X166" s="224"/>
      <c r="Y166" s="224"/>
      <c r="Z166" s="226"/>
      <c r="AA166" s="226"/>
      <c r="AB166" s="226"/>
      <c r="AC166" s="226"/>
      <c r="AD166" s="226"/>
      <c r="AE166" s="226"/>
      <c r="AF166" s="226"/>
      <c r="AG166" s="226" t="s">
        <v>217</v>
      </c>
      <c r="AH166" s="226">
        <v>0</v>
      </c>
      <c r="AI166" s="226"/>
      <c r="AJ166" s="226"/>
      <c r="AK166" s="226"/>
      <c r="AL166" s="226"/>
      <c r="AM166" s="226"/>
      <c r="AN166" s="226"/>
      <c r="AO166" s="226"/>
      <c r="AP166" s="226"/>
      <c r="AQ166" s="226"/>
      <c r="AR166" s="226"/>
      <c r="AS166" s="226"/>
      <c r="AT166" s="226"/>
      <c r="AU166" s="226"/>
      <c r="AV166" s="226"/>
      <c r="AW166" s="226"/>
      <c r="AX166" s="226"/>
      <c r="AY166" s="226"/>
      <c r="AZ166" s="226"/>
      <c r="BA166" s="226"/>
      <c r="BB166" s="226"/>
      <c r="BC166" s="226"/>
      <c r="BD166" s="226"/>
      <c r="BE166" s="226"/>
      <c r="BF166" s="226"/>
      <c r="BG166" s="226"/>
      <c r="BH166" s="226"/>
    </row>
    <row r="167">
      <c r="A167" s="207" t="s">
        <v>203</v>
      </c>
      <c r="B167" s="208" t="s">
        <v>169</v>
      </c>
      <c r="C167" s="209" t="s">
        <v>170</v>
      </c>
      <c r="D167" s="210"/>
      <c r="E167" s="211"/>
      <c r="F167" s="212"/>
      <c r="G167" s="213">
        <f>SUMIF(AG168:AG171,"&lt;&gt;NOR",G168:G171)</f>
        <v>0</v>
      </c>
      <c r="H167" s="214"/>
      <c r="I167" s="214">
        <f>SUM(I168:I171)</f>
        <v>0</v>
      </c>
      <c r="J167" s="214"/>
      <c r="K167" s="214">
        <f>SUM(K168:K171)</f>
        <v>0</v>
      </c>
      <c r="L167" s="214"/>
      <c r="M167" s="214">
        <f>SUM(M168:M171)</f>
        <v>0</v>
      </c>
      <c r="N167" s="215"/>
      <c r="O167" s="215">
        <f>SUM(O168:O171)</f>
        <v>0</v>
      </c>
      <c r="P167" s="215"/>
      <c r="Q167" s="215">
        <f>SUM(Q168:Q171)</f>
        <v>0.94999999999999996</v>
      </c>
      <c r="R167" s="214"/>
      <c r="S167" s="214"/>
      <c r="T167" s="214"/>
      <c r="U167" s="214"/>
      <c r="V167" s="214">
        <f>SUM(V168:V171)</f>
        <v>0</v>
      </c>
      <c r="W167" s="214"/>
      <c r="X167" s="214"/>
      <c r="Y167" s="214"/>
      <c r="AG167" t="s">
        <v>204</v>
      </c>
    </row>
    <row r="168" outlineLevel="1">
      <c r="A168" s="216">
        <v>45</v>
      </c>
      <c r="B168" s="217" t="s">
        <v>380</v>
      </c>
      <c r="C168" s="218" t="s">
        <v>381</v>
      </c>
      <c r="D168" s="219" t="s">
        <v>207</v>
      </c>
      <c r="E168" s="220">
        <v>105.79900000000001</v>
      </c>
      <c r="F168" s="221"/>
      <c r="G168" s="222">
        <f>ROUND(E168*F168,2)</f>
        <v>0</v>
      </c>
      <c r="H168" s="223"/>
      <c r="I168" s="224">
        <f>ROUND(E168*H168,2)</f>
        <v>0</v>
      </c>
      <c r="J168" s="223"/>
      <c r="K168" s="224">
        <f>ROUND(E168*J168,2)</f>
        <v>0</v>
      </c>
      <c r="L168" s="224">
        <v>21</v>
      </c>
      <c r="M168" s="224">
        <f>G168*(1+L168/100)</f>
        <v>0</v>
      </c>
      <c r="N168" s="225">
        <v>0</v>
      </c>
      <c r="O168" s="225">
        <f>ROUND(E168*N168,2)</f>
        <v>0</v>
      </c>
      <c r="P168" s="225">
        <v>0.0089999999999999993</v>
      </c>
      <c r="Q168" s="225">
        <f>ROUND(E168*P168,2)</f>
        <v>0.94999999999999996</v>
      </c>
      <c r="R168" s="224"/>
      <c r="S168" s="224" t="s">
        <v>208</v>
      </c>
      <c r="T168" s="224" t="s">
        <v>209</v>
      </c>
      <c r="U168" s="224">
        <v>0</v>
      </c>
      <c r="V168" s="224">
        <f>ROUND(E168*U168,2)</f>
        <v>0</v>
      </c>
      <c r="W168" s="224"/>
      <c r="X168" s="224" t="s">
        <v>210</v>
      </c>
      <c r="Y168" s="224" t="s">
        <v>211</v>
      </c>
      <c r="Z168" s="226"/>
      <c r="AA168" s="226"/>
      <c r="AB168" s="226"/>
      <c r="AC168" s="226"/>
      <c r="AD168" s="226"/>
      <c r="AE168" s="226"/>
      <c r="AF168" s="226"/>
      <c r="AG168" s="226" t="s">
        <v>321</v>
      </c>
      <c r="AH168" s="226"/>
      <c r="AI168" s="226"/>
      <c r="AJ168" s="226"/>
      <c r="AK168" s="226"/>
      <c r="AL168" s="226"/>
      <c r="AM168" s="226"/>
      <c r="AN168" s="226"/>
      <c r="AO168" s="226"/>
      <c r="AP168" s="226"/>
      <c r="AQ168" s="226"/>
      <c r="AR168" s="226"/>
      <c r="AS168" s="226"/>
      <c r="AT168" s="226"/>
      <c r="AU168" s="226"/>
      <c r="AV168" s="226"/>
      <c r="AW168" s="226"/>
      <c r="AX168" s="226"/>
      <c r="AY168" s="226"/>
      <c r="AZ168" s="226"/>
      <c r="BA168" s="226"/>
      <c r="BB168" s="226"/>
      <c r="BC168" s="226"/>
      <c r="BD168" s="226"/>
      <c r="BE168" s="226"/>
      <c r="BF168" s="226"/>
      <c r="BG168" s="226"/>
      <c r="BH168" s="226"/>
    </row>
    <row r="169" outlineLevel="2">
      <c r="A169" s="227"/>
      <c r="B169" s="228"/>
      <c r="C169" s="229" t="s">
        <v>272</v>
      </c>
      <c r="D169" s="230"/>
      <c r="E169" s="230"/>
      <c r="F169" s="230"/>
      <c r="G169" s="230"/>
      <c r="H169" s="224"/>
      <c r="I169" s="224"/>
      <c r="J169" s="224"/>
      <c r="K169" s="224"/>
      <c r="L169" s="224"/>
      <c r="M169" s="224"/>
      <c r="N169" s="225"/>
      <c r="O169" s="225"/>
      <c r="P169" s="225"/>
      <c r="Q169" s="225"/>
      <c r="R169" s="224"/>
      <c r="S169" s="224"/>
      <c r="T169" s="224"/>
      <c r="U169" s="224"/>
      <c r="V169" s="224"/>
      <c r="W169" s="224"/>
      <c r="X169" s="224"/>
      <c r="Y169" s="224"/>
      <c r="Z169" s="226"/>
      <c r="AA169" s="226"/>
      <c r="AB169" s="226"/>
      <c r="AC169" s="226"/>
      <c r="AD169" s="226"/>
      <c r="AE169" s="226"/>
      <c r="AF169" s="226"/>
      <c r="AG169" s="226" t="s">
        <v>214</v>
      </c>
      <c r="AH169" s="226"/>
      <c r="AI169" s="226"/>
      <c r="AJ169" s="226"/>
      <c r="AK169" s="226"/>
      <c r="AL169" s="226"/>
      <c r="AM169" s="226"/>
      <c r="AN169" s="226"/>
      <c r="AO169" s="226"/>
      <c r="AP169" s="226"/>
      <c r="AQ169" s="226"/>
      <c r="AR169" s="226"/>
      <c r="AS169" s="226"/>
      <c r="AT169" s="226"/>
      <c r="AU169" s="226"/>
      <c r="AV169" s="226"/>
      <c r="AW169" s="226"/>
      <c r="AX169" s="226"/>
      <c r="AY169" s="226"/>
      <c r="AZ169" s="226"/>
      <c r="BA169" s="226"/>
      <c r="BB169" s="226"/>
      <c r="BC169" s="226"/>
      <c r="BD169" s="226"/>
      <c r="BE169" s="226"/>
      <c r="BF169" s="226"/>
      <c r="BG169" s="226"/>
      <c r="BH169" s="226"/>
    </row>
    <row r="170" outlineLevel="2">
      <c r="A170" s="227"/>
      <c r="B170" s="228"/>
      <c r="C170" s="233" t="s">
        <v>382</v>
      </c>
      <c r="D170" s="234"/>
      <c r="E170" s="235"/>
      <c r="F170" s="224"/>
      <c r="G170" s="224"/>
      <c r="H170" s="224"/>
      <c r="I170" s="224"/>
      <c r="J170" s="224"/>
      <c r="K170" s="224"/>
      <c r="L170" s="224"/>
      <c r="M170" s="224"/>
      <c r="N170" s="225"/>
      <c r="O170" s="225"/>
      <c r="P170" s="225"/>
      <c r="Q170" s="225"/>
      <c r="R170" s="224"/>
      <c r="S170" s="224"/>
      <c r="T170" s="224"/>
      <c r="U170" s="224"/>
      <c r="V170" s="224"/>
      <c r="W170" s="224"/>
      <c r="X170" s="224"/>
      <c r="Y170" s="224"/>
      <c r="Z170" s="226"/>
      <c r="AA170" s="226"/>
      <c r="AB170" s="226"/>
      <c r="AC170" s="226"/>
      <c r="AD170" s="226"/>
      <c r="AE170" s="226"/>
      <c r="AF170" s="226"/>
      <c r="AG170" s="226" t="s">
        <v>217</v>
      </c>
      <c r="AH170" s="226">
        <v>0</v>
      </c>
      <c r="AI170" s="226"/>
      <c r="AJ170" s="226"/>
      <c r="AK170" s="226"/>
      <c r="AL170" s="226"/>
      <c r="AM170" s="226"/>
      <c r="AN170" s="226"/>
      <c r="AO170" s="226"/>
      <c r="AP170" s="226"/>
      <c r="AQ170" s="226"/>
      <c r="AR170" s="226"/>
      <c r="AS170" s="226"/>
      <c r="AT170" s="226"/>
      <c r="AU170" s="226"/>
      <c r="AV170" s="226"/>
      <c r="AW170" s="226"/>
      <c r="AX170" s="226"/>
      <c r="AY170" s="226"/>
      <c r="AZ170" s="226"/>
      <c r="BA170" s="226"/>
      <c r="BB170" s="226"/>
      <c r="BC170" s="226"/>
      <c r="BD170" s="226"/>
      <c r="BE170" s="226"/>
      <c r="BF170" s="226"/>
      <c r="BG170" s="226"/>
      <c r="BH170" s="226"/>
    </row>
    <row r="171" outlineLevel="3">
      <c r="A171" s="227"/>
      <c r="B171" s="228"/>
      <c r="C171" s="233" t="s">
        <v>383</v>
      </c>
      <c r="D171" s="234"/>
      <c r="E171" s="235">
        <v>105.79900000000001</v>
      </c>
      <c r="F171" s="224"/>
      <c r="G171" s="224"/>
      <c r="H171" s="224"/>
      <c r="I171" s="224"/>
      <c r="J171" s="224"/>
      <c r="K171" s="224"/>
      <c r="L171" s="224"/>
      <c r="M171" s="224"/>
      <c r="N171" s="225"/>
      <c r="O171" s="225"/>
      <c r="P171" s="225"/>
      <c r="Q171" s="225"/>
      <c r="R171" s="224"/>
      <c r="S171" s="224"/>
      <c r="T171" s="224"/>
      <c r="U171" s="224"/>
      <c r="V171" s="224"/>
      <c r="W171" s="224"/>
      <c r="X171" s="224"/>
      <c r="Y171" s="224"/>
      <c r="Z171" s="226"/>
      <c r="AA171" s="226"/>
      <c r="AB171" s="226"/>
      <c r="AC171" s="226"/>
      <c r="AD171" s="226"/>
      <c r="AE171" s="226"/>
      <c r="AF171" s="226"/>
      <c r="AG171" s="226" t="s">
        <v>217</v>
      </c>
      <c r="AH171" s="226">
        <v>0</v>
      </c>
      <c r="AI171" s="226"/>
      <c r="AJ171" s="226"/>
      <c r="AK171" s="226"/>
      <c r="AL171" s="226"/>
      <c r="AM171" s="226"/>
      <c r="AN171" s="226"/>
      <c r="AO171" s="226"/>
      <c r="AP171" s="226"/>
      <c r="AQ171" s="226"/>
      <c r="AR171" s="226"/>
      <c r="AS171" s="226"/>
      <c r="AT171" s="226"/>
      <c r="AU171" s="226"/>
      <c r="AV171" s="226"/>
      <c r="AW171" s="226"/>
      <c r="AX171" s="226"/>
      <c r="AY171" s="226"/>
      <c r="AZ171" s="226"/>
      <c r="BA171" s="226"/>
      <c r="BB171" s="226"/>
      <c r="BC171" s="226"/>
      <c r="BD171" s="226"/>
      <c r="BE171" s="226"/>
      <c r="BF171" s="226"/>
      <c r="BG171" s="226"/>
      <c r="BH171" s="226"/>
    </row>
    <row r="172">
      <c r="A172" s="207" t="s">
        <v>203</v>
      </c>
      <c r="B172" s="208" t="s">
        <v>129</v>
      </c>
      <c r="C172" s="209" t="s">
        <v>130</v>
      </c>
      <c r="D172" s="210"/>
      <c r="E172" s="211"/>
      <c r="F172" s="212"/>
      <c r="G172" s="213">
        <f>SUMIF(AG173:AG176,"&lt;&gt;NOR",G173:G176)</f>
        <v>0</v>
      </c>
      <c r="H172" s="214"/>
      <c r="I172" s="214">
        <f>SUM(I173:I176)</f>
        <v>0</v>
      </c>
      <c r="J172" s="214"/>
      <c r="K172" s="214">
        <f>SUM(K173:K176)</f>
        <v>0</v>
      </c>
      <c r="L172" s="214"/>
      <c r="M172" s="214">
        <f>SUM(M173:M176)</f>
        <v>0</v>
      </c>
      <c r="N172" s="215"/>
      <c r="O172" s="215">
        <f>SUM(O173:O176)</f>
        <v>0</v>
      </c>
      <c r="P172" s="215"/>
      <c r="Q172" s="215">
        <f>SUM(Q173:Q176)</f>
        <v>0</v>
      </c>
      <c r="R172" s="214"/>
      <c r="S172" s="214"/>
      <c r="T172" s="214"/>
      <c r="U172" s="214"/>
      <c r="V172" s="214">
        <f>SUM(V173:V176)</f>
        <v>0</v>
      </c>
      <c r="W172" s="214"/>
      <c r="X172" s="214"/>
      <c r="Y172" s="214"/>
      <c r="AG172" t="s">
        <v>204</v>
      </c>
    </row>
    <row r="173" outlineLevel="1" ht="22.5">
      <c r="A173" s="237">
        <v>46</v>
      </c>
      <c r="B173" s="238" t="s">
        <v>384</v>
      </c>
      <c r="C173" s="239" t="s">
        <v>385</v>
      </c>
      <c r="D173" s="240" t="s">
        <v>280</v>
      </c>
      <c r="E173" s="241">
        <v>1</v>
      </c>
      <c r="F173" s="242"/>
      <c r="G173" s="243">
        <f>ROUND(E173*F173,2)</f>
        <v>0</v>
      </c>
      <c r="H173" s="223"/>
      <c r="I173" s="224">
        <f>ROUND(E173*H173,2)</f>
        <v>0</v>
      </c>
      <c r="J173" s="223"/>
      <c r="K173" s="224">
        <f>ROUND(E173*J173,2)</f>
        <v>0</v>
      </c>
      <c r="L173" s="224">
        <v>21</v>
      </c>
      <c r="M173" s="224">
        <f>G173*(1+L173/100)</f>
        <v>0</v>
      </c>
      <c r="N173" s="225">
        <v>0</v>
      </c>
      <c r="O173" s="225">
        <f>ROUND(E173*N173,2)</f>
        <v>0</v>
      </c>
      <c r="P173" s="225">
        <v>0</v>
      </c>
      <c r="Q173" s="225">
        <f>ROUND(E173*P173,2)</f>
        <v>0</v>
      </c>
      <c r="R173" s="224"/>
      <c r="S173" s="224" t="s">
        <v>208</v>
      </c>
      <c r="T173" s="224" t="s">
        <v>209</v>
      </c>
      <c r="U173" s="224">
        <v>0</v>
      </c>
      <c r="V173" s="224">
        <f>ROUND(E173*U173,2)</f>
        <v>0</v>
      </c>
      <c r="W173" s="224"/>
      <c r="X173" s="224" t="s">
        <v>210</v>
      </c>
      <c r="Y173" s="224" t="s">
        <v>211</v>
      </c>
      <c r="Z173" s="226"/>
      <c r="AA173" s="226"/>
      <c r="AB173" s="226"/>
      <c r="AC173" s="226"/>
      <c r="AD173" s="226"/>
      <c r="AE173" s="226"/>
      <c r="AF173" s="226"/>
      <c r="AG173" s="226" t="s">
        <v>212</v>
      </c>
      <c r="AH173" s="226"/>
      <c r="AI173" s="226"/>
      <c r="AJ173" s="226"/>
      <c r="AK173" s="226"/>
      <c r="AL173" s="226"/>
      <c r="AM173" s="226"/>
      <c r="AN173" s="226"/>
      <c r="AO173" s="226"/>
      <c r="AP173" s="226"/>
      <c r="AQ173" s="226"/>
      <c r="AR173" s="226"/>
      <c r="AS173" s="226"/>
      <c r="AT173" s="226"/>
      <c r="AU173" s="226"/>
      <c r="AV173" s="226"/>
      <c r="AW173" s="226"/>
      <c r="AX173" s="226"/>
      <c r="AY173" s="226"/>
      <c r="AZ173" s="226"/>
      <c r="BA173" s="226"/>
      <c r="BB173" s="226"/>
      <c r="BC173" s="226"/>
      <c r="BD173" s="226"/>
      <c r="BE173" s="226"/>
      <c r="BF173" s="226"/>
      <c r="BG173" s="226"/>
      <c r="BH173" s="226"/>
    </row>
    <row r="174" outlineLevel="1" ht="33.75">
      <c r="A174" s="216">
        <v>47</v>
      </c>
      <c r="B174" s="217" t="s">
        <v>386</v>
      </c>
      <c r="C174" s="218" t="s">
        <v>387</v>
      </c>
      <c r="D174" s="219" t="s">
        <v>320</v>
      </c>
      <c r="E174" s="220">
        <v>20</v>
      </c>
      <c r="F174" s="221"/>
      <c r="G174" s="222">
        <f>ROUND(E174*F174,2)</f>
        <v>0</v>
      </c>
      <c r="H174" s="223"/>
      <c r="I174" s="224">
        <f>ROUND(E174*H174,2)</f>
        <v>0</v>
      </c>
      <c r="J174" s="223"/>
      <c r="K174" s="224">
        <f>ROUND(E174*J174,2)</f>
        <v>0</v>
      </c>
      <c r="L174" s="224">
        <v>21</v>
      </c>
      <c r="M174" s="224">
        <f>G174*(1+L174/100)</f>
        <v>0</v>
      </c>
      <c r="N174" s="225">
        <v>0</v>
      </c>
      <c r="O174" s="225">
        <f>ROUND(E174*N174,2)</f>
        <v>0</v>
      </c>
      <c r="P174" s="225">
        <v>1.0000000000000001E-05</v>
      </c>
      <c r="Q174" s="225">
        <f>ROUND(E174*P174,2)</f>
        <v>0</v>
      </c>
      <c r="R174" s="224"/>
      <c r="S174" s="224" t="s">
        <v>208</v>
      </c>
      <c r="T174" s="224" t="s">
        <v>209</v>
      </c>
      <c r="U174" s="224">
        <v>0</v>
      </c>
      <c r="V174" s="224">
        <f>ROUND(E174*U174,2)</f>
        <v>0</v>
      </c>
      <c r="W174" s="224"/>
      <c r="X174" s="224" t="s">
        <v>210</v>
      </c>
      <c r="Y174" s="224" t="s">
        <v>211</v>
      </c>
      <c r="Z174" s="226"/>
      <c r="AA174" s="226"/>
      <c r="AB174" s="226"/>
      <c r="AC174" s="226"/>
      <c r="AD174" s="226"/>
      <c r="AE174" s="226"/>
      <c r="AF174" s="226"/>
      <c r="AG174" s="226" t="s">
        <v>212</v>
      </c>
      <c r="AH174" s="226"/>
      <c r="AI174" s="226"/>
      <c r="AJ174" s="226"/>
      <c r="AK174" s="226"/>
      <c r="AL174" s="226"/>
      <c r="AM174" s="226"/>
      <c r="AN174" s="226"/>
      <c r="AO174" s="226"/>
      <c r="AP174" s="226"/>
      <c r="AQ174" s="226"/>
      <c r="AR174" s="226"/>
      <c r="AS174" s="226"/>
      <c r="AT174" s="226"/>
      <c r="AU174" s="226"/>
      <c r="AV174" s="226"/>
      <c r="AW174" s="226"/>
      <c r="AX174" s="226"/>
      <c r="AY174" s="226"/>
      <c r="AZ174" s="226"/>
      <c r="BA174" s="226"/>
      <c r="BB174" s="226"/>
      <c r="BC174" s="226"/>
      <c r="BD174" s="226"/>
      <c r="BE174" s="226"/>
      <c r="BF174" s="226"/>
      <c r="BG174" s="226"/>
      <c r="BH174" s="226"/>
    </row>
    <row r="175" outlineLevel="2">
      <c r="A175" s="227"/>
      <c r="B175" s="228"/>
      <c r="C175" s="233" t="s">
        <v>388</v>
      </c>
      <c r="D175" s="234"/>
      <c r="E175" s="235"/>
      <c r="F175" s="224"/>
      <c r="G175" s="224"/>
      <c r="H175" s="224"/>
      <c r="I175" s="224"/>
      <c r="J175" s="224"/>
      <c r="K175" s="224"/>
      <c r="L175" s="224"/>
      <c r="M175" s="224"/>
      <c r="N175" s="225"/>
      <c r="O175" s="225"/>
      <c r="P175" s="225"/>
      <c r="Q175" s="225"/>
      <c r="R175" s="224"/>
      <c r="S175" s="224"/>
      <c r="T175" s="224"/>
      <c r="U175" s="224"/>
      <c r="V175" s="224"/>
      <c r="W175" s="224"/>
      <c r="X175" s="224"/>
      <c r="Y175" s="224"/>
      <c r="Z175" s="226"/>
      <c r="AA175" s="226"/>
      <c r="AB175" s="226"/>
      <c r="AC175" s="226"/>
      <c r="AD175" s="226"/>
      <c r="AE175" s="226"/>
      <c r="AF175" s="226"/>
      <c r="AG175" s="226" t="s">
        <v>217</v>
      </c>
      <c r="AH175" s="226">
        <v>0</v>
      </c>
      <c r="AI175" s="226"/>
      <c r="AJ175" s="226"/>
      <c r="AK175" s="226"/>
      <c r="AL175" s="226"/>
      <c r="AM175" s="226"/>
      <c r="AN175" s="226"/>
      <c r="AO175" s="226"/>
      <c r="AP175" s="226"/>
      <c r="AQ175" s="226"/>
      <c r="AR175" s="226"/>
      <c r="AS175" s="226"/>
      <c r="AT175" s="226"/>
      <c r="AU175" s="226"/>
      <c r="AV175" s="226"/>
      <c r="AW175" s="226"/>
      <c r="AX175" s="226"/>
      <c r="AY175" s="226"/>
      <c r="AZ175" s="226"/>
      <c r="BA175" s="226"/>
      <c r="BB175" s="226"/>
      <c r="BC175" s="226"/>
      <c r="BD175" s="226"/>
      <c r="BE175" s="226"/>
      <c r="BF175" s="226"/>
      <c r="BG175" s="226"/>
      <c r="BH175" s="226"/>
    </row>
    <row r="176" outlineLevel="3">
      <c r="A176" s="227"/>
      <c r="B176" s="228"/>
      <c r="C176" s="233" t="s">
        <v>365</v>
      </c>
      <c r="D176" s="234"/>
      <c r="E176" s="235">
        <v>20</v>
      </c>
      <c r="F176" s="224"/>
      <c r="G176" s="224"/>
      <c r="H176" s="224"/>
      <c r="I176" s="224"/>
      <c r="J176" s="224"/>
      <c r="K176" s="224"/>
      <c r="L176" s="224"/>
      <c r="M176" s="224"/>
      <c r="N176" s="225"/>
      <c r="O176" s="225"/>
      <c r="P176" s="225"/>
      <c r="Q176" s="225"/>
      <c r="R176" s="224"/>
      <c r="S176" s="224"/>
      <c r="T176" s="224"/>
      <c r="U176" s="224"/>
      <c r="V176" s="224"/>
      <c r="W176" s="224"/>
      <c r="X176" s="224"/>
      <c r="Y176" s="224"/>
      <c r="Z176" s="226"/>
      <c r="AA176" s="226"/>
      <c r="AB176" s="226"/>
      <c r="AC176" s="226"/>
      <c r="AD176" s="226"/>
      <c r="AE176" s="226"/>
      <c r="AF176" s="226"/>
      <c r="AG176" s="226" t="s">
        <v>217</v>
      </c>
      <c r="AH176" s="226">
        <v>0</v>
      </c>
      <c r="AI176" s="226"/>
      <c r="AJ176" s="226"/>
      <c r="AK176" s="226"/>
      <c r="AL176" s="226"/>
      <c r="AM176" s="226"/>
      <c r="AN176" s="226"/>
      <c r="AO176" s="226"/>
      <c r="AP176" s="226"/>
      <c r="AQ176" s="226"/>
      <c r="AR176" s="226"/>
      <c r="AS176" s="226"/>
      <c r="AT176" s="226"/>
      <c r="AU176" s="226"/>
      <c r="AV176" s="226"/>
      <c r="AW176" s="226"/>
      <c r="AX176" s="226"/>
      <c r="AY176" s="226"/>
      <c r="AZ176" s="226"/>
      <c r="BA176" s="226"/>
      <c r="BB176" s="226"/>
      <c r="BC176" s="226"/>
      <c r="BD176" s="226"/>
      <c r="BE176" s="226"/>
      <c r="BF176" s="226"/>
      <c r="BG176" s="226"/>
      <c r="BH176" s="226"/>
    </row>
    <row r="177">
      <c r="A177" s="180"/>
      <c r="B177" s="188"/>
      <c r="C177" s="244"/>
      <c r="D177" s="190"/>
      <c r="E177" s="180"/>
      <c r="F177" s="180"/>
      <c r="G177" s="180"/>
      <c r="H177" s="180"/>
      <c r="I177" s="180"/>
      <c r="J177" s="180"/>
      <c r="K177" s="180"/>
      <c r="L177" s="180"/>
      <c r="M177" s="180"/>
      <c r="N177" s="180"/>
      <c r="O177" s="180"/>
      <c r="P177" s="180"/>
      <c r="Q177" s="180"/>
      <c r="R177" s="180"/>
      <c r="S177" s="180"/>
      <c r="T177" s="180"/>
      <c r="U177" s="180"/>
      <c r="V177" s="180"/>
      <c r="W177" s="180"/>
      <c r="X177" s="180"/>
      <c r="Y177" s="180"/>
      <c r="AE177">
        <v>12</v>
      </c>
      <c r="AF177">
        <v>21</v>
      </c>
      <c r="AG177" t="s">
        <v>189</v>
      </c>
    </row>
    <row r="178">
      <c r="A178" s="245"/>
      <c r="B178" s="246" t="s">
        <v>26</v>
      </c>
      <c r="C178" s="247"/>
      <c r="D178" s="248"/>
      <c r="E178" s="249"/>
      <c r="F178" s="249"/>
      <c r="G178" s="250">
        <f>G8+G36+G71+G100+G120+G132+G150+G157+G167+G172</f>
        <v>0</v>
      </c>
      <c r="H178" s="180"/>
      <c r="I178" s="180"/>
      <c r="J178" s="180"/>
      <c r="K178" s="180"/>
      <c r="L178" s="180"/>
      <c r="M178" s="180"/>
      <c r="N178" s="180"/>
      <c r="O178" s="180"/>
      <c r="P178" s="180"/>
      <c r="Q178" s="180"/>
      <c r="R178" s="180"/>
      <c r="S178" s="180"/>
      <c r="T178" s="180"/>
      <c r="U178" s="180"/>
      <c r="V178" s="180"/>
      <c r="W178" s="180"/>
      <c r="X178" s="180"/>
      <c r="Y178" s="180"/>
      <c r="AE178">
        <f>SUMIF(L7:L176,AE177,G7:G176)</f>
        <v>0</v>
      </c>
      <c r="AF178">
        <f>SUMIF(L7:L176,AF177,G7:G176)</f>
        <v>0</v>
      </c>
      <c r="AG178" t="s">
        <v>389</v>
      </c>
    </row>
    <row r="179">
      <c r="A179" s="180"/>
      <c r="B179" s="188"/>
      <c r="C179" s="244"/>
      <c r="D179" s="190"/>
      <c r="E179" s="180"/>
      <c r="F179" s="180"/>
      <c r="G179" s="180"/>
      <c r="H179" s="180"/>
      <c r="I179" s="180"/>
      <c r="J179" s="180"/>
      <c r="K179" s="180"/>
      <c r="L179" s="180"/>
      <c r="M179" s="180"/>
      <c r="N179" s="180"/>
      <c r="O179" s="180"/>
      <c r="P179" s="180"/>
      <c r="Q179" s="180"/>
      <c r="R179" s="180"/>
      <c r="S179" s="180"/>
      <c r="T179" s="180"/>
      <c r="U179" s="180"/>
      <c r="V179" s="180"/>
      <c r="W179" s="180"/>
      <c r="X179" s="180"/>
      <c r="Y179" s="180"/>
    </row>
    <row r="180">
      <c r="A180" s="180"/>
      <c r="B180" s="188"/>
      <c r="C180" s="244"/>
      <c r="D180" s="190"/>
      <c r="E180" s="180"/>
      <c r="F180" s="180"/>
      <c r="G180" s="180"/>
      <c r="H180" s="180"/>
      <c r="I180" s="180"/>
      <c r="J180" s="180"/>
      <c r="K180" s="180"/>
      <c r="L180" s="180"/>
      <c r="M180" s="180"/>
      <c r="N180" s="180"/>
      <c r="O180" s="180"/>
      <c r="P180" s="180"/>
      <c r="Q180" s="180"/>
      <c r="R180" s="180"/>
      <c r="S180" s="180"/>
      <c r="T180" s="180"/>
      <c r="U180" s="180"/>
      <c r="V180" s="180"/>
      <c r="W180" s="180"/>
      <c r="X180" s="180"/>
      <c r="Y180" s="180"/>
    </row>
    <row r="181">
      <c r="A181" s="180" t="s">
        <v>390</v>
      </c>
      <c r="B181" s="180"/>
      <c r="C181" s="251"/>
      <c r="D181" s="190"/>
      <c r="E181" s="180"/>
      <c r="F181" s="180"/>
      <c r="G181" s="180"/>
      <c r="H181" s="180"/>
      <c r="I181" s="180"/>
      <c r="J181" s="180"/>
      <c r="K181" s="180"/>
      <c r="L181" s="180"/>
      <c r="M181" s="180"/>
      <c r="N181" s="180"/>
      <c r="O181" s="180"/>
      <c r="P181" s="180"/>
      <c r="Q181" s="180"/>
      <c r="R181" s="180"/>
      <c r="S181" s="180"/>
      <c r="T181" s="180"/>
      <c r="U181" s="180"/>
      <c r="V181" s="180"/>
      <c r="W181" s="180"/>
      <c r="X181" s="180"/>
      <c r="Y181" s="180"/>
    </row>
    <row r="182">
      <c r="A182" s="252"/>
      <c r="B182" s="253"/>
      <c r="C182" s="254"/>
      <c r="D182" s="253"/>
      <c r="E182" s="253"/>
      <c r="F182" s="253"/>
      <c r="G182" s="255"/>
      <c r="H182" s="180"/>
      <c r="I182" s="180"/>
      <c r="J182" s="180"/>
      <c r="K182" s="180"/>
      <c r="L182" s="180"/>
      <c r="M182" s="180"/>
      <c r="N182" s="180"/>
      <c r="O182" s="180"/>
      <c r="P182" s="180"/>
      <c r="Q182" s="180"/>
      <c r="R182" s="180"/>
      <c r="S182" s="180"/>
      <c r="T182" s="180"/>
      <c r="U182" s="180"/>
      <c r="V182" s="180"/>
      <c r="W182" s="180"/>
      <c r="X182" s="180"/>
      <c r="Y182" s="180"/>
      <c r="AG182" t="s">
        <v>391</v>
      </c>
    </row>
    <row r="183">
      <c r="A183" s="256"/>
      <c r="B183" s="257"/>
      <c r="C183" s="258"/>
      <c r="D183" s="257"/>
      <c r="E183" s="257"/>
      <c r="F183" s="257"/>
      <c r="G183" s="259"/>
      <c r="H183" s="180"/>
      <c r="I183" s="180"/>
      <c r="J183" s="180"/>
      <c r="K183" s="180"/>
      <c r="L183" s="180"/>
      <c r="M183" s="180"/>
      <c r="N183" s="180"/>
      <c r="O183" s="180"/>
      <c r="P183" s="180"/>
      <c r="Q183" s="180"/>
      <c r="R183" s="180"/>
      <c r="S183" s="180"/>
      <c r="T183" s="180"/>
      <c r="U183" s="180"/>
      <c r="V183" s="180"/>
      <c r="W183" s="180"/>
      <c r="X183" s="180"/>
      <c r="Y183" s="180"/>
    </row>
    <row r="184">
      <c r="A184" s="256"/>
      <c r="B184" s="257"/>
      <c r="C184" s="258"/>
      <c r="D184" s="257"/>
      <c r="E184" s="257"/>
      <c r="F184" s="257"/>
      <c r="G184" s="259"/>
      <c r="H184" s="180"/>
      <c r="I184" s="180"/>
      <c r="J184" s="180"/>
      <c r="K184" s="180"/>
      <c r="L184" s="180"/>
      <c r="M184" s="180"/>
      <c r="N184" s="180"/>
      <c r="O184" s="180"/>
      <c r="P184" s="180"/>
      <c r="Q184" s="180"/>
      <c r="R184" s="180"/>
      <c r="S184" s="180"/>
      <c r="T184" s="180"/>
      <c r="U184" s="180"/>
      <c r="V184" s="180"/>
      <c r="W184" s="180"/>
      <c r="X184" s="180"/>
      <c r="Y184" s="180"/>
    </row>
    <row r="185">
      <c r="A185" s="256"/>
      <c r="B185" s="257"/>
      <c r="C185" s="258"/>
      <c r="D185" s="257"/>
      <c r="E185" s="257"/>
      <c r="F185" s="257"/>
      <c r="G185" s="259"/>
      <c r="H185" s="180"/>
      <c r="I185" s="180"/>
      <c r="J185" s="180"/>
      <c r="K185" s="180"/>
      <c r="L185" s="180"/>
      <c r="M185" s="180"/>
      <c r="N185" s="180"/>
      <c r="O185" s="180"/>
      <c r="P185" s="180"/>
      <c r="Q185" s="180"/>
      <c r="R185" s="180"/>
      <c r="S185" s="180"/>
      <c r="T185" s="180"/>
      <c r="U185" s="180"/>
      <c r="V185" s="180"/>
      <c r="W185" s="180"/>
      <c r="X185" s="180"/>
      <c r="Y185" s="180"/>
    </row>
    <row r="186">
      <c r="A186" s="260"/>
      <c r="B186" s="261"/>
      <c r="C186" s="262"/>
      <c r="D186" s="261"/>
      <c r="E186" s="261"/>
      <c r="F186" s="261"/>
      <c r="G186" s="263"/>
      <c r="H186" s="180"/>
      <c r="I186" s="180"/>
      <c r="J186" s="180"/>
      <c r="K186" s="180"/>
      <c r="L186" s="180"/>
      <c r="M186" s="180"/>
      <c r="N186" s="180"/>
      <c r="O186" s="180"/>
      <c r="P186" s="180"/>
      <c r="Q186" s="180"/>
      <c r="R186" s="180"/>
      <c r="S186" s="180"/>
      <c r="T186" s="180"/>
      <c r="U186" s="180"/>
      <c r="V186" s="180"/>
      <c r="W186" s="180"/>
      <c r="X186" s="180"/>
      <c r="Y186" s="180"/>
    </row>
    <row r="187">
      <c r="A187" s="180"/>
      <c r="B187" s="188"/>
      <c r="C187" s="244"/>
      <c r="D187" s="190"/>
      <c r="E187" s="180"/>
      <c r="F187" s="180"/>
      <c r="G187" s="180"/>
      <c r="H187" s="180"/>
      <c r="I187" s="180"/>
      <c r="J187" s="180"/>
      <c r="K187" s="180"/>
      <c r="L187" s="180"/>
      <c r="M187" s="180"/>
      <c r="N187" s="180"/>
      <c r="O187" s="180"/>
      <c r="P187" s="180"/>
      <c r="Q187" s="180"/>
      <c r="R187" s="180"/>
      <c r="S187" s="180"/>
      <c r="T187" s="180"/>
      <c r="U187" s="180"/>
      <c r="V187" s="180"/>
      <c r="W187" s="180"/>
      <c r="X187" s="180"/>
      <c r="Y187" s="180"/>
    </row>
    <row r="188">
      <c r="C188" s="264"/>
      <c r="D188" s="123"/>
      <c r="AG188" t="s">
        <v>392</v>
      </c>
    </row>
    <row r="189">
      <c r="D189" s="123"/>
    </row>
    <row r="190">
      <c r="D190" s="123"/>
    </row>
    <row r="191">
      <c r="D191" s="123"/>
    </row>
    <row r="192">
      <c r="D192" s="123"/>
    </row>
    <row r="193">
      <c r="D193" s="123"/>
    </row>
    <row r="194">
      <c r="D194" s="123"/>
    </row>
    <row r="195">
      <c r="D195" s="123"/>
    </row>
    <row r="196">
      <c r="D196" s="123"/>
    </row>
    <row r="197">
      <c r="D197" s="123"/>
    </row>
    <row r="198">
      <c r="D198" s="123"/>
    </row>
    <row r="199">
      <c r="D199" s="123"/>
    </row>
    <row r="200">
      <c r="D200" s="123"/>
    </row>
    <row r="201">
      <c r="D201" s="123"/>
    </row>
    <row r="202">
      <c r="D202" s="123"/>
    </row>
    <row r="203">
      <c r="D203" s="123"/>
    </row>
    <row r="204">
      <c r="D204" s="123"/>
    </row>
    <row r="205">
      <c r="D205" s="123"/>
    </row>
    <row r="206">
      <c r="D206" s="123"/>
    </row>
    <row r="207">
      <c r="D207" s="123"/>
    </row>
    <row r="208">
      <c r="D208" s="123"/>
    </row>
    <row r="209">
      <c r="D209" s="123"/>
    </row>
    <row r="210">
      <c r="D210" s="123"/>
    </row>
    <row r="211">
      <c r="D211" s="123"/>
    </row>
    <row r="212">
      <c r="D212" s="123"/>
    </row>
    <row r="213">
      <c r="D213" s="123"/>
    </row>
    <row r="214">
      <c r="D214" s="123"/>
    </row>
    <row r="215">
      <c r="D215" s="123"/>
    </row>
    <row r="216">
      <c r="D216" s="123"/>
    </row>
    <row r="217">
      <c r="D217" s="123"/>
    </row>
    <row r="218">
      <c r="D218" s="123"/>
    </row>
    <row r="219">
      <c r="D219" s="123"/>
    </row>
    <row r="220">
      <c r="D220" s="123"/>
    </row>
    <row r="221">
      <c r="D221" s="123"/>
    </row>
    <row r="222">
      <c r="D222" s="123"/>
    </row>
    <row r="223">
      <c r="D223" s="123"/>
    </row>
    <row r="224">
      <c r="D224" s="123"/>
    </row>
    <row r="225">
      <c r="D225" s="123"/>
    </row>
    <row r="226">
      <c r="D226" s="123"/>
    </row>
    <row r="227">
      <c r="D227" s="123"/>
    </row>
    <row r="228">
      <c r="D228" s="123"/>
    </row>
    <row r="229">
      <c r="D229" s="123"/>
    </row>
    <row r="230">
      <c r="D230" s="123"/>
    </row>
    <row r="231">
      <c r="D231" s="123"/>
    </row>
    <row r="232">
      <c r="D232" s="123"/>
    </row>
    <row r="233">
      <c r="D233" s="123"/>
    </row>
    <row r="234">
      <c r="D234" s="123"/>
    </row>
    <row r="235">
      <c r="D235" s="123"/>
    </row>
    <row r="236">
      <c r="D236" s="123"/>
    </row>
    <row r="237">
      <c r="D237" s="123"/>
    </row>
    <row r="238">
      <c r="D238" s="123"/>
    </row>
    <row r="239">
      <c r="D239" s="123"/>
    </row>
    <row r="240">
      <c r="D240" s="123"/>
    </row>
    <row r="241">
      <c r="D241" s="123"/>
    </row>
    <row r="242">
      <c r="D242" s="123"/>
    </row>
    <row r="243">
      <c r="D243" s="123"/>
    </row>
    <row r="244">
      <c r="D244" s="123"/>
    </row>
    <row r="245">
      <c r="D245" s="123"/>
    </row>
    <row r="246">
      <c r="D246" s="123"/>
    </row>
    <row r="247">
      <c r="D247" s="123"/>
    </row>
    <row r="248">
      <c r="D248" s="123"/>
    </row>
    <row r="249">
      <c r="D249" s="123"/>
    </row>
    <row r="250">
      <c r="D250" s="123"/>
    </row>
    <row r="251">
      <c r="D251" s="123"/>
    </row>
    <row r="252">
      <c r="D252" s="123"/>
    </row>
    <row r="253">
      <c r="D253" s="123"/>
    </row>
    <row r="254">
      <c r="D254" s="123"/>
    </row>
    <row r="255">
      <c r="D255" s="123"/>
    </row>
    <row r="256">
      <c r="D256" s="123"/>
    </row>
    <row r="257">
      <c r="D257" s="123"/>
    </row>
    <row r="258">
      <c r="D258" s="123"/>
    </row>
    <row r="259">
      <c r="D259" s="123"/>
    </row>
    <row r="260">
      <c r="D260" s="123"/>
    </row>
    <row r="261">
      <c r="D261" s="123"/>
    </row>
    <row r="262">
      <c r="D262" s="123"/>
    </row>
    <row r="263">
      <c r="D263" s="123"/>
    </row>
    <row r="264">
      <c r="D264" s="123"/>
    </row>
    <row r="265">
      <c r="D265" s="123"/>
    </row>
    <row r="266">
      <c r="D266" s="123"/>
    </row>
    <row r="267">
      <c r="D267" s="123"/>
    </row>
    <row r="268">
      <c r="D268" s="123"/>
    </row>
    <row r="269">
      <c r="D269" s="123"/>
    </row>
    <row r="270">
      <c r="D270" s="123"/>
    </row>
    <row r="271">
      <c r="D271" s="123"/>
    </row>
    <row r="272">
      <c r="D272" s="123"/>
    </row>
    <row r="273">
      <c r="D273" s="123"/>
    </row>
    <row r="274">
      <c r="D274" s="123"/>
    </row>
    <row r="275">
      <c r="D275" s="123"/>
    </row>
    <row r="276">
      <c r="D276" s="123"/>
    </row>
    <row r="277">
      <c r="D277" s="123"/>
    </row>
    <row r="278">
      <c r="D278" s="123"/>
    </row>
    <row r="279">
      <c r="D279" s="123"/>
    </row>
    <row r="280">
      <c r="D280" s="123"/>
    </row>
    <row r="281">
      <c r="D281" s="123"/>
    </row>
    <row r="282">
      <c r="D282" s="123"/>
    </row>
    <row r="283">
      <c r="D283" s="123"/>
    </row>
    <row r="284">
      <c r="D284" s="123"/>
    </row>
    <row r="285">
      <c r="D285" s="123"/>
    </row>
    <row r="286">
      <c r="D286" s="123"/>
    </row>
    <row r="287">
      <c r="D287" s="123"/>
    </row>
    <row r="288">
      <c r="D288" s="123"/>
    </row>
    <row r="289">
      <c r="D289" s="123"/>
    </row>
    <row r="290">
      <c r="D290" s="123"/>
    </row>
    <row r="291">
      <c r="D291" s="123"/>
    </row>
    <row r="292">
      <c r="D292" s="123"/>
    </row>
    <row r="293">
      <c r="D293" s="123"/>
    </row>
    <row r="294">
      <c r="D294" s="123"/>
    </row>
    <row r="295">
      <c r="D295" s="123"/>
    </row>
    <row r="296">
      <c r="D296" s="123"/>
    </row>
    <row r="297">
      <c r="D297" s="123"/>
    </row>
    <row r="298">
      <c r="D298" s="123"/>
    </row>
    <row r="299">
      <c r="D299" s="123"/>
    </row>
    <row r="300">
      <c r="D300" s="123"/>
    </row>
    <row r="301">
      <c r="D301" s="123"/>
    </row>
    <row r="302">
      <c r="D302" s="123"/>
    </row>
    <row r="303">
      <c r="D303" s="123"/>
    </row>
    <row r="304">
      <c r="D304" s="123"/>
    </row>
    <row r="305">
      <c r="D305" s="123"/>
    </row>
    <row r="306">
      <c r="D306" s="123"/>
    </row>
    <row r="307">
      <c r="D307" s="123"/>
    </row>
    <row r="308">
      <c r="D308" s="123"/>
    </row>
    <row r="309">
      <c r="D309" s="123"/>
    </row>
    <row r="310">
      <c r="D310" s="123"/>
    </row>
    <row r="311">
      <c r="D311" s="123"/>
    </row>
    <row r="312">
      <c r="D312" s="123"/>
    </row>
    <row r="313">
      <c r="D313" s="123"/>
    </row>
    <row r="314">
      <c r="D314" s="123"/>
    </row>
    <row r="315">
      <c r="D315" s="123"/>
    </row>
    <row r="316">
      <c r="D316" s="123"/>
    </row>
    <row r="317">
      <c r="D317" s="123"/>
    </row>
    <row r="318">
      <c r="D318" s="123"/>
    </row>
    <row r="319">
      <c r="D319" s="123"/>
    </row>
    <row r="320">
      <c r="D320" s="123"/>
    </row>
    <row r="321">
      <c r="D321" s="123"/>
    </row>
    <row r="322">
      <c r="D322" s="123"/>
    </row>
    <row r="323">
      <c r="D323" s="123"/>
    </row>
    <row r="324">
      <c r="D324" s="123"/>
    </row>
    <row r="325">
      <c r="D325" s="123"/>
    </row>
    <row r="326">
      <c r="D326" s="123"/>
    </row>
    <row r="327">
      <c r="D327" s="123"/>
    </row>
    <row r="328">
      <c r="D328" s="123"/>
    </row>
    <row r="329">
      <c r="D329" s="123"/>
    </row>
    <row r="330">
      <c r="D330" s="123"/>
    </row>
    <row r="331">
      <c r="D331" s="123"/>
    </row>
    <row r="332">
      <c r="D332" s="123"/>
    </row>
    <row r="333">
      <c r="D333" s="123"/>
    </row>
    <row r="334">
      <c r="D334" s="123"/>
    </row>
    <row r="335">
      <c r="D335" s="123"/>
    </row>
    <row r="336">
      <c r="D336" s="123"/>
    </row>
    <row r="337">
      <c r="D337" s="123"/>
    </row>
    <row r="338">
      <c r="D338" s="123"/>
    </row>
    <row r="339">
      <c r="D339" s="123"/>
    </row>
    <row r="340">
      <c r="D340" s="123"/>
    </row>
    <row r="341">
      <c r="D341" s="123"/>
    </row>
    <row r="342">
      <c r="D342" s="123"/>
    </row>
    <row r="343">
      <c r="D343" s="123"/>
    </row>
    <row r="344">
      <c r="D344" s="123"/>
    </row>
    <row r="345">
      <c r="D345" s="123"/>
    </row>
    <row r="346">
      <c r="D346" s="123"/>
    </row>
    <row r="347">
      <c r="D347" s="123"/>
    </row>
    <row r="348">
      <c r="D348" s="123"/>
    </row>
    <row r="349">
      <c r="D349" s="123"/>
    </row>
    <row r="350">
      <c r="D350" s="123"/>
    </row>
    <row r="351">
      <c r="D351" s="123"/>
    </row>
    <row r="352">
      <c r="D352" s="123"/>
    </row>
    <row r="353">
      <c r="D353" s="123"/>
    </row>
    <row r="354">
      <c r="D354" s="123"/>
    </row>
    <row r="355">
      <c r="D355" s="123"/>
    </row>
    <row r="356">
      <c r="D356" s="123"/>
    </row>
    <row r="357">
      <c r="D357" s="123"/>
    </row>
    <row r="358">
      <c r="D358" s="123"/>
    </row>
    <row r="359">
      <c r="D359" s="123"/>
    </row>
    <row r="360">
      <c r="D360" s="123"/>
    </row>
    <row r="361">
      <c r="D361" s="123"/>
    </row>
    <row r="362">
      <c r="D362" s="123"/>
    </row>
    <row r="363">
      <c r="D363" s="123"/>
    </row>
    <row r="364">
      <c r="D364" s="123"/>
    </row>
    <row r="365">
      <c r="D365" s="123"/>
    </row>
    <row r="366">
      <c r="D366" s="123"/>
    </row>
    <row r="367">
      <c r="D367" s="123"/>
    </row>
    <row r="368">
      <c r="D368" s="123"/>
    </row>
    <row r="369">
      <c r="D369" s="123"/>
    </row>
    <row r="370">
      <c r="D370" s="123"/>
    </row>
    <row r="371">
      <c r="D371" s="123"/>
    </row>
    <row r="372">
      <c r="D372" s="123"/>
    </row>
    <row r="373">
      <c r="D373" s="123"/>
    </row>
    <row r="374">
      <c r="D374" s="123"/>
    </row>
    <row r="375">
      <c r="D375" s="123"/>
    </row>
    <row r="376">
      <c r="D376" s="123"/>
    </row>
    <row r="377">
      <c r="D377" s="123"/>
    </row>
    <row r="378">
      <c r="D378" s="123"/>
    </row>
    <row r="379">
      <c r="D379" s="123"/>
    </row>
    <row r="380">
      <c r="D380" s="123"/>
    </row>
    <row r="381">
      <c r="D381" s="123"/>
    </row>
    <row r="382">
      <c r="D382" s="123"/>
    </row>
    <row r="383">
      <c r="D383" s="123"/>
    </row>
    <row r="384">
      <c r="D384" s="123"/>
    </row>
    <row r="385">
      <c r="D385" s="123"/>
    </row>
    <row r="386">
      <c r="D386" s="123"/>
    </row>
    <row r="387">
      <c r="D387" s="123"/>
    </row>
    <row r="388">
      <c r="D388" s="123"/>
    </row>
    <row r="389">
      <c r="D389" s="123"/>
    </row>
    <row r="390">
      <c r="D390" s="123"/>
    </row>
    <row r="391">
      <c r="D391" s="123"/>
    </row>
    <row r="392">
      <c r="D392" s="123"/>
    </row>
    <row r="393">
      <c r="D393" s="123"/>
    </row>
    <row r="394">
      <c r="D394" s="123"/>
    </row>
    <row r="395">
      <c r="D395" s="123"/>
    </row>
    <row r="396">
      <c r="D396" s="123"/>
    </row>
    <row r="397">
      <c r="D397" s="123"/>
    </row>
    <row r="398">
      <c r="D398" s="123"/>
    </row>
    <row r="399">
      <c r="D399" s="123"/>
    </row>
    <row r="400">
      <c r="D400" s="123"/>
    </row>
    <row r="401">
      <c r="D401" s="123"/>
    </row>
    <row r="402">
      <c r="D402" s="123"/>
    </row>
    <row r="403">
      <c r="D403" s="123"/>
    </row>
    <row r="404">
      <c r="D404" s="123"/>
    </row>
    <row r="405">
      <c r="D405" s="123"/>
    </row>
    <row r="406">
      <c r="D406" s="123"/>
    </row>
    <row r="407">
      <c r="D407" s="123"/>
    </row>
    <row r="408">
      <c r="D408" s="123"/>
    </row>
    <row r="409">
      <c r="D409" s="123"/>
    </row>
    <row r="410">
      <c r="D410" s="123"/>
    </row>
    <row r="411">
      <c r="D411" s="123"/>
    </row>
    <row r="412">
      <c r="D412" s="123"/>
    </row>
    <row r="413">
      <c r="D413" s="123"/>
    </row>
    <row r="414">
      <c r="D414" s="123"/>
    </row>
    <row r="415">
      <c r="D415" s="123"/>
    </row>
    <row r="416">
      <c r="D416" s="123"/>
    </row>
    <row r="417">
      <c r="D417" s="123"/>
    </row>
    <row r="418">
      <c r="D418" s="123"/>
    </row>
    <row r="419">
      <c r="D419" s="123"/>
    </row>
    <row r="420">
      <c r="D420" s="123"/>
    </row>
    <row r="421">
      <c r="D421" s="123"/>
    </row>
    <row r="422">
      <c r="D422" s="123"/>
    </row>
    <row r="423">
      <c r="D423" s="123"/>
    </row>
    <row r="424">
      <c r="D424" s="123"/>
    </row>
    <row r="425">
      <c r="D425" s="123"/>
    </row>
    <row r="426">
      <c r="D426" s="123"/>
    </row>
    <row r="427">
      <c r="D427" s="123"/>
    </row>
    <row r="428">
      <c r="D428" s="123"/>
    </row>
    <row r="429">
      <c r="D429" s="123"/>
    </row>
    <row r="430">
      <c r="D430" s="123"/>
    </row>
    <row r="431">
      <c r="D431" s="123"/>
    </row>
    <row r="432">
      <c r="D432" s="123"/>
    </row>
    <row r="433">
      <c r="D433" s="123"/>
    </row>
    <row r="434">
      <c r="D434" s="123"/>
    </row>
    <row r="435">
      <c r="D435" s="123"/>
    </row>
    <row r="436">
      <c r="D436" s="123"/>
    </row>
    <row r="437">
      <c r="D437" s="123"/>
    </row>
    <row r="438">
      <c r="D438" s="123"/>
    </row>
    <row r="439">
      <c r="D439" s="123"/>
    </row>
    <row r="440">
      <c r="D440" s="123"/>
    </row>
    <row r="441">
      <c r="D441" s="123"/>
    </row>
    <row r="442">
      <c r="D442" s="123"/>
    </row>
    <row r="443">
      <c r="D443" s="123"/>
    </row>
    <row r="444">
      <c r="D444" s="123"/>
    </row>
    <row r="445">
      <c r="D445" s="123"/>
    </row>
    <row r="446">
      <c r="D446" s="123"/>
    </row>
    <row r="447">
      <c r="D447" s="123"/>
    </row>
    <row r="448">
      <c r="D448" s="123"/>
    </row>
    <row r="449">
      <c r="D449" s="123"/>
    </row>
    <row r="450">
      <c r="D450" s="123"/>
    </row>
    <row r="451">
      <c r="D451" s="123"/>
    </row>
    <row r="452">
      <c r="D452" s="123"/>
    </row>
    <row r="453">
      <c r="D453" s="123"/>
    </row>
    <row r="454">
      <c r="D454" s="123"/>
    </row>
    <row r="455">
      <c r="D455" s="123"/>
    </row>
    <row r="456">
      <c r="D456" s="123"/>
    </row>
    <row r="457">
      <c r="D457" s="123"/>
    </row>
    <row r="458">
      <c r="D458" s="123"/>
    </row>
    <row r="459">
      <c r="D459" s="123"/>
    </row>
    <row r="460">
      <c r="D460" s="123"/>
    </row>
    <row r="461">
      <c r="D461" s="123"/>
    </row>
    <row r="462">
      <c r="D462" s="123"/>
    </row>
    <row r="463">
      <c r="D463" s="123"/>
    </row>
    <row r="464">
      <c r="D464" s="123"/>
    </row>
    <row r="465">
      <c r="D465" s="123"/>
    </row>
    <row r="466">
      <c r="D466" s="123"/>
    </row>
    <row r="467">
      <c r="D467" s="123"/>
    </row>
    <row r="468">
      <c r="D468" s="123"/>
    </row>
    <row r="469">
      <c r="D469" s="123"/>
    </row>
    <row r="470">
      <c r="D470" s="123"/>
    </row>
    <row r="471">
      <c r="D471" s="123"/>
    </row>
    <row r="472">
      <c r="D472" s="123"/>
    </row>
    <row r="473">
      <c r="D473" s="123"/>
    </row>
    <row r="474">
      <c r="D474" s="123"/>
    </row>
    <row r="475">
      <c r="D475" s="123"/>
    </row>
    <row r="476">
      <c r="D476" s="123"/>
    </row>
    <row r="477">
      <c r="D477" s="123"/>
    </row>
    <row r="478">
      <c r="D478" s="123"/>
    </row>
    <row r="479">
      <c r="D479" s="123"/>
    </row>
    <row r="480">
      <c r="D480" s="123"/>
    </row>
    <row r="481">
      <c r="D481" s="123"/>
    </row>
    <row r="482">
      <c r="D482" s="123"/>
    </row>
    <row r="483">
      <c r="D483" s="123"/>
    </row>
    <row r="484">
      <c r="D484" s="123"/>
    </row>
    <row r="485">
      <c r="D485" s="123"/>
    </row>
    <row r="486">
      <c r="D486" s="123"/>
    </row>
    <row r="487">
      <c r="D487" s="123"/>
    </row>
    <row r="488">
      <c r="D488" s="123"/>
    </row>
    <row r="489">
      <c r="D489" s="123"/>
    </row>
    <row r="490">
      <c r="D490" s="123"/>
    </row>
    <row r="491">
      <c r="D491" s="123"/>
    </row>
    <row r="492">
      <c r="D492" s="123"/>
    </row>
    <row r="493">
      <c r="D493" s="123"/>
    </row>
    <row r="494">
      <c r="D494" s="123"/>
    </row>
    <row r="495">
      <c r="D495" s="123"/>
    </row>
    <row r="496">
      <c r="D496" s="123"/>
    </row>
    <row r="497">
      <c r="D497" s="123"/>
    </row>
    <row r="498">
      <c r="D498" s="123"/>
    </row>
    <row r="499">
      <c r="D499" s="123"/>
    </row>
    <row r="500">
      <c r="D500" s="123"/>
    </row>
    <row r="501">
      <c r="D501" s="123"/>
    </row>
    <row r="502">
      <c r="D502" s="123"/>
    </row>
    <row r="503">
      <c r="D503" s="123"/>
    </row>
    <row r="504">
      <c r="D504" s="123"/>
    </row>
    <row r="505">
      <c r="D505" s="123"/>
    </row>
    <row r="506">
      <c r="D506" s="123"/>
    </row>
    <row r="507">
      <c r="D507" s="123"/>
    </row>
    <row r="508">
      <c r="D508" s="123"/>
    </row>
    <row r="509">
      <c r="D509" s="123"/>
    </row>
    <row r="510">
      <c r="D510" s="123"/>
    </row>
    <row r="511">
      <c r="D511" s="123"/>
    </row>
    <row r="512">
      <c r="D512" s="123"/>
    </row>
    <row r="513">
      <c r="D513" s="123"/>
    </row>
    <row r="514">
      <c r="D514" s="123"/>
    </row>
    <row r="515">
      <c r="D515" s="123"/>
    </row>
    <row r="516">
      <c r="D516" s="123"/>
    </row>
    <row r="517">
      <c r="D517" s="123"/>
    </row>
    <row r="518">
      <c r="D518" s="123"/>
    </row>
    <row r="519">
      <c r="D519" s="123"/>
    </row>
    <row r="520">
      <c r="D520" s="123"/>
    </row>
    <row r="521">
      <c r="D521" s="123"/>
    </row>
    <row r="522">
      <c r="D522" s="123"/>
    </row>
    <row r="523">
      <c r="D523" s="123"/>
    </row>
    <row r="524">
      <c r="D524" s="123"/>
    </row>
    <row r="525">
      <c r="D525" s="123"/>
    </row>
    <row r="526">
      <c r="D526" s="123"/>
    </row>
    <row r="527">
      <c r="D527" s="123"/>
    </row>
    <row r="528">
      <c r="D528" s="123"/>
    </row>
    <row r="529">
      <c r="D529" s="123"/>
    </row>
    <row r="530">
      <c r="D530" s="123"/>
    </row>
    <row r="531">
      <c r="D531" s="123"/>
    </row>
    <row r="532">
      <c r="D532" s="123"/>
    </row>
    <row r="533">
      <c r="D533" s="123"/>
    </row>
    <row r="534">
      <c r="D534" s="123"/>
    </row>
    <row r="535">
      <c r="D535" s="123"/>
    </row>
    <row r="536">
      <c r="D536" s="123"/>
    </row>
    <row r="537">
      <c r="D537" s="123"/>
    </row>
    <row r="538">
      <c r="D538" s="123"/>
    </row>
    <row r="539">
      <c r="D539" s="123"/>
    </row>
    <row r="540">
      <c r="D540" s="123"/>
    </row>
    <row r="541">
      <c r="D541" s="123"/>
    </row>
    <row r="542">
      <c r="D542" s="123"/>
    </row>
    <row r="543">
      <c r="D543" s="123"/>
    </row>
    <row r="544">
      <c r="D544" s="123"/>
    </row>
    <row r="545">
      <c r="D545" s="123"/>
    </row>
    <row r="546">
      <c r="D546" s="123"/>
    </row>
    <row r="547">
      <c r="D547" s="123"/>
    </row>
    <row r="548">
      <c r="D548" s="123"/>
    </row>
    <row r="549">
      <c r="D549" s="123"/>
    </row>
    <row r="550">
      <c r="D550" s="123"/>
    </row>
    <row r="551">
      <c r="D551" s="123"/>
    </row>
    <row r="552">
      <c r="D552" s="123"/>
    </row>
    <row r="553">
      <c r="D553" s="123"/>
    </row>
    <row r="554">
      <c r="D554" s="123"/>
    </row>
    <row r="555">
      <c r="D555" s="123"/>
    </row>
    <row r="556">
      <c r="D556" s="123"/>
    </row>
    <row r="557">
      <c r="D557" s="123"/>
    </row>
    <row r="558">
      <c r="D558" s="123"/>
    </row>
    <row r="559">
      <c r="D559" s="123"/>
    </row>
    <row r="560">
      <c r="D560" s="123"/>
    </row>
    <row r="561">
      <c r="D561" s="123"/>
    </row>
    <row r="562">
      <c r="D562" s="123"/>
    </row>
    <row r="563">
      <c r="D563" s="123"/>
    </row>
    <row r="564">
      <c r="D564" s="123"/>
    </row>
    <row r="565">
      <c r="D565" s="123"/>
    </row>
    <row r="566">
      <c r="D566" s="123"/>
    </row>
    <row r="567">
      <c r="D567" s="123"/>
    </row>
    <row r="568">
      <c r="D568" s="123"/>
    </row>
    <row r="569">
      <c r="D569" s="123"/>
    </row>
    <row r="570">
      <c r="D570" s="123"/>
    </row>
    <row r="571">
      <c r="D571" s="123"/>
    </row>
    <row r="572">
      <c r="D572" s="123"/>
    </row>
    <row r="573">
      <c r="D573" s="123"/>
    </row>
    <row r="574">
      <c r="D574" s="123"/>
    </row>
    <row r="575">
      <c r="D575" s="123"/>
    </row>
    <row r="576">
      <c r="D576" s="123"/>
    </row>
    <row r="577">
      <c r="D577" s="123"/>
    </row>
    <row r="578">
      <c r="D578" s="123"/>
    </row>
    <row r="579">
      <c r="D579" s="123"/>
    </row>
    <row r="580">
      <c r="D580" s="123"/>
    </row>
    <row r="581">
      <c r="D581" s="123"/>
    </row>
    <row r="582">
      <c r="D582" s="123"/>
    </row>
    <row r="583">
      <c r="D583" s="123"/>
    </row>
    <row r="584">
      <c r="D584" s="123"/>
    </row>
    <row r="585">
      <c r="D585" s="123"/>
    </row>
    <row r="586">
      <c r="D586" s="123"/>
    </row>
    <row r="587">
      <c r="D587" s="123"/>
    </row>
    <row r="588">
      <c r="D588" s="123"/>
    </row>
    <row r="589">
      <c r="D589" s="123"/>
    </row>
    <row r="590">
      <c r="D590" s="123"/>
    </row>
    <row r="591">
      <c r="D591" s="123"/>
    </row>
    <row r="592">
      <c r="D592" s="123"/>
    </row>
    <row r="593">
      <c r="D593" s="123"/>
    </row>
    <row r="594">
      <c r="D594" s="123"/>
    </row>
    <row r="595">
      <c r="D595" s="123"/>
    </row>
    <row r="596">
      <c r="D596" s="123"/>
    </row>
    <row r="597">
      <c r="D597" s="123"/>
    </row>
    <row r="598">
      <c r="D598" s="123"/>
    </row>
    <row r="599">
      <c r="D599" s="123"/>
    </row>
    <row r="600">
      <c r="D600" s="123"/>
    </row>
    <row r="601">
      <c r="D601" s="123"/>
    </row>
    <row r="602">
      <c r="D602" s="123"/>
    </row>
    <row r="603">
      <c r="D603" s="123"/>
    </row>
    <row r="604">
      <c r="D604" s="123"/>
    </row>
    <row r="605">
      <c r="D605" s="123"/>
    </row>
    <row r="606">
      <c r="D606" s="123"/>
    </row>
    <row r="607">
      <c r="D607" s="123"/>
    </row>
    <row r="608">
      <c r="D608" s="123"/>
    </row>
    <row r="609">
      <c r="D609" s="123"/>
    </row>
    <row r="610">
      <c r="D610" s="123"/>
    </row>
    <row r="611">
      <c r="D611" s="123"/>
    </row>
    <row r="612">
      <c r="D612" s="123"/>
    </row>
    <row r="613">
      <c r="D613" s="123"/>
    </row>
    <row r="614">
      <c r="D614" s="123"/>
    </row>
    <row r="615">
      <c r="D615" s="123"/>
    </row>
    <row r="616">
      <c r="D616" s="123"/>
    </row>
    <row r="617">
      <c r="D617" s="123"/>
    </row>
    <row r="618">
      <c r="D618" s="123"/>
    </row>
    <row r="619">
      <c r="D619" s="123"/>
    </row>
    <row r="620">
      <c r="D620" s="123"/>
    </row>
    <row r="621">
      <c r="D621" s="123"/>
    </row>
    <row r="622">
      <c r="D622" s="123"/>
    </row>
    <row r="623">
      <c r="D623" s="123"/>
    </row>
    <row r="624">
      <c r="D624" s="123"/>
    </row>
    <row r="625">
      <c r="D625" s="123"/>
    </row>
    <row r="626">
      <c r="D626" s="123"/>
    </row>
    <row r="627">
      <c r="D627" s="123"/>
    </row>
    <row r="628">
      <c r="D628" s="123"/>
    </row>
    <row r="629">
      <c r="D629" s="123"/>
    </row>
    <row r="630">
      <c r="D630" s="123"/>
    </row>
    <row r="631">
      <c r="D631" s="123"/>
    </row>
    <row r="632">
      <c r="D632" s="123"/>
    </row>
    <row r="633">
      <c r="D633" s="123"/>
    </row>
    <row r="634">
      <c r="D634" s="123"/>
    </row>
    <row r="635">
      <c r="D635" s="123"/>
    </row>
    <row r="636">
      <c r="D636" s="123"/>
    </row>
    <row r="637">
      <c r="D637" s="123"/>
    </row>
    <row r="638">
      <c r="D638" s="123"/>
    </row>
    <row r="639">
      <c r="D639" s="123"/>
    </row>
    <row r="640">
      <c r="D640" s="123"/>
    </row>
    <row r="641">
      <c r="D641" s="123"/>
    </row>
    <row r="642">
      <c r="D642" s="123"/>
    </row>
    <row r="643">
      <c r="D643" s="123"/>
    </row>
    <row r="644">
      <c r="D644" s="123"/>
    </row>
    <row r="645">
      <c r="D645" s="123"/>
    </row>
    <row r="646">
      <c r="D646" s="123"/>
    </row>
    <row r="647">
      <c r="D647" s="123"/>
    </row>
    <row r="648">
      <c r="D648" s="123"/>
    </row>
    <row r="649">
      <c r="D649" s="123"/>
    </row>
    <row r="650">
      <c r="D650" s="123"/>
    </row>
    <row r="651">
      <c r="D651" s="123"/>
    </row>
    <row r="652">
      <c r="D652" s="123"/>
    </row>
    <row r="653">
      <c r="D653" s="123"/>
    </row>
    <row r="654">
      <c r="D654" s="123"/>
    </row>
    <row r="655">
      <c r="D655" s="123"/>
    </row>
    <row r="656">
      <c r="D656" s="123"/>
    </row>
    <row r="657">
      <c r="D657" s="123"/>
    </row>
    <row r="658">
      <c r="D658" s="123"/>
    </row>
    <row r="659">
      <c r="D659" s="123"/>
    </row>
    <row r="660">
      <c r="D660" s="123"/>
    </row>
    <row r="661">
      <c r="D661" s="123"/>
    </row>
    <row r="662">
      <c r="D662" s="123"/>
    </row>
    <row r="663">
      <c r="D663" s="123"/>
    </row>
    <row r="664">
      <c r="D664" s="123"/>
    </row>
    <row r="665">
      <c r="D665" s="123"/>
    </row>
    <row r="666">
      <c r="D666" s="123"/>
    </row>
    <row r="667">
      <c r="D667" s="123"/>
    </row>
    <row r="668">
      <c r="D668" s="123"/>
    </row>
    <row r="669">
      <c r="D669" s="123"/>
    </row>
    <row r="670">
      <c r="D670" s="123"/>
    </row>
    <row r="671">
      <c r="D671" s="123"/>
    </row>
    <row r="672">
      <c r="D672" s="123"/>
    </row>
    <row r="673">
      <c r="D673" s="123"/>
    </row>
    <row r="674">
      <c r="D674" s="123"/>
    </row>
    <row r="675">
      <c r="D675" s="123"/>
    </row>
    <row r="676">
      <c r="D676" s="123"/>
    </row>
    <row r="677">
      <c r="D677" s="123"/>
    </row>
    <row r="678">
      <c r="D678" s="123"/>
    </row>
    <row r="679">
      <c r="D679" s="123"/>
    </row>
    <row r="680">
      <c r="D680" s="123"/>
    </row>
    <row r="681">
      <c r="D681" s="123"/>
    </row>
    <row r="682">
      <c r="D682" s="123"/>
    </row>
    <row r="683">
      <c r="D683" s="123"/>
    </row>
    <row r="684">
      <c r="D684" s="123"/>
    </row>
    <row r="685">
      <c r="D685" s="123"/>
    </row>
    <row r="686">
      <c r="D686" s="123"/>
    </row>
    <row r="687">
      <c r="D687" s="123"/>
    </row>
    <row r="688">
      <c r="D688" s="123"/>
    </row>
    <row r="689">
      <c r="D689" s="123"/>
    </row>
    <row r="690">
      <c r="D690" s="123"/>
    </row>
    <row r="691">
      <c r="D691" s="123"/>
    </row>
    <row r="692">
      <c r="D692" s="123"/>
    </row>
    <row r="693">
      <c r="D693" s="123"/>
    </row>
    <row r="694">
      <c r="D694" s="123"/>
    </row>
    <row r="695">
      <c r="D695" s="123"/>
    </row>
    <row r="696">
      <c r="D696" s="123"/>
    </row>
    <row r="697">
      <c r="D697" s="123"/>
    </row>
    <row r="698">
      <c r="D698" s="123"/>
    </row>
    <row r="699">
      <c r="D699" s="123"/>
    </row>
    <row r="700">
      <c r="D700" s="123"/>
    </row>
    <row r="701">
      <c r="D701" s="123"/>
    </row>
    <row r="702">
      <c r="D702" s="123"/>
    </row>
    <row r="703">
      <c r="D703" s="123"/>
    </row>
    <row r="704">
      <c r="D704" s="123"/>
    </row>
    <row r="705">
      <c r="D705" s="123"/>
    </row>
    <row r="706">
      <c r="D706" s="123"/>
    </row>
    <row r="707">
      <c r="D707" s="123"/>
    </row>
    <row r="708">
      <c r="D708" s="123"/>
    </row>
    <row r="709">
      <c r="D709" s="123"/>
    </row>
    <row r="710">
      <c r="D710" s="123"/>
    </row>
    <row r="711">
      <c r="D711" s="123"/>
    </row>
    <row r="712">
      <c r="D712" s="123"/>
    </row>
    <row r="713">
      <c r="D713" s="123"/>
    </row>
    <row r="714">
      <c r="D714" s="123"/>
    </row>
    <row r="715">
      <c r="D715" s="123"/>
    </row>
    <row r="716">
      <c r="D716" s="123"/>
    </row>
    <row r="717">
      <c r="D717" s="123"/>
    </row>
    <row r="718">
      <c r="D718" s="123"/>
    </row>
    <row r="719">
      <c r="D719" s="123"/>
    </row>
    <row r="720">
      <c r="D720" s="123"/>
    </row>
    <row r="721">
      <c r="D721" s="123"/>
    </row>
    <row r="722">
      <c r="D722" s="123"/>
    </row>
    <row r="723">
      <c r="D723" s="123"/>
    </row>
    <row r="724">
      <c r="D724" s="123"/>
    </row>
    <row r="725">
      <c r="D725" s="123"/>
    </row>
    <row r="726">
      <c r="D726" s="123"/>
    </row>
    <row r="727">
      <c r="D727" s="123"/>
    </row>
    <row r="728">
      <c r="D728" s="123"/>
    </row>
    <row r="729">
      <c r="D729" s="123"/>
    </row>
    <row r="730">
      <c r="D730" s="123"/>
    </row>
    <row r="731">
      <c r="D731" s="123"/>
    </row>
    <row r="732">
      <c r="D732" s="123"/>
    </row>
    <row r="733">
      <c r="D733" s="123"/>
    </row>
    <row r="734">
      <c r="D734" s="123"/>
    </row>
    <row r="735">
      <c r="D735" s="123"/>
    </row>
    <row r="736">
      <c r="D736" s="123"/>
    </row>
    <row r="737">
      <c r="D737" s="123"/>
    </row>
    <row r="738">
      <c r="D738" s="123"/>
    </row>
    <row r="739">
      <c r="D739" s="123"/>
    </row>
    <row r="740">
      <c r="D740" s="123"/>
    </row>
    <row r="741">
      <c r="D741" s="123"/>
    </row>
    <row r="742">
      <c r="D742" s="123"/>
    </row>
    <row r="743">
      <c r="D743" s="123"/>
    </row>
    <row r="744">
      <c r="D744" s="123"/>
    </row>
    <row r="745">
      <c r="D745" s="123"/>
    </row>
    <row r="746">
      <c r="D746" s="123"/>
    </row>
    <row r="747">
      <c r="D747" s="123"/>
    </row>
    <row r="748">
      <c r="D748" s="123"/>
    </row>
    <row r="749">
      <c r="D749" s="123"/>
    </row>
    <row r="750">
      <c r="D750" s="123"/>
    </row>
    <row r="751">
      <c r="D751" s="123"/>
    </row>
    <row r="752">
      <c r="D752" s="123"/>
    </row>
    <row r="753">
      <c r="D753" s="123"/>
    </row>
    <row r="754">
      <c r="D754" s="123"/>
    </row>
    <row r="755">
      <c r="D755" s="123"/>
    </row>
    <row r="756">
      <c r="D756" s="123"/>
    </row>
    <row r="757">
      <c r="D757" s="123"/>
    </row>
    <row r="758">
      <c r="D758" s="123"/>
    </row>
    <row r="759">
      <c r="D759" s="123"/>
    </row>
    <row r="760">
      <c r="D760" s="123"/>
    </row>
    <row r="761">
      <c r="D761" s="123"/>
    </row>
    <row r="762">
      <c r="D762" s="123"/>
    </row>
    <row r="763">
      <c r="D763" s="123"/>
    </row>
    <row r="764">
      <c r="D764" s="123"/>
    </row>
    <row r="765">
      <c r="D765" s="123"/>
    </row>
    <row r="766">
      <c r="D766" s="123"/>
    </row>
    <row r="767">
      <c r="D767" s="123"/>
    </row>
    <row r="768">
      <c r="D768" s="123"/>
    </row>
    <row r="769">
      <c r="D769" s="123"/>
    </row>
    <row r="770">
      <c r="D770" s="123"/>
    </row>
    <row r="771">
      <c r="D771" s="123"/>
    </row>
    <row r="772">
      <c r="D772" s="123"/>
    </row>
    <row r="773">
      <c r="D773" s="123"/>
    </row>
    <row r="774">
      <c r="D774" s="123"/>
    </row>
    <row r="775">
      <c r="D775" s="123"/>
    </row>
    <row r="776">
      <c r="D776" s="123"/>
    </row>
    <row r="777">
      <c r="D777" s="123"/>
    </row>
    <row r="778">
      <c r="D778" s="123"/>
    </row>
    <row r="779">
      <c r="D779" s="123"/>
    </row>
    <row r="780">
      <c r="D780" s="123"/>
    </row>
    <row r="781">
      <c r="D781" s="123"/>
    </row>
    <row r="782">
      <c r="D782" s="123"/>
    </row>
    <row r="783">
      <c r="D783" s="123"/>
    </row>
    <row r="784">
      <c r="D784" s="123"/>
    </row>
    <row r="785">
      <c r="D785" s="123"/>
    </row>
    <row r="786">
      <c r="D786" s="123"/>
    </row>
    <row r="787">
      <c r="D787" s="123"/>
    </row>
    <row r="788">
      <c r="D788" s="123"/>
    </row>
    <row r="789">
      <c r="D789" s="123"/>
    </row>
    <row r="790">
      <c r="D790" s="123"/>
    </row>
    <row r="791">
      <c r="D791" s="123"/>
    </row>
    <row r="792">
      <c r="D792" s="123"/>
    </row>
    <row r="793">
      <c r="D793" s="123"/>
    </row>
    <row r="794">
      <c r="D794" s="123"/>
    </row>
    <row r="795">
      <c r="D795" s="123"/>
    </row>
    <row r="796">
      <c r="D796" s="123"/>
    </row>
    <row r="797">
      <c r="D797" s="123"/>
    </row>
    <row r="798">
      <c r="D798" s="123"/>
    </row>
    <row r="799">
      <c r="D799" s="123"/>
    </row>
    <row r="800">
      <c r="D800" s="123"/>
    </row>
    <row r="801">
      <c r="D801" s="123"/>
    </row>
    <row r="802">
      <c r="D802" s="123"/>
    </row>
    <row r="803">
      <c r="D803" s="123"/>
    </row>
    <row r="804">
      <c r="D804" s="123"/>
    </row>
    <row r="805">
      <c r="D805" s="123"/>
    </row>
    <row r="806">
      <c r="D806" s="123"/>
    </row>
    <row r="807">
      <c r="D807" s="123"/>
    </row>
    <row r="808">
      <c r="D808" s="123"/>
    </row>
    <row r="809">
      <c r="D809" s="123"/>
    </row>
    <row r="810">
      <c r="D810" s="123"/>
    </row>
    <row r="811">
      <c r="D811" s="123"/>
    </row>
    <row r="812">
      <c r="D812" s="123"/>
    </row>
    <row r="813">
      <c r="D813" s="123"/>
    </row>
    <row r="814">
      <c r="D814" s="123"/>
    </row>
    <row r="815">
      <c r="D815" s="123"/>
    </row>
    <row r="816">
      <c r="D816" s="123"/>
    </row>
    <row r="817">
      <c r="D817" s="123"/>
    </row>
    <row r="818">
      <c r="D818" s="123"/>
    </row>
    <row r="819">
      <c r="D819" s="123"/>
    </row>
    <row r="820">
      <c r="D820" s="123"/>
    </row>
    <row r="821">
      <c r="D821" s="123"/>
    </row>
    <row r="822">
      <c r="D822" s="123"/>
    </row>
    <row r="823">
      <c r="D823" s="123"/>
    </row>
    <row r="824">
      <c r="D824" s="123"/>
    </row>
    <row r="825">
      <c r="D825" s="123"/>
    </row>
    <row r="826">
      <c r="D826" s="123"/>
    </row>
    <row r="827">
      <c r="D827" s="123"/>
    </row>
    <row r="828">
      <c r="D828" s="123"/>
    </row>
    <row r="829">
      <c r="D829" s="123"/>
    </row>
    <row r="830">
      <c r="D830" s="123"/>
    </row>
    <row r="831">
      <c r="D831" s="123"/>
    </row>
    <row r="832">
      <c r="D832" s="123"/>
    </row>
    <row r="833">
      <c r="D833" s="123"/>
    </row>
    <row r="834">
      <c r="D834" s="123"/>
    </row>
    <row r="835">
      <c r="D835" s="123"/>
    </row>
    <row r="836">
      <c r="D836" s="123"/>
    </row>
    <row r="837">
      <c r="D837" s="123"/>
    </row>
    <row r="838">
      <c r="D838" s="123"/>
    </row>
    <row r="839">
      <c r="D839" s="123"/>
    </row>
    <row r="840">
      <c r="D840" s="123"/>
    </row>
    <row r="841">
      <c r="D841" s="123"/>
    </row>
    <row r="842">
      <c r="D842" s="123"/>
    </row>
    <row r="843">
      <c r="D843" s="123"/>
    </row>
    <row r="844">
      <c r="D844" s="123"/>
    </row>
    <row r="845">
      <c r="D845" s="123"/>
    </row>
    <row r="846">
      <c r="D846" s="123"/>
    </row>
    <row r="847">
      <c r="D847" s="123"/>
    </row>
    <row r="848">
      <c r="D848" s="123"/>
    </row>
    <row r="849">
      <c r="D849" s="123"/>
    </row>
    <row r="850">
      <c r="D850" s="123"/>
    </row>
    <row r="851">
      <c r="D851" s="123"/>
    </row>
    <row r="852">
      <c r="D852" s="123"/>
    </row>
    <row r="853">
      <c r="D853" s="123"/>
    </row>
    <row r="854">
      <c r="D854" s="123"/>
    </row>
    <row r="855">
      <c r="D855" s="123"/>
    </row>
    <row r="856">
      <c r="D856" s="123"/>
    </row>
    <row r="857">
      <c r="D857" s="123"/>
    </row>
    <row r="858">
      <c r="D858" s="123"/>
    </row>
    <row r="859">
      <c r="D859" s="123"/>
    </row>
    <row r="860">
      <c r="D860" s="123"/>
    </row>
    <row r="861">
      <c r="D861" s="123"/>
    </row>
    <row r="862">
      <c r="D862" s="123"/>
    </row>
    <row r="863">
      <c r="D863" s="123"/>
    </row>
    <row r="864">
      <c r="D864" s="123"/>
    </row>
    <row r="865">
      <c r="D865" s="123"/>
    </row>
    <row r="866">
      <c r="D866" s="123"/>
    </row>
    <row r="867">
      <c r="D867" s="123"/>
    </row>
    <row r="868">
      <c r="D868" s="123"/>
    </row>
    <row r="869">
      <c r="D869" s="123"/>
    </row>
    <row r="870">
      <c r="D870" s="123"/>
    </row>
    <row r="871">
      <c r="D871" s="123"/>
    </row>
    <row r="872">
      <c r="D872" s="123"/>
    </row>
    <row r="873">
      <c r="D873" s="123"/>
    </row>
    <row r="874">
      <c r="D874" s="123"/>
    </row>
    <row r="875">
      <c r="D875" s="123"/>
    </row>
    <row r="876">
      <c r="D876" s="123"/>
    </row>
    <row r="877">
      <c r="D877" s="123"/>
    </row>
    <row r="878">
      <c r="D878" s="123"/>
    </row>
    <row r="879">
      <c r="D879" s="123"/>
    </row>
    <row r="880">
      <c r="D880" s="123"/>
    </row>
    <row r="881">
      <c r="D881" s="123"/>
    </row>
    <row r="882">
      <c r="D882" s="123"/>
    </row>
    <row r="883">
      <c r="D883" s="123"/>
    </row>
    <row r="884">
      <c r="D884" s="123"/>
    </row>
    <row r="885">
      <c r="D885" s="123"/>
    </row>
    <row r="886">
      <c r="D886" s="123"/>
    </row>
    <row r="887">
      <c r="D887" s="123"/>
    </row>
    <row r="888">
      <c r="D888" s="123"/>
    </row>
    <row r="889">
      <c r="D889" s="123"/>
    </row>
    <row r="890">
      <c r="D890" s="123"/>
    </row>
    <row r="891">
      <c r="D891" s="123"/>
    </row>
    <row r="892">
      <c r="D892" s="123"/>
    </row>
    <row r="893">
      <c r="D893" s="123"/>
    </row>
    <row r="894">
      <c r="D894" s="123"/>
    </row>
    <row r="895">
      <c r="D895" s="123"/>
    </row>
    <row r="896">
      <c r="D896" s="123"/>
    </row>
    <row r="897">
      <c r="D897" s="123"/>
    </row>
    <row r="898">
      <c r="D898" s="123"/>
    </row>
    <row r="899">
      <c r="D899" s="123"/>
    </row>
    <row r="900">
      <c r="D900" s="123"/>
    </row>
    <row r="901">
      <c r="D901" s="123"/>
    </row>
    <row r="902">
      <c r="D902" s="123"/>
    </row>
    <row r="903">
      <c r="D903" s="123"/>
    </row>
    <row r="904">
      <c r="D904" s="123"/>
    </row>
    <row r="905">
      <c r="D905" s="123"/>
    </row>
    <row r="906">
      <c r="D906" s="123"/>
    </row>
    <row r="907">
      <c r="D907" s="123"/>
    </row>
    <row r="908">
      <c r="D908" s="123"/>
    </row>
    <row r="909">
      <c r="D909" s="123"/>
    </row>
    <row r="910">
      <c r="D910" s="123"/>
    </row>
    <row r="911">
      <c r="D911" s="123"/>
    </row>
    <row r="912">
      <c r="D912" s="123"/>
    </row>
    <row r="913">
      <c r="D913" s="123"/>
    </row>
    <row r="914">
      <c r="D914" s="123"/>
    </row>
    <row r="915">
      <c r="D915" s="123"/>
    </row>
    <row r="916">
      <c r="D916" s="123"/>
    </row>
    <row r="917">
      <c r="D917" s="123"/>
    </row>
    <row r="918">
      <c r="D918" s="123"/>
    </row>
    <row r="919">
      <c r="D919" s="123"/>
    </row>
    <row r="920">
      <c r="D920" s="123"/>
    </row>
    <row r="921">
      <c r="D921" s="123"/>
    </row>
    <row r="922">
      <c r="D922" s="123"/>
    </row>
    <row r="923">
      <c r="D923" s="123"/>
    </row>
    <row r="924">
      <c r="D924" s="123"/>
    </row>
    <row r="925">
      <c r="D925" s="123"/>
    </row>
    <row r="926">
      <c r="D926" s="123"/>
    </row>
    <row r="927">
      <c r="D927" s="123"/>
    </row>
    <row r="928">
      <c r="D928" s="123"/>
    </row>
    <row r="929">
      <c r="D929" s="123"/>
    </row>
    <row r="930">
      <c r="D930" s="123"/>
    </row>
    <row r="931">
      <c r="D931" s="123"/>
    </row>
    <row r="932">
      <c r="D932" s="123"/>
    </row>
    <row r="933">
      <c r="D933" s="123"/>
    </row>
    <row r="934">
      <c r="D934" s="123"/>
    </row>
    <row r="935">
      <c r="D935" s="123"/>
    </row>
    <row r="936">
      <c r="D936" s="123"/>
    </row>
    <row r="937">
      <c r="D937" s="123"/>
    </row>
    <row r="938">
      <c r="D938" s="123"/>
    </row>
    <row r="939">
      <c r="D939" s="123"/>
    </row>
    <row r="940">
      <c r="D940" s="123"/>
    </row>
    <row r="941">
      <c r="D941" s="123"/>
    </row>
    <row r="942">
      <c r="D942" s="123"/>
    </row>
    <row r="943">
      <c r="D943" s="123"/>
    </row>
    <row r="944">
      <c r="D944" s="123"/>
    </row>
    <row r="945">
      <c r="D945" s="123"/>
    </row>
    <row r="946">
      <c r="D946" s="123"/>
    </row>
    <row r="947">
      <c r="D947" s="123"/>
    </row>
    <row r="948">
      <c r="D948" s="123"/>
    </row>
    <row r="949">
      <c r="D949" s="123"/>
    </row>
    <row r="950">
      <c r="D950" s="123"/>
    </row>
    <row r="951">
      <c r="D951" s="123"/>
    </row>
    <row r="952">
      <c r="D952" s="123"/>
    </row>
    <row r="953">
      <c r="D953" s="123"/>
    </row>
    <row r="954">
      <c r="D954" s="123"/>
    </row>
    <row r="955">
      <c r="D955" s="123"/>
    </row>
    <row r="956">
      <c r="D956" s="123"/>
    </row>
    <row r="957">
      <c r="D957" s="123"/>
    </row>
    <row r="958">
      <c r="D958" s="123"/>
    </row>
    <row r="959">
      <c r="D959" s="123"/>
    </row>
    <row r="960">
      <c r="D960" s="123"/>
    </row>
    <row r="961">
      <c r="D961" s="123"/>
    </row>
    <row r="962">
      <c r="D962" s="123"/>
    </row>
    <row r="963">
      <c r="D963" s="123"/>
    </row>
    <row r="964">
      <c r="D964" s="123"/>
    </row>
    <row r="965">
      <c r="D965" s="123"/>
    </row>
    <row r="966">
      <c r="D966" s="123"/>
    </row>
    <row r="967">
      <c r="D967" s="123"/>
    </row>
    <row r="968">
      <c r="D968" s="123"/>
    </row>
    <row r="969">
      <c r="D969" s="123"/>
    </row>
    <row r="970">
      <c r="D970" s="123"/>
    </row>
    <row r="971">
      <c r="D971" s="123"/>
    </row>
    <row r="972">
      <c r="D972" s="123"/>
    </row>
    <row r="973">
      <c r="D973" s="123"/>
    </row>
    <row r="974">
      <c r="D974" s="123"/>
    </row>
    <row r="975">
      <c r="D975" s="123"/>
    </row>
    <row r="976">
      <c r="D976" s="123"/>
    </row>
    <row r="977">
      <c r="D977" s="123"/>
    </row>
    <row r="978">
      <c r="D978" s="123"/>
    </row>
    <row r="979">
      <c r="D979" s="123"/>
    </row>
    <row r="980">
      <c r="D980" s="123"/>
    </row>
    <row r="981">
      <c r="D981" s="123"/>
    </row>
    <row r="982">
      <c r="D982" s="123"/>
    </row>
    <row r="983">
      <c r="D983" s="123"/>
    </row>
    <row r="984">
      <c r="D984" s="123"/>
    </row>
    <row r="985">
      <c r="D985" s="123"/>
    </row>
    <row r="986">
      <c r="D986" s="123"/>
    </row>
    <row r="987">
      <c r="D987" s="123"/>
    </row>
    <row r="988">
      <c r="D988" s="123"/>
    </row>
    <row r="989">
      <c r="D989" s="123"/>
    </row>
    <row r="990">
      <c r="D990" s="123"/>
    </row>
    <row r="991">
      <c r="D991" s="123"/>
    </row>
    <row r="992">
      <c r="D992" s="123"/>
    </row>
    <row r="993">
      <c r="D993" s="123"/>
    </row>
    <row r="994">
      <c r="D994" s="123"/>
    </row>
    <row r="995">
      <c r="D995" s="123"/>
    </row>
    <row r="996">
      <c r="D996" s="123"/>
    </row>
    <row r="997">
      <c r="D997" s="123"/>
    </row>
    <row r="998">
      <c r="D998" s="123"/>
    </row>
    <row r="999">
      <c r="D999" s="123"/>
    </row>
    <row r="1000">
      <c r="D1000" s="123"/>
    </row>
    <row r="1001">
      <c r="D1001" s="123"/>
    </row>
    <row r="1002">
      <c r="D1002" s="123"/>
    </row>
    <row r="1003">
      <c r="D1003" s="123"/>
    </row>
    <row r="1004">
      <c r="D1004" s="123"/>
    </row>
    <row r="1005">
      <c r="D1005" s="123"/>
    </row>
    <row r="1006">
      <c r="D1006" s="123"/>
    </row>
    <row r="1007">
      <c r="D1007" s="123"/>
    </row>
    <row r="1008">
      <c r="D1008" s="123"/>
    </row>
    <row r="1009">
      <c r="D1009" s="123"/>
    </row>
    <row r="1010">
      <c r="D1010" s="123"/>
    </row>
    <row r="1011">
      <c r="D1011" s="123"/>
    </row>
    <row r="1012">
      <c r="D1012" s="123"/>
    </row>
    <row r="1013">
      <c r="D1013" s="123"/>
    </row>
    <row r="1014">
      <c r="D1014" s="123"/>
    </row>
    <row r="1015">
      <c r="D1015" s="123"/>
    </row>
    <row r="1016">
      <c r="D1016" s="123"/>
    </row>
    <row r="1017">
      <c r="D1017" s="123"/>
    </row>
    <row r="1018">
      <c r="D1018" s="123"/>
    </row>
    <row r="1019">
      <c r="D1019" s="123"/>
    </row>
    <row r="1020">
      <c r="D1020" s="123"/>
    </row>
    <row r="1021">
      <c r="D1021" s="123"/>
    </row>
    <row r="1022">
      <c r="D1022" s="123"/>
    </row>
    <row r="1023">
      <c r="D1023" s="123"/>
    </row>
    <row r="1024">
      <c r="D1024" s="123"/>
    </row>
    <row r="1025">
      <c r="D1025" s="123"/>
    </row>
    <row r="1026">
      <c r="D1026" s="123"/>
    </row>
    <row r="1027">
      <c r="D1027" s="123"/>
    </row>
    <row r="1028">
      <c r="D1028" s="123"/>
    </row>
    <row r="1029">
      <c r="D1029" s="123"/>
    </row>
    <row r="1030">
      <c r="D1030" s="123"/>
    </row>
    <row r="1031">
      <c r="D1031" s="123"/>
    </row>
    <row r="1032">
      <c r="D1032" s="123"/>
    </row>
    <row r="1033">
      <c r="D1033" s="123"/>
    </row>
    <row r="1034">
      <c r="D1034" s="123"/>
    </row>
    <row r="1035">
      <c r="D1035" s="123"/>
    </row>
    <row r="1036">
      <c r="D1036" s="123"/>
    </row>
    <row r="1037">
      <c r="D1037" s="123"/>
    </row>
    <row r="1038">
      <c r="D1038" s="123"/>
    </row>
    <row r="1039">
      <c r="D1039" s="123"/>
    </row>
    <row r="1040">
      <c r="D1040" s="123"/>
    </row>
    <row r="1041">
      <c r="D1041" s="123"/>
    </row>
    <row r="1042">
      <c r="D1042" s="123"/>
    </row>
    <row r="1043">
      <c r="D1043" s="123"/>
    </row>
    <row r="1044">
      <c r="D1044" s="123"/>
    </row>
    <row r="1045">
      <c r="D1045" s="123"/>
    </row>
    <row r="1046">
      <c r="D1046" s="123"/>
    </row>
    <row r="1047">
      <c r="D1047" s="123"/>
    </row>
    <row r="1048">
      <c r="D1048" s="123"/>
    </row>
    <row r="1049">
      <c r="D1049" s="123"/>
    </row>
    <row r="1050">
      <c r="D1050" s="123"/>
    </row>
    <row r="1051">
      <c r="D1051" s="123"/>
    </row>
    <row r="1052">
      <c r="D1052" s="123"/>
    </row>
    <row r="1053">
      <c r="D1053" s="123"/>
    </row>
    <row r="1054">
      <c r="D1054" s="123"/>
    </row>
    <row r="1055">
      <c r="D1055" s="123"/>
    </row>
    <row r="1056">
      <c r="D1056" s="123"/>
    </row>
    <row r="1057">
      <c r="D1057" s="123"/>
    </row>
    <row r="1058">
      <c r="D1058" s="123"/>
    </row>
    <row r="1059">
      <c r="D1059" s="123"/>
    </row>
    <row r="1060">
      <c r="D1060" s="123"/>
    </row>
    <row r="1061">
      <c r="D1061" s="123"/>
    </row>
    <row r="1062">
      <c r="D1062" s="123"/>
    </row>
    <row r="1063">
      <c r="D1063" s="123"/>
    </row>
    <row r="1064">
      <c r="D1064" s="123"/>
    </row>
    <row r="1065">
      <c r="D1065" s="123"/>
    </row>
    <row r="1066">
      <c r="D1066" s="123"/>
    </row>
    <row r="1067">
      <c r="D1067" s="123"/>
    </row>
    <row r="1068">
      <c r="D1068" s="123"/>
    </row>
    <row r="1069">
      <c r="D1069" s="123"/>
    </row>
    <row r="1070">
      <c r="D1070" s="123"/>
    </row>
    <row r="1071">
      <c r="D1071" s="123"/>
    </row>
    <row r="1072">
      <c r="D1072" s="123"/>
    </row>
    <row r="1073">
      <c r="D1073" s="123"/>
    </row>
    <row r="1074">
      <c r="D1074" s="123"/>
    </row>
    <row r="1075">
      <c r="D1075" s="123"/>
    </row>
    <row r="1076">
      <c r="D1076" s="123"/>
    </row>
    <row r="1077">
      <c r="D1077" s="123"/>
    </row>
    <row r="1078">
      <c r="D1078" s="123"/>
    </row>
    <row r="1079">
      <c r="D1079" s="123"/>
    </row>
    <row r="1080">
      <c r="D1080" s="123"/>
    </row>
    <row r="1081">
      <c r="D1081" s="123"/>
    </row>
    <row r="1082">
      <c r="D1082" s="123"/>
    </row>
    <row r="1083">
      <c r="D1083" s="123"/>
    </row>
    <row r="1084">
      <c r="D1084" s="123"/>
    </row>
    <row r="1085">
      <c r="D1085" s="123"/>
    </row>
    <row r="1086">
      <c r="D1086" s="123"/>
    </row>
    <row r="1087">
      <c r="D1087" s="123"/>
    </row>
    <row r="1088">
      <c r="D1088" s="123"/>
    </row>
    <row r="1089">
      <c r="D1089" s="123"/>
    </row>
    <row r="1090">
      <c r="D1090" s="123"/>
    </row>
    <row r="1091">
      <c r="D1091" s="123"/>
    </row>
    <row r="1092">
      <c r="D1092" s="123"/>
    </row>
    <row r="1093">
      <c r="D1093" s="123"/>
    </row>
    <row r="1094">
      <c r="D1094" s="123"/>
    </row>
    <row r="1095">
      <c r="D1095" s="123"/>
    </row>
    <row r="1096">
      <c r="D1096" s="123"/>
    </row>
    <row r="1097">
      <c r="D1097" s="123"/>
    </row>
    <row r="1098">
      <c r="D1098" s="123"/>
    </row>
    <row r="1099">
      <c r="D1099" s="123"/>
    </row>
    <row r="1100">
      <c r="D1100" s="123"/>
    </row>
    <row r="1101">
      <c r="D1101" s="123"/>
    </row>
    <row r="1102">
      <c r="D1102" s="123"/>
    </row>
    <row r="1103">
      <c r="D1103" s="123"/>
    </row>
    <row r="1104">
      <c r="D1104" s="123"/>
    </row>
    <row r="1105">
      <c r="D1105" s="123"/>
    </row>
    <row r="1106">
      <c r="D1106" s="123"/>
    </row>
    <row r="1107">
      <c r="D1107" s="123"/>
    </row>
    <row r="1108">
      <c r="D1108" s="123"/>
    </row>
    <row r="1109">
      <c r="D1109" s="123"/>
    </row>
    <row r="1110">
      <c r="D1110" s="123"/>
    </row>
    <row r="1111">
      <c r="D1111" s="123"/>
    </row>
    <row r="1112">
      <c r="D1112" s="123"/>
    </row>
    <row r="1113">
      <c r="D1113" s="123"/>
    </row>
    <row r="1114">
      <c r="D1114" s="123"/>
    </row>
    <row r="1115">
      <c r="D1115" s="123"/>
    </row>
    <row r="1116">
      <c r="D1116" s="123"/>
    </row>
    <row r="1117">
      <c r="D1117" s="123"/>
    </row>
    <row r="1118">
      <c r="D1118" s="123"/>
    </row>
    <row r="1119">
      <c r="D1119" s="123"/>
    </row>
    <row r="1120">
      <c r="D1120" s="123"/>
    </row>
    <row r="1121">
      <c r="D1121" s="123"/>
    </row>
    <row r="1122">
      <c r="D1122" s="123"/>
    </row>
    <row r="1123">
      <c r="D1123" s="123"/>
    </row>
    <row r="1124">
      <c r="D1124" s="123"/>
    </row>
    <row r="1125">
      <c r="D1125" s="123"/>
    </row>
    <row r="1126">
      <c r="D1126" s="123"/>
    </row>
    <row r="1127">
      <c r="D1127" s="123"/>
    </row>
    <row r="1128">
      <c r="D1128" s="123"/>
    </row>
    <row r="1129">
      <c r="D1129" s="123"/>
    </row>
    <row r="1130">
      <c r="D1130" s="123"/>
    </row>
    <row r="1131">
      <c r="D1131" s="123"/>
    </row>
    <row r="1132">
      <c r="D1132" s="123"/>
    </row>
    <row r="1133">
      <c r="D1133" s="123"/>
    </row>
    <row r="1134">
      <c r="D1134" s="123"/>
    </row>
    <row r="1135">
      <c r="D1135" s="123"/>
    </row>
    <row r="1136">
      <c r="D1136" s="123"/>
    </row>
    <row r="1137">
      <c r="D1137" s="123"/>
    </row>
    <row r="1138">
      <c r="D1138" s="123"/>
    </row>
    <row r="1139">
      <c r="D1139" s="123"/>
    </row>
    <row r="1140">
      <c r="D1140" s="123"/>
    </row>
    <row r="1141">
      <c r="D1141" s="123"/>
    </row>
    <row r="1142">
      <c r="D1142" s="123"/>
    </row>
    <row r="1143">
      <c r="D1143" s="123"/>
    </row>
    <row r="1144">
      <c r="D1144" s="123"/>
    </row>
    <row r="1145">
      <c r="D1145" s="123"/>
    </row>
    <row r="1146">
      <c r="D1146" s="123"/>
    </row>
    <row r="1147">
      <c r="D1147" s="123"/>
    </row>
    <row r="1148">
      <c r="D1148" s="123"/>
    </row>
    <row r="1149">
      <c r="D1149" s="123"/>
    </row>
    <row r="1150">
      <c r="D1150" s="123"/>
    </row>
    <row r="1151">
      <c r="D1151" s="123"/>
    </row>
    <row r="1152">
      <c r="D1152" s="123"/>
    </row>
    <row r="1153">
      <c r="D1153" s="123"/>
    </row>
    <row r="1154">
      <c r="D1154" s="123"/>
    </row>
    <row r="1155">
      <c r="D1155" s="123"/>
    </row>
    <row r="1156">
      <c r="D1156" s="123"/>
    </row>
    <row r="1157">
      <c r="D1157" s="123"/>
    </row>
    <row r="1158">
      <c r="D1158" s="123"/>
    </row>
    <row r="1159">
      <c r="D1159" s="123"/>
    </row>
    <row r="1160">
      <c r="D1160" s="123"/>
    </row>
    <row r="1161">
      <c r="D1161" s="123"/>
    </row>
    <row r="1162">
      <c r="D1162" s="123"/>
    </row>
    <row r="1163">
      <c r="D1163" s="123"/>
    </row>
    <row r="1164">
      <c r="D1164" s="123"/>
    </row>
    <row r="1165">
      <c r="D1165" s="123"/>
    </row>
    <row r="1166">
      <c r="D1166" s="123"/>
    </row>
    <row r="1167">
      <c r="D1167" s="123"/>
    </row>
    <row r="1168">
      <c r="D1168" s="123"/>
    </row>
    <row r="1169">
      <c r="D1169" s="123"/>
    </row>
    <row r="1170">
      <c r="D1170" s="123"/>
    </row>
    <row r="1171">
      <c r="D1171" s="123"/>
    </row>
    <row r="1172">
      <c r="D1172" s="123"/>
    </row>
    <row r="1173">
      <c r="D1173" s="123"/>
    </row>
    <row r="1174">
      <c r="D1174" s="123"/>
    </row>
    <row r="1175">
      <c r="D1175" s="123"/>
    </row>
    <row r="1176">
      <c r="D1176" s="123"/>
    </row>
    <row r="1177">
      <c r="D1177" s="123"/>
    </row>
    <row r="1178">
      <c r="D1178" s="123"/>
    </row>
    <row r="1179">
      <c r="D1179" s="123"/>
    </row>
    <row r="1180">
      <c r="D1180" s="123"/>
    </row>
    <row r="1181">
      <c r="D1181" s="123"/>
    </row>
    <row r="1182">
      <c r="D1182" s="123"/>
    </row>
    <row r="1183">
      <c r="D1183" s="123"/>
    </row>
    <row r="1184">
      <c r="D1184" s="123"/>
    </row>
    <row r="1185">
      <c r="D1185" s="123"/>
    </row>
    <row r="1186">
      <c r="D1186" s="123"/>
    </row>
    <row r="1187">
      <c r="D1187" s="123"/>
    </row>
    <row r="1188">
      <c r="D1188" s="123"/>
    </row>
    <row r="1189">
      <c r="D1189" s="123"/>
    </row>
    <row r="1190">
      <c r="D1190" s="123"/>
    </row>
    <row r="1191">
      <c r="D1191" s="123"/>
    </row>
    <row r="1192">
      <c r="D1192" s="123"/>
    </row>
    <row r="1193">
      <c r="D1193" s="123"/>
    </row>
    <row r="1194">
      <c r="D1194" s="123"/>
    </row>
    <row r="1195">
      <c r="D1195" s="123"/>
    </row>
    <row r="1196">
      <c r="D1196" s="123"/>
    </row>
    <row r="1197">
      <c r="D1197" s="123"/>
    </row>
    <row r="1198">
      <c r="D1198" s="123"/>
    </row>
    <row r="1199">
      <c r="D1199" s="123"/>
    </row>
    <row r="1200">
      <c r="D1200" s="123"/>
    </row>
    <row r="1201">
      <c r="D1201" s="123"/>
    </row>
    <row r="1202">
      <c r="D1202" s="123"/>
    </row>
    <row r="1203">
      <c r="D1203" s="123"/>
    </row>
    <row r="1204">
      <c r="D1204" s="123"/>
    </row>
    <row r="1205">
      <c r="D1205" s="123"/>
    </row>
    <row r="1206">
      <c r="D1206" s="123"/>
    </row>
    <row r="1207">
      <c r="D1207" s="123"/>
    </row>
    <row r="1208">
      <c r="D1208" s="123"/>
    </row>
    <row r="1209">
      <c r="D1209" s="123"/>
    </row>
    <row r="1210">
      <c r="D1210" s="123"/>
    </row>
    <row r="1211">
      <c r="D1211" s="123"/>
    </row>
    <row r="1212">
      <c r="D1212" s="123"/>
    </row>
    <row r="1213">
      <c r="D1213" s="123"/>
    </row>
    <row r="1214">
      <c r="D1214" s="123"/>
    </row>
    <row r="1215">
      <c r="D1215" s="123"/>
    </row>
    <row r="1216">
      <c r="D1216" s="123"/>
    </row>
    <row r="1217">
      <c r="D1217" s="123"/>
    </row>
    <row r="1218">
      <c r="D1218" s="123"/>
    </row>
    <row r="1219">
      <c r="D1219" s="123"/>
    </row>
    <row r="1220">
      <c r="D1220" s="123"/>
    </row>
    <row r="1221">
      <c r="D1221" s="123"/>
    </row>
    <row r="1222">
      <c r="D1222" s="123"/>
    </row>
    <row r="1223">
      <c r="D1223" s="123"/>
    </row>
    <row r="1224">
      <c r="D1224" s="123"/>
    </row>
    <row r="1225">
      <c r="D1225" s="123"/>
    </row>
    <row r="1226">
      <c r="D1226" s="123"/>
    </row>
    <row r="1227">
      <c r="D1227" s="123"/>
    </row>
    <row r="1228">
      <c r="D1228" s="123"/>
    </row>
    <row r="1229">
      <c r="D1229" s="123"/>
    </row>
    <row r="1230">
      <c r="D1230" s="123"/>
    </row>
    <row r="1231">
      <c r="D1231" s="123"/>
    </row>
    <row r="1232">
      <c r="D1232" s="123"/>
    </row>
    <row r="1233">
      <c r="D1233" s="123"/>
    </row>
    <row r="1234">
      <c r="D1234" s="123"/>
    </row>
    <row r="1235">
      <c r="D1235" s="123"/>
    </row>
    <row r="1236">
      <c r="D1236" s="123"/>
    </row>
    <row r="1237">
      <c r="D1237" s="123"/>
    </row>
    <row r="1238">
      <c r="D1238" s="123"/>
    </row>
    <row r="1239">
      <c r="D1239" s="123"/>
    </row>
    <row r="1240">
      <c r="D1240" s="123"/>
    </row>
    <row r="1241">
      <c r="D1241" s="123"/>
    </row>
    <row r="1242">
      <c r="D1242" s="123"/>
    </row>
    <row r="1243">
      <c r="D1243" s="123"/>
    </row>
    <row r="1244">
      <c r="D1244" s="123"/>
    </row>
    <row r="1245">
      <c r="D1245" s="123"/>
    </row>
    <row r="1246">
      <c r="D1246" s="123"/>
    </row>
    <row r="1247">
      <c r="D1247" s="123"/>
    </row>
    <row r="1248">
      <c r="D1248" s="123"/>
    </row>
    <row r="1249">
      <c r="D1249" s="123"/>
    </row>
    <row r="1250">
      <c r="D1250" s="123"/>
    </row>
    <row r="1251">
      <c r="D1251" s="123"/>
    </row>
    <row r="1252">
      <c r="D1252" s="123"/>
    </row>
    <row r="1253">
      <c r="D1253" s="123"/>
    </row>
    <row r="1254">
      <c r="D1254" s="123"/>
    </row>
    <row r="1255">
      <c r="D1255" s="123"/>
    </row>
    <row r="1256">
      <c r="D1256" s="123"/>
    </row>
    <row r="1257">
      <c r="D1257" s="123"/>
    </row>
    <row r="1258">
      <c r="D1258" s="123"/>
    </row>
    <row r="1259">
      <c r="D1259" s="123"/>
    </row>
    <row r="1260">
      <c r="D1260" s="123"/>
    </row>
    <row r="1261">
      <c r="D1261" s="123"/>
    </row>
    <row r="1262">
      <c r="D1262" s="123"/>
    </row>
    <row r="1263">
      <c r="D1263" s="123"/>
    </row>
    <row r="1264">
      <c r="D1264" s="123"/>
    </row>
    <row r="1265">
      <c r="D1265" s="123"/>
    </row>
    <row r="1266">
      <c r="D1266" s="123"/>
    </row>
    <row r="1267">
      <c r="D1267" s="123"/>
    </row>
    <row r="1268">
      <c r="D1268" s="123"/>
    </row>
    <row r="1269">
      <c r="D1269" s="123"/>
    </row>
    <row r="1270">
      <c r="D1270" s="123"/>
    </row>
    <row r="1271">
      <c r="D1271" s="123"/>
    </row>
    <row r="1272">
      <c r="D1272" s="123"/>
    </row>
    <row r="1273">
      <c r="D1273" s="123"/>
    </row>
    <row r="1274">
      <c r="D1274" s="123"/>
    </row>
    <row r="1275">
      <c r="D1275" s="123"/>
    </row>
    <row r="1276">
      <c r="D1276" s="123"/>
    </row>
    <row r="1277">
      <c r="D1277" s="123"/>
    </row>
    <row r="1278">
      <c r="D1278" s="123"/>
    </row>
    <row r="1279">
      <c r="D1279" s="123"/>
    </row>
    <row r="1280">
      <c r="D1280" s="123"/>
    </row>
    <row r="1281">
      <c r="D1281" s="123"/>
    </row>
    <row r="1282">
      <c r="D1282" s="123"/>
    </row>
    <row r="1283">
      <c r="D1283" s="123"/>
    </row>
    <row r="1284">
      <c r="D1284" s="123"/>
    </row>
    <row r="1285">
      <c r="D1285" s="123"/>
    </row>
    <row r="1286">
      <c r="D1286" s="123"/>
    </row>
    <row r="1287">
      <c r="D1287" s="123"/>
    </row>
    <row r="1288">
      <c r="D1288" s="123"/>
    </row>
    <row r="1289">
      <c r="D1289" s="123"/>
    </row>
    <row r="1290">
      <c r="D1290" s="123"/>
    </row>
    <row r="1291">
      <c r="D1291" s="123"/>
    </row>
    <row r="1292">
      <c r="D1292" s="123"/>
    </row>
    <row r="1293">
      <c r="D1293" s="123"/>
    </row>
    <row r="1294">
      <c r="D1294" s="123"/>
    </row>
    <row r="1295">
      <c r="D1295" s="123"/>
    </row>
    <row r="1296">
      <c r="D1296" s="123"/>
    </row>
    <row r="1297">
      <c r="D1297" s="123"/>
    </row>
    <row r="1298">
      <c r="D1298" s="123"/>
    </row>
    <row r="1299">
      <c r="D1299" s="123"/>
    </row>
    <row r="1300">
      <c r="D1300" s="123"/>
    </row>
    <row r="1301">
      <c r="D1301" s="123"/>
    </row>
    <row r="1302">
      <c r="D1302" s="123"/>
    </row>
    <row r="1303">
      <c r="D1303" s="123"/>
    </row>
    <row r="1304">
      <c r="D1304" s="123"/>
    </row>
    <row r="1305">
      <c r="D1305" s="123"/>
    </row>
    <row r="1306">
      <c r="D1306" s="123"/>
    </row>
    <row r="1307">
      <c r="D1307" s="123"/>
    </row>
    <row r="1308">
      <c r="D1308" s="123"/>
    </row>
    <row r="1309">
      <c r="D1309" s="123"/>
    </row>
    <row r="1310">
      <c r="D1310" s="123"/>
    </row>
    <row r="1311">
      <c r="D1311" s="123"/>
    </row>
    <row r="1312">
      <c r="D1312" s="123"/>
    </row>
    <row r="1313">
      <c r="D1313" s="123"/>
    </row>
    <row r="1314">
      <c r="D1314" s="123"/>
    </row>
    <row r="1315">
      <c r="D1315" s="123"/>
    </row>
    <row r="1316">
      <c r="D1316" s="123"/>
    </row>
    <row r="1317">
      <c r="D1317" s="123"/>
    </row>
    <row r="1318">
      <c r="D1318" s="123"/>
    </row>
    <row r="1319">
      <c r="D1319" s="123"/>
    </row>
    <row r="1320">
      <c r="D1320" s="123"/>
    </row>
    <row r="1321">
      <c r="D1321" s="123"/>
    </row>
    <row r="1322">
      <c r="D1322" s="123"/>
    </row>
    <row r="1323">
      <c r="D1323" s="123"/>
    </row>
    <row r="1324">
      <c r="D1324" s="123"/>
    </row>
    <row r="1325">
      <c r="D1325" s="123"/>
    </row>
    <row r="1326">
      <c r="D1326" s="123"/>
    </row>
    <row r="1327">
      <c r="D1327" s="123"/>
    </row>
    <row r="1328">
      <c r="D1328" s="123"/>
    </row>
    <row r="1329">
      <c r="D1329" s="123"/>
    </row>
    <row r="1330">
      <c r="D1330" s="123"/>
    </row>
    <row r="1331">
      <c r="D1331" s="123"/>
    </row>
    <row r="1332">
      <c r="D1332" s="123"/>
    </row>
    <row r="1333">
      <c r="D1333" s="123"/>
    </row>
    <row r="1334">
      <c r="D1334" s="123"/>
    </row>
    <row r="1335">
      <c r="D1335" s="123"/>
    </row>
    <row r="1336">
      <c r="D1336" s="123"/>
    </row>
    <row r="1337">
      <c r="D1337" s="123"/>
    </row>
    <row r="1338">
      <c r="D1338" s="123"/>
    </row>
    <row r="1339">
      <c r="D1339" s="123"/>
    </row>
    <row r="1340">
      <c r="D1340" s="123"/>
    </row>
    <row r="1341">
      <c r="D1341" s="123"/>
    </row>
    <row r="1342">
      <c r="D1342" s="123"/>
    </row>
    <row r="1343">
      <c r="D1343" s="123"/>
    </row>
    <row r="1344">
      <c r="D1344" s="123"/>
    </row>
    <row r="1345">
      <c r="D1345" s="123"/>
    </row>
    <row r="1346">
      <c r="D1346" s="123"/>
    </row>
    <row r="1347">
      <c r="D1347" s="123"/>
    </row>
    <row r="1348">
      <c r="D1348" s="123"/>
    </row>
    <row r="1349">
      <c r="D1349" s="123"/>
    </row>
    <row r="1350">
      <c r="D1350" s="123"/>
    </row>
    <row r="1351">
      <c r="D1351" s="123"/>
    </row>
    <row r="1352">
      <c r="D1352" s="123"/>
    </row>
    <row r="1353">
      <c r="D1353" s="123"/>
    </row>
    <row r="1354">
      <c r="D1354" s="123"/>
    </row>
    <row r="1355">
      <c r="D1355" s="123"/>
    </row>
    <row r="1356">
      <c r="D1356" s="123"/>
    </row>
    <row r="1357">
      <c r="D1357" s="123"/>
    </row>
    <row r="1358">
      <c r="D1358" s="123"/>
    </row>
    <row r="1359">
      <c r="D1359" s="123"/>
    </row>
    <row r="1360">
      <c r="D1360" s="123"/>
    </row>
    <row r="1361">
      <c r="D1361" s="123"/>
    </row>
    <row r="1362">
      <c r="D1362" s="123"/>
    </row>
    <row r="1363">
      <c r="D1363" s="123"/>
    </row>
    <row r="1364">
      <c r="D1364" s="123"/>
    </row>
    <row r="1365">
      <c r="D1365" s="123"/>
    </row>
    <row r="1366">
      <c r="D1366" s="123"/>
    </row>
    <row r="1367">
      <c r="D1367" s="123"/>
    </row>
    <row r="1368">
      <c r="D1368" s="123"/>
    </row>
    <row r="1369">
      <c r="D1369" s="123"/>
    </row>
    <row r="1370">
      <c r="D1370" s="123"/>
    </row>
    <row r="1371">
      <c r="D1371" s="123"/>
    </row>
    <row r="1372">
      <c r="D1372" s="123"/>
    </row>
    <row r="1373">
      <c r="D1373" s="123"/>
    </row>
    <row r="1374">
      <c r="D1374" s="123"/>
    </row>
    <row r="1375">
      <c r="D1375" s="123"/>
    </row>
    <row r="1376">
      <c r="D1376" s="123"/>
    </row>
    <row r="1377">
      <c r="D1377" s="123"/>
    </row>
    <row r="1378">
      <c r="D1378" s="123"/>
    </row>
    <row r="1379">
      <c r="D1379" s="123"/>
    </row>
    <row r="1380">
      <c r="D1380" s="123"/>
    </row>
    <row r="1381">
      <c r="D1381" s="123"/>
    </row>
    <row r="1382">
      <c r="D1382" s="123"/>
    </row>
    <row r="1383">
      <c r="D1383" s="123"/>
    </row>
    <row r="1384">
      <c r="D1384" s="123"/>
    </row>
    <row r="1385">
      <c r="D1385" s="123"/>
    </row>
    <row r="1386">
      <c r="D1386" s="123"/>
    </row>
    <row r="1387">
      <c r="D1387" s="123"/>
    </row>
    <row r="1388">
      <c r="D1388" s="123"/>
    </row>
    <row r="1389">
      <c r="D1389" s="123"/>
    </row>
    <row r="1390">
      <c r="D1390" s="123"/>
    </row>
    <row r="1391">
      <c r="D1391" s="123"/>
    </row>
    <row r="1392">
      <c r="D1392" s="123"/>
    </row>
    <row r="1393">
      <c r="D1393" s="123"/>
    </row>
    <row r="1394">
      <c r="D1394" s="123"/>
    </row>
    <row r="1395">
      <c r="D1395" s="123"/>
    </row>
    <row r="1396">
      <c r="D1396" s="123"/>
    </row>
    <row r="1397">
      <c r="D1397" s="123"/>
    </row>
    <row r="1398">
      <c r="D1398" s="123"/>
    </row>
    <row r="1399">
      <c r="D1399" s="123"/>
    </row>
    <row r="1400">
      <c r="D1400" s="123"/>
    </row>
    <row r="1401">
      <c r="D1401" s="123"/>
    </row>
    <row r="1402">
      <c r="D1402" s="123"/>
    </row>
    <row r="1403">
      <c r="D1403" s="123"/>
    </row>
    <row r="1404">
      <c r="D1404" s="123"/>
    </row>
    <row r="1405">
      <c r="D1405" s="123"/>
    </row>
    <row r="1406">
      <c r="D1406" s="123"/>
    </row>
    <row r="1407">
      <c r="D1407" s="123"/>
    </row>
    <row r="1408">
      <c r="D1408" s="123"/>
    </row>
    <row r="1409">
      <c r="D1409" s="123"/>
    </row>
    <row r="1410">
      <c r="D1410" s="123"/>
    </row>
    <row r="1411">
      <c r="D1411" s="123"/>
    </row>
    <row r="1412">
      <c r="D1412" s="123"/>
    </row>
    <row r="1413">
      <c r="D1413" s="123"/>
    </row>
    <row r="1414">
      <c r="D1414" s="123"/>
    </row>
    <row r="1415">
      <c r="D1415" s="123"/>
    </row>
    <row r="1416">
      <c r="D1416" s="123"/>
    </row>
    <row r="1417">
      <c r="D1417" s="123"/>
    </row>
    <row r="1418">
      <c r="D1418" s="123"/>
    </row>
    <row r="1419">
      <c r="D1419" s="123"/>
    </row>
    <row r="1420">
      <c r="D1420" s="123"/>
    </row>
    <row r="1421">
      <c r="D1421" s="123"/>
    </row>
    <row r="1422">
      <c r="D1422" s="123"/>
    </row>
    <row r="1423">
      <c r="D1423" s="123"/>
    </row>
    <row r="1424">
      <c r="D1424" s="123"/>
    </row>
    <row r="1425">
      <c r="D1425" s="123"/>
    </row>
    <row r="1426">
      <c r="D1426" s="123"/>
    </row>
    <row r="1427">
      <c r="D1427" s="123"/>
    </row>
    <row r="1428">
      <c r="D1428" s="123"/>
    </row>
    <row r="1429">
      <c r="D1429" s="123"/>
    </row>
    <row r="1430">
      <c r="D1430" s="123"/>
    </row>
    <row r="1431">
      <c r="D1431" s="123"/>
    </row>
    <row r="1432">
      <c r="D1432" s="123"/>
    </row>
    <row r="1433">
      <c r="D1433" s="123"/>
    </row>
    <row r="1434">
      <c r="D1434" s="123"/>
    </row>
    <row r="1435">
      <c r="D1435" s="123"/>
    </row>
    <row r="1436">
      <c r="D1436" s="123"/>
    </row>
    <row r="1437">
      <c r="D1437" s="123"/>
    </row>
    <row r="1438">
      <c r="D1438" s="123"/>
    </row>
    <row r="1439">
      <c r="D1439" s="123"/>
    </row>
    <row r="1440">
      <c r="D1440" s="123"/>
    </row>
    <row r="1441">
      <c r="D1441" s="123"/>
    </row>
    <row r="1442">
      <c r="D1442" s="123"/>
    </row>
    <row r="1443">
      <c r="D1443" s="123"/>
    </row>
    <row r="1444">
      <c r="D1444" s="123"/>
    </row>
    <row r="1445">
      <c r="D1445" s="123"/>
    </row>
    <row r="1446">
      <c r="D1446" s="123"/>
    </row>
    <row r="1447">
      <c r="D1447" s="123"/>
    </row>
    <row r="1448">
      <c r="D1448" s="123"/>
    </row>
    <row r="1449">
      <c r="D1449" s="123"/>
    </row>
    <row r="1450">
      <c r="D1450" s="123"/>
    </row>
    <row r="1451">
      <c r="D1451" s="123"/>
    </row>
    <row r="1452">
      <c r="D1452" s="123"/>
    </row>
    <row r="1453">
      <c r="D1453" s="123"/>
    </row>
    <row r="1454">
      <c r="D1454" s="123"/>
    </row>
    <row r="1455">
      <c r="D1455" s="123"/>
    </row>
    <row r="1456">
      <c r="D1456" s="123"/>
    </row>
    <row r="1457">
      <c r="D1457" s="123"/>
    </row>
    <row r="1458">
      <c r="D1458" s="123"/>
    </row>
    <row r="1459">
      <c r="D1459" s="123"/>
    </row>
    <row r="1460">
      <c r="D1460" s="123"/>
    </row>
    <row r="1461">
      <c r="D1461" s="123"/>
    </row>
    <row r="1462">
      <c r="D1462" s="123"/>
    </row>
    <row r="1463">
      <c r="D1463" s="123"/>
    </row>
    <row r="1464">
      <c r="D1464" s="123"/>
    </row>
    <row r="1465">
      <c r="D1465" s="123"/>
    </row>
    <row r="1466">
      <c r="D1466" s="123"/>
    </row>
    <row r="1467">
      <c r="D1467" s="123"/>
    </row>
    <row r="1468">
      <c r="D1468" s="123"/>
    </row>
    <row r="1469">
      <c r="D1469" s="123"/>
    </row>
    <row r="1470">
      <c r="D1470" s="123"/>
    </row>
    <row r="1471">
      <c r="D1471" s="123"/>
    </row>
    <row r="1472">
      <c r="D1472" s="123"/>
    </row>
    <row r="1473">
      <c r="D1473" s="123"/>
    </row>
    <row r="1474">
      <c r="D1474" s="123"/>
    </row>
    <row r="1475">
      <c r="D1475" s="123"/>
    </row>
    <row r="1476">
      <c r="D1476" s="123"/>
    </row>
    <row r="1477">
      <c r="D1477" s="123"/>
    </row>
    <row r="1478">
      <c r="D1478" s="123"/>
    </row>
    <row r="1479">
      <c r="D1479" s="123"/>
    </row>
    <row r="1480">
      <c r="D1480" s="123"/>
    </row>
    <row r="1481">
      <c r="D1481" s="123"/>
    </row>
    <row r="1482">
      <c r="D1482" s="123"/>
    </row>
    <row r="1483">
      <c r="D1483" s="123"/>
    </row>
    <row r="1484">
      <c r="D1484" s="123"/>
    </row>
    <row r="1485">
      <c r="D1485" s="123"/>
    </row>
    <row r="1486">
      <c r="D1486" s="123"/>
    </row>
    <row r="1487">
      <c r="D1487" s="123"/>
    </row>
    <row r="1488">
      <c r="D1488" s="123"/>
    </row>
    <row r="1489">
      <c r="D1489" s="123"/>
    </row>
    <row r="1490">
      <c r="D1490" s="123"/>
    </row>
    <row r="1491">
      <c r="D1491" s="123"/>
    </row>
    <row r="1492">
      <c r="D1492" s="123"/>
    </row>
    <row r="1493">
      <c r="D1493" s="123"/>
    </row>
    <row r="1494">
      <c r="D1494" s="123"/>
    </row>
    <row r="1495">
      <c r="D1495" s="123"/>
    </row>
    <row r="1496">
      <c r="D1496" s="123"/>
    </row>
    <row r="1497">
      <c r="D1497" s="123"/>
    </row>
    <row r="1498">
      <c r="D1498" s="123"/>
    </row>
    <row r="1499">
      <c r="D1499" s="123"/>
    </row>
    <row r="1500">
      <c r="D1500" s="123"/>
    </row>
    <row r="1501">
      <c r="D1501" s="123"/>
    </row>
    <row r="1502">
      <c r="D1502" s="123"/>
    </row>
    <row r="1503">
      <c r="D1503" s="123"/>
    </row>
    <row r="1504">
      <c r="D1504" s="123"/>
    </row>
    <row r="1505">
      <c r="D1505" s="123"/>
    </row>
    <row r="1506">
      <c r="D1506" s="123"/>
    </row>
    <row r="1507">
      <c r="D1507" s="123"/>
    </row>
    <row r="1508">
      <c r="D1508" s="123"/>
    </row>
    <row r="1509">
      <c r="D1509" s="123"/>
    </row>
    <row r="1510">
      <c r="D1510" s="123"/>
    </row>
    <row r="1511">
      <c r="D1511" s="123"/>
    </row>
    <row r="1512">
      <c r="D1512" s="123"/>
    </row>
    <row r="1513">
      <c r="D1513" s="123"/>
    </row>
    <row r="1514">
      <c r="D1514" s="123"/>
    </row>
    <row r="1515">
      <c r="D1515" s="123"/>
    </row>
    <row r="1516">
      <c r="D1516" s="123"/>
    </row>
    <row r="1517">
      <c r="D1517" s="123"/>
    </row>
    <row r="1518">
      <c r="D1518" s="123"/>
    </row>
    <row r="1519">
      <c r="D1519" s="123"/>
    </row>
    <row r="1520">
      <c r="D1520" s="123"/>
    </row>
    <row r="1521">
      <c r="D1521" s="123"/>
    </row>
    <row r="1522">
      <c r="D1522" s="123"/>
    </row>
    <row r="1523">
      <c r="D1523" s="123"/>
    </row>
    <row r="1524">
      <c r="D1524" s="123"/>
    </row>
    <row r="1525">
      <c r="D1525" s="123"/>
    </row>
    <row r="1526">
      <c r="D1526" s="123"/>
    </row>
    <row r="1527">
      <c r="D1527" s="123"/>
    </row>
    <row r="1528">
      <c r="D1528" s="123"/>
    </row>
    <row r="1529">
      <c r="D1529" s="123"/>
    </row>
    <row r="1530">
      <c r="D1530" s="123"/>
    </row>
    <row r="1531">
      <c r="D1531" s="123"/>
    </row>
    <row r="1532">
      <c r="D1532" s="123"/>
    </row>
    <row r="1533">
      <c r="D1533" s="123"/>
    </row>
    <row r="1534">
      <c r="D1534" s="123"/>
    </row>
    <row r="1535">
      <c r="D1535" s="123"/>
    </row>
    <row r="1536">
      <c r="D1536" s="123"/>
    </row>
    <row r="1537">
      <c r="D1537" s="123"/>
    </row>
    <row r="1538">
      <c r="D1538" s="123"/>
    </row>
    <row r="1539">
      <c r="D1539" s="123"/>
    </row>
    <row r="1540">
      <c r="D1540" s="123"/>
    </row>
    <row r="1541">
      <c r="D1541" s="123"/>
    </row>
    <row r="1542">
      <c r="D1542" s="123"/>
    </row>
    <row r="1543">
      <c r="D1543" s="123"/>
    </row>
    <row r="1544">
      <c r="D1544" s="123"/>
    </row>
    <row r="1545">
      <c r="D1545" s="123"/>
    </row>
    <row r="1546">
      <c r="D1546" s="123"/>
    </row>
    <row r="1547">
      <c r="D1547" s="123"/>
    </row>
    <row r="1548">
      <c r="D1548" s="123"/>
    </row>
    <row r="1549">
      <c r="D1549" s="123"/>
    </row>
    <row r="1550">
      <c r="D1550" s="123"/>
    </row>
    <row r="1551">
      <c r="D1551" s="123"/>
    </row>
    <row r="1552">
      <c r="D1552" s="123"/>
    </row>
    <row r="1553">
      <c r="D1553" s="123"/>
    </row>
    <row r="1554">
      <c r="D1554" s="123"/>
    </row>
    <row r="1555">
      <c r="D1555" s="123"/>
    </row>
    <row r="1556">
      <c r="D1556" s="123"/>
    </row>
    <row r="1557">
      <c r="D1557" s="123"/>
    </row>
    <row r="1558">
      <c r="D1558" s="123"/>
    </row>
    <row r="1559">
      <c r="D1559" s="123"/>
    </row>
    <row r="1560">
      <c r="D1560" s="123"/>
    </row>
    <row r="1561">
      <c r="D1561" s="123"/>
    </row>
    <row r="1562">
      <c r="D1562" s="123"/>
    </row>
    <row r="1563">
      <c r="D1563" s="123"/>
    </row>
    <row r="1564">
      <c r="D1564" s="123"/>
    </row>
    <row r="1565">
      <c r="D1565" s="123"/>
    </row>
    <row r="1566">
      <c r="D1566" s="123"/>
    </row>
    <row r="1567">
      <c r="D1567" s="123"/>
    </row>
    <row r="1568">
      <c r="D1568" s="123"/>
    </row>
    <row r="1569">
      <c r="D1569" s="123"/>
    </row>
    <row r="1570">
      <c r="D1570" s="123"/>
    </row>
    <row r="1571">
      <c r="D1571" s="123"/>
    </row>
    <row r="1572">
      <c r="D1572" s="123"/>
    </row>
    <row r="1573">
      <c r="D1573" s="123"/>
    </row>
    <row r="1574">
      <c r="D1574" s="123"/>
    </row>
    <row r="1575">
      <c r="D1575" s="123"/>
    </row>
    <row r="1576">
      <c r="D1576" s="123"/>
    </row>
    <row r="1577">
      <c r="D1577" s="123"/>
    </row>
    <row r="1578">
      <c r="D1578" s="123"/>
    </row>
    <row r="1579">
      <c r="D1579" s="123"/>
    </row>
    <row r="1580">
      <c r="D1580" s="123"/>
    </row>
    <row r="1581">
      <c r="D1581" s="123"/>
    </row>
    <row r="1582">
      <c r="D1582" s="123"/>
    </row>
    <row r="1583">
      <c r="D1583" s="123"/>
    </row>
    <row r="1584">
      <c r="D1584" s="123"/>
    </row>
    <row r="1585">
      <c r="D1585" s="123"/>
    </row>
    <row r="1586">
      <c r="D1586" s="123"/>
    </row>
    <row r="1587">
      <c r="D1587" s="123"/>
    </row>
    <row r="1588">
      <c r="D1588" s="123"/>
    </row>
    <row r="1589">
      <c r="D1589" s="123"/>
    </row>
    <row r="1590">
      <c r="D1590" s="123"/>
    </row>
    <row r="1591">
      <c r="D1591" s="123"/>
    </row>
    <row r="1592">
      <c r="D1592" s="123"/>
    </row>
    <row r="1593">
      <c r="D1593" s="123"/>
    </row>
    <row r="1594">
      <c r="D1594" s="123"/>
    </row>
    <row r="1595">
      <c r="D1595" s="123"/>
    </row>
    <row r="1596">
      <c r="D1596" s="123"/>
    </row>
    <row r="1597">
      <c r="D1597" s="123"/>
    </row>
    <row r="1598">
      <c r="D1598" s="123"/>
    </row>
    <row r="1599">
      <c r="D1599" s="123"/>
    </row>
    <row r="1600">
      <c r="D1600" s="123"/>
    </row>
    <row r="1601">
      <c r="D1601" s="123"/>
    </row>
    <row r="1602">
      <c r="D1602" s="123"/>
    </row>
    <row r="1603">
      <c r="D1603" s="123"/>
    </row>
    <row r="1604">
      <c r="D1604" s="123"/>
    </row>
    <row r="1605">
      <c r="D1605" s="123"/>
    </row>
    <row r="1606">
      <c r="D1606" s="123"/>
    </row>
    <row r="1607">
      <c r="D1607" s="123"/>
    </row>
    <row r="1608">
      <c r="D1608" s="123"/>
    </row>
    <row r="1609">
      <c r="D1609" s="123"/>
    </row>
    <row r="1610">
      <c r="D1610" s="123"/>
    </row>
    <row r="1611">
      <c r="D1611" s="123"/>
    </row>
    <row r="1612">
      <c r="D1612" s="123"/>
    </row>
    <row r="1613">
      <c r="D1613" s="123"/>
    </row>
    <row r="1614">
      <c r="D1614" s="123"/>
    </row>
    <row r="1615">
      <c r="D1615" s="123"/>
    </row>
    <row r="1616">
      <c r="D1616" s="123"/>
    </row>
    <row r="1617">
      <c r="D1617" s="123"/>
    </row>
    <row r="1618">
      <c r="D1618" s="123"/>
    </row>
    <row r="1619">
      <c r="D1619" s="123"/>
    </row>
    <row r="1620">
      <c r="D1620" s="123"/>
    </row>
    <row r="1621">
      <c r="D1621" s="123"/>
    </row>
    <row r="1622">
      <c r="D1622" s="123"/>
    </row>
    <row r="1623">
      <c r="D1623" s="123"/>
    </row>
    <row r="1624">
      <c r="D1624" s="123"/>
    </row>
    <row r="1625">
      <c r="D1625" s="123"/>
    </row>
    <row r="1626">
      <c r="D1626" s="123"/>
    </row>
    <row r="1627">
      <c r="D1627" s="123"/>
    </row>
    <row r="1628">
      <c r="D1628" s="123"/>
    </row>
    <row r="1629">
      <c r="D1629" s="123"/>
    </row>
    <row r="1630">
      <c r="D1630" s="123"/>
    </row>
    <row r="1631">
      <c r="D1631" s="123"/>
    </row>
    <row r="1632">
      <c r="D1632" s="123"/>
    </row>
    <row r="1633">
      <c r="D1633" s="123"/>
    </row>
    <row r="1634">
      <c r="D1634" s="123"/>
    </row>
    <row r="1635">
      <c r="D1635" s="123"/>
    </row>
    <row r="1636">
      <c r="D1636" s="123"/>
    </row>
    <row r="1637">
      <c r="D1637" s="123"/>
    </row>
    <row r="1638">
      <c r="D1638" s="123"/>
    </row>
    <row r="1639">
      <c r="D1639" s="123"/>
    </row>
    <row r="1640">
      <c r="D1640" s="123"/>
    </row>
    <row r="1641">
      <c r="D1641" s="123"/>
    </row>
    <row r="1642">
      <c r="D1642" s="123"/>
    </row>
    <row r="1643">
      <c r="D1643" s="123"/>
    </row>
    <row r="1644">
      <c r="D1644" s="123"/>
    </row>
    <row r="1645">
      <c r="D1645" s="123"/>
    </row>
    <row r="1646">
      <c r="D1646" s="123"/>
    </row>
    <row r="1647">
      <c r="D1647" s="123"/>
    </row>
    <row r="1648">
      <c r="D1648" s="123"/>
    </row>
    <row r="1649">
      <c r="D1649" s="123"/>
    </row>
    <row r="1650">
      <c r="D1650" s="123"/>
    </row>
    <row r="1651">
      <c r="D1651" s="123"/>
    </row>
    <row r="1652">
      <c r="D1652" s="123"/>
    </row>
    <row r="1653">
      <c r="D1653" s="123"/>
    </row>
    <row r="1654">
      <c r="D1654" s="123"/>
    </row>
    <row r="1655">
      <c r="D1655" s="123"/>
    </row>
    <row r="1656">
      <c r="D1656" s="123"/>
    </row>
    <row r="1657">
      <c r="D1657" s="123"/>
    </row>
    <row r="1658">
      <c r="D1658" s="123"/>
    </row>
    <row r="1659">
      <c r="D1659" s="123"/>
    </row>
    <row r="1660">
      <c r="D1660" s="123"/>
    </row>
    <row r="1661">
      <c r="D1661" s="123"/>
    </row>
    <row r="1662">
      <c r="D1662" s="123"/>
    </row>
    <row r="1663">
      <c r="D1663" s="123"/>
    </row>
    <row r="1664">
      <c r="D1664" s="123"/>
    </row>
    <row r="1665">
      <c r="D1665" s="123"/>
    </row>
    <row r="1666">
      <c r="D1666" s="123"/>
    </row>
    <row r="1667">
      <c r="D1667" s="123"/>
    </row>
    <row r="1668">
      <c r="D1668" s="123"/>
    </row>
    <row r="1669">
      <c r="D1669" s="123"/>
    </row>
    <row r="1670">
      <c r="D1670" s="123"/>
    </row>
    <row r="1671">
      <c r="D1671" s="123"/>
    </row>
    <row r="1672">
      <c r="D1672" s="123"/>
    </row>
    <row r="1673">
      <c r="D1673" s="123"/>
    </row>
    <row r="1674">
      <c r="D1674" s="123"/>
    </row>
    <row r="1675">
      <c r="D1675" s="123"/>
    </row>
    <row r="1676">
      <c r="D1676" s="123"/>
    </row>
    <row r="1677">
      <c r="D1677" s="123"/>
    </row>
    <row r="1678">
      <c r="D1678" s="123"/>
    </row>
    <row r="1679">
      <c r="D1679" s="123"/>
    </row>
    <row r="1680">
      <c r="D1680" s="123"/>
    </row>
    <row r="1681">
      <c r="D1681" s="123"/>
    </row>
    <row r="1682">
      <c r="D1682" s="123"/>
    </row>
    <row r="1683">
      <c r="D1683" s="123"/>
    </row>
    <row r="1684">
      <c r="D1684" s="123"/>
    </row>
    <row r="1685">
      <c r="D1685" s="123"/>
    </row>
    <row r="1686">
      <c r="D1686" s="123"/>
    </row>
    <row r="1687">
      <c r="D1687" s="123"/>
    </row>
    <row r="1688">
      <c r="D1688" s="123"/>
    </row>
    <row r="1689">
      <c r="D1689" s="123"/>
    </row>
    <row r="1690">
      <c r="D1690" s="123"/>
    </row>
    <row r="1691">
      <c r="D1691" s="123"/>
    </row>
    <row r="1692">
      <c r="D1692" s="123"/>
    </row>
    <row r="1693">
      <c r="D1693" s="123"/>
    </row>
    <row r="1694">
      <c r="D1694" s="123"/>
    </row>
    <row r="1695">
      <c r="D1695" s="123"/>
    </row>
    <row r="1696">
      <c r="D1696" s="123"/>
    </row>
    <row r="1697">
      <c r="D1697" s="123"/>
    </row>
    <row r="1698">
      <c r="D1698" s="123"/>
    </row>
    <row r="1699">
      <c r="D1699" s="123"/>
    </row>
    <row r="1700">
      <c r="D1700" s="123"/>
    </row>
    <row r="1701">
      <c r="D1701" s="123"/>
    </row>
    <row r="1702">
      <c r="D1702" s="123"/>
    </row>
    <row r="1703">
      <c r="D1703" s="123"/>
    </row>
    <row r="1704">
      <c r="D1704" s="123"/>
    </row>
    <row r="1705">
      <c r="D1705" s="123"/>
    </row>
    <row r="1706">
      <c r="D1706" s="123"/>
    </row>
    <row r="1707">
      <c r="D1707" s="123"/>
    </row>
    <row r="1708">
      <c r="D1708" s="123"/>
    </row>
    <row r="1709">
      <c r="D1709" s="123"/>
    </row>
    <row r="1710">
      <c r="D1710" s="123"/>
    </row>
    <row r="1711">
      <c r="D1711" s="123"/>
    </row>
    <row r="1712">
      <c r="D1712" s="123"/>
    </row>
    <row r="1713">
      <c r="D1713" s="123"/>
    </row>
    <row r="1714">
      <c r="D1714" s="123"/>
    </row>
    <row r="1715">
      <c r="D1715" s="123"/>
    </row>
    <row r="1716">
      <c r="D1716" s="123"/>
    </row>
    <row r="1717">
      <c r="D1717" s="123"/>
    </row>
    <row r="1718">
      <c r="D1718" s="123"/>
    </row>
    <row r="1719">
      <c r="D1719" s="123"/>
    </row>
    <row r="1720">
      <c r="D1720" s="123"/>
    </row>
    <row r="1721">
      <c r="D1721" s="123"/>
    </row>
    <row r="1722">
      <c r="D1722" s="123"/>
    </row>
    <row r="1723">
      <c r="D1723" s="123"/>
    </row>
    <row r="1724">
      <c r="D1724" s="123"/>
    </row>
    <row r="1725">
      <c r="D1725" s="123"/>
    </row>
    <row r="1726">
      <c r="D1726" s="123"/>
    </row>
    <row r="1727">
      <c r="D1727" s="123"/>
    </row>
    <row r="1728">
      <c r="D1728" s="123"/>
    </row>
    <row r="1729">
      <c r="D1729" s="123"/>
    </row>
    <row r="1730">
      <c r="D1730" s="123"/>
    </row>
    <row r="1731">
      <c r="D1731" s="123"/>
    </row>
    <row r="1732">
      <c r="D1732" s="123"/>
    </row>
    <row r="1733">
      <c r="D1733" s="123"/>
    </row>
    <row r="1734">
      <c r="D1734" s="123"/>
    </row>
    <row r="1735">
      <c r="D1735" s="123"/>
    </row>
    <row r="1736">
      <c r="D1736" s="123"/>
    </row>
    <row r="1737">
      <c r="D1737" s="123"/>
    </row>
    <row r="1738">
      <c r="D1738" s="123"/>
    </row>
    <row r="1739">
      <c r="D1739" s="123"/>
    </row>
    <row r="1740">
      <c r="D1740" s="123"/>
    </row>
    <row r="1741">
      <c r="D1741" s="123"/>
    </row>
    <row r="1742">
      <c r="D1742" s="123"/>
    </row>
    <row r="1743">
      <c r="D1743" s="123"/>
    </row>
    <row r="1744">
      <c r="D1744" s="123"/>
    </row>
    <row r="1745">
      <c r="D1745" s="123"/>
    </row>
    <row r="1746">
      <c r="D1746" s="123"/>
    </row>
    <row r="1747">
      <c r="D1747" s="123"/>
    </row>
    <row r="1748">
      <c r="D1748" s="123"/>
    </row>
    <row r="1749">
      <c r="D1749" s="123"/>
    </row>
    <row r="1750">
      <c r="D1750" s="123"/>
    </row>
    <row r="1751">
      <c r="D1751" s="123"/>
    </row>
    <row r="1752">
      <c r="D1752" s="123"/>
    </row>
    <row r="1753">
      <c r="D1753" s="123"/>
    </row>
    <row r="1754">
      <c r="D1754" s="123"/>
    </row>
    <row r="1755">
      <c r="D1755" s="123"/>
    </row>
    <row r="1756">
      <c r="D1756" s="123"/>
    </row>
    <row r="1757">
      <c r="D1757" s="123"/>
    </row>
    <row r="1758">
      <c r="D1758" s="123"/>
    </row>
    <row r="1759">
      <c r="D1759" s="123"/>
    </row>
    <row r="1760">
      <c r="D1760" s="123"/>
    </row>
    <row r="1761">
      <c r="D1761" s="123"/>
    </row>
    <row r="1762">
      <c r="D1762" s="123"/>
    </row>
    <row r="1763">
      <c r="D1763" s="123"/>
    </row>
    <row r="1764">
      <c r="D1764" s="123"/>
    </row>
    <row r="1765">
      <c r="D1765" s="123"/>
    </row>
    <row r="1766">
      <c r="D1766" s="123"/>
    </row>
    <row r="1767">
      <c r="D1767" s="123"/>
    </row>
    <row r="1768">
      <c r="D1768" s="123"/>
    </row>
    <row r="1769">
      <c r="D1769" s="123"/>
    </row>
    <row r="1770">
      <c r="D1770" s="123"/>
    </row>
    <row r="1771">
      <c r="D1771" s="123"/>
    </row>
    <row r="1772">
      <c r="D1772" s="123"/>
    </row>
    <row r="1773">
      <c r="D1773" s="123"/>
    </row>
    <row r="1774">
      <c r="D1774" s="123"/>
    </row>
    <row r="1775">
      <c r="D1775" s="123"/>
    </row>
    <row r="1776">
      <c r="D1776" s="123"/>
    </row>
    <row r="1777">
      <c r="D1777" s="123"/>
    </row>
    <row r="1778">
      <c r="D1778" s="123"/>
    </row>
    <row r="1779">
      <c r="D1779" s="123"/>
    </row>
    <row r="1780">
      <c r="D1780" s="123"/>
    </row>
    <row r="1781">
      <c r="D1781" s="123"/>
    </row>
    <row r="1782">
      <c r="D1782" s="123"/>
    </row>
    <row r="1783">
      <c r="D1783" s="123"/>
    </row>
    <row r="1784">
      <c r="D1784" s="123"/>
    </row>
    <row r="1785">
      <c r="D1785" s="123"/>
    </row>
    <row r="1786">
      <c r="D1786" s="123"/>
    </row>
    <row r="1787">
      <c r="D1787" s="123"/>
    </row>
    <row r="1788">
      <c r="D1788" s="123"/>
    </row>
    <row r="1789">
      <c r="D1789" s="123"/>
    </row>
    <row r="1790">
      <c r="D1790" s="123"/>
    </row>
    <row r="1791">
      <c r="D1791" s="123"/>
    </row>
    <row r="1792">
      <c r="D1792" s="123"/>
    </row>
    <row r="1793">
      <c r="D1793" s="123"/>
    </row>
    <row r="1794">
      <c r="D1794" s="123"/>
    </row>
    <row r="1795">
      <c r="D1795" s="123"/>
    </row>
    <row r="1796">
      <c r="D1796" s="123"/>
    </row>
    <row r="1797">
      <c r="D1797" s="123"/>
    </row>
    <row r="1798">
      <c r="D1798" s="123"/>
    </row>
    <row r="1799">
      <c r="D1799" s="123"/>
    </row>
    <row r="1800">
      <c r="D1800" s="123"/>
    </row>
    <row r="1801">
      <c r="D1801" s="123"/>
    </row>
    <row r="1802">
      <c r="D1802" s="123"/>
    </row>
    <row r="1803">
      <c r="D1803" s="123"/>
    </row>
    <row r="1804">
      <c r="D1804" s="123"/>
    </row>
    <row r="1805">
      <c r="D1805" s="123"/>
    </row>
    <row r="1806">
      <c r="D1806" s="123"/>
    </row>
    <row r="1807">
      <c r="D1807" s="123"/>
    </row>
    <row r="1808">
      <c r="D1808" s="123"/>
    </row>
    <row r="1809">
      <c r="D1809" s="123"/>
    </row>
    <row r="1810">
      <c r="D1810" s="123"/>
    </row>
    <row r="1811">
      <c r="D1811" s="123"/>
    </row>
    <row r="1812">
      <c r="D1812" s="123"/>
    </row>
    <row r="1813">
      <c r="D1813" s="123"/>
    </row>
    <row r="1814">
      <c r="D1814" s="123"/>
    </row>
    <row r="1815">
      <c r="D1815" s="123"/>
    </row>
    <row r="1816">
      <c r="D1816" s="123"/>
    </row>
    <row r="1817">
      <c r="D1817" s="123"/>
    </row>
    <row r="1818">
      <c r="D1818" s="123"/>
    </row>
    <row r="1819">
      <c r="D1819" s="123"/>
    </row>
    <row r="1820">
      <c r="D1820" s="123"/>
    </row>
    <row r="1821">
      <c r="D1821" s="123"/>
    </row>
    <row r="1822">
      <c r="D1822" s="123"/>
    </row>
    <row r="1823">
      <c r="D1823" s="123"/>
    </row>
    <row r="1824">
      <c r="D1824" s="123"/>
    </row>
    <row r="1825">
      <c r="D1825" s="123"/>
    </row>
    <row r="1826">
      <c r="D1826" s="123"/>
    </row>
    <row r="1827">
      <c r="D1827" s="123"/>
    </row>
    <row r="1828">
      <c r="D1828" s="123"/>
    </row>
    <row r="1829">
      <c r="D1829" s="123"/>
    </row>
    <row r="1830">
      <c r="D1830" s="123"/>
    </row>
    <row r="1831">
      <c r="D1831" s="123"/>
    </row>
    <row r="1832">
      <c r="D1832" s="123"/>
    </row>
    <row r="1833">
      <c r="D1833" s="123"/>
    </row>
    <row r="1834">
      <c r="D1834" s="123"/>
    </row>
    <row r="1835">
      <c r="D1835" s="123"/>
    </row>
    <row r="1836">
      <c r="D1836" s="123"/>
    </row>
    <row r="1837">
      <c r="D1837" s="123"/>
    </row>
    <row r="1838">
      <c r="D1838" s="123"/>
    </row>
    <row r="1839">
      <c r="D1839" s="123"/>
    </row>
    <row r="1840">
      <c r="D1840" s="123"/>
    </row>
    <row r="1841">
      <c r="D1841" s="123"/>
    </row>
    <row r="1842">
      <c r="D1842" s="123"/>
    </row>
    <row r="1843">
      <c r="D1843" s="123"/>
    </row>
    <row r="1844">
      <c r="D1844" s="123"/>
    </row>
    <row r="1845">
      <c r="D1845" s="123"/>
    </row>
    <row r="1846">
      <c r="D1846" s="123"/>
    </row>
    <row r="1847">
      <c r="D1847" s="123"/>
    </row>
    <row r="1848">
      <c r="D1848" s="123"/>
    </row>
    <row r="1849">
      <c r="D1849" s="123"/>
    </row>
    <row r="1850">
      <c r="D1850" s="123"/>
    </row>
    <row r="1851">
      <c r="D1851" s="123"/>
    </row>
    <row r="1852">
      <c r="D1852" s="123"/>
    </row>
    <row r="1853">
      <c r="D1853" s="123"/>
    </row>
    <row r="1854">
      <c r="D1854" s="123"/>
    </row>
    <row r="1855">
      <c r="D1855" s="123"/>
    </row>
    <row r="1856">
      <c r="D1856" s="123"/>
    </row>
    <row r="1857">
      <c r="D1857" s="123"/>
    </row>
    <row r="1858">
      <c r="D1858" s="123"/>
    </row>
    <row r="1859">
      <c r="D1859" s="123"/>
    </row>
    <row r="1860">
      <c r="D1860" s="123"/>
    </row>
    <row r="1861">
      <c r="D1861" s="123"/>
    </row>
    <row r="1862">
      <c r="D1862" s="123"/>
    </row>
    <row r="1863">
      <c r="D1863" s="123"/>
    </row>
    <row r="1864">
      <c r="D1864" s="123"/>
    </row>
    <row r="1865">
      <c r="D1865" s="123"/>
    </row>
    <row r="1866">
      <c r="D1866" s="123"/>
    </row>
    <row r="1867">
      <c r="D1867" s="123"/>
    </row>
    <row r="1868">
      <c r="D1868" s="123"/>
    </row>
    <row r="1869">
      <c r="D1869" s="123"/>
    </row>
    <row r="1870">
      <c r="D1870" s="123"/>
    </row>
    <row r="1871">
      <c r="D1871" s="123"/>
    </row>
    <row r="1872">
      <c r="D1872" s="123"/>
    </row>
    <row r="1873">
      <c r="D1873" s="123"/>
    </row>
    <row r="1874">
      <c r="D1874" s="123"/>
    </row>
    <row r="1875">
      <c r="D1875" s="123"/>
    </row>
    <row r="1876">
      <c r="D1876" s="123"/>
    </row>
    <row r="1877">
      <c r="D1877" s="123"/>
    </row>
    <row r="1878">
      <c r="D1878" s="123"/>
    </row>
    <row r="1879">
      <c r="D1879" s="123"/>
    </row>
    <row r="1880">
      <c r="D1880" s="123"/>
    </row>
    <row r="1881">
      <c r="D1881" s="123"/>
    </row>
    <row r="1882">
      <c r="D1882" s="123"/>
    </row>
    <row r="1883">
      <c r="D1883" s="123"/>
    </row>
    <row r="1884">
      <c r="D1884" s="123"/>
    </row>
    <row r="1885">
      <c r="D1885" s="123"/>
    </row>
    <row r="1886">
      <c r="D1886" s="123"/>
    </row>
    <row r="1887">
      <c r="D1887" s="123"/>
    </row>
    <row r="1888">
      <c r="D1888" s="123"/>
    </row>
    <row r="1889">
      <c r="D1889" s="123"/>
    </row>
    <row r="1890">
      <c r="D1890" s="123"/>
    </row>
    <row r="1891">
      <c r="D1891" s="123"/>
    </row>
    <row r="1892">
      <c r="D1892" s="123"/>
    </row>
    <row r="1893">
      <c r="D1893" s="123"/>
    </row>
    <row r="1894">
      <c r="D1894" s="123"/>
    </row>
    <row r="1895">
      <c r="D1895" s="123"/>
    </row>
    <row r="1896">
      <c r="D1896" s="123"/>
    </row>
    <row r="1897">
      <c r="D1897" s="123"/>
    </row>
    <row r="1898">
      <c r="D1898" s="123"/>
    </row>
    <row r="1899">
      <c r="D1899" s="123"/>
    </row>
    <row r="1900">
      <c r="D1900" s="123"/>
    </row>
    <row r="1901">
      <c r="D1901" s="123"/>
    </row>
    <row r="1902">
      <c r="D1902" s="123"/>
    </row>
    <row r="1903">
      <c r="D1903" s="123"/>
    </row>
    <row r="1904">
      <c r="D1904" s="123"/>
    </row>
    <row r="1905">
      <c r="D1905" s="123"/>
    </row>
    <row r="1906">
      <c r="D1906" s="123"/>
    </row>
    <row r="1907">
      <c r="D1907" s="123"/>
    </row>
    <row r="1908">
      <c r="D1908" s="123"/>
    </row>
    <row r="1909">
      <c r="D1909" s="123"/>
    </row>
    <row r="1910">
      <c r="D1910" s="123"/>
    </row>
    <row r="1911">
      <c r="D1911" s="123"/>
    </row>
    <row r="1912">
      <c r="D1912" s="123"/>
    </row>
    <row r="1913">
      <c r="D1913" s="123"/>
    </row>
    <row r="1914">
      <c r="D1914" s="123"/>
    </row>
    <row r="1915">
      <c r="D1915" s="123"/>
    </row>
    <row r="1916">
      <c r="D1916" s="123"/>
    </row>
    <row r="1917">
      <c r="D1917" s="123"/>
    </row>
    <row r="1918">
      <c r="D1918" s="123"/>
    </row>
    <row r="1919">
      <c r="D1919" s="123"/>
    </row>
    <row r="1920">
      <c r="D1920" s="123"/>
    </row>
    <row r="1921">
      <c r="D1921" s="123"/>
    </row>
    <row r="1922">
      <c r="D1922" s="123"/>
    </row>
    <row r="1923">
      <c r="D1923" s="123"/>
    </row>
    <row r="1924">
      <c r="D1924" s="123"/>
    </row>
    <row r="1925">
      <c r="D1925" s="123"/>
    </row>
    <row r="1926">
      <c r="D1926" s="123"/>
    </row>
    <row r="1927">
      <c r="D1927" s="123"/>
    </row>
    <row r="1928">
      <c r="D1928" s="123"/>
    </row>
    <row r="1929">
      <c r="D1929" s="123"/>
    </row>
    <row r="1930">
      <c r="D1930" s="123"/>
    </row>
    <row r="1931">
      <c r="D1931" s="123"/>
    </row>
    <row r="1932">
      <c r="D1932" s="123"/>
    </row>
    <row r="1933">
      <c r="D1933" s="123"/>
    </row>
    <row r="1934">
      <c r="D1934" s="123"/>
    </row>
    <row r="1935">
      <c r="D1935" s="123"/>
    </row>
    <row r="1936">
      <c r="D1936" s="123"/>
    </row>
    <row r="1937">
      <c r="D1937" s="123"/>
    </row>
    <row r="1938">
      <c r="D1938" s="123"/>
    </row>
    <row r="1939">
      <c r="D1939" s="123"/>
    </row>
    <row r="1940">
      <c r="D1940" s="123"/>
    </row>
    <row r="1941">
      <c r="D1941" s="123"/>
    </row>
    <row r="1942">
      <c r="D1942" s="123"/>
    </row>
    <row r="1943">
      <c r="D1943" s="123"/>
    </row>
    <row r="1944">
      <c r="D1944" s="123"/>
    </row>
    <row r="1945">
      <c r="D1945" s="123"/>
    </row>
    <row r="1946">
      <c r="D1946" s="123"/>
    </row>
    <row r="1947">
      <c r="D1947" s="123"/>
    </row>
    <row r="1948">
      <c r="D1948" s="123"/>
    </row>
    <row r="1949">
      <c r="D1949" s="123"/>
    </row>
    <row r="1950">
      <c r="D1950" s="123"/>
    </row>
    <row r="1951">
      <c r="D1951" s="123"/>
    </row>
    <row r="1952">
      <c r="D1952" s="123"/>
    </row>
    <row r="1953">
      <c r="D1953" s="123"/>
    </row>
    <row r="1954">
      <c r="D1954" s="123"/>
    </row>
    <row r="1955">
      <c r="D1955" s="123"/>
    </row>
    <row r="1956">
      <c r="D1956" s="123"/>
    </row>
    <row r="1957">
      <c r="D1957" s="123"/>
    </row>
    <row r="1958">
      <c r="D1958" s="123"/>
    </row>
    <row r="1959">
      <c r="D1959" s="123"/>
    </row>
    <row r="1960">
      <c r="D1960" s="123"/>
    </row>
    <row r="1961">
      <c r="D1961" s="123"/>
    </row>
    <row r="1962">
      <c r="D1962" s="123"/>
    </row>
    <row r="1963">
      <c r="D1963" s="123"/>
    </row>
    <row r="1964">
      <c r="D1964" s="123"/>
    </row>
    <row r="1965">
      <c r="D1965" s="123"/>
    </row>
    <row r="1966">
      <c r="D1966" s="123"/>
    </row>
    <row r="1967">
      <c r="D1967" s="123"/>
    </row>
    <row r="1968">
      <c r="D1968" s="123"/>
    </row>
    <row r="1969">
      <c r="D1969" s="123"/>
    </row>
    <row r="1970">
      <c r="D1970" s="123"/>
    </row>
    <row r="1971">
      <c r="D1971" s="123"/>
    </row>
    <row r="1972">
      <c r="D1972" s="123"/>
    </row>
    <row r="1973">
      <c r="D1973" s="123"/>
    </row>
    <row r="1974">
      <c r="D1974" s="123"/>
    </row>
    <row r="1975">
      <c r="D1975" s="123"/>
    </row>
    <row r="1976">
      <c r="D1976" s="123"/>
    </row>
    <row r="1977">
      <c r="D1977" s="123"/>
    </row>
    <row r="1978">
      <c r="D1978" s="123"/>
    </row>
    <row r="1979">
      <c r="D1979" s="123"/>
    </row>
    <row r="1980">
      <c r="D1980" s="123"/>
    </row>
    <row r="1981">
      <c r="D1981" s="123"/>
    </row>
    <row r="1982">
      <c r="D1982" s="123"/>
    </row>
    <row r="1983">
      <c r="D1983" s="123"/>
    </row>
    <row r="1984">
      <c r="D1984" s="123"/>
    </row>
    <row r="1985">
      <c r="D1985" s="123"/>
    </row>
    <row r="1986">
      <c r="D1986" s="123"/>
    </row>
    <row r="1987">
      <c r="D1987" s="123"/>
    </row>
    <row r="1988">
      <c r="D1988" s="123"/>
    </row>
    <row r="1989">
      <c r="D1989" s="123"/>
    </row>
    <row r="1990">
      <c r="D1990" s="123"/>
    </row>
    <row r="1991">
      <c r="D1991" s="123"/>
    </row>
    <row r="1992">
      <c r="D1992" s="123"/>
    </row>
    <row r="1993">
      <c r="D1993" s="123"/>
    </row>
    <row r="1994">
      <c r="D1994" s="123"/>
    </row>
    <row r="1995">
      <c r="D1995" s="123"/>
    </row>
    <row r="1996">
      <c r="D1996" s="123"/>
    </row>
    <row r="1997">
      <c r="D1997" s="123"/>
    </row>
    <row r="1998">
      <c r="D1998" s="123"/>
    </row>
    <row r="1999">
      <c r="D1999" s="123"/>
    </row>
    <row r="2000">
      <c r="D2000" s="123"/>
    </row>
    <row r="2001">
      <c r="D2001" s="123"/>
    </row>
    <row r="2002">
      <c r="D2002" s="123"/>
    </row>
    <row r="2003">
      <c r="D2003" s="123"/>
    </row>
    <row r="2004">
      <c r="D2004" s="123"/>
    </row>
    <row r="2005">
      <c r="D2005" s="123"/>
    </row>
    <row r="2006">
      <c r="D2006" s="123"/>
    </row>
    <row r="2007">
      <c r="D2007" s="123"/>
    </row>
    <row r="2008">
      <c r="D2008" s="123"/>
    </row>
    <row r="2009">
      <c r="D2009" s="123"/>
    </row>
    <row r="2010">
      <c r="D2010" s="123"/>
    </row>
    <row r="2011">
      <c r="D2011" s="123"/>
    </row>
    <row r="2012">
      <c r="D2012" s="123"/>
    </row>
    <row r="2013">
      <c r="D2013" s="123"/>
    </row>
    <row r="2014">
      <c r="D2014" s="123"/>
    </row>
    <row r="2015">
      <c r="D2015" s="123"/>
    </row>
    <row r="2016">
      <c r="D2016" s="123"/>
    </row>
    <row r="2017">
      <c r="D2017" s="123"/>
    </row>
    <row r="2018">
      <c r="D2018" s="123"/>
    </row>
    <row r="2019">
      <c r="D2019" s="123"/>
    </row>
    <row r="2020">
      <c r="D2020" s="123"/>
    </row>
    <row r="2021">
      <c r="D2021" s="123"/>
    </row>
    <row r="2022">
      <c r="D2022" s="123"/>
    </row>
    <row r="2023">
      <c r="D2023" s="123"/>
    </row>
    <row r="2024">
      <c r="D2024" s="123"/>
    </row>
    <row r="2025">
      <c r="D2025" s="123"/>
    </row>
    <row r="2026">
      <c r="D2026" s="123"/>
    </row>
    <row r="2027">
      <c r="D2027" s="123"/>
    </row>
    <row r="2028">
      <c r="D2028" s="123"/>
    </row>
    <row r="2029">
      <c r="D2029" s="123"/>
    </row>
    <row r="2030">
      <c r="D2030" s="123"/>
    </row>
    <row r="2031">
      <c r="D2031" s="123"/>
    </row>
    <row r="2032">
      <c r="D2032" s="123"/>
    </row>
    <row r="2033">
      <c r="D2033" s="123"/>
    </row>
    <row r="2034">
      <c r="D2034" s="123"/>
    </row>
    <row r="2035">
      <c r="D2035" s="123"/>
    </row>
    <row r="2036">
      <c r="D2036" s="123"/>
    </row>
    <row r="2037">
      <c r="D2037" s="123"/>
    </row>
    <row r="2038">
      <c r="D2038" s="123"/>
    </row>
    <row r="2039">
      <c r="D2039" s="123"/>
    </row>
    <row r="2040">
      <c r="D2040" s="123"/>
    </row>
    <row r="2041">
      <c r="D2041" s="123"/>
    </row>
    <row r="2042">
      <c r="D2042" s="123"/>
    </row>
    <row r="2043">
      <c r="D2043" s="123"/>
    </row>
    <row r="2044">
      <c r="D2044" s="123"/>
    </row>
    <row r="2045">
      <c r="D2045" s="123"/>
    </row>
    <row r="2046">
      <c r="D2046" s="123"/>
    </row>
    <row r="2047">
      <c r="D2047" s="123"/>
    </row>
    <row r="2048">
      <c r="D2048" s="123"/>
    </row>
    <row r="2049">
      <c r="D2049" s="123"/>
    </row>
    <row r="2050">
      <c r="D2050" s="123"/>
    </row>
    <row r="2051">
      <c r="D2051" s="123"/>
    </row>
    <row r="2052">
      <c r="D2052" s="123"/>
    </row>
    <row r="2053">
      <c r="D2053" s="123"/>
    </row>
    <row r="2054">
      <c r="D2054" s="123"/>
    </row>
    <row r="2055">
      <c r="D2055" s="123"/>
    </row>
    <row r="2056">
      <c r="D2056" s="123"/>
    </row>
    <row r="2057">
      <c r="D2057" s="123"/>
    </row>
    <row r="2058">
      <c r="D2058" s="123"/>
    </row>
    <row r="2059">
      <c r="D2059" s="123"/>
    </row>
    <row r="2060">
      <c r="D2060" s="123"/>
    </row>
    <row r="2061">
      <c r="D2061" s="123"/>
    </row>
    <row r="2062">
      <c r="D2062" s="123"/>
    </row>
    <row r="2063">
      <c r="D2063" s="123"/>
    </row>
    <row r="2064">
      <c r="D2064" s="123"/>
    </row>
    <row r="2065">
      <c r="D2065" s="123"/>
    </row>
    <row r="2066">
      <c r="D2066" s="123"/>
    </row>
    <row r="2067">
      <c r="D2067" s="123"/>
    </row>
    <row r="2068">
      <c r="D2068" s="123"/>
    </row>
    <row r="2069">
      <c r="D2069" s="123"/>
    </row>
    <row r="2070">
      <c r="D2070" s="123"/>
    </row>
    <row r="2071">
      <c r="D2071" s="123"/>
    </row>
    <row r="2072">
      <c r="D2072" s="123"/>
    </row>
    <row r="2073">
      <c r="D2073" s="123"/>
    </row>
    <row r="2074">
      <c r="D2074" s="123"/>
    </row>
    <row r="2075">
      <c r="D2075" s="123"/>
    </row>
    <row r="2076">
      <c r="D2076" s="123"/>
    </row>
    <row r="2077">
      <c r="D2077" s="123"/>
    </row>
    <row r="2078">
      <c r="D2078" s="123"/>
    </row>
    <row r="2079">
      <c r="D2079" s="123"/>
    </row>
    <row r="2080">
      <c r="D2080" s="123"/>
    </row>
    <row r="2081">
      <c r="D2081" s="123"/>
    </row>
    <row r="2082">
      <c r="D2082" s="123"/>
    </row>
    <row r="2083">
      <c r="D2083" s="123"/>
    </row>
    <row r="2084">
      <c r="D2084" s="123"/>
    </row>
    <row r="2085">
      <c r="D2085" s="123"/>
    </row>
    <row r="2086">
      <c r="D2086" s="123"/>
    </row>
    <row r="2087">
      <c r="D2087" s="123"/>
    </row>
    <row r="2088">
      <c r="D2088" s="123"/>
    </row>
    <row r="2089">
      <c r="D2089" s="123"/>
    </row>
    <row r="2090">
      <c r="D2090" s="123"/>
    </row>
    <row r="2091">
      <c r="D2091" s="123"/>
    </row>
    <row r="2092">
      <c r="D2092" s="123"/>
    </row>
    <row r="2093">
      <c r="D2093" s="123"/>
    </row>
    <row r="2094">
      <c r="D2094" s="123"/>
    </row>
    <row r="2095">
      <c r="D2095" s="123"/>
    </row>
    <row r="2096">
      <c r="D2096" s="123"/>
    </row>
    <row r="2097">
      <c r="D2097" s="123"/>
    </row>
    <row r="2098">
      <c r="D2098" s="123"/>
    </row>
    <row r="2099">
      <c r="D2099" s="123"/>
    </row>
    <row r="2100">
      <c r="D2100" s="123"/>
    </row>
    <row r="2101">
      <c r="D2101" s="123"/>
    </row>
    <row r="2102">
      <c r="D2102" s="123"/>
    </row>
    <row r="2103">
      <c r="D2103" s="123"/>
    </row>
    <row r="2104">
      <c r="D2104" s="123"/>
    </row>
    <row r="2105">
      <c r="D2105" s="123"/>
    </row>
    <row r="2106">
      <c r="D2106" s="123"/>
    </row>
    <row r="2107">
      <c r="D2107" s="123"/>
    </row>
    <row r="2108">
      <c r="D2108" s="123"/>
    </row>
    <row r="2109">
      <c r="D2109" s="123"/>
    </row>
    <row r="2110">
      <c r="D2110" s="123"/>
    </row>
    <row r="2111">
      <c r="D2111" s="123"/>
    </row>
    <row r="2112">
      <c r="D2112" s="123"/>
    </row>
    <row r="2113">
      <c r="D2113" s="123"/>
    </row>
    <row r="2114">
      <c r="D2114" s="123"/>
    </row>
    <row r="2115">
      <c r="D2115" s="123"/>
    </row>
    <row r="2116">
      <c r="D2116" s="123"/>
    </row>
    <row r="2117">
      <c r="D2117" s="123"/>
    </row>
    <row r="2118">
      <c r="D2118" s="123"/>
    </row>
    <row r="2119">
      <c r="D2119" s="123"/>
    </row>
    <row r="2120">
      <c r="D2120" s="123"/>
    </row>
    <row r="2121">
      <c r="D2121" s="123"/>
    </row>
    <row r="2122">
      <c r="D2122" s="123"/>
    </row>
    <row r="2123">
      <c r="D2123" s="123"/>
    </row>
    <row r="2124">
      <c r="D2124" s="123"/>
    </row>
    <row r="2125">
      <c r="D2125" s="123"/>
    </row>
    <row r="2126">
      <c r="D2126" s="123"/>
    </row>
    <row r="2127">
      <c r="D2127" s="123"/>
    </row>
    <row r="2128">
      <c r="D2128" s="123"/>
    </row>
    <row r="2129">
      <c r="D2129" s="123"/>
    </row>
    <row r="2130">
      <c r="D2130" s="123"/>
    </row>
    <row r="2131">
      <c r="D2131" s="123"/>
    </row>
    <row r="2132">
      <c r="D2132" s="123"/>
    </row>
    <row r="2133">
      <c r="D2133" s="123"/>
    </row>
    <row r="2134">
      <c r="D2134" s="123"/>
    </row>
    <row r="2135">
      <c r="D2135" s="123"/>
    </row>
    <row r="2136">
      <c r="D2136" s="123"/>
    </row>
    <row r="2137">
      <c r="D2137" s="123"/>
    </row>
    <row r="2138">
      <c r="D2138" s="123"/>
    </row>
    <row r="2139">
      <c r="D2139" s="123"/>
    </row>
    <row r="2140">
      <c r="D2140" s="123"/>
    </row>
    <row r="2141">
      <c r="D2141" s="123"/>
    </row>
    <row r="2142">
      <c r="D2142" s="123"/>
    </row>
    <row r="2143">
      <c r="D2143" s="123"/>
    </row>
    <row r="2144">
      <c r="D2144" s="123"/>
    </row>
    <row r="2145">
      <c r="D2145" s="123"/>
    </row>
    <row r="2146">
      <c r="D2146" s="123"/>
    </row>
    <row r="2147">
      <c r="D2147" s="123"/>
    </row>
    <row r="2148">
      <c r="D2148" s="123"/>
    </row>
    <row r="2149">
      <c r="D2149" s="123"/>
    </row>
    <row r="2150">
      <c r="D2150" s="123"/>
    </row>
    <row r="2151">
      <c r="D2151" s="123"/>
    </row>
    <row r="2152">
      <c r="D2152" s="123"/>
    </row>
    <row r="2153">
      <c r="D2153" s="123"/>
    </row>
    <row r="2154">
      <c r="D2154" s="123"/>
    </row>
    <row r="2155">
      <c r="D2155" s="123"/>
    </row>
    <row r="2156">
      <c r="D2156" s="123"/>
    </row>
    <row r="2157">
      <c r="D2157" s="123"/>
    </row>
    <row r="2158">
      <c r="D2158" s="123"/>
    </row>
    <row r="2159">
      <c r="D2159" s="123"/>
    </row>
    <row r="2160">
      <c r="D2160" s="123"/>
    </row>
    <row r="2161">
      <c r="D2161" s="123"/>
    </row>
    <row r="2162">
      <c r="D2162" s="123"/>
    </row>
    <row r="2163">
      <c r="D2163" s="123"/>
    </row>
    <row r="2164">
      <c r="D2164" s="123"/>
    </row>
    <row r="2165">
      <c r="D2165" s="123"/>
    </row>
    <row r="2166">
      <c r="D2166" s="123"/>
    </row>
    <row r="2167">
      <c r="D2167" s="123"/>
    </row>
    <row r="2168">
      <c r="D2168" s="123"/>
    </row>
    <row r="2169">
      <c r="D2169" s="123"/>
    </row>
    <row r="2170">
      <c r="D2170" s="123"/>
    </row>
    <row r="2171">
      <c r="D2171" s="123"/>
    </row>
    <row r="2172">
      <c r="D2172" s="123"/>
    </row>
    <row r="2173">
      <c r="D2173" s="123"/>
    </row>
    <row r="2174">
      <c r="D2174" s="123"/>
    </row>
    <row r="2175">
      <c r="D2175" s="123"/>
    </row>
    <row r="2176">
      <c r="D2176" s="123"/>
    </row>
    <row r="2177">
      <c r="D2177" s="123"/>
    </row>
    <row r="2178">
      <c r="D2178" s="123"/>
    </row>
    <row r="2179">
      <c r="D2179" s="123"/>
    </row>
    <row r="2180">
      <c r="D2180" s="123"/>
    </row>
    <row r="2181">
      <c r="D2181" s="123"/>
    </row>
    <row r="2182">
      <c r="D2182" s="123"/>
    </row>
    <row r="2183">
      <c r="D2183" s="123"/>
    </row>
    <row r="2184">
      <c r="D2184" s="123"/>
    </row>
    <row r="2185">
      <c r="D2185" s="123"/>
    </row>
    <row r="2186">
      <c r="D2186" s="123"/>
    </row>
    <row r="2187">
      <c r="D2187" s="123"/>
    </row>
    <row r="2188">
      <c r="D2188" s="123"/>
    </row>
    <row r="2189">
      <c r="D2189" s="123"/>
    </row>
    <row r="2190">
      <c r="D2190" s="123"/>
    </row>
    <row r="2191">
      <c r="D2191" s="123"/>
    </row>
    <row r="2192">
      <c r="D2192" s="123"/>
    </row>
    <row r="2193">
      <c r="D2193" s="123"/>
    </row>
    <row r="2194">
      <c r="D2194" s="123"/>
    </row>
    <row r="2195">
      <c r="D2195" s="123"/>
    </row>
    <row r="2196">
      <c r="D2196" s="123"/>
    </row>
    <row r="2197">
      <c r="D2197" s="123"/>
    </row>
    <row r="2198">
      <c r="D2198" s="123"/>
    </row>
    <row r="2199">
      <c r="D2199" s="123"/>
    </row>
    <row r="2200">
      <c r="D2200" s="123"/>
    </row>
    <row r="2201">
      <c r="D2201" s="123"/>
    </row>
    <row r="2202">
      <c r="D2202" s="123"/>
    </row>
    <row r="2203">
      <c r="D2203" s="123"/>
    </row>
    <row r="2204">
      <c r="D2204" s="123"/>
    </row>
    <row r="2205">
      <c r="D2205" s="123"/>
    </row>
    <row r="2206">
      <c r="D2206" s="123"/>
    </row>
    <row r="2207">
      <c r="D2207" s="123"/>
    </row>
    <row r="2208">
      <c r="D2208" s="123"/>
    </row>
    <row r="2209">
      <c r="D2209" s="123"/>
    </row>
    <row r="2210">
      <c r="D2210" s="123"/>
    </row>
    <row r="2211">
      <c r="D2211" s="123"/>
    </row>
    <row r="2212">
      <c r="D2212" s="123"/>
    </row>
    <row r="2213">
      <c r="D2213" s="123"/>
    </row>
    <row r="2214">
      <c r="D2214" s="123"/>
    </row>
    <row r="2215">
      <c r="D2215" s="123"/>
    </row>
    <row r="2216">
      <c r="D2216" s="123"/>
    </row>
    <row r="2217">
      <c r="D2217" s="123"/>
    </row>
    <row r="2218">
      <c r="D2218" s="123"/>
    </row>
    <row r="2219">
      <c r="D2219" s="123"/>
    </row>
    <row r="2220">
      <c r="D2220" s="123"/>
    </row>
    <row r="2221">
      <c r="D2221" s="123"/>
    </row>
    <row r="2222">
      <c r="D2222" s="123"/>
    </row>
    <row r="2223">
      <c r="D2223" s="123"/>
    </row>
    <row r="2224">
      <c r="D2224" s="123"/>
    </row>
    <row r="2225">
      <c r="D2225" s="123"/>
    </row>
    <row r="2226">
      <c r="D2226" s="123"/>
    </row>
    <row r="2227">
      <c r="D2227" s="123"/>
    </row>
    <row r="2228">
      <c r="D2228" s="123"/>
    </row>
    <row r="2229">
      <c r="D2229" s="123"/>
    </row>
    <row r="2230">
      <c r="D2230" s="123"/>
    </row>
    <row r="2231">
      <c r="D2231" s="123"/>
    </row>
    <row r="2232">
      <c r="D2232" s="123"/>
    </row>
    <row r="2233">
      <c r="D2233" s="123"/>
    </row>
    <row r="2234">
      <c r="D2234" s="123"/>
    </row>
    <row r="2235">
      <c r="D2235" s="123"/>
    </row>
    <row r="2236">
      <c r="D2236" s="123"/>
    </row>
    <row r="2237">
      <c r="D2237" s="123"/>
    </row>
    <row r="2238">
      <c r="D2238" s="123"/>
    </row>
    <row r="2239">
      <c r="D2239" s="123"/>
    </row>
    <row r="2240">
      <c r="D2240" s="123"/>
    </row>
    <row r="2241">
      <c r="D2241" s="123"/>
    </row>
    <row r="2242">
      <c r="D2242" s="123"/>
    </row>
    <row r="2243">
      <c r="D2243" s="123"/>
    </row>
    <row r="2244">
      <c r="D2244" s="123"/>
    </row>
    <row r="2245">
      <c r="D2245" s="123"/>
    </row>
    <row r="2246">
      <c r="D2246" s="123"/>
    </row>
    <row r="2247">
      <c r="D2247" s="123"/>
    </row>
    <row r="2248">
      <c r="D2248" s="123"/>
    </row>
    <row r="2249">
      <c r="D2249" s="123"/>
    </row>
    <row r="2250">
      <c r="D2250" s="123"/>
    </row>
    <row r="2251">
      <c r="D2251" s="123"/>
    </row>
    <row r="2252">
      <c r="D2252" s="123"/>
    </row>
    <row r="2253">
      <c r="D2253" s="123"/>
    </row>
    <row r="2254">
      <c r="D2254" s="123"/>
    </row>
    <row r="2255">
      <c r="D2255" s="123"/>
    </row>
    <row r="2256">
      <c r="D2256" s="123"/>
    </row>
    <row r="2257">
      <c r="D2257" s="123"/>
    </row>
    <row r="2258">
      <c r="D2258" s="123"/>
    </row>
    <row r="2259">
      <c r="D2259" s="123"/>
    </row>
    <row r="2260">
      <c r="D2260" s="123"/>
    </row>
    <row r="2261">
      <c r="D2261" s="123"/>
    </row>
    <row r="2262">
      <c r="D2262" s="123"/>
    </row>
    <row r="2263">
      <c r="D2263" s="123"/>
    </row>
    <row r="2264">
      <c r="D2264" s="123"/>
    </row>
    <row r="2265">
      <c r="D2265" s="123"/>
    </row>
    <row r="2266">
      <c r="D2266" s="123"/>
    </row>
    <row r="2267">
      <c r="D2267" s="123"/>
    </row>
    <row r="2268">
      <c r="D2268" s="123"/>
    </row>
    <row r="2269">
      <c r="D2269" s="123"/>
    </row>
    <row r="2270">
      <c r="D2270" s="123"/>
    </row>
    <row r="2271">
      <c r="D2271" s="123"/>
    </row>
    <row r="2272">
      <c r="D2272" s="123"/>
    </row>
    <row r="2273">
      <c r="D2273" s="123"/>
    </row>
    <row r="2274">
      <c r="D2274" s="123"/>
    </row>
    <row r="2275">
      <c r="D2275" s="123"/>
    </row>
    <row r="2276">
      <c r="D2276" s="123"/>
    </row>
    <row r="2277">
      <c r="D2277" s="123"/>
    </row>
    <row r="2278">
      <c r="D2278" s="123"/>
    </row>
    <row r="2279">
      <c r="D2279" s="123"/>
    </row>
    <row r="2280">
      <c r="D2280" s="123"/>
    </row>
    <row r="2281">
      <c r="D2281" s="123"/>
    </row>
    <row r="2282">
      <c r="D2282" s="123"/>
    </row>
    <row r="2283">
      <c r="D2283" s="123"/>
    </row>
    <row r="2284">
      <c r="D2284" s="123"/>
    </row>
    <row r="2285">
      <c r="D2285" s="123"/>
    </row>
    <row r="2286">
      <c r="D2286" s="123"/>
    </row>
    <row r="2287">
      <c r="D2287" s="123"/>
    </row>
    <row r="2288">
      <c r="D2288" s="123"/>
    </row>
    <row r="2289">
      <c r="D2289" s="123"/>
    </row>
    <row r="2290">
      <c r="D2290" s="123"/>
    </row>
    <row r="2291">
      <c r="D2291" s="123"/>
    </row>
    <row r="2292">
      <c r="D2292" s="123"/>
    </row>
    <row r="2293">
      <c r="D2293" s="123"/>
    </row>
    <row r="2294">
      <c r="D2294" s="123"/>
    </row>
    <row r="2295">
      <c r="D2295" s="123"/>
    </row>
    <row r="2296">
      <c r="D2296" s="123"/>
    </row>
    <row r="2297">
      <c r="D2297" s="123"/>
    </row>
    <row r="2298">
      <c r="D2298" s="123"/>
    </row>
    <row r="2299">
      <c r="D2299" s="123"/>
    </row>
    <row r="2300">
      <c r="D2300" s="123"/>
    </row>
    <row r="2301">
      <c r="D2301" s="123"/>
    </row>
    <row r="2302">
      <c r="D2302" s="123"/>
    </row>
    <row r="2303">
      <c r="D2303" s="123"/>
    </row>
    <row r="2304">
      <c r="D2304" s="123"/>
    </row>
    <row r="2305">
      <c r="D2305" s="123"/>
    </row>
    <row r="2306">
      <c r="D2306" s="123"/>
    </row>
    <row r="2307">
      <c r="D2307" s="123"/>
    </row>
    <row r="2308">
      <c r="D2308" s="123"/>
    </row>
    <row r="2309">
      <c r="D2309" s="123"/>
    </row>
    <row r="2310">
      <c r="D2310" s="123"/>
    </row>
    <row r="2311">
      <c r="D2311" s="123"/>
    </row>
    <row r="2312">
      <c r="D2312" s="123"/>
    </row>
    <row r="2313">
      <c r="D2313" s="123"/>
    </row>
    <row r="2314">
      <c r="D2314" s="123"/>
    </row>
    <row r="2315">
      <c r="D2315" s="123"/>
    </row>
    <row r="2316">
      <c r="D2316" s="123"/>
    </row>
    <row r="2317">
      <c r="D2317" s="123"/>
    </row>
    <row r="2318">
      <c r="D2318" s="123"/>
    </row>
    <row r="2319">
      <c r="D2319" s="123"/>
    </row>
    <row r="2320">
      <c r="D2320" s="123"/>
    </row>
    <row r="2321">
      <c r="D2321" s="123"/>
    </row>
    <row r="2322">
      <c r="D2322" s="123"/>
    </row>
    <row r="2323">
      <c r="D2323" s="123"/>
    </row>
    <row r="2324">
      <c r="D2324" s="123"/>
    </row>
    <row r="2325">
      <c r="D2325" s="123"/>
    </row>
    <row r="2326">
      <c r="D2326" s="123"/>
    </row>
    <row r="2327">
      <c r="D2327" s="123"/>
    </row>
    <row r="2328">
      <c r="D2328" s="123"/>
    </row>
    <row r="2329">
      <c r="D2329" s="123"/>
    </row>
    <row r="2330">
      <c r="D2330" s="123"/>
    </row>
    <row r="2331">
      <c r="D2331" s="123"/>
    </row>
    <row r="2332">
      <c r="D2332" s="123"/>
    </row>
    <row r="2333">
      <c r="D2333" s="123"/>
    </row>
    <row r="2334">
      <c r="D2334" s="123"/>
    </row>
    <row r="2335">
      <c r="D2335" s="123"/>
    </row>
    <row r="2336">
      <c r="D2336" s="123"/>
    </row>
    <row r="2337">
      <c r="D2337" s="123"/>
    </row>
    <row r="2338">
      <c r="D2338" s="123"/>
    </row>
    <row r="2339">
      <c r="D2339" s="123"/>
    </row>
    <row r="2340">
      <c r="D2340" s="123"/>
    </row>
    <row r="2341">
      <c r="D2341" s="123"/>
    </row>
    <row r="2342">
      <c r="D2342" s="123"/>
    </row>
    <row r="2343">
      <c r="D2343" s="123"/>
    </row>
    <row r="2344">
      <c r="D2344" s="123"/>
    </row>
    <row r="2345">
      <c r="D2345" s="123"/>
    </row>
    <row r="2346">
      <c r="D2346" s="123"/>
    </row>
    <row r="2347">
      <c r="D2347" s="123"/>
    </row>
    <row r="2348">
      <c r="D2348" s="123"/>
    </row>
    <row r="2349">
      <c r="D2349" s="123"/>
    </row>
    <row r="2350">
      <c r="D2350" s="123"/>
    </row>
    <row r="2351">
      <c r="D2351" s="123"/>
    </row>
    <row r="2352">
      <c r="D2352" s="123"/>
    </row>
    <row r="2353">
      <c r="D2353" s="123"/>
    </row>
    <row r="2354">
      <c r="D2354" s="123"/>
    </row>
    <row r="2355">
      <c r="D2355" s="123"/>
    </row>
    <row r="2356">
      <c r="D2356" s="123"/>
    </row>
    <row r="2357">
      <c r="D2357" s="123"/>
    </row>
    <row r="2358">
      <c r="D2358" s="123"/>
    </row>
    <row r="2359">
      <c r="D2359" s="123"/>
    </row>
    <row r="2360">
      <c r="D2360" s="123"/>
    </row>
    <row r="2361">
      <c r="D2361" s="123"/>
    </row>
    <row r="2362">
      <c r="D2362" s="123"/>
    </row>
    <row r="2363">
      <c r="D2363" s="123"/>
    </row>
    <row r="2364">
      <c r="D2364" s="123"/>
    </row>
    <row r="2365">
      <c r="D2365" s="123"/>
    </row>
    <row r="2366">
      <c r="D2366" s="123"/>
    </row>
    <row r="2367">
      <c r="D2367" s="123"/>
    </row>
    <row r="2368">
      <c r="D2368" s="123"/>
    </row>
    <row r="2369">
      <c r="D2369" s="123"/>
    </row>
    <row r="2370">
      <c r="D2370" s="123"/>
    </row>
    <row r="2371">
      <c r="D2371" s="123"/>
    </row>
    <row r="2372">
      <c r="D2372" s="123"/>
    </row>
    <row r="2373">
      <c r="D2373" s="123"/>
    </row>
    <row r="2374">
      <c r="D2374" s="123"/>
    </row>
    <row r="2375">
      <c r="D2375" s="123"/>
    </row>
    <row r="2376">
      <c r="D2376" s="123"/>
    </row>
    <row r="2377">
      <c r="D2377" s="123"/>
    </row>
    <row r="2378">
      <c r="D2378" s="123"/>
    </row>
    <row r="2379">
      <c r="D2379" s="123"/>
    </row>
    <row r="2380">
      <c r="D2380" s="123"/>
    </row>
    <row r="2381">
      <c r="D2381" s="123"/>
    </row>
    <row r="2382">
      <c r="D2382" s="123"/>
    </row>
    <row r="2383">
      <c r="D2383" s="123"/>
    </row>
    <row r="2384">
      <c r="D2384" s="123"/>
    </row>
    <row r="2385">
      <c r="D2385" s="123"/>
    </row>
    <row r="2386">
      <c r="D2386" s="123"/>
    </row>
    <row r="2387">
      <c r="D2387" s="123"/>
    </row>
    <row r="2388">
      <c r="D2388" s="123"/>
    </row>
    <row r="2389">
      <c r="D2389" s="123"/>
    </row>
    <row r="2390">
      <c r="D2390" s="123"/>
    </row>
    <row r="2391">
      <c r="D2391" s="123"/>
    </row>
    <row r="2392">
      <c r="D2392" s="123"/>
    </row>
    <row r="2393">
      <c r="D2393" s="123"/>
    </row>
    <row r="2394">
      <c r="D2394" s="123"/>
    </row>
    <row r="2395">
      <c r="D2395" s="123"/>
    </row>
    <row r="2396">
      <c r="D2396" s="123"/>
    </row>
    <row r="2397">
      <c r="D2397" s="123"/>
    </row>
    <row r="2398">
      <c r="D2398" s="123"/>
    </row>
    <row r="2399">
      <c r="D2399" s="123"/>
    </row>
    <row r="2400">
      <c r="D2400" s="123"/>
    </row>
    <row r="2401">
      <c r="D2401" s="123"/>
    </row>
    <row r="2402">
      <c r="D2402" s="123"/>
    </row>
    <row r="2403">
      <c r="D2403" s="123"/>
    </row>
    <row r="2404">
      <c r="D2404" s="123"/>
    </row>
    <row r="2405">
      <c r="D2405" s="123"/>
    </row>
    <row r="2406">
      <c r="D2406" s="123"/>
    </row>
    <row r="2407">
      <c r="D2407" s="123"/>
    </row>
    <row r="2408">
      <c r="D2408" s="123"/>
    </row>
    <row r="2409">
      <c r="D2409" s="123"/>
    </row>
    <row r="2410">
      <c r="D2410" s="123"/>
    </row>
    <row r="2411">
      <c r="D2411" s="123"/>
    </row>
    <row r="2412">
      <c r="D2412" s="123"/>
    </row>
    <row r="2413">
      <c r="D2413" s="123"/>
    </row>
    <row r="2414">
      <c r="D2414" s="123"/>
    </row>
    <row r="2415">
      <c r="D2415" s="123"/>
    </row>
    <row r="2416">
      <c r="D2416" s="123"/>
    </row>
    <row r="2417">
      <c r="D2417" s="123"/>
    </row>
    <row r="2418">
      <c r="D2418" s="123"/>
    </row>
    <row r="2419">
      <c r="D2419" s="123"/>
    </row>
    <row r="2420">
      <c r="D2420" s="123"/>
    </row>
    <row r="2421">
      <c r="D2421" s="123"/>
    </row>
    <row r="2422">
      <c r="D2422" s="123"/>
    </row>
    <row r="2423">
      <c r="D2423" s="123"/>
    </row>
    <row r="2424">
      <c r="D2424" s="123"/>
    </row>
    <row r="2425">
      <c r="D2425" s="123"/>
    </row>
    <row r="2426">
      <c r="D2426" s="123"/>
    </row>
    <row r="2427">
      <c r="D2427" s="123"/>
    </row>
    <row r="2428">
      <c r="D2428" s="123"/>
    </row>
    <row r="2429">
      <c r="D2429" s="123"/>
    </row>
    <row r="2430">
      <c r="D2430" s="123"/>
    </row>
    <row r="2431">
      <c r="D2431" s="123"/>
    </row>
    <row r="2432">
      <c r="D2432" s="123"/>
    </row>
    <row r="2433">
      <c r="D2433" s="123"/>
    </row>
    <row r="2434">
      <c r="D2434" s="123"/>
    </row>
    <row r="2435">
      <c r="D2435" s="123"/>
    </row>
    <row r="2436">
      <c r="D2436" s="123"/>
    </row>
    <row r="2437">
      <c r="D2437" s="123"/>
    </row>
    <row r="2438">
      <c r="D2438" s="123"/>
    </row>
    <row r="2439">
      <c r="D2439" s="123"/>
    </row>
    <row r="2440">
      <c r="D2440" s="123"/>
    </row>
    <row r="2441">
      <c r="D2441" s="123"/>
    </row>
    <row r="2442">
      <c r="D2442" s="123"/>
    </row>
    <row r="2443">
      <c r="D2443" s="123"/>
    </row>
    <row r="2444">
      <c r="D2444" s="123"/>
    </row>
    <row r="2445">
      <c r="D2445" s="123"/>
    </row>
    <row r="2446">
      <c r="D2446" s="123"/>
    </row>
    <row r="2447">
      <c r="D2447" s="123"/>
    </row>
    <row r="2448">
      <c r="D2448" s="123"/>
    </row>
    <row r="2449">
      <c r="D2449" s="123"/>
    </row>
    <row r="2450">
      <c r="D2450" s="123"/>
    </row>
    <row r="2451">
      <c r="D2451" s="123"/>
    </row>
    <row r="2452">
      <c r="D2452" s="123"/>
    </row>
    <row r="2453">
      <c r="D2453" s="123"/>
    </row>
    <row r="2454">
      <c r="D2454" s="123"/>
    </row>
    <row r="2455">
      <c r="D2455" s="123"/>
    </row>
    <row r="2456">
      <c r="D2456" s="123"/>
    </row>
    <row r="2457">
      <c r="D2457" s="123"/>
    </row>
    <row r="2458">
      <c r="D2458" s="123"/>
    </row>
    <row r="2459">
      <c r="D2459" s="123"/>
    </row>
    <row r="2460">
      <c r="D2460" s="123"/>
    </row>
    <row r="2461">
      <c r="D2461" s="123"/>
    </row>
    <row r="2462">
      <c r="D2462" s="123"/>
    </row>
    <row r="2463">
      <c r="D2463" s="123"/>
    </row>
    <row r="2464">
      <c r="D2464" s="123"/>
    </row>
    <row r="2465">
      <c r="D2465" s="123"/>
    </row>
    <row r="2466">
      <c r="D2466" s="123"/>
    </row>
    <row r="2467">
      <c r="D2467" s="123"/>
    </row>
    <row r="2468">
      <c r="D2468" s="123"/>
    </row>
    <row r="2469">
      <c r="D2469" s="123"/>
    </row>
    <row r="2470">
      <c r="D2470" s="123"/>
    </row>
    <row r="2471">
      <c r="D2471" s="123"/>
    </row>
    <row r="2472">
      <c r="D2472" s="123"/>
    </row>
    <row r="2473">
      <c r="D2473" s="123"/>
    </row>
    <row r="2474">
      <c r="D2474" s="123"/>
    </row>
    <row r="2475">
      <c r="D2475" s="123"/>
    </row>
    <row r="2476">
      <c r="D2476" s="123"/>
    </row>
    <row r="2477">
      <c r="D2477" s="123"/>
    </row>
    <row r="2478">
      <c r="D2478" s="123"/>
    </row>
    <row r="2479">
      <c r="D2479" s="123"/>
    </row>
    <row r="2480">
      <c r="D2480" s="123"/>
    </row>
    <row r="2481">
      <c r="D2481" s="123"/>
    </row>
    <row r="2482">
      <c r="D2482" s="123"/>
    </row>
    <row r="2483">
      <c r="D2483" s="123"/>
    </row>
    <row r="2484">
      <c r="D2484" s="123"/>
    </row>
    <row r="2485">
      <c r="D2485" s="123"/>
    </row>
    <row r="2486">
      <c r="D2486" s="123"/>
    </row>
    <row r="2487">
      <c r="D2487" s="123"/>
    </row>
    <row r="2488">
      <c r="D2488" s="123"/>
    </row>
    <row r="2489">
      <c r="D2489" s="123"/>
    </row>
    <row r="2490">
      <c r="D2490" s="123"/>
    </row>
    <row r="2491">
      <c r="D2491" s="123"/>
    </row>
    <row r="2492">
      <c r="D2492" s="123"/>
    </row>
    <row r="2493">
      <c r="D2493" s="123"/>
    </row>
    <row r="2494">
      <c r="D2494" s="123"/>
    </row>
    <row r="2495">
      <c r="D2495" s="123"/>
    </row>
    <row r="2496">
      <c r="D2496" s="123"/>
    </row>
    <row r="2497">
      <c r="D2497" s="123"/>
    </row>
    <row r="2498">
      <c r="D2498" s="123"/>
    </row>
    <row r="2499">
      <c r="D2499" s="123"/>
    </row>
    <row r="2500">
      <c r="D2500" s="123"/>
    </row>
    <row r="2501">
      <c r="D2501" s="123"/>
    </row>
    <row r="2502">
      <c r="D2502" s="123"/>
    </row>
    <row r="2503">
      <c r="D2503" s="123"/>
    </row>
    <row r="2504">
      <c r="D2504" s="123"/>
    </row>
    <row r="2505">
      <c r="D2505" s="123"/>
    </row>
    <row r="2506">
      <c r="D2506" s="123"/>
    </row>
    <row r="2507">
      <c r="D2507" s="123"/>
    </row>
    <row r="2508">
      <c r="D2508" s="123"/>
    </row>
    <row r="2509">
      <c r="D2509" s="123"/>
    </row>
    <row r="2510">
      <c r="D2510" s="123"/>
    </row>
    <row r="2511">
      <c r="D2511" s="123"/>
    </row>
    <row r="2512">
      <c r="D2512" s="123"/>
    </row>
    <row r="2513">
      <c r="D2513" s="123"/>
    </row>
    <row r="2514">
      <c r="D2514" s="123"/>
    </row>
    <row r="2515">
      <c r="D2515" s="123"/>
    </row>
    <row r="2516">
      <c r="D2516" s="123"/>
    </row>
    <row r="2517">
      <c r="D2517" s="123"/>
    </row>
    <row r="2518">
      <c r="D2518" s="123"/>
    </row>
    <row r="2519">
      <c r="D2519" s="123"/>
    </row>
    <row r="2520">
      <c r="D2520" s="123"/>
    </row>
    <row r="2521">
      <c r="D2521" s="123"/>
    </row>
    <row r="2522">
      <c r="D2522" s="123"/>
    </row>
    <row r="2523">
      <c r="D2523" s="123"/>
    </row>
    <row r="2524">
      <c r="D2524" s="123"/>
    </row>
    <row r="2525">
      <c r="D2525" s="123"/>
    </row>
    <row r="2526">
      <c r="D2526" s="123"/>
    </row>
    <row r="2527">
      <c r="D2527" s="123"/>
    </row>
    <row r="2528">
      <c r="D2528" s="123"/>
    </row>
    <row r="2529">
      <c r="D2529" s="123"/>
    </row>
    <row r="2530">
      <c r="D2530" s="123"/>
    </row>
    <row r="2531">
      <c r="D2531" s="123"/>
    </row>
    <row r="2532">
      <c r="D2532" s="123"/>
    </row>
    <row r="2533">
      <c r="D2533" s="123"/>
    </row>
    <row r="2534">
      <c r="D2534" s="123"/>
    </row>
    <row r="2535">
      <c r="D2535" s="123"/>
    </row>
    <row r="2536">
      <c r="D2536" s="123"/>
    </row>
    <row r="2537">
      <c r="D2537" s="123"/>
    </row>
    <row r="2538">
      <c r="D2538" s="123"/>
    </row>
    <row r="2539">
      <c r="D2539" s="123"/>
    </row>
    <row r="2540">
      <c r="D2540" s="123"/>
    </row>
    <row r="2541">
      <c r="D2541" s="123"/>
    </row>
    <row r="2542">
      <c r="D2542" s="123"/>
    </row>
    <row r="2543">
      <c r="D2543" s="123"/>
    </row>
    <row r="2544">
      <c r="D2544" s="123"/>
    </row>
    <row r="2545">
      <c r="D2545" s="123"/>
    </row>
    <row r="2546">
      <c r="D2546" s="123"/>
    </row>
    <row r="2547">
      <c r="D2547" s="123"/>
    </row>
    <row r="2548">
      <c r="D2548" s="123"/>
    </row>
    <row r="2549">
      <c r="D2549" s="123"/>
    </row>
    <row r="2550">
      <c r="D2550" s="123"/>
    </row>
    <row r="2551">
      <c r="D2551" s="123"/>
    </row>
    <row r="2552">
      <c r="D2552" s="123"/>
    </row>
    <row r="2553">
      <c r="D2553" s="123"/>
    </row>
    <row r="2554">
      <c r="D2554" s="123"/>
    </row>
    <row r="2555">
      <c r="D2555" s="123"/>
    </row>
    <row r="2556">
      <c r="D2556" s="123"/>
    </row>
    <row r="2557">
      <c r="D2557" s="123"/>
    </row>
    <row r="2558">
      <c r="D2558" s="123"/>
    </row>
    <row r="2559">
      <c r="D2559" s="123"/>
    </row>
    <row r="2560">
      <c r="D2560" s="123"/>
    </row>
    <row r="2561">
      <c r="D2561" s="123"/>
    </row>
    <row r="2562">
      <c r="D2562" s="123"/>
    </row>
    <row r="2563">
      <c r="D2563" s="123"/>
    </row>
    <row r="2564">
      <c r="D2564" s="123"/>
    </row>
    <row r="2565">
      <c r="D2565" s="123"/>
    </row>
    <row r="2566">
      <c r="D2566" s="123"/>
    </row>
    <row r="2567">
      <c r="D2567" s="123"/>
    </row>
    <row r="2568">
      <c r="D2568" s="123"/>
    </row>
    <row r="2569">
      <c r="D2569" s="123"/>
    </row>
    <row r="2570">
      <c r="D2570" s="123"/>
    </row>
    <row r="2571">
      <c r="D2571" s="123"/>
    </row>
    <row r="2572">
      <c r="D2572" s="123"/>
    </row>
    <row r="2573">
      <c r="D2573" s="123"/>
    </row>
    <row r="2574">
      <c r="D2574" s="123"/>
    </row>
    <row r="2575">
      <c r="D2575" s="123"/>
    </row>
    <row r="2576">
      <c r="D2576" s="123"/>
    </row>
    <row r="2577">
      <c r="D2577" s="123"/>
    </row>
    <row r="2578">
      <c r="D2578" s="123"/>
    </row>
    <row r="2579">
      <c r="D2579" s="123"/>
    </row>
    <row r="2580">
      <c r="D2580" s="123"/>
    </row>
    <row r="2581">
      <c r="D2581" s="123"/>
    </row>
    <row r="2582">
      <c r="D2582" s="123"/>
    </row>
    <row r="2583">
      <c r="D2583" s="123"/>
    </row>
    <row r="2584">
      <c r="D2584" s="123"/>
    </row>
    <row r="2585">
      <c r="D2585" s="123"/>
    </row>
    <row r="2586">
      <c r="D2586" s="123"/>
    </row>
    <row r="2587">
      <c r="D2587" s="123"/>
    </row>
    <row r="2588">
      <c r="D2588" s="123"/>
    </row>
    <row r="2589">
      <c r="D2589" s="123"/>
    </row>
    <row r="2590">
      <c r="D2590" s="123"/>
    </row>
    <row r="2591">
      <c r="D2591" s="123"/>
    </row>
    <row r="2592">
      <c r="D2592" s="123"/>
    </row>
    <row r="2593">
      <c r="D2593" s="123"/>
    </row>
    <row r="2594">
      <c r="D2594" s="123"/>
    </row>
    <row r="2595">
      <c r="D2595" s="123"/>
    </row>
    <row r="2596">
      <c r="D2596" s="123"/>
    </row>
    <row r="2597">
      <c r="D2597" s="123"/>
    </row>
    <row r="2598">
      <c r="D2598" s="123"/>
    </row>
    <row r="2599">
      <c r="D2599" s="123"/>
    </row>
    <row r="2600">
      <c r="D2600" s="123"/>
    </row>
    <row r="2601">
      <c r="D2601" s="123"/>
    </row>
    <row r="2602">
      <c r="D2602" s="123"/>
    </row>
    <row r="2603">
      <c r="D2603" s="123"/>
    </row>
    <row r="2604">
      <c r="D2604" s="123"/>
    </row>
    <row r="2605">
      <c r="D2605" s="123"/>
    </row>
    <row r="2606">
      <c r="D2606" s="123"/>
    </row>
    <row r="2607">
      <c r="D2607" s="123"/>
    </row>
    <row r="2608">
      <c r="D2608" s="123"/>
    </row>
    <row r="2609">
      <c r="D2609" s="123"/>
    </row>
    <row r="2610">
      <c r="D2610" s="123"/>
    </row>
    <row r="2611">
      <c r="D2611" s="123"/>
    </row>
    <row r="2612">
      <c r="D2612" s="123"/>
    </row>
    <row r="2613">
      <c r="D2613" s="123"/>
    </row>
    <row r="2614">
      <c r="D2614" s="123"/>
    </row>
    <row r="2615">
      <c r="D2615" s="123"/>
    </row>
    <row r="2616">
      <c r="D2616" s="123"/>
    </row>
    <row r="2617">
      <c r="D2617" s="123"/>
    </row>
    <row r="2618">
      <c r="D2618" s="123"/>
    </row>
    <row r="2619">
      <c r="D2619" s="123"/>
    </row>
    <row r="2620">
      <c r="D2620" s="123"/>
    </row>
    <row r="2621">
      <c r="D2621" s="123"/>
    </row>
    <row r="2622">
      <c r="D2622" s="123"/>
    </row>
    <row r="2623">
      <c r="D2623" s="123"/>
    </row>
    <row r="2624">
      <c r="D2624" s="123"/>
    </row>
    <row r="2625">
      <c r="D2625" s="123"/>
    </row>
    <row r="2626">
      <c r="D2626" s="123"/>
    </row>
    <row r="2627">
      <c r="D2627" s="123"/>
    </row>
    <row r="2628">
      <c r="D2628" s="123"/>
    </row>
    <row r="2629">
      <c r="D2629" s="123"/>
    </row>
    <row r="2630">
      <c r="D2630" s="123"/>
    </row>
    <row r="2631">
      <c r="D2631" s="123"/>
    </row>
    <row r="2632">
      <c r="D2632" s="123"/>
    </row>
    <row r="2633">
      <c r="D2633" s="123"/>
    </row>
    <row r="2634">
      <c r="D2634" s="123"/>
    </row>
    <row r="2635">
      <c r="D2635" s="123"/>
    </row>
    <row r="2636">
      <c r="D2636" s="123"/>
    </row>
    <row r="2637">
      <c r="D2637" s="123"/>
    </row>
    <row r="2638">
      <c r="D2638" s="123"/>
    </row>
    <row r="2639">
      <c r="D2639" s="123"/>
    </row>
    <row r="2640">
      <c r="D2640" s="123"/>
    </row>
    <row r="2641">
      <c r="D2641" s="123"/>
    </row>
    <row r="2642">
      <c r="D2642" s="123"/>
    </row>
    <row r="2643">
      <c r="D2643" s="123"/>
    </row>
    <row r="2644">
      <c r="D2644" s="123"/>
    </row>
    <row r="2645">
      <c r="D2645" s="123"/>
    </row>
    <row r="2646">
      <c r="D2646" s="123"/>
    </row>
    <row r="2647">
      <c r="D2647" s="123"/>
    </row>
    <row r="2648">
      <c r="D2648" s="123"/>
    </row>
    <row r="2649">
      <c r="D2649" s="123"/>
    </row>
    <row r="2650">
      <c r="D2650" s="123"/>
    </row>
    <row r="2651">
      <c r="D2651" s="123"/>
    </row>
    <row r="2652">
      <c r="D2652" s="123"/>
    </row>
    <row r="2653">
      <c r="D2653" s="123"/>
    </row>
    <row r="2654">
      <c r="D2654" s="123"/>
    </row>
    <row r="2655">
      <c r="D2655" s="123"/>
    </row>
    <row r="2656">
      <c r="D2656" s="123"/>
    </row>
    <row r="2657">
      <c r="D2657" s="123"/>
    </row>
    <row r="2658">
      <c r="D2658" s="123"/>
    </row>
    <row r="2659">
      <c r="D2659" s="123"/>
    </row>
    <row r="2660">
      <c r="D2660" s="123"/>
    </row>
    <row r="2661">
      <c r="D2661" s="123"/>
    </row>
    <row r="2662">
      <c r="D2662" s="123"/>
    </row>
    <row r="2663">
      <c r="D2663" s="123"/>
    </row>
    <row r="2664">
      <c r="D2664" s="123"/>
    </row>
    <row r="2665">
      <c r="D2665" s="123"/>
    </row>
    <row r="2666">
      <c r="D2666" s="123"/>
    </row>
    <row r="2667">
      <c r="D2667" s="123"/>
    </row>
    <row r="2668">
      <c r="D2668" s="123"/>
    </row>
    <row r="2669">
      <c r="D2669" s="123"/>
    </row>
    <row r="2670">
      <c r="D2670" s="123"/>
    </row>
    <row r="2671">
      <c r="D2671" s="123"/>
    </row>
    <row r="2672">
      <c r="D2672" s="123"/>
    </row>
    <row r="2673">
      <c r="D2673" s="123"/>
    </row>
    <row r="2674">
      <c r="D2674" s="123"/>
    </row>
    <row r="2675">
      <c r="D2675" s="123"/>
    </row>
    <row r="2676">
      <c r="D2676" s="123"/>
    </row>
    <row r="2677">
      <c r="D2677" s="123"/>
    </row>
    <row r="2678">
      <c r="D2678" s="123"/>
    </row>
    <row r="2679">
      <c r="D2679" s="123"/>
    </row>
    <row r="2680">
      <c r="D2680" s="123"/>
    </row>
    <row r="2681">
      <c r="D2681" s="123"/>
    </row>
    <row r="2682">
      <c r="D2682" s="123"/>
    </row>
    <row r="2683">
      <c r="D2683" s="123"/>
    </row>
    <row r="2684">
      <c r="D2684" s="123"/>
    </row>
    <row r="2685">
      <c r="D2685" s="123"/>
    </row>
    <row r="2686">
      <c r="D2686" s="123"/>
    </row>
    <row r="2687">
      <c r="D2687" s="123"/>
    </row>
    <row r="2688">
      <c r="D2688" s="123"/>
    </row>
    <row r="2689">
      <c r="D2689" s="123"/>
    </row>
    <row r="2690">
      <c r="D2690" s="123"/>
    </row>
    <row r="2691">
      <c r="D2691" s="123"/>
    </row>
    <row r="2692">
      <c r="D2692" s="123"/>
    </row>
    <row r="2693">
      <c r="D2693" s="123"/>
    </row>
    <row r="2694">
      <c r="D2694" s="123"/>
    </row>
    <row r="2695">
      <c r="D2695" s="123"/>
    </row>
    <row r="2696">
      <c r="D2696" s="123"/>
    </row>
    <row r="2697">
      <c r="D2697" s="123"/>
    </row>
    <row r="2698">
      <c r="D2698" s="123"/>
    </row>
    <row r="2699">
      <c r="D2699" s="123"/>
    </row>
    <row r="2700">
      <c r="D2700" s="123"/>
    </row>
    <row r="2701">
      <c r="D2701" s="123"/>
    </row>
    <row r="2702">
      <c r="D2702" s="123"/>
    </row>
    <row r="2703">
      <c r="D2703" s="123"/>
    </row>
    <row r="2704">
      <c r="D2704" s="123"/>
    </row>
    <row r="2705">
      <c r="D2705" s="123"/>
    </row>
    <row r="2706">
      <c r="D2706" s="123"/>
    </row>
    <row r="2707">
      <c r="D2707" s="123"/>
    </row>
    <row r="2708">
      <c r="D2708" s="123"/>
    </row>
    <row r="2709">
      <c r="D2709" s="123"/>
    </row>
    <row r="2710">
      <c r="D2710" s="123"/>
    </row>
    <row r="2711">
      <c r="D2711" s="123"/>
    </row>
    <row r="2712">
      <c r="D2712" s="123"/>
    </row>
    <row r="2713">
      <c r="D2713" s="123"/>
    </row>
    <row r="2714">
      <c r="D2714" s="123"/>
    </row>
    <row r="2715">
      <c r="D2715" s="123"/>
    </row>
    <row r="2716">
      <c r="D2716" s="123"/>
    </row>
    <row r="2717">
      <c r="D2717" s="123"/>
    </row>
    <row r="2718">
      <c r="D2718" s="123"/>
    </row>
    <row r="2719">
      <c r="D2719" s="123"/>
    </row>
    <row r="2720">
      <c r="D2720" s="123"/>
    </row>
    <row r="2721">
      <c r="D2721" s="123"/>
    </row>
    <row r="2722">
      <c r="D2722" s="123"/>
    </row>
    <row r="2723">
      <c r="D2723" s="123"/>
    </row>
    <row r="2724">
      <c r="D2724" s="123"/>
    </row>
    <row r="2725">
      <c r="D2725" s="123"/>
    </row>
    <row r="2726">
      <c r="D2726" s="123"/>
    </row>
    <row r="2727">
      <c r="D2727" s="123"/>
    </row>
    <row r="2728">
      <c r="D2728" s="123"/>
    </row>
    <row r="2729">
      <c r="D2729" s="123"/>
    </row>
    <row r="2730">
      <c r="D2730" s="123"/>
    </row>
    <row r="2731">
      <c r="D2731" s="123"/>
    </row>
    <row r="2732">
      <c r="D2732" s="123"/>
    </row>
    <row r="2733">
      <c r="D2733" s="123"/>
    </row>
    <row r="2734">
      <c r="D2734" s="123"/>
    </row>
    <row r="2735">
      <c r="D2735" s="123"/>
    </row>
    <row r="2736">
      <c r="D2736" s="123"/>
    </row>
    <row r="2737">
      <c r="D2737" s="123"/>
    </row>
    <row r="2738">
      <c r="D2738" s="123"/>
    </row>
    <row r="2739">
      <c r="D2739" s="123"/>
    </row>
    <row r="2740">
      <c r="D2740" s="123"/>
    </row>
    <row r="2741">
      <c r="D2741" s="123"/>
    </row>
    <row r="2742">
      <c r="D2742" s="123"/>
    </row>
    <row r="2743">
      <c r="D2743" s="123"/>
    </row>
    <row r="2744">
      <c r="D2744" s="123"/>
    </row>
    <row r="2745">
      <c r="D2745" s="123"/>
    </row>
    <row r="2746">
      <c r="D2746" s="123"/>
    </row>
    <row r="2747">
      <c r="D2747" s="123"/>
    </row>
    <row r="2748">
      <c r="D2748" s="123"/>
    </row>
    <row r="2749">
      <c r="D2749" s="123"/>
    </row>
    <row r="2750">
      <c r="D2750" s="123"/>
    </row>
    <row r="2751">
      <c r="D2751" s="123"/>
    </row>
    <row r="2752">
      <c r="D2752" s="123"/>
    </row>
    <row r="2753">
      <c r="D2753" s="123"/>
    </row>
    <row r="2754">
      <c r="D2754" s="123"/>
    </row>
    <row r="2755">
      <c r="D2755" s="123"/>
    </row>
    <row r="2756">
      <c r="D2756" s="123"/>
    </row>
    <row r="2757">
      <c r="D2757" s="123"/>
    </row>
    <row r="2758">
      <c r="D2758" s="123"/>
    </row>
    <row r="2759">
      <c r="D2759" s="123"/>
    </row>
    <row r="2760">
      <c r="D2760" s="123"/>
    </row>
    <row r="2761">
      <c r="D2761" s="123"/>
    </row>
    <row r="2762">
      <c r="D2762" s="123"/>
    </row>
    <row r="2763">
      <c r="D2763" s="123"/>
    </row>
    <row r="2764">
      <c r="D2764" s="123"/>
    </row>
    <row r="2765">
      <c r="D2765" s="123"/>
    </row>
    <row r="2766">
      <c r="D2766" s="123"/>
    </row>
    <row r="2767">
      <c r="D2767" s="123"/>
    </row>
    <row r="2768">
      <c r="D2768" s="123"/>
    </row>
    <row r="2769">
      <c r="D2769" s="123"/>
    </row>
    <row r="2770">
      <c r="D2770" s="123"/>
    </row>
    <row r="2771">
      <c r="D2771" s="123"/>
    </row>
    <row r="2772">
      <c r="D2772" s="123"/>
    </row>
    <row r="2773">
      <c r="D2773" s="123"/>
    </row>
    <row r="2774">
      <c r="D2774" s="123"/>
    </row>
    <row r="2775">
      <c r="D2775" s="123"/>
    </row>
    <row r="2776">
      <c r="D2776" s="123"/>
    </row>
    <row r="2777">
      <c r="D2777" s="123"/>
    </row>
    <row r="2778">
      <c r="D2778" s="123"/>
    </row>
    <row r="2779">
      <c r="D2779" s="123"/>
    </row>
    <row r="2780">
      <c r="D2780" s="123"/>
    </row>
    <row r="2781">
      <c r="D2781" s="123"/>
    </row>
    <row r="2782">
      <c r="D2782" s="123"/>
    </row>
    <row r="2783">
      <c r="D2783" s="123"/>
    </row>
    <row r="2784">
      <c r="D2784" s="123"/>
    </row>
    <row r="2785">
      <c r="D2785" s="123"/>
    </row>
    <row r="2786">
      <c r="D2786" s="123"/>
    </row>
    <row r="2787">
      <c r="D2787" s="123"/>
    </row>
    <row r="2788">
      <c r="D2788" s="123"/>
    </row>
    <row r="2789">
      <c r="D2789" s="123"/>
    </row>
    <row r="2790">
      <c r="D2790" s="123"/>
    </row>
    <row r="2791">
      <c r="D2791" s="123"/>
    </row>
    <row r="2792">
      <c r="D2792" s="123"/>
    </row>
    <row r="2793">
      <c r="D2793" s="123"/>
    </row>
    <row r="2794">
      <c r="D2794" s="123"/>
    </row>
    <row r="2795">
      <c r="D2795" s="123"/>
    </row>
    <row r="2796">
      <c r="D2796" s="123"/>
    </row>
    <row r="2797">
      <c r="D2797" s="123"/>
    </row>
    <row r="2798">
      <c r="D2798" s="123"/>
    </row>
    <row r="2799">
      <c r="D2799" s="123"/>
    </row>
    <row r="2800">
      <c r="D2800" s="123"/>
    </row>
    <row r="2801">
      <c r="D2801" s="123"/>
    </row>
    <row r="2802">
      <c r="D2802" s="123"/>
    </row>
    <row r="2803">
      <c r="D2803" s="123"/>
    </row>
    <row r="2804">
      <c r="D2804" s="123"/>
    </row>
    <row r="2805">
      <c r="D2805" s="123"/>
    </row>
    <row r="2806">
      <c r="D2806" s="123"/>
    </row>
    <row r="2807">
      <c r="D2807" s="123"/>
    </row>
    <row r="2808">
      <c r="D2808" s="123"/>
    </row>
    <row r="2809">
      <c r="D2809" s="123"/>
    </row>
    <row r="2810">
      <c r="D2810" s="123"/>
    </row>
    <row r="2811">
      <c r="D2811" s="123"/>
    </row>
    <row r="2812">
      <c r="D2812" s="123"/>
    </row>
    <row r="2813">
      <c r="D2813" s="123"/>
    </row>
    <row r="2814">
      <c r="D2814" s="123"/>
    </row>
    <row r="2815">
      <c r="D2815" s="123"/>
    </row>
    <row r="2816">
      <c r="D2816" s="123"/>
    </row>
    <row r="2817">
      <c r="D2817" s="123"/>
    </row>
    <row r="2818">
      <c r="D2818" s="123"/>
    </row>
    <row r="2819">
      <c r="D2819" s="123"/>
    </row>
    <row r="2820">
      <c r="D2820" s="123"/>
    </row>
    <row r="2821">
      <c r="D2821" s="123"/>
    </row>
    <row r="2822">
      <c r="D2822" s="123"/>
    </row>
    <row r="2823">
      <c r="D2823" s="123"/>
    </row>
    <row r="2824">
      <c r="D2824" s="123"/>
    </row>
    <row r="2825">
      <c r="D2825" s="123"/>
    </row>
    <row r="2826">
      <c r="D2826" s="123"/>
    </row>
    <row r="2827">
      <c r="D2827" s="123"/>
    </row>
    <row r="2828">
      <c r="D2828" s="123"/>
    </row>
    <row r="2829">
      <c r="D2829" s="123"/>
    </row>
    <row r="2830">
      <c r="D2830" s="123"/>
    </row>
    <row r="2831">
      <c r="D2831" s="123"/>
    </row>
    <row r="2832">
      <c r="D2832" s="123"/>
    </row>
    <row r="2833">
      <c r="D2833" s="123"/>
    </row>
    <row r="2834">
      <c r="D2834" s="123"/>
    </row>
    <row r="2835">
      <c r="D2835" s="123"/>
    </row>
    <row r="2836">
      <c r="D2836" s="123"/>
    </row>
    <row r="2837">
      <c r="D2837" s="123"/>
    </row>
    <row r="2838">
      <c r="D2838" s="123"/>
    </row>
    <row r="2839">
      <c r="D2839" s="123"/>
    </row>
    <row r="2840">
      <c r="D2840" s="123"/>
    </row>
    <row r="2841">
      <c r="D2841" s="123"/>
    </row>
    <row r="2842">
      <c r="D2842" s="123"/>
    </row>
    <row r="2843">
      <c r="D2843" s="123"/>
    </row>
    <row r="2844">
      <c r="D2844" s="123"/>
    </row>
    <row r="2845">
      <c r="D2845" s="123"/>
    </row>
    <row r="2846">
      <c r="D2846" s="123"/>
    </row>
    <row r="2847">
      <c r="D2847" s="123"/>
    </row>
    <row r="2848">
      <c r="D2848" s="123"/>
    </row>
    <row r="2849">
      <c r="D2849" s="123"/>
    </row>
    <row r="2850">
      <c r="D2850" s="123"/>
    </row>
    <row r="2851">
      <c r="D2851" s="123"/>
    </row>
    <row r="2852">
      <c r="D2852" s="123"/>
    </row>
    <row r="2853">
      <c r="D2853" s="123"/>
    </row>
    <row r="2854">
      <c r="D2854" s="123"/>
    </row>
    <row r="2855">
      <c r="D2855" s="123"/>
    </row>
    <row r="2856">
      <c r="D2856" s="123"/>
    </row>
    <row r="2857">
      <c r="D2857" s="123"/>
    </row>
    <row r="2858">
      <c r="D2858" s="123"/>
    </row>
    <row r="2859">
      <c r="D2859" s="123"/>
    </row>
    <row r="2860">
      <c r="D2860" s="123"/>
    </row>
    <row r="2861">
      <c r="D2861" s="123"/>
    </row>
    <row r="2862">
      <c r="D2862" s="123"/>
    </row>
    <row r="2863">
      <c r="D2863" s="123"/>
    </row>
    <row r="2864">
      <c r="D2864" s="123"/>
    </row>
    <row r="2865">
      <c r="D2865" s="123"/>
    </row>
    <row r="2866">
      <c r="D2866" s="123"/>
    </row>
    <row r="2867">
      <c r="D2867" s="123"/>
    </row>
    <row r="2868">
      <c r="D2868" s="123"/>
    </row>
    <row r="2869">
      <c r="D2869" s="123"/>
    </row>
    <row r="2870">
      <c r="D2870" s="123"/>
    </row>
    <row r="2871">
      <c r="D2871" s="123"/>
    </row>
    <row r="2872">
      <c r="D2872" s="123"/>
    </row>
    <row r="2873">
      <c r="D2873" s="123"/>
    </row>
    <row r="2874">
      <c r="D2874" s="123"/>
    </row>
    <row r="2875">
      <c r="D2875" s="123"/>
    </row>
    <row r="2876">
      <c r="D2876" s="123"/>
    </row>
    <row r="2877">
      <c r="D2877" s="123"/>
    </row>
    <row r="2878">
      <c r="D2878" s="123"/>
    </row>
    <row r="2879">
      <c r="D2879" s="123"/>
    </row>
    <row r="2880">
      <c r="D2880" s="123"/>
    </row>
    <row r="2881">
      <c r="D2881" s="123"/>
    </row>
    <row r="2882">
      <c r="D2882" s="123"/>
    </row>
    <row r="2883">
      <c r="D2883" s="123"/>
    </row>
    <row r="2884">
      <c r="D2884" s="123"/>
    </row>
    <row r="2885">
      <c r="D2885" s="123"/>
    </row>
    <row r="2886">
      <c r="D2886" s="123"/>
    </row>
    <row r="2887">
      <c r="D2887" s="123"/>
    </row>
    <row r="2888">
      <c r="D2888" s="123"/>
    </row>
    <row r="2889">
      <c r="D2889" s="123"/>
    </row>
    <row r="2890">
      <c r="D2890" s="123"/>
    </row>
    <row r="2891">
      <c r="D2891" s="123"/>
    </row>
    <row r="2892">
      <c r="D2892" s="123"/>
    </row>
    <row r="2893">
      <c r="D2893" s="123"/>
    </row>
    <row r="2894">
      <c r="D2894" s="123"/>
    </row>
    <row r="2895">
      <c r="D2895" s="123"/>
    </row>
    <row r="2896">
      <c r="D2896" s="123"/>
    </row>
    <row r="2897">
      <c r="D2897" s="123"/>
    </row>
    <row r="2898">
      <c r="D2898" s="123"/>
    </row>
    <row r="2899">
      <c r="D2899" s="123"/>
    </row>
    <row r="2900">
      <c r="D2900" s="123"/>
    </row>
    <row r="2901">
      <c r="D2901" s="123"/>
    </row>
    <row r="2902">
      <c r="D2902" s="123"/>
    </row>
    <row r="2903">
      <c r="D2903" s="123"/>
    </row>
    <row r="2904">
      <c r="D2904" s="123"/>
    </row>
    <row r="2905">
      <c r="D2905" s="123"/>
    </row>
    <row r="2906">
      <c r="D2906" s="123"/>
    </row>
    <row r="2907">
      <c r="D2907" s="123"/>
    </row>
    <row r="2908">
      <c r="D2908" s="123"/>
    </row>
    <row r="2909">
      <c r="D2909" s="123"/>
    </row>
    <row r="2910">
      <c r="D2910" s="123"/>
    </row>
    <row r="2911">
      <c r="D2911" s="123"/>
    </row>
    <row r="2912">
      <c r="D2912" s="123"/>
    </row>
    <row r="2913">
      <c r="D2913" s="123"/>
    </row>
    <row r="2914">
      <c r="D2914" s="123"/>
    </row>
    <row r="2915">
      <c r="D2915" s="123"/>
    </row>
    <row r="2916">
      <c r="D2916" s="123"/>
    </row>
    <row r="2917">
      <c r="D2917" s="123"/>
    </row>
    <row r="2918">
      <c r="D2918" s="123"/>
    </row>
    <row r="2919">
      <c r="D2919" s="123"/>
    </row>
    <row r="2920">
      <c r="D2920" s="123"/>
    </row>
    <row r="2921">
      <c r="D2921" s="123"/>
    </row>
    <row r="2922">
      <c r="D2922" s="123"/>
    </row>
    <row r="2923">
      <c r="D2923" s="123"/>
    </row>
    <row r="2924">
      <c r="D2924" s="123"/>
    </row>
    <row r="2925">
      <c r="D2925" s="123"/>
    </row>
    <row r="2926">
      <c r="D2926" s="123"/>
    </row>
    <row r="2927">
      <c r="D2927" s="123"/>
    </row>
    <row r="2928">
      <c r="D2928" s="123"/>
    </row>
    <row r="2929">
      <c r="D2929" s="123"/>
    </row>
    <row r="2930">
      <c r="D2930" s="123"/>
    </row>
    <row r="2931">
      <c r="D2931" s="123"/>
    </row>
    <row r="2932">
      <c r="D2932" s="123"/>
    </row>
    <row r="2933">
      <c r="D2933" s="123"/>
    </row>
    <row r="2934">
      <c r="D2934" s="123"/>
    </row>
    <row r="2935">
      <c r="D2935" s="123"/>
    </row>
    <row r="2936">
      <c r="D2936" s="123"/>
    </row>
    <row r="2937">
      <c r="D2937" s="123"/>
    </row>
    <row r="2938">
      <c r="D2938" s="123"/>
    </row>
    <row r="2939">
      <c r="D2939" s="123"/>
    </row>
    <row r="2940">
      <c r="D2940" s="123"/>
    </row>
    <row r="2941">
      <c r="D2941" s="123"/>
    </row>
    <row r="2942">
      <c r="D2942" s="123"/>
    </row>
    <row r="2943">
      <c r="D2943" s="123"/>
    </row>
    <row r="2944">
      <c r="D2944" s="123"/>
    </row>
    <row r="2945">
      <c r="D2945" s="123"/>
    </row>
    <row r="2946">
      <c r="D2946" s="123"/>
    </row>
    <row r="2947">
      <c r="D2947" s="123"/>
    </row>
    <row r="2948">
      <c r="D2948" s="123"/>
    </row>
    <row r="2949">
      <c r="D2949" s="123"/>
    </row>
    <row r="2950">
      <c r="D2950" s="123"/>
    </row>
    <row r="2951">
      <c r="D2951" s="123"/>
    </row>
    <row r="2952">
      <c r="D2952" s="123"/>
    </row>
    <row r="2953">
      <c r="D2953" s="123"/>
    </row>
    <row r="2954">
      <c r="D2954" s="123"/>
    </row>
    <row r="2955">
      <c r="D2955" s="123"/>
    </row>
    <row r="2956">
      <c r="D2956" s="123"/>
    </row>
    <row r="2957">
      <c r="D2957" s="123"/>
    </row>
    <row r="2958">
      <c r="D2958" s="123"/>
    </row>
    <row r="2959">
      <c r="D2959" s="123"/>
    </row>
    <row r="2960">
      <c r="D2960" s="123"/>
    </row>
    <row r="2961">
      <c r="D2961" s="123"/>
    </row>
    <row r="2962">
      <c r="D2962" s="123"/>
    </row>
    <row r="2963">
      <c r="D2963" s="123"/>
    </row>
    <row r="2964">
      <c r="D2964" s="123"/>
    </row>
    <row r="2965">
      <c r="D2965" s="123"/>
    </row>
    <row r="2966">
      <c r="D2966" s="123"/>
    </row>
    <row r="2967">
      <c r="D2967" s="123"/>
    </row>
    <row r="2968">
      <c r="D2968" s="123"/>
    </row>
    <row r="2969">
      <c r="D2969" s="123"/>
    </row>
    <row r="2970">
      <c r="D2970" s="123"/>
    </row>
    <row r="2971">
      <c r="D2971" s="123"/>
    </row>
    <row r="2972">
      <c r="D2972" s="123"/>
    </row>
    <row r="2973">
      <c r="D2973" s="123"/>
    </row>
    <row r="2974">
      <c r="D2974" s="123"/>
    </row>
    <row r="2975">
      <c r="D2975" s="123"/>
    </row>
    <row r="2976">
      <c r="D2976" s="123"/>
    </row>
    <row r="2977">
      <c r="D2977" s="123"/>
    </row>
    <row r="2978">
      <c r="D2978" s="123"/>
    </row>
    <row r="2979">
      <c r="D2979" s="123"/>
    </row>
    <row r="2980">
      <c r="D2980" s="123"/>
    </row>
    <row r="2981">
      <c r="D2981" s="123"/>
    </row>
    <row r="2982">
      <c r="D2982" s="123"/>
    </row>
    <row r="2983">
      <c r="D2983" s="123"/>
    </row>
    <row r="2984">
      <c r="D2984" s="123"/>
    </row>
    <row r="2985">
      <c r="D2985" s="123"/>
    </row>
    <row r="2986">
      <c r="D2986" s="123"/>
    </row>
    <row r="2987">
      <c r="D2987" s="123"/>
    </row>
    <row r="2988">
      <c r="D2988" s="123"/>
    </row>
    <row r="2989">
      <c r="D2989" s="123"/>
    </row>
    <row r="2990">
      <c r="D2990" s="123"/>
    </row>
    <row r="2991">
      <c r="D2991" s="123"/>
    </row>
    <row r="2992">
      <c r="D2992" s="123"/>
    </row>
    <row r="2993">
      <c r="D2993" s="123"/>
    </row>
    <row r="2994">
      <c r="D2994" s="123"/>
    </row>
    <row r="2995">
      <c r="D2995" s="123"/>
    </row>
    <row r="2996">
      <c r="D2996" s="123"/>
    </row>
    <row r="2997">
      <c r="D2997" s="123"/>
    </row>
    <row r="2998">
      <c r="D2998" s="123"/>
    </row>
    <row r="2999">
      <c r="D2999" s="123"/>
    </row>
    <row r="3000">
      <c r="D3000" s="123"/>
    </row>
    <row r="3001">
      <c r="D3001" s="123"/>
    </row>
    <row r="3002">
      <c r="D3002" s="123"/>
    </row>
    <row r="3003">
      <c r="D3003" s="123"/>
    </row>
    <row r="3004">
      <c r="D3004" s="123"/>
    </row>
    <row r="3005">
      <c r="D3005" s="123"/>
    </row>
    <row r="3006">
      <c r="D3006" s="123"/>
    </row>
    <row r="3007">
      <c r="D3007" s="123"/>
    </row>
    <row r="3008">
      <c r="D3008" s="123"/>
    </row>
    <row r="3009">
      <c r="D3009" s="123"/>
    </row>
    <row r="3010">
      <c r="D3010" s="123"/>
    </row>
    <row r="3011">
      <c r="D3011" s="123"/>
    </row>
    <row r="3012">
      <c r="D3012" s="123"/>
    </row>
    <row r="3013">
      <c r="D3013" s="123"/>
    </row>
    <row r="3014">
      <c r="D3014" s="123"/>
    </row>
    <row r="3015">
      <c r="D3015" s="123"/>
    </row>
    <row r="3016">
      <c r="D3016" s="123"/>
    </row>
    <row r="3017">
      <c r="D3017" s="123"/>
    </row>
    <row r="3018">
      <c r="D3018" s="123"/>
    </row>
    <row r="3019">
      <c r="D3019" s="123"/>
    </row>
    <row r="3020">
      <c r="D3020" s="123"/>
    </row>
    <row r="3021">
      <c r="D3021" s="123"/>
    </row>
    <row r="3022">
      <c r="D3022" s="123"/>
    </row>
    <row r="3023">
      <c r="D3023" s="123"/>
    </row>
    <row r="3024">
      <c r="D3024" s="123"/>
    </row>
    <row r="3025">
      <c r="D3025" s="123"/>
    </row>
    <row r="3026">
      <c r="D3026" s="123"/>
    </row>
    <row r="3027">
      <c r="D3027" s="123"/>
    </row>
    <row r="3028">
      <c r="D3028" s="123"/>
    </row>
    <row r="3029">
      <c r="D3029" s="123"/>
    </row>
    <row r="3030">
      <c r="D3030" s="123"/>
    </row>
    <row r="3031">
      <c r="D3031" s="123"/>
    </row>
    <row r="3032">
      <c r="D3032" s="123"/>
    </row>
    <row r="3033">
      <c r="D3033" s="123"/>
    </row>
    <row r="3034">
      <c r="D3034" s="123"/>
    </row>
    <row r="3035">
      <c r="D3035" s="123"/>
    </row>
    <row r="3036">
      <c r="D3036" s="123"/>
    </row>
    <row r="3037">
      <c r="D3037" s="123"/>
    </row>
    <row r="3038">
      <c r="D3038" s="123"/>
    </row>
    <row r="3039">
      <c r="D3039" s="123"/>
    </row>
    <row r="3040">
      <c r="D3040" s="123"/>
    </row>
    <row r="3041">
      <c r="D3041" s="123"/>
    </row>
    <row r="3042">
      <c r="D3042" s="123"/>
    </row>
    <row r="3043">
      <c r="D3043" s="123"/>
    </row>
    <row r="3044">
      <c r="D3044" s="123"/>
    </row>
    <row r="3045">
      <c r="D3045" s="123"/>
    </row>
    <row r="3046">
      <c r="D3046" s="123"/>
    </row>
    <row r="3047">
      <c r="D3047" s="123"/>
    </row>
    <row r="3048">
      <c r="D3048" s="123"/>
    </row>
    <row r="3049">
      <c r="D3049" s="123"/>
    </row>
    <row r="3050">
      <c r="D3050" s="123"/>
    </row>
    <row r="3051">
      <c r="D3051" s="123"/>
    </row>
    <row r="3052">
      <c r="D3052" s="123"/>
    </row>
    <row r="3053">
      <c r="D3053" s="123"/>
    </row>
    <row r="3054">
      <c r="D3054" s="123"/>
    </row>
    <row r="3055">
      <c r="D3055" s="123"/>
    </row>
    <row r="3056">
      <c r="D3056" s="123"/>
    </row>
    <row r="3057">
      <c r="D3057" s="123"/>
    </row>
    <row r="3058">
      <c r="D3058" s="123"/>
    </row>
    <row r="3059">
      <c r="D3059" s="123"/>
    </row>
    <row r="3060">
      <c r="D3060" s="123"/>
    </row>
    <row r="3061">
      <c r="D3061" s="123"/>
    </row>
    <row r="3062">
      <c r="D3062" s="123"/>
    </row>
    <row r="3063">
      <c r="D3063" s="123"/>
    </row>
    <row r="3064">
      <c r="D3064" s="123"/>
    </row>
    <row r="3065">
      <c r="D3065" s="123"/>
    </row>
    <row r="3066">
      <c r="D3066" s="123"/>
    </row>
    <row r="3067">
      <c r="D3067" s="123"/>
    </row>
    <row r="3068">
      <c r="D3068" s="123"/>
    </row>
    <row r="3069">
      <c r="D3069" s="123"/>
    </row>
    <row r="3070">
      <c r="D3070" s="123"/>
    </row>
    <row r="3071">
      <c r="D3071" s="123"/>
    </row>
    <row r="3072">
      <c r="D3072" s="123"/>
    </row>
    <row r="3073">
      <c r="D3073" s="123"/>
    </row>
    <row r="3074">
      <c r="D3074" s="123"/>
    </row>
    <row r="3075">
      <c r="D3075" s="123"/>
    </row>
    <row r="3076">
      <c r="D3076" s="123"/>
    </row>
    <row r="3077">
      <c r="D3077" s="123"/>
    </row>
    <row r="3078">
      <c r="D3078" s="123"/>
    </row>
    <row r="3079">
      <c r="D3079" s="123"/>
    </row>
    <row r="3080">
      <c r="D3080" s="123"/>
    </row>
    <row r="3081">
      <c r="D3081" s="123"/>
    </row>
    <row r="3082">
      <c r="D3082" s="123"/>
    </row>
    <row r="3083">
      <c r="D3083" s="123"/>
    </row>
    <row r="3084">
      <c r="D3084" s="123"/>
    </row>
    <row r="3085">
      <c r="D3085" s="123"/>
    </row>
    <row r="3086">
      <c r="D3086" s="123"/>
    </row>
    <row r="3087">
      <c r="D3087" s="123"/>
    </row>
    <row r="3088">
      <c r="D3088" s="123"/>
    </row>
    <row r="3089">
      <c r="D3089" s="123"/>
    </row>
    <row r="3090">
      <c r="D3090" s="123"/>
    </row>
    <row r="3091">
      <c r="D3091" s="123"/>
    </row>
    <row r="3092">
      <c r="D3092" s="123"/>
    </row>
    <row r="3093">
      <c r="D3093" s="123"/>
    </row>
    <row r="3094">
      <c r="D3094" s="123"/>
    </row>
    <row r="3095">
      <c r="D3095" s="123"/>
    </row>
    <row r="3096">
      <c r="D3096" s="123"/>
    </row>
    <row r="3097">
      <c r="D3097" s="123"/>
    </row>
    <row r="3098">
      <c r="D3098" s="123"/>
    </row>
    <row r="3099">
      <c r="D3099" s="123"/>
    </row>
    <row r="3100">
      <c r="D3100" s="123"/>
    </row>
    <row r="3101">
      <c r="D3101" s="123"/>
    </row>
    <row r="3102">
      <c r="D3102" s="123"/>
    </row>
    <row r="3103">
      <c r="D3103" s="123"/>
    </row>
    <row r="3104">
      <c r="D3104" s="123"/>
    </row>
    <row r="3105">
      <c r="D3105" s="123"/>
    </row>
    <row r="3106">
      <c r="D3106" s="123"/>
    </row>
    <row r="3107">
      <c r="D3107" s="123"/>
    </row>
    <row r="3108">
      <c r="D3108" s="123"/>
    </row>
    <row r="3109">
      <c r="D3109" s="123"/>
    </row>
    <row r="3110">
      <c r="D3110" s="123"/>
    </row>
    <row r="3111">
      <c r="D3111" s="123"/>
    </row>
    <row r="3112">
      <c r="D3112" s="123"/>
    </row>
    <row r="3113">
      <c r="D3113" s="123"/>
    </row>
    <row r="3114">
      <c r="D3114" s="123"/>
    </row>
    <row r="3115">
      <c r="D3115" s="123"/>
    </row>
    <row r="3116">
      <c r="D3116" s="123"/>
    </row>
    <row r="3117">
      <c r="D3117" s="123"/>
    </row>
    <row r="3118">
      <c r="D3118" s="123"/>
    </row>
    <row r="3119">
      <c r="D3119" s="123"/>
    </row>
    <row r="3120">
      <c r="D3120" s="123"/>
    </row>
    <row r="3121">
      <c r="D3121" s="123"/>
    </row>
    <row r="3122">
      <c r="D3122" s="123"/>
    </row>
    <row r="3123">
      <c r="D3123" s="123"/>
    </row>
    <row r="3124">
      <c r="D3124" s="123"/>
    </row>
    <row r="3125">
      <c r="D3125" s="123"/>
    </row>
    <row r="3126">
      <c r="D3126" s="123"/>
    </row>
    <row r="3127">
      <c r="D3127" s="123"/>
    </row>
    <row r="3128">
      <c r="D3128" s="123"/>
    </row>
    <row r="3129">
      <c r="D3129" s="123"/>
    </row>
    <row r="3130">
      <c r="D3130" s="123"/>
    </row>
    <row r="3131">
      <c r="D3131" s="123"/>
    </row>
    <row r="3132">
      <c r="D3132" s="123"/>
    </row>
    <row r="3133">
      <c r="D3133" s="123"/>
    </row>
    <row r="3134">
      <c r="D3134" s="123"/>
    </row>
    <row r="3135">
      <c r="D3135" s="123"/>
    </row>
    <row r="3136">
      <c r="D3136" s="123"/>
    </row>
    <row r="3137">
      <c r="D3137" s="123"/>
    </row>
    <row r="3138">
      <c r="D3138" s="123"/>
    </row>
    <row r="3139">
      <c r="D3139" s="123"/>
    </row>
    <row r="3140">
      <c r="D3140" s="123"/>
    </row>
    <row r="3141">
      <c r="D3141" s="123"/>
    </row>
    <row r="3142">
      <c r="D3142" s="123"/>
    </row>
    <row r="3143">
      <c r="D3143" s="123"/>
    </row>
    <row r="3144">
      <c r="D3144" s="123"/>
    </row>
    <row r="3145">
      <c r="D3145" s="123"/>
    </row>
    <row r="3146">
      <c r="D3146" s="123"/>
    </row>
    <row r="3147">
      <c r="D3147" s="123"/>
    </row>
    <row r="3148">
      <c r="D3148" s="123"/>
    </row>
    <row r="3149">
      <c r="D3149" s="123"/>
    </row>
    <row r="3150">
      <c r="D3150" s="123"/>
    </row>
    <row r="3151">
      <c r="D3151" s="123"/>
    </row>
    <row r="3152">
      <c r="D3152" s="123"/>
    </row>
    <row r="3153">
      <c r="D3153" s="123"/>
    </row>
    <row r="3154">
      <c r="D3154" s="123"/>
    </row>
    <row r="3155">
      <c r="D3155" s="123"/>
    </row>
    <row r="3156">
      <c r="D3156" s="123"/>
    </row>
    <row r="3157">
      <c r="D3157" s="123"/>
    </row>
    <row r="3158">
      <c r="D3158" s="123"/>
    </row>
    <row r="3159">
      <c r="D3159" s="123"/>
    </row>
    <row r="3160">
      <c r="D3160" s="123"/>
    </row>
    <row r="3161">
      <c r="D3161" s="123"/>
    </row>
    <row r="3162">
      <c r="D3162" s="123"/>
    </row>
    <row r="3163">
      <c r="D3163" s="123"/>
    </row>
    <row r="3164">
      <c r="D3164" s="123"/>
    </row>
    <row r="3165">
      <c r="D3165" s="123"/>
    </row>
    <row r="3166">
      <c r="D3166" s="123"/>
    </row>
    <row r="3167">
      <c r="D3167" s="123"/>
    </row>
    <row r="3168">
      <c r="D3168" s="123"/>
    </row>
    <row r="3169">
      <c r="D3169" s="123"/>
    </row>
    <row r="3170">
      <c r="D3170" s="123"/>
    </row>
    <row r="3171">
      <c r="D3171" s="123"/>
    </row>
    <row r="3172">
      <c r="D3172" s="123"/>
    </row>
    <row r="3173">
      <c r="D3173" s="123"/>
    </row>
    <row r="3174">
      <c r="D3174" s="123"/>
    </row>
    <row r="3175">
      <c r="D3175" s="123"/>
    </row>
    <row r="3176">
      <c r="D3176" s="123"/>
    </row>
    <row r="3177">
      <c r="D3177" s="123"/>
    </row>
    <row r="3178">
      <c r="D3178" s="123"/>
    </row>
    <row r="3179">
      <c r="D3179" s="123"/>
    </row>
    <row r="3180">
      <c r="D3180" s="123"/>
    </row>
    <row r="3181">
      <c r="D3181" s="123"/>
    </row>
    <row r="3182">
      <c r="D3182" s="123"/>
    </row>
    <row r="3183">
      <c r="D3183" s="123"/>
    </row>
    <row r="3184">
      <c r="D3184" s="123"/>
    </row>
    <row r="3185">
      <c r="D3185" s="123"/>
    </row>
    <row r="3186">
      <c r="D3186" s="123"/>
    </row>
    <row r="3187">
      <c r="D3187" s="123"/>
    </row>
    <row r="3188">
      <c r="D3188" s="123"/>
    </row>
    <row r="3189">
      <c r="D3189" s="123"/>
    </row>
    <row r="3190">
      <c r="D3190" s="123"/>
    </row>
    <row r="3191">
      <c r="D3191" s="123"/>
    </row>
    <row r="3192">
      <c r="D3192" s="123"/>
    </row>
    <row r="3193">
      <c r="D3193" s="123"/>
    </row>
    <row r="3194">
      <c r="D3194" s="123"/>
    </row>
    <row r="3195">
      <c r="D3195" s="123"/>
    </row>
    <row r="3196">
      <c r="D3196" s="123"/>
    </row>
    <row r="3197">
      <c r="D3197" s="123"/>
    </row>
    <row r="3198">
      <c r="D3198" s="123"/>
    </row>
    <row r="3199">
      <c r="D3199" s="123"/>
    </row>
    <row r="3200">
      <c r="D3200" s="123"/>
    </row>
    <row r="3201">
      <c r="D3201" s="123"/>
    </row>
    <row r="3202">
      <c r="D3202" s="123"/>
    </row>
    <row r="3203">
      <c r="D3203" s="123"/>
    </row>
    <row r="3204">
      <c r="D3204" s="123"/>
    </row>
    <row r="3205">
      <c r="D3205" s="123"/>
    </row>
    <row r="3206">
      <c r="D3206" s="123"/>
    </row>
    <row r="3207">
      <c r="D3207" s="123"/>
    </row>
    <row r="3208">
      <c r="D3208" s="123"/>
    </row>
    <row r="3209">
      <c r="D3209" s="123"/>
    </row>
    <row r="3210">
      <c r="D3210" s="123"/>
    </row>
    <row r="3211">
      <c r="D3211" s="123"/>
    </row>
    <row r="3212">
      <c r="D3212" s="123"/>
    </row>
    <row r="3213">
      <c r="D3213" s="123"/>
    </row>
    <row r="3214">
      <c r="D3214" s="123"/>
    </row>
    <row r="3215">
      <c r="D3215" s="123"/>
    </row>
    <row r="3216">
      <c r="D3216" s="123"/>
    </row>
    <row r="3217">
      <c r="D3217" s="123"/>
    </row>
    <row r="3218">
      <c r="D3218" s="123"/>
    </row>
    <row r="3219">
      <c r="D3219" s="123"/>
    </row>
    <row r="3220">
      <c r="D3220" s="123"/>
    </row>
    <row r="3221">
      <c r="D3221" s="123"/>
    </row>
    <row r="3222">
      <c r="D3222" s="123"/>
    </row>
    <row r="3223">
      <c r="D3223" s="123"/>
    </row>
    <row r="3224">
      <c r="D3224" s="123"/>
    </row>
    <row r="3225">
      <c r="D3225" s="123"/>
    </row>
    <row r="3226">
      <c r="D3226" s="123"/>
    </row>
    <row r="3227">
      <c r="D3227" s="123"/>
    </row>
    <row r="3228">
      <c r="D3228" s="123"/>
    </row>
    <row r="3229">
      <c r="D3229" s="123"/>
    </row>
    <row r="3230">
      <c r="D3230" s="123"/>
    </row>
    <row r="3231">
      <c r="D3231" s="123"/>
    </row>
    <row r="3232">
      <c r="D3232" s="123"/>
    </row>
    <row r="3233">
      <c r="D3233" s="123"/>
    </row>
    <row r="3234">
      <c r="D3234" s="123"/>
    </row>
    <row r="3235">
      <c r="D3235" s="123"/>
    </row>
    <row r="3236">
      <c r="D3236" s="123"/>
    </row>
    <row r="3237">
      <c r="D3237" s="123"/>
    </row>
    <row r="3238">
      <c r="D3238" s="123"/>
    </row>
    <row r="3239">
      <c r="D3239" s="123"/>
    </row>
    <row r="3240">
      <c r="D3240" s="123"/>
    </row>
    <row r="3241">
      <c r="D3241" s="123"/>
    </row>
    <row r="3242">
      <c r="D3242" s="123"/>
    </row>
    <row r="3243">
      <c r="D3243" s="123"/>
    </row>
    <row r="3244">
      <c r="D3244" s="123"/>
    </row>
    <row r="3245">
      <c r="D3245" s="123"/>
    </row>
    <row r="3246">
      <c r="D3246" s="123"/>
    </row>
    <row r="3247">
      <c r="D3247" s="123"/>
    </row>
    <row r="3248">
      <c r="D3248" s="123"/>
    </row>
    <row r="3249">
      <c r="D3249" s="123"/>
    </row>
    <row r="3250">
      <c r="D3250" s="123"/>
    </row>
    <row r="3251">
      <c r="D3251" s="123"/>
    </row>
    <row r="3252">
      <c r="D3252" s="123"/>
    </row>
    <row r="3253">
      <c r="D3253" s="123"/>
    </row>
    <row r="3254">
      <c r="D3254" s="123"/>
    </row>
    <row r="3255">
      <c r="D3255" s="123"/>
    </row>
    <row r="3256">
      <c r="D3256" s="123"/>
    </row>
    <row r="3257">
      <c r="D3257" s="123"/>
    </row>
    <row r="3258">
      <c r="D3258" s="123"/>
    </row>
    <row r="3259">
      <c r="D3259" s="123"/>
    </row>
    <row r="3260">
      <c r="D3260" s="123"/>
    </row>
    <row r="3261">
      <c r="D3261" s="123"/>
    </row>
    <row r="3262">
      <c r="D3262" s="123"/>
    </row>
    <row r="3263">
      <c r="D3263" s="123"/>
    </row>
    <row r="3264">
      <c r="D3264" s="123"/>
    </row>
    <row r="3265">
      <c r="D3265" s="123"/>
    </row>
    <row r="3266">
      <c r="D3266" s="123"/>
    </row>
    <row r="3267">
      <c r="D3267" s="123"/>
    </row>
    <row r="3268">
      <c r="D3268" s="123"/>
    </row>
    <row r="3269">
      <c r="D3269" s="123"/>
    </row>
    <row r="3270">
      <c r="D3270" s="123"/>
    </row>
    <row r="3271">
      <c r="D3271" s="123"/>
    </row>
    <row r="3272">
      <c r="D3272" s="123"/>
    </row>
    <row r="3273">
      <c r="D3273" s="123"/>
    </row>
    <row r="3274">
      <c r="D3274" s="123"/>
    </row>
    <row r="3275">
      <c r="D3275" s="123"/>
    </row>
    <row r="3276">
      <c r="D3276" s="123"/>
    </row>
    <row r="3277">
      <c r="D3277" s="123"/>
    </row>
    <row r="3278">
      <c r="D3278" s="123"/>
    </row>
    <row r="3279">
      <c r="D3279" s="123"/>
    </row>
    <row r="3280">
      <c r="D3280" s="123"/>
    </row>
    <row r="3281">
      <c r="D3281" s="123"/>
    </row>
    <row r="3282">
      <c r="D3282" s="123"/>
    </row>
    <row r="3283">
      <c r="D3283" s="123"/>
    </row>
    <row r="3284">
      <c r="D3284" s="123"/>
    </row>
    <row r="3285">
      <c r="D3285" s="123"/>
    </row>
    <row r="3286">
      <c r="D3286" s="123"/>
    </row>
    <row r="3287">
      <c r="D3287" s="123"/>
    </row>
    <row r="3288">
      <c r="D3288" s="123"/>
    </row>
    <row r="3289">
      <c r="D3289" s="123"/>
    </row>
    <row r="3290">
      <c r="D3290" s="123"/>
    </row>
    <row r="3291">
      <c r="D3291" s="123"/>
    </row>
    <row r="3292">
      <c r="D3292" s="123"/>
    </row>
    <row r="3293">
      <c r="D3293" s="123"/>
    </row>
    <row r="3294">
      <c r="D3294" s="123"/>
    </row>
    <row r="3295">
      <c r="D3295" s="123"/>
    </row>
    <row r="3296">
      <c r="D3296" s="123"/>
    </row>
    <row r="3297">
      <c r="D3297" s="123"/>
    </row>
    <row r="3298">
      <c r="D3298" s="123"/>
    </row>
    <row r="3299">
      <c r="D3299" s="123"/>
    </row>
    <row r="3300">
      <c r="D3300" s="123"/>
    </row>
    <row r="3301">
      <c r="D3301" s="123"/>
    </row>
    <row r="3302">
      <c r="D3302" s="123"/>
    </row>
    <row r="3303">
      <c r="D3303" s="123"/>
    </row>
    <row r="3304">
      <c r="D3304" s="123"/>
    </row>
    <row r="3305">
      <c r="D3305" s="123"/>
    </row>
    <row r="3306">
      <c r="D3306" s="123"/>
    </row>
    <row r="3307">
      <c r="D3307" s="123"/>
    </row>
    <row r="3308">
      <c r="D3308" s="123"/>
    </row>
    <row r="3309">
      <c r="D3309" s="123"/>
    </row>
    <row r="3310">
      <c r="D3310" s="123"/>
    </row>
    <row r="3311">
      <c r="D3311" s="123"/>
    </row>
    <row r="3312">
      <c r="D3312" s="123"/>
    </row>
    <row r="3313">
      <c r="D3313" s="123"/>
    </row>
    <row r="3314">
      <c r="D3314" s="123"/>
    </row>
    <row r="3315">
      <c r="D3315" s="123"/>
    </row>
    <row r="3316">
      <c r="D3316" s="123"/>
    </row>
    <row r="3317">
      <c r="D3317" s="123"/>
    </row>
    <row r="3318">
      <c r="D3318" s="123"/>
    </row>
    <row r="3319">
      <c r="D3319" s="123"/>
    </row>
    <row r="3320">
      <c r="D3320" s="123"/>
    </row>
    <row r="3321">
      <c r="D3321" s="123"/>
    </row>
    <row r="3322">
      <c r="D3322" s="123"/>
    </row>
    <row r="3323">
      <c r="D3323" s="123"/>
    </row>
    <row r="3324">
      <c r="D3324" s="123"/>
    </row>
    <row r="3325">
      <c r="D3325" s="123"/>
    </row>
    <row r="3326">
      <c r="D3326" s="123"/>
    </row>
    <row r="3327">
      <c r="D3327" s="123"/>
    </row>
    <row r="3328">
      <c r="D3328" s="123"/>
    </row>
    <row r="3329">
      <c r="D3329" s="123"/>
    </row>
    <row r="3330">
      <c r="D3330" s="123"/>
    </row>
    <row r="3331">
      <c r="D3331" s="123"/>
    </row>
    <row r="3332">
      <c r="D3332" s="123"/>
    </row>
    <row r="3333">
      <c r="D3333" s="123"/>
    </row>
    <row r="3334">
      <c r="D3334" s="123"/>
    </row>
    <row r="3335">
      <c r="D3335" s="123"/>
    </row>
    <row r="3336">
      <c r="D3336" s="123"/>
    </row>
    <row r="3337">
      <c r="D3337" s="123"/>
    </row>
    <row r="3338">
      <c r="D3338" s="123"/>
    </row>
    <row r="3339">
      <c r="D3339" s="123"/>
    </row>
    <row r="3340">
      <c r="D3340" s="123"/>
    </row>
    <row r="3341">
      <c r="D3341" s="123"/>
    </row>
    <row r="3342">
      <c r="D3342" s="123"/>
    </row>
    <row r="3343">
      <c r="D3343" s="123"/>
    </row>
    <row r="3344">
      <c r="D3344" s="123"/>
    </row>
    <row r="3345">
      <c r="D3345" s="123"/>
    </row>
    <row r="3346">
      <c r="D3346" s="123"/>
    </row>
    <row r="3347">
      <c r="D3347" s="123"/>
    </row>
    <row r="3348">
      <c r="D3348" s="123"/>
    </row>
    <row r="3349">
      <c r="D3349" s="123"/>
    </row>
    <row r="3350">
      <c r="D3350" s="123"/>
    </row>
    <row r="3351">
      <c r="D3351" s="123"/>
    </row>
    <row r="3352">
      <c r="D3352" s="123"/>
    </row>
    <row r="3353">
      <c r="D3353" s="123"/>
    </row>
    <row r="3354">
      <c r="D3354" s="123"/>
    </row>
    <row r="3355">
      <c r="D3355" s="123"/>
    </row>
    <row r="3356">
      <c r="D3356" s="123"/>
    </row>
    <row r="3357">
      <c r="D3357" s="123"/>
    </row>
    <row r="3358">
      <c r="D3358" s="123"/>
    </row>
    <row r="3359">
      <c r="D3359" s="123"/>
    </row>
    <row r="3360">
      <c r="D3360" s="123"/>
    </row>
    <row r="3361">
      <c r="D3361" s="123"/>
    </row>
    <row r="3362">
      <c r="D3362" s="123"/>
    </row>
    <row r="3363">
      <c r="D3363" s="123"/>
    </row>
    <row r="3364">
      <c r="D3364" s="123"/>
    </row>
    <row r="3365">
      <c r="D3365" s="123"/>
    </row>
    <row r="3366">
      <c r="D3366" s="123"/>
    </row>
    <row r="3367">
      <c r="D3367" s="123"/>
    </row>
    <row r="3368">
      <c r="D3368" s="123"/>
    </row>
    <row r="3369">
      <c r="D3369" s="123"/>
    </row>
    <row r="3370">
      <c r="D3370" s="123"/>
    </row>
    <row r="3371">
      <c r="D3371" s="123"/>
    </row>
    <row r="3372">
      <c r="D3372" s="123"/>
    </row>
    <row r="3373">
      <c r="D3373" s="123"/>
    </row>
    <row r="3374">
      <c r="D3374" s="123"/>
    </row>
    <row r="3375">
      <c r="D3375" s="123"/>
    </row>
    <row r="3376">
      <c r="D3376" s="123"/>
    </row>
    <row r="3377">
      <c r="D3377" s="123"/>
    </row>
    <row r="3378">
      <c r="D3378" s="123"/>
    </row>
    <row r="3379">
      <c r="D3379" s="123"/>
    </row>
    <row r="3380">
      <c r="D3380" s="123"/>
    </row>
    <row r="3381">
      <c r="D3381" s="123"/>
    </row>
    <row r="3382">
      <c r="D3382" s="123"/>
    </row>
    <row r="3383">
      <c r="D3383" s="123"/>
    </row>
    <row r="3384">
      <c r="D3384" s="123"/>
    </row>
    <row r="3385">
      <c r="D3385" s="123"/>
    </row>
    <row r="3386">
      <c r="D3386" s="123"/>
    </row>
    <row r="3387">
      <c r="D3387" s="123"/>
    </row>
    <row r="3388">
      <c r="D3388" s="123"/>
    </row>
    <row r="3389">
      <c r="D3389" s="123"/>
    </row>
    <row r="3390">
      <c r="D3390" s="123"/>
    </row>
    <row r="3391">
      <c r="D3391" s="123"/>
    </row>
    <row r="3392">
      <c r="D3392" s="123"/>
    </row>
    <row r="3393">
      <c r="D3393" s="123"/>
    </row>
    <row r="3394">
      <c r="D3394" s="123"/>
    </row>
    <row r="3395">
      <c r="D3395" s="123"/>
    </row>
    <row r="3396">
      <c r="D3396" s="123"/>
    </row>
    <row r="3397">
      <c r="D3397" s="123"/>
    </row>
    <row r="3398">
      <c r="D3398" s="123"/>
    </row>
    <row r="3399">
      <c r="D3399" s="123"/>
    </row>
    <row r="3400">
      <c r="D3400" s="123"/>
    </row>
    <row r="3401">
      <c r="D3401" s="123"/>
    </row>
    <row r="3402">
      <c r="D3402" s="123"/>
    </row>
    <row r="3403">
      <c r="D3403" s="123"/>
    </row>
    <row r="3404">
      <c r="D3404" s="123"/>
    </row>
    <row r="3405">
      <c r="D3405" s="123"/>
    </row>
    <row r="3406">
      <c r="D3406" s="123"/>
    </row>
    <row r="3407">
      <c r="D3407" s="123"/>
    </row>
    <row r="3408">
      <c r="D3408" s="123"/>
    </row>
    <row r="3409">
      <c r="D3409" s="123"/>
    </row>
    <row r="3410">
      <c r="D3410" s="123"/>
    </row>
    <row r="3411">
      <c r="D3411" s="123"/>
    </row>
    <row r="3412">
      <c r="D3412" s="123"/>
    </row>
    <row r="3413">
      <c r="D3413" s="123"/>
    </row>
    <row r="3414">
      <c r="D3414" s="123"/>
    </row>
    <row r="3415">
      <c r="D3415" s="123"/>
    </row>
    <row r="3416">
      <c r="D3416" s="123"/>
    </row>
    <row r="3417">
      <c r="D3417" s="123"/>
    </row>
    <row r="3418">
      <c r="D3418" s="123"/>
    </row>
    <row r="3419">
      <c r="D3419" s="123"/>
    </row>
    <row r="3420">
      <c r="D3420" s="123"/>
    </row>
    <row r="3421">
      <c r="D3421" s="123"/>
    </row>
    <row r="3422">
      <c r="D3422" s="123"/>
    </row>
    <row r="3423">
      <c r="D3423" s="123"/>
    </row>
    <row r="3424">
      <c r="D3424" s="123"/>
    </row>
    <row r="3425">
      <c r="D3425" s="123"/>
    </row>
    <row r="3426">
      <c r="D3426" s="123"/>
    </row>
    <row r="3427">
      <c r="D3427" s="123"/>
    </row>
    <row r="3428">
      <c r="D3428" s="123"/>
    </row>
    <row r="3429">
      <c r="D3429" s="123"/>
    </row>
    <row r="3430">
      <c r="D3430" s="123"/>
    </row>
    <row r="3431">
      <c r="D3431" s="123"/>
    </row>
    <row r="3432">
      <c r="D3432" s="123"/>
    </row>
    <row r="3433">
      <c r="D3433" s="123"/>
    </row>
    <row r="3434">
      <c r="D3434" s="123"/>
    </row>
    <row r="3435">
      <c r="D3435" s="123"/>
    </row>
    <row r="3436">
      <c r="D3436" s="123"/>
    </row>
    <row r="3437">
      <c r="D3437" s="123"/>
    </row>
    <row r="3438">
      <c r="D3438" s="123"/>
    </row>
    <row r="3439">
      <c r="D3439" s="123"/>
    </row>
    <row r="3440">
      <c r="D3440" s="123"/>
    </row>
    <row r="3441">
      <c r="D3441" s="123"/>
    </row>
    <row r="3442">
      <c r="D3442" s="123"/>
    </row>
    <row r="3443">
      <c r="D3443" s="123"/>
    </row>
    <row r="3444">
      <c r="D3444" s="123"/>
    </row>
    <row r="3445">
      <c r="D3445" s="123"/>
    </row>
    <row r="3446">
      <c r="D3446" s="123"/>
    </row>
    <row r="3447">
      <c r="D3447" s="123"/>
    </row>
    <row r="3448">
      <c r="D3448" s="123"/>
    </row>
    <row r="3449">
      <c r="D3449" s="123"/>
    </row>
    <row r="3450">
      <c r="D3450" s="123"/>
    </row>
    <row r="3451">
      <c r="D3451" s="123"/>
    </row>
    <row r="3452">
      <c r="D3452" s="123"/>
    </row>
    <row r="3453">
      <c r="D3453" s="123"/>
    </row>
    <row r="3454">
      <c r="D3454" s="123"/>
    </row>
    <row r="3455">
      <c r="D3455" s="123"/>
    </row>
    <row r="3456">
      <c r="D3456" s="123"/>
    </row>
    <row r="3457">
      <c r="D3457" s="123"/>
    </row>
    <row r="3458">
      <c r="D3458" s="123"/>
    </row>
    <row r="3459">
      <c r="D3459" s="123"/>
    </row>
    <row r="3460">
      <c r="D3460" s="123"/>
    </row>
    <row r="3461">
      <c r="D3461" s="123"/>
    </row>
    <row r="3462">
      <c r="D3462" s="123"/>
    </row>
    <row r="3463">
      <c r="D3463" s="123"/>
    </row>
    <row r="3464">
      <c r="D3464" s="123"/>
    </row>
    <row r="3465">
      <c r="D3465" s="123"/>
    </row>
    <row r="3466">
      <c r="D3466" s="123"/>
    </row>
    <row r="3467">
      <c r="D3467" s="123"/>
    </row>
    <row r="3468">
      <c r="D3468" s="123"/>
    </row>
    <row r="3469">
      <c r="D3469" s="123"/>
    </row>
    <row r="3470">
      <c r="D3470" s="123"/>
    </row>
    <row r="3471">
      <c r="D3471" s="123"/>
    </row>
    <row r="3472">
      <c r="D3472" s="123"/>
    </row>
    <row r="3473">
      <c r="D3473" s="123"/>
    </row>
    <row r="3474">
      <c r="D3474" s="123"/>
    </row>
    <row r="3475">
      <c r="D3475" s="123"/>
    </row>
    <row r="3476">
      <c r="D3476" s="123"/>
    </row>
    <row r="3477">
      <c r="D3477" s="123"/>
    </row>
    <row r="3478">
      <c r="D3478" s="123"/>
    </row>
    <row r="3479">
      <c r="D3479" s="123"/>
    </row>
    <row r="3480">
      <c r="D3480" s="123"/>
    </row>
    <row r="3481">
      <c r="D3481" s="123"/>
    </row>
    <row r="3482">
      <c r="D3482" s="123"/>
    </row>
    <row r="3483">
      <c r="D3483" s="123"/>
    </row>
    <row r="3484">
      <c r="D3484" s="123"/>
    </row>
    <row r="3485">
      <c r="D3485" s="123"/>
    </row>
    <row r="3486">
      <c r="D3486" s="123"/>
    </row>
    <row r="3487">
      <c r="D3487" s="123"/>
    </row>
    <row r="3488">
      <c r="D3488" s="123"/>
    </row>
    <row r="3489">
      <c r="D3489" s="123"/>
    </row>
    <row r="3490">
      <c r="D3490" s="123"/>
    </row>
    <row r="3491">
      <c r="D3491" s="123"/>
    </row>
    <row r="3492">
      <c r="D3492" s="123"/>
    </row>
    <row r="3493">
      <c r="D3493" s="123"/>
    </row>
    <row r="3494">
      <c r="D3494" s="123"/>
    </row>
    <row r="3495">
      <c r="D3495" s="123"/>
    </row>
    <row r="3496">
      <c r="D3496" s="123"/>
    </row>
    <row r="3497">
      <c r="D3497" s="123"/>
    </row>
    <row r="3498">
      <c r="D3498" s="123"/>
    </row>
    <row r="3499">
      <c r="D3499" s="123"/>
    </row>
    <row r="3500">
      <c r="D3500" s="123"/>
    </row>
    <row r="3501">
      <c r="D3501" s="123"/>
    </row>
    <row r="3502">
      <c r="D3502" s="123"/>
    </row>
    <row r="3503">
      <c r="D3503" s="123"/>
    </row>
    <row r="3504">
      <c r="D3504" s="123"/>
    </row>
    <row r="3505">
      <c r="D3505" s="123"/>
    </row>
    <row r="3506">
      <c r="D3506" s="123"/>
    </row>
    <row r="3507">
      <c r="D3507" s="123"/>
    </row>
    <row r="3508">
      <c r="D3508" s="123"/>
    </row>
    <row r="3509">
      <c r="D3509" s="123"/>
    </row>
    <row r="3510">
      <c r="D3510" s="123"/>
    </row>
    <row r="3511">
      <c r="D3511" s="123"/>
    </row>
    <row r="3512">
      <c r="D3512" s="123"/>
    </row>
    <row r="3513">
      <c r="D3513" s="123"/>
    </row>
    <row r="3514">
      <c r="D3514" s="123"/>
    </row>
    <row r="3515">
      <c r="D3515" s="123"/>
    </row>
    <row r="3516">
      <c r="D3516" s="123"/>
    </row>
    <row r="3517">
      <c r="D3517" s="123"/>
    </row>
    <row r="3518">
      <c r="D3518" s="123"/>
    </row>
    <row r="3519">
      <c r="D3519" s="123"/>
    </row>
    <row r="3520">
      <c r="D3520" s="123"/>
    </row>
    <row r="3521">
      <c r="D3521" s="123"/>
    </row>
    <row r="3522">
      <c r="D3522" s="123"/>
    </row>
    <row r="3523">
      <c r="D3523" s="123"/>
    </row>
    <row r="3524">
      <c r="D3524" s="123"/>
    </row>
    <row r="3525">
      <c r="D3525" s="123"/>
    </row>
    <row r="3526">
      <c r="D3526" s="123"/>
    </row>
    <row r="3527">
      <c r="D3527" s="123"/>
    </row>
    <row r="3528">
      <c r="D3528" s="123"/>
    </row>
    <row r="3529">
      <c r="D3529" s="123"/>
    </row>
    <row r="3530">
      <c r="D3530" s="123"/>
    </row>
    <row r="3531">
      <c r="D3531" s="123"/>
    </row>
    <row r="3532">
      <c r="D3532" s="123"/>
    </row>
    <row r="3533">
      <c r="D3533" s="123"/>
    </row>
    <row r="3534">
      <c r="D3534" s="123"/>
    </row>
    <row r="3535">
      <c r="D3535" s="123"/>
    </row>
    <row r="3536">
      <c r="D3536" s="123"/>
    </row>
    <row r="3537">
      <c r="D3537" s="123"/>
    </row>
    <row r="3538">
      <c r="D3538" s="123"/>
    </row>
    <row r="3539">
      <c r="D3539" s="123"/>
    </row>
    <row r="3540">
      <c r="D3540" s="123"/>
    </row>
    <row r="3541">
      <c r="D3541" s="123"/>
    </row>
    <row r="3542">
      <c r="D3542" s="123"/>
    </row>
    <row r="3543">
      <c r="D3543" s="123"/>
    </row>
    <row r="3544">
      <c r="D3544" s="123"/>
    </row>
    <row r="3545">
      <c r="D3545" s="123"/>
    </row>
    <row r="3546">
      <c r="D3546" s="123"/>
    </row>
    <row r="3547">
      <c r="D3547" s="123"/>
    </row>
    <row r="3548">
      <c r="D3548" s="123"/>
    </row>
    <row r="3549">
      <c r="D3549" s="123"/>
    </row>
    <row r="3550">
      <c r="D3550" s="123"/>
    </row>
    <row r="3551">
      <c r="D3551" s="123"/>
    </row>
    <row r="3552">
      <c r="D3552" s="123"/>
    </row>
    <row r="3553">
      <c r="D3553" s="123"/>
    </row>
    <row r="3554">
      <c r="D3554" s="123"/>
    </row>
    <row r="3555">
      <c r="D3555" s="123"/>
    </row>
    <row r="3556">
      <c r="D3556" s="123"/>
    </row>
    <row r="3557">
      <c r="D3557" s="123"/>
    </row>
    <row r="3558">
      <c r="D3558" s="123"/>
    </row>
    <row r="3559">
      <c r="D3559" s="123"/>
    </row>
    <row r="3560">
      <c r="D3560" s="123"/>
    </row>
    <row r="3561">
      <c r="D3561" s="123"/>
    </row>
    <row r="3562">
      <c r="D3562" s="123"/>
    </row>
    <row r="3563">
      <c r="D3563" s="123"/>
    </row>
    <row r="3564">
      <c r="D3564" s="123"/>
    </row>
    <row r="3565">
      <c r="D3565" s="123"/>
    </row>
    <row r="3566">
      <c r="D3566" s="123"/>
    </row>
    <row r="3567">
      <c r="D3567" s="123"/>
    </row>
    <row r="3568">
      <c r="D3568" s="123"/>
    </row>
    <row r="3569">
      <c r="D3569" s="123"/>
    </row>
    <row r="3570">
      <c r="D3570" s="123"/>
    </row>
    <row r="3571">
      <c r="D3571" s="123"/>
    </row>
    <row r="3572">
      <c r="D3572" s="123"/>
    </row>
    <row r="3573">
      <c r="D3573" s="123"/>
    </row>
    <row r="3574">
      <c r="D3574" s="123"/>
    </row>
    <row r="3575">
      <c r="D3575" s="123"/>
    </row>
    <row r="3576">
      <c r="D3576" s="123"/>
    </row>
    <row r="3577">
      <c r="D3577" s="123"/>
    </row>
    <row r="3578">
      <c r="D3578" s="123"/>
    </row>
    <row r="3579">
      <c r="D3579" s="123"/>
    </row>
    <row r="3580">
      <c r="D3580" s="123"/>
    </row>
    <row r="3581">
      <c r="D3581" s="123"/>
    </row>
    <row r="3582">
      <c r="D3582" s="123"/>
    </row>
    <row r="3583">
      <c r="D3583" s="123"/>
    </row>
    <row r="3584">
      <c r="D3584" s="123"/>
    </row>
    <row r="3585">
      <c r="D3585" s="123"/>
    </row>
    <row r="3586">
      <c r="D3586" s="123"/>
    </row>
    <row r="3587">
      <c r="D3587" s="123"/>
    </row>
    <row r="3588">
      <c r="D3588" s="123"/>
    </row>
    <row r="3589">
      <c r="D3589" s="123"/>
    </row>
    <row r="3590">
      <c r="D3590" s="123"/>
    </row>
    <row r="3591">
      <c r="D3591" s="123"/>
    </row>
    <row r="3592">
      <c r="D3592" s="123"/>
    </row>
    <row r="3593">
      <c r="D3593" s="123"/>
    </row>
    <row r="3594">
      <c r="D3594" s="123"/>
    </row>
    <row r="3595">
      <c r="D3595" s="123"/>
    </row>
    <row r="3596">
      <c r="D3596" s="123"/>
    </row>
    <row r="3597">
      <c r="D3597" s="123"/>
    </row>
    <row r="3598">
      <c r="D3598" s="123"/>
    </row>
    <row r="3599">
      <c r="D3599" s="123"/>
    </row>
    <row r="3600">
      <c r="D3600" s="123"/>
    </row>
    <row r="3601">
      <c r="D3601" s="123"/>
    </row>
    <row r="3602">
      <c r="D3602" s="123"/>
    </row>
    <row r="3603">
      <c r="D3603" s="123"/>
    </row>
    <row r="3604">
      <c r="D3604" s="123"/>
    </row>
    <row r="3605">
      <c r="D3605" s="123"/>
    </row>
    <row r="3606">
      <c r="D3606" s="123"/>
    </row>
    <row r="3607">
      <c r="D3607" s="123"/>
    </row>
    <row r="3608">
      <c r="D3608" s="123"/>
    </row>
    <row r="3609">
      <c r="D3609" s="123"/>
    </row>
    <row r="3610">
      <c r="D3610" s="123"/>
    </row>
    <row r="3611">
      <c r="D3611" s="123"/>
    </row>
    <row r="3612">
      <c r="D3612" s="123"/>
    </row>
    <row r="3613">
      <c r="D3613" s="123"/>
    </row>
    <row r="3614">
      <c r="D3614" s="123"/>
    </row>
    <row r="3615">
      <c r="D3615" s="123"/>
    </row>
    <row r="3616">
      <c r="D3616" s="123"/>
    </row>
    <row r="3617">
      <c r="D3617" s="123"/>
    </row>
    <row r="3618">
      <c r="D3618" s="123"/>
    </row>
    <row r="3619">
      <c r="D3619" s="123"/>
    </row>
    <row r="3620">
      <c r="D3620" s="123"/>
    </row>
    <row r="3621">
      <c r="D3621" s="123"/>
    </row>
    <row r="3622">
      <c r="D3622" s="123"/>
    </row>
    <row r="3623">
      <c r="D3623" s="123"/>
    </row>
    <row r="3624">
      <c r="D3624" s="123"/>
    </row>
    <row r="3625">
      <c r="D3625" s="123"/>
    </row>
    <row r="3626">
      <c r="D3626" s="123"/>
    </row>
    <row r="3627">
      <c r="D3627" s="123"/>
    </row>
    <row r="3628">
      <c r="D3628" s="123"/>
    </row>
    <row r="3629">
      <c r="D3629" s="123"/>
    </row>
    <row r="3630">
      <c r="D3630" s="123"/>
    </row>
    <row r="3631">
      <c r="D3631" s="123"/>
    </row>
    <row r="3632">
      <c r="D3632" s="123"/>
    </row>
    <row r="3633">
      <c r="D3633" s="123"/>
    </row>
    <row r="3634">
      <c r="D3634" s="123"/>
    </row>
    <row r="3635">
      <c r="D3635" s="123"/>
    </row>
    <row r="3636">
      <c r="D3636" s="123"/>
    </row>
    <row r="3637">
      <c r="D3637" s="123"/>
    </row>
    <row r="3638">
      <c r="D3638" s="123"/>
    </row>
    <row r="3639">
      <c r="D3639" s="123"/>
    </row>
    <row r="3640">
      <c r="D3640" s="123"/>
    </row>
    <row r="3641">
      <c r="D3641" s="123"/>
    </row>
    <row r="3642">
      <c r="D3642" s="123"/>
    </row>
    <row r="3643">
      <c r="D3643" s="123"/>
    </row>
    <row r="3644">
      <c r="D3644" s="123"/>
    </row>
    <row r="3645">
      <c r="D3645" s="123"/>
    </row>
    <row r="3646">
      <c r="D3646" s="123"/>
    </row>
    <row r="3647">
      <c r="D3647" s="123"/>
    </row>
    <row r="3648">
      <c r="D3648" s="123"/>
    </row>
    <row r="3649">
      <c r="D3649" s="123"/>
    </row>
    <row r="3650">
      <c r="D3650" s="123"/>
    </row>
    <row r="3651">
      <c r="D3651" s="123"/>
    </row>
    <row r="3652">
      <c r="D3652" s="123"/>
    </row>
    <row r="3653">
      <c r="D3653" s="123"/>
    </row>
    <row r="3654">
      <c r="D3654" s="123"/>
    </row>
    <row r="3655">
      <c r="D3655" s="123"/>
    </row>
    <row r="3656">
      <c r="D3656" s="123"/>
    </row>
    <row r="3657">
      <c r="D3657" s="123"/>
    </row>
    <row r="3658">
      <c r="D3658" s="123"/>
    </row>
    <row r="3659">
      <c r="D3659" s="123"/>
    </row>
    <row r="3660">
      <c r="D3660" s="123"/>
    </row>
    <row r="3661">
      <c r="D3661" s="123"/>
    </row>
    <row r="3662">
      <c r="D3662" s="123"/>
    </row>
    <row r="3663">
      <c r="D3663" s="123"/>
    </row>
    <row r="3664">
      <c r="D3664" s="123"/>
    </row>
    <row r="3665">
      <c r="D3665" s="123"/>
    </row>
    <row r="3666">
      <c r="D3666" s="123"/>
    </row>
    <row r="3667">
      <c r="D3667" s="123"/>
    </row>
    <row r="3668">
      <c r="D3668" s="123"/>
    </row>
    <row r="3669">
      <c r="D3669" s="123"/>
    </row>
    <row r="3670">
      <c r="D3670" s="123"/>
    </row>
    <row r="3671">
      <c r="D3671" s="123"/>
    </row>
    <row r="3672">
      <c r="D3672" s="123"/>
    </row>
    <row r="3673">
      <c r="D3673" s="123"/>
    </row>
    <row r="3674">
      <c r="D3674" s="123"/>
    </row>
    <row r="3675">
      <c r="D3675" s="123"/>
    </row>
    <row r="3676">
      <c r="D3676" s="123"/>
    </row>
    <row r="3677">
      <c r="D3677" s="123"/>
    </row>
    <row r="3678">
      <c r="D3678" s="123"/>
    </row>
    <row r="3679">
      <c r="D3679" s="123"/>
    </row>
    <row r="3680">
      <c r="D3680" s="123"/>
    </row>
    <row r="3681">
      <c r="D3681" s="123"/>
    </row>
    <row r="3682">
      <c r="D3682" s="123"/>
    </row>
    <row r="3683">
      <c r="D3683" s="123"/>
    </row>
    <row r="3684">
      <c r="D3684" s="123"/>
    </row>
    <row r="3685">
      <c r="D3685" s="123"/>
    </row>
    <row r="3686">
      <c r="D3686" s="123"/>
    </row>
    <row r="3687">
      <c r="D3687" s="123"/>
    </row>
    <row r="3688">
      <c r="D3688" s="123"/>
    </row>
    <row r="3689">
      <c r="D3689" s="123"/>
    </row>
    <row r="3690">
      <c r="D3690" s="123"/>
    </row>
    <row r="3691">
      <c r="D3691" s="123"/>
    </row>
    <row r="3692">
      <c r="D3692" s="123"/>
    </row>
    <row r="3693">
      <c r="D3693" s="123"/>
    </row>
    <row r="3694">
      <c r="D3694" s="123"/>
    </row>
    <row r="3695">
      <c r="D3695" s="123"/>
    </row>
    <row r="3696">
      <c r="D3696" s="123"/>
    </row>
    <row r="3697">
      <c r="D3697" s="123"/>
    </row>
    <row r="3698">
      <c r="D3698" s="123"/>
    </row>
    <row r="3699">
      <c r="D3699" s="123"/>
    </row>
    <row r="3700">
      <c r="D3700" s="123"/>
    </row>
    <row r="3701">
      <c r="D3701" s="123"/>
    </row>
    <row r="3702">
      <c r="D3702" s="123"/>
    </row>
    <row r="3703">
      <c r="D3703" s="123"/>
    </row>
    <row r="3704">
      <c r="D3704" s="123"/>
    </row>
    <row r="3705">
      <c r="D3705" s="123"/>
    </row>
    <row r="3706">
      <c r="D3706" s="123"/>
    </row>
    <row r="3707">
      <c r="D3707" s="123"/>
    </row>
    <row r="3708">
      <c r="D3708" s="123"/>
    </row>
    <row r="3709">
      <c r="D3709" s="123"/>
    </row>
    <row r="3710">
      <c r="D3710" s="123"/>
    </row>
    <row r="3711">
      <c r="D3711" s="123"/>
    </row>
    <row r="3712">
      <c r="D3712" s="123"/>
    </row>
    <row r="3713">
      <c r="D3713" s="123"/>
    </row>
    <row r="3714">
      <c r="D3714" s="123"/>
    </row>
    <row r="3715">
      <c r="D3715" s="123"/>
    </row>
    <row r="3716">
      <c r="D3716" s="123"/>
    </row>
    <row r="3717">
      <c r="D3717" s="123"/>
    </row>
    <row r="3718">
      <c r="D3718" s="123"/>
    </row>
    <row r="3719">
      <c r="D3719" s="123"/>
    </row>
    <row r="3720">
      <c r="D3720" s="123"/>
    </row>
    <row r="3721">
      <c r="D3721" s="123"/>
    </row>
    <row r="3722">
      <c r="D3722" s="123"/>
    </row>
    <row r="3723">
      <c r="D3723" s="123"/>
    </row>
    <row r="3724">
      <c r="D3724" s="123"/>
    </row>
    <row r="3725">
      <c r="D3725" s="123"/>
    </row>
    <row r="3726">
      <c r="D3726" s="123"/>
    </row>
    <row r="3727">
      <c r="D3727" s="123"/>
    </row>
    <row r="3728">
      <c r="D3728" s="123"/>
    </row>
    <row r="3729">
      <c r="D3729" s="123"/>
    </row>
    <row r="3730">
      <c r="D3730" s="123"/>
    </row>
    <row r="3731">
      <c r="D3731" s="123"/>
    </row>
    <row r="3732">
      <c r="D3732" s="123"/>
    </row>
    <row r="3733">
      <c r="D3733" s="123"/>
    </row>
    <row r="3734">
      <c r="D3734" s="123"/>
    </row>
    <row r="3735">
      <c r="D3735" s="123"/>
    </row>
    <row r="3736">
      <c r="D3736" s="123"/>
    </row>
    <row r="3737">
      <c r="D3737" s="123"/>
    </row>
    <row r="3738">
      <c r="D3738" s="123"/>
    </row>
    <row r="3739">
      <c r="D3739" s="123"/>
    </row>
    <row r="3740">
      <c r="D3740" s="123"/>
    </row>
    <row r="3741">
      <c r="D3741" s="123"/>
    </row>
    <row r="3742">
      <c r="D3742" s="123"/>
    </row>
    <row r="3743">
      <c r="D3743" s="123"/>
    </row>
    <row r="3744">
      <c r="D3744" s="123"/>
    </row>
    <row r="3745">
      <c r="D3745" s="123"/>
    </row>
    <row r="3746">
      <c r="D3746" s="123"/>
    </row>
    <row r="3747">
      <c r="D3747" s="123"/>
    </row>
    <row r="3748">
      <c r="D3748" s="123"/>
    </row>
    <row r="3749">
      <c r="D3749" s="123"/>
    </row>
    <row r="3750">
      <c r="D3750" s="123"/>
    </row>
    <row r="3751">
      <c r="D3751" s="123"/>
    </row>
    <row r="3752">
      <c r="D3752" s="123"/>
    </row>
    <row r="3753">
      <c r="D3753" s="123"/>
    </row>
    <row r="3754">
      <c r="D3754" s="123"/>
    </row>
    <row r="3755">
      <c r="D3755" s="123"/>
    </row>
    <row r="3756">
      <c r="D3756" s="123"/>
    </row>
    <row r="3757">
      <c r="D3757" s="123"/>
    </row>
    <row r="3758">
      <c r="D3758" s="123"/>
    </row>
    <row r="3759">
      <c r="D3759" s="123"/>
    </row>
    <row r="3760">
      <c r="D3760" s="123"/>
    </row>
    <row r="3761">
      <c r="D3761" s="123"/>
    </row>
    <row r="3762">
      <c r="D3762" s="123"/>
    </row>
    <row r="3763">
      <c r="D3763" s="123"/>
    </row>
    <row r="3764">
      <c r="D3764" s="123"/>
    </row>
    <row r="3765">
      <c r="D3765" s="123"/>
    </row>
    <row r="3766">
      <c r="D3766" s="123"/>
    </row>
    <row r="3767">
      <c r="D3767" s="123"/>
    </row>
    <row r="3768">
      <c r="D3768" s="123"/>
    </row>
    <row r="3769">
      <c r="D3769" s="123"/>
    </row>
    <row r="3770">
      <c r="D3770" s="123"/>
    </row>
    <row r="3771">
      <c r="D3771" s="123"/>
    </row>
    <row r="3772">
      <c r="D3772" s="123"/>
    </row>
    <row r="3773">
      <c r="D3773" s="123"/>
    </row>
    <row r="3774">
      <c r="D3774" s="123"/>
    </row>
    <row r="3775">
      <c r="D3775" s="123"/>
    </row>
    <row r="3776">
      <c r="D3776" s="123"/>
    </row>
    <row r="3777">
      <c r="D3777" s="123"/>
    </row>
    <row r="3778">
      <c r="D3778" s="123"/>
    </row>
    <row r="3779">
      <c r="D3779" s="123"/>
    </row>
    <row r="3780">
      <c r="D3780" s="123"/>
    </row>
    <row r="3781">
      <c r="D3781" s="123"/>
    </row>
    <row r="3782">
      <c r="D3782" s="123"/>
    </row>
    <row r="3783">
      <c r="D3783" s="123"/>
    </row>
    <row r="3784">
      <c r="D3784" s="123"/>
    </row>
    <row r="3785">
      <c r="D3785" s="123"/>
    </row>
    <row r="3786">
      <c r="D3786" s="123"/>
    </row>
    <row r="3787">
      <c r="D3787" s="123"/>
    </row>
    <row r="3788">
      <c r="D3788" s="123"/>
    </row>
    <row r="3789">
      <c r="D3789" s="123"/>
    </row>
    <row r="3790">
      <c r="D3790" s="123"/>
    </row>
    <row r="3791">
      <c r="D3791" s="123"/>
    </row>
    <row r="3792">
      <c r="D3792" s="123"/>
    </row>
    <row r="3793">
      <c r="D3793" s="123"/>
    </row>
    <row r="3794">
      <c r="D3794" s="123"/>
    </row>
    <row r="3795">
      <c r="D3795" s="123"/>
    </row>
    <row r="3796">
      <c r="D3796" s="123"/>
    </row>
    <row r="3797">
      <c r="D3797" s="123"/>
    </row>
    <row r="3798">
      <c r="D3798" s="123"/>
    </row>
    <row r="3799">
      <c r="D3799" s="123"/>
    </row>
    <row r="3800">
      <c r="D3800" s="123"/>
    </row>
    <row r="3801">
      <c r="D3801" s="123"/>
    </row>
    <row r="3802">
      <c r="D3802" s="123"/>
    </row>
    <row r="3803">
      <c r="D3803" s="123"/>
    </row>
    <row r="3804">
      <c r="D3804" s="123"/>
    </row>
    <row r="3805">
      <c r="D3805" s="123"/>
    </row>
    <row r="3806">
      <c r="D3806" s="123"/>
    </row>
    <row r="3807">
      <c r="D3807" s="123"/>
    </row>
    <row r="3808">
      <c r="D3808" s="123"/>
    </row>
    <row r="3809">
      <c r="D3809" s="123"/>
    </row>
    <row r="3810">
      <c r="D3810" s="123"/>
    </row>
    <row r="3811">
      <c r="D3811" s="123"/>
    </row>
    <row r="3812">
      <c r="D3812" s="123"/>
    </row>
    <row r="3813">
      <c r="D3813" s="123"/>
    </row>
    <row r="3814">
      <c r="D3814" s="123"/>
    </row>
    <row r="3815">
      <c r="D3815" s="123"/>
    </row>
    <row r="3816">
      <c r="D3816" s="123"/>
    </row>
    <row r="3817">
      <c r="D3817" s="123"/>
    </row>
    <row r="3818">
      <c r="D3818" s="123"/>
    </row>
    <row r="3819">
      <c r="D3819" s="123"/>
    </row>
    <row r="3820">
      <c r="D3820" s="123"/>
    </row>
    <row r="3821">
      <c r="D3821" s="123"/>
    </row>
    <row r="3822">
      <c r="D3822" s="123"/>
    </row>
    <row r="3823">
      <c r="D3823" s="123"/>
    </row>
    <row r="3824">
      <c r="D3824" s="123"/>
    </row>
    <row r="3825">
      <c r="D3825" s="123"/>
    </row>
    <row r="3826">
      <c r="D3826" s="123"/>
    </row>
    <row r="3827">
      <c r="D3827" s="123"/>
    </row>
    <row r="3828">
      <c r="D3828" s="123"/>
    </row>
    <row r="3829">
      <c r="D3829" s="123"/>
    </row>
    <row r="3830">
      <c r="D3830" s="123"/>
    </row>
    <row r="3831">
      <c r="D3831" s="123"/>
    </row>
    <row r="3832">
      <c r="D3832" s="123"/>
    </row>
    <row r="3833">
      <c r="D3833" s="123"/>
    </row>
    <row r="3834">
      <c r="D3834" s="123"/>
    </row>
    <row r="3835">
      <c r="D3835" s="123"/>
    </row>
    <row r="3836">
      <c r="D3836" s="123"/>
    </row>
    <row r="3837">
      <c r="D3837" s="123"/>
    </row>
    <row r="3838">
      <c r="D3838" s="123"/>
    </row>
    <row r="3839">
      <c r="D3839" s="123"/>
    </row>
    <row r="3840">
      <c r="D3840" s="123"/>
    </row>
    <row r="3841">
      <c r="D3841" s="123"/>
    </row>
    <row r="3842">
      <c r="D3842" s="123"/>
    </row>
    <row r="3843">
      <c r="D3843" s="123"/>
    </row>
    <row r="3844">
      <c r="D3844" s="123"/>
    </row>
    <row r="3845">
      <c r="D3845" s="123"/>
    </row>
    <row r="3846">
      <c r="D3846" s="123"/>
    </row>
    <row r="3847">
      <c r="D3847" s="123"/>
    </row>
    <row r="3848">
      <c r="D3848" s="123"/>
    </row>
    <row r="3849">
      <c r="D3849" s="123"/>
    </row>
    <row r="3850">
      <c r="D3850" s="123"/>
    </row>
    <row r="3851">
      <c r="D3851" s="123"/>
    </row>
    <row r="3852">
      <c r="D3852" s="123"/>
    </row>
    <row r="3853">
      <c r="D3853" s="123"/>
    </row>
    <row r="3854">
      <c r="D3854" s="123"/>
    </row>
    <row r="3855">
      <c r="D3855" s="123"/>
    </row>
    <row r="3856">
      <c r="D3856" s="123"/>
    </row>
    <row r="3857">
      <c r="D3857" s="123"/>
    </row>
    <row r="3858">
      <c r="D3858" s="123"/>
    </row>
    <row r="3859">
      <c r="D3859" s="123"/>
    </row>
    <row r="3860">
      <c r="D3860" s="123"/>
    </row>
    <row r="3861">
      <c r="D3861" s="123"/>
    </row>
    <row r="3862">
      <c r="D3862" s="123"/>
    </row>
    <row r="3863">
      <c r="D3863" s="123"/>
    </row>
    <row r="3864">
      <c r="D3864" s="123"/>
    </row>
    <row r="3865">
      <c r="D3865" s="123"/>
    </row>
    <row r="3866">
      <c r="D3866" s="123"/>
    </row>
    <row r="3867">
      <c r="D3867" s="123"/>
    </row>
    <row r="3868">
      <c r="D3868" s="123"/>
    </row>
    <row r="3869">
      <c r="D3869" s="123"/>
    </row>
    <row r="3870">
      <c r="D3870" s="123"/>
    </row>
    <row r="3871">
      <c r="D3871" s="123"/>
    </row>
    <row r="3872">
      <c r="D3872" s="123"/>
    </row>
    <row r="3873">
      <c r="D3873" s="123"/>
    </row>
    <row r="3874">
      <c r="D3874" s="123"/>
    </row>
    <row r="3875">
      <c r="D3875" s="123"/>
    </row>
    <row r="3876">
      <c r="D3876" s="123"/>
    </row>
    <row r="3877">
      <c r="D3877" s="123"/>
    </row>
    <row r="3878">
      <c r="D3878" s="123"/>
    </row>
    <row r="3879">
      <c r="D3879" s="123"/>
    </row>
    <row r="3880">
      <c r="D3880" s="123"/>
    </row>
    <row r="3881">
      <c r="D3881" s="123"/>
    </row>
    <row r="3882">
      <c r="D3882" s="123"/>
    </row>
    <row r="3883">
      <c r="D3883" s="123"/>
    </row>
    <row r="3884">
      <c r="D3884" s="123"/>
    </row>
    <row r="3885">
      <c r="D3885" s="123"/>
    </row>
    <row r="3886">
      <c r="D3886" s="123"/>
    </row>
    <row r="3887">
      <c r="D3887" s="123"/>
    </row>
    <row r="3888">
      <c r="D3888" s="123"/>
    </row>
    <row r="3889">
      <c r="D3889" s="123"/>
    </row>
    <row r="3890">
      <c r="D3890" s="123"/>
    </row>
    <row r="3891">
      <c r="D3891" s="123"/>
    </row>
    <row r="3892">
      <c r="D3892" s="123"/>
    </row>
    <row r="3893">
      <c r="D3893" s="123"/>
    </row>
    <row r="3894">
      <c r="D3894" s="123"/>
    </row>
    <row r="3895">
      <c r="D3895" s="123"/>
    </row>
    <row r="3896">
      <c r="D3896" s="123"/>
    </row>
    <row r="3897">
      <c r="D3897" s="123"/>
    </row>
    <row r="3898">
      <c r="D3898" s="123"/>
    </row>
    <row r="3899">
      <c r="D3899" s="123"/>
    </row>
    <row r="3900">
      <c r="D3900" s="123"/>
    </row>
    <row r="3901">
      <c r="D3901" s="123"/>
    </row>
    <row r="3902">
      <c r="D3902" s="123"/>
    </row>
    <row r="3903">
      <c r="D3903" s="123"/>
    </row>
    <row r="3904">
      <c r="D3904" s="123"/>
    </row>
    <row r="3905">
      <c r="D3905" s="123"/>
    </row>
    <row r="3906">
      <c r="D3906" s="123"/>
    </row>
    <row r="3907">
      <c r="D3907" s="123"/>
    </row>
    <row r="3908">
      <c r="D3908" s="123"/>
    </row>
    <row r="3909">
      <c r="D3909" s="123"/>
    </row>
    <row r="3910">
      <c r="D3910" s="123"/>
    </row>
    <row r="3911">
      <c r="D3911" s="123"/>
    </row>
    <row r="3912">
      <c r="D3912" s="123"/>
    </row>
    <row r="3913">
      <c r="D3913" s="123"/>
    </row>
    <row r="3914">
      <c r="D3914" s="123"/>
    </row>
    <row r="3915">
      <c r="D3915" s="123"/>
    </row>
    <row r="3916">
      <c r="D3916" s="123"/>
    </row>
    <row r="3917">
      <c r="D3917" s="123"/>
    </row>
    <row r="3918">
      <c r="D3918" s="123"/>
    </row>
    <row r="3919">
      <c r="D3919" s="123"/>
    </row>
    <row r="3920">
      <c r="D3920" s="123"/>
    </row>
    <row r="3921">
      <c r="D3921" s="123"/>
    </row>
    <row r="3922">
      <c r="D3922" s="123"/>
    </row>
    <row r="3923">
      <c r="D3923" s="123"/>
    </row>
    <row r="3924">
      <c r="D3924" s="123"/>
    </row>
    <row r="3925">
      <c r="D3925" s="123"/>
    </row>
    <row r="3926">
      <c r="D3926" s="123"/>
    </row>
    <row r="3927">
      <c r="D3927" s="123"/>
    </row>
    <row r="3928">
      <c r="D3928" s="123"/>
    </row>
    <row r="3929">
      <c r="D3929" s="123"/>
    </row>
    <row r="3930">
      <c r="D3930" s="123"/>
    </row>
    <row r="3931">
      <c r="D3931" s="123"/>
    </row>
    <row r="3932">
      <c r="D3932" s="123"/>
    </row>
    <row r="3933">
      <c r="D3933" s="123"/>
    </row>
    <row r="3934">
      <c r="D3934" s="123"/>
    </row>
    <row r="3935">
      <c r="D3935" s="123"/>
    </row>
    <row r="3936">
      <c r="D3936" s="123"/>
    </row>
    <row r="3937">
      <c r="D3937" s="123"/>
    </row>
    <row r="3938">
      <c r="D3938" s="123"/>
    </row>
    <row r="3939">
      <c r="D3939" s="123"/>
    </row>
    <row r="3940">
      <c r="D3940" s="123"/>
    </row>
    <row r="3941">
      <c r="D3941" s="123"/>
    </row>
    <row r="3942">
      <c r="D3942" s="123"/>
    </row>
    <row r="3943">
      <c r="D3943" s="123"/>
    </row>
    <row r="3944">
      <c r="D3944" s="123"/>
    </row>
    <row r="3945">
      <c r="D3945" s="123"/>
    </row>
    <row r="3946">
      <c r="D3946" s="123"/>
    </row>
    <row r="3947">
      <c r="D3947" s="123"/>
    </row>
    <row r="3948">
      <c r="D3948" s="123"/>
    </row>
    <row r="3949">
      <c r="D3949" s="123"/>
    </row>
    <row r="3950">
      <c r="D3950" s="123"/>
    </row>
    <row r="3951">
      <c r="D3951" s="123"/>
    </row>
    <row r="3952">
      <c r="D3952" s="123"/>
    </row>
    <row r="3953">
      <c r="D3953" s="123"/>
    </row>
    <row r="3954">
      <c r="D3954" s="123"/>
    </row>
    <row r="3955">
      <c r="D3955" s="123"/>
    </row>
    <row r="3956">
      <c r="D3956" s="123"/>
    </row>
    <row r="3957">
      <c r="D3957" s="123"/>
    </row>
    <row r="3958">
      <c r="D3958" s="123"/>
    </row>
    <row r="3959">
      <c r="D3959" s="123"/>
    </row>
    <row r="3960">
      <c r="D3960" s="123"/>
    </row>
    <row r="3961">
      <c r="D3961" s="123"/>
    </row>
    <row r="3962">
      <c r="D3962" s="123"/>
    </row>
    <row r="3963">
      <c r="D3963" s="123"/>
    </row>
    <row r="3964">
      <c r="D3964" s="123"/>
    </row>
    <row r="3965">
      <c r="D3965" s="123"/>
    </row>
    <row r="3966">
      <c r="D3966" s="123"/>
    </row>
    <row r="3967">
      <c r="D3967" s="123"/>
    </row>
    <row r="3968">
      <c r="D3968" s="123"/>
    </row>
    <row r="3969">
      <c r="D3969" s="123"/>
    </row>
    <row r="3970">
      <c r="D3970" s="123"/>
    </row>
    <row r="3971">
      <c r="D3971" s="123"/>
    </row>
    <row r="3972">
      <c r="D3972" s="123"/>
    </row>
    <row r="3973">
      <c r="D3973" s="123"/>
    </row>
    <row r="3974">
      <c r="D3974" s="123"/>
    </row>
    <row r="3975">
      <c r="D3975" s="123"/>
    </row>
    <row r="3976">
      <c r="D3976" s="123"/>
    </row>
    <row r="3977">
      <c r="D3977" s="123"/>
    </row>
    <row r="3978">
      <c r="D3978" s="123"/>
    </row>
    <row r="3979">
      <c r="D3979" s="123"/>
    </row>
    <row r="3980">
      <c r="D3980" s="123"/>
    </row>
    <row r="3981">
      <c r="D3981" s="123"/>
    </row>
    <row r="3982">
      <c r="D3982" s="123"/>
    </row>
    <row r="3983">
      <c r="D3983" s="123"/>
    </row>
    <row r="3984">
      <c r="D3984" s="123"/>
    </row>
    <row r="3985">
      <c r="D3985" s="123"/>
    </row>
    <row r="3986">
      <c r="D3986" s="123"/>
    </row>
    <row r="3987">
      <c r="D3987" s="123"/>
    </row>
    <row r="3988">
      <c r="D3988" s="123"/>
    </row>
    <row r="3989">
      <c r="D3989" s="123"/>
    </row>
    <row r="3990">
      <c r="D3990" s="123"/>
    </row>
    <row r="3991">
      <c r="D3991" s="123"/>
    </row>
    <row r="3992">
      <c r="D3992" s="123"/>
    </row>
    <row r="3993">
      <c r="D3993" s="123"/>
    </row>
    <row r="3994">
      <c r="D3994" s="123"/>
    </row>
    <row r="3995">
      <c r="D3995" s="123"/>
    </row>
    <row r="3996">
      <c r="D3996" s="123"/>
    </row>
    <row r="3997">
      <c r="D3997" s="123"/>
    </row>
    <row r="3998">
      <c r="D3998" s="123"/>
    </row>
    <row r="3999">
      <c r="D3999" s="123"/>
    </row>
    <row r="4000">
      <c r="D4000" s="123"/>
    </row>
    <row r="4001">
      <c r="D4001" s="123"/>
    </row>
    <row r="4002">
      <c r="D4002" s="123"/>
    </row>
    <row r="4003">
      <c r="D4003" s="123"/>
    </row>
    <row r="4004">
      <c r="D4004" s="123"/>
    </row>
    <row r="4005">
      <c r="D4005" s="123"/>
    </row>
    <row r="4006">
      <c r="D4006" s="123"/>
    </row>
    <row r="4007">
      <c r="D4007" s="123"/>
    </row>
    <row r="4008">
      <c r="D4008" s="123"/>
    </row>
    <row r="4009">
      <c r="D4009" s="123"/>
    </row>
    <row r="4010">
      <c r="D4010" s="123"/>
    </row>
    <row r="4011">
      <c r="D4011" s="123"/>
    </row>
    <row r="4012">
      <c r="D4012" s="123"/>
    </row>
    <row r="4013">
      <c r="D4013" s="123"/>
    </row>
    <row r="4014">
      <c r="D4014" s="123"/>
    </row>
    <row r="4015">
      <c r="D4015" s="123"/>
    </row>
    <row r="4016">
      <c r="D4016" s="123"/>
    </row>
    <row r="4017">
      <c r="D4017" s="123"/>
    </row>
    <row r="4018">
      <c r="D4018" s="123"/>
    </row>
    <row r="4019">
      <c r="D4019" s="123"/>
    </row>
    <row r="4020">
      <c r="D4020" s="123"/>
    </row>
    <row r="4021">
      <c r="D4021" s="123"/>
    </row>
    <row r="4022">
      <c r="D4022" s="123"/>
    </row>
    <row r="4023">
      <c r="D4023" s="123"/>
    </row>
    <row r="4024">
      <c r="D4024" s="123"/>
    </row>
    <row r="4025">
      <c r="D4025" s="123"/>
    </row>
    <row r="4026">
      <c r="D4026" s="123"/>
    </row>
    <row r="4027">
      <c r="D4027" s="123"/>
    </row>
    <row r="4028">
      <c r="D4028" s="123"/>
    </row>
    <row r="4029">
      <c r="D4029" s="123"/>
    </row>
    <row r="4030">
      <c r="D4030" s="123"/>
    </row>
    <row r="4031">
      <c r="D4031" s="123"/>
    </row>
    <row r="4032">
      <c r="D4032" s="123"/>
    </row>
    <row r="4033">
      <c r="D4033" s="123"/>
    </row>
    <row r="4034">
      <c r="D4034" s="123"/>
    </row>
    <row r="4035">
      <c r="D4035" s="123"/>
    </row>
    <row r="4036">
      <c r="D4036" s="123"/>
    </row>
    <row r="4037">
      <c r="D4037" s="123"/>
    </row>
    <row r="4038">
      <c r="D4038" s="123"/>
    </row>
    <row r="4039">
      <c r="D4039" s="123"/>
    </row>
    <row r="4040">
      <c r="D4040" s="123"/>
    </row>
    <row r="4041">
      <c r="D4041" s="123"/>
    </row>
    <row r="4042">
      <c r="D4042" s="123"/>
    </row>
    <row r="4043">
      <c r="D4043" s="123"/>
    </row>
    <row r="4044">
      <c r="D4044" s="123"/>
    </row>
    <row r="4045">
      <c r="D4045" s="123"/>
    </row>
    <row r="4046">
      <c r="D4046" s="123"/>
    </row>
    <row r="4047">
      <c r="D4047" s="123"/>
    </row>
    <row r="4048">
      <c r="D4048" s="123"/>
    </row>
    <row r="4049">
      <c r="D4049" s="123"/>
    </row>
    <row r="4050">
      <c r="D4050" s="123"/>
    </row>
    <row r="4051">
      <c r="D4051" s="123"/>
    </row>
    <row r="4052">
      <c r="D4052" s="123"/>
    </row>
    <row r="4053">
      <c r="D4053" s="123"/>
    </row>
    <row r="4054">
      <c r="D4054" s="123"/>
    </row>
    <row r="4055">
      <c r="D4055" s="123"/>
    </row>
    <row r="4056">
      <c r="D4056" s="123"/>
    </row>
    <row r="4057">
      <c r="D4057" s="123"/>
    </row>
    <row r="4058">
      <c r="D4058" s="123"/>
    </row>
    <row r="4059">
      <c r="D4059" s="123"/>
    </row>
    <row r="4060">
      <c r="D4060" s="123"/>
    </row>
    <row r="4061">
      <c r="D4061" s="123"/>
    </row>
    <row r="4062">
      <c r="D4062" s="123"/>
    </row>
    <row r="4063">
      <c r="D4063" s="123"/>
    </row>
    <row r="4064">
      <c r="D4064" s="123"/>
    </row>
    <row r="4065">
      <c r="D4065" s="123"/>
    </row>
    <row r="4066">
      <c r="D4066" s="123"/>
    </row>
    <row r="4067">
      <c r="D4067" s="123"/>
    </row>
    <row r="4068">
      <c r="D4068" s="123"/>
    </row>
    <row r="4069">
      <c r="D4069" s="123"/>
    </row>
    <row r="4070">
      <c r="D4070" s="123"/>
    </row>
    <row r="4071">
      <c r="D4071" s="123"/>
    </row>
    <row r="4072">
      <c r="D4072" s="123"/>
    </row>
    <row r="4073">
      <c r="D4073" s="123"/>
    </row>
    <row r="4074">
      <c r="D4074" s="123"/>
    </row>
    <row r="4075">
      <c r="D4075" s="123"/>
    </row>
    <row r="4076">
      <c r="D4076" s="123"/>
    </row>
    <row r="4077">
      <c r="D4077" s="123"/>
    </row>
    <row r="4078">
      <c r="D4078" s="123"/>
    </row>
    <row r="4079">
      <c r="D4079" s="123"/>
    </row>
    <row r="4080">
      <c r="D4080" s="123"/>
    </row>
    <row r="4081">
      <c r="D4081" s="123"/>
    </row>
    <row r="4082">
      <c r="D4082" s="123"/>
    </row>
    <row r="4083">
      <c r="D4083" s="123"/>
    </row>
    <row r="4084">
      <c r="D4084" s="123"/>
    </row>
    <row r="4085">
      <c r="D4085" s="123"/>
    </row>
    <row r="4086">
      <c r="D4086" s="123"/>
    </row>
    <row r="4087">
      <c r="D4087" s="123"/>
    </row>
    <row r="4088">
      <c r="D4088" s="123"/>
    </row>
    <row r="4089">
      <c r="D4089" s="123"/>
    </row>
    <row r="4090">
      <c r="D4090" s="123"/>
    </row>
    <row r="4091">
      <c r="D4091" s="123"/>
    </row>
    <row r="4092">
      <c r="D4092" s="123"/>
    </row>
    <row r="4093">
      <c r="D4093" s="123"/>
    </row>
    <row r="4094">
      <c r="D4094" s="123"/>
    </row>
    <row r="4095">
      <c r="D4095" s="123"/>
    </row>
    <row r="4096">
      <c r="D4096" s="123"/>
    </row>
    <row r="4097">
      <c r="D4097" s="123"/>
    </row>
    <row r="4098">
      <c r="D4098" s="123"/>
    </row>
    <row r="4099">
      <c r="D4099" s="123"/>
    </row>
    <row r="4100">
      <c r="D4100" s="123"/>
    </row>
    <row r="4101">
      <c r="D4101" s="123"/>
    </row>
    <row r="4102">
      <c r="D4102" s="123"/>
    </row>
    <row r="4103">
      <c r="D4103" s="123"/>
    </row>
    <row r="4104">
      <c r="D4104" s="123"/>
    </row>
    <row r="4105">
      <c r="D4105" s="123"/>
    </row>
    <row r="4106">
      <c r="D4106" s="123"/>
    </row>
    <row r="4107">
      <c r="D4107" s="123"/>
    </row>
    <row r="4108">
      <c r="D4108" s="123"/>
    </row>
    <row r="4109">
      <c r="D4109" s="123"/>
    </row>
    <row r="4110">
      <c r="D4110" s="123"/>
    </row>
    <row r="4111">
      <c r="D4111" s="123"/>
    </row>
    <row r="4112">
      <c r="D4112" s="123"/>
    </row>
    <row r="4113">
      <c r="D4113" s="123"/>
    </row>
    <row r="4114">
      <c r="D4114" s="123"/>
    </row>
    <row r="4115">
      <c r="D4115" s="123"/>
    </row>
    <row r="4116">
      <c r="D4116" s="123"/>
    </row>
    <row r="4117">
      <c r="D4117" s="123"/>
    </row>
    <row r="4118">
      <c r="D4118" s="123"/>
    </row>
    <row r="4119">
      <c r="D4119" s="123"/>
    </row>
    <row r="4120">
      <c r="D4120" s="123"/>
    </row>
    <row r="4121">
      <c r="D4121" s="123"/>
    </row>
    <row r="4122">
      <c r="D4122" s="123"/>
    </row>
    <row r="4123">
      <c r="D4123" s="123"/>
    </row>
    <row r="4124">
      <c r="D4124" s="123"/>
    </row>
    <row r="4125">
      <c r="D4125" s="123"/>
    </row>
    <row r="4126">
      <c r="D4126" s="123"/>
    </row>
    <row r="4127">
      <c r="D4127" s="123"/>
    </row>
    <row r="4128">
      <c r="D4128" s="123"/>
    </row>
    <row r="4129">
      <c r="D4129" s="123"/>
    </row>
    <row r="4130">
      <c r="D4130" s="123"/>
    </row>
    <row r="4131">
      <c r="D4131" s="123"/>
    </row>
    <row r="4132">
      <c r="D4132" s="123"/>
    </row>
    <row r="4133">
      <c r="D4133" s="123"/>
    </row>
    <row r="4134">
      <c r="D4134" s="123"/>
    </row>
    <row r="4135">
      <c r="D4135" s="123"/>
    </row>
    <row r="4136">
      <c r="D4136" s="123"/>
    </row>
    <row r="4137">
      <c r="D4137" s="123"/>
    </row>
    <row r="4138">
      <c r="D4138" s="123"/>
    </row>
    <row r="4139">
      <c r="D4139" s="123"/>
    </row>
    <row r="4140">
      <c r="D4140" s="123"/>
    </row>
    <row r="4141">
      <c r="D4141" s="123"/>
    </row>
    <row r="4142">
      <c r="D4142" s="123"/>
    </row>
    <row r="4143">
      <c r="D4143" s="123"/>
    </row>
    <row r="4144">
      <c r="D4144" s="123"/>
    </row>
    <row r="4145">
      <c r="D4145" s="123"/>
    </row>
    <row r="4146">
      <c r="D4146" s="123"/>
    </row>
    <row r="4147">
      <c r="D4147" s="123"/>
    </row>
    <row r="4148">
      <c r="D4148" s="123"/>
    </row>
    <row r="4149">
      <c r="D4149" s="123"/>
    </row>
    <row r="4150">
      <c r="D4150" s="123"/>
    </row>
    <row r="4151">
      <c r="D4151" s="123"/>
    </row>
    <row r="4152">
      <c r="D4152" s="123"/>
    </row>
    <row r="4153">
      <c r="D4153" s="123"/>
    </row>
    <row r="4154">
      <c r="D4154" s="123"/>
    </row>
    <row r="4155">
      <c r="D4155" s="123"/>
    </row>
    <row r="4156">
      <c r="D4156" s="123"/>
    </row>
    <row r="4157">
      <c r="D4157" s="123"/>
    </row>
    <row r="4158">
      <c r="D4158" s="123"/>
    </row>
    <row r="4159">
      <c r="D4159" s="123"/>
    </row>
    <row r="4160">
      <c r="D4160" s="123"/>
    </row>
    <row r="4161">
      <c r="D4161" s="123"/>
    </row>
    <row r="4162">
      <c r="D4162" s="123"/>
    </row>
    <row r="4163">
      <c r="D4163" s="123"/>
    </row>
    <row r="4164">
      <c r="D4164" s="123"/>
    </row>
    <row r="4165">
      <c r="D4165" s="123"/>
    </row>
    <row r="4166">
      <c r="D4166" s="123"/>
    </row>
    <row r="4167">
      <c r="D4167" s="123"/>
    </row>
    <row r="4168">
      <c r="D4168" s="123"/>
    </row>
    <row r="4169">
      <c r="D4169" s="123"/>
    </row>
    <row r="4170">
      <c r="D4170" s="123"/>
    </row>
    <row r="4171">
      <c r="D4171" s="123"/>
    </row>
    <row r="4172">
      <c r="D4172" s="123"/>
    </row>
    <row r="4173">
      <c r="D4173" s="123"/>
    </row>
    <row r="4174">
      <c r="D4174" s="123"/>
    </row>
    <row r="4175">
      <c r="D4175" s="123"/>
    </row>
    <row r="4176">
      <c r="D4176" s="123"/>
    </row>
    <row r="4177">
      <c r="D4177" s="123"/>
    </row>
    <row r="4178">
      <c r="D4178" s="123"/>
    </row>
    <row r="4179">
      <c r="D4179" s="123"/>
    </row>
    <row r="4180">
      <c r="D4180" s="123"/>
    </row>
    <row r="4181">
      <c r="D4181" s="123"/>
    </row>
    <row r="4182">
      <c r="D4182" s="123"/>
    </row>
    <row r="4183">
      <c r="D4183" s="123"/>
    </row>
    <row r="4184">
      <c r="D4184" s="123"/>
    </row>
    <row r="4185">
      <c r="D4185" s="123"/>
    </row>
    <row r="4186">
      <c r="D4186" s="123"/>
    </row>
    <row r="4187">
      <c r="D4187" s="123"/>
    </row>
    <row r="4188">
      <c r="D4188" s="123"/>
    </row>
    <row r="4189">
      <c r="D4189" s="123"/>
    </row>
    <row r="4190">
      <c r="D4190" s="123"/>
    </row>
    <row r="4191">
      <c r="D4191" s="123"/>
    </row>
    <row r="4192">
      <c r="D4192" s="123"/>
    </row>
    <row r="4193">
      <c r="D4193" s="123"/>
    </row>
    <row r="4194">
      <c r="D4194" s="123"/>
    </row>
    <row r="4195">
      <c r="D4195" s="123"/>
    </row>
    <row r="4196">
      <c r="D4196" s="123"/>
    </row>
    <row r="4197">
      <c r="D4197" s="123"/>
    </row>
    <row r="4198">
      <c r="D4198" s="123"/>
    </row>
    <row r="4199">
      <c r="D4199" s="123"/>
    </row>
    <row r="4200">
      <c r="D4200" s="123"/>
    </row>
    <row r="4201">
      <c r="D4201" s="123"/>
    </row>
    <row r="4202">
      <c r="D4202" s="123"/>
    </row>
    <row r="4203">
      <c r="D4203" s="123"/>
    </row>
    <row r="4204">
      <c r="D4204" s="123"/>
    </row>
    <row r="4205">
      <c r="D4205" s="123"/>
    </row>
    <row r="4206">
      <c r="D4206" s="123"/>
    </row>
    <row r="4207">
      <c r="D4207" s="123"/>
    </row>
    <row r="4208">
      <c r="D4208" s="123"/>
    </row>
    <row r="4209">
      <c r="D4209" s="123"/>
    </row>
    <row r="4210">
      <c r="D4210" s="123"/>
    </row>
    <row r="4211">
      <c r="D4211" s="123"/>
    </row>
    <row r="4212">
      <c r="D4212" s="123"/>
    </row>
    <row r="4213">
      <c r="D4213" s="123"/>
    </row>
    <row r="4214">
      <c r="D4214" s="123"/>
    </row>
    <row r="4215">
      <c r="D4215" s="123"/>
    </row>
    <row r="4216">
      <c r="D4216" s="123"/>
    </row>
    <row r="4217">
      <c r="D4217" s="123"/>
    </row>
    <row r="4218">
      <c r="D4218" s="123"/>
    </row>
    <row r="4219">
      <c r="D4219" s="123"/>
    </row>
    <row r="4220">
      <c r="D4220" s="123"/>
    </row>
    <row r="4221">
      <c r="D4221" s="123"/>
    </row>
    <row r="4222">
      <c r="D4222" s="123"/>
    </row>
    <row r="4223">
      <c r="D4223" s="123"/>
    </row>
    <row r="4224">
      <c r="D4224" s="123"/>
    </row>
    <row r="4225">
      <c r="D4225" s="123"/>
    </row>
    <row r="4226">
      <c r="D4226" s="123"/>
    </row>
    <row r="4227">
      <c r="D4227" s="123"/>
    </row>
    <row r="4228">
      <c r="D4228" s="123"/>
    </row>
    <row r="4229">
      <c r="D4229" s="123"/>
    </row>
    <row r="4230">
      <c r="D4230" s="123"/>
    </row>
    <row r="4231">
      <c r="D4231" s="123"/>
    </row>
    <row r="4232">
      <c r="D4232" s="123"/>
    </row>
    <row r="4233">
      <c r="D4233" s="123"/>
    </row>
    <row r="4234">
      <c r="D4234" s="123"/>
    </row>
    <row r="4235">
      <c r="D4235" s="123"/>
    </row>
    <row r="4236">
      <c r="D4236" s="123"/>
    </row>
    <row r="4237">
      <c r="D4237" s="123"/>
    </row>
    <row r="4238">
      <c r="D4238" s="123"/>
    </row>
    <row r="4239">
      <c r="D4239" s="123"/>
    </row>
    <row r="4240">
      <c r="D4240" s="123"/>
    </row>
    <row r="4241">
      <c r="D4241" s="123"/>
    </row>
    <row r="4242">
      <c r="D4242" s="123"/>
    </row>
    <row r="4243">
      <c r="D4243" s="123"/>
    </row>
    <row r="4244">
      <c r="D4244" s="123"/>
    </row>
    <row r="4245">
      <c r="D4245" s="123"/>
    </row>
    <row r="4246">
      <c r="D4246" s="123"/>
    </row>
    <row r="4247">
      <c r="D4247" s="123"/>
    </row>
    <row r="4248">
      <c r="D4248" s="123"/>
    </row>
    <row r="4249">
      <c r="D4249" s="123"/>
    </row>
    <row r="4250">
      <c r="D4250" s="123"/>
    </row>
    <row r="4251">
      <c r="D4251" s="123"/>
    </row>
    <row r="4252">
      <c r="D4252" s="123"/>
    </row>
    <row r="4253">
      <c r="D4253" s="123"/>
    </row>
    <row r="4254">
      <c r="D4254" s="123"/>
    </row>
    <row r="4255">
      <c r="D4255" s="123"/>
    </row>
    <row r="4256">
      <c r="D4256" s="123"/>
    </row>
    <row r="4257">
      <c r="D4257" s="123"/>
    </row>
    <row r="4258">
      <c r="D4258" s="123"/>
    </row>
    <row r="4259">
      <c r="D4259" s="123"/>
    </row>
    <row r="4260">
      <c r="D4260" s="123"/>
    </row>
    <row r="4261">
      <c r="D4261" s="123"/>
    </row>
    <row r="4262">
      <c r="D4262" s="123"/>
    </row>
    <row r="4263">
      <c r="D4263" s="123"/>
    </row>
    <row r="4264">
      <c r="D4264" s="123"/>
    </row>
    <row r="4265">
      <c r="D4265" s="123"/>
    </row>
    <row r="4266">
      <c r="D4266" s="123"/>
    </row>
    <row r="4267">
      <c r="D4267" s="123"/>
    </row>
    <row r="4268">
      <c r="D4268" s="123"/>
    </row>
    <row r="4269">
      <c r="D4269" s="123"/>
    </row>
    <row r="4270">
      <c r="D4270" s="123"/>
    </row>
    <row r="4271">
      <c r="D4271" s="123"/>
    </row>
    <row r="4272">
      <c r="D4272" s="123"/>
    </row>
    <row r="4273">
      <c r="D4273" s="123"/>
    </row>
    <row r="4274">
      <c r="D4274" s="123"/>
    </row>
    <row r="4275">
      <c r="D4275" s="123"/>
    </row>
    <row r="4276">
      <c r="D4276" s="123"/>
    </row>
    <row r="4277">
      <c r="D4277" s="123"/>
    </row>
    <row r="4278">
      <c r="D4278" s="123"/>
    </row>
    <row r="4279">
      <c r="D4279" s="123"/>
    </row>
    <row r="4280">
      <c r="D4280" s="123"/>
    </row>
    <row r="4281">
      <c r="D4281" s="123"/>
    </row>
    <row r="4282">
      <c r="D4282" s="123"/>
    </row>
    <row r="4283">
      <c r="D4283" s="123"/>
    </row>
    <row r="4284">
      <c r="D4284" s="123"/>
    </row>
    <row r="4285">
      <c r="D4285" s="123"/>
    </row>
    <row r="4286">
      <c r="D4286" s="123"/>
    </row>
    <row r="4287">
      <c r="D4287" s="123"/>
    </row>
    <row r="4288">
      <c r="D4288" s="123"/>
    </row>
    <row r="4289">
      <c r="D4289" s="123"/>
    </row>
    <row r="4290">
      <c r="D4290" s="123"/>
    </row>
    <row r="4291">
      <c r="D4291" s="123"/>
    </row>
    <row r="4292">
      <c r="D4292" s="123"/>
    </row>
    <row r="4293">
      <c r="D4293" s="123"/>
    </row>
    <row r="4294">
      <c r="D4294" s="123"/>
    </row>
    <row r="4295">
      <c r="D4295" s="123"/>
    </row>
    <row r="4296">
      <c r="D4296" s="123"/>
    </row>
    <row r="4297">
      <c r="D4297" s="123"/>
    </row>
    <row r="4298">
      <c r="D4298" s="123"/>
    </row>
    <row r="4299">
      <c r="D4299" s="123"/>
    </row>
    <row r="4300">
      <c r="D4300" s="123"/>
    </row>
    <row r="4301">
      <c r="D4301" s="123"/>
    </row>
    <row r="4302">
      <c r="D4302" s="123"/>
    </row>
    <row r="4303">
      <c r="D4303" s="123"/>
    </row>
    <row r="4304">
      <c r="D4304" s="123"/>
    </row>
    <row r="4305">
      <c r="D4305" s="123"/>
    </row>
    <row r="4306">
      <c r="D4306" s="123"/>
    </row>
    <row r="4307">
      <c r="D4307" s="123"/>
    </row>
    <row r="4308">
      <c r="D4308" s="123"/>
    </row>
    <row r="4309">
      <c r="D4309" s="123"/>
    </row>
    <row r="4310">
      <c r="D4310" s="123"/>
    </row>
    <row r="4311">
      <c r="D4311" s="123"/>
    </row>
    <row r="4312">
      <c r="D4312" s="123"/>
    </row>
    <row r="4313">
      <c r="D4313" s="123"/>
    </row>
    <row r="4314">
      <c r="D4314" s="123"/>
    </row>
    <row r="4315">
      <c r="D4315" s="123"/>
    </row>
    <row r="4316">
      <c r="D4316" s="123"/>
    </row>
    <row r="4317">
      <c r="D4317" s="123"/>
    </row>
    <row r="4318">
      <c r="D4318" s="123"/>
    </row>
    <row r="4319">
      <c r="D4319" s="123"/>
    </row>
    <row r="4320">
      <c r="D4320" s="123"/>
    </row>
    <row r="4321">
      <c r="D4321" s="123"/>
    </row>
    <row r="4322">
      <c r="D4322" s="123"/>
    </row>
    <row r="4323">
      <c r="D4323" s="123"/>
    </row>
    <row r="4324">
      <c r="D4324" s="123"/>
    </row>
    <row r="4325">
      <c r="D4325" s="123"/>
    </row>
    <row r="4326">
      <c r="D4326" s="123"/>
    </row>
    <row r="4327">
      <c r="D4327" s="123"/>
    </row>
    <row r="4328">
      <c r="D4328" s="123"/>
    </row>
    <row r="4329">
      <c r="D4329" s="123"/>
    </row>
    <row r="4330">
      <c r="D4330" s="123"/>
    </row>
    <row r="4331">
      <c r="D4331" s="123"/>
    </row>
    <row r="4332">
      <c r="D4332" s="123"/>
    </row>
    <row r="4333">
      <c r="D4333" s="123"/>
    </row>
    <row r="4334">
      <c r="D4334" s="123"/>
    </row>
    <row r="4335">
      <c r="D4335" s="123"/>
    </row>
    <row r="4336">
      <c r="D4336" s="123"/>
    </row>
    <row r="4337">
      <c r="D4337" s="123"/>
    </row>
    <row r="4338">
      <c r="D4338" s="123"/>
    </row>
    <row r="4339">
      <c r="D4339" s="123"/>
    </row>
    <row r="4340">
      <c r="D4340" s="123"/>
    </row>
    <row r="4341">
      <c r="D4341" s="123"/>
    </row>
    <row r="4342">
      <c r="D4342" s="123"/>
    </row>
    <row r="4343">
      <c r="D4343" s="123"/>
    </row>
    <row r="4344">
      <c r="D4344" s="123"/>
    </row>
    <row r="4345">
      <c r="D4345" s="123"/>
    </row>
    <row r="4346">
      <c r="D4346" s="123"/>
    </row>
    <row r="4347">
      <c r="D4347" s="123"/>
    </row>
    <row r="4348">
      <c r="D4348" s="123"/>
    </row>
    <row r="4349">
      <c r="D4349" s="123"/>
    </row>
    <row r="4350">
      <c r="D4350" s="123"/>
    </row>
    <row r="4351">
      <c r="D4351" s="123"/>
    </row>
    <row r="4352">
      <c r="D4352" s="123"/>
    </row>
    <row r="4353">
      <c r="D4353" s="123"/>
    </row>
    <row r="4354">
      <c r="D4354" s="123"/>
    </row>
    <row r="4355">
      <c r="D4355" s="123"/>
    </row>
    <row r="4356">
      <c r="D4356" s="123"/>
    </row>
    <row r="4357">
      <c r="D4357" s="123"/>
    </row>
    <row r="4358">
      <c r="D4358" s="123"/>
    </row>
    <row r="4359">
      <c r="D4359" s="123"/>
    </row>
    <row r="4360">
      <c r="D4360" s="123"/>
    </row>
    <row r="4361">
      <c r="D4361" s="123"/>
    </row>
    <row r="4362">
      <c r="D4362" s="123"/>
    </row>
    <row r="4363">
      <c r="D4363" s="123"/>
    </row>
    <row r="4364">
      <c r="D4364" s="123"/>
    </row>
    <row r="4365">
      <c r="D4365" s="123"/>
    </row>
    <row r="4366">
      <c r="D4366" s="123"/>
    </row>
    <row r="4367">
      <c r="D4367" s="123"/>
    </row>
    <row r="4368">
      <c r="D4368" s="123"/>
    </row>
    <row r="4369">
      <c r="D4369" s="123"/>
    </row>
    <row r="4370">
      <c r="D4370" s="123"/>
    </row>
    <row r="4371">
      <c r="D4371" s="123"/>
    </row>
    <row r="4372">
      <c r="D4372" s="123"/>
    </row>
    <row r="4373">
      <c r="D4373" s="123"/>
    </row>
    <row r="4374">
      <c r="D4374" s="123"/>
    </row>
    <row r="4375">
      <c r="D4375" s="123"/>
    </row>
    <row r="4376">
      <c r="D4376" s="123"/>
    </row>
    <row r="4377">
      <c r="D4377" s="123"/>
    </row>
    <row r="4378">
      <c r="D4378" s="123"/>
    </row>
    <row r="4379">
      <c r="D4379" s="123"/>
    </row>
    <row r="4380">
      <c r="D4380" s="123"/>
    </row>
    <row r="4381">
      <c r="D4381" s="123"/>
    </row>
    <row r="4382">
      <c r="D4382" s="123"/>
    </row>
    <row r="4383">
      <c r="D4383" s="123"/>
    </row>
    <row r="4384">
      <c r="D4384" s="123"/>
    </row>
    <row r="4385">
      <c r="D4385" s="123"/>
    </row>
    <row r="4386">
      <c r="D4386" s="123"/>
    </row>
    <row r="4387">
      <c r="D4387" s="123"/>
    </row>
    <row r="4388">
      <c r="D4388" s="123"/>
    </row>
    <row r="4389">
      <c r="D4389" s="123"/>
    </row>
    <row r="4390">
      <c r="D4390" s="123"/>
    </row>
    <row r="4391">
      <c r="D4391" s="123"/>
    </row>
    <row r="4392">
      <c r="D4392" s="123"/>
    </row>
    <row r="4393">
      <c r="D4393" s="123"/>
    </row>
    <row r="4394">
      <c r="D4394" s="123"/>
    </row>
    <row r="4395">
      <c r="D4395" s="123"/>
    </row>
    <row r="4396">
      <c r="D4396" s="123"/>
    </row>
    <row r="4397">
      <c r="D4397" s="123"/>
    </row>
    <row r="4398">
      <c r="D4398" s="123"/>
    </row>
    <row r="4399">
      <c r="D4399" s="123"/>
    </row>
    <row r="4400">
      <c r="D4400" s="123"/>
    </row>
    <row r="4401">
      <c r="D4401" s="123"/>
    </row>
    <row r="4402">
      <c r="D4402" s="123"/>
    </row>
    <row r="4403">
      <c r="D4403" s="123"/>
    </row>
    <row r="4404">
      <c r="D4404" s="123"/>
    </row>
    <row r="4405">
      <c r="D4405" s="123"/>
    </row>
    <row r="4406">
      <c r="D4406" s="123"/>
    </row>
    <row r="4407">
      <c r="D4407" s="123"/>
    </row>
    <row r="4408">
      <c r="D4408" s="123"/>
    </row>
    <row r="4409">
      <c r="D4409" s="123"/>
    </row>
    <row r="4410">
      <c r="D4410" s="123"/>
    </row>
    <row r="4411">
      <c r="D4411" s="123"/>
    </row>
    <row r="4412">
      <c r="D4412" s="123"/>
    </row>
    <row r="4413">
      <c r="D4413" s="123"/>
    </row>
    <row r="4414">
      <c r="D4414" s="123"/>
    </row>
    <row r="4415">
      <c r="D4415" s="123"/>
    </row>
    <row r="4416">
      <c r="D4416" s="123"/>
    </row>
    <row r="4417">
      <c r="D4417" s="123"/>
    </row>
    <row r="4418">
      <c r="D4418" s="123"/>
    </row>
    <row r="4419">
      <c r="D4419" s="123"/>
    </row>
    <row r="4420">
      <c r="D4420" s="123"/>
    </row>
    <row r="4421">
      <c r="D4421" s="123"/>
    </row>
    <row r="4422">
      <c r="D4422" s="123"/>
    </row>
    <row r="4423">
      <c r="D4423" s="123"/>
    </row>
    <row r="4424">
      <c r="D4424" s="123"/>
    </row>
    <row r="4425">
      <c r="D4425" s="123"/>
    </row>
    <row r="4426">
      <c r="D4426" s="123"/>
    </row>
    <row r="4427">
      <c r="D4427" s="123"/>
    </row>
    <row r="4428">
      <c r="D4428" s="123"/>
    </row>
    <row r="4429">
      <c r="D4429" s="123"/>
    </row>
    <row r="4430">
      <c r="D4430" s="123"/>
    </row>
    <row r="4431">
      <c r="D4431" s="123"/>
    </row>
    <row r="4432">
      <c r="D4432" s="123"/>
    </row>
    <row r="4433">
      <c r="D4433" s="123"/>
    </row>
    <row r="4434">
      <c r="D4434" s="123"/>
    </row>
    <row r="4435">
      <c r="D4435" s="123"/>
    </row>
    <row r="4436">
      <c r="D4436" s="123"/>
    </row>
    <row r="4437">
      <c r="D4437" s="123"/>
    </row>
    <row r="4438">
      <c r="D4438" s="123"/>
    </row>
    <row r="4439">
      <c r="D4439" s="123"/>
    </row>
    <row r="4440">
      <c r="D4440" s="123"/>
    </row>
    <row r="4441">
      <c r="D4441" s="123"/>
    </row>
    <row r="4442">
      <c r="D4442" s="123"/>
    </row>
    <row r="4443">
      <c r="D4443" s="123"/>
    </row>
    <row r="4444">
      <c r="D4444" s="123"/>
    </row>
    <row r="4445">
      <c r="D4445" s="123"/>
    </row>
    <row r="4446">
      <c r="D4446" s="123"/>
    </row>
    <row r="4447">
      <c r="D4447" s="123"/>
    </row>
    <row r="4448">
      <c r="D4448" s="123"/>
    </row>
    <row r="4449">
      <c r="D4449" s="123"/>
    </row>
    <row r="4450">
      <c r="D4450" s="123"/>
    </row>
    <row r="4451">
      <c r="D4451" s="123"/>
    </row>
    <row r="4452">
      <c r="D4452" s="123"/>
    </row>
    <row r="4453">
      <c r="D4453" s="123"/>
    </row>
    <row r="4454">
      <c r="D4454" s="123"/>
    </row>
    <row r="4455">
      <c r="D4455" s="123"/>
    </row>
    <row r="4456">
      <c r="D4456" s="123"/>
    </row>
    <row r="4457">
      <c r="D4457" s="123"/>
    </row>
    <row r="4458">
      <c r="D4458" s="123"/>
    </row>
    <row r="4459">
      <c r="D4459" s="123"/>
    </row>
    <row r="4460">
      <c r="D4460" s="123"/>
    </row>
    <row r="4461">
      <c r="D4461" s="123"/>
    </row>
    <row r="4462">
      <c r="D4462" s="123"/>
    </row>
    <row r="4463">
      <c r="D4463" s="123"/>
    </row>
    <row r="4464">
      <c r="D4464" s="123"/>
    </row>
    <row r="4465">
      <c r="D4465" s="123"/>
    </row>
    <row r="4466">
      <c r="D4466" s="123"/>
    </row>
    <row r="4467">
      <c r="D4467" s="123"/>
    </row>
    <row r="4468">
      <c r="D4468" s="123"/>
    </row>
    <row r="4469">
      <c r="D4469" s="123"/>
    </row>
    <row r="4470">
      <c r="D4470" s="123"/>
    </row>
    <row r="4471">
      <c r="D4471" s="123"/>
    </row>
    <row r="4472">
      <c r="D4472" s="123"/>
    </row>
    <row r="4473">
      <c r="D4473" s="123"/>
    </row>
    <row r="4474">
      <c r="D4474" s="123"/>
    </row>
    <row r="4475">
      <c r="D4475" s="123"/>
    </row>
    <row r="4476">
      <c r="D4476" s="123"/>
    </row>
    <row r="4477">
      <c r="D4477" s="123"/>
    </row>
    <row r="4478">
      <c r="D4478" s="123"/>
    </row>
    <row r="4479">
      <c r="D4479" s="123"/>
    </row>
    <row r="4480">
      <c r="D4480" s="123"/>
    </row>
    <row r="4481">
      <c r="D4481" s="123"/>
    </row>
    <row r="4482">
      <c r="D4482" s="123"/>
    </row>
    <row r="4483">
      <c r="D4483" s="123"/>
    </row>
    <row r="4484">
      <c r="D4484" s="123"/>
    </row>
    <row r="4485">
      <c r="D4485" s="123"/>
    </row>
    <row r="4486">
      <c r="D4486" s="123"/>
    </row>
    <row r="4487">
      <c r="D4487" s="123"/>
    </row>
    <row r="4488">
      <c r="D4488" s="123"/>
    </row>
    <row r="4489">
      <c r="D4489" s="123"/>
    </row>
    <row r="4490">
      <c r="D4490" s="123"/>
    </row>
    <row r="4491">
      <c r="D4491" s="123"/>
    </row>
    <row r="4492">
      <c r="D4492" s="123"/>
    </row>
    <row r="4493">
      <c r="D4493" s="123"/>
    </row>
    <row r="4494">
      <c r="D4494" s="123"/>
    </row>
    <row r="4495">
      <c r="D4495" s="123"/>
    </row>
    <row r="4496">
      <c r="D4496" s="123"/>
    </row>
    <row r="4497">
      <c r="D4497" s="123"/>
    </row>
    <row r="4498">
      <c r="D4498" s="123"/>
    </row>
    <row r="4499">
      <c r="D4499" s="123"/>
    </row>
    <row r="4500">
      <c r="D4500" s="123"/>
    </row>
    <row r="4501">
      <c r="D4501" s="123"/>
    </row>
    <row r="4502">
      <c r="D4502" s="123"/>
    </row>
    <row r="4503">
      <c r="D4503" s="123"/>
    </row>
    <row r="4504">
      <c r="D4504" s="123"/>
    </row>
    <row r="4505">
      <c r="D4505" s="123"/>
    </row>
    <row r="4506">
      <c r="D4506" s="123"/>
    </row>
    <row r="4507">
      <c r="D4507" s="123"/>
    </row>
    <row r="4508">
      <c r="D4508" s="123"/>
    </row>
    <row r="4509">
      <c r="D4509" s="123"/>
    </row>
    <row r="4510">
      <c r="D4510" s="123"/>
    </row>
    <row r="4511">
      <c r="D4511" s="123"/>
    </row>
    <row r="4512">
      <c r="D4512" s="123"/>
    </row>
    <row r="4513">
      <c r="D4513" s="123"/>
    </row>
    <row r="4514">
      <c r="D4514" s="123"/>
    </row>
    <row r="4515">
      <c r="D4515" s="123"/>
    </row>
    <row r="4516">
      <c r="D4516" s="123"/>
    </row>
    <row r="4517">
      <c r="D4517" s="123"/>
    </row>
    <row r="4518">
      <c r="D4518" s="123"/>
    </row>
    <row r="4519">
      <c r="D4519" s="123"/>
    </row>
    <row r="4520">
      <c r="D4520" s="123"/>
    </row>
    <row r="4521">
      <c r="D4521" s="123"/>
    </row>
    <row r="4522">
      <c r="D4522" s="123"/>
    </row>
    <row r="4523">
      <c r="D4523" s="123"/>
    </row>
    <row r="4524">
      <c r="D4524" s="123"/>
    </row>
    <row r="4525">
      <c r="D4525" s="123"/>
    </row>
    <row r="4526">
      <c r="D4526" s="123"/>
    </row>
    <row r="4527">
      <c r="D4527" s="123"/>
    </row>
    <row r="4528">
      <c r="D4528" s="123"/>
    </row>
    <row r="4529">
      <c r="D4529" s="123"/>
    </row>
    <row r="4530">
      <c r="D4530" s="123"/>
    </row>
    <row r="4531">
      <c r="D4531" s="123"/>
    </row>
    <row r="4532">
      <c r="D4532" s="123"/>
    </row>
    <row r="4533">
      <c r="D4533" s="123"/>
    </row>
    <row r="4534">
      <c r="D4534" s="123"/>
    </row>
    <row r="4535">
      <c r="D4535" s="123"/>
    </row>
    <row r="4536">
      <c r="D4536" s="123"/>
    </row>
    <row r="4537">
      <c r="D4537" s="123"/>
    </row>
    <row r="4538">
      <c r="D4538" s="123"/>
    </row>
    <row r="4539">
      <c r="D4539" s="123"/>
    </row>
    <row r="4540">
      <c r="D4540" s="123"/>
    </row>
    <row r="4541">
      <c r="D4541" s="123"/>
    </row>
    <row r="4542">
      <c r="D4542" s="123"/>
    </row>
    <row r="4543">
      <c r="D4543" s="123"/>
    </row>
    <row r="4544">
      <c r="D4544" s="123"/>
    </row>
    <row r="4545">
      <c r="D4545" s="123"/>
    </row>
    <row r="4546">
      <c r="D4546" s="123"/>
    </row>
    <row r="4547">
      <c r="D4547" s="123"/>
    </row>
    <row r="4548">
      <c r="D4548" s="123"/>
    </row>
    <row r="4549">
      <c r="D4549" s="123"/>
    </row>
    <row r="4550">
      <c r="D4550" s="123"/>
    </row>
    <row r="4551">
      <c r="D4551" s="123"/>
    </row>
    <row r="4552">
      <c r="D4552" s="123"/>
    </row>
    <row r="4553">
      <c r="D4553" s="123"/>
    </row>
    <row r="4554">
      <c r="D4554" s="123"/>
    </row>
    <row r="4555">
      <c r="D4555" s="123"/>
    </row>
    <row r="4556">
      <c r="D4556" s="123"/>
    </row>
    <row r="4557">
      <c r="D4557" s="123"/>
    </row>
    <row r="4558">
      <c r="D4558" s="123"/>
    </row>
    <row r="4559">
      <c r="D4559" s="123"/>
    </row>
    <row r="4560">
      <c r="D4560" s="123"/>
    </row>
    <row r="4561">
      <c r="D4561" s="123"/>
    </row>
    <row r="4562">
      <c r="D4562" s="123"/>
    </row>
    <row r="4563">
      <c r="D4563" s="123"/>
    </row>
    <row r="4564">
      <c r="D4564" s="123"/>
    </row>
    <row r="4565">
      <c r="D4565" s="123"/>
    </row>
    <row r="4566">
      <c r="D4566" s="123"/>
    </row>
    <row r="4567">
      <c r="D4567" s="123"/>
    </row>
    <row r="4568">
      <c r="D4568" s="123"/>
    </row>
    <row r="4569">
      <c r="D4569" s="123"/>
    </row>
    <row r="4570">
      <c r="D4570" s="123"/>
    </row>
    <row r="4571">
      <c r="D4571" s="123"/>
    </row>
    <row r="4572">
      <c r="D4572" s="123"/>
    </row>
    <row r="4573">
      <c r="D4573" s="123"/>
    </row>
    <row r="4574">
      <c r="D4574" s="123"/>
    </row>
    <row r="4575">
      <c r="D4575" s="123"/>
    </row>
    <row r="4576">
      <c r="D4576" s="123"/>
    </row>
    <row r="4577">
      <c r="D4577" s="123"/>
    </row>
    <row r="4578">
      <c r="D4578" s="123"/>
    </row>
    <row r="4579">
      <c r="D4579" s="123"/>
    </row>
    <row r="4580">
      <c r="D4580" s="123"/>
    </row>
    <row r="4581">
      <c r="D4581" s="123"/>
    </row>
    <row r="4582">
      <c r="D4582" s="123"/>
    </row>
    <row r="4583">
      <c r="D4583" s="123"/>
    </row>
    <row r="4584">
      <c r="D4584" s="123"/>
    </row>
    <row r="4585">
      <c r="D4585" s="123"/>
    </row>
    <row r="4586">
      <c r="D4586" s="123"/>
    </row>
    <row r="4587">
      <c r="D4587" s="123"/>
    </row>
    <row r="4588">
      <c r="D4588" s="123"/>
    </row>
    <row r="4589">
      <c r="D4589" s="123"/>
    </row>
    <row r="4590">
      <c r="D4590" s="123"/>
    </row>
    <row r="4591">
      <c r="D4591" s="123"/>
    </row>
    <row r="4592">
      <c r="D4592" s="123"/>
    </row>
    <row r="4593">
      <c r="D4593" s="123"/>
    </row>
    <row r="4594">
      <c r="D4594" s="123"/>
    </row>
    <row r="4595">
      <c r="D4595" s="123"/>
    </row>
    <row r="4596">
      <c r="D4596" s="123"/>
    </row>
    <row r="4597">
      <c r="D4597" s="123"/>
    </row>
    <row r="4598">
      <c r="D4598" s="123"/>
    </row>
    <row r="4599">
      <c r="D4599" s="123"/>
    </row>
    <row r="4600">
      <c r="D4600" s="123"/>
    </row>
    <row r="4601">
      <c r="D4601" s="123"/>
    </row>
    <row r="4602">
      <c r="D4602" s="123"/>
    </row>
    <row r="4603">
      <c r="D4603" s="123"/>
    </row>
    <row r="4604">
      <c r="D4604" s="123"/>
    </row>
    <row r="4605">
      <c r="D4605" s="123"/>
    </row>
    <row r="4606">
      <c r="D4606" s="123"/>
    </row>
    <row r="4607">
      <c r="D4607" s="123"/>
    </row>
    <row r="4608">
      <c r="D4608" s="123"/>
    </row>
    <row r="4609">
      <c r="D4609" s="123"/>
    </row>
    <row r="4610">
      <c r="D4610" s="123"/>
    </row>
    <row r="4611">
      <c r="D4611" s="123"/>
    </row>
    <row r="4612">
      <c r="D4612" s="123"/>
    </row>
    <row r="4613">
      <c r="D4613" s="123"/>
    </row>
    <row r="4614">
      <c r="D4614" s="123"/>
    </row>
    <row r="4615">
      <c r="D4615" s="123"/>
    </row>
    <row r="4616">
      <c r="D4616" s="123"/>
    </row>
    <row r="4617">
      <c r="D4617" s="123"/>
    </row>
    <row r="4618">
      <c r="D4618" s="123"/>
    </row>
    <row r="4619">
      <c r="D4619" s="123"/>
    </row>
    <row r="4620">
      <c r="D4620" s="123"/>
    </row>
    <row r="4621">
      <c r="D4621" s="123"/>
    </row>
    <row r="4622">
      <c r="D4622" s="123"/>
    </row>
    <row r="4623">
      <c r="D4623" s="123"/>
    </row>
    <row r="4624">
      <c r="D4624" s="123"/>
    </row>
    <row r="4625">
      <c r="D4625" s="123"/>
    </row>
    <row r="4626">
      <c r="D4626" s="123"/>
    </row>
    <row r="4627">
      <c r="D4627" s="123"/>
    </row>
    <row r="4628">
      <c r="D4628" s="123"/>
    </row>
    <row r="4629">
      <c r="D4629" s="123"/>
    </row>
    <row r="4630">
      <c r="D4630" s="123"/>
    </row>
    <row r="4631">
      <c r="D4631" s="123"/>
    </row>
    <row r="4632">
      <c r="D4632" s="123"/>
    </row>
    <row r="4633">
      <c r="D4633" s="123"/>
    </row>
    <row r="4634">
      <c r="D4634" s="123"/>
    </row>
    <row r="4635">
      <c r="D4635" s="123"/>
    </row>
    <row r="4636">
      <c r="D4636" s="123"/>
    </row>
    <row r="4637">
      <c r="D4637" s="123"/>
    </row>
    <row r="4638">
      <c r="D4638" s="123"/>
    </row>
    <row r="4639">
      <c r="D4639" s="123"/>
    </row>
    <row r="4640">
      <c r="D4640" s="123"/>
    </row>
    <row r="4641">
      <c r="D4641" s="123"/>
    </row>
    <row r="4642">
      <c r="D4642" s="123"/>
    </row>
    <row r="4643">
      <c r="D4643" s="123"/>
    </row>
    <row r="4644">
      <c r="D4644" s="123"/>
    </row>
    <row r="4645">
      <c r="D4645" s="123"/>
    </row>
    <row r="4646">
      <c r="D4646" s="123"/>
    </row>
    <row r="4647">
      <c r="D4647" s="123"/>
    </row>
    <row r="4648">
      <c r="D4648" s="123"/>
    </row>
    <row r="4649">
      <c r="D4649" s="123"/>
    </row>
    <row r="4650">
      <c r="D4650" s="123"/>
    </row>
    <row r="4651">
      <c r="D4651" s="123"/>
    </row>
    <row r="4652">
      <c r="D4652" s="123"/>
    </row>
    <row r="4653">
      <c r="D4653" s="123"/>
    </row>
    <row r="4654">
      <c r="D4654" s="123"/>
    </row>
    <row r="4655">
      <c r="D4655" s="123"/>
    </row>
    <row r="4656">
      <c r="D4656" s="123"/>
    </row>
    <row r="4657">
      <c r="D4657" s="123"/>
    </row>
    <row r="4658">
      <c r="D4658" s="123"/>
    </row>
    <row r="4659">
      <c r="D4659" s="123"/>
    </row>
    <row r="4660">
      <c r="D4660" s="123"/>
    </row>
    <row r="4661">
      <c r="D4661" s="123"/>
    </row>
    <row r="4662">
      <c r="D4662" s="123"/>
    </row>
    <row r="4663">
      <c r="D4663" s="123"/>
    </row>
    <row r="4664">
      <c r="D4664" s="123"/>
    </row>
    <row r="4665">
      <c r="D4665" s="123"/>
    </row>
    <row r="4666">
      <c r="D4666" s="123"/>
    </row>
    <row r="4667">
      <c r="D4667" s="123"/>
    </row>
    <row r="4668">
      <c r="D4668" s="123"/>
    </row>
    <row r="4669">
      <c r="D4669" s="123"/>
    </row>
    <row r="4670">
      <c r="D4670" s="123"/>
    </row>
    <row r="4671">
      <c r="D4671" s="123"/>
    </row>
    <row r="4672">
      <c r="D4672" s="123"/>
    </row>
    <row r="4673">
      <c r="D4673" s="123"/>
    </row>
    <row r="4674">
      <c r="D4674" s="123"/>
    </row>
    <row r="4675">
      <c r="D4675" s="123"/>
    </row>
    <row r="4676">
      <c r="D4676" s="123"/>
    </row>
    <row r="4677">
      <c r="D4677" s="123"/>
    </row>
    <row r="4678">
      <c r="D4678" s="123"/>
    </row>
    <row r="4679">
      <c r="D4679" s="123"/>
    </row>
    <row r="4680">
      <c r="D4680" s="123"/>
    </row>
    <row r="4681">
      <c r="D4681" s="123"/>
    </row>
    <row r="4682">
      <c r="D4682" s="123"/>
    </row>
    <row r="4683">
      <c r="D4683" s="123"/>
    </row>
    <row r="4684">
      <c r="D4684" s="123"/>
    </row>
    <row r="4685">
      <c r="D4685" s="123"/>
    </row>
    <row r="4686">
      <c r="D4686" s="123"/>
    </row>
    <row r="4687">
      <c r="D4687" s="123"/>
    </row>
    <row r="4688">
      <c r="D4688" s="123"/>
    </row>
    <row r="4689">
      <c r="D4689" s="123"/>
    </row>
    <row r="4690">
      <c r="D4690" s="123"/>
    </row>
    <row r="4691">
      <c r="D4691" s="123"/>
    </row>
    <row r="4692">
      <c r="D4692" s="123"/>
    </row>
    <row r="4693">
      <c r="D4693" s="123"/>
    </row>
    <row r="4694">
      <c r="D4694" s="123"/>
    </row>
    <row r="4695">
      <c r="D4695" s="123"/>
    </row>
    <row r="4696">
      <c r="D4696" s="123"/>
    </row>
    <row r="4697">
      <c r="D4697" s="123"/>
    </row>
    <row r="4698">
      <c r="D4698" s="123"/>
    </row>
    <row r="4699">
      <c r="D4699" s="123"/>
    </row>
    <row r="4700">
      <c r="D4700" s="123"/>
    </row>
    <row r="4701">
      <c r="D4701" s="123"/>
    </row>
    <row r="4702">
      <c r="D4702" s="123"/>
    </row>
    <row r="4703">
      <c r="D4703" s="123"/>
    </row>
    <row r="4704">
      <c r="D4704" s="123"/>
    </row>
    <row r="4705">
      <c r="D4705" s="123"/>
    </row>
    <row r="4706">
      <c r="D4706" s="123"/>
    </row>
    <row r="4707">
      <c r="D4707" s="123"/>
    </row>
    <row r="4708">
      <c r="D4708" s="123"/>
    </row>
    <row r="4709">
      <c r="D4709" s="123"/>
    </row>
    <row r="4710">
      <c r="D4710" s="123"/>
    </row>
    <row r="4711">
      <c r="D4711" s="123"/>
    </row>
    <row r="4712">
      <c r="D4712" s="123"/>
    </row>
    <row r="4713">
      <c r="D4713" s="123"/>
    </row>
    <row r="4714">
      <c r="D4714" s="123"/>
    </row>
    <row r="4715">
      <c r="D4715" s="123"/>
    </row>
    <row r="4716">
      <c r="D4716" s="123"/>
    </row>
    <row r="4717">
      <c r="D4717" s="123"/>
    </row>
    <row r="4718">
      <c r="D4718" s="123"/>
    </row>
    <row r="4719">
      <c r="D4719" s="123"/>
    </row>
    <row r="4720">
      <c r="D4720" s="123"/>
    </row>
    <row r="4721">
      <c r="D4721" s="123"/>
    </row>
    <row r="4722">
      <c r="D4722" s="123"/>
    </row>
    <row r="4723">
      <c r="D4723" s="123"/>
    </row>
    <row r="4724">
      <c r="D4724" s="123"/>
    </row>
    <row r="4725">
      <c r="D4725" s="123"/>
    </row>
    <row r="4726">
      <c r="D4726" s="123"/>
    </row>
    <row r="4727">
      <c r="D4727" s="123"/>
    </row>
    <row r="4728">
      <c r="D4728" s="123"/>
    </row>
    <row r="4729">
      <c r="D4729" s="123"/>
    </row>
    <row r="4730">
      <c r="D4730" s="123"/>
    </row>
    <row r="4731">
      <c r="D4731" s="123"/>
    </row>
    <row r="4732">
      <c r="D4732" s="123"/>
    </row>
    <row r="4733">
      <c r="D4733" s="123"/>
    </row>
    <row r="4734">
      <c r="D4734" s="123"/>
    </row>
    <row r="4735">
      <c r="D4735" s="123"/>
    </row>
    <row r="4736">
      <c r="D4736" s="123"/>
    </row>
    <row r="4737">
      <c r="D4737" s="123"/>
    </row>
    <row r="4738">
      <c r="D4738" s="123"/>
    </row>
    <row r="4739">
      <c r="D4739" s="123"/>
    </row>
    <row r="4740">
      <c r="D4740" s="123"/>
    </row>
    <row r="4741">
      <c r="D4741" s="123"/>
    </row>
    <row r="4742">
      <c r="D4742" s="123"/>
    </row>
    <row r="4743">
      <c r="D4743" s="123"/>
    </row>
    <row r="4744">
      <c r="D4744" s="123"/>
    </row>
    <row r="4745">
      <c r="D4745" s="123"/>
    </row>
    <row r="4746">
      <c r="D4746" s="123"/>
    </row>
    <row r="4747">
      <c r="D4747" s="123"/>
    </row>
    <row r="4748">
      <c r="D4748" s="123"/>
    </row>
    <row r="4749">
      <c r="D4749" s="123"/>
    </row>
    <row r="4750">
      <c r="D4750" s="123"/>
    </row>
    <row r="4751">
      <c r="D4751" s="123"/>
    </row>
    <row r="4752">
      <c r="D4752" s="123"/>
    </row>
    <row r="4753">
      <c r="D4753" s="123"/>
    </row>
    <row r="4754">
      <c r="D4754" s="123"/>
    </row>
    <row r="4755">
      <c r="D4755" s="123"/>
    </row>
    <row r="4756">
      <c r="D4756" s="123"/>
    </row>
    <row r="4757">
      <c r="D4757" s="123"/>
    </row>
    <row r="4758">
      <c r="D4758" s="123"/>
    </row>
    <row r="4759">
      <c r="D4759" s="123"/>
    </row>
    <row r="4760">
      <c r="D4760" s="123"/>
    </row>
    <row r="4761">
      <c r="D4761" s="123"/>
    </row>
    <row r="4762">
      <c r="D4762" s="123"/>
    </row>
    <row r="4763">
      <c r="D4763" s="123"/>
    </row>
    <row r="4764">
      <c r="D4764" s="123"/>
    </row>
    <row r="4765">
      <c r="D4765" s="123"/>
    </row>
    <row r="4766">
      <c r="D4766" s="123"/>
    </row>
    <row r="4767">
      <c r="D4767" s="123"/>
    </row>
    <row r="4768">
      <c r="D4768" s="123"/>
    </row>
    <row r="4769">
      <c r="D4769" s="123"/>
    </row>
    <row r="4770">
      <c r="D4770" s="123"/>
    </row>
    <row r="4771">
      <c r="D4771" s="123"/>
    </row>
    <row r="4772">
      <c r="D4772" s="123"/>
    </row>
    <row r="4773">
      <c r="D4773" s="123"/>
    </row>
    <row r="4774">
      <c r="D4774" s="123"/>
    </row>
    <row r="4775">
      <c r="D4775" s="123"/>
    </row>
    <row r="4776">
      <c r="D4776" s="123"/>
    </row>
    <row r="4777">
      <c r="D4777" s="123"/>
    </row>
    <row r="4778">
      <c r="D4778" s="123"/>
    </row>
    <row r="4779">
      <c r="D4779" s="123"/>
    </row>
    <row r="4780">
      <c r="D4780" s="123"/>
    </row>
    <row r="4781">
      <c r="D4781" s="123"/>
    </row>
    <row r="4782">
      <c r="D4782" s="123"/>
    </row>
    <row r="4783">
      <c r="D4783" s="123"/>
    </row>
    <row r="4784">
      <c r="D4784" s="123"/>
    </row>
    <row r="4785">
      <c r="D4785" s="123"/>
    </row>
    <row r="4786">
      <c r="D4786" s="123"/>
    </row>
    <row r="4787">
      <c r="D4787" s="123"/>
    </row>
    <row r="4788">
      <c r="D4788" s="123"/>
    </row>
    <row r="4789">
      <c r="D4789" s="123"/>
    </row>
    <row r="4790">
      <c r="D4790" s="123"/>
    </row>
    <row r="4791">
      <c r="D4791" s="123"/>
    </row>
    <row r="4792">
      <c r="D4792" s="123"/>
    </row>
    <row r="4793">
      <c r="D4793" s="123"/>
    </row>
    <row r="4794">
      <c r="D4794" s="123"/>
    </row>
    <row r="4795">
      <c r="D4795" s="123"/>
    </row>
    <row r="4796">
      <c r="D4796" s="123"/>
    </row>
    <row r="4797">
      <c r="D4797" s="123"/>
    </row>
    <row r="4798">
      <c r="D4798" s="123"/>
    </row>
    <row r="4799">
      <c r="D4799" s="123"/>
    </row>
    <row r="4800">
      <c r="D4800" s="123"/>
    </row>
    <row r="4801">
      <c r="D4801" s="123"/>
    </row>
    <row r="4802">
      <c r="D4802" s="123"/>
    </row>
    <row r="4803">
      <c r="D4803" s="123"/>
    </row>
    <row r="4804">
      <c r="D4804" s="123"/>
    </row>
    <row r="4805">
      <c r="D4805" s="123"/>
    </row>
    <row r="4806">
      <c r="D4806" s="123"/>
    </row>
    <row r="4807">
      <c r="D4807" s="123"/>
    </row>
    <row r="4808">
      <c r="D4808" s="123"/>
    </row>
    <row r="4809">
      <c r="D4809" s="123"/>
    </row>
    <row r="4810">
      <c r="D4810" s="123"/>
    </row>
    <row r="4811">
      <c r="D4811" s="123"/>
    </row>
    <row r="4812">
      <c r="D4812" s="123"/>
    </row>
    <row r="4813">
      <c r="D4813" s="123"/>
    </row>
    <row r="4814">
      <c r="D4814" s="123"/>
    </row>
    <row r="4815">
      <c r="D4815" s="123"/>
    </row>
    <row r="4816">
      <c r="D4816" s="123"/>
    </row>
    <row r="4817">
      <c r="D4817" s="123"/>
    </row>
    <row r="4818">
      <c r="D4818" s="123"/>
    </row>
    <row r="4819">
      <c r="D4819" s="123"/>
    </row>
    <row r="4820">
      <c r="D4820" s="123"/>
    </row>
    <row r="4821">
      <c r="D4821" s="123"/>
    </row>
    <row r="4822">
      <c r="D4822" s="123"/>
    </row>
    <row r="4823">
      <c r="D4823" s="123"/>
    </row>
    <row r="4824">
      <c r="D4824" s="123"/>
    </row>
    <row r="4825">
      <c r="D4825" s="123"/>
    </row>
    <row r="4826">
      <c r="D4826" s="123"/>
    </row>
    <row r="4827">
      <c r="D4827" s="123"/>
    </row>
    <row r="4828">
      <c r="D4828" s="123"/>
    </row>
    <row r="4829">
      <c r="D4829" s="123"/>
    </row>
    <row r="4830">
      <c r="D4830" s="123"/>
    </row>
    <row r="4831">
      <c r="D4831" s="123"/>
    </row>
    <row r="4832">
      <c r="D4832" s="123"/>
    </row>
    <row r="4833">
      <c r="D4833" s="123"/>
    </row>
    <row r="4834">
      <c r="D4834" s="123"/>
    </row>
    <row r="4835">
      <c r="D4835" s="123"/>
    </row>
    <row r="4836">
      <c r="D4836" s="123"/>
    </row>
    <row r="4837">
      <c r="D4837" s="123"/>
    </row>
    <row r="4838">
      <c r="D4838" s="123"/>
    </row>
    <row r="4839">
      <c r="D4839" s="123"/>
    </row>
    <row r="4840">
      <c r="D4840" s="123"/>
    </row>
    <row r="4841">
      <c r="D4841" s="123"/>
    </row>
    <row r="4842">
      <c r="D4842" s="123"/>
    </row>
    <row r="4843">
      <c r="D4843" s="123"/>
    </row>
    <row r="4844">
      <c r="D4844" s="123"/>
    </row>
    <row r="4845">
      <c r="D4845" s="123"/>
    </row>
    <row r="4846">
      <c r="D4846" s="123"/>
    </row>
    <row r="4847">
      <c r="D4847" s="123"/>
    </row>
    <row r="4848">
      <c r="D4848" s="123"/>
    </row>
    <row r="4849">
      <c r="D4849" s="123"/>
    </row>
    <row r="4850">
      <c r="D4850" s="123"/>
    </row>
    <row r="4851">
      <c r="D4851" s="123"/>
    </row>
    <row r="4852">
      <c r="D4852" s="123"/>
    </row>
    <row r="4853">
      <c r="D4853" s="123"/>
    </row>
    <row r="4854">
      <c r="D4854" s="123"/>
    </row>
    <row r="4855">
      <c r="D4855" s="123"/>
    </row>
    <row r="4856">
      <c r="D4856" s="123"/>
    </row>
    <row r="4857">
      <c r="D4857" s="123"/>
    </row>
    <row r="4858">
      <c r="D4858" s="123"/>
    </row>
    <row r="4859">
      <c r="D4859" s="123"/>
    </row>
    <row r="4860">
      <c r="D4860" s="123"/>
    </row>
    <row r="4861">
      <c r="D4861" s="123"/>
    </row>
    <row r="4862">
      <c r="D4862" s="123"/>
    </row>
    <row r="4863">
      <c r="D4863" s="123"/>
    </row>
    <row r="4864">
      <c r="D4864" s="123"/>
    </row>
    <row r="4865">
      <c r="D4865" s="123"/>
    </row>
    <row r="4866">
      <c r="D4866" s="123"/>
    </row>
    <row r="4867">
      <c r="D4867" s="123"/>
    </row>
    <row r="4868">
      <c r="D4868" s="123"/>
    </row>
    <row r="4869">
      <c r="D4869" s="123"/>
    </row>
    <row r="4870">
      <c r="D4870" s="123"/>
    </row>
    <row r="4871">
      <c r="D4871" s="123"/>
    </row>
    <row r="4872">
      <c r="D4872" s="123"/>
    </row>
    <row r="4873">
      <c r="D4873" s="123"/>
    </row>
    <row r="4874">
      <c r="D4874" s="123"/>
    </row>
    <row r="4875">
      <c r="D4875" s="123"/>
    </row>
    <row r="4876">
      <c r="D4876" s="123"/>
    </row>
    <row r="4877">
      <c r="D4877" s="123"/>
    </row>
    <row r="4878">
      <c r="D4878" s="123"/>
    </row>
    <row r="4879">
      <c r="D4879" s="123"/>
    </row>
    <row r="4880">
      <c r="D4880" s="123"/>
    </row>
    <row r="4881">
      <c r="D4881" s="123"/>
    </row>
    <row r="4882">
      <c r="D4882" s="123"/>
    </row>
    <row r="4883">
      <c r="D4883" s="123"/>
    </row>
    <row r="4884">
      <c r="D4884" s="123"/>
    </row>
    <row r="4885">
      <c r="D4885" s="123"/>
    </row>
    <row r="4886">
      <c r="D4886" s="123"/>
    </row>
    <row r="4887">
      <c r="D4887" s="123"/>
    </row>
    <row r="4888">
      <c r="D4888" s="123"/>
    </row>
    <row r="4889">
      <c r="D4889" s="123"/>
    </row>
    <row r="4890">
      <c r="D4890" s="123"/>
    </row>
    <row r="4891">
      <c r="D4891" s="123"/>
    </row>
    <row r="4892">
      <c r="D4892" s="123"/>
    </row>
    <row r="4893">
      <c r="D4893" s="123"/>
    </row>
    <row r="4894">
      <c r="D4894" s="123"/>
    </row>
    <row r="4895">
      <c r="D4895" s="123"/>
    </row>
    <row r="4896">
      <c r="D4896" s="123"/>
    </row>
    <row r="4897">
      <c r="D4897" s="123"/>
    </row>
    <row r="4898">
      <c r="D4898" s="123"/>
    </row>
    <row r="4899">
      <c r="D4899" s="123"/>
    </row>
    <row r="4900">
      <c r="D4900" s="123"/>
    </row>
    <row r="4901">
      <c r="D4901" s="123"/>
    </row>
    <row r="4902">
      <c r="D4902" s="123"/>
    </row>
    <row r="4903">
      <c r="D4903" s="123"/>
    </row>
    <row r="4904">
      <c r="D4904" s="123"/>
    </row>
    <row r="4905">
      <c r="D4905" s="123"/>
    </row>
    <row r="4906">
      <c r="D4906" s="123"/>
    </row>
    <row r="4907">
      <c r="D4907" s="123"/>
    </row>
    <row r="4908">
      <c r="D4908" s="123"/>
    </row>
    <row r="4909">
      <c r="D4909" s="123"/>
    </row>
    <row r="4910">
      <c r="D4910" s="123"/>
    </row>
    <row r="4911">
      <c r="D4911" s="123"/>
    </row>
    <row r="4912">
      <c r="D4912" s="123"/>
    </row>
    <row r="4913">
      <c r="D4913" s="123"/>
    </row>
    <row r="4914">
      <c r="D4914" s="123"/>
    </row>
    <row r="4915">
      <c r="D4915" s="123"/>
    </row>
    <row r="4916">
      <c r="D4916" s="123"/>
    </row>
    <row r="4917">
      <c r="D4917" s="123"/>
    </row>
    <row r="4918">
      <c r="D4918" s="123"/>
    </row>
    <row r="4919">
      <c r="D4919" s="123"/>
    </row>
    <row r="4920">
      <c r="D4920" s="123"/>
    </row>
    <row r="4921">
      <c r="D4921" s="123"/>
    </row>
    <row r="4922">
      <c r="D4922" s="123"/>
    </row>
    <row r="4923">
      <c r="D4923" s="123"/>
    </row>
    <row r="4924">
      <c r="D4924" s="123"/>
    </row>
    <row r="4925">
      <c r="D4925" s="123"/>
    </row>
    <row r="4926">
      <c r="D4926" s="123"/>
    </row>
    <row r="4927">
      <c r="D4927" s="123"/>
    </row>
    <row r="4928">
      <c r="D4928" s="123"/>
    </row>
    <row r="4929">
      <c r="D4929" s="123"/>
    </row>
    <row r="4930">
      <c r="D4930" s="123"/>
    </row>
    <row r="4931">
      <c r="D4931" s="123"/>
    </row>
    <row r="4932">
      <c r="D4932" s="123"/>
    </row>
    <row r="4933">
      <c r="D4933" s="123"/>
    </row>
    <row r="4934">
      <c r="D4934" s="123"/>
    </row>
    <row r="4935">
      <c r="D4935" s="123"/>
    </row>
    <row r="4936">
      <c r="D4936" s="123"/>
    </row>
    <row r="4937">
      <c r="D4937" s="123"/>
    </row>
    <row r="4938">
      <c r="D4938" s="123"/>
    </row>
    <row r="4939">
      <c r="D4939" s="123"/>
    </row>
    <row r="4940">
      <c r="D4940" s="123"/>
    </row>
    <row r="4941">
      <c r="D4941" s="123"/>
    </row>
    <row r="4942">
      <c r="D4942" s="123"/>
    </row>
    <row r="4943">
      <c r="D4943" s="123"/>
    </row>
    <row r="4944">
      <c r="D4944" s="123"/>
    </row>
    <row r="4945">
      <c r="D4945" s="123"/>
    </row>
    <row r="4946">
      <c r="D4946" s="123"/>
    </row>
    <row r="4947">
      <c r="D4947" s="123"/>
    </row>
    <row r="4948">
      <c r="D4948" s="123"/>
    </row>
    <row r="4949">
      <c r="D4949" s="123"/>
    </row>
    <row r="4950">
      <c r="D4950" s="123"/>
    </row>
    <row r="4951">
      <c r="D4951" s="123"/>
    </row>
    <row r="4952">
      <c r="D4952" s="123"/>
    </row>
    <row r="4953">
      <c r="D4953" s="123"/>
    </row>
    <row r="4954">
      <c r="D4954" s="123"/>
    </row>
    <row r="4955">
      <c r="D4955" s="123"/>
    </row>
    <row r="4956">
      <c r="D4956" s="123"/>
    </row>
    <row r="4957">
      <c r="D4957" s="123"/>
    </row>
    <row r="4958">
      <c r="D4958" s="123"/>
    </row>
    <row r="4959">
      <c r="D4959" s="123"/>
    </row>
    <row r="4960">
      <c r="D4960" s="123"/>
    </row>
    <row r="4961">
      <c r="D4961" s="123"/>
    </row>
    <row r="4962">
      <c r="D4962" s="123"/>
    </row>
    <row r="4963">
      <c r="D4963" s="123"/>
    </row>
    <row r="4964">
      <c r="D4964" s="123"/>
    </row>
    <row r="4965">
      <c r="D4965" s="123"/>
    </row>
    <row r="4966">
      <c r="D4966" s="123"/>
    </row>
    <row r="4967">
      <c r="D4967" s="123"/>
    </row>
    <row r="4968">
      <c r="D4968" s="123"/>
    </row>
    <row r="4969">
      <c r="D4969" s="123"/>
    </row>
    <row r="4970">
      <c r="D4970" s="123"/>
    </row>
    <row r="4971">
      <c r="D4971" s="123"/>
    </row>
    <row r="4972">
      <c r="D4972" s="123"/>
    </row>
    <row r="4973">
      <c r="D4973" s="123"/>
    </row>
    <row r="4974">
      <c r="D4974" s="123"/>
    </row>
    <row r="4975">
      <c r="D4975" s="123"/>
    </row>
    <row r="4976">
      <c r="D4976" s="123"/>
    </row>
    <row r="4977">
      <c r="D4977" s="123"/>
    </row>
    <row r="4978">
      <c r="D4978" s="123"/>
    </row>
    <row r="4979">
      <c r="D4979" s="123"/>
    </row>
    <row r="4980">
      <c r="D4980" s="123"/>
    </row>
    <row r="4981">
      <c r="D4981" s="123"/>
    </row>
    <row r="4982">
      <c r="D4982" s="123"/>
    </row>
    <row r="4983">
      <c r="D4983" s="123"/>
    </row>
    <row r="4984">
      <c r="D4984" s="123"/>
    </row>
    <row r="4985">
      <c r="D4985" s="123"/>
    </row>
    <row r="4986">
      <c r="D4986" s="123"/>
    </row>
    <row r="4987">
      <c r="D4987" s="123"/>
    </row>
    <row r="4988">
      <c r="D4988" s="123"/>
    </row>
    <row r="4989">
      <c r="D4989" s="123"/>
    </row>
    <row r="4990">
      <c r="D4990" s="123"/>
    </row>
    <row r="4991">
      <c r="D4991" s="123"/>
    </row>
    <row r="4992">
      <c r="D4992" s="123"/>
    </row>
    <row r="4993">
      <c r="D4993" s="123"/>
    </row>
    <row r="4994">
      <c r="D4994" s="123"/>
    </row>
    <row r="4995">
      <c r="D4995" s="123"/>
    </row>
    <row r="4996">
      <c r="D4996" s="123"/>
    </row>
    <row r="4997">
      <c r="D4997" s="123"/>
    </row>
    <row r="4998">
      <c r="D4998" s="123"/>
    </row>
    <row r="4999">
      <c r="D4999" s="123"/>
    </row>
    <row r="5000">
      <c r="D5000" s="123"/>
    </row>
  </sheetData>
  <sheetProtection sheet="1" formatRows="0" spinCount="100000" saltValue="4XpU583i/YcIQ9ETVKmLOw==" hashValue="O3KYPzI6My8o0OsRycSaduMbsZPn1wSpKy+b+y0RXaa8e843Rp19rXI0Y2wUYP41Ld2hhLiMYgHXpsPdayVuzw==" algorithmName="SHA-512"/>
  <mergeCells count="43">
    <mergeCell ref="C143:G143"/>
    <mergeCell ref="C147:G147"/>
    <mergeCell ref="C169:G169"/>
    <mergeCell ref="C110:G110"/>
    <mergeCell ref="C114:G114"/>
    <mergeCell ref="C119:G119"/>
    <mergeCell ref="C129:G129"/>
    <mergeCell ref="C134:G134"/>
    <mergeCell ref="C139:G139"/>
    <mergeCell ref="C94:G94"/>
    <mergeCell ref="C95:G95"/>
    <mergeCell ref="C98:G98"/>
    <mergeCell ref="C99:G99"/>
    <mergeCell ref="C102:G102"/>
    <mergeCell ref="C106:G106"/>
    <mergeCell ref="C85:G85"/>
    <mergeCell ref="C86:G86"/>
    <mergeCell ref="C88:G88"/>
    <mergeCell ref="C89:G89"/>
    <mergeCell ref="C91:G91"/>
    <mergeCell ref="C92:G92"/>
    <mergeCell ref="C64:G64"/>
    <mergeCell ref="C79:G79"/>
    <mergeCell ref="C80:G80"/>
    <mergeCell ref="C82:G82"/>
    <mergeCell ref="C83:G83"/>
    <mergeCell ref="C84:G84"/>
    <mergeCell ref="C25:G25"/>
    <mergeCell ref="C26:G26"/>
    <mergeCell ref="C32:G32"/>
    <mergeCell ref="C33:G33"/>
    <mergeCell ref="C38:G38"/>
    <mergeCell ref="C39:G39"/>
    <mergeCell ref="A1:G1"/>
    <mergeCell ref="C2:G2"/>
    <mergeCell ref="C3:G3"/>
    <mergeCell ref="C4:G4"/>
    <mergeCell ref="A181:C181"/>
    <mergeCell ref="A182:G186"/>
    <mergeCell ref="C10:G10"/>
    <mergeCell ref="C11:G11"/>
    <mergeCell ref="C15:G15"/>
    <mergeCell ref="C16:G16"/>
  </mergeCells>
  <pageMargins left="0.5902778" right="0.1965278" top="0.7875" bottom="0.7875" header="0.3" footer="0.3"/>
  <pageSetup r:id="rId1" paperSize="9" orientation="portrait"/>
  <headerFooter>
    <oddFooter xml:space="preserve">&amp;RStránka &amp;P z &amp;N&amp;LZpracováno programem BUILDpower S,  © RTS, a.s.</oddFooter>
  </headerFooter>
  <legacyDrawing r:id="rId2"/>
</worksheet>
</file>

<file path=xl/worksheets/sheet5.xml><?xml version="1.0" encoding="utf-8"?>
<worksheet xmlns:r="http://schemas.openxmlformats.org/officeDocument/2006/relationships" xmlns="http://schemas.openxmlformats.org/spreadsheetml/2006/main">
  <sheetPr>
    <outlinePr summaryBelow="0"/>
  </sheetPr>
  <sheetViews>
    <sheetView workbookViewId="0">
      <pane activePane="bottomLeft" state="frozen" topLeftCell="A8" ySplit="7"/>
      <selection pane="bottomLeft" activeCell="A1" sqref="A1:G1"/>
    </sheetView>
  </sheetViews>
  <sheetFormatPr defaultRowHeight="12.75" outlineLevelRow="3"/>
  <cols>
    <col min="1" max="1" width="3.542969" customWidth="1"/>
    <col min="2" max="2" width="12.69141" style="191" customWidth="1"/>
    <col min="3" max="3" width="38.40234" style="191" customWidth="1"/>
    <col min="4" max="4" width="4.972656" customWidth="1"/>
    <col min="5" max="5" width="10.69141" customWidth="1"/>
    <col min="6" max="6" width="9.972656" customWidth="1"/>
    <col min="7" max="7" width="12.83203" customWidth="1"/>
    <col min="8" max="25" hidden="1" customWidth="1"/>
    <col min="29" max="29" hidden="1" customWidth="1"/>
    <col min="31" max="41" hidden="1" customWidth="1"/>
    <col min="53" max="53" width="73.83203" customWidth="1"/>
  </cols>
  <sheetData>
    <row r="1" ht="15.75" customHeight="1">
      <c r="A1" s="192" t="s">
        <v>171</v>
      </c>
      <c r="B1" s="192"/>
      <c r="C1" s="192"/>
      <c r="D1" s="192"/>
      <c r="E1" s="192"/>
      <c r="F1" s="192"/>
      <c r="G1" s="192"/>
      <c r="AG1" t="s">
        <v>175</v>
      </c>
    </row>
    <row r="2" ht="24.95" customHeight="1">
      <c r="A2" s="193" t="s">
        <v>172</v>
      </c>
      <c r="B2" s="185" t="s">
        <v>5</v>
      </c>
      <c r="C2" s="185" t="s">
        <v>6</v>
      </c>
      <c r="D2" s="194"/>
      <c r="E2" s="194"/>
      <c r="F2" s="194"/>
      <c r="G2" s="195"/>
      <c r="AG2" t="s">
        <v>176</v>
      </c>
    </row>
    <row r="3" ht="24.95" customHeight="1">
      <c r="A3" s="193" t="s">
        <v>173</v>
      </c>
      <c r="B3" s="185" t="s">
        <v>59</v>
      </c>
      <c r="C3" s="185" t="s">
        <v>60</v>
      </c>
      <c r="D3" s="194"/>
      <c r="E3" s="194"/>
      <c r="F3" s="194"/>
      <c r="G3" s="195"/>
      <c r="AC3" s="191" t="s">
        <v>176</v>
      </c>
      <c r="AG3" t="s">
        <v>177</v>
      </c>
    </row>
    <row r="4" ht="24.95" customHeight="1">
      <c r="A4" s="196" t="s">
        <v>174</v>
      </c>
      <c r="B4" s="197" t="s">
        <v>57</v>
      </c>
      <c r="C4" s="197" t="s">
        <v>61</v>
      </c>
      <c r="D4" s="198"/>
      <c r="E4" s="198"/>
      <c r="F4" s="198"/>
      <c r="G4" s="199"/>
      <c r="AG4" t="s">
        <v>178</v>
      </c>
    </row>
    <row r="5">
      <c r="D5" s="123"/>
    </row>
    <row r="6" ht="38.25">
      <c r="A6" s="200" t="s">
        <v>179</v>
      </c>
      <c r="B6" s="201" t="s">
        <v>180</v>
      </c>
      <c r="C6" s="201" t="s">
        <v>181</v>
      </c>
      <c r="D6" s="202" t="s">
        <v>182</v>
      </c>
      <c r="E6" s="200" t="s">
        <v>183</v>
      </c>
      <c r="F6" s="203" t="s">
        <v>184</v>
      </c>
      <c r="G6" s="200" t="s">
        <v>26</v>
      </c>
      <c r="H6" s="204" t="s">
        <v>185</v>
      </c>
      <c r="I6" s="204" t="s">
        <v>186</v>
      </c>
      <c r="J6" s="204" t="s">
        <v>187</v>
      </c>
      <c r="K6" s="204" t="s">
        <v>188</v>
      </c>
      <c r="L6" s="204" t="s">
        <v>189</v>
      </c>
      <c r="M6" s="204" t="s">
        <v>190</v>
      </c>
      <c r="N6" s="204" t="s">
        <v>191</v>
      </c>
      <c r="O6" s="204" t="s">
        <v>192</v>
      </c>
      <c r="P6" s="204" t="s">
        <v>193</v>
      </c>
      <c r="Q6" s="204" t="s">
        <v>194</v>
      </c>
      <c r="R6" s="204" t="s">
        <v>195</v>
      </c>
      <c r="S6" s="204" t="s">
        <v>196</v>
      </c>
      <c r="T6" s="204" t="s">
        <v>197</v>
      </c>
      <c r="U6" s="204" t="s">
        <v>198</v>
      </c>
      <c r="V6" s="204" t="s">
        <v>199</v>
      </c>
      <c r="W6" s="204" t="s">
        <v>200</v>
      </c>
      <c r="X6" s="204" t="s">
        <v>201</v>
      </c>
      <c r="Y6" s="204" t="s">
        <v>202</v>
      </c>
    </row>
    <row r="7" hidden="1">
      <c r="A7" s="180"/>
      <c r="B7" s="188"/>
      <c r="C7" s="188"/>
      <c r="D7" s="190"/>
      <c r="E7" s="205"/>
      <c r="F7" s="206"/>
      <c r="G7" s="206"/>
      <c r="H7" s="206"/>
      <c r="I7" s="206"/>
      <c r="J7" s="206"/>
      <c r="K7" s="206"/>
      <c r="L7" s="206"/>
      <c r="M7" s="206"/>
      <c r="N7" s="205"/>
      <c r="O7" s="205"/>
      <c r="P7" s="205"/>
      <c r="Q7" s="205"/>
      <c r="R7" s="206"/>
      <c r="S7" s="206"/>
      <c r="T7" s="206"/>
      <c r="U7" s="206"/>
      <c r="V7" s="206"/>
      <c r="W7" s="206"/>
      <c r="X7" s="206"/>
      <c r="Y7" s="206"/>
    </row>
    <row r="8">
      <c r="A8" s="207" t="s">
        <v>203</v>
      </c>
      <c r="B8" s="208" t="s">
        <v>125</v>
      </c>
      <c r="C8" s="209" t="s">
        <v>126</v>
      </c>
      <c r="D8" s="210"/>
      <c r="E8" s="211"/>
      <c r="F8" s="212"/>
      <c r="G8" s="213">
        <f>SUMIF(AG9:AG37,"&lt;&gt;NOR",G9:G37)</f>
        <v>0</v>
      </c>
      <c r="H8" s="214"/>
      <c r="I8" s="214">
        <f>SUM(I9:I37)</f>
        <v>0</v>
      </c>
      <c r="J8" s="214"/>
      <c r="K8" s="214">
        <f>SUM(K9:K37)</f>
        <v>0</v>
      </c>
      <c r="L8" s="214"/>
      <c r="M8" s="214">
        <f>SUM(M9:M37)</f>
        <v>0</v>
      </c>
      <c r="N8" s="215"/>
      <c r="O8" s="215">
        <f>SUM(O9:O37)</f>
        <v>0</v>
      </c>
      <c r="P8" s="215"/>
      <c r="Q8" s="215">
        <f>SUM(Q9:Q37)</f>
        <v>0</v>
      </c>
      <c r="R8" s="214"/>
      <c r="S8" s="214"/>
      <c r="T8" s="214"/>
      <c r="U8" s="214"/>
      <c r="V8" s="214">
        <f>SUM(V9:V37)</f>
        <v>80.929999999999993</v>
      </c>
      <c r="W8" s="214"/>
      <c r="X8" s="214"/>
      <c r="Y8" s="214"/>
      <c r="AG8" t="s">
        <v>204</v>
      </c>
    </row>
    <row r="9" outlineLevel="1">
      <c r="A9" s="216">
        <v>1</v>
      </c>
      <c r="B9" s="217" t="s">
        <v>393</v>
      </c>
      <c r="C9" s="218" t="s">
        <v>394</v>
      </c>
      <c r="D9" s="219" t="s">
        <v>221</v>
      </c>
      <c r="E9" s="220">
        <v>306.68000000000001</v>
      </c>
      <c r="F9" s="221"/>
      <c r="G9" s="222">
        <f>ROUND(E9*F9,2)</f>
        <v>0</v>
      </c>
      <c r="H9" s="223"/>
      <c r="I9" s="224">
        <f>ROUND(E9*H9,2)</f>
        <v>0</v>
      </c>
      <c r="J9" s="223"/>
      <c r="K9" s="224">
        <f>ROUND(E9*J9,2)</f>
        <v>0</v>
      </c>
      <c r="L9" s="224">
        <v>21</v>
      </c>
      <c r="M9" s="224">
        <f>G9*(1+L9/100)</f>
        <v>0</v>
      </c>
      <c r="N9" s="225">
        <v>0</v>
      </c>
      <c r="O9" s="225">
        <f>ROUND(E9*N9,2)</f>
        <v>0</v>
      </c>
      <c r="P9" s="225">
        <v>0</v>
      </c>
      <c r="Q9" s="225">
        <f>ROUND(E9*P9,2)</f>
        <v>0</v>
      </c>
      <c r="R9" s="224"/>
      <c r="S9" s="224" t="s">
        <v>395</v>
      </c>
      <c r="T9" s="224" t="s">
        <v>209</v>
      </c>
      <c r="U9" s="224">
        <v>0.106</v>
      </c>
      <c r="V9" s="224">
        <f>ROUND(E9*U9,2)</f>
        <v>32.509999999999998</v>
      </c>
      <c r="W9" s="224"/>
      <c r="X9" s="224" t="s">
        <v>210</v>
      </c>
      <c r="Y9" s="224" t="s">
        <v>211</v>
      </c>
      <c r="Z9" s="226"/>
      <c r="AA9" s="226"/>
      <c r="AB9" s="226"/>
      <c r="AC9" s="226"/>
      <c r="AD9" s="226"/>
      <c r="AE9" s="226"/>
      <c r="AF9" s="226"/>
      <c r="AG9" s="226" t="s">
        <v>396</v>
      </c>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row>
    <row r="10" outlineLevel="2">
      <c r="A10" s="227"/>
      <c r="B10" s="228"/>
      <c r="C10" s="233" t="s">
        <v>397</v>
      </c>
      <c r="D10" s="234"/>
      <c r="E10" s="235">
        <v>197.12000000000001</v>
      </c>
      <c r="F10" s="224"/>
      <c r="G10" s="224"/>
      <c r="H10" s="224"/>
      <c r="I10" s="224"/>
      <c r="J10" s="224"/>
      <c r="K10" s="224"/>
      <c r="L10" s="224"/>
      <c r="M10" s="224"/>
      <c r="N10" s="225"/>
      <c r="O10" s="225"/>
      <c r="P10" s="225"/>
      <c r="Q10" s="225"/>
      <c r="R10" s="224"/>
      <c r="S10" s="224"/>
      <c r="T10" s="224"/>
      <c r="U10" s="224"/>
      <c r="V10" s="224"/>
      <c r="W10" s="224"/>
      <c r="X10" s="224"/>
      <c r="Y10" s="224"/>
      <c r="Z10" s="226"/>
      <c r="AA10" s="226"/>
      <c r="AB10" s="226"/>
      <c r="AC10" s="226"/>
      <c r="AD10" s="226"/>
      <c r="AE10" s="226"/>
      <c r="AF10" s="226"/>
      <c r="AG10" s="226" t="s">
        <v>217</v>
      </c>
      <c r="AH10" s="226">
        <v>0</v>
      </c>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row>
    <row r="11" outlineLevel="3">
      <c r="A11" s="227"/>
      <c r="B11" s="228"/>
      <c r="C11" s="233" t="s">
        <v>398</v>
      </c>
      <c r="D11" s="234"/>
      <c r="E11" s="235">
        <v>42.899999999999999</v>
      </c>
      <c r="F11" s="224"/>
      <c r="G11" s="224"/>
      <c r="H11" s="224"/>
      <c r="I11" s="224"/>
      <c r="J11" s="224"/>
      <c r="K11" s="224"/>
      <c r="L11" s="224"/>
      <c r="M11" s="224"/>
      <c r="N11" s="225"/>
      <c r="O11" s="225"/>
      <c r="P11" s="225"/>
      <c r="Q11" s="225"/>
      <c r="R11" s="224"/>
      <c r="S11" s="224"/>
      <c r="T11" s="224"/>
      <c r="U11" s="224"/>
      <c r="V11" s="224"/>
      <c r="W11" s="224"/>
      <c r="X11" s="224"/>
      <c r="Y11" s="224"/>
      <c r="Z11" s="226"/>
      <c r="AA11" s="226"/>
      <c r="AB11" s="226"/>
      <c r="AC11" s="226"/>
      <c r="AD11" s="226"/>
      <c r="AE11" s="226"/>
      <c r="AF11" s="226"/>
      <c r="AG11" s="226" t="s">
        <v>217</v>
      </c>
      <c r="AH11" s="226">
        <v>0</v>
      </c>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row>
    <row r="12" outlineLevel="3">
      <c r="A12" s="227"/>
      <c r="B12" s="228"/>
      <c r="C12" s="233" t="s">
        <v>399</v>
      </c>
      <c r="D12" s="234"/>
      <c r="E12" s="235">
        <v>66.659999999999997</v>
      </c>
      <c r="F12" s="224"/>
      <c r="G12" s="224"/>
      <c r="H12" s="224"/>
      <c r="I12" s="224"/>
      <c r="J12" s="224"/>
      <c r="K12" s="224"/>
      <c r="L12" s="224"/>
      <c r="M12" s="224"/>
      <c r="N12" s="225"/>
      <c r="O12" s="225"/>
      <c r="P12" s="225"/>
      <c r="Q12" s="225"/>
      <c r="R12" s="224"/>
      <c r="S12" s="224"/>
      <c r="T12" s="224"/>
      <c r="U12" s="224"/>
      <c r="V12" s="224"/>
      <c r="W12" s="224"/>
      <c r="X12" s="224"/>
      <c r="Y12" s="224"/>
      <c r="Z12" s="226"/>
      <c r="AA12" s="226"/>
      <c r="AB12" s="226"/>
      <c r="AC12" s="226"/>
      <c r="AD12" s="226"/>
      <c r="AE12" s="226"/>
      <c r="AF12" s="226"/>
      <c r="AG12" s="226" t="s">
        <v>217</v>
      </c>
      <c r="AH12" s="226">
        <v>0</v>
      </c>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row>
    <row r="13" outlineLevel="1">
      <c r="A13" s="216">
        <v>2</v>
      </c>
      <c r="B13" s="217" t="s">
        <v>400</v>
      </c>
      <c r="C13" s="218" t="s">
        <v>401</v>
      </c>
      <c r="D13" s="219" t="s">
        <v>221</v>
      </c>
      <c r="E13" s="220">
        <v>153.34</v>
      </c>
      <c r="F13" s="221"/>
      <c r="G13" s="222">
        <f>ROUND(E13*F13,2)</f>
        <v>0</v>
      </c>
      <c r="H13" s="223"/>
      <c r="I13" s="224">
        <f>ROUND(E13*H13,2)</f>
        <v>0</v>
      </c>
      <c r="J13" s="223"/>
      <c r="K13" s="224">
        <f>ROUND(E13*J13,2)</f>
        <v>0</v>
      </c>
      <c r="L13" s="224">
        <v>21</v>
      </c>
      <c r="M13" s="224">
        <f>G13*(1+L13/100)</f>
        <v>0</v>
      </c>
      <c r="N13" s="225">
        <v>0</v>
      </c>
      <c r="O13" s="225">
        <f>ROUND(E13*N13,2)</f>
        <v>0</v>
      </c>
      <c r="P13" s="225">
        <v>0</v>
      </c>
      <c r="Q13" s="225">
        <f>ROUND(E13*P13,2)</f>
        <v>0</v>
      </c>
      <c r="R13" s="224"/>
      <c r="S13" s="224" t="s">
        <v>395</v>
      </c>
      <c r="T13" s="224" t="s">
        <v>209</v>
      </c>
      <c r="U13" s="224">
        <v>0.043099999999999999</v>
      </c>
      <c r="V13" s="224">
        <f>ROUND(E13*U13,2)</f>
        <v>6.6100000000000003</v>
      </c>
      <c r="W13" s="224"/>
      <c r="X13" s="224" t="s">
        <v>210</v>
      </c>
      <c r="Y13" s="224" t="s">
        <v>211</v>
      </c>
      <c r="Z13" s="226"/>
      <c r="AA13" s="226"/>
      <c r="AB13" s="226"/>
      <c r="AC13" s="226"/>
      <c r="AD13" s="226"/>
      <c r="AE13" s="226"/>
      <c r="AF13" s="226"/>
      <c r="AG13" s="226" t="s">
        <v>396</v>
      </c>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row>
    <row r="14" outlineLevel="2">
      <c r="A14" s="227"/>
      <c r="B14" s="228"/>
      <c r="C14" s="233" t="s">
        <v>402</v>
      </c>
      <c r="D14" s="234"/>
      <c r="E14" s="235">
        <v>153.34</v>
      </c>
      <c r="F14" s="224"/>
      <c r="G14" s="224"/>
      <c r="H14" s="224"/>
      <c r="I14" s="224"/>
      <c r="J14" s="224"/>
      <c r="K14" s="224"/>
      <c r="L14" s="224"/>
      <c r="M14" s="224"/>
      <c r="N14" s="225"/>
      <c r="O14" s="225"/>
      <c r="P14" s="225"/>
      <c r="Q14" s="225"/>
      <c r="R14" s="224"/>
      <c r="S14" s="224"/>
      <c r="T14" s="224"/>
      <c r="U14" s="224"/>
      <c r="V14" s="224"/>
      <c r="W14" s="224"/>
      <c r="X14" s="224"/>
      <c r="Y14" s="224"/>
      <c r="Z14" s="226"/>
      <c r="AA14" s="226"/>
      <c r="AB14" s="226"/>
      <c r="AC14" s="226"/>
      <c r="AD14" s="226"/>
      <c r="AE14" s="226"/>
      <c r="AF14" s="226"/>
      <c r="AG14" s="226" t="s">
        <v>217</v>
      </c>
      <c r="AH14" s="226">
        <v>5</v>
      </c>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row>
    <row r="15" outlineLevel="1">
      <c r="A15" s="216">
        <v>3</v>
      </c>
      <c r="B15" s="217" t="s">
        <v>403</v>
      </c>
      <c r="C15" s="218" t="s">
        <v>404</v>
      </c>
      <c r="D15" s="219" t="s">
        <v>221</v>
      </c>
      <c r="E15" s="220">
        <v>24.534400000000002</v>
      </c>
      <c r="F15" s="221"/>
      <c r="G15" s="222">
        <f>ROUND(E15*F15,2)</f>
        <v>0</v>
      </c>
      <c r="H15" s="223"/>
      <c r="I15" s="224">
        <f>ROUND(E15*H15,2)</f>
        <v>0</v>
      </c>
      <c r="J15" s="223"/>
      <c r="K15" s="224">
        <f>ROUND(E15*J15,2)</f>
        <v>0</v>
      </c>
      <c r="L15" s="224">
        <v>21</v>
      </c>
      <c r="M15" s="224">
        <f>G15*(1+L15/100)</f>
        <v>0</v>
      </c>
      <c r="N15" s="225">
        <v>0</v>
      </c>
      <c r="O15" s="225">
        <f>ROUND(E15*N15,2)</f>
        <v>0</v>
      </c>
      <c r="P15" s="225">
        <v>0</v>
      </c>
      <c r="Q15" s="225">
        <f>ROUND(E15*P15,2)</f>
        <v>0</v>
      </c>
      <c r="R15" s="224"/>
      <c r="S15" s="224" t="s">
        <v>395</v>
      </c>
      <c r="T15" s="224" t="s">
        <v>209</v>
      </c>
      <c r="U15" s="224">
        <v>0.34499999999999997</v>
      </c>
      <c r="V15" s="224">
        <f>ROUND(E15*U15,2)</f>
        <v>8.4600000000000009</v>
      </c>
      <c r="W15" s="224"/>
      <c r="X15" s="224" t="s">
        <v>210</v>
      </c>
      <c r="Y15" s="224" t="s">
        <v>211</v>
      </c>
      <c r="Z15" s="226"/>
      <c r="AA15" s="226"/>
      <c r="AB15" s="226"/>
      <c r="AC15" s="226"/>
      <c r="AD15" s="226"/>
      <c r="AE15" s="226"/>
      <c r="AF15" s="226"/>
      <c r="AG15" s="226" t="s">
        <v>396</v>
      </c>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row>
    <row r="16" outlineLevel="2">
      <c r="A16" s="227"/>
      <c r="B16" s="228"/>
      <c r="C16" s="233" t="s">
        <v>405</v>
      </c>
      <c r="D16" s="234"/>
      <c r="E16" s="235"/>
      <c r="F16" s="224"/>
      <c r="G16" s="224"/>
      <c r="H16" s="224"/>
      <c r="I16" s="224"/>
      <c r="J16" s="224"/>
      <c r="K16" s="224"/>
      <c r="L16" s="224"/>
      <c r="M16" s="224"/>
      <c r="N16" s="225"/>
      <c r="O16" s="225"/>
      <c r="P16" s="225"/>
      <c r="Q16" s="225"/>
      <c r="R16" s="224"/>
      <c r="S16" s="224"/>
      <c r="T16" s="224"/>
      <c r="U16" s="224"/>
      <c r="V16" s="224"/>
      <c r="W16" s="224"/>
      <c r="X16" s="224"/>
      <c r="Y16" s="224"/>
      <c r="Z16" s="226"/>
      <c r="AA16" s="226"/>
      <c r="AB16" s="226"/>
      <c r="AC16" s="226"/>
      <c r="AD16" s="226"/>
      <c r="AE16" s="226"/>
      <c r="AF16" s="226"/>
      <c r="AG16" s="226" t="s">
        <v>217</v>
      </c>
      <c r="AH16" s="226">
        <v>0</v>
      </c>
      <c r="AI16" s="226"/>
      <c r="AJ16" s="226"/>
      <c r="AK16" s="226"/>
      <c r="AL16" s="226"/>
      <c r="AM16" s="226"/>
      <c r="AN16" s="226"/>
      <c r="AO16" s="226"/>
      <c r="AP16" s="226"/>
      <c r="AQ16" s="226"/>
      <c r="AR16" s="226"/>
      <c r="AS16" s="226"/>
      <c r="AT16" s="226"/>
      <c r="AU16" s="226"/>
      <c r="AV16" s="226"/>
      <c r="AW16" s="226"/>
      <c r="AX16" s="226"/>
      <c r="AY16" s="226"/>
      <c r="AZ16" s="226"/>
      <c r="BA16" s="226"/>
      <c r="BB16" s="226"/>
      <c r="BC16" s="226"/>
      <c r="BD16" s="226"/>
      <c r="BE16" s="226"/>
      <c r="BF16" s="226"/>
      <c r="BG16" s="226"/>
      <c r="BH16" s="226"/>
    </row>
    <row r="17" outlineLevel="3">
      <c r="A17" s="227"/>
      <c r="B17" s="228"/>
      <c r="C17" s="233" t="s">
        <v>406</v>
      </c>
      <c r="D17" s="234"/>
      <c r="E17" s="235">
        <v>24.534400000000002</v>
      </c>
      <c r="F17" s="224"/>
      <c r="G17" s="224"/>
      <c r="H17" s="224"/>
      <c r="I17" s="224"/>
      <c r="J17" s="224"/>
      <c r="K17" s="224"/>
      <c r="L17" s="224"/>
      <c r="M17" s="224"/>
      <c r="N17" s="225"/>
      <c r="O17" s="225"/>
      <c r="P17" s="225"/>
      <c r="Q17" s="225"/>
      <c r="R17" s="224"/>
      <c r="S17" s="224"/>
      <c r="T17" s="224"/>
      <c r="U17" s="224"/>
      <c r="V17" s="224"/>
      <c r="W17" s="224"/>
      <c r="X17" s="224"/>
      <c r="Y17" s="224"/>
      <c r="Z17" s="226"/>
      <c r="AA17" s="226"/>
      <c r="AB17" s="226"/>
      <c r="AC17" s="226"/>
      <c r="AD17" s="226"/>
      <c r="AE17" s="226"/>
      <c r="AF17" s="226"/>
      <c r="AG17" s="226" t="s">
        <v>217</v>
      </c>
      <c r="AH17" s="226">
        <v>5</v>
      </c>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row>
    <row r="18" outlineLevel="1">
      <c r="A18" s="216">
        <v>4</v>
      </c>
      <c r="B18" s="217" t="s">
        <v>407</v>
      </c>
      <c r="C18" s="218" t="s">
        <v>408</v>
      </c>
      <c r="D18" s="219" t="s">
        <v>221</v>
      </c>
      <c r="E18" s="220">
        <v>42.460000000000001</v>
      </c>
      <c r="F18" s="221"/>
      <c r="G18" s="222">
        <f>ROUND(E18*F18,2)</f>
        <v>0</v>
      </c>
      <c r="H18" s="223"/>
      <c r="I18" s="224">
        <f>ROUND(E18*H18,2)</f>
        <v>0</v>
      </c>
      <c r="J18" s="223"/>
      <c r="K18" s="224">
        <f>ROUND(E18*J18,2)</f>
        <v>0</v>
      </c>
      <c r="L18" s="224">
        <v>21</v>
      </c>
      <c r="M18" s="224">
        <f>G18*(1+L18/100)</f>
        <v>0</v>
      </c>
      <c r="N18" s="225">
        <v>0</v>
      </c>
      <c r="O18" s="225">
        <f>ROUND(E18*N18,2)</f>
        <v>0</v>
      </c>
      <c r="P18" s="225">
        <v>0</v>
      </c>
      <c r="Q18" s="225">
        <f>ROUND(E18*P18,2)</f>
        <v>0</v>
      </c>
      <c r="R18" s="224"/>
      <c r="S18" s="224" t="s">
        <v>395</v>
      </c>
      <c r="T18" s="224" t="s">
        <v>209</v>
      </c>
      <c r="U18" s="224">
        <v>0.010999999999999999</v>
      </c>
      <c r="V18" s="224">
        <f>ROUND(E18*U18,2)</f>
        <v>0.46999999999999997</v>
      </c>
      <c r="W18" s="224"/>
      <c r="X18" s="224" t="s">
        <v>210</v>
      </c>
      <c r="Y18" s="224" t="s">
        <v>211</v>
      </c>
      <c r="Z18" s="226"/>
      <c r="AA18" s="226"/>
      <c r="AB18" s="226"/>
      <c r="AC18" s="226"/>
      <c r="AD18" s="226"/>
      <c r="AE18" s="226"/>
      <c r="AF18" s="226"/>
      <c r="AG18" s="226" t="s">
        <v>396</v>
      </c>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row>
    <row r="19" outlineLevel="2">
      <c r="A19" s="227"/>
      <c r="B19" s="228"/>
      <c r="C19" s="233" t="s">
        <v>409</v>
      </c>
      <c r="D19" s="234"/>
      <c r="E19" s="235"/>
      <c r="F19" s="224"/>
      <c r="G19" s="224"/>
      <c r="H19" s="224"/>
      <c r="I19" s="224"/>
      <c r="J19" s="224"/>
      <c r="K19" s="224"/>
      <c r="L19" s="224"/>
      <c r="M19" s="224"/>
      <c r="N19" s="225"/>
      <c r="O19" s="225"/>
      <c r="P19" s="225"/>
      <c r="Q19" s="225"/>
      <c r="R19" s="224"/>
      <c r="S19" s="224"/>
      <c r="T19" s="224"/>
      <c r="U19" s="224"/>
      <c r="V19" s="224"/>
      <c r="W19" s="224"/>
      <c r="X19" s="224"/>
      <c r="Y19" s="224"/>
      <c r="Z19" s="226"/>
      <c r="AA19" s="226"/>
      <c r="AB19" s="226"/>
      <c r="AC19" s="226"/>
      <c r="AD19" s="226"/>
      <c r="AE19" s="226"/>
      <c r="AF19" s="226"/>
      <c r="AG19" s="226" t="s">
        <v>217</v>
      </c>
      <c r="AH19" s="226">
        <v>0</v>
      </c>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row>
    <row r="20" outlineLevel="3">
      <c r="A20" s="227"/>
      <c r="B20" s="228"/>
      <c r="C20" s="233" t="s">
        <v>410</v>
      </c>
      <c r="D20" s="234"/>
      <c r="E20" s="235">
        <v>42.460000000000001</v>
      </c>
      <c r="F20" s="224"/>
      <c r="G20" s="224"/>
      <c r="H20" s="224"/>
      <c r="I20" s="224"/>
      <c r="J20" s="224"/>
      <c r="K20" s="224"/>
      <c r="L20" s="224"/>
      <c r="M20" s="224"/>
      <c r="N20" s="225"/>
      <c r="O20" s="225"/>
      <c r="P20" s="225"/>
      <c r="Q20" s="225"/>
      <c r="R20" s="224"/>
      <c r="S20" s="224"/>
      <c r="T20" s="224"/>
      <c r="U20" s="224"/>
      <c r="V20" s="224"/>
      <c r="W20" s="224"/>
      <c r="X20" s="224"/>
      <c r="Y20" s="224"/>
      <c r="Z20" s="226"/>
      <c r="AA20" s="226"/>
      <c r="AB20" s="226"/>
      <c r="AC20" s="226"/>
      <c r="AD20" s="226"/>
      <c r="AE20" s="226"/>
      <c r="AF20" s="226"/>
      <c r="AG20" s="226" t="s">
        <v>217</v>
      </c>
      <c r="AH20" s="226">
        <v>5</v>
      </c>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row>
    <row r="21" outlineLevel="1" ht="22.5">
      <c r="A21" s="216">
        <v>5</v>
      </c>
      <c r="B21" s="217" t="s">
        <v>411</v>
      </c>
      <c r="C21" s="218" t="s">
        <v>412</v>
      </c>
      <c r="D21" s="219" t="s">
        <v>221</v>
      </c>
      <c r="E21" s="220">
        <v>306.68000000000001</v>
      </c>
      <c r="F21" s="221"/>
      <c r="G21" s="222">
        <f>ROUND(E21*F21,2)</f>
        <v>0</v>
      </c>
      <c r="H21" s="223"/>
      <c r="I21" s="224">
        <f>ROUND(E21*H21,2)</f>
        <v>0</v>
      </c>
      <c r="J21" s="223"/>
      <c r="K21" s="224">
        <f>ROUND(E21*J21,2)</f>
        <v>0</v>
      </c>
      <c r="L21" s="224">
        <v>21</v>
      </c>
      <c r="M21" s="224">
        <f>G21*(1+L21/100)</f>
        <v>0</v>
      </c>
      <c r="N21" s="225">
        <v>0</v>
      </c>
      <c r="O21" s="225">
        <f>ROUND(E21*N21,2)</f>
        <v>0</v>
      </c>
      <c r="P21" s="225">
        <v>0</v>
      </c>
      <c r="Q21" s="225">
        <f>ROUND(E21*P21,2)</f>
        <v>0</v>
      </c>
      <c r="R21" s="224"/>
      <c r="S21" s="224" t="s">
        <v>395</v>
      </c>
      <c r="T21" s="224" t="s">
        <v>209</v>
      </c>
      <c r="U21" s="224">
        <v>0.052999999999999998</v>
      </c>
      <c r="V21" s="224">
        <f>ROUND(E21*U21,2)</f>
        <v>16.25</v>
      </c>
      <c r="W21" s="224"/>
      <c r="X21" s="224" t="s">
        <v>210</v>
      </c>
      <c r="Y21" s="224" t="s">
        <v>211</v>
      </c>
      <c r="Z21" s="226"/>
      <c r="AA21" s="226"/>
      <c r="AB21" s="226"/>
      <c r="AC21" s="226"/>
      <c r="AD21" s="226"/>
      <c r="AE21" s="226"/>
      <c r="AF21" s="226"/>
      <c r="AG21" s="226" t="s">
        <v>396</v>
      </c>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row>
    <row r="22" outlineLevel="2">
      <c r="A22" s="227"/>
      <c r="B22" s="228"/>
      <c r="C22" s="233" t="s">
        <v>413</v>
      </c>
      <c r="D22" s="234"/>
      <c r="E22" s="235">
        <v>306.68000000000001</v>
      </c>
      <c r="F22" s="224"/>
      <c r="G22" s="224"/>
      <c r="H22" s="224"/>
      <c r="I22" s="224"/>
      <c r="J22" s="224"/>
      <c r="K22" s="224"/>
      <c r="L22" s="224"/>
      <c r="M22" s="224"/>
      <c r="N22" s="225"/>
      <c r="O22" s="225"/>
      <c r="P22" s="225"/>
      <c r="Q22" s="225"/>
      <c r="R22" s="224"/>
      <c r="S22" s="224"/>
      <c r="T22" s="224"/>
      <c r="U22" s="224"/>
      <c r="V22" s="224"/>
      <c r="W22" s="224"/>
      <c r="X22" s="224"/>
      <c r="Y22" s="224"/>
      <c r="Z22" s="226"/>
      <c r="AA22" s="226"/>
      <c r="AB22" s="226"/>
      <c r="AC22" s="226"/>
      <c r="AD22" s="226"/>
      <c r="AE22" s="226"/>
      <c r="AF22" s="226"/>
      <c r="AG22" s="226" t="s">
        <v>217</v>
      </c>
      <c r="AH22" s="226">
        <v>5</v>
      </c>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row>
    <row r="23" outlineLevel="1">
      <c r="A23" s="216">
        <v>6</v>
      </c>
      <c r="B23" s="217" t="s">
        <v>414</v>
      </c>
      <c r="C23" s="218" t="s">
        <v>415</v>
      </c>
      <c r="D23" s="219" t="s">
        <v>221</v>
      </c>
      <c r="E23" s="220">
        <v>306.68000000000001</v>
      </c>
      <c r="F23" s="221"/>
      <c r="G23" s="222">
        <f>ROUND(E23*F23,2)</f>
        <v>0</v>
      </c>
      <c r="H23" s="223"/>
      <c r="I23" s="224">
        <f>ROUND(E23*H23,2)</f>
        <v>0</v>
      </c>
      <c r="J23" s="223"/>
      <c r="K23" s="224">
        <f>ROUND(E23*J23,2)</f>
        <v>0</v>
      </c>
      <c r="L23" s="224">
        <v>21</v>
      </c>
      <c r="M23" s="224">
        <f>G23*(1+L23/100)</f>
        <v>0</v>
      </c>
      <c r="N23" s="225">
        <v>0</v>
      </c>
      <c r="O23" s="225">
        <f>ROUND(E23*N23,2)</f>
        <v>0</v>
      </c>
      <c r="P23" s="225">
        <v>0</v>
      </c>
      <c r="Q23" s="225">
        <f>ROUND(E23*P23,2)</f>
        <v>0</v>
      </c>
      <c r="R23" s="224"/>
      <c r="S23" s="224" t="s">
        <v>395</v>
      </c>
      <c r="T23" s="224" t="s">
        <v>209</v>
      </c>
      <c r="U23" s="224">
        <v>0.0089999999999999993</v>
      </c>
      <c r="V23" s="224">
        <f>ROUND(E23*U23,2)</f>
        <v>2.7599999999999998</v>
      </c>
      <c r="W23" s="224"/>
      <c r="X23" s="224" t="s">
        <v>210</v>
      </c>
      <c r="Y23" s="224" t="s">
        <v>211</v>
      </c>
      <c r="Z23" s="226"/>
      <c r="AA23" s="226"/>
      <c r="AB23" s="226"/>
      <c r="AC23" s="226"/>
      <c r="AD23" s="226"/>
      <c r="AE23" s="226"/>
      <c r="AF23" s="226"/>
      <c r="AG23" s="226" t="s">
        <v>396</v>
      </c>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row>
    <row r="24" outlineLevel="2">
      <c r="A24" s="227"/>
      <c r="B24" s="228"/>
      <c r="C24" s="233" t="s">
        <v>416</v>
      </c>
      <c r="D24" s="234"/>
      <c r="E24" s="235">
        <v>306.68000000000001</v>
      </c>
      <c r="F24" s="224"/>
      <c r="G24" s="224"/>
      <c r="H24" s="224"/>
      <c r="I24" s="224"/>
      <c r="J24" s="224"/>
      <c r="K24" s="224"/>
      <c r="L24" s="224"/>
      <c r="M24" s="224"/>
      <c r="N24" s="225"/>
      <c r="O24" s="225"/>
      <c r="P24" s="225"/>
      <c r="Q24" s="225"/>
      <c r="R24" s="224"/>
      <c r="S24" s="224"/>
      <c r="T24" s="224"/>
      <c r="U24" s="224"/>
      <c r="V24" s="224"/>
      <c r="W24" s="224"/>
      <c r="X24" s="224"/>
      <c r="Y24" s="224"/>
      <c r="Z24" s="226"/>
      <c r="AA24" s="226"/>
      <c r="AB24" s="226"/>
      <c r="AC24" s="226"/>
      <c r="AD24" s="226"/>
      <c r="AE24" s="226"/>
      <c r="AF24" s="226"/>
      <c r="AG24" s="226" t="s">
        <v>217</v>
      </c>
      <c r="AH24" s="226">
        <v>5</v>
      </c>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row>
    <row r="25" outlineLevel="1">
      <c r="A25" s="216">
        <v>7</v>
      </c>
      <c r="B25" s="217" t="s">
        <v>417</v>
      </c>
      <c r="C25" s="218" t="s">
        <v>418</v>
      </c>
      <c r="D25" s="219" t="s">
        <v>221</v>
      </c>
      <c r="E25" s="220">
        <v>21.23</v>
      </c>
      <c r="F25" s="221"/>
      <c r="G25" s="222">
        <f>ROUND(E25*F25,2)</f>
        <v>0</v>
      </c>
      <c r="H25" s="223"/>
      <c r="I25" s="224">
        <f>ROUND(E25*H25,2)</f>
        <v>0</v>
      </c>
      <c r="J25" s="223"/>
      <c r="K25" s="224">
        <f>ROUND(E25*J25,2)</f>
        <v>0</v>
      </c>
      <c r="L25" s="224">
        <v>21</v>
      </c>
      <c r="M25" s="224">
        <f>G25*(1+L25/100)</f>
        <v>0</v>
      </c>
      <c r="N25" s="225">
        <v>0</v>
      </c>
      <c r="O25" s="225">
        <f>ROUND(E25*N25,2)</f>
        <v>0</v>
      </c>
      <c r="P25" s="225">
        <v>0</v>
      </c>
      <c r="Q25" s="225">
        <f>ROUND(E25*P25,2)</f>
        <v>0</v>
      </c>
      <c r="R25" s="224"/>
      <c r="S25" s="224" t="s">
        <v>395</v>
      </c>
      <c r="T25" s="224" t="s">
        <v>209</v>
      </c>
      <c r="U25" s="224">
        <v>0.20200000000000001</v>
      </c>
      <c r="V25" s="224">
        <f>ROUND(E25*U25,2)</f>
        <v>4.29</v>
      </c>
      <c r="W25" s="224"/>
      <c r="X25" s="224" t="s">
        <v>210</v>
      </c>
      <c r="Y25" s="224" t="s">
        <v>211</v>
      </c>
      <c r="Z25" s="226"/>
      <c r="AA25" s="226"/>
      <c r="AB25" s="226"/>
      <c r="AC25" s="226"/>
      <c r="AD25" s="226"/>
      <c r="AE25" s="226"/>
      <c r="AF25" s="226"/>
      <c r="AG25" s="226" t="s">
        <v>396</v>
      </c>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row>
    <row r="26" outlineLevel="2">
      <c r="A26" s="227"/>
      <c r="B26" s="228"/>
      <c r="C26" s="229" t="s">
        <v>419</v>
      </c>
      <c r="D26" s="230"/>
      <c r="E26" s="230"/>
      <c r="F26" s="230"/>
      <c r="G26" s="230"/>
      <c r="H26" s="224"/>
      <c r="I26" s="224"/>
      <c r="J26" s="224"/>
      <c r="K26" s="224"/>
      <c r="L26" s="224"/>
      <c r="M26" s="224"/>
      <c r="N26" s="225"/>
      <c r="O26" s="225"/>
      <c r="P26" s="225"/>
      <c r="Q26" s="225"/>
      <c r="R26" s="224"/>
      <c r="S26" s="224"/>
      <c r="T26" s="224"/>
      <c r="U26" s="224"/>
      <c r="V26" s="224"/>
      <c r="W26" s="224"/>
      <c r="X26" s="224"/>
      <c r="Y26" s="224"/>
      <c r="Z26" s="226"/>
      <c r="AA26" s="226"/>
      <c r="AB26" s="226"/>
      <c r="AC26" s="226"/>
      <c r="AD26" s="226"/>
      <c r="AE26" s="226"/>
      <c r="AF26" s="226"/>
      <c r="AG26" s="226" t="s">
        <v>214</v>
      </c>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row>
    <row r="27" outlineLevel="2" ht="22.5">
      <c r="A27" s="227"/>
      <c r="B27" s="228"/>
      <c r="C27" s="233" t="s">
        <v>420</v>
      </c>
      <c r="D27" s="234"/>
      <c r="E27" s="235">
        <v>7.1500000000000004</v>
      </c>
      <c r="F27" s="224"/>
      <c r="G27" s="224"/>
      <c r="H27" s="224"/>
      <c r="I27" s="224"/>
      <c r="J27" s="224"/>
      <c r="K27" s="224"/>
      <c r="L27" s="224"/>
      <c r="M27" s="224"/>
      <c r="N27" s="225"/>
      <c r="O27" s="225"/>
      <c r="P27" s="225"/>
      <c r="Q27" s="225"/>
      <c r="R27" s="224"/>
      <c r="S27" s="224"/>
      <c r="T27" s="224"/>
      <c r="U27" s="224"/>
      <c r="V27" s="224"/>
      <c r="W27" s="224"/>
      <c r="X27" s="224"/>
      <c r="Y27" s="224"/>
      <c r="Z27" s="226"/>
      <c r="AA27" s="226"/>
      <c r="AB27" s="226"/>
      <c r="AC27" s="226"/>
      <c r="AD27" s="226"/>
      <c r="AE27" s="226"/>
      <c r="AF27" s="226"/>
      <c r="AG27" s="226" t="s">
        <v>217</v>
      </c>
      <c r="AH27" s="226">
        <v>0</v>
      </c>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row>
    <row r="28" outlineLevel="3">
      <c r="A28" s="227"/>
      <c r="B28" s="228"/>
      <c r="C28" s="233" t="s">
        <v>421</v>
      </c>
      <c r="D28" s="234"/>
      <c r="E28" s="235">
        <v>14.08</v>
      </c>
      <c r="F28" s="224"/>
      <c r="G28" s="224"/>
      <c r="H28" s="224"/>
      <c r="I28" s="224"/>
      <c r="J28" s="224"/>
      <c r="K28" s="224"/>
      <c r="L28" s="224"/>
      <c r="M28" s="224"/>
      <c r="N28" s="225"/>
      <c r="O28" s="225"/>
      <c r="P28" s="225"/>
      <c r="Q28" s="225"/>
      <c r="R28" s="224"/>
      <c r="S28" s="224"/>
      <c r="T28" s="224"/>
      <c r="U28" s="224"/>
      <c r="V28" s="224"/>
      <c r="W28" s="224"/>
      <c r="X28" s="224"/>
      <c r="Y28" s="224"/>
      <c r="Z28" s="226"/>
      <c r="AA28" s="226"/>
      <c r="AB28" s="226"/>
      <c r="AC28" s="226"/>
      <c r="AD28" s="226"/>
      <c r="AE28" s="226"/>
      <c r="AF28" s="226"/>
      <c r="AG28" s="226" t="s">
        <v>217</v>
      </c>
      <c r="AH28" s="226">
        <v>0</v>
      </c>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row>
    <row r="29" outlineLevel="1">
      <c r="A29" s="216">
        <v>8</v>
      </c>
      <c r="B29" s="217" t="s">
        <v>422</v>
      </c>
      <c r="C29" s="218" t="s">
        <v>423</v>
      </c>
      <c r="D29" s="219" t="s">
        <v>207</v>
      </c>
      <c r="E29" s="220">
        <v>373.75999999999999</v>
      </c>
      <c r="F29" s="221"/>
      <c r="G29" s="222">
        <f>ROUND(E29*F29,2)</f>
        <v>0</v>
      </c>
      <c r="H29" s="223"/>
      <c r="I29" s="224">
        <f>ROUND(E29*H29,2)</f>
        <v>0</v>
      </c>
      <c r="J29" s="223"/>
      <c r="K29" s="224">
        <f>ROUND(E29*J29,2)</f>
        <v>0</v>
      </c>
      <c r="L29" s="224">
        <v>21</v>
      </c>
      <c r="M29" s="224">
        <f>G29*(1+L29/100)</f>
        <v>0</v>
      </c>
      <c r="N29" s="225">
        <v>0</v>
      </c>
      <c r="O29" s="225">
        <f>ROUND(E29*N29,2)</f>
        <v>0</v>
      </c>
      <c r="P29" s="225">
        <v>0</v>
      </c>
      <c r="Q29" s="225">
        <f>ROUND(E29*P29,2)</f>
        <v>0</v>
      </c>
      <c r="R29" s="224"/>
      <c r="S29" s="224" t="s">
        <v>395</v>
      </c>
      <c r="T29" s="224" t="s">
        <v>209</v>
      </c>
      <c r="U29" s="224">
        <v>0.017999999999999999</v>
      </c>
      <c r="V29" s="224">
        <f>ROUND(E29*U29,2)</f>
        <v>6.7300000000000004</v>
      </c>
      <c r="W29" s="224"/>
      <c r="X29" s="224" t="s">
        <v>210</v>
      </c>
      <c r="Y29" s="224" t="s">
        <v>211</v>
      </c>
      <c r="Z29" s="226"/>
      <c r="AA29" s="226"/>
      <c r="AB29" s="226"/>
      <c r="AC29" s="226"/>
      <c r="AD29" s="226"/>
      <c r="AE29" s="226"/>
      <c r="AF29" s="226"/>
      <c r="AG29" s="226" t="s">
        <v>396</v>
      </c>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row>
    <row r="30" outlineLevel="2">
      <c r="A30" s="227"/>
      <c r="B30" s="228"/>
      <c r="C30" s="233" t="s">
        <v>424</v>
      </c>
      <c r="D30" s="234"/>
      <c r="E30" s="235">
        <v>373.75999999999999</v>
      </c>
      <c r="F30" s="224"/>
      <c r="G30" s="224"/>
      <c r="H30" s="224"/>
      <c r="I30" s="224"/>
      <c r="J30" s="224"/>
      <c r="K30" s="224"/>
      <c r="L30" s="224"/>
      <c r="M30" s="224"/>
      <c r="N30" s="225"/>
      <c r="O30" s="225"/>
      <c r="P30" s="225"/>
      <c r="Q30" s="225"/>
      <c r="R30" s="224"/>
      <c r="S30" s="224"/>
      <c r="T30" s="224"/>
      <c r="U30" s="224"/>
      <c r="V30" s="224"/>
      <c r="W30" s="224"/>
      <c r="X30" s="224"/>
      <c r="Y30" s="224"/>
      <c r="Z30" s="226"/>
      <c r="AA30" s="226"/>
      <c r="AB30" s="226"/>
      <c r="AC30" s="226"/>
      <c r="AD30" s="226"/>
      <c r="AE30" s="226"/>
      <c r="AF30" s="226"/>
      <c r="AG30" s="226" t="s">
        <v>217</v>
      </c>
      <c r="AH30" s="226">
        <v>0</v>
      </c>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row>
    <row r="31" outlineLevel="1" ht="22.5">
      <c r="A31" s="216">
        <v>9</v>
      </c>
      <c r="B31" s="217" t="s">
        <v>425</v>
      </c>
      <c r="C31" s="218" t="s">
        <v>426</v>
      </c>
      <c r="D31" s="219" t="s">
        <v>221</v>
      </c>
      <c r="E31" s="220">
        <v>285.44999999999999</v>
      </c>
      <c r="F31" s="221"/>
      <c r="G31" s="222">
        <f>ROUND(E31*F31,2)</f>
        <v>0</v>
      </c>
      <c r="H31" s="223"/>
      <c r="I31" s="224">
        <f>ROUND(E31*H31,2)</f>
        <v>0</v>
      </c>
      <c r="J31" s="223"/>
      <c r="K31" s="224">
        <f>ROUND(E31*J31,2)</f>
        <v>0</v>
      </c>
      <c r="L31" s="224">
        <v>21</v>
      </c>
      <c r="M31" s="224">
        <f>G31*(1+L31/100)</f>
        <v>0</v>
      </c>
      <c r="N31" s="225">
        <v>0</v>
      </c>
      <c r="O31" s="225">
        <f>ROUND(E31*N31,2)</f>
        <v>0</v>
      </c>
      <c r="P31" s="225">
        <v>0</v>
      </c>
      <c r="Q31" s="225">
        <f>ROUND(E31*P31,2)</f>
        <v>0</v>
      </c>
      <c r="R31" s="224"/>
      <c r="S31" s="224" t="s">
        <v>395</v>
      </c>
      <c r="T31" s="224" t="s">
        <v>209</v>
      </c>
      <c r="U31" s="224">
        <v>0</v>
      </c>
      <c r="V31" s="224">
        <f>ROUND(E31*U31,2)</f>
        <v>0</v>
      </c>
      <c r="W31" s="224"/>
      <c r="X31" s="224" t="s">
        <v>210</v>
      </c>
      <c r="Y31" s="224" t="s">
        <v>211</v>
      </c>
      <c r="Z31" s="226"/>
      <c r="AA31" s="226"/>
      <c r="AB31" s="226"/>
      <c r="AC31" s="226"/>
      <c r="AD31" s="226"/>
      <c r="AE31" s="226"/>
      <c r="AF31" s="226"/>
      <c r="AG31" s="226" t="s">
        <v>396</v>
      </c>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row>
    <row r="32" outlineLevel="2">
      <c r="A32" s="227"/>
      <c r="B32" s="228"/>
      <c r="C32" s="229" t="s">
        <v>427</v>
      </c>
      <c r="D32" s="230"/>
      <c r="E32" s="230"/>
      <c r="F32" s="230"/>
      <c r="G32" s="230"/>
      <c r="H32" s="224"/>
      <c r="I32" s="224"/>
      <c r="J32" s="224"/>
      <c r="K32" s="224"/>
      <c r="L32" s="224"/>
      <c r="M32" s="224"/>
      <c r="N32" s="225"/>
      <c r="O32" s="225"/>
      <c r="P32" s="225"/>
      <c r="Q32" s="225"/>
      <c r="R32" s="224"/>
      <c r="S32" s="224"/>
      <c r="T32" s="224"/>
      <c r="U32" s="224"/>
      <c r="V32" s="224"/>
      <c r="W32" s="224"/>
      <c r="X32" s="224"/>
      <c r="Y32" s="224"/>
      <c r="Z32" s="226"/>
      <c r="AA32" s="226"/>
      <c r="AB32" s="226"/>
      <c r="AC32" s="226"/>
      <c r="AD32" s="226"/>
      <c r="AE32" s="226"/>
      <c r="AF32" s="226"/>
      <c r="AG32" s="226" t="s">
        <v>214</v>
      </c>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row>
    <row r="33" outlineLevel="2">
      <c r="A33" s="227"/>
      <c r="B33" s="228"/>
      <c r="C33" s="233" t="s">
        <v>428</v>
      </c>
      <c r="D33" s="234"/>
      <c r="E33" s="235">
        <v>285.44999999999999</v>
      </c>
      <c r="F33" s="224"/>
      <c r="G33" s="224"/>
      <c r="H33" s="224"/>
      <c r="I33" s="224"/>
      <c r="J33" s="224"/>
      <c r="K33" s="224"/>
      <c r="L33" s="224"/>
      <c r="M33" s="224"/>
      <c r="N33" s="225"/>
      <c r="O33" s="225"/>
      <c r="P33" s="225"/>
      <c r="Q33" s="225"/>
      <c r="R33" s="224"/>
      <c r="S33" s="224"/>
      <c r="T33" s="224"/>
      <c r="U33" s="224"/>
      <c r="V33" s="224"/>
      <c r="W33" s="224"/>
      <c r="X33" s="224"/>
      <c r="Y33" s="224"/>
      <c r="Z33" s="226"/>
      <c r="AA33" s="226"/>
      <c r="AB33" s="226"/>
      <c r="AC33" s="226"/>
      <c r="AD33" s="226"/>
      <c r="AE33" s="226"/>
      <c r="AF33" s="226"/>
      <c r="AG33" s="226" t="s">
        <v>217</v>
      </c>
      <c r="AH33" s="226">
        <v>5</v>
      </c>
      <c r="AI33" s="226"/>
      <c r="AJ33" s="226"/>
      <c r="AK33" s="226"/>
      <c r="AL33" s="226"/>
      <c r="AM33" s="226"/>
      <c r="AN33" s="226"/>
      <c r="AO33" s="226"/>
      <c r="AP33" s="226"/>
      <c r="AQ33" s="226"/>
      <c r="AR33" s="226"/>
      <c r="AS33" s="226"/>
      <c r="AT33" s="226"/>
      <c r="AU33" s="226"/>
      <c r="AV33" s="226"/>
      <c r="AW33" s="226"/>
      <c r="AX33" s="226"/>
      <c r="AY33" s="226"/>
      <c r="AZ33" s="226"/>
      <c r="BA33" s="226"/>
      <c r="BB33" s="226"/>
      <c r="BC33" s="226"/>
      <c r="BD33" s="226"/>
      <c r="BE33" s="226"/>
      <c r="BF33" s="226"/>
      <c r="BG33" s="226"/>
      <c r="BH33" s="226"/>
    </row>
    <row r="34" outlineLevel="1" ht="22.5">
      <c r="A34" s="216">
        <v>10</v>
      </c>
      <c r="B34" s="217" t="s">
        <v>429</v>
      </c>
      <c r="C34" s="218" t="s">
        <v>430</v>
      </c>
      <c r="D34" s="219" t="s">
        <v>221</v>
      </c>
      <c r="E34" s="220">
        <v>285.44999999999999</v>
      </c>
      <c r="F34" s="221"/>
      <c r="G34" s="222">
        <f>ROUND(E34*F34,2)</f>
        <v>0</v>
      </c>
      <c r="H34" s="223"/>
      <c r="I34" s="224">
        <f>ROUND(E34*H34,2)</f>
        <v>0</v>
      </c>
      <c r="J34" s="223"/>
      <c r="K34" s="224">
        <f>ROUND(E34*J34,2)</f>
        <v>0</v>
      </c>
      <c r="L34" s="224">
        <v>21</v>
      </c>
      <c r="M34" s="224">
        <f>G34*(1+L34/100)</f>
        <v>0</v>
      </c>
      <c r="N34" s="225">
        <v>0</v>
      </c>
      <c r="O34" s="225">
        <f>ROUND(E34*N34,2)</f>
        <v>0</v>
      </c>
      <c r="P34" s="225">
        <v>0</v>
      </c>
      <c r="Q34" s="225">
        <f>ROUND(E34*P34,2)</f>
        <v>0</v>
      </c>
      <c r="R34" s="224"/>
      <c r="S34" s="224" t="s">
        <v>208</v>
      </c>
      <c r="T34" s="224" t="s">
        <v>209</v>
      </c>
      <c r="U34" s="224">
        <v>0.01</v>
      </c>
      <c r="V34" s="224">
        <f>ROUND(E34*U34,2)</f>
        <v>2.8500000000000001</v>
      </c>
      <c r="W34" s="224"/>
      <c r="X34" s="224" t="s">
        <v>210</v>
      </c>
      <c r="Y34" s="224" t="s">
        <v>211</v>
      </c>
      <c r="Z34" s="226"/>
      <c r="AA34" s="226"/>
      <c r="AB34" s="226"/>
      <c r="AC34" s="226"/>
      <c r="AD34" s="226"/>
      <c r="AE34" s="226"/>
      <c r="AF34" s="226"/>
      <c r="AG34" s="226" t="s">
        <v>396</v>
      </c>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6"/>
      <c r="BD34" s="226"/>
      <c r="BE34" s="226"/>
      <c r="BF34" s="226"/>
      <c r="BG34" s="226"/>
      <c r="BH34" s="226"/>
    </row>
    <row r="35" outlineLevel="2">
      <c r="A35" s="227"/>
      <c r="B35" s="228"/>
      <c r="C35" s="233" t="s">
        <v>413</v>
      </c>
      <c r="D35" s="234"/>
      <c r="E35" s="235">
        <v>306.68000000000001</v>
      </c>
      <c r="F35" s="224"/>
      <c r="G35" s="224"/>
      <c r="H35" s="224"/>
      <c r="I35" s="224"/>
      <c r="J35" s="224"/>
      <c r="K35" s="224"/>
      <c r="L35" s="224"/>
      <c r="M35" s="224"/>
      <c r="N35" s="225"/>
      <c r="O35" s="225"/>
      <c r="P35" s="225"/>
      <c r="Q35" s="225"/>
      <c r="R35" s="224"/>
      <c r="S35" s="224"/>
      <c r="T35" s="224"/>
      <c r="U35" s="224"/>
      <c r="V35" s="224"/>
      <c r="W35" s="224"/>
      <c r="X35" s="224"/>
      <c r="Y35" s="224"/>
      <c r="Z35" s="226"/>
      <c r="AA35" s="226"/>
      <c r="AB35" s="226"/>
      <c r="AC35" s="226"/>
      <c r="AD35" s="226"/>
      <c r="AE35" s="226"/>
      <c r="AF35" s="226"/>
      <c r="AG35" s="226" t="s">
        <v>217</v>
      </c>
      <c r="AH35" s="226">
        <v>5</v>
      </c>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row>
    <row r="36" outlineLevel="3">
      <c r="A36" s="227"/>
      <c r="B36" s="228"/>
      <c r="C36" s="233" t="s">
        <v>431</v>
      </c>
      <c r="D36" s="234"/>
      <c r="E36" s="235"/>
      <c r="F36" s="224"/>
      <c r="G36" s="224"/>
      <c r="H36" s="224"/>
      <c r="I36" s="224"/>
      <c r="J36" s="224"/>
      <c r="K36" s="224"/>
      <c r="L36" s="224"/>
      <c r="M36" s="224"/>
      <c r="N36" s="225"/>
      <c r="O36" s="225"/>
      <c r="P36" s="225"/>
      <c r="Q36" s="225"/>
      <c r="R36" s="224"/>
      <c r="S36" s="224"/>
      <c r="T36" s="224"/>
      <c r="U36" s="224"/>
      <c r="V36" s="224"/>
      <c r="W36" s="224"/>
      <c r="X36" s="224"/>
      <c r="Y36" s="224"/>
      <c r="Z36" s="226"/>
      <c r="AA36" s="226"/>
      <c r="AB36" s="226"/>
      <c r="AC36" s="226"/>
      <c r="AD36" s="226"/>
      <c r="AE36" s="226"/>
      <c r="AF36" s="226"/>
      <c r="AG36" s="226" t="s">
        <v>217</v>
      </c>
      <c r="AH36" s="226">
        <v>0</v>
      </c>
      <c r="AI36" s="226"/>
      <c r="AJ36" s="226"/>
      <c r="AK36" s="226"/>
      <c r="AL36" s="226"/>
      <c r="AM36" s="226"/>
      <c r="AN36" s="226"/>
      <c r="AO36" s="226"/>
      <c r="AP36" s="226"/>
      <c r="AQ36" s="226"/>
      <c r="AR36" s="226"/>
      <c r="AS36" s="226"/>
      <c r="AT36" s="226"/>
      <c r="AU36" s="226"/>
      <c r="AV36" s="226"/>
      <c r="AW36" s="226"/>
      <c r="AX36" s="226"/>
      <c r="AY36" s="226"/>
      <c r="AZ36" s="226"/>
      <c r="BA36" s="226"/>
      <c r="BB36" s="226"/>
      <c r="BC36" s="226"/>
      <c r="BD36" s="226"/>
      <c r="BE36" s="226"/>
      <c r="BF36" s="226"/>
      <c r="BG36" s="226"/>
      <c r="BH36" s="226"/>
    </row>
    <row r="37" outlineLevel="3">
      <c r="A37" s="227"/>
      <c r="B37" s="228"/>
      <c r="C37" s="233" t="s">
        <v>432</v>
      </c>
      <c r="D37" s="234"/>
      <c r="E37" s="235">
        <v>-21.23</v>
      </c>
      <c r="F37" s="224"/>
      <c r="G37" s="224"/>
      <c r="H37" s="224"/>
      <c r="I37" s="224"/>
      <c r="J37" s="224"/>
      <c r="K37" s="224"/>
      <c r="L37" s="224"/>
      <c r="M37" s="224"/>
      <c r="N37" s="225"/>
      <c r="O37" s="225"/>
      <c r="P37" s="225"/>
      <c r="Q37" s="225"/>
      <c r="R37" s="224"/>
      <c r="S37" s="224"/>
      <c r="T37" s="224"/>
      <c r="U37" s="224"/>
      <c r="V37" s="224"/>
      <c r="W37" s="224"/>
      <c r="X37" s="224"/>
      <c r="Y37" s="224"/>
      <c r="Z37" s="226"/>
      <c r="AA37" s="226"/>
      <c r="AB37" s="226"/>
      <c r="AC37" s="226"/>
      <c r="AD37" s="226"/>
      <c r="AE37" s="226"/>
      <c r="AF37" s="226"/>
      <c r="AG37" s="226" t="s">
        <v>217</v>
      </c>
      <c r="AH37" s="226">
        <v>5</v>
      </c>
      <c r="AI37" s="226"/>
      <c r="AJ37" s="226"/>
      <c r="AK37" s="226"/>
      <c r="AL37" s="226"/>
      <c r="AM37" s="226"/>
      <c r="AN37" s="226"/>
      <c r="AO37" s="226"/>
      <c r="AP37" s="226"/>
      <c r="AQ37" s="226"/>
      <c r="AR37" s="226"/>
      <c r="AS37" s="226"/>
      <c r="AT37" s="226"/>
      <c r="AU37" s="226"/>
      <c r="AV37" s="226"/>
      <c r="AW37" s="226"/>
      <c r="AX37" s="226"/>
      <c r="AY37" s="226"/>
      <c r="AZ37" s="226"/>
      <c r="BA37" s="226"/>
      <c r="BB37" s="226"/>
      <c r="BC37" s="226"/>
      <c r="BD37" s="226"/>
      <c r="BE37" s="226"/>
      <c r="BF37" s="226"/>
      <c r="BG37" s="226"/>
      <c r="BH37" s="226"/>
    </row>
    <row r="38">
      <c r="A38" s="207" t="s">
        <v>203</v>
      </c>
      <c r="B38" s="208" t="s">
        <v>127</v>
      </c>
      <c r="C38" s="209" t="s">
        <v>128</v>
      </c>
      <c r="D38" s="210"/>
      <c r="E38" s="211"/>
      <c r="F38" s="212"/>
      <c r="G38" s="213">
        <f>SUMIF(AG39:AG73,"&lt;&gt;NOR",G39:G73)</f>
        <v>0</v>
      </c>
      <c r="H38" s="214"/>
      <c r="I38" s="214">
        <f>SUM(I39:I73)</f>
        <v>0</v>
      </c>
      <c r="J38" s="214"/>
      <c r="K38" s="214">
        <f>SUM(K39:K73)</f>
        <v>0</v>
      </c>
      <c r="L38" s="214"/>
      <c r="M38" s="214">
        <f>SUM(M39:M73)</f>
        <v>0</v>
      </c>
      <c r="N38" s="215"/>
      <c r="O38" s="215">
        <f>SUM(O39:O73)</f>
        <v>1052.6500000000001</v>
      </c>
      <c r="P38" s="215"/>
      <c r="Q38" s="215">
        <f>SUM(Q39:Q73)</f>
        <v>0</v>
      </c>
      <c r="R38" s="214"/>
      <c r="S38" s="214"/>
      <c r="T38" s="214"/>
      <c r="U38" s="214"/>
      <c r="V38" s="214">
        <f>SUM(V39:V73)</f>
        <v>637.64999999999998</v>
      </c>
      <c r="W38" s="214"/>
      <c r="X38" s="214"/>
      <c r="Y38" s="214"/>
      <c r="AG38" t="s">
        <v>204</v>
      </c>
    </row>
    <row r="39" outlineLevel="1">
      <c r="A39" s="216">
        <v>11</v>
      </c>
      <c r="B39" s="217" t="s">
        <v>433</v>
      </c>
      <c r="C39" s="218" t="s">
        <v>434</v>
      </c>
      <c r="D39" s="219" t="s">
        <v>221</v>
      </c>
      <c r="E39" s="220">
        <v>205.106</v>
      </c>
      <c r="F39" s="221"/>
      <c r="G39" s="222">
        <f>ROUND(E39*F39,2)</f>
        <v>0</v>
      </c>
      <c r="H39" s="223"/>
      <c r="I39" s="224">
        <f>ROUND(E39*H39,2)</f>
        <v>0</v>
      </c>
      <c r="J39" s="223"/>
      <c r="K39" s="224">
        <f>ROUND(E39*J39,2)</f>
        <v>0</v>
      </c>
      <c r="L39" s="224">
        <v>21</v>
      </c>
      <c r="M39" s="224">
        <f>G39*(1+L39/100)</f>
        <v>0</v>
      </c>
      <c r="N39" s="225">
        <v>2.1000000000000001</v>
      </c>
      <c r="O39" s="225">
        <f>ROUND(E39*N39,2)</f>
        <v>430.72000000000003</v>
      </c>
      <c r="P39" s="225">
        <v>0</v>
      </c>
      <c r="Q39" s="225">
        <f>ROUND(E39*P39,2)</f>
        <v>0</v>
      </c>
      <c r="R39" s="224"/>
      <c r="S39" s="224" t="s">
        <v>395</v>
      </c>
      <c r="T39" s="224" t="s">
        <v>209</v>
      </c>
      <c r="U39" s="224">
        <v>0.96499999999999997</v>
      </c>
      <c r="V39" s="224">
        <f>ROUND(E39*U39,2)</f>
        <v>197.93000000000001</v>
      </c>
      <c r="W39" s="224"/>
      <c r="X39" s="224" t="s">
        <v>210</v>
      </c>
      <c r="Y39" s="224" t="s">
        <v>211</v>
      </c>
      <c r="Z39" s="226"/>
      <c r="AA39" s="226"/>
      <c r="AB39" s="226"/>
      <c r="AC39" s="226"/>
      <c r="AD39" s="226"/>
      <c r="AE39" s="226"/>
      <c r="AF39" s="226"/>
      <c r="AG39" s="226" t="s">
        <v>396</v>
      </c>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row>
    <row r="40" outlineLevel="2">
      <c r="A40" s="227"/>
      <c r="B40" s="228"/>
      <c r="C40" s="233" t="s">
        <v>435</v>
      </c>
      <c r="D40" s="234"/>
      <c r="E40" s="235">
        <v>95.546000000000006</v>
      </c>
      <c r="F40" s="224"/>
      <c r="G40" s="224"/>
      <c r="H40" s="224"/>
      <c r="I40" s="224"/>
      <c r="J40" s="224"/>
      <c r="K40" s="224"/>
      <c r="L40" s="224"/>
      <c r="M40" s="224"/>
      <c r="N40" s="225"/>
      <c r="O40" s="225"/>
      <c r="P40" s="225"/>
      <c r="Q40" s="225"/>
      <c r="R40" s="224"/>
      <c r="S40" s="224"/>
      <c r="T40" s="224"/>
      <c r="U40" s="224"/>
      <c r="V40" s="224"/>
      <c r="W40" s="224"/>
      <c r="X40" s="224"/>
      <c r="Y40" s="224"/>
      <c r="Z40" s="226"/>
      <c r="AA40" s="226"/>
      <c r="AB40" s="226"/>
      <c r="AC40" s="226"/>
      <c r="AD40" s="226"/>
      <c r="AE40" s="226"/>
      <c r="AF40" s="226"/>
      <c r="AG40" s="226" t="s">
        <v>217</v>
      </c>
      <c r="AH40" s="226">
        <v>0</v>
      </c>
      <c r="AI40" s="226"/>
      <c r="AJ40" s="226"/>
      <c r="AK40" s="226"/>
      <c r="AL40" s="226"/>
      <c r="AM40" s="226"/>
      <c r="AN40" s="226"/>
      <c r="AO40" s="226"/>
      <c r="AP40" s="226"/>
      <c r="AQ40" s="226"/>
      <c r="AR40" s="226"/>
      <c r="AS40" s="226"/>
      <c r="AT40" s="226"/>
      <c r="AU40" s="226"/>
      <c r="AV40" s="226"/>
      <c r="AW40" s="226"/>
      <c r="AX40" s="226"/>
      <c r="AY40" s="226"/>
      <c r="AZ40" s="226"/>
      <c r="BA40" s="226"/>
      <c r="BB40" s="226"/>
      <c r="BC40" s="226"/>
      <c r="BD40" s="226"/>
      <c r="BE40" s="226"/>
      <c r="BF40" s="226"/>
      <c r="BG40" s="226"/>
      <c r="BH40" s="226"/>
    </row>
    <row r="41" outlineLevel="3">
      <c r="A41" s="227"/>
      <c r="B41" s="228"/>
      <c r="C41" s="233" t="s">
        <v>436</v>
      </c>
      <c r="D41" s="234"/>
      <c r="E41" s="235">
        <v>42.899999999999999</v>
      </c>
      <c r="F41" s="224"/>
      <c r="G41" s="224"/>
      <c r="H41" s="224"/>
      <c r="I41" s="224"/>
      <c r="J41" s="224"/>
      <c r="K41" s="224"/>
      <c r="L41" s="224"/>
      <c r="M41" s="224"/>
      <c r="N41" s="225"/>
      <c r="O41" s="225"/>
      <c r="P41" s="225"/>
      <c r="Q41" s="225"/>
      <c r="R41" s="224"/>
      <c r="S41" s="224"/>
      <c r="T41" s="224"/>
      <c r="U41" s="224"/>
      <c r="V41" s="224"/>
      <c r="W41" s="224"/>
      <c r="X41" s="224"/>
      <c r="Y41" s="224"/>
      <c r="Z41" s="226"/>
      <c r="AA41" s="226"/>
      <c r="AB41" s="226"/>
      <c r="AC41" s="226"/>
      <c r="AD41" s="226"/>
      <c r="AE41" s="226"/>
      <c r="AF41" s="226"/>
      <c r="AG41" s="226" t="s">
        <v>217</v>
      </c>
      <c r="AH41" s="226">
        <v>0</v>
      </c>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row>
    <row r="42" outlineLevel="3">
      <c r="A42" s="227"/>
      <c r="B42" s="228"/>
      <c r="C42" s="233" t="s">
        <v>399</v>
      </c>
      <c r="D42" s="234"/>
      <c r="E42" s="235">
        <v>66.659999999999997</v>
      </c>
      <c r="F42" s="224"/>
      <c r="G42" s="224"/>
      <c r="H42" s="224"/>
      <c r="I42" s="224"/>
      <c r="J42" s="224"/>
      <c r="K42" s="224"/>
      <c r="L42" s="224"/>
      <c r="M42" s="224"/>
      <c r="N42" s="225"/>
      <c r="O42" s="225"/>
      <c r="P42" s="225"/>
      <c r="Q42" s="225"/>
      <c r="R42" s="224"/>
      <c r="S42" s="224"/>
      <c r="T42" s="224"/>
      <c r="U42" s="224"/>
      <c r="V42" s="224"/>
      <c r="W42" s="224"/>
      <c r="X42" s="224"/>
      <c r="Y42" s="224"/>
      <c r="Z42" s="226"/>
      <c r="AA42" s="226"/>
      <c r="AB42" s="226"/>
      <c r="AC42" s="226"/>
      <c r="AD42" s="226"/>
      <c r="AE42" s="226"/>
      <c r="AF42" s="226"/>
      <c r="AG42" s="226" t="s">
        <v>217</v>
      </c>
      <c r="AH42" s="226">
        <v>0</v>
      </c>
      <c r="AI42" s="226"/>
      <c r="AJ42" s="226"/>
      <c r="AK42" s="226"/>
      <c r="AL42" s="226"/>
      <c r="AM42" s="226"/>
      <c r="AN42" s="226"/>
      <c r="AO42" s="226"/>
      <c r="AP42" s="226"/>
      <c r="AQ42" s="226"/>
      <c r="AR42" s="226"/>
      <c r="AS42" s="226"/>
      <c r="AT42" s="226"/>
      <c r="AU42" s="226"/>
      <c r="AV42" s="226"/>
      <c r="AW42" s="226"/>
      <c r="AX42" s="226"/>
      <c r="AY42" s="226"/>
      <c r="AZ42" s="226"/>
      <c r="BA42" s="226"/>
      <c r="BB42" s="226"/>
      <c r="BC42" s="226"/>
      <c r="BD42" s="226"/>
      <c r="BE42" s="226"/>
      <c r="BF42" s="226"/>
      <c r="BG42" s="226"/>
      <c r="BH42" s="226"/>
    </row>
    <row r="43" outlineLevel="1">
      <c r="A43" s="216">
        <v>12</v>
      </c>
      <c r="B43" s="217" t="s">
        <v>437</v>
      </c>
      <c r="C43" s="218" t="s">
        <v>438</v>
      </c>
      <c r="D43" s="219" t="s">
        <v>221</v>
      </c>
      <c r="E43" s="220">
        <v>5.8499999999999996</v>
      </c>
      <c r="F43" s="221"/>
      <c r="G43" s="222">
        <f>ROUND(E43*F43,2)</f>
        <v>0</v>
      </c>
      <c r="H43" s="223"/>
      <c r="I43" s="224">
        <f>ROUND(E43*H43,2)</f>
        <v>0</v>
      </c>
      <c r="J43" s="223"/>
      <c r="K43" s="224">
        <f>ROUND(E43*J43,2)</f>
        <v>0</v>
      </c>
      <c r="L43" s="224">
        <v>21</v>
      </c>
      <c r="M43" s="224">
        <f>G43*(1+L43/100)</f>
        <v>0</v>
      </c>
      <c r="N43" s="225">
        <v>2.5249999999999999</v>
      </c>
      <c r="O43" s="225">
        <f>ROUND(E43*N43,2)</f>
        <v>14.77</v>
      </c>
      <c r="P43" s="225">
        <v>0</v>
      </c>
      <c r="Q43" s="225">
        <f>ROUND(E43*P43,2)</f>
        <v>0</v>
      </c>
      <c r="R43" s="224"/>
      <c r="S43" s="224" t="s">
        <v>395</v>
      </c>
      <c r="T43" s="224" t="s">
        <v>209</v>
      </c>
      <c r="U43" s="224">
        <v>0.47999999999999998</v>
      </c>
      <c r="V43" s="224">
        <f>ROUND(E43*U43,2)</f>
        <v>2.8100000000000001</v>
      </c>
      <c r="W43" s="224"/>
      <c r="X43" s="224" t="s">
        <v>210</v>
      </c>
      <c r="Y43" s="224" t="s">
        <v>211</v>
      </c>
      <c r="Z43" s="226"/>
      <c r="AA43" s="226"/>
      <c r="AB43" s="226"/>
      <c r="AC43" s="226"/>
      <c r="AD43" s="226"/>
      <c r="AE43" s="226"/>
      <c r="AF43" s="226"/>
      <c r="AG43" s="226" t="s">
        <v>396</v>
      </c>
      <c r="AH43" s="226"/>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row>
    <row r="44" outlineLevel="2">
      <c r="A44" s="227"/>
      <c r="B44" s="228"/>
      <c r="C44" s="233" t="s">
        <v>439</v>
      </c>
      <c r="D44" s="234"/>
      <c r="E44" s="235">
        <v>1.95</v>
      </c>
      <c r="F44" s="224"/>
      <c r="G44" s="224"/>
      <c r="H44" s="224"/>
      <c r="I44" s="224"/>
      <c r="J44" s="224"/>
      <c r="K44" s="224"/>
      <c r="L44" s="224"/>
      <c r="M44" s="224"/>
      <c r="N44" s="225"/>
      <c r="O44" s="225"/>
      <c r="P44" s="225"/>
      <c r="Q44" s="225"/>
      <c r="R44" s="224"/>
      <c r="S44" s="224"/>
      <c r="T44" s="224"/>
      <c r="U44" s="224"/>
      <c r="V44" s="224"/>
      <c r="W44" s="224"/>
      <c r="X44" s="224"/>
      <c r="Y44" s="224"/>
      <c r="Z44" s="226"/>
      <c r="AA44" s="226"/>
      <c r="AB44" s="226"/>
      <c r="AC44" s="226"/>
      <c r="AD44" s="226"/>
      <c r="AE44" s="226"/>
      <c r="AF44" s="226"/>
      <c r="AG44" s="226" t="s">
        <v>217</v>
      </c>
      <c r="AH44" s="226">
        <v>0</v>
      </c>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row>
    <row r="45" outlineLevel="3">
      <c r="A45" s="227"/>
      <c r="B45" s="228"/>
      <c r="C45" s="233" t="s">
        <v>440</v>
      </c>
      <c r="D45" s="234"/>
      <c r="E45" s="235">
        <v>3.8999999999999999</v>
      </c>
      <c r="F45" s="224"/>
      <c r="G45" s="224"/>
      <c r="H45" s="224"/>
      <c r="I45" s="224"/>
      <c r="J45" s="224"/>
      <c r="K45" s="224"/>
      <c r="L45" s="224"/>
      <c r="M45" s="224"/>
      <c r="N45" s="225"/>
      <c r="O45" s="225"/>
      <c r="P45" s="225"/>
      <c r="Q45" s="225"/>
      <c r="R45" s="224"/>
      <c r="S45" s="224"/>
      <c r="T45" s="224"/>
      <c r="U45" s="224"/>
      <c r="V45" s="224"/>
      <c r="W45" s="224"/>
      <c r="X45" s="224"/>
      <c r="Y45" s="224"/>
      <c r="Z45" s="226"/>
      <c r="AA45" s="226"/>
      <c r="AB45" s="226"/>
      <c r="AC45" s="226"/>
      <c r="AD45" s="226"/>
      <c r="AE45" s="226"/>
      <c r="AF45" s="226"/>
      <c r="AG45" s="226" t="s">
        <v>217</v>
      </c>
      <c r="AH45" s="226">
        <v>0</v>
      </c>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row>
    <row r="46" outlineLevel="1">
      <c r="A46" s="216">
        <v>13</v>
      </c>
      <c r="B46" s="217" t="s">
        <v>441</v>
      </c>
      <c r="C46" s="218" t="s">
        <v>442</v>
      </c>
      <c r="D46" s="219" t="s">
        <v>207</v>
      </c>
      <c r="E46" s="220">
        <v>25.66</v>
      </c>
      <c r="F46" s="221"/>
      <c r="G46" s="222">
        <f>ROUND(E46*F46,2)</f>
        <v>0</v>
      </c>
      <c r="H46" s="223"/>
      <c r="I46" s="224">
        <f>ROUND(E46*H46,2)</f>
        <v>0</v>
      </c>
      <c r="J46" s="223"/>
      <c r="K46" s="224">
        <f>ROUND(E46*J46,2)</f>
        <v>0</v>
      </c>
      <c r="L46" s="224">
        <v>21</v>
      </c>
      <c r="M46" s="224">
        <f>G46*(1+L46/100)</f>
        <v>0</v>
      </c>
      <c r="N46" s="225">
        <v>0.039199999999999999</v>
      </c>
      <c r="O46" s="225">
        <f>ROUND(E46*N46,2)</f>
        <v>1.01</v>
      </c>
      <c r="P46" s="225">
        <v>0</v>
      </c>
      <c r="Q46" s="225">
        <f>ROUND(E46*P46,2)</f>
        <v>0</v>
      </c>
      <c r="R46" s="224"/>
      <c r="S46" s="224" t="s">
        <v>395</v>
      </c>
      <c r="T46" s="224" t="s">
        <v>209</v>
      </c>
      <c r="U46" s="224">
        <v>1.6000000000000001</v>
      </c>
      <c r="V46" s="224">
        <f>ROUND(E46*U46,2)</f>
        <v>41.060000000000002</v>
      </c>
      <c r="W46" s="224"/>
      <c r="X46" s="224" t="s">
        <v>210</v>
      </c>
      <c r="Y46" s="224" t="s">
        <v>211</v>
      </c>
      <c r="Z46" s="226"/>
      <c r="AA46" s="226"/>
      <c r="AB46" s="226"/>
      <c r="AC46" s="226"/>
      <c r="AD46" s="226"/>
      <c r="AE46" s="226"/>
      <c r="AF46" s="226"/>
      <c r="AG46" s="226" t="s">
        <v>396</v>
      </c>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row>
    <row r="47" outlineLevel="2">
      <c r="A47" s="227"/>
      <c r="B47" s="228"/>
      <c r="C47" s="233" t="s">
        <v>443</v>
      </c>
      <c r="D47" s="234"/>
      <c r="E47" s="235">
        <v>6.1600000000000001</v>
      </c>
      <c r="F47" s="224"/>
      <c r="G47" s="224"/>
      <c r="H47" s="224"/>
      <c r="I47" s="224"/>
      <c r="J47" s="224"/>
      <c r="K47" s="224"/>
      <c r="L47" s="224"/>
      <c r="M47" s="224"/>
      <c r="N47" s="225"/>
      <c r="O47" s="225"/>
      <c r="P47" s="225"/>
      <c r="Q47" s="225"/>
      <c r="R47" s="224"/>
      <c r="S47" s="224"/>
      <c r="T47" s="224"/>
      <c r="U47" s="224"/>
      <c r="V47" s="224"/>
      <c r="W47" s="224"/>
      <c r="X47" s="224"/>
      <c r="Y47" s="224"/>
      <c r="Z47" s="226"/>
      <c r="AA47" s="226"/>
      <c r="AB47" s="226"/>
      <c r="AC47" s="226"/>
      <c r="AD47" s="226"/>
      <c r="AE47" s="226"/>
      <c r="AF47" s="226"/>
      <c r="AG47" s="226" t="s">
        <v>217</v>
      </c>
      <c r="AH47" s="226">
        <v>0</v>
      </c>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row>
    <row r="48" outlineLevel="3">
      <c r="A48" s="227"/>
      <c r="B48" s="228"/>
      <c r="C48" s="233" t="s">
        <v>444</v>
      </c>
      <c r="D48" s="234"/>
      <c r="E48" s="235">
        <v>19.5</v>
      </c>
      <c r="F48" s="224"/>
      <c r="G48" s="224"/>
      <c r="H48" s="224"/>
      <c r="I48" s="224"/>
      <c r="J48" s="224"/>
      <c r="K48" s="224"/>
      <c r="L48" s="224"/>
      <c r="M48" s="224"/>
      <c r="N48" s="225"/>
      <c r="O48" s="225"/>
      <c r="P48" s="225"/>
      <c r="Q48" s="225"/>
      <c r="R48" s="224"/>
      <c r="S48" s="224"/>
      <c r="T48" s="224"/>
      <c r="U48" s="224"/>
      <c r="V48" s="224"/>
      <c r="W48" s="224"/>
      <c r="X48" s="224"/>
      <c r="Y48" s="224"/>
      <c r="Z48" s="226"/>
      <c r="AA48" s="226"/>
      <c r="AB48" s="226"/>
      <c r="AC48" s="226"/>
      <c r="AD48" s="226"/>
      <c r="AE48" s="226"/>
      <c r="AF48" s="226"/>
      <c r="AG48" s="226" t="s">
        <v>217</v>
      </c>
      <c r="AH48" s="226">
        <v>0</v>
      </c>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row>
    <row r="49" outlineLevel="1">
      <c r="A49" s="216">
        <v>14</v>
      </c>
      <c r="B49" s="217" t="s">
        <v>445</v>
      </c>
      <c r="C49" s="218" t="s">
        <v>446</v>
      </c>
      <c r="D49" s="219" t="s">
        <v>207</v>
      </c>
      <c r="E49" s="220">
        <v>25.66</v>
      </c>
      <c r="F49" s="221"/>
      <c r="G49" s="222">
        <f>ROUND(E49*F49,2)</f>
        <v>0</v>
      </c>
      <c r="H49" s="223"/>
      <c r="I49" s="224">
        <f>ROUND(E49*H49,2)</f>
        <v>0</v>
      </c>
      <c r="J49" s="223"/>
      <c r="K49" s="224">
        <f>ROUND(E49*J49,2)</f>
        <v>0</v>
      </c>
      <c r="L49" s="224">
        <v>21</v>
      </c>
      <c r="M49" s="224">
        <f>G49*(1+L49/100)</f>
        <v>0</v>
      </c>
      <c r="N49" s="225">
        <v>0</v>
      </c>
      <c r="O49" s="225">
        <f>ROUND(E49*N49,2)</f>
        <v>0</v>
      </c>
      <c r="P49" s="225">
        <v>0</v>
      </c>
      <c r="Q49" s="225">
        <f>ROUND(E49*P49,2)</f>
        <v>0</v>
      </c>
      <c r="R49" s="224"/>
      <c r="S49" s="224" t="s">
        <v>395</v>
      </c>
      <c r="T49" s="224" t="s">
        <v>209</v>
      </c>
      <c r="U49" s="224">
        <v>0.32000000000000001</v>
      </c>
      <c r="V49" s="224">
        <f>ROUND(E49*U49,2)</f>
        <v>8.2100000000000009</v>
      </c>
      <c r="W49" s="224"/>
      <c r="X49" s="224" t="s">
        <v>210</v>
      </c>
      <c r="Y49" s="224" t="s">
        <v>211</v>
      </c>
      <c r="Z49" s="226"/>
      <c r="AA49" s="226"/>
      <c r="AB49" s="226"/>
      <c r="AC49" s="226"/>
      <c r="AD49" s="226"/>
      <c r="AE49" s="226"/>
      <c r="AF49" s="226"/>
      <c r="AG49" s="226" t="s">
        <v>396</v>
      </c>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row>
    <row r="50" outlineLevel="2">
      <c r="A50" s="227"/>
      <c r="B50" s="228"/>
      <c r="C50" s="229" t="s">
        <v>447</v>
      </c>
      <c r="D50" s="230"/>
      <c r="E50" s="230"/>
      <c r="F50" s="230"/>
      <c r="G50" s="230"/>
      <c r="H50" s="224"/>
      <c r="I50" s="224"/>
      <c r="J50" s="224"/>
      <c r="K50" s="224"/>
      <c r="L50" s="224"/>
      <c r="M50" s="224"/>
      <c r="N50" s="225"/>
      <c r="O50" s="225"/>
      <c r="P50" s="225"/>
      <c r="Q50" s="225"/>
      <c r="R50" s="224"/>
      <c r="S50" s="224"/>
      <c r="T50" s="224"/>
      <c r="U50" s="224"/>
      <c r="V50" s="224"/>
      <c r="W50" s="224"/>
      <c r="X50" s="224"/>
      <c r="Y50" s="224"/>
      <c r="Z50" s="226"/>
      <c r="AA50" s="226"/>
      <c r="AB50" s="226"/>
      <c r="AC50" s="226"/>
      <c r="AD50" s="226"/>
      <c r="AE50" s="226"/>
      <c r="AF50" s="226"/>
      <c r="AG50" s="226" t="s">
        <v>214</v>
      </c>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row>
    <row r="51" outlineLevel="2">
      <c r="A51" s="227"/>
      <c r="B51" s="228"/>
      <c r="C51" s="233" t="s">
        <v>448</v>
      </c>
      <c r="D51" s="234"/>
      <c r="E51" s="235">
        <v>25.66</v>
      </c>
      <c r="F51" s="224"/>
      <c r="G51" s="224"/>
      <c r="H51" s="224"/>
      <c r="I51" s="224"/>
      <c r="J51" s="224"/>
      <c r="K51" s="224"/>
      <c r="L51" s="224"/>
      <c r="M51" s="224"/>
      <c r="N51" s="225"/>
      <c r="O51" s="225"/>
      <c r="P51" s="225"/>
      <c r="Q51" s="225"/>
      <c r="R51" s="224"/>
      <c r="S51" s="224"/>
      <c r="T51" s="224"/>
      <c r="U51" s="224"/>
      <c r="V51" s="224"/>
      <c r="W51" s="224"/>
      <c r="X51" s="224"/>
      <c r="Y51" s="224"/>
      <c r="Z51" s="226"/>
      <c r="AA51" s="226"/>
      <c r="AB51" s="226"/>
      <c r="AC51" s="226"/>
      <c r="AD51" s="226"/>
      <c r="AE51" s="226"/>
      <c r="AF51" s="226"/>
      <c r="AG51" s="226" t="s">
        <v>217</v>
      </c>
      <c r="AH51" s="226">
        <v>5</v>
      </c>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row>
    <row r="52" outlineLevel="1" ht="22.5">
      <c r="A52" s="216">
        <v>15</v>
      </c>
      <c r="B52" s="217" t="s">
        <v>449</v>
      </c>
      <c r="C52" s="218" t="s">
        <v>450</v>
      </c>
      <c r="D52" s="219" t="s">
        <v>229</v>
      </c>
      <c r="E52" s="220">
        <v>0.22857</v>
      </c>
      <c r="F52" s="221"/>
      <c r="G52" s="222">
        <f>ROUND(E52*F52,2)</f>
        <v>0</v>
      </c>
      <c r="H52" s="223"/>
      <c r="I52" s="224">
        <f>ROUND(E52*H52,2)</f>
        <v>0</v>
      </c>
      <c r="J52" s="223"/>
      <c r="K52" s="224">
        <f>ROUND(E52*J52,2)</f>
        <v>0</v>
      </c>
      <c r="L52" s="224">
        <v>21</v>
      </c>
      <c r="M52" s="224">
        <f>G52*(1+L52/100)</f>
        <v>0</v>
      </c>
      <c r="N52" s="225">
        <v>1.0737399999999999</v>
      </c>
      <c r="O52" s="225">
        <f>ROUND(E52*N52,2)</f>
        <v>0.25</v>
      </c>
      <c r="P52" s="225">
        <v>0</v>
      </c>
      <c r="Q52" s="225">
        <f>ROUND(E52*P52,2)</f>
        <v>0</v>
      </c>
      <c r="R52" s="224"/>
      <c r="S52" s="224" t="s">
        <v>395</v>
      </c>
      <c r="T52" s="224" t="s">
        <v>209</v>
      </c>
      <c r="U52" s="224">
        <v>15.231</v>
      </c>
      <c r="V52" s="224">
        <f>ROUND(E52*U52,2)</f>
        <v>3.48</v>
      </c>
      <c r="W52" s="224"/>
      <c r="X52" s="224" t="s">
        <v>210</v>
      </c>
      <c r="Y52" s="224" t="s">
        <v>211</v>
      </c>
      <c r="Z52" s="226"/>
      <c r="AA52" s="226"/>
      <c r="AB52" s="226"/>
      <c r="AC52" s="226"/>
      <c r="AD52" s="226"/>
      <c r="AE52" s="226"/>
      <c r="AF52" s="226"/>
      <c r="AG52" s="226" t="s">
        <v>396</v>
      </c>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26"/>
      <c r="BD52" s="226"/>
      <c r="BE52" s="226"/>
      <c r="BF52" s="226"/>
      <c r="BG52" s="226"/>
      <c r="BH52" s="226"/>
    </row>
    <row r="53" outlineLevel="2">
      <c r="A53" s="227"/>
      <c r="B53" s="228"/>
      <c r="C53" s="233" t="s">
        <v>451</v>
      </c>
      <c r="D53" s="234"/>
      <c r="E53" s="235">
        <v>0.22857</v>
      </c>
      <c r="F53" s="224"/>
      <c r="G53" s="224"/>
      <c r="H53" s="224"/>
      <c r="I53" s="224"/>
      <c r="J53" s="224"/>
      <c r="K53" s="224"/>
      <c r="L53" s="224"/>
      <c r="M53" s="224"/>
      <c r="N53" s="225"/>
      <c r="O53" s="225"/>
      <c r="P53" s="225"/>
      <c r="Q53" s="225"/>
      <c r="R53" s="224"/>
      <c r="S53" s="224"/>
      <c r="T53" s="224"/>
      <c r="U53" s="224"/>
      <c r="V53" s="224"/>
      <c r="W53" s="224"/>
      <c r="X53" s="224"/>
      <c r="Y53" s="224"/>
      <c r="Z53" s="226"/>
      <c r="AA53" s="226"/>
      <c r="AB53" s="226"/>
      <c r="AC53" s="226"/>
      <c r="AD53" s="226"/>
      <c r="AE53" s="226"/>
      <c r="AF53" s="226"/>
      <c r="AG53" s="226" t="s">
        <v>217</v>
      </c>
      <c r="AH53" s="226">
        <v>0</v>
      </c>
      <c r="AI53" s="226"/>
      <c r="AJ53" s="226"/>
      <c r="AK53" s="226"/>
      <c r="AL53" s="226"/>
      <c r="AM53" s="226"/>
      <c r="AN53" s="226"/>
      <c r="AO53" s="226"/>
      <c r="AP53" s="226"/>
      <c r="AQ53" s="226"/>
      <c r="AR53" s="226"/>
      <c r="AS53" s="226"/>
      <c r="AT53" s="226"/>
      <c r="AU53" s="226"/>
      <c r="AV53" s="226"/>
      <c r="AW53" s="226"/>
      <c r="AX53" s="226"/>
      <c r="AY53" s="226"/>
      <c r="AZ53" s="226"/>
      <c r="BA53" s="226"/>
      <c r="BB53" s="226"/>
      <c r="BC53" s="226"/>
      <c r="BD53" s="226"/>
      <c r="BE53" s="226"/>
      <c r="BF53" s="226"/>
      <c r="BG53" s="226"/>
      <c r="BH53" s="226"/>
    </row>
    <row r="54" outlineLevel="1">
      <c r="A54" s="216">
        <v>16</v>
      </c>
      <c r="B54" s="217" t="s">
        <v>452</v>
      </c>
      <c r="C54" s="218" t="s">
        <v>453</v>
      </c>
      <c r="D54" s="219" t="s">
        <v>221</v>
      </c>
      <c r="E54" s="220">
        <v>80.343999999999994</v>
      </c>
      <c r="F54" s="221"/>
      <c r="G54" s="222">
        <f>ROUND(E54*F54,2)</f>
        <v>0</v>
      </c>
      <c r="H54" s="223"/>
      <c r="I54" s="224">
        <f>ROUND(E54*H54,2)</f>
        <v>0</v>
      </c>
      <c r="J54" s="223"/>
      <c r="K54" s="224">
        <f>ROUND(E54*J54,2)</f>
        <v>0</v>
      </c>
      <c r="L54" s="224">
        <v>21</v>
      </c>
      <c r="M54" s="224">
        <f>G54*(1+L54/100)</f>
        <v>0</v>
      </c>
      <c r="N54" s="225">
        <v>2.5249999999999999</v>
      </c>
      <c r="O54" s="225">
        <f>ROUND(E54*N54,2)</f>
        <v>202.87000000000001</v>
      </c>
      <c r="P54" s="225">
        <v>0</v>
      </c>
      <c r="Q54" s="225">
        <f>ROUND(E54*P54,2)</f>
        <v>0</v>
      </c>
      <c r="R54" s="224"/>
      <c r="S54" s="224" t="s">
        <v>395</v>
      </c>
      <c r="T54" s="224" t="s">
        <v>209</v>
      </c>
      <c r="U54" s="224">
        <v>0.47999999999999998</v>
      </c>
      <c r="V54" s="224">
        <f>ROUND(E54*U54,2)</f>
        <v>38.57</v>
      </c>
      <c r="W54" s="224"/>
      <c r="X54" s="224" t="s">
        <v>210</v>
      </c>
      <c r="Y54" s="224" t="s">
        <v>211</v>
      </c>
      <c r="Z54" s="226"/>
      <c r="AA54" s="226"/>
      <c r="AB54" s="226"/>
      <c r="AC54" s="226"/>
      <c r="AD54" s="226"/>
      <c r="AE54" s="226"/>
      <c r="AF54" s="226"/>
      <c r="AG54" s="226" t="s">
        <v>396</v>
      </c>
      <c r="AH54" s="226"/>
      <c r="AI54" s="226"/>
      <c r="AJ54" s="226"/>
      <c r="AK54" s="226"/>
      <c r="AL54" s="226"/>
      <c r="AM54" s="226"/>
      <c r="AN54" s="226"/>
      <c r="AO54" s="226"/>
      <c r="AP54" s="226"/>
      <c r="AQ54" s="226"/>
      <c r="AR54" s="226"/>
      <c r="AS54" s="226"/>
      <c r="AT54" s="226"/>
      <c r="AU54" s="226"/>
      <c r="AV54" s="226"/>
      <c r="AW54" s="226"/>
      <c r="AX54" s="226"/>
      <c r="AY54" s="226"/>
      <c r="AZ54" s="226"/>
      <c r="BA54" s="226"/>
      <c r="BB54" s="226"/>
      <c r="BC54" s="226"/>
      <c r="BD54" s="226"/>
      <c r="BE54" s="226"/>
      <c r="BF54" s="226"/>
      <c r="BG54" s="226"/>
      <c r="BH54" s="226"/>
    </row>
    <row r="55" outlineLevel="2">
      <c r="A55" s="227"/>
      <c r="B55" s="228"/>
      <c r="C55" s="233" t="s">
        <v>454</v>
      </c>
      <c r="D55" s="234"/>
      <c r="E55" s="235">
        <v>80.343999999999994</v>
      </c>
      <c r="F55" s="224"/>
      <c r="G55" s="224"/>
      <c r="H55" s="224"/>
      <c r="I55" s="224"/>
      <c r="J55" s="224"/>
      <c r="K55" s="224"/>
      <c r="L55" s="224"/>
      <c r="M55" s="224"/>
      <c r="N55" s="225"/>
      <c r="O55" s="225"/>
      <c r="P55" s="225"/>
      <c r="Q55" s="225"/>
      <c r="R55" s="224"/>
      <c r="S55" s="224"/>
      <c r="T55" s="224"/>
      <c r="U55" s="224"/>
      <c r="V55" s="224"/>
      <c r="W55" s="224"/>
      <c r="X55" s="224"/>
      <c r="Y55" s="224"/>
      <c r="Z55" s="226"/>
      <c r="AA55" s="226"/>
      <c r="AB55" s="226"/>
      <c r="AC55" s="226"/>
      <c r="AD55" s="226"/>
      <c r="AE55" s="226"/>
      <c r="AF55" s="226"/>
      <c r="AG55" s="226" t="s">
        <v>217</v>
      </c>
      <c r="AH55" s="226">
        <v>0</v>
      </c>
      <c r="AI55" s="226"/>
      <c r="AJ55" s="226"/>
      <c r="AK55" s="226"/>
      <c r="AL55" s="226"/>
      <c r="AM55" s="226"/>
      <c r="AN55" s="226"/>
      <c r="AO55" s="226"/>
      <c r="AP55" s="226"/>
      <c r="AQ55" s="226"/>
      <c r="AR55" s="226"/>
      <c r="AS55" s="226"/>
      <c r="AT55" s="226"/>
      <c r="AU55" s="226"/>
      <c r="AV55" s="226"/>
      <c r="AW55" s="226"/>
      <c r="AX55" s="226"/>
      <c r="AY55" s="226"/>
      <c r="AZ55" s="226"/>
      <c r="BA55" s="226"/>
      <c r="BB55" s="226"/>
      <c r="BC55" s="226"/>
      <c r="BD55" s="226"/>
      <c r="BE55" s="226"/>
      <c r="BF55" s="226"/>
      <c r="BG55" s="226"/>
      <c r="BH55" s="226"/>
    </row>
    <row r="56" outlineLevel="1">
      <c r="A56" s="216">
        <v>17</v>
      </c>
      <c r="B56" s="217" t="s">
        <v>455</v>
      </c>
      <c r="C56" s="218" t="s">
        <v>456</v>
      </c>
      <c r="D56" s="219" t="s">
        <v>207</v>
      </c>
      <c r="E56" s="220">
        <v>86.319999999999993</v>
      </c>
      <c r="F56" s="221"/>
      <c r="G56" s="222">
        <f>ROUND(E56*F56,2)</f>
        <v>0</v>
      </c>
      <c r="H56" s="223"/>
      <c r="I56" s="224">
        <f>ROUND(E56*H56,2)</f>
        <v>0</v>
      </c>
      <c r="J56" s="223"/>
      <c r="K56" s="224">
        <f>ROUND(E56*J56,2)</f>
        <v>0</v>
      </c>
      <c r="L56" s="224">
        <v>21</v>
      </c>
      <c r="M56" s="224">
        <f>G56*(1+L56/100)</f>
        <v>0</v>
      </c>
      <c r="N56" s="225">
        <v>0.03916</v>
      </c>
      <c r="O56" s="225">
        <f>ROUND(E56*N56,2)</f>
        <v>3.3799999999999999</v>
      </c>
      <c r="P56" s="225">
        <v>0</v>
      </c>
      <c r="Q56" s="225">
        <f>ROUND(E56*P56,2)</f>
        <v>0</v>
      </c>
      <c r="R56" s="224"/>
      <c r="S56" s="224" t="s">
        <v>395</v>
      </c>
      <c r="T56" s="224" t="s">
        <v>209</v>
      </c>
      <c r="U56" s="224">
        <v>1.05</v>
      </c>
      <c r="V56" s="224">
        <f>ROUND(E56*U56,2)</f>
        <v>90.640000000000001</v>
      </c>
      <c r="W56" s="224"/>
      <c r="X56" s="224" t="s">
        <v>210</v>
      </c>
      <c r="Y56" s="224" t="s">
        <v>211</v>
      </c>
      <c r="Z56" s="226"/>
      <c r="AA56" s="226"/>
      <c r="AB56" s="226"/>
      <c r="AC56" s="226"/>
      <c r="AD56" s="226"/>
      <c r="AE56" s="226"/>
      <c r="AF56" s="226"/>
      <c r="AG56" s="226" t="s">
        <v>396</v>
      </c>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row>
    <row r="57" outlineLevel="2">
      <c r="A57" s="227"/>
      <c r="B57" s="228"/>
      <c r="C57" s="233" t="s">
        <v>457</v>
      </c>
      <c r="D57" s="234"/>
      <c r="E57" s="235">
        <v>48.880000000000003</v>
      </c>
      <c r="F57" s="224"/>
      <c r="G57" s="224"/>
      <c r="H57" s="224"/>
      <c r="I57" s="224"/>
      <c r="J57" s="224"/>
      <c r="K57" s="224"/>
      <c r="L57" s="224"/>
      <c r="M57" s="224"/>
      <c r="N57" s="225"/>
      <c r="O57" s="225"/>
      <c r="P57" s="225"/>
      <c r="Q57" s="225"/>
      <c r="R57" s="224"/>
      <c r="S57" s="224"/>
      <c r="T57" s="224"/>
      <c r="U57" s="224"/>
      <c r="V57" s="224"/>
      <c r="W57" s="224"/>
      <c r="X57" s="224"/>
      <c r="Y57" s="224"/>
      <c r="Z57" s="226"/>
      <c r="AA57" s="226"/>
      <c r="AB57" s="226"/>
      <c r="AC57" s="226"/>
      <c r="AD57" s="226"/>
      <c r="AE57" s="226"/>
      <c r="AF57" s="226"/>
      <c r="AG57" s="226" t="s">
        <v>217</v>
      </c>
      <c r="AH57" s="226">
        <v>0</v>
      </c>
      <c r="AI57" s="226"/>
      <c r="AJ57" s="226"/>
      <c r="AK57" s="226"/>
      <c r="AL57" s="226"/>
      <c r="AM57" s="226"/>
      <c r="AN57" s="226"/>
      <c r="AO57" s="226"/>
      <c r="AP57" s="226"/>
      <c r="AQ57" s="226"/>
      <c r="AR57" s="226"/>
      <c r="AS57" s="226"/>
      <c r="AT57" s="226"/>
      <c r="AU57" s="226"/>
      <c r="AV57" s="226"/>
      <c r="AW57" s="226"/>
      <c r="AX57" s="226"/>
      <c r="AY57" s="226"/>
      <c r="AZ57" s="226"/>
      <c r="BA57" s="226"/>
      <c r="BB57" s="226"/>
      <c r="BC57" s="226"/>
      <c r="BD57" s="226"/>
      <c r="BE57" s="226"/>
      <c r="BF57" s="226"/>
      <c r="BG57" s="226"/>
      <c r="BH57" s="226"/>
    </row>
    <row r="58" outlineLevel="3">
      <c r="A58" s="227"/>
      <c r="B58" s="228"/>
      <c r="C58" s="233" t="s">
        <v>458</v>
      </c>
      <c r="D58" s="234"/>
      <c r="E58" s="235">
        <v>37.439999999999998</v>
      </c>
      <c r="F58" s="224"/>
      <c r="G58" s="224"/>
      <c r="H58" s="224"/>
      <c r="I58" s="224"/>
      <c r="J58" s="224"/>
      <c r="K58" s="224"/>
      <c r="L58" s="224"/>
      <c r="M58" s="224"/>
      <c r="N58" s="225"/>
      <c r="O58" s="225"/>
      <c r="P58" s="225"/>
      <c r="Q58" s="225"/>
      <c r="R58" s="224"/>
      <c r="S58" s="224"/>
      <c r="T58" s="224"/>
      <c r="U58" s="224"/>
      <c r="V58" s="224"/>
      <c r="W58" s="224"/>
      <c r="X58" s="224"/>
      <c r="Y58" s="224"/>
      <c r="Z58" s="226"/>
      <c r="AA58" s="226"/>
      <c r="AB58" s="226"/>
      <c r="AC58" s="226"/>
      <c r="AD58" s="226"/>
      <c r="AE58" s="226"/>
      <c r="AF58" s="226"/>
      <c r="AG58" s="226" t="s">
        <v>217</v>
      </c>
      <c r="AH58" s="226">
        <v>0</v>
      </c>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6"/>
      <c r="BH58" s="226"/>
    </row>
    <row r="59" outlineLevel="1">
      <c r="A59" s="216">
        <v>18</v>
      </c>
      <c r="B59" s="217" t="s">
        <v>459</v>
      </c>
      <c r="C59" s="218" t="s">
        <v>460</v>
      </c>
      <c r="D59" s="219" t="s">
        <v>207</v>
      </c>
      <c r="E59" s="220">
        <v>86.319999999999993</v>
      </c>
      <c r="F59" s="221"/>
      <c r="G59" s="222">
        <f>ROUND(E59*F59,2)</f>
        <v>0</v>
      </c>
      <c r="H59" s="223"/>
      <c r="I59" s="224">
        <f>ROUND(E59*H59,2)</f>
        <v>0</v>
      </c>
      <c r="J59" s="223"/>
      <c r="K59" s="224">
        <f>ROUND(E59*J59,2)</f>
        <v>0</v>
      </c>
      <c r="L59" s="224">
        <v>21</v>
      </c>
      <c r="M59" s="224">
        <f>G59*(1+L59/100)</f>
        <v>0</v>
      </c>
      <c r="N59" s="225">
        <v>0</v>
      </c>
      <c r="O59" s="225">
        <f>ROUND(E59*N59,2)</f>
        <v>0</v>
      </c>
      <c r="P59" s="225">
        <v>0</v>
      </c>
      <c r="Q59" s="225">
        <f>ROUND(E59*P59,2)</f>
        <v>0</v>
      </c>
      <c r="R59" s="224"/>
      <c r="S59" s="224" t="s">
        <v>395</v>
      </c>
      <c r="T59" s="224" t="s">
        <v>209</v>
      </c>
      <c r="U59" s="224">
        <v>0.32000000000000001</v>
      </c>
      <c r="V59" s="224">
        <f>ROUND(E59*U59,2)</f>
        <v>27.620000000000001</v>
      </c>
      <c r="W59" s="224"/>
      <c r="X59" s="224" t="s">
        <v>210</v>
      </c>
      <c r="Y59" s="224" t="s">
        <v>211</v>
      </c>
      <c r="Z59" s="226"/>
      <c r="AA59" s="226"/>
      <c r="AB59" s="226"/>
      <c r="AC59" s="226"/>
      <c r="AD59" s="226"/>
      <c r="AE59" s="226"/>
      <c r="AF59" s="226"/>
      <c r="AG59" s="226" t="s">
        <v>396</v>
      </c>
      <c r="AH59" s="226"/>
      <c r="AI59" s="226"/>
      <c r="AJ59" s="226"/>
      <c r="AK59" s="226"/>
      <c r="AL59" s="226"/>
      <c r="AM59" s="226"/>
      <c r="AN59" s="226"/>
      <c r="AO59" s="226"/>
      <c r="AP59" s="226"/>
      <c r="AQ59" s="226"/>
      <c r="AR59" s="226"/>
      <c r="AS59" s="226"/>
      <c r="AT59" s="226"/>
      <c r="AU59" s="226"/>
      <c r="AV59" s="226"/>
      <c r="AW59" s="226"/>
      <c r="AX59" s="226"/>
      <c r="AY59" s="226"/>
      <c r="AZ59" s="226"/>
      <c r="BA59" s="226"/>
      <c r="BB59" s="226"/>
      <c r="BC59" s="226"/>
      <c r="BD59" s="226"/>
      <c r="BE59" s="226"/>
      <c r="BF59" s="226"/>
      <c r="BG59" s="226"/>
      <c r="BH59" s="226"/>
    </row>
    <row r="60" outlineLevel="2">
      <c r="A60" s="227"/>
      <c r="B60" s="228"/>
      <c r="C60" s="233" t="s">
        <v>461</v>
      </c>
      <c r="D60" s="234"/>
      <c r="E60" s="235">
        <v>86.319999999999993</v>
      </c>
      <c r="F60" s="224"/>
      <c r="G60" s="224"/>
      <c r="H60" s="224"/>
      <c r="I60" s="224"/>
      <c r="J60" s="224"/>
      <c r="K60" s="224"/>
      <c r="L60" s="224"/>
      <c r="M60" s="224"/>
      <c r="N60" s="225"/>
      <c r="O60" s="225"/>
      <c r="P60" s="225"/>
      <c r="Q60" s="225"/>
      <c r="R60" s="224"/>
      <c r="S60" s="224"/>
      <c r="T60" s="224"/>
      <c r="U60" s="224"/>
      <c r="V60" s="224"/>
      <c r="W60" s="224"/>
      <c r="X60" s="224"/>
      <c r="Y60" s="224"/>
      <c r="Z60" s="226"/>
      <c r="AA60" s="226"/>
      <c r="AB60" s="226"/>
      <c r="AC60" s="226"/>
      <c r="AD60" s="226"/>
      <c r="AE60" s="226"/>
      <c r="AF60" s="226"/>
      <c r="AG60" s="226" t="s">
        <v>217</v>
      </c>
      <c r="AH60" s="226">
        <v>5</v>
      </c>
      <c r="AI60" s="226"/>
      <c r="AJ60" s="226"/>
      <c r="AK60" s="226"/>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row>
    <row r="61" outlineLevel="1" ht="22.5">
      <c r="A61" s="216">
        <v>19</v>
      </c>
      <c r="B61" s="217" t="s">
        <v>462</v>
      </c>
      <c r="C61" s="218" t="s">
        <v>463</v>
      </c>
      <c r="D61" s="219" t="s">
        <v>229</v>
      </c>
      <c r="E61" s="220">
        <v>1.8537600000000001</v>
      </c>
      <c r="F61" s="221"/>
      <c r="G61" s="222">
        <f>ROUND(E61*F61,2)</f>
        <v>0</v>
      </c>
      <c r="H61" s="223"/>
      <c r="I61" s="224">
        <f>ROUND(E61*H61,2)</f>
        <v>0</v>
      </c>
      <c r="J61" s="223"/>
      <c r="K61" s="224">
        <f>ROUND(E61*J61,2)</f>
        <v>0</v>
      </c>
      <c r="L61" s="224">
        <v>21</v>
      </c>
      <c r="M61" s="224">
        <f>G61*(1+L61/100)</f>
        <v>0</v>
      </c>
      <c r="N61" s="225">
        <v>1.0737000000000001</v>
      </c>
      <c r="O61" s="225">
        <f>ROUND(E61*N61,2)</f>
        <v>1.99</v>
      </c>
      <c r="P61" s="225">
        <v>0</v>
      </c>
      <c r="Q61" s="225">
        <f>ROUND(E61*P61,2)</f>
        <v>0</v>
      </c>
      <c r="R61" s="224"/>
      <c r="S61" s="224" t="s">
        <v>395</v>
      </c>
      <c r="T61" s="224" t="s">
        <v>209</v>
      </c>
      <c r="U61" s="224">
        <v>15.23</v>
      </c>
      <c r="V61" s="224">
        <f>ROUND(E61*U61,2)</f>
        <v>28.23</v>
      </c>
      <c r="W61" s="224"/>
      <c r="X61" s="224" t="s">
        <v>210</v>
      </c>
      <c r="Y61" s="224" t="s">
        <v>211</v>
      </c>
      <c r="Z61" s="226"/>
      <c r="AA61" s="226"/>
      <c r="AB61" s="226"/>
      <c r="AC61" s="226"/>
      <c r="AD61" s="226"/>
      <c r="AE61" s="226"/>
      <c r="AF61" s="226"/>
      <c r="AG61" s="226" t="s">
        <v>396</v>
      </c>
      <c r="AH61" s="226"/>
      <c r="AI61" s="226"/>
      <c r="AJ61" s="226"/>
      <c r="AK61" s="226"/>
      <c r="AL61" s="226"/>
      <c r="AM61" s="226"/>
      <c r="AN61" s="226"/>
      <c r="AO61" s="226"/>
      <c r="AP61" s="226"/>
      <c r="AQ61" s="226"/>
      <c r="AR61" s="226"/>
      <c r="AS61" s="226"/>
      <c r="AT61" s="226"/>
      <c r="AU61" s="226"/>
      <c r="AV61" s="226"/>
      <c r="AW61" s="226"/>
      <c r="AX61" s="226"/>
      <c r="AY61" s="226"/>
      <c r="AZ61" s="226"/>
      <c r="BA61" s="226"/>
      <c r="BB61" s="226"/>
      <c r="BC61" s="226"/>
      <c r="BD61" s="226"/>
      <c r="BE61" s="226"/>
      <c r="BF61" s="226"/>
      <c r="BG61" s="226"/>
      <c r="BH61" s="226"/>
    </row>
    <row r="62" outlineLevel="2" ht="22.5">
      <c r="A62" s="227"/>
      <c r="B62" s="228"/>
      <c r="C62" s="233" t="s">
        <v>464</v>
      </c>
      <c r="D62" s="234"/>
      <c r="E62" s="235">
        <v>0.61775999999999998</v>
      </c>
      <c r="F62" s="224"/>
      <c r="G62" s="224"/>
      <c r="H62" s="224"/>
      <c r="I62" s="224"/>
      <c r="J62" s="224"/>
      <c r="K62" s="224"/>
      <c r="L62" s="224"/>
      <c r="M62" s="224"/>
      <c r="N62" s="225"/>
      <c r="O62" s="225"/>
      <c r="P62" s="225"/>
      <c r="Q62" s="225"/>
      <c r="R62" s="224"/>
      <c r="S62" s="224"/>
      <c r="T62" s="224"/>
      <c r="U62" s="224"/>
      <c r="V62" s="224"/>
      <c r="W62" s="224"/>
      <c r="X62" s="224"/>
      <c r="Y62" s="224"/>
      <c r="Z62" s="226"/>
      <c r="AA62" s="226"/>
      <c r="AB62" s="226"/>
      <c r="AC62" s="226"/>
      <c r="AD62" s="226"/>
      <c r="AE62" s="226"/>
      <c r="AF62" s="226"/>
      <c r="AG62" s="226" t="s">
        <v>217</v>
      </c>
      <c r="AH62" s="226">
        <v>0</v>
      </c>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row>
    <row r="63" outlineLevel="3">
      <c r="A63" s="227"/>
      <c r="B63" s="228"/>
      <c r="C63" s="233" t="s">
        <v>465</v>
      </c>
      <c r="D63" s="234"/>
      <c r="E63" s="235">
        <v>0.95989999999999998</v>
      </c>
      <c r="F63" s="224"/>
      <c r="G63" s="224"/>
      <c r="H63" s="224"/>
      <c r="I63" s="224"/>
      <c r="J63" s="224"/>
      <c r="K63" s="224"/>
      <c r="L63" s="224"/>
      <c r="M63" s="224"/>
      <c r="N63" s="225"/>
      <c r="O63" s="225"/>
      <c r="P63" s="225"/>
      <c r="Q63" s="225"/>
      <c r="R63" s="224"/>
      <c r="S63" s="224"/>
      <c r="T63" s="224"/>
      <c r="U63" s="224"/>
      <c r="V63" s="224"/>
      <c r="W63" s="224"/>
      <c r="X63" s="224"/>
      <c r="Y63" s="224"/>
      <c r="Z63" s="226"/>
      <c r="AA63" s="226"/>
      <c r="AB63" s="226"/>
      <c r="AC63" s="226"/>
      <c r="AD63" s="226"/>
      <c r="AE63" s="226"/>
      <c r="AF63" s="226"/>
      <c r="AG63" s="226" t="s">
        <v>217</v>
      </c>
      <c r="AH63" s="226">
        <v>0</v>
      </c>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row>
    <row r="64" outlineLevel="3">
      <c r="A64" s="227"/>
      <c r="B64" s="228"/>
      <c r="C64" s="233" t="s">
        <v>466</v>
      </c>
      <c r="D64" s="234"/>
      <c r="E64" s="235">
        <v>0.054050000000000001</v>
      </c>
      <c r="F64" s="224"/>
      <c r="G64" s="224"/>
      <c r="H64" s="224"/>
      <c r="I64" s="224"/>
      <c r="J64" s="224"/>
      <c r="K64" s="224"/>
      <c r="L64" s="224"/>
      <c r="M64" s="224"/>
      <c r="N64" s="225"/>
      <c r="O64" s="225"/>
      <c r="P64" s="225"/>
      <c r="Q64" s="225"/>
      <c r="R64" s="224"/>
      <c r="S64" s="224"/>
      <c r="T64" s="224"/>
      <c r="U64" s="224"/>
      <c r="V64" s="224"/>
      <c r="W64" s="224"/>
      <c r="X64" s="224"/>
      <c r="Y64" s="224"/>
      <c r="Z64" s="226"/>
      <c r="AA64" s="226"/>
      <c r="AB64" s="226"/>
      <c r="AC64" s="226"/>
      <c r="AD64" s="226"/>
      <c r="AE64" s="226"/>
      <c r="AF64" s="226"/>
      <c r="AG64" s="226" t="s">
        <v>217</v>
      </c>
      <c r="AH64" s="226">
        <v>0</v>
      </c>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row>
    <row r="65" outlineLevel="3">
      <c r="A65" s="227"/>
      <c r="B65" s="228"/>
      <c r="C65" s="233" t="s">
        <v>467</v>
      </c>
      <c r="D65" s="234"/>
      <c r="E65" s="235">
        <v>0.10229000000000001</v>
      </c>
      <c r="F65" s="224"/>
      <c r="G65" s="224"/>
      <c r="H65" s="224"/>
      <c r="I65" s="224"/>
      <c r="J65" s="224"/>
      <c r="K65" s="224"/>
      <c r="L65" s="224"/>
      <c r="M65" s="224"/>
      <c r="N65" s="225"/>
      <c r="O65" s="225"/>
      <c r="P65" s="225"/>
      <c r="Q65" s="225"/>
      <c r="R65" s="224"/>
      <c r="S65" s="224"/>
      <c r="T65" s="224"/>
      <c r="U65" s="224"/>
      <c r="V65" s="224"/>
      <c r="W65" s="224"/>
      <c r="X65" s="224"/>
      <c r="Y65" s="224"/>
      <c r="Z65" s="226"/>
      <c r="AA65" s="226"/>
      <c r="AB65" s="226"/>
      <c r="AC65" s="226"/>
      <c r="AD65" s="226"/>
      <c r="AE65" s="226"/>
      <c r="AF65" s="226"/>
      <c r="AG65" s="226" t="s">
        <v>217</v>
      </c>
      <c r="AH65" s="226">
        <v>0</v>
      </c>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row>
    <row r="66" outlineLevel="3">
      <c r="A66" s="227"/>
      <c r="B66" s="228"/>
      <c r="C66" s="233" t="s">
        <v>468</v>
      </c>
      <c r="D66" s="234"/>
      <c r="E66" s="235">
        <v>0.083989999999999995</v>
      </c>
      <c r="F66" s="224"/>
      <c r="G66" s="224"/>
      <c r="H66" s="224"/>
      <c r="I66" s="224"/>
      <c r="J66" s="224"/>
      <c r="K66" s="224"/>
      <c r="L66" s="224"/>
      <c r="M66" s="224"/>
      <c r="N66" s="225"/>
      <c r="O66" s="225"/>
      <c r="P66" s="225"/>
      <c r="Q66" s="225"/>
      <c r="R66" s="224"/>
      <c r="S66" s="224"/>
      <c r="T66" s="224"/>
      <c r="U66" s="224"/>
      <c r="V66" s="224"/>
      <c r="W66" s="224"/>
      <c r="X66" s="224"/>
      <c r="Y66" s="224"/>
      <c r="Z66" s="226"/>
      <c r="AA66" s="226"/>
      <c r="AB66" s="226"/>
      <c r="AC66" s="226"/>
      <c r="AD66" s="226"/>
      <c r="AE66" s="226"/>
      <c r="AF66" s="226"/>
      <c r="AG66" s="226" t="s">
        <v>217</v>
      </c>
      <c r="AH66" s="226">
        <v>0</v>
      </c>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row>
    <row r="67" outlineLevel="3">
      <c r="A67" s="227"/>
      <c r="B67" s="228"/>
      <c r="C67" s="233" t="s">
        <v>469</v>
      </c>
      <c r="D67" s="234"/>
      <c r="E67" s="235">
        <v>0.03576</v>
      </c>
      <c r="F67" s="224"/>
      <c r="G67" s="224"/>
      <c r="H67" s="224"/>
      <c r="I67" s="224"/>
      <c r="J67" s="224"/>
      <c r="K67" s="224"/>
      <c r="L67" s="224"/>
      <c r="M67" s="224"/>
      <c r="N67" s="225"/>
      <c r="O67" s="225"/>
      <c r="P67" s="225"/>
      <c r="Q67" s="225"/>
      <c r="R67" s="224"/>
      <c r="S67" s="224"/>
      <c r="T67" s="224"/>
      <c r="U67" s="224"/>
      <c r="V67" s="224"/>
      <c r="W67" s="224"/>
      <c r="X67" s="224"/>
      <c r="Y67" s="224"/>
      <c r="Z67" s="226"/>
      <c r="AA67" s="226"/>
      <c r="AB67" s="226"/>
      <c r="AC67" s="226"/>
      <c r="AD67" s="226"/>
      <c r="AE67" s="226"/>
      <c r="AF67" s="226"/>
      <c r="AG67" s="226" t="s">
        <v>217</v>
      </c>
      <c r="AH67" s="226">
        <v>0</v>
      </c>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row>
    <row r="68" outlineLevel="1">
      <c r="A68" s="216">
        <v>20</v>
      </c>
      <c r="B68" s="217" t="s">
        <v>470</v>
      </c>
      <c r="C68" s="218" t="s">
        <v>471</v>
      </c>
      <c r="D68" s="219" t="s">
        <v>207</v>
      </c>
      <c r="E68" s="220">
        <v>173.72</v>
      </c>
      <c r="F68" s="221"/>
      <c r="G68" s="222">
        <f>ROUND(E68*F68,2)</f>
        <v>0</v>
      </c>
      <c r="H68" s="223"/>
      <c r="I68" s="224">
        <f>ROUND(E68*H68,2)</f>
        <v>0</v>
      </c>
      <c r="J68" s="223"/>
      <c r="K68" s="224">
        <f>ROUND(E68*J68,2)</f>
        <v>0</v>
      </c>
      <c r="L68" s="224">
        <v>21</v>
      </c>
      <c r="M68" s="224">
        <f>G68*(1+L68/100)</f>
        <v>0</v>
      </c>
      <c r="N68" s="225">
        <v>0.00050000000000000001</v>
      </c>
      <c r="O68" s="225">
        <f>ROUND(E68*N68,2)</f>
        <v>0.089999999999999997</v>
      </c>
      <c r="P68" s="225">
        <v>0</v>
      </c>
      <c r="Q68" s="225">
        <f>ROUND(E68*P68,2)</f>
        <v>0</v>
      </c>
      <c r="R68" s="224"/>
      <c r="S68" s="224" t="s">
        <v>395</v>
      </c>
      <c r="T68" s="224" t="s">
        <v>209</v>
      </c>
      <c r="U68" s="224">
        <v>0.094</v>
      </c>
      <c r="V68" s="224">
        <f>ROUND(E68*U68,2)</f>
        <v>16.329999999999998</v>
      </c>
      <c r="W68" s="224"/>
      <c r="X68" s="224" t="s">
        <v>210</v>
      </c>
      <c r="Y68" s="224" t="s">
        <v>211</v>
      </c>
      <c r="Z68" s="226"/>
      <c r="AA68" s="226"/>
      <c r="AB68" s="226"/>
      <c r="AC68" s="226"/>
      <c r="AD68" s="226"/>
      <c r="AE68" s="226"/>
      <c r="AF68" s="226"/>
      <c r="AG68" s="226" t="s">
        <v>396</v>
      </c>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6"/>
      <c r="BH68" s="226"/>
    </row>
    <row r="69" outlineLevel="2">
      <c r="A69" s="227"/>
      <c r="B69" s="228"/>
      <c r="C69" s="233" t="s">
        <v>472</v>
      </c>
      <c r="D69" s="234"/>
      <c r="E69" s="235">
        <v>173.72</v>
      </c>
      <c r="F69" s="224"/>
      <c r="G69" s="224"/>
      <c r="H69" s="224"/>
      <c r="I69" s="224"/>
      <c r="J69" s="224"/>
      <c r="K69" s="224"/>
      <c r="L69" s="224"/>
      <c r="M69" s="224"/>
      <c r="N69" s="225"/>
      <c r="O69" s="225"/>
      <c r="P69" s="225"/>
      <c r="Q69" s="225"/>
      <c r="R69" s="224"/>
      <c r="S69" s="224"/>
      <c r="T69" s="224"/>
      <c r="U69" s="224"/>
      <c r="V69" s="224"/>
      <c r="W69" s="224"/>
      <c r="X69" s="224"/>
      <c r="Y69" s="224"/>
      <c r="Z69" s="226"/>
      <c r="AA69" s="226"/>
      <c r="AB69" s="226"/>
      <c r="AC69" s="226"/>
      <c r="AD69" s="226"/>
      <c r="AE69" s="226"/>
      <c r="AF69" s="226"/>
      <c r="AG69" s="226" t="s">
        <v>217</v>
      </c>
      <c r="AH69" s="226">
        <v>0</v>
      </c>
      <c r="AI69" s="226"/>
      <c r="AJ69" s="226"/>
      <c r="AK69" s="226"/>
      <c r="AL69" s="226"/>
      <c r="AM69" s="226"/>
      <c r="AN69" s="226"/>
      <c r="AO69" s="226"/>
      <c r="AP69" s="226"/>
      <c r="AQ69" s="226"/>
      <c r="AR69" s="226"/>
      <c r="AS69" s="226"/>
      <c r="AT69" s="226"/>
      <c r="AU69" s="226"/>
      <c r="AV69" s="226"/>
      <c r="AW69" s="226"/>
      <c r="AX69" s="226"/>
      <c r="AY69" s="226"/>
      <c r="AZ69" s="226"/>
      <c r="BA69" s="226"/>
      <c r="BB69" s="226"/>
      <c r="BC69" s="226"/>
      <c r="BD69" s="226"/>
      <c r="BE69" s="226"/>
      <c r="BF69" s="226"/>
      <c r="BG69" s="226"/>
      <c r="BH69" s="226"/>
    </row>
    <row r="70" outlineLevel="1" ht="22.5">
      <c r="A70" s="216">
        <v>21</v>
      </c>
      <c r="B70" s="217" t="s">
        <v>473</v>
      </c>
      <c r="C70" s="218" t="s">
        <v>474</v>
      </c>
      <c r="D70" s="219" t="s">
        <v>207</v>
      </c>
      <c r="E70" s="220">
        <v>173.72</v>
      </c>
      <c r="F70" s="221"/>
      <c r="G70" s="222">
        <f>ROUND(E70*F70,2)</f>
        <v>0</v>
      </c>
      <c r="H70" s="223"/>
      <c r="I70" s="224">
        <f>ROUND(E70*H70,2)</f>
        <v>0</v>
      </c>
      <c r="J70" s="223"/>
      <c r="K70" s="224">
        <f>ROUND(E70*J70,2)</f>
        <v>0</v>
      </c>
      <c r="L70" s="224">
        <v>21</v>
      </c>
      <c r="M70" s="224">
        <f>G70*(1+L70/100)</f>
        <v>0</v>
      </c>
      <c r="N70" s="225">
        <v>2.1000000000000001</v>
      </c>
      <c r="O70" s="225">
        <f>ROUND(E70*N70,2)</f>
        <v>364.81</v>
      </c>
      <c r="P70" s="225">
        <v>0</v>
      </c>
      <c r="Q70" s="225">
        <f>ROUND(E70*P70,2)</f>
        <v>0</v>
      </c>
      <c r="R70" s="224"/>
      <c r="S70" s="224" t="s">
        <v>208</v>
      </c>
      <c r="T70" s="224" t="s">
        <v>209</v>
      </c>
      <c r="U70" s="224">
        <v>0.96499999999999997</v>
      </c>
      <c r="V70" s="224">
        <f>ROUND(E70*U70,2)</f>
        <v>167.63999999999999</v>
      </c>
      <c r="W70" s="224"/>
      <c r="X70" s="224" t="s">
        <v>210</v>
      </c>
      <c r="Y70" s="224" t="s">
        <v>211</v>
      </c>
      <c r="Z70" s="226"/>
      <c r="AA70" s="226"/>
      <c r="AB70" s="226"/>
      <c r="AC70" s="226"/>
      <c r="AD70" s="226"/>
      <c r="AE70" s="226"/>
      <c r="AF70" s="226"/>
      <c r="AG70" s="226" t="s">
        <v>396</v>
      </c>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row>
    <row r="71" outlineLevel="2">
      <c r="A71" s="227"/>
      <c r="B71" s="228"/>
      <c r="C71" s="233" t="s">
        <v>475</v>
      </c>
      <c r="D71" s="234"/>
      <c r="E71" s="235">
        <v>173.72</v>
      </c>
      <c r="F71" s="224"/>
      <c r="G71" s="224"/>
      <c r="H71" s="224"/>
      <c r="I71" s="224"/>
      <c r="J71" s="224"/>
      <c r="K71" s="224"/>
      <c r="L71" s="224"/>
      <c r="M71" s="224"/>
      <c r="N71" s="225"/>
      <c r="O71" s="225"/>
      <c r="P71" s="225"/>
      <c r="Q71" s="225"/>
      <c r="R71" s="224"/>
      <c r="S71" s="224"/>
      <c r="T71" s="224"/>
      <c r="U71" s="224"/>
      <c r="V71" s="224"/>
      <c r="W71" s="224"/>
      <c r="X71" s="224"/>
      <c r="Y71" s="224"/>
      <c r="Z71" s="226"/>
      <c r="AA71" s="226"/>
      <c r="AB71" s="226"/>
      <c r="AC71" s="226"/>
      <c r="AD71" s="226"/>
      <c r="AE71" s="226"/>
      <c r="AF71" s="226"/>
      <c r="AG71" s="226" t="s">
        <v>217</v>
      </c>
      <c r="AH71" s="226">
        <v>5</v>
      </c>
      <c r="AI71" s="226"/>
      <c r="AJ71" s="226"/>
      <c r="AK71" s="226"/>
      <c r="AL71" s="226"/>
      <c r="AM71" s="226"/>
      <c r="AN71" s="226"/>
      <c r="AO71" s="226"/>
      <c r="AP71" s="226"/>
      <c r="AQ71" s="226"/>
      <c r="AR71" s="226"/>
      <c r="AS71" s="226"/>
      <c r="AT71" s="226"/>
      <c r="AU71" s="226"/>
      <c r="AV71" s="226"/>
      <c r="AW71" s="226"/>
      <c r="AX71" s="226"/>
      <c r="AY71" s="226"/>
      <c r="AZ71" s="226"/>
      <c r="BA71" s="226"/>
      <c r="BB71" s="226"/>
      <c r="BC71" s="226"/>
      <c r="BD71" s="226"/>
      <c r="BE71" s="226"/>
      <c r="BF71" s="226"/>
      <c r="BG71" s="226"/>
      <c r="BH71" s="226"/>
    </row>
    <row r="72" outlineLevel="1" ht="22.5">
      <c r="A72" s="216">
        <v>22</v>
      </c>
      <c r="B72" s="217" t="s">
        <v>476</v>
      </c>
      <c r="C72" s="218" t="s">
        <v>477</v>
      </c>
      <c r="D72" s="219" t="s">
        <v>207</v>
      </c>
      <c r="E72" s="220">
        <v>15.6</v>
      </c>
      <c r="F72" s="221"/>
      <c r="G72" s="222">
        <f>ROUND(E72*F72,2)</f>
        <v>0</v>
      </c>
      <c r="H72" s="223"/>
      <c r="I72" s="224">
        <f>ROUND(E72*H72,2)</f>
        <v>0</v>
      </c>
      <c r="J72" s="223"/>
      <c r="K72" s="224">
        <f>ROUND(E72*J72,2)</f>
        <v>0</v>
      </c>
      <c r="L72" s="224">
        <v>21</v>
      </c>
      <c r="M72" s="224">
        <f>G72*(1+L72/100)</f>
        <v>0</v>
      </c>
      <c r="N72" s="225">
        <v>2.1000000000000001</v>
      </c>
      <c r="O72" s="225">
        <f>ROUND(E72*N72,2)</f>
        <v>32.759999999999998</v>
      </c>
      <c r="P72" s="225">
        <v>0</v>
      </c>
      <c r="Q72" s="225">
        <f>ROUND(E72*P72,2)</f>
        <v>0</v>
      </c>
      <c r="R72" s="224"/>
      <c r="S72" s="224" t="s">
        <v>208</v>
      </c>
      <c r="T72" s="224" t="s">
        <v>209</v>
      </c>
      <c r="U72" s="224">
        <v>0.96999999999999997</v>
      </c>
      <c r="V72" s="224">
        <f>ROUND(E72*U72,2)</f>
        <v>15.130000000000001</v>
      </c>
      <c r="W72" s="224"/>
      <c r="X72" s="224" t="s">
        <v>210</v>
      </c>
      <c r="Y72" s="224" t="s">
        <v>211</v>
      </c>
      <c r="Z72" s="226"/>
      <c r="AA72" s="226"/>
      <c r="AB72" s="226"/>
      <c r="AC72" s="226"/>
      <c r="AD72" s="226"/>
      <c r="AE72" s="226"/>
      <c r="AF72" s="226"/>
      <c r="AG72" s="226" t="s">
        <v>396</v>
      </c>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row>
    <row r="73" outlineLevel="2">
      <c r="A73" s="227"/>
      <c r="B73" s="228"/>
      <c r="C73" s="233" t="s">
        <v>478</v>
      </c>
      <c r="D73" s="234"/>
      <c r="E73" s="235">
        <v>15.6</v>
      </c>
      <c r="F73" s="224"/>
      <c r="G73" s="224"/>
      <c r="H73" s="224"/>
      <c r="I73" s="224"/>
      <c r="J73" s="224"/>
      <c r="K73" s="224"/>
      <c r="L73" s="224"/>
      <c r="M73" s="224"/>
      <c r="N73" s="225"/>
      <c r="O73" s="225"/>
      <c r="P73" s="225"/>
      <c r="Q73" s="225"/>
      <c r="R73" s="224"/>
      <c r="S73" s="224"/>
      <c r="T73" s="224"/>
      <c r="U73" s="224"/>
      <c r="V73" s="224"/>
      <c r="W73" s="224"/>
      <c r="X73" s="224"/>
      <c r="Y73" s="224"/>
      <c r="Z73" s="226"/>
      <c r="AA73" s="226"/>
      <c r="AB73" s="226"/>
      <c r="AC73" s="226"/>
      <c r="AD73" s="226"/>
      <c r="AE73" s="226"/>
      <c r="AF73" s="226"/>
      <c r="AG73" s="226" t="s">
        <v>217</v>
      </c>
      <c r="AH73" s="226">
        <v>0</v>
      </c>
      <c r="AI73" s="226"/>
      <c r="AJ73" s="226"/>
      <c r="AK73" s="226"/>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row>
    <row r="74">
      <c r="A74" s="207" t="s">
        <v>203</v>
      </c>
      <c r="B74" s="208" t="s">
        <v>131</v>
      </c>
      <c r="C74" s="209" t="s">
        <v>132</v>
      </c>
      <c r="D74" s="210"/>
      <c r="E74" s="211"/>
      <c r="F74" s="212"/>
      <c r="G74" s="213">
        <f>SUMIF(AG75:AG91,"&lt;&gt;NOR",G75:G91)</f>
        <v>0</v>
      </c>
      <c r="H74" s="214"/>
      <c r="I74" s="214">
        <f>SUM(I75:I91)</f>
        <v>0</v>
      </c>
      <c r="J74" s="214"/>
      <c r="K74" s="214">
        <f>SUM(K75:K91)</f>
        <v>0</v>
      </c>
      <c r="L74" s="214"/>
      <c r="M74" s="214">
        <f>SUM(M75:M91)</f>
        <v>0</v>
      </c>
      <c r="N74" s="215"/>
      <c r="O74" s="215">
        <f>SUM(O75:O91)</f>
        <v>504.19999999999999</v>
      </c>
      <c r="P74" s="215"/>
      <c r="Q74" s="215">
        <f>SUM(Q75:Q91)</f>
        <v>0</v>
      </c>
      <c r="R74" s="214"/>
      <c r="S74" s="214"/>
      <c r="T74" s="214"/>
      <c r="U74" s="214"/>
      <c r="V74" s="214">
        <f>SUM(V75:V91)</f>
        <v>364.08999999999998</v>
      </c>
      <c r="W74" s="214"/>
      <c r="X74" s="214"/>
      <c r="Y74" s="214"/>
      <c r="AG74" t="s">
        <v>204</v>
      </c>
    </row>
    <row r="75" outlineLevel="1" ht="22.5">
      <c r="A75" s="216">
        <v>23</v>
      </c>
      <c r="B75" s="217" t="s">
        <v>479</v>
      </c>
      <c r="C75" s="218" t="s">
        <v>480</v>
      </c>
      <c r="D75" s="219" t="s">
        <v>280</v>
      </c>
      <c r="E75" s="220">
        <v>53</v>
      </c>
      <c r="F75" s="221"/>
      <c r="G75" s="222">
        <f>ROUND(E75*F75,2)</f>
        <v>0</v>
      </c>
      <c r="H75" s="223"/>
      <c r="I75" s="224">
        <f>ROUND(E75*H75,2)</f>
        <v>0</v>
      </c>
      <c r="J75" s="223"/>
      <c r="K75" s="224">
        <f>ROUND(E75*J75,2)</f>
        <v>0</v>
      </c>
      <c r="L75" s="224">
        <v>21</v>
      </c>
      <c r="M75" s="224">
        <f>G75*(1+L75/100)</f>
        <v>0</v>
      </c>
      <c r="N75" s="225">
        <v>0.59999999999999998</v>
      </c>
      <c r="O75" s="225">
        <f>ROUND(E75*N75,2)</f>
        <v>31.800000000000001</v>
      </c>
      <c r="P75" s="225">
        <v>0</v>
      </c>
      <c r="Q75" s="225">
        <f>ROUND(E75*P75,2)</f>
        <v>0</v>
      </c>
      <c r="R75" s="224"/>
      <c r="S75" s="224" t="s">
        <v>208</v>
      </c>
      <c r="T75" s="224" t="s">
        <v>209</v>
      </c>
      <c r="U75" s="224">
        <v>0.68999999999999995</v>
      </c>
      <c r="V75" s="224">
        <f>ROUND(E75*U75,2)</f>
        <v>36.57</v>
      </c>
      <c r="W75" s="224"/>
      <c r="X75" s="224" t="s">
        <v>210</v>
      </c>
      <c r="Y75" s="224" t="s">
        <v>211</v>
      </c>
      <c r="Z75" s="226"/>
      <c r="AA75" s="226"/>
      <c r="AB75" s="226"/>
      <c r="AC75" s="226"/>
      <c r="AD75" s="226"/>
      <c r="AE75" s="226"/>
      <c r="AF75" s="226"/>
      <c r="AG75" s="226" t="s">
        <v>396</v>
      </c>
      <c r="AH75" s="226"/>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row>
    <row r="76" outlineLevel="2">
      <c r="A76" s="227"/>
      <c r="B76" s="228"/>
      <c r="C76" s="229" t="s">
        <v>481</v>
      </c>
      <c r="D76" s="230"/>
      <c r="E76" s="230"/>
      <c r="F76" s="230"/>
      <c r="G76" s="230"/>
      <c r="H76" s="224"/>
      <c r="I76" s="224"/>
      <c r="J76" s="224"/>
      <c r="K76" s="224"/>
      <c r="L76" s="224"/>
      <c r="M76" s="224"/>
      <c r="N76" s="225"/>
      <c r="O76" s="225"/>
      <c r="P76" s="225"/>
      <c r="Q76" s="225"/>
      <c r="R76" s="224"/>
      <c r="S76" s="224"/>
      <c r="T76" s="224"/>
      <c r="U76" s="224"/>
      <c r="V76" s="224"/>
      <c r="W76" s="224"/>
      <c r="X76" s="224"/>
      <c r="Y76" s="224"/>
      <c r="Z76" s="226"/>
      <c r="AA76" s="226"/>
      <c r="AB76" s="226"/>
      <c r="AC76" s="226"/>
      <c r="AD76" s="226"/>
      <c r="AE76" s="226"/>
      <c r="AF76" s="226"/>
      <c r="AG76" s="226" t="s">
        <v>214</v>
      </c>
      <c r="AH76" s="226"/>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row>
    <row r="77" outlineLevel="1" ht="22.5">
      <c r="A77" s="216">
        <v>24</v>
      </c>
      <c r="B77" s="217" t="s">
        <v>482</v>
      </c>
      <c r="C77" s="218" t="s">
        <v>483</v>
      </c>
      <c r="D77" s="219" t="s">
        <v>280</v>
      </c>
      <c r="E77" s="220">
        <v>30</v>
      </c>
      <c r="F77" s="221"/>
      <c r="G77" s="222">
        <f>ROUND(E77*F77,2)</f>
        <v>0</v>
      </c>
      <c r="H77" s="223"/>
      <c r="I77" s="224">
        <f>ROUND(E77*H77,2)</f>
        <v>0</v>
      </c>
      <c r="J77" s="223"/>
      <c r="K77" s="224">
        <f>ROUND(E77*J77,2)</f>
        <v>0</v>
      </c>
      <c r="L77" s="224">
        <v>21</v>
      </c>
      <c r="M77" s="224">
        <f>G77*(1+L77/100)</f>
        <v>0</v>
      </c>
      <c r="N77" s="225">
        <v>1.2</v>
      </c>
      <c r="O77" s="225">
        <f>ROUND(E77*N77,2)</f>
        <v>36</v>
      </c>
      <c r="P77" s="225">
        <v>0</v>
      </c>
      <c r="Q77" s="225">
        <f>ROUND(E77*P77,2)</f>
        <v>0</v>
      </c>
      <c r="R77" s="224"/>
      <c r="S77" s="224" t="s">
        <v>208</v>
      </c>
      <c r="T77" s="224" t="s">
        <v>209</v>
      </c>
      <c r="U77" s="224">
        <v>1.01</v>
      </c>
      <c r="V77" s="224">
        <f>ROUND(E77*U77,2)</f>
        <v>30.300000000000001</v>
      </c>
      <c r="W77" s="224"/>
      <c r="X77" s="224" t="s">
        <v>210</v>
      </c>
      <c r="Y77" s="224" t="s">
        <v>211</v>
      </c>
      <c r="Z77" s="226"/>
      <c r="AA77" s="226"/>
      <c r="AB77" s="226"/>
      <c r="AC77" s="226"/>
      <c r="AD77" s="226"/>
      <c r="AE77" s="226"/>
      <c r="AF77" s="226"/>
      <c r="AG77" s="226" t="s">
        <v>396</v>
      </c>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row>
    <row r="78" outlineLevel="2">
      <c r="A78" s="227"/>
      <c r="B78" s="228"/>
      <c r="C78" s="229" t="s">
        <v>481</v>
      </c>
      <c r="D78" s="230"/>
      <c r="E78" s="230"/>
      <c r="F78" s="230"/>
      <c r="G78" s="230"/>
      <c r="H78" s="224"/>
      <c r="I78" s="224"/>
      <c r="J78" s="224"/>
      <c r="K78" s="224"/>
      <c r="L78" s="224"/>
      <c r="M78" s="224"/>
      <c r="N78" s="225"/>
      <c r="O78" s="225"/>
      <c r="P78" s="225"/>
      <c r="Q78" s="225"/>
      <c r="R78" s="224"/>
      <c r="S78" s="224"/>
      <c r="T78" s="224"/>
      <c r="U78" s="224"/>
      <c r="V78" s="224"/>
      <c r="W78" s="224"/>
      <c r="X78" s="224"/>
      <c r="Y78" s="224"/>
      <c r="Z78" s="226"/>
      <c r="AA78" s="226"/>
      <c r="AB78" s="226"/>
      <c r="AC78" s="226"/>
      <c r="AD78" s="226"/>
      <c r="AE78" s="226"/>
      <c r="AF78" s="226"/>
      <c r="AG78" s="226" t="s">
        <v>214</v>
      </c>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row>
    <row r="79" outlineLevel="1" ht="22.5">
      <c r="A79" s="216">
        <v>25</v>
      </c>
      <c r="B79" s="217" t="s">
        <v>484</v>
      </c>
      <c r="C79" s="218" t="s">
        <v>485</v>
      </c>
      <c r="D79" s="219" t="s">
        <v>280</v>
      </c>
      <c r="E79" s="220">
        <v>16</v>
      </c>
      <c r="F79" s="221"/>
      <c r="G79" s="222">
        <f>ROUND(E79*F79,2)</f>
        <v>0</v>
      </c>
      <c r="H79" s="223"/>
      <c r="I79" s="224">
        <f>ROUND(E79*H79,2)</f>
        <v>0</v>
      </c>
      <c r="J79" s="223"/>
      <c r="K79" s="224">
        <f>ROUND(E79*J79,2)</f>
        <v>0</v>
      </c>
      <c r="L79" s="224">
        <v>21</v>
      </c>
      <c r="M79" s="224">
        <f>G79*(1+L79/100)</f>
        <v>0</v>
      </c>
      <c r="N79" s="225">
        <v>1.8</v>
      </c>
      <c r="O79" s="225">
        <f>ROUND(E79*N79,2)</f>
        <v>28.800000000000001</v>
      </c>
      <c r="P79" s="225">
        <v>0</v>
      </c>
      <c r="Q79" s="225">
        <f>ROUND(E79*P79,2)</f>
        <v>0</v>
      </c>
      <c r="R79" s="224"/>
      <c r="S79" s="224" t="s">
        <v>208</v>
      </c>
      <c r="T79" s="224" t="s">
        <v>209</v>
      </c>
      <c r="U79" s="224">
        <v>1.54</v>
      </c>
      <c r="V79" s="224">
        <f>ROUND(E79*U79,2)</f>
        <v>24.640000000000001</v>
      </c>
      <c r="W79" s="224"/>
      <c r="X79" s="224" t="s">
        <v>210</v>
      </c>
      <c r="Y79" s="224" t="s">
        <v>211</v>
      </c>
      <c r="Z79" s="226"/>
      <c r="AA79" s="226"/>
      <c r="AB79" s="226"/>
      <c r="AC79" s="226"/>
      <c r="AD79" s="226"/>
      <c r="AE79" s="226"/>
      <c r="AF79" s="226"/>
      <c r="AG79" s="226" t="s">
        <v>396</v>
      </c>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row>
    <row r="80" outlineLevel="2">
      <c r="A80" s="227"/>
      <c r="B80" s="228"/>
      <c r="C80" s="229" t="s">
        <v>481</v>
      </c>
      <c r="D80" s="230"/>
      <c r="E80" s="230"/>
      <c r="F80" s="230"/>
      <c r="G80" s="230"/>
      <c r="H80" s="224"/>
      <c r="I80" s="224"/>
      <c r="J80" s="224"/>
      <c r="K80" s="224"/>
      <c r="L80" s="224"/>
      <c r="M80" s="224"/>
      <c r="N80" s="225"/>
      <c r="O80" s="225"/>
      <c r="P80" s="225"/>
      <c r="Q80" s="225"/>
      <c r="R80" s="224"/>
      <c r="S80" s="224"/>
      <c r="T80" s="224"/>
      <c r="U80" s="224"/>
      <c r="V80" s="224"/>
      <c r="W80" s="224"/>
      <c r="X80" s="224"/>
      <c r="Y80" s="224"/>
      <c r="Z80" s="226"/>
      <c r="AA80" s="226"/>
      <c r="AB80" s="226"/>
      <c r="AC80" s="226"/>
      <c r="AD80" s="226"/>
      <c r="AE80" s="226"/>
      <c r="AF80" s="226"/>
      <c r="AG80" s="226" t="s">
        <v>214</v>
      </c>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row>
    <row r="81" outlineLevel="1" ht="22.5">
      <c r="A81" s="216">
        <v>26</v>
      </c>
      <c r="B81" s="217" t="s">
        <v>486</v>
      </c>
      <c r="C81" s="218" t="s">
        <v>487</v>
      </c>
      <c r="D81" s="219" t="s">
        <v>280</v>
      </c>
      <c r="E81" s="220">
        <v>166</v>
      </c>
      <c r="F81" s="221"/>
      <c r="G81" s="222">
        <f>ROUND(E81*F81,2)</f>
        <v>0</v>
      </c>
      <c r="H81" s="223"/>
      <c r="I81" s="224">
        <f>ROUND(E81*H81,2)</f>
        <v>0</v>
      </c>
      <c r="J81" s="223"/>
      <c r="K81" s="224">
        <f>ROUND(E81*J81,2)</f>
        <v>0</v>
      </c>
      <c r="L81" s="224">
        <v>21</v>
      </c>
      <c r="M81" s="224">
        <f>G81*(1+L81/100)</f>
        <v>0</v>
      </c>
      <c r="N81" s="225">
        <v>2.3999999999999999</v>
      </c>
      <c r="O81" s="225">
        <f>ROUND(E81*N81,2)</f>
        <v>398.39999999999998</v>
      </c>
      <c r="P81" s="225">
        <v>0</v>
      </c>
      <c r="Q81" s="225">
        <f>ROUND(E81*P81,2)</f>
        <v>0</v>
      </c>
      <c r="R81" s="224"/>
      <c r="S81" s="224" t="s">
        <v>208</v>
      </c>
      <c r="T81" s="224" t="s">
        <v>209</v>
      </c>
      <c r="U81" s="224">
        <v>1.54</v>
      </c>
      <c r="V81" s="224">
        <f>ROUND(E81*U81,2)</f>
        <v>255.63999999999999</v>
      </c>
      <c r="W81" s="224"/>
      <c r="X81" s="224" t="s">
        <v>210</v>
      </c>
      <c r="Y81" s="224" t="s">
        <v>211</v>
      </c>
      <c r="Z81" s="226"/>
      <c r="AA81" s="226"/>
      <c r="AB81" s="226"/>
      <c r="AC81" s="226"/>
      <c r="AD81" s="226"/>
      <c r="AE81" s="226"/>
      <c r="AF81" s="226"/>
      <c r="AG81" s="226" t="s">
        <v>396</v>
      </c>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row>
    <row r="82" outlineLevel="2">
      <c r="A82" s="227"/>
      <c r="B82" s="228"/>
      <c r="C82" s="229" t="s">
        <v>481</v>
      </c>
      <c r="D82" s="230"/>
      <c r="E82" s="230"/>
      <c r="F82" s="230"/>
      <c r="G82" s="230"/>
      <c r="H82" s="224"/>
      <c r="I82" s="224"/>
      <c r="J82" s="224"/>
      <c r="K82" s="224"/>
      <c r="L82" s="224"/>
      <c r="M82" s="224"/>
      <c r="N82" s="225"/>
      <c r="O82" s="225"/>
      <c r="P82" s="225"/>
      <c r="Q82" s="225"/>
      <c r="R82" s="224"/>
      <c r="S82" s="224"/>
      <c r="T82" s="224"/>
      <c r="U82" s="224"/>
      <c r="V82" s="224"/>
      <c r="W82" s="224"/>
      <c r="X82" s="224"/>
      <c r="Y82" s="224"/>
      <c r="Z82" s="226"/>
      <c r="AA82" s="226"/>
      <c r="AB82" s="226"/>
      <c r="AC82" s="226"/>
      <c r="AD82" s="226"/>
      <c r="AE82" s="226"/>
      <c r="AF82" s="226"/>
      <c r="AG82" s="226" t="s">
        <v>214</v>
      </c>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row>
    <row r="83" outlineLevel="1" ht="22.5">
      <c r="A83" s="216">
        <v>27</v>
      </c>
      <c r="B83" s="217" t="s">
        <v>488</v>
      </c>
      <c r="C83" s="218" t="s">
        <v>489</v>
      </c>
      <c r="D83" s="219" t="s">
        <v>280</v>
      </c>
      <c r="E83" s="220">
        <v>10</v>
      </c>
      <c r="F83" s="221"/>
      <c r="G83" s="222">
        <f>ROUND(E83*F83,2)</f>
        <v>0</v>
      </c>
      <c r="H83" s="223"/>
      <c r="I83" s="224">
        <f>ROUND(E83*H83,2)</f>
        <v>0</v>
      </c>
      <c r="J83" s="223"/>
      <c r="K83" s="224">
        <f>ROUND(E83*J83,2)</f>
        <v>0</v>
      </c>
      <c r="L83" s="224">
        <v>21</v>
      </c>
      <c r="M83" s="224">
        <f>G83*(1+L83/100)</f>
        <v>0</v>
      </c>
      <c r="N83" s="225">
        <v>0.59999999999999998</v>
      </c>
      <c r="O83" s="225">
        <f>ROUND(E83*N83,2)</f>
        <v>6</v>
      </c>
      <c r="P83" s="225">
        <v>0</v>
      </c>
      <c r="Q83" s="225">
        <f>ROUND(E83*P83,2)</f>
        <v>0</v>
      </c>
      <c r="R83" s="224"/>
      <c r="S83" s="224" t="s">
        <v>208</v>
      </c>
      <c r="T83" s="224" t="s">
        <v>209</v>
      </c>
      <c r="U83" s="224">
        <v>1.54</v>
      </c>
      <c r="V83" s="224">
        <f>ROUND(E83*U83,2)</f>
        <v>15.4</v>
      </c>
      <c r="W83" s="224"/>
      <c r="X83" s="224" t="s">
        <v>210</v>
      </c>
      <c r="Y83" s="224" t="s">
        <v>211</v>
      </c>
      <c r="Z83" s="226"/>
      <c r="AA83" s="226"/>
      <c r="AB83" s="226"/>
      <c r="AC83" s="226"/>
      <c r="AD83" s="226"/>
      <c r="AE83" s="226"/>
      <c r="AF83" s="226"/>
      <c r="AG83" s="226" t="s">
        <v>396</v>
      </c>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row>
    <row r="84" outlineLevel="2">
      <c r="A84" s="227"/>
      <c r="B84" s="228"/>
      <c r="C84" s="229" t="s">
        <v>481</v>
      </c>
      <c r="D84" s="230"/>
      <c r="E84" s="230"/>
      <c r="F84" s="230"/>
      <c r="G84" s="230"/>
      <c r="H84" s="224"/>
      <c r="I84" s="224"/>
      <c r="J84" s="224"/>
      <c r="K84" s="224"/>
      <c r="L84" s="224"/>
      <c r="M84" s="224"/>
      <c r="N84" s="225"/>
      <c r="O84" s="225"/>
      <c r="P84" s="225"/>
      <c r="Q84" s="225"/>
      <c r="R84" s="224"/>
      <c r="S84" s="224"/>
      <c r="T84" s="224"/>
      <c r="U84" s="224"/>
      <c r="V84" s="224"/>
      <c r="W84" s="224"/>
      <c r="X84" s="224"/>
      <c r="Y84" s="224"/>
      <c r="Z84" s="226"/>
      <c r="AA84" s="226"/>
      <c r="AB84" s="226"/>
      <c r="AC84" s="226"/>
      <c r="AD84" s="226"/>
      <c r="AE84" s="226"/>
      <c r="AF84" s="226"/>
      <c r="AG84" s="226" t="s">
        <v>214</v>
      </c>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row>
    <row r="85" outlineLevel="1">
      <c r="A85" s="216">
        <v>28</v>
      </c>
      <c r="B85" s="217" t="s">
        <v>490</v>
      </c>
      <c r="C85" s="218" t="s">
        <v>491</v>
      </c>
      <c r="D85" s="219" t="s">
        <v>492</v>
      </c>
      <c r="E85" s="220">
        <v>1</v>
      </c>
      <c r="F85" s="221"/>
      <c r="G85" s="222">
        <f>ROUND(E85*F85,2)</f>
        <v>0</v>
      </c>
      <c r="H85" s="223"/>
      <c r="I85" s="224">
        <f>ROUND(E85*H85,2)</f>
        <v>0</v>
      </c>
      <c r="J85" s="223"/>
      <c r="K85" s="224">
        <f>ROUND(E85*J85,2)</f>
        <v>0</v>
      </c>
      <c r="L85" s="224">
        <v>21</v>
      </c>
      <c r="M85" s="224">
        <f>G85*(1+L85/100)</f>
        <v>0</v>
      </c>
      <c r="N85" s="225">
        <v>3.2022699999999999</v>
      </c>
      <c r="O85" s="225">
        <f>ROUND(E85*N85,2)</f>
        <v>3.2000000000000002</v>
      </c>
      <c r="P85" s="225">
        <v>0</v>
      </c>
      <c r="Q85" s="225">
        <f>ROUND(E85*P85,2)</f>
        <v>0</v>
      </c>
      <c r="R85" s="224"/>
      <c r="S85" s="224" t="s">
        <v>208</v>
      </c>
      <c r="T85" s="224" t="s">
        <v>209</v>
      </c>
      <c r="U85" s="224">
        <v>1.54</v>
      </c>
      <c r="V85" s="224">
        <f>ROUND(E85*U85,2)</f>
        <v>1.54</v>
      </c>
      <c r="W85" s="224"/>
      <c r="X85" s="224" t="s">
        <v>210</v>
      </c>
      <c r="Y85" s="224" t="s">
        <v>211</v>
      </c>
      <c r="Z85" s="226"/>
      <c r="AA85" s="226"/>
      <c r="AB85" s="226"/>
      <c r="AC85" s="226"/>
      <c r="AD85" s="226"/>
      <c r="AE85" s="226"/>
      <c r="AF85" s="226"/>
      <c r="AG85" s="226" t="s">
        <v>396</v>
      </c>
      <c r="AH85" s="226"/>
      <c r="AI85" s="226"/>
      <c r="AJ85" s="226"/>
      <c r="AK85" s="226"/>
      <c r="AL85" s="226"/>
      <c r="AM85" s="226"/>
      <c r="AN85" s="226"/>
      <c r="AO85" s="226"/>
      <c r="AP85" s="226"/>
      <c r="AQ85" s="226"/>
      <c r="AR85" s="226"/>
      <c r="AS85" s="226"/>
      <c r="AT85" s="226"/>
      <c r="AU85" s="226"/>
      <c r="AV85" s="226"/>
      <c r="AW85" s="226"/>
      <c r="AX85" s="226"/>
      <c r="AY85" s="226"/>
      <c r="AZ85" s="226"/>
      <c r="BA85" s="226"/>
      <c r="BB85" s="226"/>
      <c r="BC85" s="226"/>
      <c r="BD85" s="226"/>
      <c r="BE85" s="226"/>
      <c r="BF85" s="226"/>
      <c r="BG85" s="226"/>
      <c r="BH85" s="226"/>
    </row>
    <row r="86" outlineLevel="2">
      <c r="A86" s="227"/>
      <c r="B86" s="228"/>
      <c r="C86" s="229" t="s">
        <v>493</v>
      </c>
      <c r="D86" s="230"/>
      <c r="E86" s="230"/>
      <c r="F86" s="230"/>
      <c r="G86" s="230"/>
      <c r="H86" s="224"/>
      <c r="I86" s="224"/>
      <c r="J86" s="224"/>
      <c r="K86" s="224"/>
      <c r="L86" s="224"/>
      <c r="M86" s="224"/>
      <c r="N86" s="225"/>
      <c r="O86" s="225"/>
      <c r="P86" s="225"/>
      <c r="Q86" s="225"/>
      <c r="R86" s="224"/>
      <c r="S86" s="224"/>
      <c r="T86" s="224"/>
      <c r="U86" s="224"/>
      <c r="V86" s="224"/>
      <c r="W86" s="224"/>
      <c r="X86" s="224"/>
      <c r="Y86" s="224"/>
      <c r="Z86" s="226"/>
      <c r="AA86" s="226"/>
      <c r="AB86" s="226"/>
      <c r="AC86" s="226"/>
      <c r="AD86" s="226"/>
      <c r="AE86" s="226"/>
      <c r="AF86" s="226"/>
      <c r="AG86" s="226" t="s">
        <v>214</v>
      </c>
      <c r="AH86" s="226"/>
      <c r="AI86" s="226"/>
      <c r="AJ86" s="226"/>
      <c r="AK86" s="226"/>
      <c r="AL86" s="226"/>
      <c r="AM86" s="226"/>
      <c r="AN86" s="226"/>
      <c r="AO86" s="226"/>
      <c r="AP86" s="226"/>
      <c r="AQ86" s="226"/>
      <c r="AR86" s="226"/>
      <c r="AS86" s="226"/>
      <c r="AT86" s="226"/>
      <c r="AU86" s="226"/>
      <c r="AV86" s="226"/>
      <c r="AW86" s="226"/>
      <c r="AX86" s="226"/>
      <c r="AY86" s="226"/>
      <c r="AZ86" s="226"/>
      <c r="BA86" s="226"/>
      <c r="BB86" s="226"/>
      <c r="BC86" s="226"/>
      <c r="BD86" s="226"/>
      <c r="BE86" s="226"/>
      <c r="BF86" s="226"/>
      <c r="BG86" s="226"/>
      <c r="BH86" s="226"/>
    </row>
    <row r="87" outlineLevel="3" ht="22.5">
      <c r="A87" s="227"/>
      <c r="B87" s="228"/>
      <c r="C87" s="231" t="s">
        <v>494</v>
      </c>
      <c r="D87" s="232"/>
      <c r="E87" s="232"/>
      <c r="F87" s="232"/>
      <c r="G87" s="232"/>
      <c r="H87" s="224"/>
      <c r="I87" s="224"/>
      <c r="J87" s="224"/>
      <c r="K87" s="224"/>
      <c r="L87" s="224"/>
      <c r="M87" s="224"/>
      <c r="N87" s="225"/>
      <c r="O87" s="225"/>
      <c r="P87" s="225"/>
      <c r="Q87" s="225"/>
      <c r="R87" s="224"/>
      <c r="S87" s="224"/>
      <c r="T87" s="224"/>
      <c r="U87" s="224"/>
      <c r="V87" s="224"/>
      <c r="W87" s="224"/>
      <c r="X87" s="224"/>
      <c r="Y87" s="224"/>
      <c r="Z87" s="226"/>
      <c r="AA87" s="226"/>
      <c r="AB87" s="226"/>
      <c r="AC87" s="226"/>
      <c r="AD87" s="226"/>
      <c r="AE87" s="226"/>
      <c r="AF87" s="226"/>
      <c r="AG87" s="226" t="s">
        <v>214</v>
      </c>
      <c r="AH87" s="226"/>
      <c r="AI87" s="226"/>
      <c r="AJ87" s="226"/>
      <c r="AK87" s="226"/>
      <c r="AL87" s="226"/>
      <c r="AM87" s="226"/>
      <c r="AN87" s="226"/>
      <c r="AO87" s="226"/>
      <c r="AP87" s="226"/>
      <c r="AQ87" s="226"/>
      <c r="AR87" s="226"/>
      <c r="AS87" s="226"/>
      <c r="AT87" s="226"/>
      <c r="AU87" s="226"/>
      <c r="AV87" s="226"/>
      <c r="AW87" s="226"/>
      <c r="AX87" s="226"/>
      <c r="AY87" s="226"/>
      <c r="AZ87" s="226"/>
      <c r="BA87" s="236" t="str">
        <f>C87</f>
        <v>Ocelová pásovina S235: délka 3 900 mm, šířka 100 mm, tloušťka 15 mm. Celkem 30 kusů, všechny pozinkované</v>
      </c>
      <c r="BB87" s="226"/>
      <c r="BC87" s="226"/>
      <c r="BD87" s="226"/>
      <c r="BE87" s="226"/>
      <c r="BF87" s="226"/>
      <c r="BG87" s="226"/>
      <c r="BH87" s="226"/>
    </row>
    <row r="88" outlineLevel="3">
      <c r="A88" s="227"/>
      <c r="B88" s="228"/>
      <c r="C88" s="231" t="s">
        <v>495</v>
      </c>
      <c r="D88" s="232"/>
      <c r="E88" s="232"/>
      <c r="F88" s="232"/>
      <c r="G88" s="232"/>
      <c r="H88" s="224"/>
      <c r="I88" s="224"/>
      <c r="J88" s="224"/>
      <c r="K88" s="224"/>
      <c r="L88" s="224"/>
      <c r="M88" s="224"/>
      <c r="N88" s="225"/>
      <c r="O88" s="225"/>
      <c r="P88" s="225"/>
      <c r="Q88" s="225"/>
      <c r="R88" s="224"/>
      <c r="S88" s="224"/>
      <c r="T88" s="224"/>
      <c r="U88" s="224"/>
      <c r="V88" s="224"/>
      <c r="W88" s="224"/>
      <c r="X88" s="224"/>
      <c r="Y88" s="224"/>
      <c r="Z88" s="226"/>
      <c r="AA88" s="226"/>
      <c r="AB88" s="226"/>
      <c r="AC88" s="226"/>
      <c r="AD88" s="226"/>
      <c r="AE88" s="226"/>
      <c r="AF88" s="226"/>
      <c r="AG88" s="226" t="s">
        <v>214</v>
      </c>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row>
    <row r="89" outlineLevel="3" ht="22.5">
      <c r="A89" s="227"/>
      <c r="B89" s="228"/>
      <c r="C89" s="231" t="s">
        <v>496</v>
      </c>
      <c r="D89" s="232"/>
      <c r="E89" s="232"/>
      <c r="F89" s="232"/>
      <c r="G89" s="232"/>
      <c r="H89" s="224"/>
      <c r="I89" s="224"/>
      <c r="J89" s="224"/>
      <c r="K89" s="224"/>
      <c r="L89" s="224"/>
      <c r="M89" s="224"/>
      <c r="N89" s="225"/>
      <c r="O89" s="225"/>
      <c r="P89" s="225"/>
      <c r="Q89" s="225"/>
      <c r="R89" s="224"/>
      <c r="S89" s="224"/>
      <c r="T89" s="224"/>
      <c r="U89" s="224"/>
      <c r="V89" s="224"/>
      <c r="W89" s="224"/>
      <c r="X89" s="224"/>
      <c r="Y89" s="224"/>
      <c r="Z89" s="226"/>
      <c r="AA89" s="226"/>
      <c r="AB89" s="226"/>
      <c r="AC89" s="226"/>
      <c r="AD89" s="226"/>
      <c r="AE89" s="226"/>
      <c r="AF89" s="226"/>
      <c r="AG89" s="226" t="s">
        <v>214</v>
      </c>
      <c r="AH89" s="226"/>
      <c r="AI89" s="226"/>
      <c r="AJ89" s="226"/>
      <c r="AK89" s="226"/>
      <c r="AL89" s="226"/>
      <c r="AM89" s="226"/>
      <c r="AN89" s="226"/>
      <c r="AO89" s="226"/>
      <c r="AP89" s="226"/>
      <c r="AQ89" s="226"/>
      <c r="AR89" s="226"/>
      <c r="AS89" s="226"/>
      <c r="AT89" s="226"/>
      <c r="AU89" s="226"/>
      <c r="AV89" s="226"/>
      <c r="AW89" s="226"/>
      <c r="AX89" s="226"/>
      <c r="AY89" s="226"/>
      <c r="AZ89" s="226"/>
      <c r="BA89" s="236" t="str">
        <f>C89</f>
        <v xml:space="preserve">Se základem - Pomocí závitové tyče  40 cm nebo roxoru M30, který bude ukotven do hloubky 30 cm (10 cm) nad povrch a následně přivařen k pásovině. – spoj se matla asfaltem</v>
      </c>
      <c r="BB89" s="226"/>
      <c r="BC89" s="226"/>
      <c r="BD89" s="226"/>
      <c r="BE89" s="226"/>
      <c r="BF89" s="226"/>
      <c r="BG89" s="226"/>
      <c r="BH89" s="226"/>
    </row>
    <row r="90" outlineLevel="3">
      <c r="A90" s="227"/>
      <c r="B90" s="228"/>
      <c r="C90" s="231" t="s">
        <v>497</v>
      </c>
      <c r="D90" s="232"/>
      <c r="E90" s="232"/>
      <c r="F90" s="232"/>
      <c r="G90" s="232"/>
      <c r="H90" s="224"/>
      <c r="I90" s="224"/>
      <c r="J90" s="224"/>
      <c r="K90" s="224"/>
      <c r="L90" s="224"/>
      <c r="M90" s="224"/>
      <c r="N90" s="225"/>
      <c r="O90" s="225"/>
      <c r="P90" s="225"/>
      <c r="Q90" s="225"/>
      <c r="R90" s="224"/>
      <c r="S90" s="224"/>
      <c r="T90" s="224"/>
      <c r="U90" s="224"/>
      <c r="V90" s="224"/>
      <c r="W90" s="224"/>
      <c r="X90" s="224"/>
      <c r="Y90" s="224"/>
      <c r="Z90" s="226"/>
      <c r="AA90" s="226"/>
      <c r="AB90" s="226"/>
      <c r="AC90" s="226"/>
      <c r="AD90" s="226"/>
      <c r="AE90" s="226"/>
      <c r="AF90" s="226"/>
      <c r="AG90" s="226" t="s">
        <v>214</v>
      </c>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6"/>
      <c r="BH90" s="226"/>
    </row>
    <row r="91" outlineLevel="3" ht="22.5">
      <c r="A91" s="227"/>
      <c r="B91" s="228"/>
      <c r="C91" s="231" t="s">
        <v>498</v>
      </c>
      <c r="D91" s="232"/>
      <c r="E91" s="232"/>
      <c r="F91" s="232"/>
      <c r="G91" s="232"/>
      <c r="H91" s="224"/>
      <c r="I91" s="224"/>
      <c r="J91" s="224"/>
      <c r="K91" s="224"/>
      <c r="L91" s="224"/>
      <c r="M91" s="224"/>
      <c r="N91" s="225"/>
      <c r="O91" s="225"/>
      <c r="P91" s="225"/>
      <c r="Q91" s="225"/>
      <c r="R91" s="224"/>
      <c r="S91" s="224"/>
      <c r="T91" s="224"/>
      <c r="U91" s="224"/>
      <c r="V91" s="224"/>
      <c r="W91" s="224"/>
      <c r="X91" s="224"/>
      <c r="Y91" s="224"/>
      <c r="Z91" s="226"/>
      <c r="AA91" s="226"/>
      <c r="AB91" s="226"/>
      <c r="AC91" s="226"/>
      <c r="AD91" s="226"/>
      <c r="AE91" s="226"/>
      <c r="AF91" s="226"/>
      <c r="AG91" s="226" t="s">
        <v>214</v>
      </c>
      <c r="AH91" s="226"/>
      <c r="AI91" s="226"/>
      <c r="AJ91" s="226"/>
      <c r="AK91" s="226"/>
      <c r="AL91" s="226"/>
      <c r="AM91" s="226"/>
      <c r="AN91" s="226"/>
      <c r="AO91" s="226"/>
      <c r="AP91" s="226"/>
      <c r="AQ91" s="226"/>
      <c r="AR91" s="226"/>
      <c r="AS91" s="226"/>
      <c r="AT91" s="226"/>
      <c r="AU91" s="226"/>
      <c r="AV91" s="226"/>
      <c r="AW91" s="226"/>
      <c r="AX91" s="226"/>
      <c r="AY91" s="226"/>
      <c r="AZ91" s="226"/>
      <c r="BA91" s="236" t="str">
        <f>C91</f>
        <v>Každá pásovina bude kotvena do středu bloku podle jedné z výše uvedených variant. Součástí prací je nejen instalace a kotvení, ale také použití plošiny a další nezbytné činnosti.</v>
      </c>
      <c r="BB91" s="226"/>
      <c r="BC91" s="226"/>
      <c r="BD91" s="226"/>
      <c r="BE91" s="226"/>
      <c r="BF91" s="226"/>
      <c r="BG91" s="226"/>
      <c r="BH91" s="226"/>
    </row>
    <row r="92">
      <c r="A92" s="207" t="s">
        <v>203</v>
      </c>
      <c r="B92" s="208" t="s">
        <v>135</v>
      </c>
      <c r="C92" s="209" t="s">
        <v>136</v>
      </c>
      <c r="D92" s="210"/>
      <c r="E92" s="211"/>
      <c r="F92" s="212"/>
      <c r="G92" s="213">
        <f>SUMIF(AG93:AG188,"&lt;&gt;NOR",G93:G188)</f>
        <v>0</v>
      </c>
      <c r="H92" s="214"/>
      <c r="I92" s="214">
        <f>SUM(I93:I188)</f>
        <v>0</v>
      </c>
      <c r="J92" s="214"/>
      <c r="K92" s="214">
        <f>SUM(K93:K188)</f>
        <v>0</v>
      </c>
      <c r="L92" s="214"/>
      <c r="M92" s="214">
        <f>SUM(M93:M188)</f>
        <v>0</v>
      </c>
      <c r="N92" s="215"/>
      <c r="O92" s="215">
        <f>SUM(O93:O188)</f>
        <v>0</v>
      </c>
      <c r="P92" s="215"/>
      <c r="Q92" s="215">
        <f>SUM(Q93:Q188)</f>
        <v>0</v>
      </c>
      <c r="R92" s="214"/>
      <c r="S92" s="214"/>
      <c r="T92" s="214"/>
      <c r="U92" s="214"/>
      <c r="V92" s="214">
        <f>SUM(V93:V188)</f>
        <v>0</v>
      </c>
      <c r="W92" s="214"/>
      <c r="X92" s="214"/>
      <c r="Y92" s="214"/>
      <c r="AG92" t="s">
        <v>204</v>
      </c>
    </row>
    <row r="93" outlineLevel="1">
      <c r="A93" s="216">
        <v>29</v>
      </c>
      <c r="B93" s="217" t="s">
        <v>499</v>
      </c>
      <c r="C93" s="218" t="s">
        <v>500</v>
      </c>
      <c r="D93" s="219" t="s">
        <v>207</v>
      </c>
      <c r="E93" s="220">
        <v>246.13444999999999</v>
      </c>
      <c r="F93" s="221"/>
      <c r="G93" s="222">
        <f>ROUND(E93*F93,2)</f>
        <v>0</v>
      </c>
      <c r="H93" s="223"/>
      <c r="I93" s="224">
        <f>ROUND(E93*H93,2)</f>
        <v>0</v>
      </c>
      <c r="J93" s="223"/>
      <c r="K93" s="224">
        <f>ROUND(E93*J93,2)</f>
        <v>0</v>
      </c>
      <c r="L93" s="224">
        <v>21</v>
      </c>
      <c r="M93" s="224">
        <f>G93*(1+L93/100)</f>
        <v>0</v>
      </c>
      <c r="N93" s="225">
        <v>0</v>
      </c>
      <c r="O93" s="225">
        <f>ROUND(E93*N93,2)</f>
        <v>0</v>
      </c>
      <c r="P93" s="225">
        <v>0</v>
      </c>
      <c r="Q93" s="225">
        <f>ROUND(E93*P93,2)</f>
        <v>0</v>
      </c>
      <c r="R93" s="224"/>
      <c r="S93" s="224" t="s">
        <v>208</v>
      </c>
      <c r="T93" s="224" t="s">
        <v>209</v>
      </c>
      <c r="U93" s="224">
        <v>0</v>
      </c>
      <c r="V93" s="224">
        <f>ROUND(E93*U93,2)</f>
        <v>0</v>
      </c>
      <c r="W93" s="224"/>
      <c r="X93" s="224" t="s">
        <v>210</v>
      </c>
      <c r="Y93" s="224" t="s">
        <v>211</v>
      </c>
      <c r="Z93" s="226"/>
      <c r="AA93" s="226"/>
      <c r="AB93" s="226"/>
      <c r="AC93" s="226"/>
      <c r="AD93" s="226"/>
      <c r="AE93" s="226"/>
      <c r="AF93" s="226"/>
      <c r="AG93" s="226" t="s">
        <v>396</v>
      </c>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row>
    <row r="94" outlineLevel="2" ht="22.5">
      <c r="A94" s="227"/>
      <c r="B94" s="228"/>
      <c r="C94" s="229" t="s">
        <v>501</v>
      </c>
      <c r="D94" s="230"/>
      <c r="E94" s="230"/>
      <c r="F94" s="230"/>
      <c r="G94" s="230"/>
      <c r="H94" s="224"/>
      <c r="I94" s="224"/>
      <c r="J94" s="224"/>
      <c r="K94" s="224"/>
      <c r="L94" s="224"/>
      <c r="M94" s="224"/>
      <c r="N94" s="225"/>
      <c r="O94" s="225"/>
      <c r="P94" s="225"/>
      <c r="Q94" s="225"/>
      <c r="R94" s="224"/>
      <c r="S94" s="224"/>
      <c r="T94" s="224"/>
      <c r="U94" s="224"/>
      <c r="V94" s="224"/>
      <c r="W94" s="224"/>
      <c r="X94" s="224"/>
      <c r="Y94" s="224"/>
      <c r="Z94" s="226"/>
      <c r="AA94" s="226"/>
      <c r="AB94" s="226"/>
      <c r="AC94" s="226"/>
      <c r="AD94" s="226"/>
      <c r="AE94" s="226"/>
      <c r="AF94" s="226"/>
      <c r="AG94" s="226" t="s">
        <v>214</v>
      </c>
      <c r="AH94" s="226"/>
      <c r="AI94" s="226"/>
      <c r="AJ94" s="226"/>
      <c r="AK94" s="226"/>
      <c r="AL94" s="226"/>
      <c r="AM94" s="226"/>
      <c r="AN94" s="226"/>
      <c r="AO94" s="226"/>
      <c r="AP94" s="226"/>
      <c r="AQ94" s="226"/>
      <c r="AR94" s="226"/>
      <c r="AS94" s="226"/>
      <c r="AT94" s="226"/>
      <c r="AU94" s="226"/>
      <c r="AV94" s="226"/>
      <c r="AW94" s="226"/>
      <c r="AX94" s="226"/>
      <c r="AY94" s="226"/>
      <c r="AZ94" s="226"/>
      <c r="BA94" s="236" t="str">
        <f>C94</f>
        <v>Pozinkovaná ocel, profily válované za studena z žárově pozinkovaných pásů z oceli, Spoje prováděné pomocí pozinkovaných metrických šroubů.</v>
      </c>
      <c r="BB94" s="226"/>
      <c r="BC94" s="226"/>
      <c r="BD94" s="226"/>
      <c r="BE94" s="226"/>
      <c r="BF94" s="226"/>
      <c r="BG94" s="226"/>
      <c r="BH94" s="226"/>
    </row>
    <row r="95" outlineLevel="3" ht="22.5">
      <c r="A95" s="227"/>
      <c r="B95" s="228"/>
      <c r="C95" s="231" t="s">
        <v>502</v>
      </c>
      <c r="D95" s="232"/>
      <c r="E95" s="232"/>
      <c r="F95" s="232"/>
      <c r="G95" s="232"/>
      <c r="H95" s="224"/>
      <c r="I95" s="224"/>
      <c r="J95" s="224"/>
      <c r="K95" s="224"/>
      <c r="L95" s="224"/>
      <c r="M95" s="224"/>
      <c r="N95" s="225"/>
      <c r="O95" s="225"/>
      <c r="P95" s="225"/>
      <c r="Q95" s="225"/>
      <c r="R95" s="224"/>
      <c r="S95" s="224"/>
      <c r="T95" s="224"/>
      <c r="U95" s="224"/>
      <c r="V95" s="224"/>
      <c r="W95" s="224"/>
      <c r="X95" s="224"/>
      <c r="Y95" s="224"/>
      <c r="Z95" s="226"/>
      <c r="AA95" s="226"/>
      <c r="AB95" s="226"/>
      <c r="AC95" s="226"/>
      <c r="AD95" s="226"/>
      <c r="AE95" s="226"/>
      <c r="AF95" s="226"/>
      <c r="AG95" s="226" t="s">
        <v>214</v>
      </c>
      <c r="AH95" s="226"/>
      <c r="AI95" s="226"/>
      <c r="AJ95" s="226"/>
      <c r="AK95" s="226"/>
      <c r="AL95" s="226"/>
      <c r="AM95" s="226"/>
      <c r="AN95" s="226"/>
      <c r="AO95" s="226"/>
      <c r="AP95" s="226"/>
      <c r="AQ95" s="226"/>
      <c r="AR95" s="226"/>
      <c r="AS95" s="226"/>
      <c r="AT95" s="226"/>
      <c r="AU95" s="226"/>
      <c r="AV95" s="226"/>
      <c r="AW95" s="226"/>
      <c r="AX95" s="226"/>
      <c r="AY95" s="226"/>
      <c r="AZ95" s="226"/>
      <c r="BA95" s="236" t="str">
        <f>C95</f>
        <v>Sekundární nosné konstukce střechy jsou ocelové vaznice ze Z-profilů za studena tvarované a pozinkované.</v>
      </c>
      <c r="BB95" s="226"/>
      <c r="BC95" s="226"/>
      <c r="BD95" s="226"/>
      <c r="BE95" s="226"/>
      <c r="BF95" s="226"/>
      <c r="BG95" s="226"/>
      <c r="BH95" s="226"/>
    </row>
    <row r="96" outlineLevel="3" ht="22.5">
      <c r="A96" s="227"/>
      <c r="B96" s="228"/>
      <c r="C96" s="231" t="s">
        <v>503</v>
      </c>
      <c r="D96" s="232"/>
      <c r="E96" s="232"/>
      <c r="F96" s="232"/>
      <c r="G96" s="232"/>
      <c r="H96" s="224"/>
      <c r="I96" s="224"/>
      <c r="J96" s="224"/>
      <c r="K96" s="224"/>
      <c r="L96" s="224"/>
      <c r="M96" s="224"/>
      <c r="N96" s="225"/>
      <c r="O96" s="225"/>
      <c r="P96" s="225"/>
      <c r="Q96" s="225"/>
      <c r="R96" s="224"/>
      <c r="S96" s="224"/>
      <c r="T96" s="224"/>
      <c r="U96" s="224"/>
      <c r="V96" s="224"/>
      <c r="W96" s="224"/>
      <c r="X96" s="224"/>
      <c r="Y96" s="224"/>
      <c r="Z96" s="226"/>
      <c r="AA96" s="226"/>
      <c r="AB96" s="226"/>
      <c r="AC96" s="226"/>
      <c r="AD96" s="226"/>
      <c r="AE96" s="226"/>
      <c r="AF96" s="226"/>
      <c r="AG96" s="226" t="s">
        <v>214</v>
      </c>
      <c r="AH96" s="226"/>
      <c r="AI96" s="226"/>
      <c r="AJ96" s="226"/>
      <c r="AK96" s="226"/>
      <c r="AL96" s="226"/>
      <c r="AM96" s="226"/>
      <c r="AN96" s="226"/>
      <c r="AO96" s="226"/>
      <c r="AP96" s="226"/>
      <c r="AQ96" s="226"/>
      <c r="AR96" s="226"/>
      <c r="AS96" s="226"/>
      <c r="AT96" s="226"/>
      <c r="AU96" s="226"/>
      <c r="AV96" s="226"/>
      <c r="AW96" s="226"/>
      <c r="AX96" s="226"/>
      <c r="AY96" s="226"/>
      <c r="AZ96" s="226"/>
      <c r="BA96" s="236" t="str">
        <f>C96</f>
        <v>Primární nosná kce střechy jsou ocelové příhradové nosníky, plnostěnné nosníky ve štítech. Nosníky jsou stabilizované vaznicemi a střešními ztužidly příp. stabilizacemi. -&gt; pozinko. ocel za studena.</v>
      </c>
      <c r="BB96" s="226"/>
      <c r="BC96" s="226"/>
      <c r="BD96" s="226"/>
      <c r="BE96" s="226"/>
      <c r="BF96" s="226"/>
      <c r="BG96" s="226"/>
      <c r="BH96" s="226"/>
    </row>
    <row r="97" outlineLevel="3" ht="22.5">
      <c r="A97" s="227"/>
      <c r="B97" s="228"/>
      <c r="C97" s="231" t="s">
        <v>504</v>
      </c>
      <c r="D97" s="232"/>
      <c r="E97" s="232"/>
      <c r="F97" s="232"/>
      <c r="G97" s="232"/>
      <c r="H97" s="224"/>
      <c r="I97" s="224"/>
      <c r="J97" s="224"/>
      <c r="K97" s="224"/>
      <c r="L97" s="224"/>
      <c r="M97" s="224"/>
      <c r="N97" s="225"/>
      <c r="O97" s="225"/>
      <c r="P97" s="225"/>
      <c r="Q97" s="225"/>
      <c r="R97" s="224"/>
      <c r="S97" s="224"/>
      <c r="T97" s="224"/>
      <c r="U97" s="224"/>
      <c r="V97" s="224"/>
      <c r="W97" s="224"/>
      <c r="X97" s="224"/>
      <c r="Y97" s="224"/>
      <c r="Z97" s="226"/>
      <c r="AA97" s="226"/>
      <c r="AB97" s="226"/>
      <c r="AC97" s="226"/>
      <c r="AD97" s="226"/>
      <c r="AE97" s="226"/>
      <c r="AF97" s="226"/>
      <c r="AG97" s="226" t="s">
        <v>214</v>
      </c>
      <c r="AH97" s="226"/>
      <c r="AI97" s="226"/>
      <c r="AJ97" s="226"/>
      <c r="AK97" s="226"/>
      <c r="AL97" s="226"/>
      <c r="AM97" s="226"/>
      <c r="AN97" s="226"/>
      <c r="AO97" s="226"/>
      <c r="AP97" s="226"/>
      <c r="AQ97" s="226"/>
      <c r="AR97" s="226"/>
      <c r="AS97" s="226"/>
      <c r="AT97" s="226"/>
      <c r="AU97" s="226"/>
      <c r="AV97" s="226"/>
      <c r="AW97" s="226"/>
      <c r="AX97" s="226"/>
      <c r="AY97" s="226"/>
      <c r="AZ97" s="226"/>
      <c r="BA97" s="236" t="str">
        <f>C97</f>
        <v>Stěnová ztužidla jsou z táhel z ocelových plochých pásků z pozink. oceli za studena. Dále jsou součístí sloupy a vodorovné vzpěry.</v>
      </c>
      <c r="BB97" s="226"/>
      <c r="BC97" s="226"/>
      <c r="BD97" s="226"/>
      <c r="BE97" s="226"/>
      <c r="BF97" s="226"/>
      <c r="BG97" s="226"/>
      <c r="BH97" s="226"/>
    </row>
    <row r="98" outlineLevel="3">
      <c r="A98" s="227"/>
      <c r="B98" s="228"/>
      <c r="C98" s="265" t="s">
        <v>505</v>
      </c>
      <c r="D98" s="266"/>
      <c r="E98" s="267"/>
      <c r="F98" s="268"/>
      <c r="G98" s="268"/>
      <c r="H98" s="224"/>
      <c r="I98" s="224"/>
      <c r="J98" s="224"/>
      <c r="K98" s="224"/>
      <c r="L98" s="224"/>
      <c r="M98" s="224"/>
      <c r="N98" s="225"/>
      <c r="O98" s="225"/>
      <c r="P98" s="225"/>
      <c r="Q98" s="225"/>
      <c r="R98" s="224"/>
      <c r="S98" s="224"/>
      <c r="T98" s="224"/>
      <c r="U98" s="224"/>
      <c r="V98" s="224"/>
      <c r="W98" s="224"/>
      <c r="X98" s="224"/>
      <c r="Y98" s="224"/>
      <c r="Z98" s="226"/>
      <c r="AA98" s="226"/>
      <c r="AB98" s="226"/>
      <c r="AC98" s="226"/>
      <c r="AD98" s="226"/>
      <c r="AE98" s="226"/>
      <c r="AF98" s="226"/>
      <c r="AG98" s="226" t="s">
        <v>214</v>
      </c>
      <c r="AH98" s="226"/>
      <c r="AI98" s="226"/>
      <c r="AJ98" s="226"/>
      <c r="AK98" s="226"/>
      <c r="AL98" s="226"/>
      <c r="AM98" s="226"/>
      <c r="AN98" s="226"/>
      <c r="AO98" s="226"/>
      <c r="AP98" s="226"/>
      <c r="AQ98" s="226"/>
      <c r="AR98" s="226"/>
      <c r="AS98" s="226"/>
      <c r="AT98" s="226"/>
      <c r="AU98" s="226"/>
      <c r="AV98" s="226"/>
      <c r="AW98" s="226"/>
      <c r="AX98" s="226"/>
      <c r="AY98" s="226"/>
      <c r="AZ98" s="226"/>
      <c r="BA98" s="226"/>
      <c r="BB98" s="226"/>
      <c r="BC98" s="226"/>
      <c r="BD98" s="226"/>
      <c r="BE98" s="226"/>
      <c r="BF98" s="226"/>
      <c r="BG98" s="226"/>
      <c r="BH98" s="226"/>
    </row>
    <row r="99" outlineLevel="3">
      <c r="A99" s="227"/>
      <c r="B99" s="228"/>
      <c r="C99" s="231" t="s">
        <v>506</v>
      </c>
      <c r="D99" s="232"/>
      <c r="E99" s="232"/>
      <c r="F99" s="232"/>
      <c r="G99" s="232"/>
      <c r="H99" s="224"/>
      <c r="I99" s="224"/>
      <c r="J99" s="224"/>
      <c r="K99" s="224"/>
      <c r="L99" s="224"/>
      <c r="M99" s="224"/>
      <c r="N99" s="225"/>
      <c r="O99" s="225"/>
      <c r="P99" s="225"/>
      <c r="Q99" s="225"/>
      <c r="R99" s="224"/>
      <c r="S99" s="224"/>
      <c r="T99" s="224"/>
      <c r="U99" s="224"/>
      <c r="V99" s="224"/>
      <c r="W99" s="224"/>
      <c r="X99" s="224"/>
      <c r="Y99" s="224"/>
      <c r="Z99" s="226"/>
      <c r="AA99" s="226"/>
      <c r="AB99" s="226"/>
      <c r="AC99" s="226"/>
      <c r="AD99" s="226"/>
      <c r="AE99" s="226"/>
      <c r="AF99" s="226"/>
      <c r="AG99" s="226" t="s">
        <v>214</v>
      </c>
      <c r="AH99" s="226"/>
      <c r="AI99" s="226"/>
      <c r="AJ99" s="226"/>
      <c r="AK99" s="226"/>
      <c r="AL99" s="226"/>
      <c r="AM99" s="226"/>
      <c r="AN99" s="226"/>
      <c r="AO99" s="226"/>
      <c r="AP99" s="226"/>
      <c r="AQ99" s="226"/>
      <c r="AR99" s="226"/>
      <c r="AS99" s="226"/>
      <c r="AT99" s="226"/>
      <c r="AU99" s="226"/>
      <c r="AV99" s="226"/>
      <c r="AW99" s="226"/>
      <c r="AX99" s="226"/>
      <c r="AY99" s="226"/>
      <c r="AZ99" s="226"/>
      <c r="BA99" s="226"/>
      <c r="BB99" s="226"/>
      <c r="BC99" s="226"/>
      <c r="BD99" s="226"/>
      <c r="BE99" s="226"/>
      <c r="BF99" s="226"/>
      <c r="BG99" s="226"/>
      <c r="BH99" s="226"/>
    </row>
    <row r="100" outlineLevel="3">
      <c r="A100" s="227"/>
      <c r="B100" s="228"/>
      <c r="C100" s="231" t="s">
        <v>507</v>
      </c>
      <c r="D100" s="232"/>
      <c r="E100" s="232"/>
      <c r="F100" s="232"/>
      <c r="G100" s="232"/>
      <c r="H100" s="224"/>
      <c r="I100" s="224"/>
      <c r="J100" s="224"/>
      <c r="K100" s="224"/>
      <c r="L100" s="224"/>
      <c r="M100" s="224"/>
      <c r="N100" s="225"/>
      <c r="O100" s="225"/>
      <c r="P100" s="225"/>
      <c r="Q100" s="225"/>
      <c r="R100" s="224"/>
      <c r="S100" s="224"/>
      <c r="T100" s="224"/>
      <c r="U100" s="224"/>
      <c r="V100" s="224"/>
      <c r="W100" s="224"/>
      <c r="X100" s="224"/>
      <c r="Y100" s="224"/>
      <c r="Z100" s="226"/>
      <c r="AA100" s="226"/>
      <c r="AB100" s="226"/>
      <c r="AC100" s="226"/>
      <c r="AD100" s="226"/>
      <c r="AE100" s="226"/>
      <c r="AF100" s="226"/>
      <c r="AG100" s="226" t="s">
        <v>214</v>
      </c>
      <c r="AH100" s="226"/>
      <c r="AI100" s="226"/>
      <c r="AJ100" s="226"/>
      <c r="AK100" s="226"/>
      <c r="AL100" s="226"/>
      <c r="AM100" s="226"/>
      <c r="AN100" s="226"/>
      <c r="AO100" s="226"/>
      <c r="AP100" s="226"/>
      <c r="AQ100" s="226"/>
      <c r="AR100" s="226"/>
      <c r="AS100" s="226"/>
      <c r="AT100" s="226"/>
      <c r="AU100" s="226"/>
      <c r="AV100" s="226"/>
      <c r="AW100" s="226"/>
      <c r="AX100" s="226"/>
      <c r="AY100" s="226"/>
      <c r="AZ100" s="226"/>
      <c r="BA100" s="226"/>
      <c r="BB100" s="226"/>
      <c r="BC100" s="226"/>
      <c r="BD100" s="226"/>
      <c r="BE100" s="226"/>
      <c r="BF100" s="226"/>
      <c r="BG100" s="226"/>
      <c r="BH100" s="226"/>
    </row>
    <row r="101" outlineLevel="3">
      <c r="A101" s="227"/>
      <c r="B101" s="228"/>
      <c r="C101" s="231" t="s">
        <v>508</v>
      </c>
      <c r="D101" s="232"/>
      <c r="E101" s="232"/>
      <c r="F101" s="232"/>
      <c r="G101" s="232"/>
      <c r="H101" s="224"/>
      <c r="I101" s="224"/>
      <c r="J101" s="224"/>
      <c r="K101" s="224"/>
      <c r="L101" s="224"/>
      <c r="M101" s="224"/>
      <c r="N101" s="225"/>
      <c r="O101" s="225"/>
      <c r="P101" s="225"/>
      <c r="Q101" s="225"/>
      <c r="R101" s="224"/>
      <c r="S101" s="224"/>
      <c r="T101" s="224"/>
      <c r="U101" s="224"/>
      <c r="V101" s="224"/>
      <c r="W101" s="224"/>
      <c r="X101" s="224"/>
      <c r="Y101" s="224"/>
      <c r="Z101" s="226"/>
      <c r="AA101" s="226"/>
      <c r="AB101" s="226"/>
      <c r="AC101" s="226"/>
      <c r="AD101" s="226"/>
      <c r="AE101" s="226"/>
      <c r="AF101" s="226"/>
      <c r="AG101" s="226" t="s">
        <v>214</v>
      </c>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row>
    <row r="102" outlineLevel="3">
      <c r="A102" s="227"/>
      <c r="B102" s="228"/>
      <c r="C102" s="231" t="s">
        <v>509</v>
      </c>
      <c r="D102" s="232"/>
      <c r="E102" s="232"/>
      <c r="F102" s="232"/>
      <c r="G102" s="232"/>
      <c r="H102" s="224"/>
      <c r="I102" s="224"/>
      <c r="J102" s="224"/>
      <c r="K102" s="224"/>
      <c r="L102" s="224"/>
      <c r="M102" s="224"/>
      <c r="N102" s="225"/>
      <c r="O102" s="225"/>
      <c r="P102" s="225"/>
      <c r="Q102" s="225"/>
      <c r="R102" s="224"/>
      <c r="S102" s="224"/>
      <c r="T102" s="224"/>
      <c r="U102" s="224"/>
      <c r="V102" s="224"/>
      <c r="W102" s="224"/>
      <c r="X102" s="224"/>
      <c r="Y102" s="224"/>
      <c r="Z102" s="226"/>
      <c r="AA102" s="226"/>
      <c r="AB102" s="226"/>
      <c r="AC102" s="226"/>
      <c r="AD102" s="226"/>
      <c r="AE102" s="226"/>
      <c r="AF102" s="226"/>
      <c r="AG102" s="226" t="s">
        <v>214</v>
      </c>
      <c r="AH102" s="226"/>
      <c r="AI102" s="226"/>
      <c r="AJ102" s="226"/>
      <c r="AK102" s="226"/>
      <c r="AL102" s="226"/>
      <c r="AM102" s="226"/>
      <c r="AN102" s="226"/>
      <c r="AO102" s="226"/>
      <c r="AP102" s="226"/>
      <c r="AQ102" s="226"/>
      <c r="AR102" s="226"/>
      <c r="AS102" s="226"/>
      <c r="AT102" s="226"/>
      <c r="AU102" s="226"/>
      <c r="AV102" s="226"/>
      <c r="AW102" s="226"/>
      <c r="AX102" s="226"/>
      <c r="AY102" s="226"/>
      <c r="AZ102" s="226"/>
      <c r="BA102" s="226"/>
      <c r="BB102" s="226"/>
      <c r="BC102" s="226"/>
      <c r="BD102" s="226"/>
      <c r="BE102" s="226"/>
      <c r="BF102" s="226"/>
      <c r="BG102" s="226"/>
      <c r="BH102" s="226"/>
    </row>
    <row r="103" outlineLevel="3">
      <c r="A103" s="227"/>
      <c r="B103" s="228"/>
      <c r="C103" s="231" t="s">
        <v>510</v>
      </c>
      <c r="D103" s="232"/>
      <c r="E103" s="232"/>
      <c r="F103" s="232"/>
      <c r="G103" s="232"/>
      <c r="H103" s="224"/>
      <c r="I103" s="224"/>
      <c r="J103" s="224"/>
      <c r="K103" s="224"/>
      <c r="L103" s="224"/>
      <c r="M103" s="224"/>
      <c r="N103" s="225"/>
      <c r="O103" s="225"/>
      <c r="P103" s="225"/>
      <c r="Q103" s="225"/>
      <c r="R103" s="224"/>
      <c r="S103" s="224"/>
      <c r="T103" s="224"/>
      <c r="U103" s="224"/>
      <c r="V103" s="224"/>
      <c r="W103" s="224"/>
      <c r="X103" s="224"/>
      <c r="Y103" s="224"/>
      <c r="Z103" s="226"/>
      <c r="AA103" s="226"/>
      <c r="AB103" s="226"/>
      <c r="AC103" s="226"/>
      <c r="AD103" s="226"/>
      <c r="AE103" s="226"/>
      <c r="AF103" s="226"/>
      <c r="AG103" s="226" t="s">
        <v>214</v>
      </c>
      <c r="AH103" s="226"/>
      <c r="AI103" s="226"/>
      <c r="AJ103" s="226"/>
      <c r="AK103" s="226"/>
      <c r="AL103" s="226"/>
      <c r="AM103" s="226"/>
      <c r="AN103" s="226"/>
      <c r="AO103" s="226"/>
      <c r="AP103" s="226"/>
      <c r="AQ103" s="226"/>
      <c r="AR103" s="226"/>
      <c r="AS103" s="226"/>
      <c r="AT103" s="226"/>
      <c r="AU103" s="226"/>
      <c r="AV103" s="226"/>
      <c r="AW103" s="226"/>
      <c r="AX103" s="226"/>
      <c r="AY103" s="226"/>
      <c r="AZ103" s="226"/>
      <c r="BA103" s="226"/>
      <c r="BB103" s="226"/>
      <c r="BC103" s="226"/>
      <c r="BD103" s="226"/>
      <c r="BE103" s="226"/>
      <c r="BF103" s="226"/>
      <c r="BG103" s="226"/>
      <c r="BH103" s="226"/>
    </row>
    <row r="104" outlineLevel="3">
      <c r="A104" s="227"/>
      <c r="B104" s="228"/>
      <c r="C104" s="231" t="s">
        <v>511</v>
      </c>
      <c r="D104" s="232"/>
      <c r="E104" s="232"/>
      <c r="F104" s="232"/>
      <c r="G104" s="232"/>
      <c r="H104" s="224"/>
      <c r="I104" s="224"/>
      <c r="J104" s="224"/>
      <c r="K104" s="224"/>
      <c r="L104" s="224"/>
      <c r="M104" s="224"/>
      <c r="N104" s="225"/>
      <c r="O104" s="225"/>
      <c r="P104" s="225"/>
      <c r="Q104" s="225"/>
      <c r="R104" s="224"/>
      <c r="S104" s="224"/>
      <c r="T104" s="224"/>
      <c r="U104" s="224"/>
      <c r="V104" s="224"/>
      <c r="W104" s="224"/>
      <c r="X104" s="224"/>
      <c r="Y104" s="224"/>
      <c r="Z104" s="226"/>
      <c r="AA104" s="226"/>
      <c r="AB104" s="226"/>
      <c r="AC104" s="226"/>
      <c r="AD104" s="226"/>
      <c r="AE104" s="226"/>
      <c r="AF104" s="226"/>
      <c r="AG104" s="226" t="s">
        <v>214</v>
      </c>
      <c r="AH104" s="226"/>
      <c r="AI104" s="226"/>
      <c r="AJ104" s="226"/>
      <c r="AK104" s="226"/>
      <c r="AL104" s="226"/>
      <c r="AM104" s="226"/>
      <c r="AN104" s="226"/>
      <c r="AO104" s="226"/>
      <c r="AP104" s="226"/>
      <c r="AQ104" s="226"/>
      <c r="AR104" s="226"/>
      <c r="AS104" s="226"/>
      <c r="AT104" s="226"/>
      <c r="AU104" s="226"/>
      <c r="AV104" s="226"/>
      <c r="AW104" s="226"/>
      <c r="AX104" s="226"/>
      <c r="AY104" s="226"/>
      <c r="AZ104" s="226"/>
      <c r="BA104" s="226"/>
      <c r="BB104" s="226"/>
      <c r="BC104" s="226"/>
      <c r="BD104" s="226"/>
      <c r="BE104" s="226"/>
      <c r="BF104" s="226"/>
      <c r="BG104" s="226"/>
      <c r="BH104" s="226"/>
    </row>
    <row r="105" outlineLevel="3">
      <c r="A105" s="227"/>
      <c r="B105" s="228"/>
      <c r="C105" s="231" t="s">
        <v>512</v>
      </c>
      <c r="D105" s="232"/>
      <c r="E105" s="232"/>
      <c r="F105" s="232"/>
      <c r="G105" s="232"/>
      <c r="H105" s="224"/>
      <c r="I105" s="224"/>
      <c r="J105" s="224"/>
      <c r="K105" s="224"/>
      <c r="L105" s="224"/>
      <c r="M105" s="224"/>
      <c r="N105" s="225"/>
      <c r="O105" s="225"/>
      <c r="P105" s="225"/>
      <c r="Q105" s="225"/>
      <c r="R105" s="224"/>
      <c r="S105" s="224"/>
      <c r="T105" s="224"/>
      <c r="U105" s="224"/>
      <c r="V105" s="224"/>
      <c r="W105" s="224"/>
      <c r="X105" s="224"/>
      <c r="Y105" s="224"/>
      <c r="Z105" s="226"/>
      <c r="AA105" s="226"/>
      <c r="AB105" s="226"/>
      <c r="AC105" s="226"/>
      <c r="AD105" s="226"/>
      <c r="AE105" s="226"/>
      <c r="AF105" s="226"/>
      <c r="AG105" s="226" t="s">
        <v>214</v>
      </c>
      <c r="AH105" s="226"/>
      <c r="AI105" s="226"/>
      <c r="AJ105" s="226"/>
      <c r="AK105" s="226"/>
      <c r="AL105" s="226"/>
      <c r="AM105" s="226"/>
      <c r="AN105" s="226"/>
      <c r="AO105" s="226"/>
      <c r="AP105" s="226"/>
      <c r="AQ105" s="226"/>
      <c r="AR105" s="226"/>
      <c r="AS105" s="226"/>
      <c r="AT105" s="226"/>
      <c r="AU105" s="226"/>
      <c r="AV105" s="226"/>
      <c r="AW105" s="226"/>
      <c r="AX105" s="226"/>
      <c r="AY105" s="226"/>
      <c r="AZ105" s="226"/>
      <c r="BA105" s="226"/>
      <c r="BB105" s="226"/>
      <c r="BC105" s="226"/>
      <c r="BD105" s="226"/>
      <c r="BE105" s="226"/>
      <c r="BF105" s="226"/>
      <c r="BG105" s="226"/>
      <c r="BH105" s="226"/>
    </row>
    <row r="106" outlineLevel="3">
      <c r="A106" s="227"/>
      <c r="B106" s="228"/>
      <c r="C106" s="265" t="s">
        <v>505</v>
      </c>
      <c r="D106" s="266"/>
      <c r="E106" s="267"/>
      <c r="F106" s="268"/>
      <c r="G106" s="268"/>
      <c r="H106" s="224"/>
      <c r="I106" s="224"/>
      <c r="J106" s="224"/>
      <c r="K106" s="224"/>
      <c r="L106" s="224"/>
      <c r="M106" s="224"/>
      <c r="N106" s="225"/>
      <c r="O106" s="225"/>
      <c r="P106" s="225"/>
      <c r="Q106" s="225"/>
      <c r="R106" s="224"/>
      <c r="S106" s="224"/>
      <c r="T106" s="224"/>
      <c r="U106" s="224"/>
      <c r="V106" s="224"/>
      <c r="W106" s="224"/>
      <c r="X106" s="224"/>
      <c r="Y106" s="224"/>
      <c r="Z106" s="226"/>
      <c r="AA106" s="226"/>
      <c r="AB106" s="226"/>
      <c r="AC106" s="226"/>
      <c r="AD106" s="226"/>
      <c r="AE106" s="226"/>
      <c r="AF106" s="226"/>
      <c r="AG106" s="226" t="s">
        <v>214</v>
      </c>
      <c r="AH106" s="226"/>
      <c r="AI106" s="226"/>
      <c r="AJ106" s="226"/>
      <c r="AK106" s="226"/>
      <c r="AL106" s="226"/>
      <c r="AM106" s="226"/>
      <c r="AN106" s="226"/>
      <c r="AO106" s="226"/>
      <c r="AP106" s="226"/>
      <c r="AQ106" s="226"/>
      <c r="AR106" s="226"/>
      <c r="AS106" s="226"/>
      <c r="AT106" s="226"/>
      <c r="AU106" s="226"/>
      <c r="AV106" s="226"/>
      <c r="AW106" s="226"/>
      <c r="AX106" s="226"/>
      <c r="AY106" s="226"/>
      <c r="AZ106" s="226"/>
      <c r="BA106" s="226"/>
      <c r="BB106" s="226"/>
      <c r="BC106" s="226"/>
      <c r="BD106" s="226"/>
      <c r="BE106" s="226"/>
      <c r="BF106" s="226"/>
      <c r="BG106" s="226"/>
      <c r="BH106" s="226"/>
    </row>
    <row r="107" outlineLevel="3" ht="22.5">
      <c r="A107" s="227"/>
      <c r="B107" s="228"/>
      <c r="C107" s="231" t="s">
        <v>513</v>
      </c>
      <c r="D107" s="232"/>
      <c r="E107" s="232"/>
      <c r="F107" s="232"/>
      <c r="G107" s="232"/>
      <c r="H107" s="224"/>
      <c r="I107" s="224"/>
      <c r="J107" s="224"/>
      <c r="K107" s="224"/>
      <c r="L107" s="224"/>
      <c r="M107" s="224"/>
      <c r="N107" s="225"/>
      <c r="O107" s="225"/>
      <c r="P107" s="225"/>
      <c r="Q107" s="225"/>
      <c r="R107" s="224"/>
      <c r="S107" s="224"/>
      <c r="T107" s="224"/>
      <c r="U107" s="224"/>
      <c r="V107" s="224"/>
      <c r="W107" s="224"/>
      <c r="X107" s="224"/>
      <c r="Y107" s="224"/>
      <c r="Z107" s="226"/>
      <c r="AA107" s="226"/>
      <c r="AB107" s="226"/>
      <c r="AC107" s="226"/>
      <c r="AD107" s="226"/>
      <c r="AE107" s="226"/>
      <c r="AF107" s="226"/>
      <c r="AG107" s="226" t="s">
        <v>214</v>
      </c>
      <c r="AH107" s="226"/>
      <c r="AI107" s="226"/>
      <c r="AJ107" s="226"/>
      <c r="AK107" s="226"/>
      <c r="AL107" s="226"/>
      <c r="AM107" s="226"/>
      <c r="AN107" s="226"/>
      <c r="AO107" s="226"/>
      <c r="AP107" s="226"/>
      <c r="AQ107" s="226"/>
      <c r="AR107" s="226"/>
      <c r="AS107" s="226"/>
      <c r="AT107" s="226"/>
      <c r="AU107" s="226"/>
      <c r="AV107" s="226"/>
      <c r="AW107" s="226"/>
      <c r="AX107" s="226"/>
      <c r="AY107" s="226"/>
      <c r="AZ107" s="226"/>
      <c r="BA107" s="236" t="str">
        <f>C107</f>
        <v>- dodání dílce požadovaného tvaru a vlastností, jeho skladování, doprava a osazení do definitivní polohy, včetně komplexní technologie výroby a montáže dílců, ošetření a ochrana dílců,</v>
      </c>
      <c r="BB107" s="226"/>
      <c r="BC107" s="226"/>
      <c r="BD107" s="226"/>
      <c r="BE107" s="226"/>
      <c r="BF107" s="226"/>
      <c r="BG107" s="226"/>
      <c r="BH107" s="226"/>
    </row>
    <row r="108" outlineLevel="3">
      <c r="A108" s="227"/>
      <c r="B108" s="228"/>
      <c r="C108" s="231" t="s">
        <v>514</v>
      </c>
      <c r="D108" s="232"/>
      <c r="E108" s="232"/>
      <c r="F108" s="232"/>
      <c r="G108" s="232"/>
      <c r="H108" s="224"/>
      <c r="I108" s="224"/>
      <c r="J108" s="224"/>
      <c r="K108" s="224"/>
      <c r="L108" s="224"/>
      <c r="M108" s="224"/>
      <c r="N108" s="225"/>
      <c r="O108" s="225"/>
      <c r="P108" s="225"/>
      <c r="Q108" s="225"/>
      <c r="R108" s="224"/>
      <c r="S108" s="224"/>
      <c r="T108" s="224"/>
      <c r="U108" s="224"/>
      <c r="V108" s="224"/>
      <c r="W108" s="224"/>
      <c r="X108" s="224"/>
      <c r="Y108" s="224"/>
      <c r="Z108" s="226"/>
      <c r="AA108" s="226"/>
      <c r="AB108" s="226"/>
      <c r="AC108" s="226"/>
      <c r="AD108" s="226"/>
      <c r="AE108" s="226"/>
      <c r="AF108" s="226"/>
      <c r="AG108" s="226" t="s">
        <v>214</v>
      </c>
      <c r="AH108" s="226"/>
      <c r="AI108" s="226"/>
      <c r="AJ108" s="226"/>
      <c r="AK108" s="226"/>
      <c r="AL108" s="226"/>
      <c r="AM108" s="226"/>
      <c r="AN108" s="226"/>
      <c r="AO108" s="226"/>
      <c r="AP108" s="226"/>
      <c r="AQ108" s="226"/>
      <c r="AR108" s="226"/>
      <c r="AS108" s="226"/>
      <c r="AT108" s="226"/>
      <c r="AU108" s="226"/>
      <c r="AV108" s="226"/>
      <c r="AW108" s="226"/>
      <c r="AX108" s="226"/>
      <c r="AY108" s="226"/>
      <c r="AZ108" s="226"/>
      <c r="BA108" s="226"/>
      <c r="BB108" s="226"/>
      <c r="BC108" s="226"/>
      <c r="BD108" s="226"/>
      <c r="BE108" s="226"/>
      <c r="BF108" s="226"/>
      <c r="BG108" s="226"/>
      <c r="BH108" s="226"/>
    </row>
    <row r="109" outlineLevel="3">
      <c r="A109" s="227"/>
      <c r="B109" s="228"/>
      <c r="C109" s="231" t="s">
        <v>515</v>
      </c>
      <c r="D109" s="232"/>
      <c r="E109" s="232"/>
      <c r="F109" s="232"/>
      <c r="G109" s="232"/>
      <c r="H109" s="224"/>
      <c r="I109" s="224"/>
      <c r="J109" s="224"/>
      <c r="K109" s="224"/>
      <c r="L109" s="224"/>
      <c r="M109" s="224"/>
      <c r="N109" s="225"/>
      <c r="O109" s="225"/>
      <c r="P109" s="225"/>
      <c r="Q109" s="225"/>
      <c r="R109" s="224"/>
      <c r="S109" s="224"/>
      <c r="T109" s="224"/>
      <c r="U109" s="224"/>
      <c r="V109" s="224"/>
      <c r="W109" s="224"/>
      <c r="X109" s="224"/>
      <c r="Y109" s="224"/>
      <c r="Z109" s="226"/>
      <c r="AA109" s="226"/>
      <c r="AB109" s="226"/>
      <c r="AC109" s="226"/>
      <c r="AD109" s="226"/>
      <c r="AE109" s="226"/>
      <c r="AF109" s="226"/>
      <c r="AG109" s="226" t="s">
        <v>214</v>
      </c>
      <c r="AH109" s="226"/>
      <c r="AI109" s="226"/>
      <c r="AJ109" s="226"/>
      <c r="AK109" s="226"/>
      <c r="AL109" s="226"/>
      <c r="AM109" s="226"/>
      <c r="AN109" s="226"/>
      <c r="AO109" s="226"/>
      <c r="AP109" s="226"/>
      <c r="AQ109" s="226"/>
      <c r="AR109" s="226"/>
      <c r="AS109" s="226"/>
      <c r="AT109" s="226"/>
      <c r="AU109" s="226"/>
      <c r="AV109" s="226"/>
      <c r="AW109" s="226"/>
      <c r="AX109" s="226"/>
      <c r="AY109" s="226"/>
      <c r="AZ109" s="226"/>
      <c r="BA109" s="226"/>
      <c r="BB109" s="226"/>
      <c r="BC109" s="226"/>
      <c r="BD109" s="226"/>
      <c r="BE109" s="226"/>
      <c r="BF109" s="226"/>
      <c r="BG109" s="226"/>
      <c r="BH109" s="226"/>
    </row>
    <row r="110" outlineLevel="3">
      <c r="A110" s="227"/>
      <c r="B110" s="228"/>
      <c r="C110" s="231" t="s">
        <v>516</v>
      </c>
      <c r="D110" s="232"/>
      <c r="E110" s="232"/>
      <c r="F110" s="232"/>
      <c r="G110" s="232"/>
      <c r="H110" s="224"/>
      <c r="I110" s="224"/>
      <c r="J110" s="224"/>
      <c r="K110" s="224"/>
      <c r="L110" s="224"/>
      <c r="M110" s="224"/>
      <c r="N110" s="225"/>
      <c r="O110" s="225"/>
      <c r="P110" s="225"/>
      <c r="Q110" s="225"/>
      <c r="R110" s="224"/>
      <c r="S110" s="224"/>
      <c r="T110" s="224"/>
      <c r="U110" s="224"/>
      <c r="V110" s="224"/>
      <c r="W110" s="224"/>
      <c r="X110" s="224"/>
      <c r="Y110" s="224"/>
      <c r="Z110" s="226"/>
      <c r="AA110" s="226"/>
      <c r="AB110" s="226"/>
      <c r="AC110" s="226"/>
      <c r="AD110" s="226"/>
      <c r="AE110" s="226"/>
      <c r="AF110" s="226"/>
      <c r="AG110" s="226" t="s">
        <v>214</v>
      </c>
      <c r="AH110" s="226"/>
      <c r="AI110" s="226"/>
      <c r="AJ110" s="226"/>
      <c r="AK110" s="226"/>
      <c r="AL110" s="226"/>
      <c r="AM110" s="226"/>
      <c r="AN110" s="226"/>
      <c r="AO110" s="226"/>
      <c r="AP110" s="226"/>
      <c r="AQ110" s="226"/>
      <c r="AR110" s="226"/>
      <c r="AS110" s="226"/>
      <c r="AT110" s="226"/>
      <c r="AU110" s="226"/>
      <c r="AV110" s="226"/>
      <c r="AW110" s="226"/>
      <c r="AX110" s="226"/>
      <c r="AY110" s="226"/>
      <c r="AZ110" s="226"/>
      <c r="BA110" s="226"/>
      <c r="BB110" s="226"/>
      <c r="BC110" s="226"/>
      <c r="BD110" s="226"/>
      <c r="BE110" s="226"/>
      <c r="BF110" s="226"/>
      <c r="BG110" s="226"/>
      <c r="BH110" s="226"/>
    </row>
    <row r="111" outlineLevel="3">
      <c r="A111" s="227"/>
      <c r="B111" s="228"/>
      <c r="C111" s="231" t="s">
        <v>517</v>
      </c>
      <c r="D111" s="232"/>
      <c r="E111" s="232"/>
      <c r="F111" s="232"/>
      <c r="G111" s="232"/>
      <c r="H111" s="224"/>
      <c r="I111" s="224"/>
      <c r="J111" s="224"/>
      <c r="K111" s="224"/>
      <c r="L111" s="224"/>
      <c r="M111" s="224"/>
      <c r="N111" s="225"/>
      <c r="O111" s="225"/>
      <c r="P111" s="225"/>
      <c r="Q111" s="225"/>
      <c r="R111" s="224"/>
      <c r="S111" s="224"/>
      <c r="T111" s="224"/>
      <c r="U111" s="224"/>
      <c r="V111" s="224"/>
      <c r="W111" s="224"/>
      <c r="X111" s="224"/>
      <c r="Y111" s="224"/>
      <c r="Z111" s="226"/>
      <c r="AA111" s="226"/>
      <c r="AB111" s="226"/>
      <c r="AC111" s="226"/>
      <c r="AD111" s="226"/>
      <c r="AE111" s="226"/>
      <c r="AF111" s="226"/>
      <c r="AG111" s="226" t="s">
        <v>214</v>
      </c>
      <c r="AH111" s="226"/>
      <c r="AI111" s="226"/>
      <c r="AJ111" s="226"/>
      <c r="AK111" s="226"/>
      <c r="AL111" s="226"/>
      <c r="AM111" s="226"/>
      <c r="AN111" s="226"/>
      <c r="AO111" s="226"/>
      <c r="AP111" s="226"/>
      <c r="AQ111" s="226"/>
      <c r="AR111" s="226"/>
      <c r="AS111" s="226"/>
      <c r="AT111" s="226"/>
      <c r="AU111" s="226"/>
      <c r="AV111" s="226"/>
      <c r="AW111" s="226"/>
      <c r="AX111" s="226"/>
      <c r="AY111" s="226"/>
      <c r="AZ111" s="226"/>
      <c r="BA111" s="226"/>
      <c r="BB111" s="226"/>
      <c r="BC111" s="226"/>
      <c r="BD111" s="226"/>
      <c r="BE111" s="226"/>
      <c r="BF111" s="226"/>
      <c r="BG111" s="226"/>
      <c r="BH111" s="226"/>
    </row>
    <row r="112" outlineLevel="3">
      <c r="A112" s="227"/>
      <c r="B112" s="228"/>
      <c r="C112" s="231" t="s">
        <v>518</v>
      </c>
      <c r="D112" s="232"/>
      <c r="E112" s="232"/>
      <c r="F112" s="232"/>
      <c r="G112" s="232"/>
      <c r="H112" s="224"/>
      <c r="I112" s="224"/>
      <c r="J112" s="224"/>
      <c r="K112" s="224"/>
      <c r="L112" s="224"/>
      <c r="M112" s="224"/>
      <c r="N112" s="225"/>
      <c r="O112" s="225"/>
      <c r="P112" s="225"/>
      <c r="Q112" s="225"/>
      <c r="R112" s="224"/>
      <c r="S112" s="224"/>
      <c r="T112" s="224"/>
      <c r="U112" s="224"/>
      <c r="V112" s="224"/>
      <c r="W112" s="224"/>
      <c r="X112" s="224"/>
      <c r="Y112" s="224"/>
      <c r="Z112" s="226"/>
      <c r="AA112" s="226"/>
      <c r="AB112" s="226"/>
      <c r="AC112" s="226"/>
      <c r="AD112" s="226"/>
      <c r="AE112" s="226"/>
      <c r="AF112" s="226"/>
      <c r="AG112" s="226" t="s">
        <v>214</v>
      </c>
      <c r="AH112" s="226"/>
      <c r="AI112" s="226"/>
      <c r="AJ112" s="226"/>
      <c r="AK112" s="226"/>
      <c r="AL112" s="226"/>
      <c r="AM112" s="226"/>
      <c r="AN112" s="226"/>
      <c r="AO112" s="226"/>
      <c r="AP112" s="226"/>
      <c r="AQ112" s="226"/>
      <c r="AR112" s="226"/>
      <c r="AS112" s="226"/>
      <c r="AT112" s="226"/>
      <c r="AU112" s="226"/>
      <c r="AV112" s="226"/>
      <c r="AW112" s="226"/>
      <c r="AX112" s="226"/>
      <c r="AY112" s="226"/>
      <c r="AZ112" s="226"/>
      <c r="BA112" s="226"/>
      <c r="BB112" s="226"/>
      <c r="BC112" s="226"/>
      <c r="BD112" s="226"/>
      <c r="BE112" s="226"/>
      <c r="BF112" s="226"/>
      <c r="BG112" s="226"/>
      <c r="BH112" s="226"/>
    </row>
    <row r="113" outlineLevel="3">
      <c r="A113" s="227"/>
      <c r="B113" s="228"/>
      <c r="C113" s="231" t="s">
        <v>519</v>
      </c>
      <c r="D113" s="232"/>
      <c r="E113" s="232"/>
      <c r="F113" s="232"/>
      <c r="G113" s="232"/>
      <c r="H113" s="224"/>
      <c r="I113" s="224"/>
      <c r="J113" s="224"/>
      <c r="K113" s="224"/>
      <c r="L113" s="224"/>
      <c r="M113" s="224"/>
      <c r="N113" s="225"/>
      <c r="O113" s="225"/>
      <c r="P113" s="225"/>
      <c r="Q113" s="225"/>
      <c r="R113" s="224"/>
      <c r="S113" s="224"/>
      <c r="T113" s="224"/>
      <c r="U113" s="224"/>
      <c r="V113" s="224"/>
      <c r="W113" s="224"/>
      <c r="X113" s="224"/>
      <c r="Y113" s="224"/>
      <c r="Z113" s="226"/>
      <c r="AA113" s="226"/>
      <c r="AB113" s="226"/>
      <c r="AC113" s="226"/>
      <c r="AD113" s="226"/>
      <c r="AE113" s="226"/>
      <c r="AF113" s="226"/>
      <c r="AG113" s="226" t="s">
        <v>214</v>
      </c>
      <c r="AH113" s="226"/>
      <c r="AI113" s="226"/>
      <c r="AJ113" s="226"/>
      <c r="AK113" s="226"/>
      <c r="AL113" s="226"/>
      <c r="AM113" s="226"/>
      <c r="AN113" s="226"/>
      <c r="AO113" s="226"/>
      <c r="AP113" s="226"/>
      <c r="AQ113" s="226"/>
      <c r="AR113" s="226"/>
      <c r="AS113" s="226"/>
      <c r="AT113" s="226"/>
      <c r="AU113" s="226"/>
      <c r="AV113" s="226"/>
      <c r="AW113" s="226"/>
      <c r="AX113" s="226"/>
      <c r="AY113" s="226"/>
      <c r="AZ113" s="226"/>
      <c r="BA113" s="226"/>
      <c r="BB113" s="226"/>
      <c r="BC113" s="226"/>
      <c r="BD113" s="226"/>
      <c r="BE113" s="226"/>
      <c r="BF113" s="226"/>
      <c r="BG113" s="226"/>
      <c r="BH113" s="226"/>
    </row>
    <row r="114" outlineLevel="3">
      <c r="A114" s="227"/>
      <c r="B114" s="228"/>
      <c r="C114" s="231" t="s">
        <v>520</v>
      </c>
      <c r="D114" s="232"/>
      <c r="E114" s="232"/>
      <c r="F114" s="232"/>
      <c r="G114" s="232"/>
      <c r="H114" s="224"/>
      <c r="I114" s="224"/>
      <c r="J114" s="224"/>
      <c r="K114" s="224"/>
      <c r="L114" s="224"/>
      <c r="M114" s="224"/>
      <c r="N114" s="225"/>
      <c r="O114" s="225"/>
      <c r="P114" s="225"/>
      <c r="Q114" s="225"/>
      <c r="R114" s="224"/>
      <c r="S114" s="224"/>
      <c r="T114" s="224"/>
      <c r="U114" s="224"/>
      <c r="V114" s="224"/>
      <c r="W114" s="224"/>
      <c r="X114" s="224"/>
      <c r="Y114" s="224"/>
      <c r="Z114" s="226"/>
      <c r="AA114" s="226"/>
      <c r="AB114" s="226"/>
      <c r="AC114" s="226"/>
      <c r="AD114" s="226"/>
      <c r="AE114" s="226"/>
      <c r="AF114" s="226"/>
      <c r="AG114" s="226" t="s">
        <v>214</v>
      </c>
      <c r="AH114" s="226"/>
      <c r="AI114" s="226"/>
      <c r="AJ114" s="226"/>
      <c r="AK114" s="226"/>
      <c r="AL114" s="226"/>
      <c r="AM114" s="226"/>
      <c r="AN114" s="226"/>
      <c r="AO114" s="226"/>
      <c r="AP114" s="226"/>
      <c r="AQ114" s="226"/>
      <c r="AR114" s="226"/>
      <c r="AS114" s="226"/>
      <c r="AT114" s="226"/>
      <c r="AU114" s="226"/>
      <c r="AV114" s="226"/>
      <c r="AW114" s="226"/>
      <c r="AX114" s="226"/>
      <c r="AY114" s="226"/>
      <c r="AZ114" s="226"/>
      <c r="BA114" s="226"/>
      <c r="BB114" s="226"/>
      <c r="BC114" s="226"/>
      <c r="BD114" s="226"/>
      <c r="BE114" s="226"/>
      <c r="BF114" s="226"/>
      <c r="BG114" s="226"/>
      <c r="BH114" s="226"/>
    </row>
    <row r="115" outlineLevel="3">
      <c r="A115" s="227"/>
      <c r="B115" s="228"/>
      <c r="C115" s="231" t="s">
        <v>521</v>
      </c>
      <c r="D115" s="232"/>
      <c r="E115" s="232"/>
      <c r="F115" s="232"/>
      <c r="G115" s="232"/>
      <c r="H115" s="224"/>
      <c r="I115" s="224"/>
      <c r="J115" s="224"/>
      <c r="K115" s="224"/>
      <c r="L115" s="224"/>
      <c r="M115" s="224"/>
      <c r="N115" s="225"/>
      <c r="O115" s="225"/>
      <c r="P115" s="225"/>
      <c r="Q115" s="225"/>
      <c r="R115" s="224"/>
      <c r="S115" s="224"/>
      <c r="T115" s="224"/>
      <c r="U115" s="224"/>
      <c r="V115" s="224"/>
      <c r="W115" s="224"/>
      <c r="X115" s="224"/>
      <c r="Y115" s="224"/>
      <c r="Z115" s="226"/>
      <c r="AA115" s="226"/>
      <c r="AB115" s="226"/>
      <c r="AC115" s="226"/>
      <c r="AD115" s="226"/>
      <c r="AE115" s="226"/>
      <c r="AF115" s="226"/>
      <c r="AG115" s="226" t="s">
        <v>214</v>
      </c>
      <c r="AH115" s="226"/>
      <c r="AI115" s="226"/>
      <c r="AJ115" s="226"/>
      <c r="AK115" s="226"/>
      <c r="AL115" s="226"/>
      <c r="AM115" s="226"/>
      <c r="AN115" s="226"/>
      <c r="AO115" s="226"/>
      <c r="AP115" s="226"/>
      <c r="AQ115" s="226"/>
      <c r="AR115" s="226"/>
      <c r="AS115" s="226"/>
      <c r="AT115" s="226"/>
      <c r="AU115" s="226"/>
      <c r="AV115" s="226"/>
      <c r="AW115" s="226"/>
      <c r="AX115" s="226"/>
      <c r="AY115" s="226"/>
      <c r="AZ115" s="226"/>
      <c r="BA115" s="226"/>
      <c r="BB115" s="226"/>
      <c r="BC115" s="226"/>
      <c r="BD115" s="226"/>
      <c r="BE115" s="226"/>
      <c r="BF115" s="226"/>
      <c r="BG115" s="226"/>
      <c r="BH115" s="226"/>
    </row>
    <row r="116" outlineLevel="3" ht="22.5">
      <c r="A116" s="227"/>
      <c r="B116" s="228"/>
      <c r="C116" s="231" t="s">
        <v>522</v>
      </c>
      <c r="D116" s="232"/>
      <c r="E116" s="232"/>
      <c r="F116" s="232"/>
      <c r="G116" s="232"/>
      <c r="H116" s="224"/>
      <c r="I116" s="224"/>
      <c r="J116" s="224"/>
      <c r="K116" s="224"/>
      <c r="L116" s="224"/>
      <c r="M116" s="224"/>
      <c r="N116" s="225"/>
      <c r="O116" s="225"/>
      <c r="P116" s="225"/>
      <c r="Q116" s="225"/>
      <c r="R116" s="224"/>
      <c r="S116" s="224"/>
      <c r="T116" s="224"/>
      <c r="U116" s="224"/>
      <c r="V116" s="224"/>
      <c r="W116" s="224"/>
      <c r="X116" s="224"/>
      <c r="Y116" s="224"/>
      <c r="Z116" s="226"/>
      <c r="AA116" s="226"/>
      <c r="AB116" s="226"/>
      <c r="AC116" s="226"/>
      <c r="AD116" s="226"/>
      <c r="AE116" s="226"/>
      <c r="AF116" s="226"/>
      <c r="AG116" s="226" t="s">
        <v>214</v>
      </c>
      <c r="AH116" s="226"/>
      <c r="AI116" s="226"/>
      <c r="AJ116" s="226"/>
      <c r="AK116" s="226"/>
      <c r="AL116" s="226"/>
      <c r="AM116" s="226"/>
      <c r="AN116" s="226"/>
      <c r="AO116" s="226"/>
      <c r="AP116" s="226"/>
      <c r="AQ116" s="226"/>
      <c r="AR116" s="226"/>
      <c r="AS116" s="226"/>
      <c r="AT116" s="226"/>
      <c r="AU116" s="226"/>
      <c r="AV116" s="226"/>
      <c r="AW116" s="226"/>
      <c r="AX116" s="226"/>
      <c r="AY116" s="226"/>
      <c r="AZ116" s="226"/>
      <c r="BA116" s="236" t="str">
        <f>C116</f>
        <v>- další práce dané případně specifikací k příslušnému dílci (úprava pohledových ploch, příp. rubových ploch, osazení měřících zařízení, zkoušení a měření dílců a pod.).</v>
      </c>
      <c r="BB116" s="226"/>
      <c r="BC116" s="226"/>
      <c r="BD116" s="226"/>
      <c r="BE116" s="226"/>
      <c r="BF116" s="226"/>
      <c r="BG116" s="226"/>
      <c r="BH116" s="226"/>
    </row>
    <row r="117" outlineLevel="3" ht="22.5">
      <c r="A117" s="227"/>
      <c r="B117" s="228"/>
      <c r="C117" s="231" t="s">
        <v>523</v>
      </c>
      <c r="D117" s="232"/>
      <c r="E117" s="232"/>
      <c r="F117" s="232"/>
      <c r="G117" s="232"/>
      <c r="H117" s="224"/>
      <c r="I117" s="224"/>
      <c r="J117" s="224"/>
      <c r="K117" s="224"/>
      <c r="L117" s="224"/>
      <c r="M117" s="224"/>
      <c r="N117" s="225"/>
      <c r="O117" s="225"/>
      <c r="P117" s="225"/>
      <c r="Q117" s="225"/>
      <c r="R117" s="224"/>
      <c r="S117" s="224"/>
      <c r="T117" s="224"/>
      <c r="U117" s="224"/>
      <c r="V117" s="224"/>
      <c r="W117" s="224"/>
      <c r="X117" s="224"/>
      <c r="Y117" s="224"/>
      <c r="Z117" s="226"/>
      <c r="AA117" s="226"/>
      <c r="AB117" s="226"/>
      <c r="AC117" s="226"/>
      <c r="AD117" s="226"/>
      <c r="AE117" s="226"/>
      <c r="AF117" s="226"/>
      <c r="AG117" s="226" t="s">
        <v>214</v>
      </c>
      <c r="AH117" s="226"/>
      <c r="AI117" s="226"/>
      <c r="AJ117" s="226"/>
      <c r="AK117" s="226"/>
      <c r="AL117" s="226"/>
      <c r="AM117" s="226"/>
      <c r="AN117" s="226"/>
      <c r="AO117" s="226"/>
      <c r="AP117" s="226"/>
      <c r="AQ117" s="226"/>
      <c r="AR117" s="226"/>
      <c r="AS117" s="226"/>
      <c r="AT117" s="226"/>
      <c r="AU117" s="226"/>
      <c r="AV117" s="226"/>
      <c r="AW117" s="226"/>
      <c r="AX117" s="226"/>
      <c r="AY117" s="226"/>
      <c r="AZ117" s="226"/>
      <c r="BA117" s="236" t="str">
        <f>C117</f>
        <v xml:space="preserve">- dodání  materiálu  v požadované kvalitě a výroba konstrukce i dílenská (včetně  pomůcek,  přípravků a prostředků pro výrobu) bez ohledu na náročnost a její hmotnost, dílenská montáž,</v>
      </c>
      <c r="BB117" s="226"/>
      <c r="BC117" s="226"/>
      <c r="BD117" s="226"/>
      <c r="BE117" s="226"/>
      <c r="BF117" s="226"/>
      <c r="BG117" s="226"/>
      <c r="BH117" s="226"/>
    </row>
    <row r="118" outlineLevel="3">
      <c r="A118" s="227"/>
      <c r="B118" s="228"/>
      <c r="C118" s="231" t="s">
        <v>524</v>
      </c>
      <c r="D118" s="232"/>
      <c r="E118" s="232"/>
      <c r="F118" s="232"/>
      <c r="G118" s="232"/>
      <c r="H118" s="224"/>
      <c r="I118" s="224"/>
      <c r="J118" s="224"/>
      <c r="K118" s="224"/>
      <c r="L118" s="224"/>
      <c r="M118" s="224"/>
      <c r="N118" s="225"/>
      <c r="O118" s="225"/>
      <c r="P118" s="225"/>
      <c r="Q118" s="225"/>
      <c r="R118" s="224"/>
      <c r="S118" s="224"/>
      <c r="T118" s="224"/>
      <c r="U118" s="224"/>
      <c r="V118" s="224"/>
      <c r="W118" s="224"/>
      <c r="X118" s="224"/>
      <c r="Y118" s="224"/>
      <c r="Z118" s="226"/>
      <c r="AA118" s="226"/>
      <c r="AB118" s="226"/>
      <c r="AC118" s="226"/>
      <c r="AD118" s="226"/>
      <c r="AE118" s="226"/>
      <c r="AF118" s="226"/>
      <c r="AG118" s="226" t="s">
        <v>214</v>
      </c>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row>
    <row r="119" outlineLevel="3" ht="22.5">
      <c r="A119" s="227"/>
      <c r="B119" s="228"/>
      <c r="C119" s="231" t="s">
        <v>525</v>
      </c>
      <c r="D119" s="232"/>
      <c r="E119" s="232"/>
      <c r="F119" s="232"/>
      <c r="G119" s="232"/>
      <c r="H119" s="224"/>
      <c r="I119" s="224"/>
      <c r="J119" s="224"/>
      <c r="K119" s="224"/>
      <c r="L119" s="224"/>
      <c r="M119" s="224"/>
      <c r="N119" s="225"/>
      <c r="O119" s="225"/>
      <c r="P119" s="225"/>
      <c r="Q119" s="225"/>
      <c r="R119" s="224"/>
      <c r="S119" s="224"/>
      <c r="T119" s="224"/>
      <c r="U119" s="224"/>
      <c r="V119" s="224"/>
      <c r="W119" s="224"/>
      <c r="X119" s="224"/>
      <c r="Y119" s="224"/>
      <c r="Z119" s="226"/>
      <c r="AA119" s="226"/>
      <c r="AB119" s="226"/>
      <c r="AC119" s="226"/>
      <c r="AD119" s="226"/>
      <c r="AE119" s="226"/>
      <c r="AF119" s="226"/>
      <c r="AG119" s="226" t="s">
        <v>214</v>
      </c>
      <c r="AH119" s="226"/>
      <c r="AI119" s="226"/>
      <c r="AJ119" s="226"/>
      <c r="AK119" s="226"/>
      <c r="AL119" s="226"/>
      <c r="AM119" s="226"/>
      <c r="AN119" s="226"/>
      <c r="AO119" s="226"/>
      <c r="AP119" s="226"/>
      <c r="AQ119" s="226"/>
      <c r="AR119" s="226"/>
      <c r="AS119" s="226"/>
      <c r="AT119" s="226"/>
      <c r="AU119" s="226"/>
      <c r="AV119" s="226"/>
      <c r="AW119" s="226"/>
      <c r="AX119" s="226"/>
      <c r="AY119" s="226"/>
      <c r="AZ119" s="226"/>
      <c r="BA119" s="236" t="str">
        <f>C119</f>
        <v xml:space="preserve">- zřízení  montážních  a  dilatačních  spojů,  spar, včetně potřebných úprav, vložek, opracování, očištění a ošetření,</v>
      </c>
      <c r="BB119" s="226"/>
      <c r="BC119" s="226"/>
      <c r="BD119" s="226"/>
      <c r="BE119" s="226"/>
      <c r="BF119" s="226"/>
      <c r="BG119" s="226"/>
      <c r="BH119" s="226"/>
    </row>
    <row r="120" outlineLevel="3" ht="22.5">
      <c r="A120" s="227"/>
      <c r="B120" s="228"/>
      <c r="C120" s="231" t="s">
        <v>526</v>
      </c>
      <c r="D120" s="232"/>
      <c r="E120" s="232"/>
      <c r="F120" s="232"/>
      <c r="G120" s="232"/>
      <c r="H120" s="224"/>
      <c r="I120" s="224"/>
      <c r="J120" s="224"/>
      <c r="K120" s="224"/>
      <c r="L120" s="224"/>
      <c r="M120" s="224"/>
      <c r="N120" s="225"/>
      <c r="O120" s="225"/>
      <c r="P120" s="225"/>
      <c r="Q120" s="225"/>
      <c r="R120" s="224"/>
      <c r="S120" s="224"/>
      <c r="T120" s="224"/>
      <c r="U120" s="224"/>
      <c r="V120" s="224"/>
      <c r="W120" s="224"/>
      <c r="X120" s="224"/>
      <c r="Y120" s="224"/>
      <c r="Z120" s="226"/>
      <c r="AA120" s="226"/>
      <c r="AB120" s="226"/>
      <c r="AC120" s="226"/>
      <c r="AD120" s="226"/>
      <c r="AE120" s="226"/>
      <c r="AF120" s="226"/>
      <c r="AG120" s="226" t="s">
        <v>214</v>
      </c>
      <c r="AH120" s="226"/>
      <c r="AI120" s="226"/>
      <c r="AJ120" s="226"/>
      <c r="AK120" s="226"/>
      <c r="AL120" s="226"/>
      <c r="AM120" s="226"/>
      <c r="AN120" s="226"/>
      <c r="AO120" s="226"/>
      <c r="AP120" s="226"/>
      <c r="AQ120" s="226"/>
      <c r="AR120" s="226"/>
      <c r="AS120" s="226"/>
      <c r="AT120" s="226"/>
      <c r="AU120" s="226"/>
      <c r="AV120" s="226"/>
      <c r="AW120" s="226"/>
      <c r="AX120" s="226"/>
      <c r="AY120" s="226"/>
      <c r="AZ120" s="226"/>
      <c r="BA120" s="236" t="str">
        <f>C120</f>
        <v>- podpěr. konstr. a lešení všech druhů pro montáž konstrukcí i doplňkových, včetně požadovaných otvorů, ochranných a bezpečnostních opatření a základů pro tyto konstrukce a lešení,</v>
      </c>
      <c r="BB120" s="226"/>
      <c r="BC120" s="226"/>
      <c r="BD120" s="226"/>
      <c r="BE120" s="226"/>
      <c r="BF120" s="226"/>
      <c r="BG120" s="226"/>
      <c r="BH120" s="226"/>
    </row>
    <row r="121" outlineLevel="3" ht="22.5">
      <c r="A121" s="227"/>
      <c r="B121" s="228"/>
      <c r="C121" s="231" t="s">
        <v>527</v>
      </c>
      <c r="D121" s="232"/>
      <c r="E121" s="232"/>
      <c r="F121" s="232"/>
      <c r="G121" s="232"/>
      <c r="H121" s="224"/>
      <c r="I121" s="224"/>
      <c r="J121" s="224"/>
      <c r="K121" s="224"/>
      <c r="L121" s="224"/>
      <c r="M121" s="224"/>
      <c r="N121" s="225"/>
      <c r="O121" s="225"/>
      <c r="P121" s="225"/>
      <c r="Q121" s="225"/>
      <c r="R121" s="224"/>
      <c r="S121" s="224"/>
      <c r="T121" s="224"/>
      <c r="U121" s="224"/>
      <c r="V121" s="224"/>
      <c r="W121" s="224"/>
      <c r="X121" s="224"/>
      <c r="Y121" s="224"/>
      <c r="Z121" s="226"/>
      <c r="AA121" s="226"/>
      <c r="AB121" s="226"/>
      <c r="AC121" s="226"/>
      <c r="AD121" s="226"/>
      <c r="AE121" s="226"/>
      <c r="AF121" s="226"/>
      <c r="AG121" s="226" t="s">
        <v>214</v>
      </c>
      <c r="AH121" s="226"/>
      <c r="AI121" s="226"/>
      <c r="AJ121" s="226"/>
      <c r="AK121" s="226"/>
      <c r="AL121" s="226"/>
      <c r="AM121" s="226"/>
      <c r="AN121" s="226"/>
      <c r="AO121" s="226"/>
      <c r="AP121" s="226"/>
      <c r="AQ121" s="226"/>
      <c r="AR121" s="226"/>
      <c r="AS121" s="226"/>
      <c r="AT121" s="226"/>
      <c r="AU121" s="226"/>
      <c r="AV121" s="226"/>
      <c r="AW121" s="226"/>
      <c r="AX121" s="226"/>
      <c r="AY121" s="226"/>
      <c r="AZ121" s="226"/>
      <c r="BA121" s="236" t="str">
        <f>C121</f>
        <v xml:space="preserve">- jakákoliv doprava a manipulace dílců  a  montážních  sestav,  včetně  dopravy konstrukce z výrobny na stavbu,</v>
      </c>
      <c r="BB121" s="226"/>
      <c r="BC121" s="226"/>
      <c r="BD121" s="226"/>
      <c r="BE121" s="226"/>
      <c r="BF121" s="226"/>
      <c r="BG121" s="226"/>
      <c r="BH121" s="226"/>
    </row>
    <row r="122" outlineLevel="3">
      <c r="A122" s="227"/>
      <c r="B122" s="228"/>
      <c r="C122" s="231" t="s">
        <v>528</v>
      </c>
      <c r="D122" s="232"/>
      <c r="E122" s="232"/>
      <c r="F122" s="232"/>
      <c r="G122" s="232"/>
      <c r="H122" s="224"/>
      <c r="I122" s="224"/>
      <c r="J122" s="224"/>
      <c r="K122" s="224"/>
      <c r="L122" s="224"/>
      <c r="M122" s="224"/>
      <c r="N122" s="225"/>
      <c r="O122" s="225"/>
      <c r="P122" s="225"/>
      <c r="Q122" s="225"/>
      <c r="R122" s="224"/>
      <c r="S122" s="224"/>
      <c r="T122" s="224"/>
      <c r="U122" s="224"/>
      <c r="V122" s="224"/>
      <c r="W122" s="224"/>
      <c r="X122" s="224"/>
      <c r="Y122" s="224"/>
      <c r="Z122" s="226"/>
      <c r="AA122" s="226"/>
      <c r="AB122" s="226"/>
      <c r="AC122" s="226"/>
      <c r="AD122" s="226"/>
      <c r="AE122" s="226"/>
      <c r="AF122" s="226"/>
      <c r="AG122" s="226" t="s">
        <v>214</v>
      </c>
      <c r="AH122" s="226"/>
      <c r="AI122" s="226"/>
      <c r="AJ122" s="226"/>
      <c r="AK122" s="226"/>
      <c r="AL122" s="226"/>
      <c r="AM122" s="226"/>
      <c r="AN122" s="226"/>
      <c r="AO122" s="226"/>
      <c r="AP122" s="226"/>
      <c r="AQ122" s="226"/>
      <c r="AR122" s="226"/>
      <c r="AS122" s="226"/>
      <c r="AT122" s="226"/>
      <c r="AU122" s="226"/>
      <c r="AV122" s="226"/>
      <c r="AW122" s="226"/>
      <c r="AX122" s="226"/>
      <c r="AY122" s="226"/>
      <c r="AZ122" s="226"/>
      <c r="BA122" s="226"/>
      <c r="BB122" s="226"/>
      <c r="BC122" s="226"/>
      <c r="BD122" s="226"/>
      <c r="BE122" s="226"/>
      <c r="BF122" s="226"/>
      <c r="BG122" s="226"/>
      <c r="BH122" s="226"/>
    </row>
    <row r="123" outlineLevel="3">
      <c r="A123" s="227"/>
      <c r="B123" s="228"/>
      <c r="C123" s="231" t="s">
        <v>529</v>
      </c>
      <c r="D123" s="232"/>
      <c r="E123" s="232"/>
      <c r="F123" s="232"/>
      <c r="G123" s="232"/>
      <c r="H123" s="224"/>
      <c r="I123" s="224"/>
      <c r="J123" s="224"/>
      <c r="K123" s="224"/>
      <c r="L123" s="224"/>
      <c r="M123" s="224"/>
      <c r="N123" s="225"/>
      <c r="O123" s="225"/>
      <c r="P123" s="225"/>
      <c r="Q123" s="225"/>
      <c r="R123" s="224"/>
      <c r="S123" s="224"/>
      <c r="T123" s="224"/>
      <c r="U123" s="224"/>
      <c r="V123" s="224"/>
      <c r="W123" s="224"/>
      <c r="X123" s="224"/>
      <c r="Y123" s="224"/>
      <c r="Z123" s="226"/>
      <c r="AA123" s="226"/>
      <c r="AB123" s="226"/>
      <c r="AC123" s="226"/>
      <c r="AD123" s="226"/>
      <c r="AE123" s="226"/>
      <c r="AF123" s="226"/>
      <c r="AG123" s="226" t="s">
        <v>214</v>
      </c>
      <c r="AH123" s="226"/>
      <c r="AI123" s="226"/>
      <c r="AJ123" s="226"/>
      <c r="AK123" s="226"/>
      <c r="AL123" s="226"/>
      <c r="AM123" s="226"/>
      <c r="AN123" s="226"/>
      <c r="AO123" s="226"/>
      <c r="AP123" s="226"/>
      <c r="AQ123" s="226"/>
      <c r="AR123" s="226"/>
      <c r="AS123" s="226"/>
      <c r="AT123" s="226"/>
      <c r="AU123" s="226"/>
      <c r="AV123" s="226"/>
      <c r="AW123" s="226"/>
      <c r="AX123" s="226"/>
      <c r="AY123" s="226"/>
      <c r="AZ123" s="226"/>
      <c r="BA123" s="226"/>
      <c r="BB123" s="226"/>
      <c r="BC123" s="226"/>
      <c r="BD123" s="226"/>
      <c r="BE123" s="226"/>
      <c r="BF123" s="226"/>
      <c r="BG123" s="226"/>
      <c r="BH123" s="226"/>
    </row>
    <row r="124" outlineLevel="3">
      <c r="A124" s="227"/>
      <c r="B124" s="228"/>
      <c r="C124" s="231" t="s">
        <v>530</v>
      </c>
      <c r="D124" s="232"/>
      <c r="E124" s="232"/>
      <c r="F124" s="232"/>
      <c r="G124" s="232"/>
      <c r="H124" s="224"/>
      <c r="I124" s="224"/>
      <c r="J124" s="224"/>
      <c r="K124" s="224"/>
      <c r="L124" s="224"/>
      <c r="M124" s="224"/>
      <c r="N124" s="225"/>
      <c r="O124" s="225"/>
      <c r="P124" s="225"/>
      <c r="Q124" s="225"/>
      <c r="R124" s="224"/>
      <c r="S124" s="224"/>
      <c r="T124" s="224"/>
      <c r="U124" s="224"/>
      <c r="V124" s="224"/>
      <c r="W124" s="224"/>
      <c r="X124" s="224"/>
      <c r="Y124" s="224"/>
      <c r="Z124" s="226"/>
      <c r="AA124" s="226"/>
      <c r="AB124" s="226"/>
      <c r="AC124" s="226"/>
      <c r="AD124" s="226"/>
      <c r="AE124" s="226"/>
      <c r="AF124" s="226"/>
      <c r="AG124" s="226" t="s">
        <v>214</v>
      </c>
      <c r="AH124" s="226"/>
      <c r="AI124" s="226"/>
      <c r="AJ124" s="226"/>
      <c r="AK124" s="226"/>
      <c r="AL124" s="226"/>
      <c r="AM124" s="226"/>
      <c r="AN124" s="226"/>
      <c r="AO124" s="226"/>
      <c r="AP124" s="226"/>
      <c r="AQ124" s="226"/>
      <c r="AR124" s="226"/>
      <c r="AS124" s="226"/>
      <c r="AT124" s="226"/>
      <c r="AU124" s="226"/>
      <c r="AV124" s="226"/>
      <c r="AW124" s="226"/>
      <c r="AX124" s="226"/>
      <c r="AY124" s="226"/>
      <c r="AZ124" s="226"/>
      <c r="BA124" s="226"/>
      <c r="BB124" s="226"/>
      <c r="BC124" s="226"/>
      <c r="BD124" s="226"/>
      <c r="BE124" s="226"/>
      <c r="BF124" s="226"/>
      <c r="BG124" s="226"/>
      <c r="BH124" s="226"/>
    </row>
    <row r="125" outlineLevel="3">
      <c r="A125" s="227"/>
      <c r="B125" s="228"/>
      <c r="C125" s="231" t="s">
        <v>531</v>
      </c>
      <c r="D125" s="232"/>
      <c r="E125" s="232"/>
      <c r="F125" s="232"/>
      <c r="G125" s="232"/>
      <c r="H125" s="224"/>
      <c r="I125" s="224"/>
      <c r="J125" s="224"/>
      <c r="K125" s="224"/>
      <c r="L125" s="224"/>
      <c r="M125" s="224"/>
      <c r="N125" s="225"/>
      <c r="O125" s="225"/>
      <c r="P125" s="225"/>
      <c r="Q125" s="225"/>
      <c r="R125" s="224"/>
      <c r="S125" s="224"/>
      <c r="T125" s="224"/>
      <c r="U125" s="224"/>
      <c r="V125" s="224"/>
      <c r="W125" s="224"/>
      <c r="X125" s="224"/>
      <c r="Y125" s="224"/>
      <c r="Z125" s="226"/>
      <c r="AA125" s="226"/>
      <c r="AB125" s="226"/>
      <c r="AC125" s="226"/>
      <c r="AD125" s="226"/>
      <c r="AE125" s="226"/>
      <c r="AF125" s="226"/>
      <c r="AG125" s="226" t="s">
        <v>214</v>
      </c>
      <c r="AH125" s="226"/>
      <c r="AI125" s="226"/>
      <c r="AJ125" s="226"/>
      <c r="AK125" s="226"/>
      <c r="AL125" s="226"/>
      <c r="AM125" s="226"/>
      <c r="AN125" s="226"/>
      <c r="AO125" s="226"/>
      <c r="AP125" s="226"/>
      <c r="AQ125" s="226"/>
      <c r="AR125" s="226"/>
      <c r="AS125" s="226"/>
      <c r="AT125" s="226"/>
      <c r="AU125" s="226"/>
      <c r="AV125" s="226"/>
      <c r="AW125" s="226"/>
      <c r="AX125" s="226"/>
      <c r="AY125" s="226"/>
      <c r="AZ125" s="226"/>
      <c r="BA125" s="226"/>
      <c r="BB125" s="226"/>
      <c r="BC125" s="226"/>
      <c r="BD125" s="226"/>
      <c r="BE125" s="226"/>
      <c r="BF125" s="226"/>
      <c r="BG125" s="226"/>
      <c r="BH125" s="226"/>
    </row>
    <row r="126" outlineLevel="3">
      <c r="A126" s="227"/>
      <c r="B126" s="228"/>
      <c r="C126" s="231" t="s">
        <v>532</v>
      </c>
      <c r="D126" s="232"/>
      <c r="E126" s="232"/>
      <c r="F126" s="232"/>
      <c r="G126" s="232"/>
      <c r="H126" s="224"/>
      <c r="I126" s="224"/>
      <c r="J126" s="224"/>
      <c r="K126" s="224"/>
      <c r="L126" s="224"/>
      <c r="M126" s="224"/>
      <c r="N126" s="225"/>
      <c r="O126" s="225"/>
      <c r="P126" s="225"/>
      <c r="Q126" s="225"/>
      <c r="R126" s="224"/>
      <c r="S126" s="224"/>
      <c r="T126" s="224"/>
      <c r="U126" s="224"/>
      <c r="V126" s="224"/>
      <c r="W126" s="224"/>
      <c r="X126" s="224"/>
      <c r="Y126" s="224"/>
      <c r="Z126" s="226"/>
      <c r="AA126" s="226"/>
      <c r="AB126" s="226"/>
      <c r="AC126" s="226"/>
      <c r="AD126" s="226"/>
      <c r="AE126" s="226"/>
      <c r="AF126" s="226"/>
      <c r="AG126" s="226" t="s">
        <v>214</v>
      </c>
      <c r="AH126" s="226"/>
      <c r="AI126" s="226"/>
      <c r="AJ126" s="226"/>
      <c r="AK126" s="226"/>
      <c r="AL126" s="226"/>
      <c r="AM126" s="226"/>
      <c r="AN126" s="226"/>
      <c r="AO126" s="226"/>
      <c r="AP126" s="226"/>
      <c r="AQ126" s="226"/>
      <c r="AR126" s="226"/>
      <c r="AS126" s="226"/>
      <c r="AT126" s="226"/>
      <c r="AU126" s="226"/>
      <c r="AV126" s="226"/>
      <c r="AW126" s="226"/>
      <c r="AX126" s="226"/>
      <c r="AY126" s="226"/>
      <c r="AZ126" s="226"/>
      <c r="BA126" s="226"/>
      <c r="BB126" s="226"/>
      <c r="BC126" s="226"/>
      <c r="BD126" s="226"/>
      <c r="BE126" s="226"/>
      <c r="BF126" s="226"/>
      <c r="BG126" s="226"/>
      <c r="BH126" s="226"/>
    </row>
    <row r="127" outlineLevel="3">
      <c r="A127" s="227"/>
      <c r="B127" s="228"/>
      <c r="C127" s="231" t="s">
        <v>533</v>
      </c>
      <c r="D127" s="232"/>
      <c r="E127" s="232"/>
      <c r="F127" s="232"/>
      <c r="G127" s="232"/>
      <c r="H127" s="224"/>
      <c r="I127" s="224"/>
      <c r="J127" s="224"/>
      <c r="K127" s="224"/>
      <c r="L127" s="224"/>
      <c r="M127" s="224"/>
      <c r="N127" s="225"/>
      <c r="O127" s="225"/>
      <c r="P127" s="225"/>
      <c r="Q127" s="225"/>
      <c r="R127" s="224"/>
      <c r="S127" s="224"/>
      <c r="T127" s="224"/>
      <c r="U127" s="224"/>
      <c r="V127" s="224"/>
      <c r="W127" s="224"/>
      <c r="X127" s="224"/>
      <c r="Y127" s="224"/>
      <c r="Z127" s="226"/>
      <c r="AA127" s="226"/>
      <c r="AB127" s="226"/>
      <c r="AC127" s="226"/>
      <c r="AD127" s="226"/>
      <c r="AE127" s="226"/>
      <c r="AF127" s="226"/>
      <c r="AG127" s="226" t="s">
        <v>214</v>
      </c>
      <c r="AH127" s="226"/>
      <c r="AI127" s="226"/>
      <c r="AJ127" s="226"/>
      <c r="AK127" s="226"/>
      <c r="AL127" s="226"/>
      <c r="AM127" s="226"/>
      <c r="AN127" s="226"/>
      <c r="AO127" s="226"/>
      <c r="AP127" s="226"/>
      <c r="AQ127" s="226"/>
      <c r="AR127" s="226"/>
      <c r="AS127" s="226"/>
      <c r="AT127" s="226"/>
      <c r="AU127" s="226"/>
      <c r="AV127" s="226"/>
      <c r="AW127" s="226"/>
      <c r="AX127" s="226"/>
      <c r="AY127" s="226"/>
      <c r="AZ127" s="226"/>
      <c r="BA127" s="226"/>
      <c r="BB127" s="226"/>
      <c r="BC127" s="226"/>
      <c r="BD127" s="226"/>
      <c r="BE127" s="226"/>
      <c r="BF127" s="226"/>
      <c r="BG127" s="226"/>
      <c r="BH127" s="226"/>
    </row>
    <row r="128" outlineLevel="3">
      <c r="A128" s="227"/>
      <c r="B128" s="228"/>
      <c r="C128" s="231" t="s">
        <v>534</v>
      </c>
      <c r="D128" s="232"/>
      <c r="E128" s="232"/>
      <c r="F128" s="232"/>
      <c r="G128" s="232"/>
      <c r="H128" s="224"/>
      <c r="I128" s="224"/>
      <c r="J128" s="224"/>
      <c r="K128" s="224"/>
      <c r="L128" s="224"/>
      <c r="M128" s="224"/>
      <c r="N128" s="225"/>
      <c r="O128" s="225"/>
      <c r="P128" s="225"/>
      <c r="Q128" s="225"/>
      <c r="R128" s="224"/>
      <c r="S128" s="224"/>
      <c r="T128" s="224"/>
      <c r="U128" s="224"/>
      <c r="V128" s="224"/>
      <c r="W128" s="224"/>
      <c r="X128" s="224"/>
      <c r="Y128" s="224"/>
      <c r="Z128" s="226"/>
      <c r="AA128" s="226"/>
      <c r="AB128" s="226"/>
      <c r="AC128" s="226"/>
      <c r="AD128" s="226"/>
      <c r="AE128" s="226"/>
      <c r="AF128" s="226"/>
      <c r="AG128" s="226" t="s">
        <v>214</v>
      </c>
      <c r="AH128" s="226"/>
      <c r="AI128" s="226"/>
      <c r="AJ128" s="226"/>
      <c r="AK128" s="226"/>
      <c r="AL128" s="226"/>
      <c r="AM128" s="226"/>
      <c r="AN128" s="226"/>
      <c r="AO128" s="226"/>
      <c r="AP128" s="226"/>
      <c r="AQ128" s="226"/>
      <c r="AR128" s="226"/>
      <c r="AS128" s="226"/>
      <c r="AT128" s="226"/>
      <c r="AU128" s="226"/>
      <c r="AV128" s="226"/>
      <c r="AW128" s="226"/>
      <c r="AX128" s="226"/>
      <c r="AY128" s="226"/>
      <c r="AZ128" s="226"/>
      <c r="BA128" s="226"/>
      <c r="BB128" s="226"/>
      <c r="BC128" s="226"/>
      <c r="BD128" s="226"/>
      <c r="BE128" s="226"/>
      <c r="BF128" s="226"/>
      <c r="BG128" s="226"/>
      <c r="BH128" s="226"/>
    </row>
    <row r="129" outlineLevel="3">
      <c r="A129" s="227"/>
      <c r="B129" s="228"/>
      <c r="C129" s="231" t="s">
        <v>535</v>
      </c>
      <c r="D129" s="232"/>
      <c r="E129" s="232"/>
      <c r="F129" s="232"/>
      <c r="G129" s="232"/>
      <c r="H129" s="224"/>
      <c r="I129" s="224"/>
      <c r="J129" s="224"/>
      <c r="K129" s="224"/>
      <c r="L129" s="224"/>
      <c r="M129" s="224"/>
      <c r="N129" s="225"/>
      <c r="O129" s="225"/>
      <c r="P129" s="225"/>
      <c r="Q129" s="225"/>
      <c r="R129" s="224"/>
      <c r="S129" s="224"/>
      <c r="T129" s="224"/>
      <c r="U129" s="224"/>
      <c r="V129" s="224"/>
      <c r="W129" s="224"/>
      <c r="X129" s="224"/>
      <c r="Y129" s="224"/>
      <c r="Z129" s="226"/>
      <c r="AA129" s="226"/>
      <c r="AB129" s="226"/>
      <c r="AC129" s="226"/>
      <c r="AD129" s="226"/>
      <c r="AE129" s="226"/>
      <c r="AF129" s="226"/>
      <c r="AG129" s="226" t="s">
        <v>214</v>
      </c>
      <c r="AH129" s="226"/>
      <c r="AI129" s="226"/>
      <c r="AJ129" s="226"/>
      <c r="AK129" s="226"/>
      <c r="AL129" s="226"/>
      <c r="AM129" s="226"/>
      <c r="AN129" s="226"/>
      <c r="AO129" s="226"/>
      <c r="AP129" s="226"/>
      <c r="AQ129" s="226"/>
      <c r="AR129" s="226"/>
      <c r="AS129" s="226"/>
      <c r="AT129" s="226"/>
      <c r="AU129" s="226"/>
      <c r="AV129" s="226"/>
      <c r="AW129" s="226"/>
      <c r="AX129" s="226"/>
      <c r="AY129" s="226"/>
      <c r="AZ129" s="226"/>
      <c r="BA129" s="236" t="str">
        <f>C129</f>
        <v>- zřízení kotevních otvorů nebo jam, nejsou-li částí jiné konstrukce, jejich úpravy, očištění a ošetření,</v>
      </c>
      <c r="BB129" s="226"/>
      <c r="BC129" s="226"/>
      <c r="BD129" s="226"/>
      <c r="BE129" s="226"/>
      <c r="BF129" s="226"/>
      <c r="BG129" s="226"/>
      <c r="BH129" s="226"/>
    </row>
    <row r="130" outlineLevel="3">
      <c r="A130" s="227"/>
      <c r="B130" s="228"/>
      <c r="C130" s="231" t="s">
        <v>536</v>
      </c>
      <c r="D130" s="232"/>
      <c r="E130" s="232"/>
      <c r="F130" s="232"/>
      <c r="G130" s="232"/>
      <c r="H130" s="224"/>
      <c r="I130" s="224"/>
      <c r="J130" s="224"/>
      <c r="K130" s="224"/>
      <c r="L130" s="224"/>
      <c r="M130" s="224"/>
      <c r="N130" s="225"/>
      <c r="O130" s="225"/>
      <c r="P130" s="225"/>
      <c r="Q130" s="225"/>
      <c r="R130" s="224"/>
      <c r="S130" s="224"/>
      <c r="T130" s="224"/>
      <c r="U130" s="224"/>
      <c r="V130" s="224"/>
      <c r="W130" s="224"/>
      <c r="X130" s="224"/>
      <c r="Y130" s="224"/>
      <c r="Z130" s="226"/>
      <c r="AA130" s="226"/>
      <c r="AB130" s="226"/>
      <c r="AC130" s="226"/>
      <c r="AD130" s="226"/>
      <c r="AE130" s="226"/>
      <c r="AF130" s="226"/>
      <c r="AG130" s="226" t="s">
        <v>214</v>
      </c>
      <c r="AH130" s="226"/>
      <c r="AI130" s="226"/>
      <c r="AJ130" s="226"/>
      <c r="AK130" s="226"/>
      <c r="AL130" s="226"/>
      <c r="AM130" s="226"/>
      <c r="AN130" s="226"/>
      <c r="AO130" s="226"/>
      <c r="AP130" s="226"/>
      <c r="AQ130" s="226"/>
      <c r="AR130" s="226"/>
      <c r="AS130" s="226"/>
      <c r="AT130" s="226"/>
      <c r="AU130" s="226"/>
      <c r="AV130" s="226"/>
      <c r="AW130" s="226"/>
      <c r="AX130" s="226"/>
      <c r="AY130" s="226"/>
      <c r="AZ130" s="226"/>
      <c r="BA130" s="226"/>
      <c r="BB130" s="226"/>
      <c r="BC130" s="226"/>
      <c r="BD130" s="226"/>
      <c r="BE130" s="226"/>
      <c r="BF130" s="226"/>
      <c r="BG130" s="226"/>
      <c r="BH130" s="226"/>
    </row>
    <row r="131" outlineLevel="3">
      <c r="A131" s="227"/>
      <c r="B131" s="228"/>
      <c r="C131" s="231" t="s">
        <v>537</v>
      </c>
      <c r="D131" s="232"/>
      <c r="E131" s="232"/>
      <c r="F131" s="232"/>
      <c r="G131" s="232"/>
      <c r="H131" s="224"/>
      <c r="I131" s="224"/>
      <c r="J131" s="224"/>
      <c r="K131" s="224"/>
      <c r="L131" s="224"/>
      <c r="M131" s="224"/>
      <c r="N131" s="225"/>
      <c r="O131" s="225"/>
      <c r="P131" s="225"/>
      <c r="Q131" s="225"/>
      <c r="R131" s="224"/>
      <c r="S131" s="224"/>
      <c r="T131" s="224"/>
      <c r="U131" s="224"/>
      <c r="V131" s="224"/>
      <c r="W131" s="224"/>
      <c r="X131" s="224"/>
      <c r="Y131" s="224"/>
      <c r="Z131" s="226"/>
      <c r="AA131" s="226"/>
      <c r="AB131" s="226"/>
      <c r="AC131" s="226"/>
      <c r="AD131" s="226"/>
      <c r="AE131" s="226"/>
      <c r="AF131" s="226"/>
      <c r="AG131" s="226" t="s">
        <v>214</v>
      </c>
      <c r="AH131" s="226"/>
      <c r="AI131" s="226"/>
      <c r="AJ131" s="226"/>
      <c r="AK131" s="226"/>
      <c r="AL131" s="226"/>
      <c r="AM131" s="226"/>
      <c r="AN131" s="226"/>
      <c r="AO131" s="226"/>
      <c r="AP131" s="226"/>
      <c r="AQ131" s="226"/>
      <c r="AR131" s="226"/>
      <c r="AS131" s="226"/>
      <c r="AT131" s="226"/>
      <c r="AU131" s="226"/>
      <c r="AV131" s="226"/>
      <c r="AW131" s="226"/>
      <c r="AX131" s="226"/>
      <c r="AY131" s="226"/>
      <c r="AZ131" s="226"/>
      <c r="BA131" s="236" t="str">
        <f>C131</f>
        <v xml:space="preserve">- výplň kotevních otvorů  (příp.  podlití  patních  desek)  maltou,  betonem  nebo  jinou speciální hmotou</v>
      </c>
      <c r="BB131" s="226"/>
      <c r="BC131" s="226"/>
      <c r="BD131" s="226"/>
      <c r="BE131" s="226"/>
      <c r="BF131" s="226"/>
      <c r="BG131" s="226"/>
      <c r="BH131" s="226"/>
    </row>
    <row r="132" outlineLevel="3">
      <c r="A132" s="227"/>
      <c r="B132" s="228"/>
      <c r="C132" s="231" t="s">
        <v>538</v>
      </c>
      <c r="D132" s="232"/>
      <c r="E132" s="232"/>
      <c r="F132" s="232"/>
      <c r="G132" s="232"/>
      <c r="H132" s="224"/>
      <c r="I132" s="224"/>
      <c r="J132" s="224"/>
      <c r="K132" s="224"/>
      <c r="L132" s="224"/>
      <c r="M132" s="224"/>
      <c r="N132" s="225"/>
      <c r="O132" s="225"/>
      <c r="P132" s="225"/>
      <c r="Q132" s="225"/>
      <c r="R132" s="224"/>
      <c r="S132" s="224"/>
      <c r="T132" s="224"/>
      <c r="U132" s="224"/>
      <c r="V132" s="224"/>
      <c r="W132" s="224"/>
      <c r="X132" s="224"/>
      <c r="Y132" s="224"/>
      <c r="Z132" s="226"/>
      <c r="AA132" s="226"/>
      <c r="AB132" s="226"/>
      <c r="AC132" s="226"/>
      <c r="AD132" s="226"/>
      <c r="AE132" s="226"/>
      <c r="AF132" s="226"/>
      <c r="AG132" s="226" t="s">
        <v>214</v>
      </c>
      <c r="AH132" s="226"/>
      <c r="AI132" s="226"/>
      <c r="AJ132" s="226"/>
      <c r="AK132" s="226"/>
      <c r="AL132" s="226"/>
      <c r="AM132" s="226"/>
      <c r="AN132" s="226"/>
      <c r="AO132" s="226"/>
      <c r="AP132" s="226"/>
      <c r="AQ132" s="226"/>
      <c r="AR132" s="226"/>
      <c r="AS132" s="226"/>
      <c r="AT132" s="226"/>
      <c r="AU132" s="226"/>
      <c r="AV132" s="226"/>
      <c r="AW132" s="226"/>
      <c r="AX132" s="226"/>
      <c r="AY132" s="226"/>
      <c r="AZ132" s="226"/>
      <c r="BA132" s="226"/>
      <c r="BB132" s="226"/>
      <c r="BC132" s="226"/>
      <c r="BD132" s="226"/>
      <c r="BE132" s="226"/>
      <c r="BF132" s="226"/>
      <c r="BG132" s="226"/>
      <c r="BH132" s="226"/>
    </row>
    <row r="133" outlineLevel="3">
      <c r="A133" s="227"/>
      <c r="B133" s="228"/>
      <c r="C133" s="231" t="s">
        <v>539</v>
      </c>
      <c r="D133" s="232"/>
      <c r="E133" s="232"/>
      <c r="F133" s="232"/>
      <c r="G133" s="232"/>
      <c r="H133" s="224"/>
      <c r="I133" s="224"/>
      <c r="J133" s="224"/>
      <c r="K133" s="224"/>
      <c r="L133" s="224"/>
      <c r="M133" s="224"/>
      <c r="N133" s="225"/>
      <c r="O133" s="225"/>
      <c r="P133" s="225"/>
      <c r="Q133" s="225"/>
      <c r="R133" s="224"/>
      <c r="S133" s="224"/>
      <c r="T133" s="224"/>
      <c r="U133" s="224"/>
      <c r="V133" s="224"/>
      <c r="W133" s="224"/>
      <c r="X133" s="224"/>
      <c r="Y133" s="224"/>
      <c r="Z133" s="226"/>
      <c r="AA133" s="226"/>
      <c r="AB133" s="226"/>
      <c r="AC133" s="226"/>
      <c r="AD133" s="226"/>
      <c r="AE133" s="226"/>
      <c r="AF133" s="226"/>
      <c r="AG133" s="226" t="s">
        <v>214</v>
      </c>
      <c r="AH133" s="226"/>
      <c r="AI133" s="226"/>
      <c r="AJ133" s="226"/>
      <c r="AK133" s="226"/>
      <c r="AL133" s="226"/>
      <c r="AM133" s="226"/>
      <c r="AN133" s="226"/>
      <c r="AO133" s="226"/>
      <c r="AP133" s="226"/>
      <c r="AQ133" s="226"/>
      <c r="AR133" s="226"/>
      <c r="AS133" s="226"/>
      <c r="AT133" s="226"/>
      <c r="AU133" s="226"/>
      <c r="AV133" s="226"/>
      <c r="AW133" s="226"/>
      <c r="AX133" s="226"/>
      <c r="AY133" s="226"/>
      <c r="AZ133" s="226"/>
      <c r="BA133" s="226"/>
      <c r="BB133" s="226"/>
      <c r="BC133" s="226"/>
      <c r="BD133" s="226"/>
      <c r="BE133" s="226"/>
      <c r="BF133" s="226"/>
      <c r="BG133" s="226"/>
      <c r="BH133" s="226"/>
    </row>
    <row r="134" outlineLevel="3">
      <c r="A134" s="227"/>
      <c r="B134" s="228"/>
      <c r="C134" s="231" t="s">
        <v>540</v>
      </c>
      <c r="D134" s="232"/>
      <c r="E134" s="232"/>
      <c r="F134" s="232"/>
      <c r="G134" s="232"/>
      <c r="H134" s="224"/>
      <c r="I134" s="224"/>
      <c r="J134" s="224"/>
      <c r="K134" s="224"/>
      <c r="L134" s="224"/>
      <c r="M134" s="224"/>
      <c r="N134" s="225"/>
      <c r="O134" s="225"/>
      <c r="P134" s="225"/>
      <c r="Q134" s="225"/>
      <c r="R134" s="224"/>
      <c r="S134" s="224"/>
      <c r="T134" s="224"/>
      <c r="U134" s="224"/>
      <c r="V134" s="224"/>
      <c r="W134" s="224"/>
      <c r="X134" s="224"/>
      <c r="Y134" s="224"/>
      <c r="Z134" s="226"/>
      <c r="AA134" s="226"/>
      <c r="AB134" s="226"/>
      <c r="AC134" s="226"/>
      <c r="AD134" s="226"/>
      <c r="AE134" s="226"/>
      <c r="AF134" s="226"/>
      <c r="AG134" s="226" t="s">
        <v>214</v>
      </c>
      <c r="AH134" s="226"/>
      <c r="AI134" s="226"/>
      <c r="AJ134" s="226"/>
      <c r="AK134" s="226"/>
      <c r="AL134" s="226"/>
      <c r="AM134" s="226"/>
      <c r="AN134" s="226"/>
      <c r="AO134" s="226"/>
      <c r="AP134" s="226"/>
      <c r="AQ134" s="226"/>
      <c r="AR134" s="226"/>
      <c r="AS134" s="226"/>
      <c r="AT134" s="226"/>
      <c r="AU134" s="226"/>
      <c r="AV134" s="226"/>
      <c r="AW134" s="226"/>
      <c r="AX134" s="226"/>
      <c r="AY134" s="226"/>
      <c r="AZ134" s="226"/>
      <c r="BA134" s="226"/>
      <c r="BB134" s="226"/>
      <c r="BC134" s="226"/>
      <c r="BD134" s="226"/>
      <c r="BE134" s="226"/>
      <c r="BF134" s="226"/>
      <c r="BG134" s="226"/>
      <c r="BH134" s="226"/>
    </row>
    <row r="135" outlineLevel="3">
      <c r="A135" s="227"/>
      <c r="B135" s="228"/>
      <c r="C135" s="231" t="s">
        <v>541</v>
      </c>
      <c r="D135" s="232"/>
      <c r="E135" s="232"/>
      <c r="F135" s="232"/>
      <c r="G135" s="232"/>
      <c r="H135" s="224"/>
      <c r="I135" s="224"/>
      <c r="J135" s="224"/>
      <c r="K135" s="224"/>
      <c r="L135" s="224"/>
      <c r="M135" s="224"/>
      <c r="N135" s="225"/>
      <c r="O135" s="225"/>
      <c r="P135" s="225"/>
      <c r="Q135" s="225"/>
      <c r="R135" s="224"/>
      <c r="S135" s="224"/>
      <c r="T135" s="224"/>
      <c r="U135" s="224"/>
      <c r="V135" s="224"/>
      <c r="W135" s="224"/>
      <c r="X135" s="224"/>
      <c r="Y135" s="224"/>
      <c r="Z135" s="226"/>
      <c r="AA135" s="226"/>
      <c r="AB135" s="226"/>
      <c r="AC135" s="226"/>
      <c r="AD135" s="226"/>
      <c r="AE135" s="226"/>
      <c r="AF135" s="226"/>
      <c r="AG135" s="226" t="s">
        <v>214</v>
      </c>
      <c r="AH135" s="226"/>
      <c r="AI135" s="226"/>
      <c r="AJ135" s="226"/>
      <c r="AK135" s="226"/>
      <c r="AL135" s="226"/>
      <c r="AM135" s="226"/>
      <c r="AN135" s="226"/>
      <c r="AO135" s="226"/>
      <c r="AP135" s="226"/>
      <c r="AQ135" s="226"/>
      <c r="AR135" s="226"/>
      <c r="AS135" s="226"/>
      <c r="AT135" s="226"/>
      <c r="AU135" s="226"/>
      <c r="AV135" s="226"/>
      <c r="AW135" s="226"/>
      <c r="AX135" s="226"/>
      <c r="AY135" s="226"/>
      <c r="AZ135" s="226"/>
      <c r="BA135" s="226"/>
      <c r="BB135" s="226"/>
      <c r="BC135" s="226"/>
      <c r="BD135" s="226"/>
      <c r="BE135" s="226"/>
      <c r="BF135" s="226"/>
      <c r="BG135" s="226"/>
      <c r="BH135" s="226"/>
    </row>
    <row r="136" outlineLevel="3">
      <c r="A136" s="227"/>
      <c r="B136" s="228"/>
      <c r="C136" s="231" t="s">
        <v>542</v>
      </c>
      <c r="D136" s="232"/>
      <c r="E136" s="232"/>
      <c r="F136" s="232"/>
      <c r="G136" s="232"/>
      <c r="H136" s="224"/>
      <c r="I136" s="224"/>
      <c r="J136" s="224"/>
      <c r="K136" s="224"/>
      <c r="L136" s="224"/>
      <c r="M136" s="224"/>
      <c r="N136" s="225"/>
      <c r="O136" s="225"/>
      <c r="P136" s="225"/>
      <c r="Q136" s="225"/>
      <c r="R136" s="224"/>
      <c r="S136" s="224"/>
      <c r="T136" s="224"/>
      <c r="U136" s="224"/>
      <c r="V136" s="224"/>
      <c r="W136" s="224"/>
      <c r="X136" s="224"/>
      <c r="Y136" s="224"/>
      <c r="Z136" s="226"/>
      <c r="AA136" s="226"/>
      <c r="AB136" s="226"/>
      <c r="AC136" s="226"/>
      <c r="AD136" s="226"/>
      <c r="AE136" s="226"/>
      <c r="AF136" s="226"/>
      <c r="AG136" s="226" t="s">
        <v>214</v>
      </c>
      <c r="AH136" s="226"/>
      <c r="AI136" s="226"/>
      <c r="AJ136" s="226"/>
      <c r="AK136" s="226"/>
      <c r="AL136" s="226"/>
      <c r="AM136" s="226"/>
      <c r="AN136" s="226"/>
      <c r="AO136" s="226"/>
      <c r="AP136" s="226"/>
      <c r="AQ136" s="226"/>
      <c r="AR136" s="226"/>
      <c r="AS136" s="226"/>
      <c r="AT136" s="226"/>
      <c r="AU136" s="226"/>
      <c r="AV136" s="226"/>
      <c r="AW136" s="226"/>
      <c r="AX136" s="226"/>
      <c r="AY136" s="226"/>
      <c r="AZ136" s="226"/>
      <c r="BA136" s="226"/>
      <c r="BB136" s="226"/>
      <c r="BC136" s="226"/>
      <c r="BD136" s="226"/>
      <c r="BE136" s="226"/>
      <c r="BF136" s="226"/>
      <c r="BG136" s="226"/>
      <c r="BH136" s="226"/>
    </row>
    <row r="137" outlineLevel="3">
      <c r="A137" s="227"/>
      <c r="B137" s="228"/>
      <c r="C137" s="231" t="s">
        <v>543</v>
      </c>
      <c r="D137" s="232"/>
      <c r="E137" s="232"/>
      <c r="F137" s="232"/>
      <c r="G137" s="232"/>
      <c r="H137" s="224"/>
      <c r="I137" s="224"/>
      <c r="J137" s="224"/>
      <c r="K137" s="224"/>
      <c r="L137" s="224"/>
      <c r="M137" s="224"/>
      <c r="N137" s="225"/>
      <c r="O137" s="225"/>
      <c r="P137" s="225"/>
      <c r="Q137" s="225"/>
      <c r="R137" s="224"/>
      <c r="S137" s="224"/>
      <c r="T137" s="224"/>
      <c r="U137" s="224"/>
      <c r="V137" s="224"/>
      <c r="W137" s="224"/>
      <c r="X137" s="224"/>
      <c r="Y137" s="224"/>
      <c r="Z137" s="226"/>
      <c r="AA137" s="226"/>
      <c r="AB137" s="226"/>
      <c r="AC137" s="226"/>
      <c r="AD137" s="226"/>
      <c r="AE137" s="226"/>
      <c r="AF137" s="226"/>
      <c r="AG137" s="226" t="s">
        <v>214</v>
      </c>
      <c r="AH137" s="226"/>
      <c r="AI137" s="226"/>
      <c r="AJ137" s="226"/>
      <c r="AK137" s="226"/>
      <c r="AL137" s="226"/>
      <c r="AM137" s="226"/>
      <c r="AN137" s="226"/>
      <c r="AO137" s="226"/>
      <c r="AP137" s="226"/>
      <c r="AQ137" s="226"/>
      <c r="AR137" s="226"/>
      <c r="AS137" s="226"/>
      <c r="AT137" s="226"/>
      <c r="AU137" s="226"/>
      <c r="AV137" s="226"/>
      <c r="AW137" s="226"/>
      <c r="AX137" s="226"/>
      <c r="AY137" s="226"/>
      <c r="AZ137" s="226"/>
      <c r="BA137" s="226"/>
      <c r="BB137" s="226"/>
      <c r="BC137" s="226"/>
      <c r="BD137" s="226"/>
      <c r="BE137" s="226"/>
      <c r="BF137" s="226"/>
      <c r="BG137" s="226"/>
      <c r="BH137" s="226"/>
    </row>
    <row r="138" outlineLevel="3">
      <c r="A138" s="227"/>
      <c r="B138" s="228"/>
      <c r="C138" s="231" t="s">
        <v>544</v>
      </c>
      <c r="D138" s="232"/>
      <c r="E138" s="232"/>
      <c r="F138" s="232"/>
      <c r="G138" s="232"/>
      <c r="H138" s="224"/>
      <c r="I138" s="224"/>
      <c r="J138" s="224"/>
      <c r="K138" s="224"/>
      <c r="L138" s="224"/>
      <c r="M138" s="224"/>
      <c r="N138" s="225"/>
      <c r="O138" s="225"/>
      <c r="P138" s="225"/>
      <c r="Q138" s="225"/>
      <c r="R138" s="224"/>
      <c r="S138" s="224"/>
      <c r="T138" s="224"/>
      <c r="U138" s="224"/>
      <c r="V138" s="224"/>
      <c r="W138" s="224"/>
      <c r="X138" s="224"/>
      <c r="Y138" s="224"/>
      <c r="Z138" s="226"/>
      <c r="AA138" s="226"/>
      <c r="AB138" s="226"/>
      <c r="AC138" s="226"/>
      <c r="AD138" s="226"/>
      <c r="AE138" s="226"/>
      <c r="AF138" s="226"/>
      <c r="AG138" s="226" t="s">
        <v>214</v>
      </c>
      <c r="AH138" s="226"/>
      <c r="AI138" s="226"/>
      <c r="AJ138" s="226"/>
      <c r="AK138" s="226"/>
      <c r="AL138" s="226"/>
      <c r="AM138" s="226"/>
      <c r="AN138" s="226"/>
      <c r="AO138" s="226"/>
      <c r="AP138" s="226"/>
      <c r="AQ138" s="226"/>
      <c r="AR138" s="226"/>
      <c r="AS138" s="226"/>
      <c r="AT138" s="226"/>
      <c r="AU138" s="226"/>
      <c r="AV138" s="226"/>
      <c r="AW138" s="226"/>
      <c r="AX138" s="226"/>
      <c r="AY138" s="226"/>
      <c r="AZ138" s="226"/>
      <c r="BA138" s="226"/>
      <c r="BB138" s="226"/>
      <c r="BC138" s="226"/>
      <c r="BD138" s="226"/>
      <c r="BE138" s="226"/>
      <c r="BF138" s="226"/>
      <c r="BG138" s="226"/>
      <c r="BH138" s="226"/>
    </row>
    <row r="139" outlineLevel="2">
      <c r="A139" s="227"/>
      <c r="B139" s="228"/>
      <c r="C139" s="233" t="s">
        <v>545</v>
      </c>
      <c r="D139" s="234"/>
      <c r="E139" s="235">
        <v>246.13444999999999</v>
      </c>
      <c r="F139" s="224"/>
      <c r="G139" s="224"/>
      <c r="H139" s="224"/>
      <c r="I139" s="224"/>
      <c r="J139" s="224"/>
      <c r="K139" s="224"/>
      <c r="L139" s="224"/>
      <c r="M139" s="224"/>
      <c r="N139" s="225"/>
      <c r="O139" s="225"/>
      <c r="P139" s="225"/>
      <c r="Q139" s="225"/>
      <c r="R139" s="224"/>
      <c r="S139" s="224"/>
      <c r="T139" s="224"/>
      <c r="U139" s="224"/>
      <c r="V139" s="224"/>
      <c r="W139" s="224"/>
      <c r="X139" s="224"/>
      <c r="Y139" s="224"/>
      <c r="Z139" s="226"/>
      <c r="AA139" s="226"/>
      <c r="AB139" s="226"/>
      <c r="AC139" s="226"/>
      <c r="AD139" s="226"/>
      <c r="AE139" s="226"/>
      <c r="AF139" s="226"/>
      <c r="AG139" s="226" t="s">
        <v>217</v>
      </c>
      <c r="AH139" s="226">
        <v>0</v>
      </c>
      <c r="AI139" s="226"/>
      <c r="AJ139" s="226"/>
      <c r="AK139" s="226"/>
      <c r="AL139" s="226"/>
      <c r="AM139" s="226"/>
      <c r="AN139" s="226"/>
      <c r="AO139" s="226"/>
      <c r="AP139" s="226"/>
      <c r="AQ139" s="226"/>
      <c r="AR139" s="226"/>
      <c r="AS139" s="226"/>
      <c r="AT139" s="226"/>
      <c r="AU139" s="226"/>
      <c r="AV139" s="226"/>
      <c r="AW139" s="226"/>
      <c r="AX139" s="226"/>
      <c r="AY139" s="226"/>
      <c r="AZ139" s="226"/>
      <c r="BA139" s="226"/>
      <c r="BB139" s="226"/>
      <c r="BC139" s="226"/>
      <c r="BD139" s="226"/>
      <c r="BE139" s="226"/>
      <c r="BF139" s="226"/>
      <c r="BG139" s="226"/>
      <c r="BH139" s="226"/>
    </row>
    <row r="140" outlineLevel="1">
      <c r="A140" s="216">
        <v>30</v>
      </c>
      <c r="B140" s="217" t="s">
        <v>546</v>
      </c>
      <c r="C140" s="218" t="s">
        <v>547</v>
      </c>
      <c r="D140" s="219" t="s">
        <v>207</v>
      </c>
      <c r="E140" s="220">
        <v>209.16929999999999</v>
      </c>
      <c r="F140" s="221"/>
      <c r="G140" s="222">
        <f>ROUND(E140*F140,2)</f>
        <v>0</v>
      </c>
      <c r="H140" s="223"/>
      <c r="I140" s="224">
        <f>ROUND(E140*H140,2)</f>
        <v>0</v>
      </c>
      <c r="J140" s="223"/>
      <c r="K140" s="224">
        <f>ROUND(E140*J140,2)</f>
        <v>0</v>
      </c>
      <c r="L140" s="224">
        <v>21</v>
      </c>
      <c r="M140" s="224">
        <f>G140*(1+L140/100)</f>
        <v>0</v>
      </c>
      <c r="N140" s="225">
        <v>0</v>
      </c>
      <c r="O140" s="225">
        <f>ROUND(E140*N140,2)</f>
        <v>0</v>
      </c>
      <c r="P140" s="225">
        <v>0</v>
      </c>
      <c r="Q140" s="225">
        <f>ROUND(E140*P140,2)</f>
        <v>0</v>
      </c>
      <c r="R140" s="224"/>
      <c r="S140" s="224" t="s">
        <v>208</v>
      </c>
      <c r="T140" s="224" t="s">
        <v>209</v>
      </c>
      <c r="U140" s="224">
        <v>0</v>
      </c>
      <c r="V140" s="224">
        <f>ROUND(E140*U140,2)</f>
        <v>0</v>
      </c>
      <c r="W140" s="224"/>
      <c r="X140" s="224" t="s">
        <v>210</v>
      </c>
      <c r="Y140" s="224" t="s">
        <v>211</v>
      </c>
      <c r="Z140" s="226"/>
      <c r="AA140" s="226"/>
      <c r="AB140" s="226"/>
      <c r="AC140" s="226"/>
      <c r="AD140" s="226"/>
      <c r="AE140" s="226"/>
      <c r="AF140" s="226"/>
      <c r="AG140" s="226" t="s">
        <v>396</v>
      </c>
      <c r="AH140" s="226"/>
      <c r="AI140" s="226"/>
      <c r="AJ140" s="226"/>
      <c r="AK140" s="226"/>
      <c r="AL140" s="226"/>
      <c r="AM140" s="226"/>
      <c r="AN140" s="226"/>
      <c r="AO140" s="226"/>
      <c r="AP140" s="226"/>
      <c r="AQ140" s="226"/>
      <c r="AR140" s="226"/>
      <c r="AS140" s="226"/>
      <c r="AT140" s="226"/>
      <c r="AU140" s="226"/>
      <c r="AV140" s="226"/>
      <c r="AW140" s="226"/>
      <c r="AX140" s="226"/>
      <c r="AY140" s="226"/>
      <c r="AZ140" s="226"/>
      <c r="BA140" s="226"/>
      <c r="BB140" s="226"/>
      <c r="BC140" s="226"/>
      <c r="BD140" s="226"/>
      <c r="BE140" s="226"/>
      <c r="BF140" s="226"/>
      <c r="BG140" s="226"/>
      <c r="BH140" s="226"/>
    </row>
    <row r="141" outlineLevel="2" ht="22.5">
      <c r="A141" s="227"/>
      <c r="B141" s="228"/>
      <c r="C141" s="229" t="s">
        <v>501</v>
      </c>
      <c r="D141" s="230"/>
      <c r="E141" s="230"/>
      <c r="F141" s="230"/>
      <c r="G141" s="230"/>
      <c r="H141" s="224"/>
      <c r="I141" s="224"/>
      <c r="J141" s="224"/>
      <c r="K141" s="224"/>
      <c r="L141" s="224"/>
      <c r="M141" s="224"/>
      <c r="N141" s="225"/>
      <c r="O141" s="225"/>
      <c r="P141" s="225"/>
      <c r="Q141" s="225"/>
      <c r="R141" s="224"/>
      <c r="S141" s="224"/>
      <c r="T141" s="224"/>
      <c r="U141" s="224"/>
      <c r="V141" s="224"/>
      <c r="W141" s="224"/>
      <c r="X141" s="224"/>
      <c r="Y141" s="224"/>
      <c r="Z141" s="226"/>
      <c r="AA141" s="226"/>
      <c r="AB141" s="226"/>
      <c r="AC141" s="226"/>
      <c r="AD141" s="226"/>
      <c r="AE141" s="226"/>
      <c r="AF141" s="226"/>
      <c r="AG141" s="226" t="s">
        <v>214</v>
      </c>
      <c r="AH141" s="226"/>
      <c r="AI141" s="226"/>
      <c r="AJ141" s="226"/>
      <c r="AK141" s="226"/>
      <c r="AL141" s="226"/>
      <c r="AM141" s="226"/>
      <c r="AN141" s="226"/>
      <c r="AO141" s="226"/>
      <c r="AP141" s="226"/>
      <c r="AQ141" s="226"/>
      <c r="AR141" s="226"/>
      <c r="AS141" s="226"/>
      <c r="AT141" s="226"/>
      <c r="AU141" s="226"/>
      <c r="AV141" s="226"/>
      <c r="AW141" s="226"/>
      <c r="AX141" s="226"/>
      <c r="AY141" s="226"/>
      <c r="AZ141" s="226"/>
      <c r="BA141" s="236" t="str">
        <f>C141</f>
        <v>Pozinkovaná ocel, profily válované za studena z žárově pozinkovaných pásů z oceli, Spoje prováděné pomocí pozinkovaných metrických šroubů.</v>
      </c>
      <c r="BB141" s="226"/>
      <c r="BC141" s="226"/>
      <c r="BD141" s="226"/>
      <c r="BE141" s="226"/>
      <c r="BF141" s="226"/>
      <c r="BG141" s="226"/>
      <c r="BH141" s="226"/>
    </row>
    <row r="142" outlineLevel="3" ht="22.5">
      <c r="A142" s="227"/>
      <c r="B142" s="228"/>
      <c r="C142" s="231" t="s">
        <v>502</v>
      </c>
      <c r="D142" s="232"/>
      <c r="E142" s="232"/>
      <c r="F142" s="232"/>
      <c r="G142" s="232"/>
      <c r="H142" s="224"/>
      <c r="I142" s="224"/>
      <c r="J142" s="224"/>
      <c r="K142" s="224"/>
      <c r="L142" s="224"/>
      <c r="M142" s="224"/>
      <c r="N142" s="225"/>
      <c r="O142" s="225"/>
      <c r="P142" s="225"/>
      <c r="Q142" s="225"/>
      <c r="R142" s="224"/>
      <c r="S142" s="224"/>
      <c r="T142" s="224"/>
      <c r="U142" s="224"/>
      <c r="V142" s="224"/>
      <c r="W142" s="224"/>
      <c r="X142" s="224"/>
      <c r="Y142" s="224"/>
      <c r="Z142" s="226"/>
      <c r="AA142" s="226"/>
      <c r="AB142" s="226"/>
      <c r="AC142" s="226"/>
      <c r="AD142" s="226"/>
      <c r="AE142" s="226"/>
      <c r="AF142" s="226"/>
      <c r="AG142" s="226" t="s">
        <v>214</v>
      </c>
      <c r="AH142" s="226"/>
      <c r="AI142" s="226"/>
      <c r="AJ142" s="226"/>
      <c r="AK142" s="226"/>
      <c r="AL142" s="226"/>
      <c r="AM142" s="226"/>
      <c r="AN142" s="226"/>
      <c r="AO142" s="226"/>
      <c r="AP142" s="226"/>
      <c r="AQ142" s="226"/>
      <c r="AR142" s="226"/>
      <c r="AS142" s="226"/>
      <c r="AT142" s="226"/>
      <c r="AU142" s="226"/>
      <c r="AV142" s="226"/>
      <c r="AW142" s="226"/>
      <c r="AX142" s="226"/>
      <c r="AY142" s="226"/>
      <c r="AZ142" s="226"/>
      <c r="BA142" s="236" t="str">
        <f>C142</f>
        <v>Sekundární nosné konstukce střechy jsou ocelové vaznice ze Z-profilů za studena tvarované a pozinkované.</v>
      </c>
      <c r="BB142" s="226"/>
      <c r="BC142" s="226"/>
      <c r="BD142" s="226"/>
      <c r="BE142" s="226"/>
      <c r="BF142" s="226"/>
      <c r="BG142" s="226"/>
      <c r="BH142" s="226"/>
    </row>
    <row r="143" outlineLevel="3" ht="22.5">
      <c r="A143" s="227"/>
      <c r="B143" s="228"/>
      <c r="C143" s="231" t="s">
        <v>503</v>
      </c>
      <c r="D143" s="232"/>
      <c r="E143" s="232"/>
      <c r="F143" s="232"/>
      <c r="G143" s="232"/>
      <c r="H143" s="224"/>
      <c r="I143" s="224"/>
      <c r="J143" s="224"/>
      <c r="K143" s="224"/>
      <c r="L143" s="224"/>
      <c r="M143" s="224"/>
      <c r="N143" s="225"/>
      <c r="O143" s="225"/>
      <c r="P143" s="225"/>
      <c r="Q143" s="225"/>
      <c r="R143" s="224"/>
      <c r="S143" s="224"/>
      <c r="T143" s="224"/>
      <c r="U143" s="224"/>
      <c r="V143" s="224"/>
      <c r="W143" s="224"/>
      <c r="X143" s="224"/>
      <c r="Y143" s="224"/>
      <c r="Z143" s="226"/>
      <c r="AA143" s="226"/>
      <c r="AB143" s="226"/>
      <c r="AC143" s="226"/>
      <c r="AD143" s="226"/>
      <c r="AE143" s="226"/>
      <c r="AF143" s="226"/>
      <c r="AG143" s="226" t="s">
        <v>214</v>
      </c>
      <c r="AH143" s="226"/>
      <c r="AI143" s="226"/>
      <c r="AJ143" s="226"/>
      <c r="AK143" s="226"/>
      <c r="AL143" s="226"/>
      <c r="AM143" s="226"/>
      <c r="AN143" s="226"/>
      <c r="AO143" s="226"/>
      <c r="AP143" s="226"/>
      <c r="AQ143" s="226"/>
      <c r="AR143" s="226"/>
      <c r="AS143" s="226"/>
      <c r="AT143" s="226"/>
      <c r="AU143" s="226"/>
      <c r="AV143" s="226"/>
      <c r="AW143" s="226"/>
      <c r="AX143" s="226"/>
      <c r="AY143" s="226"/>
      <c r="AZ143" s="226"/>
      <c r="BA143" s="236" t="str">
        <f>C143</f>
        <v>Primární nosná kce střechy jsou ocelové příhradové nosníky, plnostěnné nosníky ve štítech. Nosníky jsou stabilizované vaznicemi a střešními ztužidly příp. stabilizacemi. -&gt; pozinko. ocel za studena.</v>
      </c>
      <c r="BB143" s="226"/>
      <c r="BC143" s="226"/>
      <c r="BD143" s="226"/>
      <c r="BE143" s="226"/>
      <c r="BF143" s="226"/>
      <c r="BG143" s="226"/>
      <c r="BH143" s="226"/>
    </row>
    <row r="144" outlineLevel="3" ht="22.5">
      <c r="A144" s="227"/>
      <c r="B144" s="228"/>
      <c r="C144" s="231" t="s">
        <v>504</v>
      </c>
      <c r="D144" s="232"/>
      <c r="E144" s="232"/>
      <c r="F144" s="232"/>
      <c r="G144" s="232"/>
      <c r="H144" s="224"/>
      <c r="I144" s="224"/>
      <c r="J144" s="224"/>
      <c r="K144" s="224"/>
      <c r="L144" s="224"/>
      <c r="M144" s="224"/>
      <c r="N144" s="225"/>
      <c r="O144" s="225"/>
      <c r="P144" s="225"/>
      <c r="Q144" s="225"/>
      <c r="R144" s="224"/>
      <c r="S144" s="224"/>
      <c r="T144" s="224"/>
      <c r="U144" s="224"/>
      <c r="V144" s="224"/>
      <c r="W144" s="224"/>
      <c r="X144" s="224"/>
      <c r="Y144" s="224"/>
      <c r="Z144" s="226"/>
      <c r="AA144" s="226"/>
      <c r="AB144" s="226"/>
      <c r="AC144" s="226"/>
      <c r="AD144" s="226"/>
      <c r="AE144" s="226"/>
      <c r="AF144" s="226"/>
      <c r="AG144" s="226" t="s">
        <v>214</v>
      </c>
      <c r="AH144" s="226"/>
      <c r="AI144" s="226"/>
      <c r="AJ144" s="226"/>
      <c r="AK144" s="226"/>
      <c r="AL144" s="226"/>
      <c r="AM144" s="226"/>
      <c r="AN144" s="226"/>
      <c r="AO144" s="226"/>
      <c r="AP144" s="226"/>
      <c r="AQ144" s="226"/>
      <c r="AR144" s="226"/>
      <c r="AS144" s="226"/>
      <c r="AT144" s="226"/>
      <c r="AU144" s="226"/>
      <c r="AV144" s="226"/>
      <c r="AW144" s="226"/>
      <c r="AX144" s="226"/>
      <c r="AY144" s="226"/>
      <c r="AZ144" s="226"/>
      <c r="BA144" s="236" t="str">
        <f>C144</f>
        <v>Stěnová ztužidla jsou z táhel z ocelových plochých pásků z pozink. oceli za studena. Dále jsou součístí sloupy a vodorovné vzpěry.</v>
      </c>
      <c r="BB144" s="226"/>
      <c r="BC144" s="226"/>
      <c r="BD144" s="226"/>
      <c r="BE144" s="226"/>
      <c r="BF144" s="226"/>
      <c r="BG144" s="226"/>
      <c r="BH144" s="226"/>
    </row>
    <row r="145" outlineLevel="3">
      <c r="A145" s="227"/>
      <c r="B145" s="228"/>
      <c r="C145" s="265" t="s">
        <v>505</v>
      </c>
      <c r="D145" s="266"/>
      <c r="E145" s="267"/>
      <c r="F145" s="268"/>
      <c r="G145" s="268"/>
      <c r="H145" s="224"/>
      <c r="I145" s="224"/>
      <c r="J145" s="224"/>
      <c r="K145" s="224"/>
      <c r="L145" s="224"/>
      <c r="M145" s="224"/>
      <c r="N145" s="225"/>
      <c r="O145" s="225"/>
      <c r="P145" s="225"/>
      <c r="Q145" s="225"/>
      <c r="R145" s="224"/>
      <c r="S145" s="224"/>
      <c r="T145" s="224"/>
      <c r="U145" s="224"/>
      <c r="V145" s="224"/>
      <c r="W145" s="224"/>
      <c r="X145" s="224"/>
      <c r="Y145" s="224"/>
      <c r="Z145" s="226"/>
      <c r="AA145" s="226"/>
      <c r="AB145" s="226"/>
      <c r="AC145" s="226"/>
      <c r="AD145" s="226"/>
      <c r="AE145" s="226"/>
      <c r="AF145" s="226"/>
      <c r="AG145" s="226" t="s">
        <v>214</v>
      </c>
      <c r="AH145" s="226"/>
      <c r="AI145" s="226"/>
      <c r="AJ145" s="226"/>
      <c r="AK145" s="226"/>
      <c r="AL145" s="226"/>
      <c r="AM145" s="226"/>
      <c r="AN145" s="226"/>
      <c r="AO145" s="226"/>
      <c r="AP145" s="226"/>
      <c r="AQ145" s="226"/>
      <c r="AR145" s="226"/>
      <c r="AS145" s="226"/>
      <c r="AT145" s="226"/>
      <c r="AU145" s="226"/>
      <c r="AV145" s="226"/>
      <c r="AW145" s="226"/>
      <c r="AX145" s="226"/>
      <c r="AY145" s="226"/>
      <c r="AZ145" s="226"/>
      <c r="BA145" s="226"/>
      <c r="BB145" s="226"/>
      <c r="BC145" s="226"/>
      <c r="BD145" s="226"/>
      <c r="BE145" s="226"/>
      <c r="BF145" s="226"/>
      <c r="BG145" s="226"/>
      <c r="BH145" s="226"/>
    </row>
    <row r="146" outlineLevel="3">
      <c r="A146" s="227"/>
      <c r="B146" s="228"/>
      <c r="C146" s="231" t="s">
        <v>506</v>
      </c>
      <c r="D146" s="232"/>
      <c r="E146" s="232"/>
      <c r="F146" s="232"/>
      <c r="G146" s="232"/>
      <c r="H146" s="224"/>
      <c r="I146" s="224"/>
      <c r="J146" s="224"/>
      <c r="K146" s="224"/>
      <c r="L146" s="224"/>
      <c r="M146" s="224"/>
      <c r="N146" s="225"/>
      <c r="O146" s="225"/>
      <c r="P146" s="225"/>
      <c r="Q146" s="225"/>
      <c r="R146" s="224"/>
      <c r="S146" s="224"/>
      <c r="T146" s="224"/>
      <c r="U146" s="224"/>
      <c r="V146" s="224"/>
      <c r="W146" s="224"/>
      <c r="X146" s="224"/>
      <c r="Y146" s="224"/>
      <c r="Z146" s="226"/>
      <c r="AA146" s="226"/>
      <c r="AB146" s="226"/>
      <c r="AC146" s="226"/>
      <c r="AD146" s="226"/>
      <c r="AE146" s="226"/>
      <c r="AF146" s="226"/>
      <c r="AG146" s="226" t="s">
        <v>214</v>
      </c>
      <c r="AH146" s="226"/>
      <c r="AI146" s="226"/>
      <c r="AJ146" s="226"/>
      <c r="AK146" s="226"/>
      <c r="AL146" s="226"/>
      <c r="AM146" s="226"/>
      <c r="AN146" s="226"/>
      <c r="AO146" s="226"/>
      <c r="AP146" s="226"/>
      <c r="AQ146" s="226"/>
      <c r="AR146" s="226"/>
      <c r="AS146" s="226"/>
      <c r="AT146" s="226"/>
      <c r="AU146" s="226"/>
      <c r="AV146" s="226"/>
      <c r="AW146" s="226"/>
      <c r="AX146" s="226"/>
      <c r="AY146" s="226"/>
      <c r="AZ146" s="226"/>
      <c r="BA146" s="226"/>
      <c r="BB146" s="226"/>
      <c r="BC146" s="226"/>
      <c r="BD146" s="226"/>
      <c r="BE146" s="226"/>
      <c r="BF146" s="226"/>
      <c r="BG146" s="226"/>
      <c r="BH146" s="226"/>
    </row>
    <row r="147" outlineLevel="3">
      <c r="A147" s="227"/>
      <c r="B147" s="228"/>
      <c r="C147" s="231" t="s">
        <v>507</v>
      </c>
      <c r="D147" s="232"/>
      <c r="E147" s="232"/>
      <c r="F147" s="232"/>
      <c r="G147" s="232"/>
      <c r="H147" s="224"/>
      <c r="I147" s="224"/>
      <c r="J147" s="224"/>
      <c r="K147" s="224"/>
      <c r="L147" s="224"/>
      <c r="M147" s="224"/>
      <c r="N147" s="225"/>
      <c r="O147" s="225"/>
      <c r="P147" s="225"/>
      <c r="Q147" s="225"/>
      <c r="R147" s="224"/>
      <c r="S147" s="224"/>
      <c r="T147" s="224"/>
      <c r="U147" s="224"/>
      <c r="V147" s="224"/>
      <c r="W147" s="224"/>
      <c r="X147" s="224"/>
      <c r="Y147" s="224"/>
      <c r="Z147" s="226"/>
      <c r="AA147" s="226"/>
      <c r="AB147" s="226"/>
      <c r="AC147" s="226"/>
      <c r="AD147" s="226"/>
      <c r="AE147" s="226"/>
      <c r="AF147" s="226"/>
      <c r="AG147" s="226" t="s">
        <v>214</v>
      </c>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row>
    <row r="148" outlineLevel="3">
      <c r="A148" s="227"/>
      <c r="B148" s="228"/>
      <c r="C148" s="231" t="s">
        <v>548</v>
      </c>
      <c r="D148" s="232"/>
      <c r="E148" s="232"/>
      <c r="F148" s="232"/>
      <c r="G148" s="232"/>
      <c r="H148" s="224"/>
      <c r="I148" s="224"/>
      <c r="J148" s="224"/>
      <c r="K148" s="224"/>
      <c r="L148" s="224"/>
      <c r="M148" s="224"/>
      <c r="N148" s="225"/>
      <c r="O148" s="225"/>
      <c r="P148" s="225"/>
      <c r="Q148" s="225"/>
      <c r="R148" s="224"/>
      <c r="S148" s="224"/>
      <c r="T148" s="224"/>
      <c r="U148" s="224"/>
      <c r="V148" s="224"/>
      <c r="W148" s="224"/>
      <c r="X148" s="224"/>
      <c r="Y148" s="224"/>
      <c r="Z148" s="226"/>
      <c r="AA148" s="226"/>
      <c r="AB148" s="226"/>
      <c r="AC148" s="226"/>
      <c r="AD148" s="226"/>
      <c r="AE148" s="226"/>
      <c r="AF148" s="226"/>
      <c r="AG148" s="226" t="s">
        <v>214</v>
      </c>
      <c r="AH148" s="226"/>
      <c r="AI148" s="226"/>
      <c r="AJ148" s="226"/>
      <c r="AK148" s="226"/>
      <c r="AL148" s="226"/>
      <c r="AM148" s="226"/>
      <c r="AN148" s="226"/>
      <c r="AO148" s="226"/>
      <c r="AP148" s="226"/>
      <c r="AQ148" s="226"/>
      <c r="AR148" s="226"/>
      <c r="AS148" s="226"/>
      <c r="AT148" s="226"/>
      <c r="AU148" s="226"/>
      <c r="AV148" s="226"/>
      <c r="AW148" s="226"/>
      <c r="AX148" s="226"/>
      <c r="AY148" s="226"/>
      <c r="AZ148" s="226"/>
      <c r="BA148" s="226"/>
      <c r="BB148" s="226"/>
      <c r="BC148" s="226"/>
      <c r="BD148" s="226"/>
      <c r="BE148" s="226"/>
      <c r="BF148" s="226"/>
      <c r="BG148" s="226"/>
      <c r="BH148" s="226"/>
    </row>
    <row r="149" outlineLevel="3">
      <c r="A149" s="227"/>
      <c r="B149" s="228"/>
      <c r="C149" s="231" t="s">
        <v>549</v>
      </c>
      <c r="D149" s="232"/>
      <c r="E149" s="232"/>
      <c r="F149" s="232"/>
      <c r="G149" s="232"/>
      <c r="H149" s="224"/>
      <c r="I149" s="224"/>
      <c r="J149" s="224"/>
      <c r="K149" s="224"/>
      <c r="L149" s="224"/>
      <c r="M149" s="224"/>
      <c r="N149" s="225"/>
      <c r="O149" s="225"/>
      <c r="P149" s="225"/>
      <c r="Q149" s="225"/>
      <c r="R149" s="224"/>
      <c r="S149" s="224"/>
      <c r="T149" s="224"/>
      <c r="U149" s="224"/>
      <c r="V149" s="224"/>
      <c r="W149" s="224"/>
      <c r="X149" s="224"/>
      <c r="Y149" s="224"/>
      <c r="Z149" s="226"/>
      <c r="AA149" s="226"/>
      <c r="AB149" s="226"/>
      <c r="AC149" s="226"/>
      <c r="AD149" s="226"/>
      <c r="AE149" s="226"/>
      <c r="AF149" s="226"/>
      <c r="AG149" s="226" t="s">
        <v>214</v>
      </c>
      <c r="AH149" s="226"/>
      <c r="AI149" s="226"/>
      <c r="AJ149" s="226"/>
      <c r="AK149" s="226"/>
      <c r="AL149" s="226"/>
      <c r="AM149" s="226"/>
      <c r="AN149" s="226"/>
      <c r="AO149" s="226"/>
      <c r="AP149" s="226"/>
      <c r="AQ149" s="226"/>
      <c r="AR149" s="226"/>
      <c r="AS149" s="226"/>
      <c r="AT149" s="226"/>
      <c r="AU149" s="226"/>
      <c r="AV149" s="226"/>
      <c r="AW149" s="226"/>
      <c r="AX149" s="226"/>
      <c r="AY149" s="226"/>
      <c r="AZ149" s="226"/>
      <c r="BA149" s="226"/>
      <c r="BB149" s="226"/>
      <c r="BC149" s="226"/>
      <c r="BD149" s="226"/>
      <c r="BE149" s="226"/>
      <c r="BF149" s="226"/>
      <c r="BG149" s="226"/>
      <c r="BH149" s="226"/>
    </row>
    <row r="150" outlineLevel="3">
      <c r="A150" s="227"/>
      <c r="B150" s="228"/>
      <c r="C150" s="231" t="s">
        <v>510</v>
      </c>
      <c r="D150" s="232"/>
      <c r="E150" s="232"/>
      <c r="F150" s="232"/>
      <c r="G150" s="232"/>
      <c r="H150" s="224"/>
      <c r="I150" s="224"/>
      <c r="J150" s="224"/>
      <c r="K150" s="224"/>
      <c r="L150" s="224"/>
      <c r="M150" s="224"/>
      <c r="N150" s="225"/>
      <c r="O150" s="225"/>
      <c r="P150" s="225"/>
      <c r="Q150" s="225"/>
      <c r="R150" s="224"/>
      <c r="S150" s="224"/>
      <c r="T150" s="224"/>
      <c r="U150" s="224"/>
      <c r="V150" s="224"/>
      <c r="W150" s="224"/>
      <c r="X150" s="224"/>
      <c r="Y150" s="224"/>
      <c r="Z150" s="226"/>
      <c r="AA150" s="226"/>
      <c r="AB150" s="226"/>
      <c r="AC150" s="226"/>
      <c r="AD150" s="226"/>
      <c r="AE150" s="226"/>
      <c r="AF150" s="226"/>
      <c r="AG150" s="226" t="s">
        <v>214</v>
      </c>
      <c r="AH150" s="226"/>
      <c r="AI150" s="226"/>
      <c r="AJ150" s="226"/>
      <c r="AK150" s="226"/>
      <c r="AL150" s="226"/>
      <c r="AM150" s="226"/>
      <c r="AN150" s="226"/>
      <c r="AO150" s="226"/>
      <c r="AP150" s="226"/>
      <c r="AQ150" s="226"/>
      <c r="AR150" s="226"/>
      <c r="AS150" s="226"/>
      <c r="AT150" s="226"/>
      <c r="AU150" s="226"/>
      <c r="AV150" s="226"/>
      <c r="AW150" s="226"/>
      <c r="AX150" s="226"/>
      <c r="AY150" s="226"/>
      <c r="AZ150" s="226"/>
      <c r="BA150" s="226"/>
      <c r="BB150" s="226"/>
      <c r="BC150" s="226"/>
      <c r="BD150" s="226"/>
      <c r="BE150" s="226"/>
      <c r="BF150" s="226"/>
      <c r="BG150" s="226"/>
      <c r="BH150" s="226"/>
    </row>
    <row r="151" outlineLevel="3">
      <c r="A151" s="227"/>
      <c r="B151" s="228"/>
      <c r="C151" s="231" t="s">
        <v>511</v>
      </c>
      <c r="D151" s="232"/>
      <c r="E151" s="232"/>
      <c r="F151" s="232"/>
      <c r="G151" s="232"/>
      <c r="H151" s="224"/>
      <c r="I151" s="224"/>
      <c r="J151" s="224"/>
      <c r="K151" s="224"/>
      <c r="L151" s="224"/>
      <c r="M151" s="224"/>
      <c r="N151" s="225"/>
      <c r="O151" s="225"/>
      <c r="P151" s="225"/>
      <c r="Q151" s="225"/>
      <c r="R151" s="224"/>
      <c r="S151" s="224"/>
      <c r="T151" s="224"/>
      <c r="U151" s="224"/>
      <c r="V151" s="224"/>
      <c r="W151" s="224"/>
      <c r="X151" s="224"/>
      <c r="Y151" s="224"/>
      <c r="Z151" s="226"/>
      <c r="AA151" s="226"/>
      <c r="AB151" s="226"/>
      <c r="AC151" s="226"/>
      <c r="AD151" s="226"/>
      <c r="AE151" s="226"/>
      <c r="AF151" s="226"/>
      <c r="AG151" s="226" t="s">
        <v>214</v>
      </c>
      <c r="AH151" s="226"/>
      <c r="AI151" s="226"/>
      <c r="AJ151" s="226"/>
      <c r="AK151" s="226"/>
      <c r="AL151" s="226"/>
      <c r="AM151" s="226"/>
      <c r="AN151" s="226"/>
      <c r="AO151" s="226"/>
      <c r="AP151" s="226"/>
      <c r="AQ151" s="226"/>
      <c r="AR151" s="226"/>
      <c r="AS151" s="226"/>
      <c r="AT151" s="226"/>
      <c r="AU151" s="226"/>
      <c r="AV151" s="226"/>
      <c r="AW151" s="226"/>
      <c r="AX151" s="226"/>
      <c r="AY151" s="226"/>
      <c r="AZ151" s="226"/>
      <c r="BA151" s="226"/>
      <c r="BB151" s="226"/>
      <c r="BC151" s="226"/>
      <c r="BD151" s="226"/>
      <c r="BE151" s="226"/>
      <c r="BF151" s="226"/>
      <c r="BG151" s="226"/>
      <c r="BH151" s="226"/>
    </row>
    <row r="152" outlineLevel="3">
      <c r="A152" s="227"/>
      <c r="B152" s="228"/>
      <c r="C152" s="265" t="s">
        <v>505</v>
      </c>
      <c r="D152" s="266"/>
      <c r="E152" s="267"/>
      <c r="F152" s="268"/>
      <c r="G152" s="268"/>
      <c r="H152" s="224"/>
      <c r="I152" s="224"/>
      <c r="J152" s="224"/>
      <c r="K152" s="224"/>
      <c r="L152" s="224"/>
      <c r="M152" s="224"/>
      <c r="N152" s="225"/>
      <c r="O152" s="225"/>
      <c r="P152" s="225"/>
      <c r="Q152" s="225"/>
      <c r="R152" s="224"/>
      <c r="S152" s="224"/>
      <c r="T152" s="224"/>
      <c r="U152" s="224"/>
      <c r="V152" s="224"/>
      <c r="W152" s="224"/>
      <c r="X152" s="224"/>
      <c r="Y152" s="224"/>
      <c r="Z152" s="226"/>
      <c r="AA152" s="226"/>
      <c r="AB152" s="226"/>
      <c r="AC152" s="226"/>
      <c r="AD152" s="226"/>
      <c r="AE152" s="226"/>
      <c r="AF152" s="226"/>
      <c r="AG152" s="226" t="s">
        <v>214</v>
      </c>
      <c r="AH152" s="226"/>
      <c r="AI152" s="226"/>
      <c r="AJ152" s="226"/>
      <c r="AK152" s="226"/>
      <c r="AL152" s="226"/>
      <c r="AM152" s="226"/>
      <c r="AN152" s="226"/>
      <c r="AO152" s="226"/>
      <c r="AP152" s="226"/>
      <c r="AQ152" s="226"/>
      <c r="AR152" s="226"/>
      <c r="AS152" s="226"/>
      <c r="AT152" s="226"/>
      <c r="AU152" s="226"/>
      <c r="AV152" s="226"/>
      <c r="AW152" s="226"/>
      <c r="AX152" s="226"/>
      <c r="AY152" s="226"/>
      <c r="AZ152" s="226"/>
      <c r="BA152" s="226"/>
      <c r="BB152" s="226"/>
      <c r="BC152" s="226"/>
      <c r="BD152" s="226"/>
      <c r="BE152" s="226"/>
      <c r="BF152" s="226"/>
      <c r="BG152" s="226"/>
      <c r="BH152" s="226"/>
    </row>
    <row r="153" outlineLevel="3">
      <c r="A153" s="227"/>
      <c r="B153" s="228"/>
      <c r="C153" s="231" t="s">
        <v>512</v>
      </c>
      <c r="D153" s="232"/>
      <c r="E153" s="232"/>
      <c r="F153" s="232"/>
      <c r="G153" s="232"/>
      <c r="H153" s="224"/>
      <c r="I153" s="224"/>
      <c r="J153" s="224"/>
      <c r="K153" s="224"/>
      <c r="L153" s="224"/>
      <c r="M153" s="224"/>
      <c r="N153" s="225"/>
      <c r="O153" s="225"/>
      <c r="P153" s="225"/>
      <c r="Q153" s="225"/>
      <c r="R153" s="224"/>
      <c r="S153" s="224"/>
      <c r="T153" s="224"/>
      <c r="U153" s="224"/>
      <c r="V153" s="224"/>
      <c r="W153" s="224"/>
      <c r="X153" s="224"/>
      <c r="Y153" s="224"/>
      <c r="Z153" s="226"/>
      <c r="AA153" s="226"/>
      <c r="AB153" s="226"/>
      <c r="AC153" s="226"/>
      <c r="AD153" s="226"/>
      <c r="AE153" s="226"/>
      <c r="AF153" s="226"/>
      <c r="AG153" s="226" t="s">
        <v>214</v>
      </c>
      <c r="AH153" s="226"/>
      <c r="AI153" s="226"/>
      <c r="AJ153" s="226"/>
      <c r="AK153" s="226"/>
      <c r="AL153" s="226"/>
      <c r="AM153" s="226"/>
      <c r="AN153" s="226"/>
      <c r="AO153" s="226"/>
      <c r="AP153" s="226"/>
      <c r="AQ153" s="226"/>
      <c r="AR153" s="226"/>
      <c r="AS153" s="226"/>
      <c r="AT153" s="226"/>
      <c r="AU153" s="226"/>
      <c r="AV153" s="226"/>
      <c r="AW153" s="226"/>
      <c r="AX153" s="226"/>
      <c r="AY153" s="226"/>
      <c r="AZ153" s="226"/>
      <c r="BA153" s="226"/>
      <c r="BB153" s="226"/>
      <c r="BC153" s="226"/>
      <c r="BD153" s="226"/>
      <c r="BE153" s="226"/>
      <c r="BF153" s="226"/>
      <c r="BG153" s="226"/>
      <c r="BH153" s="226"/>
    </row>
    <row r="154" outlineLevel="3">
      <c r="A154" s="227"/>
      <c r="B154" s="228"/>
      <c r="C154" s="265" t="s">
        <v>505</v>
      </c>
      <c r="D154" s="266"/>
      <c r="E154" s="267"/>
      <c r="F154" s="268"/>
      <c r="G154" s="268"/>
      <c r="H154" s="224"/>
      <c r="I154" s="224"/>
      <c r="J154" s="224"/>
      <c r="K154" s="224"/>
      <c r="L154" s="224"/>
      <c r="M154" s="224"/>
      <c r="N154" s="225"/>
      <c r="O154" s="225"/>
      <c r="P154" s="225"/>
      <c r="Q154" s="225"/>
      <c r="R154" s="224"/>
      <c r="S154" s="224"/>
      <c r="T154" s="224"/>
      <c r="U154" s="224"/>
      <c r="V154" s="224"/>
      <c r="W154" s="224"/>
      <c r="X154" s="224"/>
      <c r="Y154" s="224"/>
      <c r="Z154" s="226"/>
      <c r="AA154" s="226"/>
      <c r="AB154" s="226"/>
      <c r="AC154" s="226"/>
      <c r="AD154" s="226"/>
      <c r="AE154" s="226"/>
      <c r="AF154" s="226"/>
      <c r="AG154" s="226" t="s">
        <v>214</v>
      </c>
      <c r="AH154" s="226"/>
      <c r="AI154" s="226"/>
      <c r="AJ154" s="226"/>
      <c r="AK154" s="226"/>
      <c r="AL154" s="226"/>
      <c r="AM154" s="226"/>
      <c r="AN154" s="226"/>
      <c r="AO154" s="226"/>
      <c r="AP154" s="226"/>
      <c r="AQ154" s="226"/>
      <c r="AR154" s="226"/>
      <c r="AS154" s="226"/>
      <c r="AT154" s="226"/>
      <c r="AU154" s="226"/>
      <c r="AV154" s="226"/>
      <c r="AW154" s="226"/>
      <c r="AX154" s="226"/>
      <c r="AY154" s="226"/>
      <c r="AZ154" s="226"/>
      <c r="BA154" s="226"/>
      <c r="BB154" s="226"/>
      <c r="BC154" s="226"/>
      <c r="BD154" s="226"/>
      <c r="BE154" s="226"/>
      <c r="BF154" s="226"/>
      <c r="BG154" s="226"/>
      <c r="BH154" s="226"/>
    </row>
    <row r="155" outlineLevel="3" ht="22.5">
      <c r="A155" s="227"/>
      <c r="B155" s="228"/>
      <c r="C155" s="231" t="s">
        <v>513</v>
      </c>
      <c r="D155" s="232"/>
      <c r="E155" s="232"/>
      <c r="F155" s="232"/>
      <c r="G155" s="232"/>
      <c r="H155" s="224"/>
      <c r="I155" s="224"/>
      <c r="J155" s="224"/>
      <c r="K155" s="224"/>
      <c r="L155" s="224"/>
      <c r="M155" s="224"/>
      <c r="N155" s="225"/>
      <c r="O155" s="225"/>
      <c r="P155" s="225"/>
      <c r="Q155" s="225"/>
      <c r="R155" s="224"/>
      <c r="S155" s="224"/>
      <c r="T155" s="224"/>
      <c r="U155" s="224"/>
      <c r="V155" s="224"/>
      <c r="W155" s="224"/>
      <c r="X155" s="224"/>
      <c r="Y155" s="224"/>
      <c r="Z155" s="226"/>
      <c r="AA155" s="226"/>
      <c r="AB155" s="226"/>
      <c r="AC155" s="226"/>
      <c r="AD155" s="226"/>
      <c r="AE155" s="226"/>
      <c r="AF155" s="226"/>
      <c r="AG155" s="226" t="s">
        <v>214</v>
      </c>
      <c r="AH155" s="226"/>
      <c r="AI155" s="226"/>
      <c r="AJ155" s="226"/>
      <c r="AK155" s="226"/>
      <c r="AL155" s="226"/>
      <c r="AM155" s="226"/>
      <c r="AN155" s="226"/>
      <c r="AO155" s="226"/>
      <c r="AP155" s="226"/>
      <c r="AQ155" s="226"/>
      <c r="AR155" s="226"/>
      <c r="AS155" s="226"/>
      <c r="AT155" s="226"/>
      <c r="AU155" s="226"/>
      <c r="AV155" s="226"/>
      <c r="AW155" s="226"/>
      <c r="AX155" s="226"/>
      <c r="AY155" s="226"/>
      <c r="AZ155" s="226"/>
      <c r="BA155" s="236" t="str">
        <f>C155</f>
        <v>- dodání dílce požadovaného tvaru a vlastností, jeho skladování, doprava a osazení do definitivní polohy, včetně komplexní technologie výroby a montáže dílců, ošetření a ochrana dílců,</v>
      </c>
      <c r="BB155" s="226"/>
      <c r="BC155" s="226"/>
      <c r="BD155" s="226"/>
      <c r="BE155" s="226"/>
      <c r="BF155" s="226"/>
      <c r="BG155" s="226"/>
      <c r="BH155" s="226"/>
    </row>
    <row r="156" outlineLevel="3">
      <c r="A156" s="227"/>
      <c r="B156" s="228"/>
      <c r="C156" s="231" t="s">
        <v>514</v>
      </c>
      <c r="D156" s="232"/>
      <c r="E156" s="232"/>
      <c r="F156" s="232"/>
      <c r="G156" s="232"/>
      <c r="H156" s="224"/>
      <c r="I156" s="224"/>
      <c r="J156" s="224"/>
      <c r="K156" s="224"/>
      <c r="L156" s="224"/>
      <c r="M156" s="224"/>
      <c r="N156" s="225"/>
      <c r="O156" s="225"/>
      <c r="P156" s="225"/>
      <c r="Q156" s="225"/>
      <c r="R156" s="224"/>
      <c r="S156" s="224"/>
      <c r="T156" s="224"/>
      <c r="U156" s="224"/>
      <c r="V156" s="224"/>
      <c r="W156" s="224"/>
      <c r="X156" s="224"/>
      <c r="Y156" s="224"/>
      <c r="Z156" s="226"/>
      <c r="AA156" s="226"/>
      <c r="AB156" s="226"/>
      <c r="AC156" s="226"/>
      <c r="AD156" s="226"/>
      <c r="AE156" s="226"/>
      <c r="AF156" s="226"/>
      <c r="AG156" s="226" t="s">
        <v>214</v>
      </c>
      <c r="AH156" s="226"/>
      <c r="AI156" s="226"/>
      <c r="AJ156" s="226"/>
      <c r="AK156" s="226"/>
      <c r="AL156" s="226"/>
      <c r="AM156" s="226"/>
      <c r="AN156" s="226"/>
      <c r="AO156" s="226"/>
      <c r="AP156" s="226"/>
      <c r="AQ156" s="226"/>
      <c r="AR156" s="226"/>
      <c r="AS156" s="226"/>
      <c r="AT156" s="226"/>
      <c r="AU156" s="226"/>
      <c r="AV156" s="226"/>
      <c r="AW156" s="226"/>
      <c r="AX156" s="226"/>
      <c r="AY156" s="226"/>
      <c r="AZ156" s="226"/>
      <c r="BA156" s="226"/>
      <c r="BB156" s="226"/>
      <c r="BC156" s="226"/>
      <c r="BD156" s="226"/>
      <c r="BE156" s="226"/>
      <c r="BF156" s="226"/>
      <c r="BG156" s="226"/>
      <c r="BH156" s="226"/>
    </row>
    <row r="157" outlineLevel="3">
      <c r="A157" s="227"/>
      <c r="B157" s="228"/>
      <c r="C157" s="231" t="s">
        <v>515</v>
      </c>
      <c r="D157" s="232"/>
      <c r="E157" s="232"/>
      <c r="F157" s="232"/>
      <c r="G157" s="232"/>
      <c r="H157" s="224"/>
      <c r="I157" s="224"/>
      <c r="J157" s="224"/>
      <c r="K157" s="224"/>
      <c r="L157" s="224"/>
      <c r="M157" s="224"/>
      <c r="N157" s="225"/>
      <c r="O157" s="225"/>
      <c r="P157" s="225"/>
      <c r="Q157" s="225"/>
      <c r="R157" s="224"/>
      <c r="S157" s="224"/>
      <c r="T157" s="224"/>
      <c r="U157" s="224"/>
      <c r="V157" s="224"/>
      <c r="W157" s="224"/>
      <c r="X157" s="224"/>
      <c r="Y157" s="224"/>
      <c r="Z157" s="226"/>
      <c r="AA157" s="226"/>
      <c r="AB157" s="226"/>
      <c r="AC157" s="226"/>
      <c r="AD157" s="226"/>
      <c r="AE157" s="226"/>
      <c r="AF157" s="226"/>
      <c r="AG157" s="226" t="s">
        <v>214</v>
      </c>
      <c r="AH157" s="226"/>
      <c r="AI157" s="226"/>
      <c r="AJ157" s="226"/>
      <c r="AK157" s="226"/>
      <c r="AL157" s="226"/>
      <c r="AM157" s="226"/>
      <c r="AN157" s="226"/>
      <c r="AO157" s="226"/>
      <c r="AP157" s="226"/>
      <c r="AQ157" s="226"/>
      <c r="AR157" s="226"/>
      <c r="AS157" s="226"/>
      <c r="AT157" s="226"/>
      <c r="AU157" s="226"/>
      <c r="AV157" s="226"/>
      <c r="AW157" s="226"/>
      <c r="AX157" s="226"/>
      <c r="AY157" s="226"/>
      <c r="AZ157" s="226"/>
      <c r="BA157" s="226"/>
      <c r="BB157" s="226"/>
      <c r="BC157" s="226"/>
      <c r="BD157" s="226"/>
      <c r="BE157" s="226"/>
      <c r="BF157" s="226"/>
      <c r="BG157" s="226"/>
      <c r="BH157" s="226"/>
    </row>
    <row r="158" outlineLevel="3">
      <c r="A158" s="227"/>
      <c r="B158" s="228"/>
      <c r="C158" s="231" t="s">
        <v>516</v>
      </c>
      <c r="D158" s="232"/>
      <c r="E158" s="232"/>
      <c r="F158" s="232"/>
      <c r="G158" s="232"/>
      <c r="H158" s="224"/>
      <c r="I158" s="224"/>
      <c r="J158" s="224"/>
      <c r="K158" s="224"/>
      <c r="L158" s="224"/>
      <c r="M158" s="224"/>
      <c r="N158" s="225"/>
      <c r="O158" s="225"/>
      <c r="P158" s="225"/>
      <c r="Q158" s="225"/>
      <c r="R158" s="224"/>
      <c r="S158" s="224"/>
      <c r="T158" s="224"/>
      <c r="U158" s="224"/>
      <c r="V158" s="224"/>
      <c r="W158" s="224"/>
      <c r="X158" s="224"/>
      <c r="Y158" s="224"/>
      <c r="Z158" s="226"/>
      <c r="AA158" s="226"/>
      <c r="AB158" s="226"/>
      <c r="AC158" s="226"/>
      <c r="AD158" s="226"/>
      <c r="AE158" s="226"/>
      <c r="AF158" s="226"/>
      <c r="AG158" s="226" t="s">
        <v>214</v>
      </c>
      <c r="AH158" s="226"/>
      <c r="AI158" s="226"/>
      <c r="AJ158" s="226"/>
      <c r="AK158" s="226"/>
      <c r="AL158" s="226"/>
      <c r="AM158" s="226"/>
      <c r="AN158" s="226"/>
      <c r="AO158" s="226"/>
      <c r="AP158" s="226"/>
      <c r="AQ158" s="226"/>
      <c r="AR158" s="226"/>
      <c r="AS158" s="226"/>
      <c r="AT158" s="226"/>
      <c r="AU158" s="226"/>
      <c r="AV158" s="226"/>
      <c r="AW158" s="226"/>
      <c r="AX158" s="226"/>
      <c r="AY158" s="226"/>
      <c r="AZ158" s="226"/>
      <c r="BA158" s="226"/>
      <c r="BB158" s="226"/>
      <c r="BC158" s="226"/>
      <c r="BD158" s="226"/>
      <c r="BE158" s="226"/>
      <c r="BF158" s="226"/>
      <c r="BG158" s="226"/>
      <c r="BH158" s="226"/>
    </row>
    <row r="159" outlineLevel="3">
      <c r="A159" s="227"/>
      <c r="B159" s="228"/>
      <c r="C159" s="231" t="s">
        <v>517</v>
      </c>
      <c r="D159" s="232"/>
      <c r="E159" s="232"/>
      <c r="F159" s="232"/>
      <c r="G159" s="232"/>
      <c r="H159" s="224"/>
      <c r="I159" s="224"/>
      <c r="J159" s="224"/>
      <c r="K159" s="224"/>
      <c r="L159" s="224"/>
      <c r="M159" s="224"/>
      <c r="N159" s="225"/>
      <c r="O159" s="225"/>
      <c r="P159" s="225"/>
      <c r="Q159" s="225"/>
      <c r="R159" s="224"/>
      <c r="S159" s="224"/>
      <c r="T159" s="224"/>
      <c r="U159" s="224"/>
      <c r="V159" s="224"/>
      <c r="W159" s="224"/>
      <c r="X159" s="224"/>
      <c r="Y159" s="224"/>
      <c r="Z159" s="226"/>
      <c r="AA159" s="226"/>
      <c r="AB159" s="226"/>
      <c r="AC159" s="226"/>
      <c r="AD159" s="226"/>
      <c r="AE159" s="226"/>
      <c r="AF159" s="226"/>
      <c r="AG159" s="226" t="s">
        <v>214</v>
      </c>
      <c r="AH159" s="226"/>
      <c r="AI159" s="226"/>
      <c r="AJ159" s="226"/>
      <c r="AK159" s="226"/>
      <c r="AL159" s="226"/>
      <c r="AM159" s="226"/>
      <c r="AN159" s="226"/>
      <c r="AO159" s="226"/>
      <c r="AP159" s="226"/>
      <c r="AQ159" s="226"/>
      <c r="AR159" s="226"/>
      <c r="AS159" s="226"/>
      <c r="AT159" s="226"/>
      <c r="AU159" s="226"/>
      <c r="AV159" s="226"/>
      <c r="AW159" s="226"/>
      <c r="AX159" s="226"/>
      <c r="AY159" s="226"/>
      <c r="AZ159" s="226"/>
      <c r="BA159" s="226"/>
      <c r="BB159" s="226"/>
      <c r="BC159" s="226"/>
      <c r="BD159" s="226"/>
      <c r="BE159" s="226"/>
      <c r="BF159" s="226"/>
      <c r="BG159" s="226"/>
      <c r="BH159" s="226"/>
    </row>
    <row r="160" outlineLevel="3">
      <c r="A160" s="227"/>
      <c r="B160" s="228"/>
      <c r="C160" s="231" t="s">
        <v>518</v>
      </c>
      <c r="D160" s="232"/>
      <c r="E160" s="232"/>
      <c r="F160" s="232"/>
      <c r="G160" s="232"/>
      <c r="H160" s="224"/>
      <c r="I160" s="224"/>
      <c r="J160" s="224"/>
      <c r="K160" s="224"/>
      <c r="L160" s="224"/>
      <c r="M160" s="224"/>
      <c r="N160" s="225"/>
      <c r="O160" s="225"/>
      <c r="P160" s="225"/>
      <c r="Q160" s="225"/>
      <c r="R160" s="224"/>
      <c r="S160" s="224"/>
      <c r="T160" s="224"/>
      <c r="U160" s="224"/>
      <c r="V160" s="224"/>
      <c r="W160" s="224"/>
      <c r="X160" s="224"/>
      <c r="Y160" s="224"/>
      <c r="Z160" s="226"/>
      <c r="AA160" s="226"/>
      <c r="AB160" s="226"/>
      <c r="AC160" s="226"/>
      <c r="AD160" s="226"/>
      <c r="AE160" s="226"/>
      <c r="AF160" s="226"/>
      <c r="AG160" s="226" t="s">
        <v>214</v>
      </c>
      <c r="AH160" s="226"/>
      <c r="AI160" s="226"/>
      <c r="AJ160" s="226"/>
      <c r="AK160" s="226"/>
      <c r="AL160" s="226"/>
      <c r="AM160" s="226"/>
      <c r="AN160" s="226"/>
      <c r="AO160" s="226"/>
      <c r="AP160" s="226"/>
      <c r="AQ160" s="226"/>
      <c r="AR160" s="226"/>
      <c r="AS160" s="226"/>
      <c r="AT160" s="226"/>
      <c r="AU160" s="226"/>
      <c r="AV160" s="226"/>
      <c r="AW160" s="226"/>
      <c r="AX160" s="226"/>
      <c r="AY160" s="226"/>
      <c r="AZ160" s="226"/>
      <c r="BA160" s="226"/>
      <c r="BB160" s="226"/>
      <c r="BC160" s="226"/>
      <c r="BD160" s="226"/>
      <c r="BE160" s="226"/>
      <c r="BF160" s="226"/>
      <c r="BG160" s="226"/>
      <c r="BH160" s="226"/>
    </row>
    <row r="161" outlineLevel="3">
      <c r="A161" s="227"/>
      <c r="B161" s="228"/>
      <c r="C161" s="231" t="s">
        <v>519</v>
      </c>
      <c r="D161" s="232"/>
      <c r="E161" s="232"/>
      <c r="F161" s="232"/>
      <c r="G161" s="232"/>
      <c r="H161" s="224"/>
      <c r="I161" s="224"/>
      <c r="J161" s="224"/>
      <c r="K161" s="224"/>
      <c r="L161" s="224"/>
      <c r="M161" s="224"/>
      <c r="N161" s="225"/>
      <c r="O161" s="225"/>
      <c r="P161" s="225"/>
      <c r="Q161" s="225"/>
      <c r="R161" s="224"/>
      <c r="S161" s="224"/>
      <c r="T161" s="224"/>
      <c r="U161" s="224"/>
      <c r="V161" s="224"/>
      <c r="W161" s="224"/>
      <c r="X161" s="224"/>
      <c r="Y161" s="224"/>
      <c r="Z161" s="226"/>
      <c r="AA161" s="226"/>
      <c r="AB161" s="226"/>
      <c r="AC161" s="226"/>
      <c r="AD161" s="226"/>
      <c r="AE161" s="226"/>
      <c r="AF161" s="226"/>
      <c r="AG161" s="226" t="s">
        <v>214</v>
      </c>
      <c r="AH161" s="226"/>
      <c r="AI161" s="226"/>
      <c r="AJ161" s="226"/>
      <c r="AK161" s="226"/>
      <c r="AL161" s="226"/>
      <c r="AM161" s="226"/>
      <c r="AN161" s="226"/>
      <c r="AO161" s="226"/>
      <c r="AP161" s="226"/>
      <c r="AQ161" s="226"/>
      <c r="AR161" s="226"/>
      <c r="AS161" s="226"/>
      <c r="AT161" s="226"/>
      <c r="AU161" s="226"/>
      <c r="AV161" s="226"/>
      <c r="AW161" s="226"/>
      <c r="AX161" s="226"/>
      <c r="AY161" s="226"/>
      <c r="AZ161" s="226"/>
      <c r="BA161" s="226"/>
      <c r="BB161" s="226"/>
      <c r="BC161" s="226"/>
      <c r="BD161" s="226"/>
      <c r="BE161" s="226"/>
      <c r="BF161" s="226"/>
      <c r="BG161" s="226"/>
      <c r="BH161" s="226"/>
    </row>
    <row r="162" outlineLevel="3">
      <c r="A162" s="227"/>
      <c r="B162" s="228"/>
      <c r="C162" s="231" t="s">
        <v>520</v>
      </c>
      <c r="D162" s="232"/>
      <c r="E162" s="232"/>
      <c r="F162" s="232"/>
      <c r="G162" s="232"/>
      <c r="H162" s="224"/>
      <c r="I162" s="224"/>
      <c r="J162" s="224"/>
      <c r="K162" s="224"/>
      <c r="L162" s="224"/>
      <c r="M162" s="224"/>
      <c r="N162" s="225"/>
      <c r="O162" s="225"/>
      <c r="P162" s="225"/>
      <c r="Q162" s="225"/>
      <c r="R162" s="224"/>
      <c r="S162" s="224"/>
      <c r="T162" s="224"/>
      <c r="U162" s="224"/>
      <c r="V162" s="224"/>
      <c r="W162" s="224"/>
      <c r="X162" s="224"/>
      <c r="Y162" s="224"/>
      <c r="Z162" s="226"/>
      <c r="AA162" s="226"/>
      <c r="AB162" s="226"/>
      <c r="AC162" s="226"/>
      <c r="AD162" s="226"/>
      <c r="AE162" s="226"/>
      <c r="AF162" s="226"/>
      <c r="AG162" s="226" t="s">
        <v>214</v>
      </c>
      <c r="AH162" s="226"/>
      <c r="AI162" s="226"/>
      <c r="AJ162" s="226"/>
      <c r="AK162" s="226"/>
      <c r="AL162" s="226"/>
      <c r="AM162" s="226"/>
      <c r="AN162" s="226"/>
      <c r="AO162" s="226"/>
      <c r="AP162" s="226"/>
      <c r="AQ162" s="226"/>
      <c r="AR162" s="226"/>
      <c r="AS162" s="226"/>
      <c r="AT162" s="226"/>
      <c r="AU162" s="226"/>
      <c r="AV162" s="226"/>
      <c r="AW162" s="226"/>
      <c r="AX162" s="226"/>
      <c r="AY162" s="226"/>
      <c r="AZ162" s="226"/>
      <c r="BA162" s="226"/>
      <c r="BB162" s="226"/>
      <c r="BC162" s="226"/>
      <c r="BD162" s="226"/>
      <c r="BE162" s="226"/>
      <c r="BF162" s="226"/>
      <c r="BG162" s="226"/>
      <c r="BH162" s="226"/>
    </row>
    <row r="163" outlineLevel="3">
      <c r="A163" s="227"/>
      <c r="B163" s="228"/>
      <c r="C163" s="231" t="s">
        <v>521</v>
      </c>
      <c r="D163" s="232"/>
      <c r="E163" s="232"/>
      <c r="F163" s="232"/>
      <c r="G163" s="232"/>
      <c r="H163" s="224"/>
      <c r="I163" s="224"/>
      <c r="J163" s="224"/>
      <c r="K163" s="224"/>
      <c r="L163" s="224"/>
      <c r="M163" s="224"/>
      <c r="N163" s="225"/>
      <c r="O163" s="225"/>
      <c r="P163" s="225"/>
      <c r="Q163" s="225"/>
      <c r="R163" s="224"/>
      <c r="S163" s="224"/>
      <c r="T163" s="224"/>
      <c r="U163" s="224"/>
      <c r="V163" s="224"/>
      <c r="W163" s="224"/>
      <c r="X163" s="224"/>
      <c r="Y163" s="224"/>
      <c r="Z163" s="226"/>
      <c r="AA163" s="226"/>
      <c r="AB163" s="226"/>
      <c r="AC163" s="226"/>
      <c r="AD163" s="226"/>
      <c r="AE163" s="226"/>
      <c r="AF163" s="226"/>
      <c r="AG163" s="226" t="s">
        <v>214</v>
      </c>
      <c r="AH163" s="226"/>
      <c r="AI163" s="226"/>
      <c r="AJ163" s="226"/>
      <c r="AK163" s="226"/>
      <c r="AL163" s="226"/>
      <c r="AM163" s="226"/>
      <c r="AN163" s="226"/>
      <c r="AO163" s="226"/>
      <c r="AP163" s="226"/>
      <c r="AQ163" s="226"/>
      <c r="AR163" s="226"/>
      <c r="AS163" s="226"/>
      <c r="AT163" s="226"/>
      <c r="AU163" s="226"/>
      <c r="AV163" s="226"/>
      <c r="AW163" s="226"/>
      <c r="AX163" s="226"/>
      <c r="AY163" s="226"/>
      <c r="AZ163" s="226"/>
      <c r="BA163" s="226"/>
      <c r="BB163" s="226"/>
      <c r="BC163" s="226"/>
      <c r="BD163" s="226"/>
      <c r="BE163" s="226"/>
      <c r="BF163" s="226"/>
      <c r="BG163" s="226"/>
      <c r="BH163" s="226"/>
    </row>
    <row r="164" outlineLevel="3" ht="22.5">
      <c r="A164" s="227"/>
      <c r="B164" s="228"/>
      <c r="C164" s="231" t="s">
        <v>522</v>
      </c>
      <c r="D164" s="232"/>
      <c r="E164" s="232"/>
      <c r="F164" s="232"/>
      <c r="G164" s="232"/>
      <c r="H164" s="224"/>
      <c r="I164" s="224"/>
      <c r="J164" s="224"/>
      <c r="K164" s="224"/>
      <c r="L164" s="224"/>
      <c r="M164" s="224"/>
      <c r="N164" s="225"/>
      <c r="O164" s="225"/>
      <c r="P164" s="225"/>
      <c r="Q164" s="225"/>
      <c r="R164" s="224"/>
      <c r="S164" s="224"/>
      <c r="T164" s="224"/>
      <c r="U164" s="224"/>
      <c r="V164" s="224"/>
      <c r="W164" s="224"/>
      <c r="X164" s="224"/>
      <c r="Y164" s="224"/>
      <c r="Z164" s="226"/>
      <c r="AA164" s="226"/>
      <c r="AB164" s="226"/>
      <c r="AC164" s="226"/>
      <c r="AD164" s="226"/>
      <c r="AE164" s="226"/>
      <c r="AF164" s="226"/>
      <c r="AG164" s="226" t="s">
        <v>214</v>
      </c>
      <c r="AH164" s="226"/>
      <c r="AI164" s="226"/>
      <c r="AJ164" s="226"/>
      <c r="AK164" s="226"/>
      <c r="AL164" s="226"/>
      <c r="AM164" s="226"/>
      <c r="AN164" s="226"/>
      <c r="AO164" s="226"/>
      <c r="AP164" s="226"/>
      <c r="AQ164" s="226"/>
      <c r="AR164" s="226"/>
      <c r="AS164" s="226"/>
      <c r="AT164" s="226"/>
      <c r="AU164" s="226"/>
      <c r="AV164" s="226"/>
      <c r="AW164" s="226"/>
      <c r="AX164" s="226"/>
      <c r="AY164" s="226"/>
      <c r="AZ164" s="226"/>
      <c r="BA164" s="236" t="str">
        <f>C164</f>
        <v>- další práce dané případně specifikací k příslušnému dílci (úprava pohledových ploch, příp. rubových ploch, osazení měřících zařízení, zkoušení a měření dílců a pod.).</v>
      </c>
      <c r="BB164" s="226"/>
      <c r="BC164" s="226"/>
      <c r="BD164" s="226"/>
      <c r="BE164" s="226"/>
      <c r="BF164" s="226"/>
      <c r="BG164" s="226"/>
      <c r="BH164" s="226"/>
    </row>
    <row r="165" outlineLevel="3" ht="22.5">
      <c r="A165" s="227"/>
      <c r="B165" s="228"/>
      <c r="C165" s="231" t="s">
        <v>523</v>
      </c>
      <c r="D165" s="232"/>
      <c r="E165" s="232"/>
      <c r="F165" s="232"/>
      <c r="G165" s="232"/>
      <c r="H165" s="224"/>
      <c r="I165" s="224"/>
      <c r="J165" s="224"/>
      <c r="K165" s="224"/>
      <c r="L165" s="224"/>
      <c r="M165" s="224"/>
      <c r="N165" s="225"/>
      <c r="O165" s="225"/>
      <c r="P165" s="225"/>
      <c r="Q165" s="225"/>
      <c r="R165" s="224"/>
      <c r="S165" s="224"/>
      <c r="T165" s="224"/>
      <c r="U165" s="224"/>
      <c r="V165" s="224"/>
      <c r="W165" s="224"/>
      <c r="X165" s="224"/>
      <c r="Y165" s="224"/>
      <c r="Z165" s="226"/>
      <c r="AA165" s="226"/>
      <c r="AB165" s="226"/>
      <c r="AC165" s="226"/>
      <c r="AD165" s="226"/>
      <c r="AE165" s="226"/>
      <c r="AF165" s="226"/>
      <c r="AG165" s="226" t="s">
        <v>214</v>
      </c>
      <c r="AH165" s="226"/>
      <c r="AI165" s="226"/>
      <c r="AJ165" s="226"/>
      <c r="AK165" s="226"/>
      <c r="AL165" s="226"/>
      <c r="AM165" s="226"/>
      <c r="AN165" s="226"/>
      <c r="AO165" s="226"/>
      <c r="AP165" s="226"/>
      <c r="AQ165" s="226"/>
      <c r="AR165" s="226"/>
      <c r="AS165" s="226"/>
      <c r="AT165" s="226"/>
      <c r="AU165" s="226"/>
      <c r="AV165" s="226"/>
      <c r="AW165" s="226"/>
      <c r="AX165" s="226"/>
      <c r="AY165" s="226"/>
      <c r="AZ165" s="226"/>
      <c r="BA165" s="236" t="str">
        <f>C165</f>
        <v xml:space="preserve">- dodání  materiálu  v požadované kvalitě a výroba konstrukce i dílenská (včetně  pomůcek,  přípravků a prostředků pro výrobu) bez ohledu na náročnost a její hmotnost, dílenská montáž,</v>
      </c>
      <c r="BB165" s="226"/>
      <c r="BC165" s="226"/>
      <c r="BD165" s="226"/>
      <c r="BE165" s="226"/>
      <c r="BF165" s="226"/>
      <c r="BG165" s="226"/>
      <c r="BH165" s="226"/>
    </row>
    <row r="166" outlineLevel="3">
      <c r="A166" s="227"/>
      <c r="B166" s="228"/>
      <c r="C166" s="231" t="s">
        <v>524</v>
      </c>
      <c r="D166" s="232"/>
      <c r="E166" s="232"/>
      <c r="F166" s="232"/>
      <c r="G166" s="232"/>
      <c r="H166" s="224"/>
      <c r="I166" s="224"/>
      <c r="J166" s="224"/>
      <c r="K166" s="224"/>
      <c r="L166" s="224"/>
      <c r="M166" s="224"/>
      <c r="N166" s="225"/>
      <c r="O166" s="225"/>
      <c r="P166" s="225"/>
      <c r="Q166" s="225"/>
      <c r="R166" s="224"/>
      <c r="S166" s="224"/>
      <c r="T166" s="224"/>
      <c r="U166" s="224"/>
      <c r="V166" s="224"/>
      <c r="W166" s="224"/>
      <c r="X166" s="224"/>
      <c r="Y166" s="224"/>
      <c r="Z166" s="226"/>
      <c r="AA166" s="226"/>
      <c r="AB166" s="226"/>
      <c r="AC166" s="226"/>
      <c r="AD166" s="226"/>
      <c r="AE166" s="226"/>
      <c r="AF166" s="226"/>
      <c r="AG166" s="226" t="s">
        <v>214</v>
      </c>
      <c r="AH166" s="226"/>
      <c r="AI166" s="226"/>
      <c r="AJ166" s="226"/>
      <c r="AK166" s="226"/>
      <c r="AL166" s="226"/>
      <c r="AM166" s="226"/>
      <c r="AN166" s="226"/>
      <c r="AO166" s="226"/>
      <c r="AP166" s="226"/>
      <c r="AQ166" s="226"/>
      <c r="AR166" s="226"/>
      <c r="AS166" s="226"/>
      <c r="AT166" s="226"/>
      <c r="AU166" s="226"/>
      <c r="AV166" s="226"/>
      <c r="AW166" s="226"/>
      <c r="AX166" s="226"/>
      <c r="AY166" s="226"/>
      <c r="AZ166" s="226"/>
      <c r="BA166" s="226"/>
      <c r="BB166" s="226"/>
      <c r="BC166" s="226"/>
      <c r="BD166" s="226"/>
      <c r="BE166" s="226"/>
      <c r="BF166" s="226"/>
      <c r="BG166" s="226"/>
      <c r="BH166" s="226"/>
    </row>
    <row r="167" outlineLevel="3" ht="22.5">
      <c r="A167" s="227"/>
      <c r="B167" s="228"/>
      <c r="C167" s="231" t="s">
        <v>525</v>
      </c>
      <c r="D167" s="232"/>
      <c r="E167" s="232"/>
      <c r="F167" s="232"/>
      <c r="G167" s="232"/>
      <c r="H167" s="224"/>
      <c r="I167" s="224"/>
      <c r="J167" s="224"/>
      <c r="K167" s="224"/>
      <c r="L167" s="224"/>
      <c r="M167" s="224"/>
      <c r="N167" s="225"/>
      <c r="O167" s="225"/>
      <c r="P167" s="225"/>
      <c r="Q167" s="225"/>
      <c r="R167" s="224"/>
      <c r="S167" s="224"/>
      <c r="T167" s="224"/>
      <c r="U167" s="224"/>
      <c r="V167" s="224"/>
      <c r="W167" s="224"/>
      <c r="X167" s="224"/>
      <c r="Y167" s="224"/>
      <c r="Z167" s="226"/>
      <c r="AA167" s="226"/>
      <c r="AB167" s="226"/>
      <c r="AC167" s="226"/>
      <c r="AD167" s="226"/>
      <c r="AE167" s="226"/>
      <c r="AF167" s="226"/>
      <c r="AG167" s="226" t="s">
        <v>214</v>
      </c>
      <c r="AH167" s="226"/>
      <c r="AI167" s="226"/>
      <c r="AJ167" s="226"/>
      <c r="AK167" s="226"/>
      <c r="AL167" s="226"/>
      <c r="AM167" s="226"/>
      <c r="AN167" s="226"/>
      <c r="AO167" s="226"/>
      <c r="AP167" s="226"/>
      <c r="AQ167" s="226"/>
      <c r="AR167" s="226"/>
      <c r="AS167" s="226"/>
      <c r="AT167" s="226"/>
      <c r="AU167" s="226"/>
      <c r="AV167" s="226"/>
      <c r="AW167" s="226"/>
      <c r="AX167" s="226"/>
      <c r="AY167" s="226"/>
      <c r="AZ167" s="226"/>
      <c r="BA167" s="236" t="str">
        <f>C167</f>
        <v xml:space="preserve">- zřízení  montážních  a  dilatačních  spojů,  spar, včetně potřebných úprav, vložek, opracování, očištění a ošetření,</v>
      </c>
      <c r="BB167" s="226"/>
      <c r="BC167" s="226"/>
      <c r="BD167" s="226"/>
      <c r="BE167" s="226"/>
      <c r="BF167" s="226"/>
      <c r="BG167" s="226"/>
      <c r="BH167" s="226"/>
    </row>
    <row r="168" outlineLevel="3" ht="22.5">
      <c r="A168" s="227"/>
      <c r="B168" s="228"/>
      <c r="C168" s="231" t="s">
        <v>526</v>
      </c>
      <c r="D168" s="232"/>
      <c r="E168" s="232"/>
      <c r="F168" s="232"/>
      <c r="G168" s="232"/>
      <c r="H168" s="224"/>
      <c r="I168" s="224"/>
      <c r="J168" s="224"/>
      <c r="K168" s="224"/>
      <c r="L168" s="224"/>
      <c r="M168" s="224"/>
      <c r="N168" s="225"/>
      <c r="O168" s="225"/>
      <c r="P168" s="225"/>
      <c r="Q168" s="225"/>
      <c r="R168" s="224"/>
      <c r="S168" s="224"/>
      <c r="T168" s="224"/>
      <c r="U168" s="224"/>
      <c r="V168" s="224"/>
      <c r="W168" s="224"/>
      <c r="X168" s="224"/>
      <c r="Y168" s="224"/>
      <c r="Z168" s="226"/>
      <c r="AA168" s="226"/>
      <c r="AB168" s="226"/>
      <c r="AC168" s="226"/>
      <c r="AD168" s="226"/>
      <c r="AE168" s="226"/>
      <c r="AF168" s="226"/>
      <c r="AG168" s="226" t="s">
        <v>214</v>
      </c>
      <c r="AH168" s="226"/>
      <c r="AI168" s="226"/>
      <c r="AJ168" s="226"/>
      <c r="AK168" s="226"/>
      <c r="AL168" s="226"/>
      <c r="AM168" s="226"/>
      <c r="AN168" s="226"/>
      <c r="AO168" s="226"/>
      <c r="AP168" s="226"/>
      <c r="AQ168" s="226"/>
      <c r="AR168" s="226"/>
      <c r="AS168" s="226"/>
      <c r="AT168" s="226"/>
      <c r="AU168" s="226"/>
      <c r="AV168" s="226"/>
      <c r="AW168" s="226"/>
      <c r="AX168" s="226"/>
      <c r="AY168" s="226"/>
      <c r="AZ168" s="226"/>
      <c r="BA168" s="236" t="str">
        <f>C168</f>
        <v>- podpěr. konstr. a lešení všech druhů pro montáž konstrukcí i doplňkových, včetně požadovaných otvorů, ochranných a bezpečnostních opatření a základů pro tyto konstrukce a lešení,</v>
      </c>
      <c r="BB168" s="226"/>
      <c r="BC168" s="226"/>
      <c r="BD168" s="226"/>
      <c r="BE168" s="226"/>
      <c r="BF168" s="226"/>
      <c r="BG168" s="226"/>
      <c r="BH168" s="226"/>
    </row>
    <row r="169" outlineLevel="3" ht="22.5">
      <c r="A169" s="227"/>
      <c r="B169" s="228"/>
      <c r="C169" s="231" t="s">
        <v>527</v>
      </c>
      <c r="D169" s="232"/>
      <c r="E169" s="232"/>
      <c r="F169" s="232"/>
      <c r="G169" s="232"/>
      <c r="H169" s="224"/>
      <c r="I169" s="224"/>
      <c r="J169" s="224"/>
      <c r="K169" s="224"/>
      <c r="L169" s="224"/>
      <c r="M169" s="224"/>
      <c r="N169" s="225"/>
      <c r="O169" s="225"/>
      <c r="P169" s="225"/>
      <c r="Q169" s="225"/>
      <c r="R169" s="224"/>
      <c r="S169" s="224"/>
      <c r="T169" s="224"/>
      <c r="U169" s="224"/>
      <c r="V169" s="224"/>
      <c r="W169" s="224"/>
      <c r="X169" s="224"/>
      <c r="Y169" s="224"/>
      <c r="Z169" s="226"/>
      <c r="AA169" s="226"/>
      <c r="AB169" s="226"/>
      <c r="AC169" s="226"/>
      <c r="AD169" s="226"/>
      <c r="AE169" s="226"/>
      <c r="AF169" s="226"/>
      <c r="AG169" s="226" t="s">
        <v>214</v>
      </c>
      <c r="AH169" s="226"/>
      <c r="AI169" s="226"/>
      <c r="AJ169" s="226"/>
      <c r="AK169" s="226"/>
      <c r="AL169" s="226"/>
      <c r="AM169" s="226"/>
      <c r="AN169" s="226"/>
      <c r="AO169" s="226"/>
      <c r="AP169" s="226"/>
      <c r="AQ169" s="226"/>
      <c r="AR169" s="226"/>
      <c r="AS169" s="226"/>
      <c r="AT169" s="226"/>
      <c r="AU169" s="226"/>
      <c r="AV169" s="226"/>
      <c r="AW169" s="226"/>
      <c r="AX169" s="226"/>
      <c r="AY169" s="226"/>
      <c r="AZ169" s="226"/>
      <c r="BA169" s="236" t="str">
        <f>C169</f>
        <v xml:space="preserve">- jakákoliv doprava a manipulace dílců  a  montážních  sestav,  včetně  dopravy konstrukce z výrobny na stavbu,</v>
      </c>
      <c r="BB169" s="226"/>
      <c r="BC169" s="226"/>
      <c r="BD169" s="226"/>
      <c r="BE169" s="226"/>
      <c r="BF169" s="226"/>
      <c r="BG169" s="226"/>
      <c r="BH169" s="226"/>
    </row>
    <row r="170" outlineLevel="3">
      <c r="A170" s="227"/>
      <c r="B170" s="228"/>
      <c r="C170" s="231" t="s">
        <v>528</v>
      </c>
      <c r="D170" s="232"/>
      <c r="E170" s="232"/>
      <c r="F170" s="232"/>
      <c r="G170" s="232"/>
      <c r="H170" s="224"/>
      <c r="I170" s="224"/>
      <c r="J170" s="224"/>
      <c r="K170" s="224"/>
      <c r="L170" s="224"/>
      <c r="M170" s="224"/>
      <c r="N170" s="225"/>
      <c r="O170" s="225"/>
      <c r="P170" s="225"/>
      <c r="Q170" s="225"/>
      <c r="R170" s="224"/>
      <c r="S170" s="224"/>
      <c r="T170" s="224"/>
      <c r="U170" s="224"/>
      <c r="V170" s="224"/>
      <c r="W170" s="224"/>
      <c r="X170" s="224"/>
      <c r="Y170" s="224"/>
      <c r="Z170" s="226"/>
      <c r="AA170" s="226"/>
      <c r="AB170" s="226"/>
      <c r="AC170" s="226"/>
      <c r="AD170" s="226"/>
      <c r="AE170" s="226"/>
      <c r="AF170" s="226"/>
      <c r="AG170" s="226" t="s">
        <v>214</v>
      </c>
      <c r="AH170" s="226"/>
      <c r="AI170" s="226"/>
      <c r="AJ170" s="226"/>
      <c r="AK170" s="226"/>
      <c r="AL170" s="226"/>
      <c r="AM170" s="226"/>
      <c r="AN170" s="226"/>
      <c r="AO170" s="226"/>
      <c r="AP170" s="226"/>
      <c r="AQ170" s="226"/>
      <c r="AR170" s="226"/>
      <c r="AS170" s="226"/>
      <c r="AT170" s="226"/>
      <c r="AU170" s="226"/>
      <c r="AV170" s="226"/>
      <c r="AW170" s="226"/>
      <c r="AX170" s="226"/>
      <c r="AY170" s="226"/>
      <c r="AZ170" s="226"/>
      <c r="BA170" s="226"/>
      <c r="BB170" s="226"/>
      <c r="BC170" s="226"/>
      <c r="BD170" s="226"/>
      <c r="BE170" s="226"/>
      <c r="BF170" s="226"/>
      <c r="BG170" s="226"/>
      <c r="BH170" s="226"/>
    </row>
    <row r="171" outlineLevel="3">
      <c r="A171" s="227"/>
      <c r="B171" s="228"/>
      <c r="C171" s="231" t="s">
        <v>529</v>
      </c>
      <c r="D171" s="232"/>
      <c r="E171" s="232"/>
      <c r="F171" s="232"/>
      <c r="G171" s="232"/>
      <c r="H171" s="224"/>
      <c r="I171" s="224"/>
      <c r="J171" s="224"/>
      <c r="K171" s="224"/>
      <c r="L171" s="224"/>
      <c r="M171" s="224"/>
      <c r="N171" s="225"/>
      <c r="O171" s="225"/>
      <c r="P171" s="225"/>
      <c r="Q171" s="225"/>
      <c r="R171" s="224"/>
      <c r="S171" s="224"/>
      <c r="T171" s="224"/>
      <c r="U171" s="224"/>
      <c r="V171" s="224"/>
      <c r="W171" s="224"/>
      <c r="X171" s="224"/>
      <c r="Y171" s="224"/>
      <c r="Z171" s="226"/>
      <c r="AA171" s="226"/>
      <c r="AB171" s="226"/>
      <c r="AC171" s="226"/>
      <c r="AD171" s="226"/>
      <c r="AE171" s="226"/>
      <c r="AF171" s="226"/>
      <c r="AG171" s="226" t="s">
        <v>214</v>
      </c>
      <c r="AH171" s="226"/>
      <c r="AI171" s="226"/>
      <c r="AJ171" s="226"/>
      <c r="AK171" s="226"/>
      <c r="AL171" s="226"/>
      <c r="AM171" s="226"/>
      <c r="AN171" s="226"/>
      <c r="AO171" s="226"/>
      <c r="AP171" s="226"/>
      <c r="AQ171" s="226"/>
      <c r="AR171" s="226"/>
      <c r="AS171" s="226"/>
      <c r="AT171" s="226"/>
      <c r="AU171" s="226"/>
      <c r="AV171" s="226"/>
      <c r="AW171" s="226"/>
      <c r="AX171" s="226"/>
      <c r="AY171" s="226"/>
      <c r="AZ171" s="226"/>
      <c r="BA171" s="226"/>
      <c r="BB171" s="226"/>
      <c r="BC171" s="226"/>
      <c r="BD171" s="226"/>
      <c r="BE171" s="226"/>
      <c r="BF171" s="226"/>
      <c r="BG171" s="226"/>
      <c r="BH171" s="226"/>
    </row>
    <row r="172" outlineLevel="3">
      <c r="A172" s="227"/>
      <c r="B172" s="228"/>
      <c r="C172" s="231" t="s">
        <v>530</v>
      </c>
      <c r="D172" s="232"/>
      <c r="E172" s="232"/>
      <c r="F172" s="232"/>
      <c r="G172" s="232"/>
      <c r="H172" s="224"/>
      <c r="I172" s="224"/>
      <c r="J172" s="224"/>
      <c r="K172" s="224"/>
      <c r="L172" s="224"/>
      <c r="M172" s="224"/>
      <c r="N172" s="225"/>
      <c r="O172" s="225"/>
      <c r="P172" s="225"/>
      <c r="Q172" s="225"/>
      <c r="R172" s="224"/>
      <c r="S172" s="224"/>
      <c r="T172" s="224"/>
      <c r="U172" s="224"/>
      <c r="V172" s="224"/>
      <c r="W172" s="224"/>
      <c r="X172" s="224"/>
      <c r="Y172" s="224"/>
      <c r="Z172" s="226"/>
      <c r="AA172" s="226"/>
      <c r="AB172" s="226"/>
      <c r="AC172" s="226"/>
      <c r="AD172" s="226"/>
      <c r="AE172" s="226"/>
      <c r="AF172" s="226"/>
      <c r="AG172" s="226" t="s">
        <v>214</v>
      </c>
      <c r="AH172" s="226"/>
      <c r="AI172" s="226"/>
      <c r="AJ172" s="226"/>
      <c r="AK172" s="226"/>
      <c r="AL172" s="226"/>
      <c r="AM172" s="226"/>
      <c r="AN172" s="226"/>
      <c r="AO172" s="226"/>
      <c r="AP172" s="226"/>
      <c r="AQ172" s="226"/>
      <c r="AR172" s="226"/>
      <c r="AS172" s="226"/>
      <c r="AT172" s="226"/>
      <c r="AU172" s="226"/>
      <c r="AV172" s="226"/>
      <c r="AW172" s="226"/>
      <c r="AX172" s="226"/>
      <c r="AY172" s="226"/>
      <c r="AZ172" s="226"/>
      <c r="BA172" s="226"/>
      <c r="BB172" s="226"/>
      <c r="BC172" s="226"/>
      <c r="BD172" s="226"/>
      <c r="BE172" s="226"/>
      <c r="BF172" s="226"/>
      <c r="BG172" s="226"/>
      <c r="BH172" s="226"/>
    </row>
    <row r="173" outlineLevel="3">
      <c r="A173" s="227"/>
      <c r="B173" s="228"/>
      <c r="C173" s="231" t="s">
        <v>531</v>
      </c>
      <c r="D173" s="232"/>
      <c r="E173" s="232"/>
      <c r="F173" s="232"/>
      <c r="G173" s="232"/>
      <c r="H173" s="224"/>
      <c r="I173" s="224"/>
      <c r="J173" s="224"/>
      <c r="K173" s="224"/>
      <c r="L173" s="224"/>
      <c r="M173" s="224"/>
      <c r="N173" s="225"/>
      <c r="O173" s="225"/>
      <c r="P173" s="225"/>
      <c r="Q173" s="225"/>
      <c r="R173" s="224"/>
      <c r="S173" s="224"/>
      <c r="T173" s="224"/>
      <c r="U173" s="224"/>
      <c r="V173" s="224"/>
      <c r="W173" s="224"/>
      <c r="X173" s="224"/>
      <c r="Y173" s="224"/>
      <c r="Z173" s="226"/>
      <c r="AA173" s="226"/>
      <c r="AB173" s="226"/>
      <c r="AC173" s="226"/>
      <c r="AD173" s="226"/>
      <c r="AE173" s="226"/>
      <c r="AF173" s="226"/>
      <c r="AG173" s="226" t="s">
        <v>214</v>
      </c>
      <c r="AH173" s="226"/>
      <c r="AI173" s="226"/>
      <c r="AJ173" s="226"/>
      <c r="AK173" s="226"/>
      <c r="AL173" s="226"/>
      <c r="AM173" s="226"/>
      <c r="AN173" s="226"/>
      <c r="AO173" s="226"/>
      <c r="AP173" s="226"/>
      <c r="AQ173" s="226"/>
      <c r="AR173" s="226"/>
      <c r="AS173" s="226"/>
      <c r="AT173" s="226"/>
      <c r="AU173" s="226"/>
      <c r="AV173" s="226"/>
      <c r="AW173" s="226"/>
      <c r="AX173" s="226"/>
      <c r="AY173" s="226"/>
      <c r="AZ173" s="226"/>
      <c r="BA173" s="226"/>
      <c r="BB173" s="226"/>
      <c r="BC173" s="226"/>
      <c r="BD173" s="226"/>
      <c r="BE173" s="226"/>
      <c r="BF173" s="226"/>
      <c r="BG173" s="226"/>
      <c r="BH173" s="226"/>
    </row>
    <row r="174" outlineLevel="3">
      <c r="A174" s="227"/>
      <c r="B174" s="228"/>
      <c r="C174" s="231" t="s">
        <v>532</v>
      </c>
      <c r="D174" s="232"/>
      <c r="E174" s="232"/>
      <c r="F174" s="232"/>
      <c r="G174" s="232"/>
      <c r="H174" s="224"/>
      <c r="I174" s="224"/>
      <c r="J174" s="224"/>
      <c r="K174" s="224"/>
      <c r="L174" s="224"/>
      <c r="M174" s="224"/>
      <c r="N174" s="225"/>
      <c r="O174" s="225"/>
      <c r="P174" s="225"/>
      <c r="Q174" s="225"/>
      <c r="R174" s="224"/>
      <c r="S174" s="224"/>
      <c r="T174" s="224"/>
      <c r="U174" s="224"/>
      <c r="V174" s="224"/>
      <c r="W174" s="224"/>
      <c r="X174" s="224"/>
      <c r="Y174" s="224"/>
      <c r="Z174" s="226"/>
      <c r="AA174" s="226"/>
      <c r="AB174" s="226"/>
      <c r="AC174" s="226"/>
      <c r="AD174" s="226"/>
      <c r="AE174" s="226"/>
      <c r="AF174" s="226"/>
      <c r="AG174" s="226" t="s">
        <v>214</v>
      </c>
      <c r="AH174" s="226"/>
      <c r="AI174" s="226"/>
      <c r="AJ174" s="226"/>
      <c r="AK174" s="226"/>
      <c r="AL174" s="226"/>
      <c r="AM174" s="226"/>
      <c r="AN174" s="226"/>
      <c r="AO174" s="226"/>
      <c r="AP174" s="226"/>
      <c r="AQ174" s="226"/>
      <c r="AR174" s="226"/>
      <c r="AS174" s="226"/>
      <c r="AT174" s="226"/>
      <c r="AU174" s="226"/>
      <c r="AV174" s="226"/>
      <c r="AW174" s="226"/>
      <c r="AX174" s="226"/>
      <c r="AY174" s="226"/>
      <c r="AZ174" s="226"/>
      <c r="BA174" s="226"/>
      <c r="BB174" s="226"/>
      <c r="BC174" s="226"/>
      <c r="BD174" s="226"/>
      <c r="BE174" s="226"/>
      <c r="BF174" s="226"/>
      <c r="BG174" s="226"/>
      <c r="BH174" s="226"/>
    </row>
    <row r="175" outlineLevel="3">
      <c r="A175" s="227"/>
      <c r="B175" s="228"/>
      <c r="C175" s="231" t="s">
        <v>533</v>
      </c>
      <c r="D175" s="232"/>
      <c r="E175" s="232"/>
      <c r="F175" s="232"/>
      <c r="G175" s="232"/>
      <c r="H175" s="224"/>
      <c r="I175" s="224"/>
      <c r="J175" s="224"/>
      <c r="K175" s="224"/>
      <c r="L175" s="224"/>
      <c r="M175" s="224"/>
      <c r="N175" s="225"/>
      <c r="O175" s="225"/>
      <c r="P175" s="225"/>
      <c r="Q175" s="225"/>
      <c r="R175" s="224"/>
      <c r="S175" s="224"/>
      <c r="T175" s="224"/>
      <c r="U175" s="224"/>
      <c r="V175" s="224"/>
      <c r="W175" s="224"/>
      <c r="X175" s="224"/>
      <c r="Y175" s="224"/>
      <c r="Z175" s="226"/>
      <c r="AA175" s="226"/>
      <c r="AB175" s="226"/>
      <c r="AC175" s="226"/>
      <c r="AD175" s="226"/>
      <c r="AE175" s="226"/>
      <c r="AF175" s="226"/>
      <c r="AG175" s="226" t="s">
        <v>214</v>
      </c>
      <c r="AH175" s="226"/>
      <c r="AI175" s="226"/>
      <c r="AJ175" s="226"/>
      <c r="AK175" s="226"/>
      <c r="AL175" s="226"/>
      <c r="AM175" s="226"/>
      <c r="AN175" s="226"/>
      <c r="AO175" s="226"/>
      <c r="AP175" s="226"/>
      <c r="AQ175" s="226"/>
      <c r="AR175" s="226"/>
      <c r="AS175" s="226"/>
      <c r="AT175" s="226"/>
      <c r="AU175" s="226"/>
      <c r="AV175" s="226"/>
      <c r="AW175" s="226"/>
      <c r="AX175" s="226"/>
      <c r="AY175" s="226"/>
      <c r="AZ175" s="226"/>
      <c r="BA175" s="226"/>
      <c r="BB175" s="226"/>
      <c r="BC175" s="226"/>
      <c r="BD175" s="226"/>
      <c r="BE175" s="226"/>
      <c r="BF175" s="226"/>
      <c r="BG175" s="226"/>
      <c r="BH175" s="226"/>
    </row>
    <row r="176" outlineLevel="3">
      <c r="A176" s="227"/>
      <c r="B176" s="228"/>
      <c r="C176" s="231" t="s">
        <v>534</v>
      </c>
      <c r="D176" s="232"/>
      <c r="E176" s="232"/>
      <c r="F176" s="232"/>
      <c r="G176" s="232"/>
      <c r="H176" s="224"/>
      <c r="I176" s="224"/>
      <c r="J176" s="224"/>
      <c r="K176" s="224"/>
      <c r="L176" s="224"/>
      <c r="M176" s="224"/>
      <c r="N176" s="225"/>
      <c r="O176" s="225"/>
      <c r="P176" s="225"/>
      <c r="Q176" s="225"/>
      <c r="R176" s="224"/>
      <c r="S176" s="224"/>
      <c r="T176" s="224"/>
      <c r="U176" s="224"/>
      <c r="V176" s="224"/>
      <c r="W176" s="224"/>
      <c r="X176" s="224"/>
      <c r="Y176" s="224"/>
      <c r="Z176" s="226"/>
      <c r="AA176" s="226"/>
      <c r="AB176" s="226"/>
      <c r="AC176" s="226"/>
      <c r="AD176" s="226"/>
      <c r="AE176" s="226"/>
      <c r="AF176" s="226"/>
      <c r="AG176" s="226" t="s">
        <v>214</v>
      </c>
      <c r="AH176" s="226"/>
      <c r="AI176" s="226"/>
      <c r="AJ176" s="226"/>
      <c r="AK176" s="226"/>
      <c r="AL176" s="226"/>
      <c r="AM176" s="226"/>
      <c r="AN176" s="226"/>
      <c r="AO176" s="226"/>
      <c r="AP176" s="226"/>
      <c r="AQ176" s="226"/>
      <c r="AR176" s="226"/>
      <c r="AS176" s="226"/>
      <c r="AT176" s="226"/>
      <c r="AU176" s="226"/>
      <c r="AV176" s="226"/>
      <c r="AW176" s="226"/>
      <c r="AX176" s="226"/>
      <c r="AY176" s="226"/>
      <c r="AZ176" s="226"/>
      <c r="BA176" s="226"/>
      <c r="BB176" s="226"/>
      <c r="BC176" s="226"/>
      <c r="BD176" s="226"/>
      <c r="BE176" s="226"/>
      <c r="BF176" s="226"/>
      <c r="BG176" s="226"/>
      <c r="BH176" s="226"/>
    </row>
    <row r="177" outlineLevel="3">
      <c r="A177" s="227"/>
      <c r="B177" s="228"/>
      <c r="C177" s="231" t="s">
        <v>535</v>
      </c>
      <c r="D177" s="232"/>
      <c r="E177" s="232"/>
      <c r="F177" s="232"/>
      <c r="G177" s="232"/>
      <c r="H177" s="224"/>
      <c r="I177" s="224"/>
      <c r="J177" s="224"/>
      <c r="K177" s="224"/>
      <c r="L177" s="224"/>
      <c r="M177" s="224"/>
      <c r="N177" s="225"/>
      <c r="O177" s="225"/>
      <c r="P177" s="225"/>
      <c r="Q177" s="225"/>
      <c r="R177" s="224"/>
      <c r="S177" s="224"/>
      <c r="T177" s="224"/>
      <c r="U177" s="224"/>
      <c r="V177" s="224"/>
      <c r="W177" s="224"/>
      <c r="X177" s="224"/>
      <c r="Y177" s="224"/>
      <c r="Z177" s="226"/>
      <c r="AA177" s="226"/>
      <c r="AB177" s="226"/>
      <c r="AC177" s="226"/>
      <c r="AD177" s="226"/>
      <c r="AE177" s="226"/>
      <c r="AF177" s="226"/>
      <c r="AG177" s="226" t="s">
        <v>214</v>
      </c>
      <c r="AH177" s="226"/>
      <c r="AI177" s="226"/>
      <c r="AJ177" s="226"/>
      <c r="AK177" s="226"/>
      <c r="AL177" s="226"/>
      <c r="AM177" s="226"/>
      <c r="AN177" s="226"/>
      <c r="AO177" s="226"/>
      <c r="AP177" s="226"/>
      <c r="AQ177" s="226"/>
      <c r="AR177" s="226"/>
      <c r="AS177" s="226"/>
      <c r="AT177" s="226"/>
      <c r="AU177" s="226"/>
      <c r="AV177" s="226"/>
      <c r="AW177" s="226"/>
      <c r="AX177" s="226"/>
      <c r="AY177" s="226"/>
      <c r="AZ177" s="226"/>
      <c r="BA177" s="236" t="str">
        <f>C177</f>
        <v>- zřízení kotevních otvorů nebo jam, nejsou-li částí jiné konstrukce, jejich úpravy, očištění a ošetření,</v>
      </c>
      <c r="BB177" s="226"/>
      <c r="BC177" s="226"/>
      <c r="BD177" s="226"/>
      <c r="BE177" s="226"/>
      <c r="BF177" s="226"/>
      <c r="BG177" s="226"/>
      <c r="BH177" s="226"/>
    </row>
    <row r="178" outlineLevel="3">
      <c r="A178" s="227"/>
      <c r="B178" s="228"/>
      <c r="C178" s="231" t="s">
        <v>536</v>
      </c>
      <c r="D178" s="232"/>
      <c r="E178" s="232"/>
      <c r="F178" s="232"/>
      <c r="G178" s="232"/>
      <c r="H178" s="224"/>
      <c r="I178" s="224"/>
      <c r="J178" s="224"/>
      <c r="K178" s="224"/>
      <c r="L178" s="224"/>
      <c r="M178" s="224"/>
      <c r="N178" s="225"/>
      <c r="O178" s="225"/>
      <c r="P178" s="225"/>
      <c r="Q178" s="225"/>
      <c r="R178" s="224"/>
      <c r="S178" s="224"/>
      <c r="T178" s="224"/>
      <c r="U178" s="224"/>
      <c r="V178" s="224"/>
      <c r="W178" s="224"/>
      <c r="X178" s="224"/>
      <c r="Y178" s="224"/>
      <c r="Z178" s="226"/>
      <c r="AA178" s="226"/>
      <c r="AB178" s="226"/>
      <c r="AC178" s="226"/>
      <c r="AD178" s="226"/>
      <c r="AE178" s="226"/>
      <c r="AF178" s="226"/>
      <c r="AG178" s="226" t="s">
        <v>214</v>
      </c>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row>
    <row r="179" outlineLevel="3">
      <c r="A179" s="227"/>
      <c r="B179" s="228"/>
      <c r="C179" s="231" t="s">
        <v>537</v>
      </c>
      <c r="D179" s="232"/>
      <c r="E179" s="232"/>
      <c r="F179" s="232"/>
      <c r="G179" s="232"/>
      <c r="H179" s="224"/>
      <c r="I179" s="224"/>
      <c r="J179" s="224"/>
      <c r="K179" s="224"/>
      <c r="L179" s="224"/>
      <c r="M179" s="224"/>
      <c r="N179" s="225"/>
      <c r="O179" s="225"/>
      <c r="P179" s="225"/>
      <c r="Q179" s="225"/>
      <c r="R179" s="224"/>
      <c r="S179" s="224"/>
      <c r="T179" s="224"/>
      <c r="U179" s="224"/>
      <c r="V179" s="224"/>
      <c r="W179" s="224"/>
      <c r="X179" s="224"/>
      <c r="Y179" s="224"/>
      <c r="Z179" s="226"/>
      <c r="AA179" s="226"/>
      <c r="AB179" s="226"/>
      <c r="AC179" s="226"/>
      <c r="AD179" s="226"/>
      <c r="AE179" s="226"/>
      <c r="AF179" s="226"/>
      <c r="AG179" s="226" t="s">
        <v>214</v>
      </c>
      <c r="AH179" s="226"/>
      <c r="AI179" s="226"/>
      <c r="AJ179" s="226"/>
      <c r="AK179" s="226"/>
      <c r="AL179" s="226"/>
      <c r="AM179" s="226"/>
      <c r="AN179" s="226"/>
      <c r="AO179" s="226"/>
      <c r="AP179" s="226"/>
      <c r="AQ179" s="226"/>
      <c r="AR179" s="226"/>
      <c r="AS179" s="226"/>
      <c r="AT179" s="226"/>
      <c r="AU179" s="226"/>
      <c r="AV179" s="226"/>
      <c r="AW179" s="226"/>
      <c r="AX179" s="226"/>
      <c r="AY179" s="226"/>
      <c r="AZ179" s="226"/>
      <c r="BA179" s="236" t="str">
        <f>C179</f>
        <v xml:space="preserve">- výplň kotevních otvorů  (příp.  podlití  patních  desek)  maltou,  betonem  nebo  jinou speciální hmotou</v>
      </c>
      <c r="BB179" s="226"/>
      <c r="BC179" s="226"/>
      <c r="BD179" s="226"/>
      <c r="BE179" s="226"/>
      <c r="BF179" s="226"/>
      <c r="BG179" s="226"/>
      <c r="BH179" s="226"/>
    </row>
    <row r="180" outlineLevel="3">
      <c r="A180" s="227"/>
      <c r="B180" s="228"/>
      <c r="C180" s="231" t="s">
        <v>538</v>
      </c>
      <c r="D180" s="232"/>
      <c r="E180" s="232"/>
      <c r="F180" s="232"/>
      <c r="G180" s="232"/>
      <c r="H180" s="224"/>
      <c r="I180" s="224"/>
      <c r="J180" s="224"/>
      <c r="K180" s="224"/>
      <c r="L180" s="224"/>
      <c r="M180" s="224"/>
      <c r="N180" s="225"/>
      <c r="O180" s="225"/>
      <c r="P180" s="225"/>
      <c r="Q180" s="225"/>
      <c r="R180" s="224"/>
      <c r="S180" s="224"/>
      <c r="T180" s="224"/>
      <c r="U180" s="224"/>
      <c r="V180" s="224"/>
      <c r="W180" s="224"/>
      <c r="X180" s="224"/>
      <c r="Y180" s="224"/>
      <c r="Z180" s="226"/>
      <c r="AA180" s="226"/>
      <c r="AB180" s="226"/>
      <c r="AC180" s="226"/>
      <c r="AD180" s="226"/>
      <c r="AE180" s="226"/>
      <c r="AF180" s="226"/>
      <c r="AG180" s="226" t="s">
        <v>214</v>
      </c>
      <c r="AH180" s="226"/>
      <c r="AI180" s="226"/>
      <c r="AJ180" s="226"/>
      <c r="AK180" s="226"/>
      <c r="AL180" s="226"/>
      <c r="AM180" s="226"/>
      <c r="AN180" s="226"/>
      <c r="AO180" s="226"/>
      <c r="AP180" s="226"/>
      <c r="AQ180" s="226"/>
      <c r="AR180" s="226"/>
      <c r="AS180" s="226"/>
      <c r="AT180" s="226"/>
      <c r="AU180" s="226"/>
      <c r="AV180" s="226"/>
      <c r="AW180" s="226"/>
      <c r="AX180" s="226"/>
      <c r="AY180" s="226"/>
      <c r="AZ180" s="226"/>
      <c r="BA180" s="226"/>
      <c r="BB180" s="226"/>
      <c r="BC180" s="226"/>
      <c r="BD180" s="226"/>
      <c r="BE180" s="226"/>
      <c r="BF180" s="226"/>
      <c r="BG180" s="226"/>
      <c r="BH180" s="226"/>
    </row>
    <row r="181" outlineLevel="3">
      <c r="A181" s="227"/>
      <c r="B181" s="228"/>
      <c r="C181" s="231" t="s">
        <v>539</v>
      </c>
      <c r="D181" s="232"/>
      <c r="E181" s="232"/>
      <c r="F181" s="232"/>
      <c r="G181" s="232"/>
      <c r="H181" s="224"/>
      <c r="I181" s="224"/>
      <c r="J181" s="224"/>
      <c r="K181" s="224"/>
      <c r="L181" s="224"/>
      <c r="M181" s="224"/>
      <c r="N181" s="225"/>
      <c r="O181" s="225"/>
      <c r="P181" s="225"/>
      <c r="Q181" s="225"/>
      <c r="R181" s="224"/>
      <c r="S181" s="224"/>
      <c r="T181" s="224"/>
      <c r="U181" s="224"/>
      <c r="V181" s="224"/>
      <c r="W181" s="224"/>
      <c r="X181" s="224"/>
      <c r="Y181" s="224"/>
      <c r="Z181" s="226"/>
      <c r="AA181" s="226"/>
      <c r="AB181" s="226"/>
      <c r="AC181" s="226"/>
      <c r="AD181" s="226"/>
      <c r="AE181" s="226"/>
      <c r="AF181" s="226"/>
      <c r="AG181" s="226" t="s">
        <v>214</v>
      </c>
      <c r="AH181" s="226"/>
      <c r="AI181" s="226"/>
      <c r="AJ181" s="226"/>
      <c r="AK181" s="226"/>
      <c r="AL181" s="226"/>
      <c r="AM181" s="226"/>
      <c r="AN181" s="226"/>
      <c r="AO181" s="226"/>
      <c r="AP181" s="226"/>
      <c r="AQ181" s="226"/>
      <c r="AR181" s="226"/>
      <c r="AS181" s="226"/>
      <c r="AT181" s="226"/>
      <c r="AU181" s="226"/>
      <c r="AV181" s="226"/>
      <c r="AW181" s="226"/>
      <c r="AX181" s="226"/>
      <c r="AY181" s="226"/>
      <c r="AZ181" s="226"/>
      <c r="BA181" s="226"/>
      <c r="BB181" s="226"/>
      <c r="BC181" s="226"/>
      <c r="BD181" s="226"/>
      <c r="BE181" s="226"/>
      <c r="BF181" s="226"/>
      <c r="BG181" s="226"/>
      <c r="BH181" s="226"/>
    </row>
    <row r="182" outlineLevel="3">
      <c r="A182" s="227"/>
      <c r="B182" s="228"/>
      <c r="C182" s="231" t="s">
        <v>540</v>
      </c>
      <c r="D182" s="232"/>
      <c r="E182" s="232"/>
      <c r="F182" s="232"/>
      <c r="G182" s="232"/>
      <c r="H182" s="224"/>
      <c r="I182" s="224"/>
      <c r="J182" s="224"/>
      <c r="K182" s="224"/>
      <c r="L182" s="224"/>
      <c r="M182" s="224"/>
      <c r="N182" s="225"/>
      <c r="O182" s="225"/>
      <c r="P182" s="225"/>
      <c r="Q182" s="225"/>
      <c r="R182" s="224"/>
      <c r="S182" s="224"/>
      <c r="T182" s="224"/>
      <c r="U182" s="224"/>
      <c r="V182" s="224"/>
      <c r="W182" s="224"/>
      <c r="X182" s="224"/>
      <c r="Y182" s="224"/>
      <c r="Z182" s="226"/>
      <c r="AA182" s="226"/>
      <c r="AB182" s="226"/>
      <c r="AC182" s="226"/>
      <c r="AD182" s="226"/>
      <c r="AE182" s="226"/>
      <c r="AF182" s="226"/>
      <c r="AG182" s="226" t="s">
        <v>214</v>
      </c>
      <c r="AH182" s="226"/>
      <c r="AI182" s="226"/>
      <c r="AJ182" s="226"/>
      <c r="AK182" s="226"/>
      <c r="AL182" s="226"/>
      <c r="AM182" s="226"/>
      <c r="AN182" s="226"/>
      <c r="AO182" s="226"/>
      <c r="AP182" s="226"/>
      <c r="AQ182" s="226"/>
      <c r="AR182" s="226"/>
      <c r="AS182" s="226"/>
      <c r="AT182" s="226"/>
      <c r="AU182" s="226"/>
      <c r="AV182" s="226"/>
      <c r="AW182" s="226"/>
      <c r="AX182" s="226"/>
      <c r="AY182" s="226"/>
      <c r="AZ182" s="226"/>
      <c r="BA182" s="226"/>
      <c r="BB182" s="226"/>
      <c r="BC182" s="226"/>
      <c r="BD182" s="226"/>
      <c r="BE182" s="226"/>
      <c r="BF182" s="226"/>
      <c r="BG182" s="226"/>
      <c r="BH182" s="226"/>
    </row>
    <row r="183" outlineLevel="3">
      <c r="A183" s="227"/>
      <c r="B183" s="228"/>
      <c r="C183" s="231" t="s">
        <v>541</v>
      </c>
      <c r="D183" s="232"/>
      <c r="E183" s="232"/>
      <c r="F183" s="232"/>
      <c r="G183" s="232"/>
      <c r="H183" s="224"/>
      <c r="I183" s="224"/>
      <c r="J183" s="224"/>
      <c r="K183" s="224"/>
      <c r="L183" s="224"/>
      <c r="M183" s="224"/>
      <c r="N183" s="225"/>
      <c r="O183" s="225"/>
      <c r="P183" s="225"/>
      <c r="Q183" s="225"/>
      <c r="R183" s="224"/>
      <c r="S183" s="224"/>
      <c r="T183" s="224"/>
      <c r="U183" s="224"/>
      <c r="V183" s="224"/>
      <c r="W183" s="224"/>
      <c r="X183" s="224"/>
      <c r="Y183" s="224"/>
      <c r="Z183" s="226"/>
      <c r="AA183" s="226"/>
      <c r="AB183" s="226"/>
      <c r="AC183" s="226"/>
      <c r="AD183" s="226"/>
      <c r="AE183" s="226"/>
      <c r="AF183" s="226"/>
      <c r="AG183" s="226" t="s">
        <v>214</v>
      </c>
      <c r="AH183" s="226"/>
      <c r="AI183" s="226"/>
      <c r="AJ183" s="226"/>
      <c r="AK183" s="226"/>
      <c r="AL183" s="226"/>
      <c r="AM183" s="226"/>
      <c r="AN183" s="226"/>
      <c r="AO183" s="226"/>
      <c r="AP183" s="226"/>
      <c r="AQ183" s="226"/>
      <c r="AR183" s="226"/>
      <c r="AS183" s="226"/>
      <c r="AT183" s="226"/>
      <c r="AU183" s="226"/>
      <c r="AV183" s="226"/>
      <c r="AW183" s="226"/>
      <c r="AX183" s="226"/>
      <c r="AY183" s="226"/>
      <c r="AZ183" s="226"/>
      <c r="BA183" s="226"/>
      <c r="BB183" s="226"/>
      <c r="BC183" s="226"/>
      <c r="BD183" s="226"/>
      <c r="BE183" s="226"/>
      <c r="BF183" s="226"/>
      <c r="BG183" s="226"/>
      <c r="BH183" s="226"/>
    </row>
    <row r="184" outlineLevel="3">
      <c r="A184" s="227"/>
      <c r="B184" s="228"/>
      <c r="C184" s="231" t="s">
        <v>542</v>
      </c>
      <c r="D184" s="232"/>
      <c r="E184" s="232"/>
      <c r="F184" s="232"/>
      <c r="G184" s="232"/>
      <c r="H184" s="224"/>
      <c r="I184" s="224"/>
      <c r="J184" s="224"/>
      <c r="K184" s="224"/>
      <c r="L184" s="224"/>
      <c r="M184" s="224"/>
      <c r="N184" s="225"/>
      <c r="O184" s="225"/>
      <c r="P184" s="225"/>
      <c r="Q184" s="225"/>
      <c r="R184" s="224"/>
      <c r="S184" s="224"/>
      <c r="T184" s="224"/>
      <c r="U184" s="224"/>
      <c r="V184" s="224"/>
      <c r="W184" s="224"/>
      <c r="X184" s="224"/>
      <c r="Y184" s="224"/>
      <c r="Z184" s="226"/>
      <c r="AA184" s="226"/>
      <c r="AB184" s="226"/>
      <c r="AC184" s="226"/>
      <c r="AD184" s="226"/>
      <c r="AE184" s="226"/>
      <c r="AF184" s="226"/>
      <c r="AG184" s="226" t="s">
        <v>214</v>
      </c>
      <c r="AH184" s="226"/>
      <c r="AI184" s="226"/>
      <c r="AJ184" s="226"/>
      <c r="AK184" s="226"/>
      <c r="AL184" s="226"/>
      <c r="AM184" s="226"/>
      <c r="AN184" s="226"/>
      <c r="AO184" s="226"/>
      <c r="AP184" s="226"/>
      <c r="AQ184" s="226"/>
      <c r="AR184" s="226"/>
      <c r="AS184" s="226"/>
      <c r="AT184" s="226"/>
      <c r="AU184" s="226"/>
      <c r="AV184" s="226"/>
      <c r="AW184" s="226"/>
      <c r="AX184" s="226"/>
      <c r="AY184" s="226"/>
      <c r="AZ184" s="226"/>
      <c r="BA184" s="226"/>
      <c r="BB184" s="226"/>
      <c r="BC184" s="226"/>
      <c r="BD184" s="226"/>
      <c r="BE184" s="226"/>
      <c r="BF184" s="226"/>
      <c r="BG184" s="226"/>
      <c r="BH184" s="226"/>
    </row>
    <row r="185" outlineLevel="3">
      <c r="A185" s="227"/>
      <c r="B185" s="228"/>
      <c r="C185" s="231" t="s">
        <v>543</v>
      </c>
      <c r="D185" s="232"/>
      <c r="E185" s="232"/>
      <c r="F185" s="232"/>
      <c r="G185" s="232"/>
      <c r="H185" s="224"/>
      <c r="I185" s="224"/>
      <c r="J185" s="224"/>
      <c r="K185" s="224"/>
      <c r="L185" s="224"/>
      <c r="M185" s="224"/>
      <c r="N185" s="225"/>
      <c r="O185" s="225"/>
      <c r="P185" s="225"/>
      <c r="Q185" s="225"/>
      <c r="R185" s="224"/>
      <c r="S185" s="224"/>
      <c r="T185" s="224"/>
      <c r="U185" s="224"/>
      <c r="V185" s="224"/>
      <c r="W185" s="224"/>
      <c r="X185" s="224"/>
      <c r="Y185" s="224"/>
      <c r="Z185" s="226"/>
      <c r="AA185" s="226"/>
      <c r="AB185" s="226"/>
      <c r="AC185" s="226"/>
      <c r="AD185" s="226"/>
      <c r="AE185" s="226"/>
      <c r="AF185" s="226"/>
      <c r="AG185" s="226" t="s">
        <v>214</v>
      </c>
      <c r="AH185" s="226"/>
      <c r="AI185" s="226"/>
      <c r="AJ185" s="226"/>
      <c r="AK185" s="226"/>
      <c r="AL185" s="226"/>
      <c r="AM185" s="226"/>
      <c r="AN185" s="226"/>
      <c r="AO185" s="226"/>
      <c r="AP185" s="226"/>
      <c r="AQ185" s="226"/>
      <c r="AR185" s="226"/>
      <c r="AS185" s="226"/>
      <c r="AT185" s="226"/>
      <c r="AU185" s="226"/>
      <c r="AV185" s="226"/>
      <c r="AW185" s="226"/>
      <c r="AX185" s="226"/>
      <c r="AY185" s="226"/>
      <c r="AZ185" s="226"/>
      <c r="BA185" s="226"/>
      <c r="BB185" s="226"/>
      <c r="BC185" s="226"/>
      <c r="BD185" s="226"/>
      <c r="BE185" s="226"/>
      <c r="BF185" s="226"/>
      <c r="BG185" s="226"/>
      <c r="BH185" s="226"/>
    </row>
    <row r="186" outlineLevel="3">
      <c r="A186" s="227"/>
      <c r="B186" s="228"/>
      <c r="C186" s="231" t="s">
        <v>544</v>
      </c>
      <c r="D186" s="232"/>
      <c r="E186" s="232"/>
      <c r="F186" s="232"/>
      <c r="G186" s="232"/>
      <c r="H186" s="224"/>
      <c r="I186" s="224"/>
      <c r="J186" s="224"/>
      <c r="K186" s="224"/>
      <c r="L186" s="224"/>
      <c r="M186" s="224"/>
      <c r="N186" s="225"/>
      <c r="O186" s="225"/>
      <c r="P186" s="225"/>
      <c r="Q186" s="225"/>
      <c r="R186" s="224"/>
      <c r="S186" s="224"/>
      <c r="T186" s="224"/>
      <c r="U186" s="224"/>
      <c r="V186" s="224"/>
      <c r="W186" s="224"/>
      <c r="X186" s="224"/>
      <c r="Y186" s="224"/>
      <c r="Z186" s="226"/>
      <c r="AA186" s="226"/>
      <c r="AB186" s="226"/>
      <c r="AC186" s="226"/>
      <c r="AD186" s="226"/>
      <c r="AE186" s="226"/>
      <c r="AF186" s="226"/>
      <c r="AG186" s="226" t="s">
        <v>214</v>
      </c>
      <c r="AH186" s="226"/>
      <c r="AI186" s="226"/>
      <c r="AJ186" s="226"/>
      <c r="AK186" s="226"/>
      <c r="AL186" s="226"/>
      <c r="AM186" s="226"/>
      <c r="AN186" s="226"/>
      <c r="AO186" s="226"/>
      <c r="AP186" s="226"/>
      <c r="AQ186" s="226"/>
      <c r="AR186" s="226"/>
      <c r="AS186" s="226"/>
      <c r="AT186" s="226"/>
      <c r="AU186" s="226"/>
      <c r="AV186" s="226"/>
      <c r="AW186" s="226"/>
      <c r="AX186" s="226"/>
      <c r="AY186" s="226"/>
      <c r="AZ186" s="226"/>
      <c r="BA186" s="226"/>
      <c r="BB186" s="226"/>
      <c r="BC186" s="226"/>
      <c r="BD186" s="226"/>
      <c r="BE186" s="226"/>
      <c r="BF186" s="226"/>
      <c r="BG186" s="226"/>
      <c r="BH186" s="226"/>
    </row>
    <row r="187" outlineLevel="2">
      <c r="A187" s="227"/>
      <c r="B187" s="228"/>
      <c r="C187" s="233" t="s">
        <v>550</v>
      </c>
      <c r="D187" s="234"/>
      <c r="E187" s="235">
        <v>200.73750000000001</v>
      </c>
      <c r="F187" s="224"/>
      <c r="G187" s="224"/>
      <c r="H187" s="224"/>
      <c r="I187" s="224"/>
      <c r="J187" s="224"/>
      <c r="K187" s="224"/>
      <c r="L187" s="224"/>
      <c r="M187" s="224"/>
      <c r="N187" s="225"/>
      <c r="O187" s="225"/>
      <c r="P187" s="225"/>
      <c r="Q187" s="225"/>
      <c r="R187" s="224"/>
      <c r="S187" s="224"/>
      <c r="T187" s="224"/>
      <c r="U187" s="224"/>
      <c r="V187" s="224"/>
      <c r="W187" s="224"/>
      <c r="X187" s="224"/>
      <c r="Y187" s="224"/>
      <c r="Z187" s="226"/>
      <c r="AA187" s="226"/>
      <c r="AB187" s="226"/>
      <c r="AC187" s="226"/>
      <c r="AD187" s="226"/>
      <c r="AE187" s="226"/>
      <c r="AF187" s="226"/>
      <c r="AG187" s="226" t="s">
        <v>217</v>
      </c>
      <c r="AH187" s="226">
        <v>0</v>
      </c>
      <c r="AI187" s="226"/>
      <c r="AJ187" s="226"/>
      <c r="AK187" s="226"/>
      <c r="AL187" s="226"/>
      <c r="AM187" s="226"/>
      <c r="AN187" s="226"/>
      <c r="AO187" s="226"/>
      <c r="AP187" s="226"/>
      <c r="AQ187" s="226"/>
      <c r="AR187" s="226"/>
      <c r="AS187" s="226"/>
      <c r="AT187" s="226"/>
      <c r="AU187" s="226"/>
      <c r="AV187" s="226"/>
      <c r="AW187" s="226"/>
      <c r="AX187" s="226"/>
      <c r="AY187" s="226"/>
      <c r="AZ187" s="226"/>
      <c r="BA187" s="226"/>
      <c r="BB187" s="226"/>
      <c r="BC187" s="226"/>
      <c r="BD187" s="226"/>
      <c r="BE187" s="226"/>
      <c r="BF187" s="226"/>
      <c r="BG187" s="226"/>
      <c r="BH187" s="226"/>
    </row>
    <row r="188" outlineLevel="3">
      <c r="A188" s="227"/>
      <c r="B188" s="228"/>
      <c r="C188" s="233" t="s">
        <v>551</v>
      </c>
      <c r="D188" s="234"/>
      <c r="E188" s="235">
        <v>8.4318000000000008</v>
      </c>
      <c r="F188" s="224"/>
      <c r="G188" s="224"/>
      <c r="H188" s="224"/>
      <c r="I188" s="224"/>
      <c r="J188" s="224"/>
      <c r="K188" s="224"/>
      <c r="L188" s="224"/>
      <c r="M188" s="224"/>
      <c r="N188" s="225"/>
      <c r="O188" s="225"/>
      <c r="P188" s="225"/>
      <c r="Q188" s="225"/>
      <c r="R188" s="224"/>
      <c r="S188" s="224"/>
      <c r="T188" s="224"/>
      <c r="U188" s="224"/>
      <c r="V188" s="224"/>
      <c r="W188" s="224"/>
      <c r="X188" s="224"/>
      <c r="Y188" s="224"/>
      <c r="Z188" s="226"/>
      <c r="AA188" s="226"/>
      <c r="AB188" s="226"/>
      <c r="AC188" s="226"/>
      <c r="AD188" s="226"/>
      <c r="AE188" s="226"/>
      <c r="AF188" s="226"/>
      <c r="AG188" s="226" t="s">
        <v>217</v>
      </c>
      <c r="AH188" s="226">
        <v>0</v>
      </c>
      <c r="AI188" s="226"/>
      <c r="AJ188" s="226"/>
      <c r="AK188" s="226"/>
      <c r="AL188" s="226"/>
      <c r="AM188" s="226"/>
      <c r="AN188" s="226"/>
      <c r="AO188" s="226"/>
      <c r="AP188" s="226"/>
      <c r="AQ188" s="226"/>
      <c r="AR188" s="226"/>
      <c r="AS188" s="226"/>
      <c r="AT188" s="226"/>
      <c r="AU188" s="226"/>
      <c r="AV188" s="226"/>
      <c r="AW188" s="226"/>
      <c r="AX188" s="226"/>
      <c r="AY188" s="226"/>
      <c r="AZ188" s="226"/>
      <c r="BA188" s="226"/>
      <c r="BB188" s="226"/>
      <c r="BC188" s="226"/>
      <c r="BD188" s="226"/>
      <c r="BE188" s="226"/>
      <c r="BF188" s="226"/>
      <c r="BG188" s="226"/>
      <c r="BH188" s="226"/>
    </row>
    <row r="189">
      <c r="A189" s="207" t="s">
        <v>203</v>
      </c>
      <c r="B189" s="208" t="s">
        <v>139</v>
      </c>
      <c r="C189" s="209" t="s">
        <v>140</v>
      </c>
      <c r="D189" s="210"/>
      <c r="E189" s="211"/>
      <c r="F189" s="212"/>
      <c r="G189" s="213">
        <f>SUMIF(AG190:AG223,"&lt;&gt;NOR",G190:G223)</f>
        <v>0</v>
      </c>
      <c r="H189" s="214"/>
      <c r="I189" s="214">
        <f>SUM(I190:I223)</f>
        <v>0</v>
      </c>
      <c r="J189" s="214"/>
      <c r="K189" s="214">
        <f>SUM(K190:K223)</f>
        <v>0</v>
      </c>
      <c r="L189" s="214"/>
      <c r="M189" s="214">
        <f>SUM(M190:M223)</f>
        <v>0</v>
      </c>
      <c r="N189" s="215"/>
      <c r="O189" s="215">
        <f>SUM(O190:O223)</f>
        <v>98.419999999999987</v>
      </c>
      <c r="P189" s="215"/>
      <c r="Q189" s="215">
        <f>SUM(Q190:Q223)</f>
        <v>0</v>
      </c>
      <c r="R189" s="214"/>
      <c r="S189" s="214"/>
      <c r="T189" s="214"/>
      <c r="U189" s="214"/>
      <c r="V189" s="214">
        <f>SUM(V190:V223)</f>
        <v>291.82999999999998</v>
      </c>
      <c r="W189" s="214"/>
      <c r="X189" s="214"/>
      <c r="Y189" s="214"/>
      <c r="AG189" t="s">
        <v>204</v>
      </c>
    </row>
    <row r="190" outlineLevel="1" ht="22.5">
      <c r="A190" s="216">
        <v>31</v>
      </c>
      <c r="B190" s="217" t="s">
        <v>552</v>
      </c>
      <c r="C190" s="218" t="s">
        <v>553</v>
      </c>
      <c r="D190" s="219" t="s">
        <v>221</v>
      </c>
      <c r="E190" s="220">
        <v>40.32</v>
      </c>
      <c r="F190" s="221"/>
      <c r="G190" s="222">
        <f>ROUND(E190*F190,2)</f>
        <v>0</v>
      </c>
      <c r="H190" s="223"/>
      <c r="I190" s="224">
        <f>ROUND(E190*H190,2)</f>
        <v>0</v>
      </c>
      <c r="J190" s="223"/>
      <c r="K190" s="224">
        <f>ROUND(E190*J190,2)</f>
        <v>0</v>
      </c>
      <c r="L190" s="224">
        <v>21</v>
      </c>
      <c r="M190" s="224">
        <f>G190*(1+L190/100)</f>
        <v>0</v>
      </c>
      <c r="N190" s="225">
        <v>2.323</v>
      </c>
      <c r="O190" s="225">
        <f>ROUND(E190*N190,2)</f>
        <v>93.659999999999997</v>
      </c>
      <c r="P190" s="225">
        <v>0</v>
      </c>
      <c r="Q190" s="225">
        <f>ROUND(E190*P190,2)</f>
        <v>0</v>
      </c>
      <c r="R190" s="224"/>
      <c r="S190" s="224" t="s">
        <v>395</v>
      </c>
      <c r="T190" s="224" t="s">
        <v>209</v>
      </c>
      <c r="U190" s="224">
        <v>2.3170000000000002</v>
      </c>
      <c r="V190" s="224">
        <f>ROUND(E190*U190,2)</f>
        <v>93.420000000000002</v>
      </c>
      <c r="W190" s="224"/>
      <c r="X190" s="224" t="s">
        <v>210</v>
      </c>
      <c r="Y190" s="224" t="s">
        <v>211</v>
      </c>
      <c r="Z190" s="226"/>
      <c r="AA190" s="226"/>
      <c r="AB190" s="226"/>
      <c r="AC190" s="226"/>
      <c r="AD190" s="226"/>
      <c r="AE190" s="226"/>
      <c r="AF190" s="226"/>
      <c r="AG190" s="226" t="s">
        <v>396</v>
      </c>
      <c r="AH190" s="226"/>
      <c r="AI190" s="226"/>
      <c r="AJ190" s="226"/>
      <c r="AK190" s="226"/>
      <c r="AL190" s="226"/>
      <c r="AM190" s="226"/>
      <c r="AN190" s="226"/>
      <c r="AO190" s="226"/>
      <c r="AP190" s="226"/>
      <c r="AQ190" s="226"/>
      <c r="AR190" s="226"/>
      <c r="AS190" s="226"/>
      <c r="AT190" s="226"/>
      <c r="AU190" s="226"/>
      <c r="AV190" s="226"/>
      <c r="AW190" s="226"/>
      <c r="AX190" s="226"/>
      <c r="AY190" s="226"/>
      <c r="AZ190" s="226"/>
      <c r="BA190" s="226"/>
      <c r="BB190" s="226"/>
      <c r="BC190" s="226"/>
      <c r="BD190" s="226"/>
      <c r="BE190" s="226"/>
      <c r="BF190" s="226"/>
      <c r="BG190" s="226"/>
      <c r="BH190" s="226"/>
    </row>
    <row r="191" outlineLevel="2">
      <c r="A191" s="227"/>
      <c r="B191" s="228"/>
      <c r="C191" s="229" t="s">
        <v>554</v>
      </c>
      <c r="D191" s="230"/>
      <c r="E191" s="230"/>
      <c r="F191" s="230"/>
      <c r="G191" s="230"/>
      <c r="H191" s="224"/>
      <c r="I191" s="224"/>
      <c r="J191" s="224"/>
      <c r="K191" s="224"/>
      <c r="L191" s="224"/>
      <c r="M191" s="224"/>
      <c r="N191" s="225"/>
      <c r="O191" s="225"/>
      <c r="P191" s="225"/>
      <c r="Q191" s="225"/>
      <c r="R191" s="224"/>
      <c r="S191" s="224"/>
      <c r="T191" s="224"/>
      <c r="U191" s="224"/>
      <c r="V191" s="224"/>
      <c r="W191" s="224"/>
      <c r="X191" s="224"/>
      <c r="Y191" s="224"/>
      <c r="Z191" s="226"/>
      <c r="AA191" s="226"/>
      <c r="AB191" s="226"/>
      <c r="AC191" s="226"/>
      <c r="AD191" s="226"/>
      <c r="AE191" s="226"/>
      <c r="AF191" s="226"/>
      <c r="AG191" s="226" t="s">
        <v>214</v>
      </c>
      <c r="AH191" s="226"/>
      <c r="AI191" s="226"/>
      <c r="AJ191" s="226"/>
      <c r="AK191" s="226"/>
      <c r="AL191" s="226"/>
      <c r="AM191" s="226"/>
      <c r="AN191" s="226"/>
      <c r="AO191" s="226"/>
      <c r="AP191" s="226"/>
      <c r="AQ191" s="226"/>
      <c r="AR191" s="226"/>
      <c r="AS191" s="226"/>
      <c r="AT191" s="226"/>
      <c r="AU191" s="226"/>
      <c r="AV191" s="226"/>
      <c r="AW191" s="226"/>
      <c r="AX191" s="226"/>
      <c r="AY191" s="226"/>
      <c r="AZ191" s="226"/>
      <c r="BA191" s="226"/>
      <c r="BB191" s="226"/>
      <c r="BC191" s="226"/>
      <c r="BD191" s="226"/>
      <c r="BE191" s="226"/>
      <c r="BF191" s="226"/>
      <c r="BG191" s="226"/>
      <c r="BH191" s="226"/>
    </row>
    <row r="192" outlineLevel="2">
      <c r="A192" s="227"/>
      <c r="B192" s="228"/>
      <c r="C192" s="233" t="s">
        <v>555</v>
      </c>
      <c r="D192" s="234"/>
      <c r="E192" s="235">
        <v>39.744</v>
      </c>
      <c r="F192" s="224"/>
      <c r="G192" s="224"/>
      <c r="H192" s="224"/>
      <c r="I192" s="224"/>
      <c r="J192" s="224"/>
      <c r="K192" s="224"/>
      <c r="L192" s="224"/>
      <c r="M192" s="224"/>
      <c r="N192" s="225"/>
      <c r="O192" s="225"/>
      <c r="P192" s="225"/>
      <c r="Q192" s="225"/>
      <c r="R192" s="224"/>
      <c r="S192" s="224"/>
      <c r="T192" s="224"/>
      <c r="U192" s="224"/>
      <c r="V192" s="224"/>
      <c r="W192" s="224"/>
      <c r="X192" s="224"/>
      <c r="Y192" s="224"/>
      <c r="Z192" s="226"/>
      <c r="AA192" s="226"/>
      <c r="AB192" s="226"/>
      <c r="AC192" s="226"/>
      <c r="AD192" s="226"/>
      <c r="AE192" s="226"/>
      <c r="AF192" s="226"/>
      <c r="AG192" s="226" t="s">
        <v>217</v>
      </c>
      <c r="AH192" s="226">
        <v>0</v>
      </c>
      <c r="AI192" s="226"/>
      <c r="AJ192" s="226"/>
      <c r="AK192" s="226"/>
      <c r="AL192" s="226"/>
      <c r="AM192" s="226"/>
      <c r="AN192" s="226"/>
      <c r="AO192" s="226"/>
      <c r="AP192" s="226"/>
      <c r="AQ192" s="226"/>
      <c r="AR192" s="226"/>
      <c r="AS192" s="226"/>
      <c r="AT192" s="226"/>
      <c r="AU192" s="226"/>
      <c r="AV192" s="226"/>
      <c r="AW192" s="226"/>
      <c r="AX192" s="226"/>
      <c r="AY192" s="226"/>
      <c r="AZ192" s="226"/>
      <c r="BA192" s="226"/>
      <c r="BB192" s="226"/>
      <c r="BC192" s="226"/>
      <c r="BD192" s="226"/>
      <c r="BE192" s="226"/>
      <c r="BF192" s="226"/>
      <c r="BG192" s="226"/>
      <c r="BH192" s="226"/>
    </row>
    <row r="193" outlineLevel="3">
      <c r="A193" s="227"/>
      <c r="B193" s="228"/>
      <c r="C193" s="233" t="s">
        <v>556</v>
      </c>
      <c r="D193" s="234"/>
      <c r="E193" s="235">
        <v>0.83199999999999996</v>
      </c>
      <c r="F193" s="224"/>
      <c r="G193" s="224"/>
      <c r="H193" s="224"/>
      <c r="I193" s="224"/>
      <c r="J193" s="224"/>
      <c r="K193" s="224"/>
      <c r="L193" s="224"/>
      <c r="M193" s="224"/>
      <c r="N193" s="225"/>
      <c r="O193" s="225"/>
      <c r="P193" s="225"/>
      <c r="Q193" s="225"/>
      <c r="R193" s="224"/>
      <c r="S193" s="224"/>
      <c r="T193" s="224"/>
      <c r="U193" s="224"/>
      <c r="V193" s="224"/>
      <c r="W193" s="224"/>
      <c r="X193" s="224"/>
      <c r="Y193" s="224"/>
      <c r="Z193" s="226"/>
      <c r="AA193" s="226"/>
      <c r="AB193" s="226"/>
      <c r="AC193" s="226"/>
      <c r="AD193" s="226"/>
      <c r="AE193" s="226"/>
      <c r="AF193" s="226"/>
      <c r="AG193" s="226" t="s">
        <v>217</v>
      </c>
      <c r="AH193" s="226">
        <v>0</v>
      </c>
      <c r="AI193" s="226"/>
      <c r="AJ193" s="226"/>
      <c r="AK193" s="226"/>
      <c r="AL193" s="226"/>
      <c r="AM193" s="226"/>
      <c r="AN193" s="226"/>
      <c r="AO193" s="226"/>
      <c r="AP193" s="226"/>
      <c r="AQ193" s="226"/>
      <c r="AR193" s="226"/>
      <c r="AS193" s="226"/>
      <c r="AT193" s="226"/>
      <c r="AU193" s="226"/>
      <c r="AV193" s="226"/>
      <c r="AW193" s="226"/>
      <c r="AX193" s="226"/>
      <c r="AY193" s="226"/>
      <c r="AZ193" s="226"/>
      <c r="BA193" s="226"/>
      <c r="BB193" s="226"/>
      <c r="BC193" s="226"/>
      <c r="BD193" s="226"/>
      <c r="BE193" s="226"/>
      <c r="BF193" s="226"/>
      <c r="BG193" s="226"/>
      <c r="BH193" s="226"/>
    </row>
    <row r="194" outlineLevel="3">
      <c r="A194" s="227"/>
      <c r="B194" s="228"/>
      <c r="C194" s="233" t="s">
        <v>557</v>
      </c>
      <c r="D194" s="234"/>
      <c r="E194" s="235">
        <v>-0.25600000000000001</v>
      </c>
      <c r="F194" s="224"/>
      <c r="G194" s="224"/>
      <c r="H194" s="224"/>
      <c r="I194" s="224"/>
      <c r="J194" s="224"/>
      <c r="K194" s="224"/>
      <c r="L194" s="224"/>
      <c r="M194" s="224"/>
      <c r="N194" s="225"/>
      <c r="O194" s="225"/>
      <c r="P194" s="225"/>
      <c r="Q194" s="225"/>
      <c r="R194" s="224"/>
      <c r="S194" s="224"/>
      <c r="T194" s="224"/>
      <c r="U194" s="224"/>
      <c r="V194" s="224"/>
      <c r="W194" s="224"/>
      <c r="X194" s="224"/>
      <c r="Y194" s="224"/>
      <c r="Z194" s="226"/>
      <c r="AA194" s="226"/>
      <c r="AB194" s="226"/>
      <c r="AC194" s="226"/>
      <c r="AD194" s="226"/>
      <c r="AE194" s="226"/>
      <c r="AF194" s="226"/>
      <c r="AG194" s="226" t="s">
        <v>217</v>
      </c>
      <c r="AH194" s="226">
        <v>0</v>
      </c>
      <c r="AI194" s="226"/>
      <c r="AJ194" s="226"/>
      <c r="AK194" s="226"/>
      <c r="AL194" s="226"/>
      <c r="AM194" s="226"/>
      <c r="AN194" s="226"/>
      <c r="AO194" s="226"/>
      <c r="AP194" s="226"/>
      <c r="AQ194" s="226"/>
      <c r="AR194" s="226"/>
      <c r="AS194" s="226"/>
      <c r="AT194" s="226"/>
      <c r="AU194" s="226"/>
      <c r="AV194" s="226"/>
      <c r="AW194" s="226"/>
      <c r="AX194" s="226"/>
      <c r="AY194" s="226"/>
      <c r="AZ194" s="226"/>
      <c r="BA194" s="226"/>
      <c r="BB194" s="226"/>
      <c r="BC194" s="226"/>
      <c r="BD194" s="226"/>
      <c r="BE194" s="226"/>
      <c r="BF194" s="226"/>
      <c r="BG194" s="226"/>
      <c r="BH194" s="226"/>
    </row>
    <row r="195" outlineLevel="1">
      <c r="A195" s="216">
        <v>32</v>
      </c>
      <c r="B195" s="217" t="s">
        <v>558</v>
      </c>
      <c r="C195" s="218" t="s">
        <v>559</v>
      </c>
      <c r="D195" s="219" t="s">
        <v>207</v>
      </c>
      <c r="E195" s="220">
        <v>201.59999999999999</v>
      </c>
      <c r="F195" s="221"/>
      <c r="G195" s="222">
        <f>ROUND(E195*F195,2)</f>
        <v>0</v>
      </c>
      <c r="H195" s="223"/>
      <c r="I195" s="224">
        <f>ROUND(E195*H195,2)</f>
        <v>0</v>
      </c>
      <c r="J195" s="223"/>
      <c r="K195" s="224">
        <f>ROUND(E195*J195,2)</f>
        <v>0</v>
      </c>
      <c r="L195" s="224">
        <v>21</v>
      </c>
      <c r="M195" s="224">
        <f>G195*(1+L195/100)</f>
        <v>0</v>
      </c>
      <c r="N195" s="225">
        <v>0.00022000000000000001</v>
      </c>
      <c r="O195" s="225">
        <f>ROUND(E195*N195,2)</f>
        <v>0.040000000000000001</v>
      </c>
      <c r="P195" s="225">
        <v>0</v>
      </c>
      <c r="Q195" s="225">
        <f>ROUND(E195*P195,2)</f>
        <v>0</v>
      </c>
      <c r="R195" s="224"/>
      <c r="S195" s="224" t="s">
        <v>395</v>
      </c>
      <c r="T195" s="224" t="s">
        <v>209</v>
      </c>
      <c r="U195" s="224">
        <v>0.02</v>
      </c>
      <c r="V195" s="224">
        <f>ROUND(E195*U195,2)</f>
        <v>4.0300000000000002</v>
      </c>
      <c r="W195" s="224"/>
      <c r="X195" s="224" t="s">
        <v>210</v>
      </c>
      <c r="Y195" s="224" t="s">
        <v>211</v>
      </c>
      <c r="Z195" s="226"/>
      <c r="AA195" s="226"/>
      <c r="AB195" s="226"/>
      <c r="AC195" s="226"/>
      <c r="AD195" s="226"/>
      <c r="AE195" s="226"/>
      <c r="AF195" s="226"/>
      <c r="AG195" s="226" t="s">
        <v>396</v>
      </c>
      <c r="AH195" s="226"/>
      <c r="AI195" s="226"/>
      <c r="AJ195" s="226"/>
      <c r="AK195" s="226"/>
      <c r="AL195" s="226"/>
      <c r="AM195" s="226"/>
      <c r="AN195" s="226"/>
      <c r="AO195" s="226"/>
      <c r="AP195" s="226"/>
      <c r="AQ195" s="226"/>
      <c r="AR195" s="226"/>
      <c r="AS195" s="226"/>
      <c r="AT195" s="226"/>
      <c r="AU195" s="226"/>
      <c r="AV195" s="226"/>
      <c r="AW195" s="226"/>
      <c r="AX195" s="226"/>
      <c r="AY195" s="226"/>
      <c r="AZ195" s="226"/>
      <c r="BA195" s="226"/>
      <c r="BB195" s="226"/>
      <c r="BC195" s="226"/>
      <c r="BD195" s="226"/>
      <c r="BE195" s="226"/>
      <c r="BF195" s="226"/>
      <c r="BG195" s="226"/>
      <c r="BH195" s="226"/>
    </row>
    <row r="196" outlineLevel="2">
      <c r="A196" s="227"/>
      <c r="B196" s="228"/>
      <c r="C196" s="233" t="s">
        <v>560</v>
      </c>
      <c r="D196" s="234"/>
      <c r="E196" s="235">
        <v>201.59999999999999</v>
      </c>
      <c r="F196" s="224"/>
      <c r="G196" s="224"/>
      <c r="H196" s="224"/>
      <c r="I196" s="224"/>
      <c r="J196" s="224"/>
      <c r="K196" s="224"/>
      <c r="L196" s="224"/>
      <c r="M196" s="224"/>
      <c r="N196" s="225"/>
      <c r="O196" s="225"/>
      <c r="P196" s="225"/>
      <c r="Q196" s="225"/>
      <c r="R196" s="224"/>
      <c r="S196" s="224"/>
      <c r="T196" s="224"/>
      <c r="U196" s="224"/>
      <c r="V196" s="224"/>
      <c r="W196" s="224"/>
      <c r="X196" s="224"/>
      <c r="Y196" s="224"/>
      <c r="Z196" s="226"/>
      <c r="AA196" s="226"/>
      <c r="AB196" s="226"/>
      <c r="AC196" s="226"/>
      <c r="AD196" s="226"/>
      <c r="AE196" s="226"/>
      <c r="AF196" s="226"/>
      <c r="AG196" s="226" t="s">
        <v>217</v>
      </c>
      <c r="AH196" s="226">
        <v>5</v>
      </c>
      <c r="AI196" s="226"/>
      <c r="AJ196" s="226"/>
      <c r="AK196" s="226"/>
      <c r="AL196" s="226"/>
      <c r="AM196" s="226"/>
      <c r="AN196" s="226"/>
      <c r="AO196" s="226"/>
      <c r="AP196" s="226"/>
      <c r="AQ196" s="226"/>
      <c r="AR196" s="226"/>
      <c r="AS196" s="226"/>
      <c r="AT196" s="226"/>
      <c r="AU196" s="226"/>
      <c r="AV196" s="226"/>
      <c r="AW196" s="226"/>
      <c r="AX196" s="226"/>
      <c r="AY196" s="226"/>
      <c r="AZ196" s="226"/>
      <c r="BA196" s="226"/>
      <c r="BB196" s="226"/>
      <c r="BC196" s="226"/>
      <c r="BD196" s="226"/>
      <c r="BE196" s="226"/>
      <c r="BF196" s="226"/>
      <c r="BG196" s="226"/>
      <c r="BH196" s="226"/>
    </row>
    <row r="197" outlineLevel="1" ht="22.5">
      <c r="A197" s="216">
        <v>33</v>
      </c>
      <c r="B197" s="217" t="s">
        <v>561</v>
      </c>
      <c r="C197" s="218" t="s">
        <v>562</v>
      </c>
      <c r="D197" s="219" t="s">
        <v>207</v>
      </c>
      <c r="E197" s="220">
        <v>201.59999999999999</v>
      </c>
      <c r="F197" s="221"/>
      <c r="G197" s="222">
        <f>ROUND(E197*F197,2)</f>
        <v>0</v>
      </c>
      <c r="H197" s="223"/>
      <c r="I197" s="224">
        <f>ROUND(E197*H197,2)</f>
        <v>0</v>
      </c>
      <c r="J197" s="223"/>
      <c r="K197" s="224">
        <f>ROUND(E197*J197,2)</f>
        <v>0</v>
      </c>
      <c r="L197" s="224">
        <v>21</v>
      </c>
      <c r="M197" s="224">
        <f>G197*(1+L197/100)</f>
        <v>0</v>
      </c>
      <c r="N197" s="225">
        <v>0.0050000000000000001</v>
      </c>
      <c r="O197" s="225">
        <f>ROUND(E197*N197,2)</f>
        <v>1.01</v>
      </c>
      <c r="P197" s="225">
        <v>0</v>
      </c>
      <c r="Q197" s="225">
        <f>ROUND(E197*P197,2)</f>
        <v>0</v>
      </c>
      <c r="R197" s="224"/>
      <c r="S197" s="224" t="s">
        <v>395</v>
      </c>
      <c r="T197" s="224" t="s">
        <v>209</v>
      </c>
      <c r="U197" s="224">
        <v>0.17799999999999999</v>
      </c>
      <c r="V197" s="224">
        <f>ROUND(E197*U197,2)</f>
        <v>35.880000000000003</v>
      </c>
      <c r="W197" s="224"/>
      <c r="X197" s="224" t="s">
        <v>210</v>
      </c>
      <c r="Y197" s="224" t="s">
        <v>211</v>
      </c>
      <c r="Z197" s="226"/>
      <c r="AA197" s="226"/>
      <c r="AB197" s="226"/>
      <c r="AC197" s="226"/>
      <c r="AD197" s="226"/>
      <c r="AE197" s="226"/>
      <c r="AF197" s="226"/>
      <c r="AG197" s="226" t="s">
        <v>396</v>
      </c>
      <c r="AH197" s="226"/>
      <c r="AI197" s="226"/>
      <c r="AJ197" s="226"/>
      <c r="AK197" s="226"/>
      <c r="AL197" s="226"/>
      <c r="AM197" s="226"/>
      <c r="AN197" s="226"/>
      <c r="AO197" s="226"/>
      <c r="AP197" s="226"/>
      <c r="AQ197" s="226"/>
      <c r="AR197" s="226"/>
      <c r="AS197" s="226"/>
      <c r="AT197" s="226"/>
      <c r="AU197" s="226"/>
      <c r="AV197" s="226"/>
      <c r="AW197" s="226"/>
      <c r="AX197" s="226"/>
      <c r="AY197" s="226"/>
      <c r="AZ197" s="226"/>
      <c r="BA197" s="226"/>
      <c r="BB197" s="226"/>
      <c r="BC197" s="226"/>
      <c r="BD197" s="226"/>
      <c r="BE197" s="226"/>
      <c r="BF197" s="226"/>
      <c r="BG197" s="226"/>
      <c r="BH197" s="226"/>
    </row>
    <row r="198" outlineLevel="2">
      <c r="A198" s="227"/>
      <c r="B198" s="228"/>
      <c r="C198" s="233" t="s">
        <v>563</v>
      </c>
      <c r="D198" s="234"/>
      <c r="E198" s="235">
        <v>198.72</v>
      </c>
      <c r="F198" s="224"/>
      <c r="G198" s="224"/>
      <c r="H198" s="224"/>
      <c r="I198" s="224"/>
      <c r="J198" s="224"/>
      <c r="K198" s="224"/>
      <c r="L198" s="224"/>
      <c r="M198" s="224"/>
      <c r="N198" s="225"/>
      <c r="O198" s="225"/>
      <c r="P198" s="225"/>
      <c r="Q198" s="225"/>
      <c r="R198" s="224"/>
      <c r="S198" s="224"/>
      <c r="T198" s="224"/>
      <c r="U198" s="224"/>
      <c r="V198" s="224"/>
      <c r="W198" s="224"/>
      <c r="X198" s="224"/>
      <c r="Y198" s="224"/>
      <c r="Z198" s="226"/>
      <c r="AA198" s="226"/>
      <c r="AB198" s="226"/>
      <c r="AC198" s="226"/>
      <c r="AD198" s="226"/>
      <c r="AE198" s="226"/>
      <c r="AF198" s="226"/>
      <c r="AG198" s="226" t="s">
        <v>217</v>
      </c>
      <c r="AH198" s="226">
        <v>0</v>
      </c>
      <c r="AI198" s="226"/>
      <c r="AJ198" s="226"/>
      <c r="AK198" s="226"/>
      <c r="AL198" s="226"/>
      <c r="AM198" s="226"/>
      <c r="AN198" s="226"/>
      <c r="AO198" s="226"/>
      <c r="AP198" s="226"/>
      <c r="AQ198" s="226"/>
      <c r="AR198" s="226"/>
      <c r="AS198" s="226"/>
      <c r="AT198" s="226"/>
      <c r="AU198" s="226"/>
      <c r="AV198" s="226"/>
      <c r="AW198" s="226"/>
      <c r="AX198" s="226"/>
      <c r="AY198" s="226"/>
      <c r="AZ198" s="226"/>
      <c r="BA198" s="226"/>
      <c r="BB198" s="226"/>
      <c r="BC198" s="226"/>
      <c r="BD198" s="226"/>
      <c r="BE198" s="226"/>
      <c r="BF198" s="226"/>
      <c r="BG198" s="226"/>
      <c r="BH198" s="226"/>
    </row>
    <row r="199" outlineLevel="3">
      <c r="A199" s="227"/>
      <c r="B199" s="228"/>
      <c r="C199" s="233" t="s">
        <v>564</v>
      </c>
      <c r="D199" s="234"/>
      <c r="E199" s="235">
        <v>4.1600000000000001</v>
      </c>
      <c r="F199" s="224"/>
      <c r="G199" s="224"/>
      <c r="H199" s="224"/>
      <c r="I199" s="224"/>
      <c r="J199" s="224"/>
      <c r="K199" s="224"/>
      <c r="L199" s="224"/>
      <c r="M199" s="224"/>
      <c r="N199" s="225"/>
      <c r="O199" s="225"/>
      <c r="P199" s="225"/>
      <c r="Q199" s="225"/>
      <c r="R199" s="224"/>
      <c r="S199" s="224"/>
      <c r="T199" s="224"/>
      <c r="U199" s="224"/>
      <c r="V199" s="224"/>
      <c r="W199" s="224"/>
      <c r="X199" s="224"/>
      <c r="Y199" s="224"/>
      <c r="Z199" s="226"/>
      <c r="AA199" s="226"/>
      <c r="AB199" s="226"/>
      <c r="AC199" s="226"/>
      <c r="AD199" s="226"/>
      <c r="AE199" s="226"/>
      <c r="AF199" s="226"/>
      <c r="AG199" s="226" t="s">
        <v>217</v>
      </c>
      <c r="AH199" s="226">
        <v>0</v>
      </c>
      <c r="AI199" s="226"/>
      <c r="AJ199" s="226"/>
      <c r="AK199" s="226"/>
      <c r="AL199" s="226"/>
      <c r="AM199" s="226"/>
      <c r="AN199" s="226"/>
      <c r="AO199" s="226"/>
      <c r="AP199" s="226"/>
      <c r="AQ199" s="226"/>
      <c r="AR199" s="226"/>
      <c r="AS199" s="226"/>
      <c r="AT199" s="226"/>
      <c r="AU199" s="226"/>
      <c r="AV199" s="226"/>
      <c r="AW199" s="226"/>
      <c r="AX199" s="226"/>
      <c r="AY199" s="226"/>
      <c r="AZ199" s="226"/>
      <c r="BA199" s="226"/>
      <c r="BB199" s="226"/>
      <c r="BC199" s="226"/>
      <c r="BD199" s="226"/>
      <c r="BE199" s="226"/>
      <c r="BF199" s="226"/>
      <c r="BG199" s="226"/>
      <c r="BH199" s="226"/>
    </row>
    <row r="200" outlineLevel="3">
      <c r="A200" s="227"/>
      <c r="B200" s="228"/>
      <c r="C200" s="233" t="s">
        <v>565</v>
      </c>
      <c r="D200" s="234"/>
      <c r="E200" s="235">
        <v>-1.28</v>
      </c>
      <c r="F200" s="224"/>
      <c r="G200" s="224"/>
      <c r="H200" s="224"/>
      <c r="I200" s="224"/>
      <c r="J200" s="224"/>
      <c r="K200" s="224"/>
      <c r="L200" s="224"/>
      <c r="M200" s="224"/>
      <c r="N200" s="225"/>
      <c r="O200" s="225"/>
      <c r="P200" s="225"/>
      <c r="Q200" s="225"/>
      <c r="R200" s="224"/>
      <c r="S200" s="224"/>
      <c r="T200" s="224"/>
      <c r="U200" s="224"/>
      <c r="V200" s="224"/>
      <c r="W200" s="224"/>
      <c r="X200" s="224"/>
      <c r="Y200" s="224"/>
      <c r="Z200" s="226"/>
      <c r="AA200" s="226"/>
      <c r="AB200" s="226"/>
      <c r="AC200" s="226"/>
      <c r="AD200" s="226"/>
      <c r="AE200" s="226"/>
      <c r="AF200" s="226"/>
      <c r="AG200" s="226" t="s">
        <v>217</v>
      </c>
      <c r="AH200" s="226">
        <v>0</v>
      </c>
      <c r="AI200" s="226"/>
      <c r="AJ200" s="226"/>
      <c r="AK200" s="226"/>
      <c r="AL200" s="226"/>
      <c r="AM200" s="226"/>
      <c r="AN200" s="226"/>
      <c r="AO200" s="226"/>
      <c r="AP200" s="226"/>
      <c r="AQ200" s="226"/>
      <c r="AR200" s="226"/>
      <c r="AS200" s="226"/>
      <c r="AT200" s="226"/>
      <c r="AU200" s="226"/>
      <c r="AV200" s="226"/>
      <c r="AW200" s="226"/>
      <c r="AX200" s="226"/>
      <c r="AY200" s="226"/>
      <c r="AZ200" s="226"/>
      <c r="BA200" s="226"/>
      <c r="BB200" s="226"/>
      <c r="BC200" s="226"/>
      <c r="BD200" s="226"/>
      <c r="BE200" s="226"/>
      <c r="BF200" s="226"/>
      <c r="BG200" s="226"/>
      <c r="BH200" s="226"/>
    </row>
    <row r="201" outlineLevel="1">
      <c r="A201" s="216">
        <v>34</v>
      </c>
      <c r="B201" s="217" t="s">
        <v>566</v>
      </c>
      <c r="C201" s="218" t="s">
        <v>567</v>
      </c>
      <c r="D201" s="219" t="s">
        <v>207</v>
      </c>
      <c r="E201" s="220">
        <v>201.59999999999999</v>
      </c>
      <c r="F201" s="221"/>
      <c r="G201" s="222">
        <f>ROUND(E201*F201,2)</f>
        <v>0</v>
      </c>
      <c r="H201" s="223"/>
      <c r="I201" s="224">
        <f>ROUND(E201*H201,2)</f>
        <v>0</v>
      </c>
      <c r="J201" s="223"/>
      <c r="K201" s="224">
        <f>ROUND(E201*J201,2)</f>
        <v>0</v>
      </c>
      <c r="L201" s="224">
        <v>21</v>
      </c>
      <c r="M201" s="224">
        <f>G201*(1+L201/100)</f>
        <v>0</v>
      </c>
      <c r="N201" s="225">
        <v>0</v>
      </c>
      <c r="O201" s="225">
        <f>ROUND(E201*N201,2)</f>
        <v>0</v>
      </c>
      <c r="P201" s="225">
        <v>0</v>
      </c>
      <c r="Q201" s="225">
        <f>ROUND(E201*P201,2)</f>
        <v>0</v>
      </c>
      <c r="R201" s="224"/>
      <c r="S201" s="224" t="s">
        <v>395</v>
      </c>
      <c r="T201" s="224" t="s">
        <v>209</v>
      </c>
      <c r="U201" s="224">
        <v>0.17799999999999999</v>
      </c>
      <c r="V201" s="224">
        <f>ROUND(E201*U201,2)</f>
        <v>35.880000000000003</v>
      </c>
      <c r="W201" s="224"/>
      <c r="X201" s="224" t="s">
        <v>210</v>
      </c>
      <c r="Y201" s="224" t="s">
        <v>211</v>
      </c>
      <c r="Z201" s="226"/>
      <c r="AA201" s="226"/>
      <c r="AB201" s="226"/>
      <c r="AC201" s="226"/>
      <c r="AD201" s="226"/>
      <c r="AE201" s="226"/>
      <c r="AF201" s="226"/>
      <c r="AG201" s="226" t="s">
        <v>396</v>
      </c>
      <c r="AH201" s="226"/>
      <c r="AI201" s="226"/>
      <c r="AJ201" s="226"/>
      <c r="AK201" s="226"/>
      <c r="AL201" s="226"/>
      <c r="AM201" s="226"/>
      <c r="AN201" s="226"/>
      <c r="AO201" s="226"/>
      <c r="AP201" s="226"/>
      <c r="AQ201" s="226"/>
      <c r="AR201" s="226"/>
      <c r="AS201" s="226"/>
      <c r="AT201" s="226"/>
      <c r="AU201" s="226"/>
      <c r="AV201" s="226"/>
      <c r="AW201" s="226"/>
      <c r="AX201" s="226"/>
      <c r="AY201" s="226"/>
      <c r="AZ201" s="226"/>
      <c r="BA201" s="226"/>
      <c r="BB201" s="226"/>
      <c r="BC201" s="226"/>
      <c r="BD201" s="226"/>
      <c r="BE201" s="226"/>
      <c r="BF201" s="226"/>
      <c r="BG201" s="226"/>
      <c r="BH201" s="226"/>
    </row>
    <row r="202" outlineLevel="2">
      <c r="A202" s="227"/>
      <c r="B202" s="228"/>
      <c r="C202" s="233" t="s">
        <v>560</v>
      </c>
      <c r="D202" s="234"/>
      <c r="E202" s="235">
        <v>201.59999999999999</v>
      </c>
      <c r="F202" s="224"/>
      <c r="G202" s="224"/>
      <c r="H202" s="224"/>
      <c r="I202" s="224"/>
      <c r="J202" s="224"/>
      <c r="K202" s="224"/>
      <c r="L202" s="224"/>
      <c r="M202" s="224"/>
      <c r="N202" s="225"/>
      <c r="O202" s="225"/>
      <c r="P202" s="225"/>
      <c r="Q202" s="225"/>
      <c r="R202" s="224"/>
      <c r="S202" s="224"/>
      <c r="T202" s="224"/>
      <c r="U202" s="224"/>
      <c r="V202" s="224"/>
      <c r="W202" s="224"/>
      <c r="X202" s="224"/>
      <c r="Y202" s="224"/>
      <c r="Z202" s="226"/>
      <c r="AA202" s="226"/>
      <c r="AB202" s="226"/>
      <c r="AC202" s="226"/>
      <c r="AD202" s="226"/>
      <c r="AE202" s="226"/>
      <c r="AF202" s="226"/>
      <c r="AG202" s="226" t="s">
        <v>217</v>
      </c>
      <c r="AH202" s="226">
        <v>5</v>
      </c>
      <c r="AI202" s="226"/>
      <c r="AJ202" s="226"/>
      <c r="AK202" s="226"/>
      <c r="AL202" s="226"/>
      <c r="AM202" s="226"/>
      <c r="AN202" s="226"/>
      <c r="AO202" s="226"/>
      <c r="AP202" s="226"/>
      <c r="AQ202" s="226"/>
      <c r="AR202" s="226"/>
      <c r="AS202" s="226"/>
      <c r="AT202" s="226"/>
      <c r="AU202" s="226"/>
      <c r="AV202" s="226"/>
      <c r="AW202" s="226"/>
      <c r="AX202" s="226"/>
      <c r="AY202" s="226"/>
      <c r="AZ202" s="226"/>
      <c r="BA202" s="226"/>
      <c r="BB202" s="226"/>
      <c r="BC202" s="226"/>
      <c r="BD202" s="226"/>
      <c r="BE202" s="226"/>
      <c r="BF202" s="226"/>
      <c r="BG202" s="226"/>
      <c r="BH202" s="226"/>
    </row>
    <row r="203" outlineLevel="1">
      <c r="A203" s="216">
        <v>35</v>
      </c>
      <c r="B203" s="217" t="s">
        <v>568</v>
      </c>
      <c r="C203" s="218" t="s">
        <v>569</v>
      </c>
      <c r="D203" s="219" t="s">
        <v>320</v>
      </c>
      <c r="E203" s="220">
        <v>409.19999999999999</v>
      </c>
      <c r="F203" s="221"/>
      <c r="G203" s="222">
        <f>ROUND(E203*F203,2)</f>
        <v>0</v>
      </c>
      <c r="H203" s="223"/>
      <c r="I203" s="224">
        <f>ROUND(E203*H203,2)</f>
        <v>0</v>
      </c>
      <c r="J203" s="223"/>
      <c r="K203" s="224">
        <f>ROUND(E203*J203,2)</f>
        <v>0</v>
      </c>
      <c r="L203" s="224">
        <v>21</v>
      </c>
      <c r="M203" s="224">
        <f>G203*(1+L203/100)</f>
        <v>0</v>
      </c>
      <c r="N203" s="225">
        <v>0</v>
      </c>
      <c r="O203" s="225">
        <f>ROUND(E203*N203,2)</f>
        <v>0</v>
      </c>
      <c r="P203" s="225">
        <v>0</v>
      </c>
      <c r="Q203" s="225">
        <f>ROUND(E203*P203,2)</f>
        <v>0</v>
      </c>
      <c r="R203" s="224"/>
      <c r="S203" s="224" t="s">
        <v>395</v>
      </c>
      <c r="T203" s="224" t="s">
        <v>209</v>
      </c>
      <c r="U203" s="224">
        <v>0.072999999999999995</v>
      </c>
      <c r="V203" s="224">
        <f>ROUND(E203*U203,2)</f>
        <v>29.870000000000001</v>
      </c>
      <c r="W203" s="224"/>
      <c r="X203" s="224" t="s">
        <v>210</v>
      </c>
      <c r="Y203" s="224" t="s">
        <v>211</v>
      </c>
      <c r="Z203" s="226"/>
      <c r="AA203" s="226"/>
      <c r="AB203" s="226"/>
      <c r="AC203" s="226"/>
      <c r="AD203" s="226"/>
      <c r="AE203" s="226"/>
      <c r="AF203" s="226"/>
      <c r="AG203" s="226" t="s">
        <v>396</v>
      </c>
      <c r="AH203" s="226"/>
      <c r="AI203" s="226"/>
      <c r="AJ203" s="226"/>
      <c r="AK203" s="226"/>
      <c r="AL203" s="226"/>
      <c r="AM203" s="226"/>
      <c r="AN203" s="226"/>
      <c r="AO203" s="226"/>
      <c r="AP203" s="226"/>
      <c r="AQ203" s="226"/>
      <c r="AR203" s="226"/>
      <c r="AS203" s="226"/>
      <c r="AT203" s="226"/>
      <c r="AU203" s="226"/>
      <c r="AV203" s="226"/>
      <c r="AW203" s="226"/>
      <c r="AX203" s="226"/>
      <c r="AY203" s="226"/>
      <c r="AZ203" s="226"/>
      <c r="BA203" s="226"/>
      <c r="BB203" s="226"/>
      <c r="BC203" s="226"/>
      <c r="BD203" s="226"/>
      <c r="BE203" s="226"/>
      <c r="BF203" s="226"/>
      <c r="BG203" s="226"/>
      <c r="BH203" s="226"/>
    </row>
    <row r="204" outlineLevel="2">
      <c r="A204" s="227"/>
      <c r="B204" s="228"/>
      <c r="C204" s="233" t="s">
        <v>570</v>
      </c>
      <c r="D204" s="234"/>
      <c r="E204" s="235">
        <v>216</v>
      </c>
      <c r="F204" s="224"/>
      <c r="G204" s="224"/>
      <c r="H204" s="224"/>
      <c r="I204" s="224"/>
      <c r="J204" s="224"/>
      <c r="K204" s="224"/>
      <c r="L204" s="224"/>
      <c r="M204" s="224"/>
      <c r="N204" s="225"/>
      <c r="O204" s="225"/>
      <c r="P204" s="225"/>
      <c r="Q204" s="225"/>
      <c r="R204" s="224"/>
      <c r="S204" s="224"/>
      <c r="T204" s="224"/>
      <c r="U204" s="224"/>
      <c r="V204" s="224"/>
      <c r="W204" s="224"/>
      <c r="X204" s="224"/>
      <c r="Y204" s="224"/>
      <c r="Z204" s="226"/>
      <c r="AA204" s="226"/>
      <c r="AB204" s="226"/>
      <c r="AC204" s="226"/>
      <c r="AD204" s="226"/>
      <c r="AE204" s="226"/>
      <c r="AF204" s="226"/>
      <c r="AG204" s="226" t="s">
        <v>217</v>
      </c>
      <c r="AH204" s="226">
        <v>0</v>
      </c>
      <c r="AI204" s="226"/>
      <c r="AJ204" s="226"/>
      <c r="AK204" s="226"/>
      <c r="AL204" s="226"/>
      <c r="AM204" s="226"/>
      <c r="AN204" s="226"/>
      <c r="AO204" s="226"/>
      <c r="AP204" s="226"/>
      <c r="AQ204" s="226"/>
      <c r="AR204" s="226"/>
      <c r="AS204" s="226"/>
      <c r="AT204" s="226"/>
      <c r="AU204" s="226"/>
      <c r="AV204" s="226"/>
      <c r="AW204" s="226"/>
      <c r="AX204" s="226"/>
      <c r="AY204" s="226"/>
      <c r="AZ204" s="226"/>
      <c r="BA204" s="226"/>
      <c r="BB204" s="226"/>
      <c r="BC204" s="226"/>
      <c r="BD204" s="226"/>
      <c r="BE204" s="226"/>
      <c r="BF204" s="226"/>
      <c r="BG204" s="226"/>
      <c r="BH204" s="226"/>
    </row>
    <row r="205" outlineLevel="3">
      <c r="A205" s="227"/>
      <c r="B205" s="228"/>
      <c r="C205" s="233" t="s">
        <v>571</v>
      </c>
      <c r="D205" s="234"/>
      <c r="E205" s="235">
        <v>193.19999999999999</v>
      </c>
      <c r="F205" s="224"/>
      <c r="G205" s="224"/>
      <c r="H205" s="224"/>
      <c r="I205" s="224"/>
      <c r="J205" s="224"/>
      <c r="K205" s="224"/>
      <c r="L205" s="224"/>
      <c r="M205" s="224"/>
      <c r="N205" s="225"/>
      <c r="O205" s="225"/>
      <c r="P205" s="225"/>
      <c r="Q205" s="225"/>
      <c r="R205" s="224"/>
      <c r="S205" s="224"/>
      <c r="T205" s="224"/>
      <c r="U205" s="224"/>
      <c r="V205" s="224"/>
      <c r="W205" s="224"/>
      <c r="X205" s="224"/>
      <c r="Y205" s="224"/>
      <c r="Z205" s="226"/>
      <c r="AA205" s="226"/>
      <c r="AB205" s="226"/>
      <c r="AC205" s="226"/>
      <c r="AD205" s="226"/>
      <c r="AE205" s="226"/>
      <c r="AF205" s="226"/>
      <c r="AG205" s="226" t="s">
        <v>217</v>
      </c>
      <c r="AH205" s="226">
        <v>0</v>
      </c>
      <c r="AI205" s="226"/>
      <c r="AJ205" s="226"/>
      <c r="AK205" s="226"/>
      <c r="AL205" s="226"/>
      <c r="AM205" s="226"/>
      <c r="AN205" s="226"/>
      <c r="AO205" s="226"/>
      <c r="AP205" s="226"/>
      <c r="AQ205" s="226"/>
      <c r="AR205" s="226"/>
      <c r="AS205" s="226"/>
      <c r="AT205" s="226"/>
      <c r="AU205" s="226"/>
      <c r="AV205" s="226"/>
      <c r="AW205" s="226"/>
      <c r="AX205" s="226"/>
      <c r="AY205" s="226"/>
      <c r="AZ205" s="226"/>
      <c r="BA205" s="226"/>
      <c r="BB205" s="226"/>
      <c r="BC205" s="226"/>
      <c r="BD205" s="226"/>
      <c r="BE205" s="226"/>
      <c r="BF205" s="226"/>
      <c r="BG205" s="226"/>
      <c r="BH205" s="226"/>
    </row>
    <row r="206" outlineLevel="1">
      <c r="A206" s="216">
        <v>36</v>
      </c>
      <c r="B206" s="217" t="s">
        <v>572</v>
      </c>
      <c r="C206" s="218" t="s">
        <v>573</v>
      </c>
      <c r="D206" s="219" t="s">
        <v>221</v>
      </c>
      <c r="E206" s="220">
        <v>40.32</v>
      </c>
      <c r="F206" s="221"/>
      <c r="G206" s="222">
        <f>ROUND(E206*F206,2)</f>
        <v>0</v>
      </c>
      <c r="H206" s="223"/>
      <c r="I206" s="224">
        <f>ROUND(E206*H206,2)</f>
        <v>0</v>
      </c>
      <c r="J206" s="223"/>
      <c r="K206" s="224">
        <f>ROUND(E206*J206,2)</f>
        <v>0</v>
      </c>
      <c r="L206" s="224">
        <v>21</v>
      </c>
      <c r="M206" s="224">
        <f>G206*(1+L206/100)</f>
        <v>0</v>
      </c>
      <c r="N206" s="225">
        <v>0</v>
      </c>
      <c r="O206" s="225">
        <f>ROUND(E206*N206,2)</f>
        <v>0</v>
      </c>
      <c r="P206" s="225">
        <v>0</v>
      </c>
      <c r="Q206" s="225">
        <f>ROUND(E206*P206,2)</f>
        <v>0</v>
      </c>
      <c r="R206" s="224"/>
      <c r="S206" s="224" t="s">
        <v>395</v>
      </c>
      <c r="T206" s="224" t="s">
        <v>209</v>
      </c>
      <c r="U206" s="224">
        <v>0.20499999999999999</v>
      </c>
      <c r="V206" s="224">
        <f>ROUND(E206*U206,2)</f>
        <v>8.2699999999999996</v>
      </c>
      <c r="W206" s="224"/>
      <c r="X206" s="224" t="s">
        <v>210</v>
      </c>
      <c r="Y206" s="224" t="s">
        <v>211</v>
      </c>
      <c r="Z206" s="226"/>
      <c r="AA206" s="226"/>
      <c r="AB206" s="226"/>
      <c r="AC206" s="226"/>
      <c r="AD206" s="226"/>
      <c r="AE206" s="226"/>
      <c r="AF206" s="226"/>
      <c r="AG206" s="226" t="s">
        <v>396</v>
      </c>
      <c r="AH206" s="226"/>
      <c r="AI206" s="226"/>
      <c r="AJ206" s="226"/>
      <c r="AK206" s="226"/>
      <c r="AL206" s="226"/>
      <c r="AM206" s="226"/>
      <c r="AN206" s="226"/>
      <c r="AO206" s="226"/>
      <c r="AP206" s="226"/>
      <c r="AQ206" s="226"/>
      <c r="AR206" s="226"/>
      <c r="AS206" s="226"/>
      <c r="AT206" s="226"/>
      <c r="AU206" s="226"/>
      <c r="AV206" s="226"/>
      <c r="AW206" s="226"/>
      <c r="AX206" s="226"/>
      <c r="AY206" s="226"/>
      <c r="AZ206" s="226"/>
      <c r="BA206" s="226"/>
      <c r="BB206" s="226"/>
      <c r="BC206" s="226"/>
      <c r="BD206" s="226"/>
      <c r="BE206" s="226"/>
      <c r="BF206" s="226"/>
      <c r="BG206" s="226"/>
      <c r="BH206" s="226"/>
    </row>
    <row r="207" outlineLevel="2">
      <c r="A207" s="227"/>
      <c r="B207" s="228"/>
      <c r="C207" s="233" t="s">
        <v>574</v>
      </c>
      <c r="D207" s="234"/>
      <c r="E207" s="235">
        <v>40.32</v>
      </c>
      <c r="F207" s="224"/>
      <c r="G207" s="224"/>
      <c r="H207" s="224"/>
      <c r="I207" s="224"/>
      <c r="J207" s="224"/>
      <c r="K207" s="224"/>
      <c r="L207" s="224"/>
      <c r="M207" s="224"/>
      <c r="N207" s="225"/>
      <c r="O207" s="225"/>
      <c r="P207" s="225"/>
      <c r="Q207" s="225"/>
      <c r="R207" s="224"/>
      <c r="S207" s="224"/>
      <c r="T207" s="224"/>
      <c r="U207" s="224"/>
      <c r="V207" s="224"/>
      <c r="W207" s="224"/>
      <c r="X207" s="224"/>
      <c r="Y207" s="224"/>
      <c r="Z207" s="226"/>
      <c r="AA207" s="226"/>
      <c r="AB207" s="226"/>
      <c r="AC207" s="226"/>
      <c r="AD207" s="226"/>
      <c r="AE207" s="226"/>
      <c r="AF207" s="226"/>
      <c r="AG207" s="226" t="s">
        <v>217</v>
      </c>
      <c r="AH207" s="226">
        <v>5</v>
      </c>
      <c r="AI207" s="226"/>
      <c r="AJ207" s="226"/>
      <c r="AK207" s="226"/>
      <c r="AL207" s="226"/>
      <c r="AM207" s="226"/>
      <c r="AN207" s="226"/>
      <c r="AO207" s="226"/>
      <c r="AP207" s="226"/>
      <c r="AQ207" s="226"/>
      <c r="AR207" s="226"/>
      <c r="AS207" s="226"/>
      <c r="AT207" s="226"/>
      <c r="AU207" s="226"/>
      <c r="AV207" s="226"/>
      <c r="AW207" s="226"/>
      <c r="AX207" s="226"/>
      <c r="AY207" s="226"/>
      <c r="AZ207" s="226"/>
      <c r="BA207" s="226"/>
      <c r="BB207" s="226"/>
      <c r="BC207" s="226"/>
      <c r="BD207" s="226"/>
      <c r="BE207" s="226"/>
      <c r="BF207" s="226"/>
      <c r="BG207" s="226"/>
      <c r="BH207" s="226"/>
    </row>
    <row r="208" outlineLevel="1">
      <c r="A208" s="216">
        <v>37</v>
      </c>
      <c r="B208" s="217" t="s">
        <v>575</v>
      </c>
      <c r="C208" s="218" t="s">
        <v>576</v>
      </c>
      <c r="D208" s="219" t="s">
        <v>207</v>
      </c>
      <c r="E208" s="220">
        <v>1.5600000000000001</v>
      </c>
      <c r="F208" s="221"/>
      <c r="G208" s="222">
        <f>ROUND(E208*F208,2)</f>
        <v>0</v>
      </c>
      <c r="H208" s="223"/>
      <c r="I208" s="224">
        <f>ROUND(E208*H208,2)</f>
        <v>0</v>
      </c>
      <c r="J208" s="223"/>
      <c r="K208" s="224">
        <f>ROUND(E208*J208,2)</f>
        <v>0</v>
      </c>
      <c r="L208" s="224">
        <v>21</v>
      </c>
      <c r="M208" s="224">
        <f>G208*(1+L208/100)</f>
        <v>0</v>
      </c>
      <c r="N208" s="225">
        <v>0.0141</v>
      </c>
      <c r="O208" s="225">
        <f>ROUND(E208*N208,2)</f>
        <v>0.02</v>
      </c>
      <c r="P208" s="225">
        <v>0</v>
      </c>
      <c r="Q208" s="225">
        <f>ROUND(E208*P208,2)</f>
        <v>0</v>
      </c>
      <c r="R208" s="224"/>
      <c r="S208" s="224" t="s">
        <v>395</v>
      </c>
      <c r="T208" s="224" t="s">
        <v>209</v>
      </c>
      <c r="U208" s="224">
        <v>0.39600000000000002</v>
      </c>
      <c r="V208" s="224">
        <f>ROUND(E208*U208,2)</f>
        <v>0.62</v>
      </c>
      <c r="W208" s="224"/>
      <c r="X208" s="224" t="s">
        <v>210</v>
      </c>
      <c r="Y208" s="224" t="s">
        <v>211</v>
      </c>
      <c r="Z208" s="226"/>
      <c r="AA208" s="226"/>
      <c r="AB208" s="226"/>
      <c r="AC208" s="226"/>
      <c r="AD208" s="226"/>
      <c r="AE208" s="226"/>
      <c r="AF208" s="226"/>
      <c r="AG208" s="226" t="s">
        <v>396</v>
      </c>
      <c r="AH208" s="226"/>
      <c r="AI208" s="226"/>
      <c r="AJ208" s="226"/>
      <c r="AK208" s="226"/>
      <c r="AL208" s="226"/>
      <c r="AM208" s="226"/>
      <c r="AN208" s="226"/>
      <c r="AO208" s="226"/>
      <c r="AP208" s="226"/>
      <c r="AQ208" s="226"/>
      <c r="AR208" s="226"/>
      <c r="AS208" s="226"/>
      <c r="AT208" s="226"/>
      <c r="AU208" s="226"/>
      <c r="AV208" s="226"/>
      <c r="AW208" s="226"/>
      <c r="AX208" s="226"/>
      <c r="AY208" s="226"/>
      <c r="AZ208" s="226"/>
      <c r="BA208" s="226"/>
      <c r="BB208" s="226"/>
      <c r="BC208" s="226"/>
      <c r="BD208" s="226"/>
      <c r="BE208" s="226"/>
      <c r="BF208" s="226"/>
      <c r="BG208" s="226"/>
      <c r="BH208" s="226"/>
    </row>
    <row r="209" outlineLevel="2">
      <c r="A209" s="227"/>
      <c r="B209" s="228"/>
      <c r="C209" s="233" t="s">
        <v>577</v>
      </c>
      <c r="D209" s="234"/>
      <c r="E209" s="235">
        <v>1.5600000000000001</v>
      </c>
      <c r="F209" s="224"/>
      <c r="G209" s="224"/>
      <c r="H209" s="224"/>
      <c r="I209" s="224"/>
      <c r="J209" s="224"/>
      <c r="K209" s="224"/>
      <c r="L209" s="224"/>
      <c r="M209" s="224"/>
      <c r="N209" s="225"/>
      <c r="O209" s="225"/>
      <c r="P209" s="225"/>
      <c r="Q209" s="225"/>
      <c r="R209" s="224"/>
      <c r="S209" s="224"/>
      <c r="T209" s="224"/>
      <c r="U209" s="224"/>
      <c r="V209" s="224"/>
      <c r="W209" s="224"/>
      <c r="X209" s="224"/>
      <c r="Y209" s="224"/>
      <c r="Z209" s="226"/>
      <c r="AA209" s="226"/>
      <c r="AB209" s="226"/>
      <c r="AC209" s="226"/>
      <c r="AD209" s="226"/>
      <c r="AE209" s="226"/>
      <c r="AF209" s="226"/>
      <c r="AG209" s="226" t="s">
        <v>217</v>
      </c>
      <c r="AH209" s="226">
        <v>0</v>
      </c>
      <c r="AI209" s="226"/>
      <c r="AJ209" s="226"/>
      <c r="AK209" s="226"/>
      <c r="AL209" s="226"/>
      <c r="AM209" s="226"/>
      <c r="AN209" s="226"/>
      <c r="AO209" s="226"/>
      <c r="AP209" s="226"/>
      <c r="AQ209" s="226"/>
      <c r="AR209" s="226"/>
      <c r="AS209" s="226"/>
      <c r="AT209" s="226"/>
      <c r="AU209" s="226"/>
      <c r="AV209" s="226"/>
      <c r="AW209" s="226"/>
      <c r="AX209" s="226"/>
      <c r="AY209" s="226"/>
      <c r="AZ209" s="226"/>
      <c r="BA209" s="226"/>
      <c r="BB209" s="226"/>
      <c r="BC209" s="226"/>
      <c r="BD209" s="226"/>
      <c r="BE209" s="226"/>
      <c r="BF209" s="226"/>
      <c r="BG209" s="226"/>
      <c r="BH209" s="226"/>
    </row>
    <row r="210" outlineLevel="1">
      <c r="A210" s="216">
        <v>38</v>
      </c>
      <c r="B210" s="217" t="s">
        <v>578</v>
      </c>
      <c r="C210" s="218" t="s">
        <v>579</v>
      </c>
      <c r="D210" s="219" t="s">
        <v>207</v>
      </c>
      <c r="E210" s="220">
        <v>1.5600000000000001</v>
      </c>
      <c r="F210" s="221"/>
      <c r="G210" s="222">
        <f>ROUND(E210*F210,2)</f>
        <v>0</v>
      </c>
      <c r="H210" s="223"/>
      <c r="I210" s="224">
        <f>ROUND(E210*H210,2)</f>
        <v>0</v>
      </c>
      <c r="J210" s="223"/>
      <c r="K210" s="224">
        <f>ROUND(E210*J210,2)</f>
        <v>0</v>
      </c>
      <c r="L210" s="224">
        <v>21</v>
      </c>
      <c r="M210" s="224">
        <f>G210*(1+L210/100)</f>
        <v>0</v>
      </c>
      <c r="N210" s="225">
        <v>0</v>
      </c>
      <c r="O210" s="225">
        <f>ROUND(E210*N210,2)</f>
        <v>0</v>
      </c>
      <c r="P210" s="225">
        <v>0</v>
      </c>
      <c r="Q210" s="225">
        <f>ROUND(E210*P210,2)</f>
        <v>0</v>
      </c>
      <c r="R210" s="224"/>
      <c r="S210" s="224" t="s">
        <v>395</v>
      </c>
      <c r="T210" s="224" t="s">
        <v>209</v>
      </c>
      <c r="U210" s="224">
        <v>0.23999999999999999</v>
      </c>
      <c r="V210" s="224">
        <f>ROUND(E210*U210,2)</f>
        <v>0.37</v>
      </c>
      <c r="W210" s="224"/>
      <c r="X210" s="224" t="s">
        <v>210</v>
      </c>
      <c r="Y210" s="224" t="s">
        <v>211</v>
      </c>
      <c r="Z210" s="226"/>
      <c r="AA210" s="226"/>
      <c r="AB210" s="226"/>
      <c r="AC210" s="226"/>
      <c r="AD210" s="226"/>
      <c r="AE210" s="226"/>
      <c r="AF210" s="226"/>
      <c r="AG210" s="226" t="s">
        <v>396</v>
      </c>
      <c r="AH210" s="226"/>
      <c r="AI210" s="226"/>
      <c r="AJ210" s="226"/>
      <c r="AK210" s="226"/>
      <c r="AL210" s="226"/>
      <c r="AM210" s="226"/>
      <c r="AN210" s="226"/>
      <c r="AO210" s="226"/>
      <c r="AP210" s="226"/>
      <c r="AQ210" s="226"/>
      <c r="AR210" s="226"/>
      <c r="AS210" s="226"/>
      <c r="AT210" s="226"/>
      <c r="AU210" s="226"/>
      <c r="AV210" s="226"/>
      <c r="AW210" s="226"/>
      <c r="AX210" s="226"/>
      <c r="AY210" s="226"/>
      <c r="AZ210" s="226"/>
      <c r="BA210" s="226"/>
      <c r="BB210" s="226"/>
      <c r="BC210" s="226"/>
      <c r="BD210" s="226"/>
      <c r="BE210" s="226"/>
      <c r="BF210" s="226"/>
      <c r="BG210" s="226"/>
      <c r="BH210" s="226"/>
    </row>
    <row r="211" outlineLevel="2">
      <c r="A211" s="227"/>
      <c r="B211" s="228"/>
      <c r="C211" s="233" t="s">
        <v>580</v>
      </c>
      <c r="D211" s="234"/>
      <c r="E211" s="235">
        <v>1.5600000000000001</v>
      </c>
      <c r="F211" s="224"/>
      <c r="G211" s="224"/>
      <c r="H211" s="224"/>
      <c r="I211" s="224"/>
      <c r="J211" s="224"/>
      <c r="K211" s="224"/>
      <c r="L211" s="224"/>
      <c r="M211" s="224"/>
      <c r="N211" s="225"/>
      <c r="O211" s="225"/>
      <c r="P211" s="225"/>
      <c r="Q211" s="225"/>
      <c r="R211" s="224"/>
      <c r="S211" s="224"/>
      <c r="T211" s="224"/>
      <c r="U211" s="224"/>
      <c r="V211" s="224"/>
      <c r="W211" s="224"/>
      <c r="X211" s="224"/>
      <c r="Y211" s="224"/>
      <c r="Z211" s="226"/>
      <c r="AA211" s="226"/>
      <c r="AB211" s="226"/>
      <c r="AC211" s="226"/>
      <c r="AD211" s="226"/>
      <c r="AE211" s="226"/>
      <c r="AF211" s="226"/>
      <c r="AG211" s="226" t="s">
        <v>217</v>
      </c>
      <c r="AH211" s="226">
        <v>5</v>
      </c>
      <c r="AI211" s="226"/>
      <c r="AJ211" s="226"/>
      <c r="AK211" s="226"/>
      <c r="AL211" s="226"/>
      <c r="AM211" s="226"/>
      <c r="AN211" s="226"/>
      <c r="AO211" s="226"/>
      <c r="AP211" s="226"/>
      <c r="AQ211" s="226"/>
      <c r="AR211" s="226"/>
      <c r="AS211" s="226"/>
      <c r="AT211" s="226"/>
      <c r="AU211" s="226"/>
      <c r="AV211" s="226"/>
      <c r="AW211" s="226"/>
      <c r="AX211" s="226"/>
      <c r="AY211" s="226"/>
      <c r="AZ211" s="226"/>
      <c r="BA211" s="226"/>
      <c r="BB211" s="226"/>
      <c r="BC211" s="226"/>
      <c r="BD211" s="226"/>
      <c r="BE211" s="226"/>
      <c r="BF211" s="226"/>
      <c r="BG211" s="226"/>
      <c r="BH211" s="226"/>
    </row>
    <row r="212" outlineLevel="1" ht="22.5">
      <c r="A212" s="216">
        <v>39</v>
      </c>
      <c r="B212" s="217" t="s">
        <v>581</v>
      </c>
      <c r="C212" s="218" t="s">
        <v>582</v>
      </c>
      <c r="D212" s="219" t="s">
        <v>229</v>
      </c>
      <c r="E212" s="220">
        <v>0.67232000000000003</v>
      </c>
      <c r="F212" s="221"/>
      <c r="G212" s="222">
        <f>ROUND(E212*F212,2)</f>
        <v>0</v>
      </c>
      <c r="H212" s="223"/>
      <c r="I212" s="224">
        <f>ROUND(E212*H212,2)</f>
        <v>0</v>
      </c>
      <c r="J212" s="223"/>
      <c r="K212" s="224">
        <f>ROUND(E212*J212,2)</f>
        <v>0</v>
      </c>
      <c r="L212" s="224">
        <v>21</v>
      </c>
      <c r="M212" s="224">
        <f>G212*(1+L212/100)</f>
        <v>0</v>
      </c>
      <c r="N212" s="225">
        <v>1.0800399999999999</v>
      </c>
      <c r="O212" s="225">
        <f>ROUND(E212*N212,2)</f>
        <v>0.72999999999999998</v>
      </c>
      <c r="P212" s="225">
        <v>0</v>
      </c>
      <c r="Q212" s="225">
        <f>ROUND(E212*P212,2)</f>
        <v>0</v>
      </c>
      <c r="R212" s="224"/>
      <c r="S212" s="224" t="s">
        <v>395</v>
      </c>
      <c r="T212" s="224" t="s">
        <v>209</v>
      </c>
      <c r="U212" s="224">
        <v>15.231</v>
      </c>
      <c r="V212" s="224">
        <f>ROUND(E212*U212,2)</f>
        <v>10.24</v>
      </c>
      <c r="W212" s="224"/>
      <c r="X212" s="224" t="s">
        <v>210</v>
      </c>
      <c r="Y212" s="224" t="s">
        <v>211</v>
      </c>
      <c r="Z212" s="226"/>
      <c r="AA212" s="226"/>
      <c r="AB212" s="226"/>
      <c r="AC212" s="226"/>
      <c r="AD212" s="226"/>
      <c r="AE212" s="226"/>
      <c r="AF212" s="226"/>
      <c r="AG212" s="226" t="s">
        <v>396</v>
      </c>
      <c r="AH212" s="226"/>
      <c r="AI212" s="226"/>
      <c r="AJ212" s="226"/>
      <c r="AK212" s="226"/>
      <c r="AL212" s="226"/>
      <c r="AM212" s="226"/>
      <c r="AN212" s="226"/>
      <c r="AO212" s="226"/>
      <c r="AP212" s="226"/>
      <c r="AQ212" s="226"/>
      <c r="AR212" s="226"/>
      <c r="AS212" s="226"/>
      <c r="AT212" s="226"/>
      <c r="AU212" s="226"/>
      <c r="AV212" s="226"/>
      <c r="AW212" s="226"/>
      <c r="AX212" s="226"/>
      <c r="AY212" s="226"/>
      <c r="AZ212" s="226"/>
      <c r="BA212" s="226"/>
      <c r="BB212" s="226"/>
      <c r="BC212" s="226"/>
      <c r="BD212" s="226"/>
      <c r="BE212" s="226"/>
      <c r="BF212" s="226"/>
      <c r="BG212" s="226"/>
      <c r="BH212" s="226"/>
    </row>
    <row r="213" outlineLevel="2">
      <c r="A213" s="227"/>
      <c r="B213" s="228"/>
      <c r="C213" s="233" t="s">
        <v>583</v>
      </c>
      <c r="D213" s="234"/>
      <c r="E213" s="235">
        <v>0.66232999999999997</v>
      </c>
      <c r="F213" s="224"/>
      <c r="G213" s="224"/>
      <c r="H213" s="224"/>
      <c r="I213" s="224"/>
      <c r="J213" s="224"/>
      <c r="K213" s="224"/>
      <c r="L213" s="224"/>
      <c r="M213" s="224"/>
      <c r="N213" s="225"/>
      <c r="O213" s="225"/>
      <c r="P213" s="225"/>
      <c r="Q213" s="225"/>
      <c r="R213" s="224"/>
      <c r="S213" s="224"/>
      <c r="T213" s="224"/>
      <c r="U213" s="224"/>
      <c r="V213" s="224"/>
      <c r="W213" s="224"/>
      <c r="X213" s="224"/>
      <c r="Y213" s="224"/>
      <c r="Z213" s="226"/>
      <c r="AA213" s="226"/>
      <c r="AB213" s="226"/>
      <c r="AC213" s="226"/>
      <c r="AD213" s="226"/>
      <c r="AE213" s="226"/>
      <c r="AF213" s="226"/>
      <c r="AG213" s="226" t="s">
        <v>217</v>
      </c>
      <c r="AH213" s="226">
        <v>0</v>
      </c>
      <c r="AI213" s="226"/>
      <c r="AJ213" s="226"/>
      <c r="AK213" s="226"/>
      <c r="AL213" s="226"/>
      <c r="AM213" s="226"/>
      <c r="AN213" s="226"/>
      <c r="AO213" s="226"/>
      <c r="AP213" s="226"/>
      <c r="AQ213" s="226"/>
      <c r="AR213" s="226"/>
      <c r="AS213" s="226"/>
      <c r="AT213" s="226"/>
      <c r="AU213" s="226"/>
      <c r="AV213" s="226"/>
      <c r="AW213" s="226"/>
      <c r="AX213" s="226"/>
      <c r="AY213" s="226"/>
      <c r="AZ213" s="226"/>
      <c r="BA213" s="226"/>
      <c r="BB213" s="226"/>
      <c r="BC213" s="226"/>
      <c r="BD213" s="226"/>
      <c r="BE213" s="226"/>
      <c r="BF213" s="226"/>
      <c r="BG213" s="226"/>
      <c r="BH213" s="226"/>
    </row>
    <row r="214" outlineLevel="3">
      <c r="A214" s="227"/>
      <c r="B214" s="228"/>
      <c r="C214" s="233" t="s">
        <v>584</v>
      </c>
      <c r="D214" s="234"/>
      <c r="E214" s="235">
        <v>0.01387</v>
      </c>
      <c r="F214" s="224"/>
      <c r="G214" s="224"/>
      <c r="H214" s="224"/>
      <c r="I214" s="224"/>
      <c r="J214" s="224"/>
      <c r="K214" s="224"/>
      <c r="L214" s="224"/>
      <c r="M214" s="224"/>
      <c r="N214" s="225"/>
      <c r="O214" s="225"/>
      <c r="P214" s="225"/>
      <c r="Q214" s="225"/>
      <c r="R214" s="224"/>
      <c r="S214" s="224"/>
      <c r="T214" s="224"/>
      <c r="U214" s="224"/>
      <c r="V214" s="224"/>
      <c r="W214" s="224"/>
      <c r="X214" s="224"/>
      <c r="Y214" s="224"/>
      <c r="Z214" s="226"/>
      <c r="AA214" s="226"/>
      <c r="AB214" s="226"/>
      <c r="AC214" s="226"/>
      <c r="AD214" s="226"/>
      <c r="AE214" s="226"/>
      <c r="AF214" s="226"/>
      <c r="AG214" s="226" t="s">
        <v>217</v>
      </c>
      <c r="AH214" s="226">
        <v>0</v>
      </c>
      <c r="AI214" s="226"/>
      <c r="AJ214" s="226"/>
      <c r="AK214" s="226"/>
      <c r="AL214" s="226"/>
      <c r="AM214" s="226"/>
      <c r="AN214" s="226"/>
      <c r="AO214" s="226"/>
      <c r="AP214" s="226"/>
      <c r="AQ214" s="226"/>
      <c r="AR214" s="226"/>
      <c r="AS214" s="226"/>
      <c r="AT214" s="226"/>
      <c r="AU214" s="226"/>
      <c r="AV214" s="226"/>
      <c r="AW214" s="226"/>
      <c r="AX214" s="226"/>
      <c r="AY214" s="226"/>
      <c r="AZ214" s="226"/>
      <c r="BA214" s="226"/>
      <c r="BB214" s="226"/>
      <c r="BC214" s="226"/>
      <c r="BD214" s="226"/>
      <c r="BE214" s="226"/>
      <c r="BF214" s="226"/>
      <c r="BG214" s="226"/>
      <c r="BH214" s="226"/>
    </row>
    <row r="215" outlineLevel="3">
      <c r="A215" s="227"/>
      <c r="B215" s="228"/>
      <c r="C215" s="233" t="s">
        <v>585</v>
      </c>
      <c r="D215" s="234"/>
      <c r="E215" s="235">
        <v>-0.0038800000000000002</v>
      </c>
      <c r="F215" s="224"/>
      <c r="G215" s="224"/>
      <c r="H215" s="224"/>
      <c r="I215" s="224"/>
      <c r="J215" s="224"/>
      <c r="K215" s="224"/>
      <c r="L215" s="224"/>
      <c r="M215" s="224"/>
      <c r="N215" s="225"/>
      <c r="O215" s="225"/>
      <c r="P215" s="225"/>
      <c r="Q215" s="225"/>
      <c r="R215" s="224"/>
      <c r="S215" s="224"/>
      <c r="T215" s="224"/>
      <c r="U215" s="224"/>
      <c r="V215" s="224"/>
      <c r="W215" s="224"/>
      <c r="X215" s="224"/>
      <c r="Y215" s="224"/>
      <c r="Z215" s="226"/>
      <c r="AA215" s="226"/>
      <c r="AB215" s="226"/>
      <c r="AC215" s="226"/>
      <c r="AD215" s="226"/>
      <c r="AE215" s="226"/>
      <c r="AF215" s="226"/>
      <c r="AG215" s="226" t="s">
        <v>217</v>
      </c>
      <c r="AH215" s="226">
        <v>0</v>
      </c>
      <c r="AI215" s="226"/>
      <c r="AJ215" s="226"/>
      <c r="AK215" s="226"/>
      <c r="AL215" s="226"/>
      <c r="AM215" s="226"/>
      <c r="AN215" s="226"/>
      <c r="AO215" s="226"/>
      <c r="AP215" s="226"/>
      <c r="AQ215" s="226"/>
      <c r="AR215" s="226"/>
      <c r="AS215" s="226"/>
      <c r="AT215" s="226"/>
      <c r="AU215" s="226"/>
      <c r="AV215" s="226"/>
      <c r="AW215" s="226"/>
      <c r="AX215" s="226"/>
      <c r="AY215" s="226"/>
      <c r="AZ215" s="226"/>
      <c r="BA215" s="226"/>
      <c r="BB215" s="226"/>
      <c r="BC215" s="226"/>
      <c r="BD215" s="226"/>
      <c r="BE215" s="226"/>
      <c r="BF215" s="226"/>
      <c r="BG215" s="226"/>
      <c r="BH215" s="226"/>
    </row>
    <row r="216" outlineLevel="1">
      <c r="A216" s="216">
        <v>40</v>
      </c>
      <c r="B216" s="217" t="s">
        <v>581</v>
      </c>
      <c r="C216" s="218" t="s">
        <v>586</v>
      </c>
      <c r="D216" s="219" t="s">
        <v>229</v>
      </c>
      <c r="E216" s="220">
        <v>1.2096</v>
      </c>
      <c r="F216" s="221"/>
      <c r="G216" s="222">
        <f>ROUND(E216*F216,2)</f>
        <v>0</v>
      </c>
      <c r="H216" s="223"/>
      <c r="I216" s="224">
        <f>ROUND(E216*H216,2)</f>
        <v>0</v>
      </c>
      <c r="J216" s="223"/>
      <c r="K216" s="224">
        <f>ROUND(E216*J216,2)</f>
        <v>0</v>
      </c>
      <c r="L216" s="224">
        <v>21</v>
      </c>
      <c r="M216" s="224">
        <f>G216*(1+L216/100)</f>
        <v>0</v>
      </c>
      <c r="N216" s="225">
        <v>0</v>
      </c>
      <c r="O216" s="225">
        <f>ROUND(E216*N216,2)</f>
        <v>0</v>
      </c>
      <c r="P216" s="225">
        <v>0</v>
      </c>
      <c r="Q216" s="225">
        <f>ROUND(E216*P216,2)</f>
        <v>0</v>
      </c>
      <c r="R216" s="224"/>
      <c r="S216" s="224" t="s">
        <v>395</v>
      </c>
      <c r="T216" s="224" t="s">
        <v>209</v>
      </c>
      <c r="U216" s="224">
        <v>15.231</v>
      </c>
      <c r="V216" s="224">
        <f>ROUND(E216*U216,2)</f>
        <v>18.420000000000002</v>
      </c>
      <c r="W216" s="224"/>
      <c r="X216" s="224" t="s">
        <v>210</v>
      </c>
      <c r="Y216" s="224" t="s">
        <v>211</v>
      </c>
      <c r="Z216" s="226"/>
      <c r="AA216" s="226"/>
      <c r="AB216" s="226"/>
      <c r="AC216" s="226"/>
      <c r="AD216" s="226"/>
      <c r="AE216" s="226"/>
      <c r="AF216" s="226"/>
      <c r="AG216" s="226" t="s">
        <v>396</v>
      </c>
      <c r="AH216" s="226"/>
      <c r="AI216" s="226"/>
      <c r="AJ216" s="226"/>
      <c r="AK216" s="226"/>
      <c r="AL216" s="226"/>
      <c r="AM216" s="226"/>
      <c r="AN216" s="226"/>
      <c r="AO216" s="226"/>
      <c r="AP216" s="226"/>
      <c r="AQ216" s="226"/>
      <c r="AR216" s="226"/>
      <c r="AS216" s="226"/>
      <c r="AT216" s="226"/>
      <c r="AU216" s="226"/>
      <c r="AV216" s="226"/>
      <c r="AW216" s="226"/>
      <c r="AX216" s="226"/>
      <c r="AY216" s="226"/>
      <c r="AZ216" s="226"/>
      <c r="BA216" s="226"/>
      <c r="BB216" s="226"/>
      <c r="BC216" s="226"/>
      <c r="BD216" s="226"/>
      <c r="BE216" s="226"/>
      <c r="BF216" s="226"/>
      <c r="BG216" s="226"/>
      <c r="BH216" s="226"/>
    </row>
    <row r="217" outlineLevel="2">
      <c r="A217" s="227"/>
      <c r="B217" s="228"/>
      <c r="C217" s="233" t="s">
        <v>587</v>
      </c>
      <c r="D217" s="234"/>
      <c r="E217" s="235"/>
      <c r="F217" s="224"/>
      <c r="G217" s="224"/>
      <c r="H217" s="224"/>
      <c r="I217" s="224"/>
      <c r="J217" s="224"/>
      <c r="K217" s="224"/>
      <c r="L217" s="224"/>
      <c r="M217" s="224"/>
      <c r="N217" s="225"/>
      <c r="O217" s="225"/>
      <c r="P217" s="225"/>
      <c r="Q217" s="225"/>
      <c r="R217" s="224"/>
      <c r="S217" s="224"/>
      <c r="T217" s="224"/>
      <c r="U217" s="224"/>
      <c r="V217" s="224"/>
      <c r="W217" s="224"/>
      <c r="X217" s="224"/>
      <c r="Y217" s="224"/>
      <c r="Z217" s="226"/>
      <c r="AA217" s="226"/>
      <c r="AB217" s="226"/>
      <c r="AC217" s="226"/>
      <c r="AD217" s="226"/>
      <c r="AE217" s="226"/>
      <c r="AF217" s="226"/>
      <c r="AG217" s="226" t="s">
        <v>217</v>
      </c>
      <c r="AH217" s="226">
        <v>0</v>
      </c>
      <c r="AI217" s="226"/>
      <c r="AJ217" s="226"/>
      <c r="AK217" s="226"/>
      <c r="AL217" s="226"/>
      <c r="AM217" s="226"/>
      <c r="AN217" s="226"/>
      <c r="AO217" s="226"/>
      <c r="AP217" s="226"/>
      <c r="AQ217" s="226"/>
      <c r="AR217" s="226"/>
      <c r="AS217" s="226"/>
      <c r="AT217" s="226"/>
      <c r="AU217" s="226"/>
      <c r="AV217" s="226"/>
      <c r="AW217" s="226"/>
      <c r="AX217" s="226"/>
      <c r="AY217" s="226"/>
      <c r="AZ217" s="226"/>
      <c r="BA217" s="226"/>
      <c r="BB217" s="226"/>
      <c r="BC217" s="226"/>
      <c r="BD217" s="226"/>
      <c r="BE217" s="226"/>
      <c r="BF217" s="226"/>
      <c r="BG217" s="226"/>
      <c r="BH217" s="226"/>
    </row>
    <row r="218" outlineLevel="3">
      <c r="A218" s="227"/>
      <c r="B218" s="228"/>
      <c r="C218" s="233" t="s">
        <v>588</v>
      </c>
      <c r="D218" s="234"/>
      <c r="E218" s="235">
        <v>1.2096</v>
      </c>
      <c r="F218" s="224"/>
      <c r="G218" s="224"/>
      <c r="H218" s="224"/>
      <c r="I218" s="224"/>
      <c r="J218" s="224"/>
      <c r="K218" s="224"/>
      <c r="L218" s="224"/>
      <c r="M218" s="224"/>
      <c r="N218" s="225"/>
      <c r="O218" s="225"/>
      <c r="P218" s="225"/>
      <c r="Q218" s="225"/>
      <c r="R218" s="224"/>
      <c r="S218" s="224"/>
      <c r="T218" s="224"/>
      <c r="U218" s="224"/>
      <c r="V218" s="224"/>
      <c r="W218" s="224"/>
      <c r="X218" s="224"/>
      <c r="Y218" s="224"/>
      <c r="Z218" s="226"/>
      <c r="AA218" s="226"/>
      <c r="AB218" s="226"/>
      <c r="AC218" s="226"/>
      <c r="AD218" s="226"/>
      <c r="AE218" s="226"/>
      <c r="AF218" s="226"/>
      <c r="AG218" s="226" t="s">
        <v>217</v>
      </c>
      <c r="AH218" s="226">
        <v>5</v>
      </c>
      <c r="AI218" s="226"/>
      <c r="AJ218" s="226"/>
      <c r="AK218" s="226"/>
      <c r="AL218" s="226"/>
      <c r="AM218" s="226"/>
      <c r="AN218" s="226"/>
      <c r="AO218" s="226"/>
      <c r="AP218" s="226"/>
      <c r="AQ218" s="226"/>
      <c r="AR218" s="226"/>
      <c r="AS218" s="226"/>
      <c r="AT218" s="226"/>
      <c r="AU218" s="226"/>
      <c r="AV218" s="226"/>
      <c r="AW218" s="226"/>
      <c r="AX218" s="226"/>
      <c r="AY218" s="226"/>
      <c r="AZ218" s="226"/>
      <c r="BA218" s="226"/>
      <c r="BB218" s="226"/>
      <c r="BC218" s="226"/>
      <c r="BD218" s="226"/>
      <c r="BE218" s="226"/>
      <c r="BF218" s="226"/>
      <c r="BG218" s="226"/>
      <c r="BH218" s="226"/>
    </row>
    <row r="219" outlineLevel="1">
      <c r="A219" s="216">
        <v>41</v>
      </c>
      <c r="B219" s="217" t="s">
        <v>589</v>
      </c>
      <c r="C219" s="218" t="s">
        <v>590</v>
      </c>
      <c r="D219" s="219" t="s">
        <v>320</v>
      </c>
      <c r="E219" s="220">
        <v>409.19999999999999</v>
      </c>
      <c r="F219" s="221"/>
      <c r="G219" s="222">
        <f>ROUND(E219*F219,2)</f>
        <v>0</v>
      </c>
      <c r="H219" s="223"/>
      <c r="I219" s="224">
        <f>ROUND(E219*H219,2)</f>
        <v>0</v>
      </c>
      <c r="J219" s="223"/>
      <c r="K219" s="224">
        <f>ROUND(E219*J219,2)</f>
        <v>0</v>
      </c>
      <c r="L219" s="224">
        <v>21</v>
      </c>
      <c r="M219" s="224">
        <f>G219*(1+L219/100)</f>
        <v>0</v>
      </c>
      <c r="N219" s="225">
        <v>0.0038300000000000001</v>
      </c>
      <c r="O219" s="225">
        <f>ROUND(E219*N219,2)</f>
        <v>1.5700000000000001</v>
      </c>
      <c r="P219" s="225">
        <v>0</v>
      </c>
      <c r="Q219" s="225">
        <f>ROUND(E219*P219,2)</f>
        <v>0</v>
      </c>
      <c r="R219" s="224"/>
      <c r="S219" s="224" t="s">
        <v>395</v>
      </c>
      <c r="T219" s="224" t="s">
        <v>209</v>
      </c>
      <c r="U219" s="224">
        <v>0.13400000000000001</v>
      </c>
      <c r="V219" s="224">
        <f>ROUND(E219*U219,2)</f>
        <v>54.829999999999998</v>
      </c>
      <c r="W219" s="224"/>
      <c r="X219" s="224" t="s">
        <v>210</v>
      </c>
      <c r="Y219" s="224" t="s">
        <v>211</v>
      </c>
      <c r="Z219" s="226"/>
      <c r="AA219" s="226"/>
      <c r="AB219" s="226"/>
      <c r="AC219" s="226"/>
      <c r="AD219" s="226"/>
      <c r="AE219" s="226"/>
      <c r="AF219" s="226"/>
      <c r="AG219" s="226" t="s">
        <v>396</v>
      </c>
      <c r="AH219" s="226"/>
      <c r="AI219" s="226"/>
      <c r="AJ219" s="226"/>
      <c r="AK219" s="226"/>
      <c r="AL219" s="226"/>
      <c r="AM219" s="226"/>
      <c r="AN219" s="226"/>
      <c r="AO219" s="226"/>
      <c r="AP219" s="226"/>
      <c r="AQ219" s="226"/>
      <c r="AR219" s="226"/>
      <c r="AS219" s="226"/>
      <c r="AT219" s="226"/>
      <c r="AU219" s="226"/>
      <c r="AV219" s="226"/>
      <c r="AW219" s="226"/>
      <c r="AX219" s="226"/>
      <c r="AY219" s="226"/>
      <c r="AZ219" s="226"/>
      <c r="BA219" s="226"/>
      <c r="BB219" s="226"/>
      <c r="BC219" s="226"/>
      <c r="BD219" s="226"/>
      <c r="BE219" s="226"/>
      <c r="BF219" s="226"/>
      <c r="BG219" s="226"/>
      <c r="BH219" s="226"/>
    </row>
    <row r="220" outlineLevel="2">
      <c r="A220" s="227"/>
      <c r="B220" s="228"/>
      <c r="C220" s="233" t="s">
        <v>591</v>
      </c>
      <c r="D220" s="234"/>
      <c r="E220" s="235">
        <v>409.19999999999999</v>
      </c>
      <c r="F220" s="224"/>
      <c r="G220" s="224"/>
      <c r="H220" s="224"/>
      <c r="I220" s="224"/>
      <c r="J220" s="224"/>
      <c r="K220" s="224"/>
      <c r="L220" s="224"/>
      <c r="M220" s="224"/>
      <c r="N220" s="225"/>
      <c r="O220" s="225"/>
      <c r="P220" s="225"/>
      <c r="Q220" s="225"/>
      <c r="R220" s="224"/>
      <c r="S220" s="224"/>
      <c r="T220" s="224"/>
      <c r="U220" s="224"/>
      <c r="V220" s="224"/>
      <c r="W220" s="224"/>
      <c r="X220" s="224"/>
      <c r="Y220" s="224"/>
      <c r="Z220" s="226"/>
      <c r="AA220" s="226"/>
      <c r="AB220" s="226"/>
      <c r="AC220" s="226"/>
      <c r="AD220" s="226"/>
      <c r="AE220" s="226"/>
      <c r="AF220" s="226"/>
      <c r="AG220" s="226" t="s">
        <v>217</v>
      </c>
      <c r="AH220" s="226">
        <v>5</v>
      </c>
      <c r="AI220" s="226"/>
      <c r="AJ220" s="226"/>
      <c r="AK220" s="226"/>
      <c r="AL220" s="226"/>
      <c r="AM220" s="226"/>
      <c r="AN220" s="226"/>
      <c r="AO220" s="226"/>
      <c r="AP220" s="226"/>
      <c r="AQ220" s="226"/>
      <c r="AR220" s="226"/>
      <c r="AS220" s="226"/>
      <c r="AT220" s="226"/>
      <c r="AU220" s="226"/>
      <c r="AV220" s="226"/>
      <c r="AW220" s="226"/>
      <c r="AX220" s="226"/>
      <c r="AY220" s="226"/>
      <c r="AZ220" s="226"/>
      <c r="BA220" s="226"/>
      <c r="BB220" s="226"/>
      <c r="BC220" s="226"/>
      <c r="BD220" s="226"/>
      <c r="BE220" s="226"/>
      <c r="BF220" s="226"/>
      <c r="BG220" s="226"/>
      <c r="BH220" s="226"/>
    </row>
    <row r="221" outlineLevel="1">
      <c r="A221" s="216">
        <v>42</v>
      </c>
      <c r="B221" s="217" t="s">
        <v>592</v>
      </c>
      <c r="C221" s="218" t="s">
        <v>593</v>
      </c>
      <c r="D221" s="219" t="s">
        <v>594</v>
      </c>
      <c r="E221" s="220">
        <v>1391.04</v>
      </c>
      <c r="F221" s="221"/>
      <c r="G221" s="222">
        <f>ROUND(E221*F221,2)</f>
        <v>0</v>
      </c>
      <c r="H221" s="223"/>
      <c r="I221" s="224">
        <f>ROUND(E221*H221,2)</f>
        <v>0</v>
      </c>
      <c r="J221" s="223"/>
      <c r="K221" s="224">
        <f>ROUND(E221*J221,2)</f>
        <v>0</v>
      </c>
      <c r="L221" s="224">
        <v>21</v>
      </c>
      <c r="M221" s="224">
        <f>G221*(1+L221/100)</f>
        <v>0</v>
      </c>
      <c r="N221" s="225">
        <v>0.001</v>
      </c>
      <c r="O221" s="225">
        <f>ROUND(E221*N221,2)</f>
        <v>1.3899999999999999</v>
      </c>
      <c r="P221" s="225">
        <v>0</v>
      </c>
      <c r="Q221" s="225">
        <f>ROUND(E221*P221,2)</f>
        <v>0</v>
      </c>
      <c r="R221" s="224" t="s">
        <v>595</v>
      </c>
      <c r="S221" s="224" t="s">
        <v>395</v>
      </c>
      <c r="T221" s="224" t="s">
        <v>209</v>
      </c>
      <c r="U221" s="224">
        <v>0</v>
      </c>
      <c r="V221" s="224">
        <f>ROUND(E221*U221,2)</f>
        <v>0</v>
      </c>
      <c r="W221" s="224"/>
      <c r="X221" s="224" t="s">
        <v>230</v>
      </c>
      <c r="Y221" s="224" t="s">
        <v>211</v>
      </c>
      <c r="Z221" s="226"/>
      <c r="AA221" s="226"/>
      <c r="AB221" s="226"/>
      <c r="AC221" s="226"/>
      <c r="AD221" s="226"/>
      <c r="AE221" s="226"/>
      <c r="AF221" s="226"/>
      <c r="AG221" s="226" t="s">
        <v>596</v>
      </c>
      <c r="AH221" s="226"/>
      <c r="AI221" s="226"/>
      <c r="AJ221" s="226"/>
      <c r="AK221" s="226"/>
      <c r="AL221" s="226"/>
      <c r="AM221" s="226"/>
      <c r="AN221" s="226"/>
      <c r="AO221" s="226"/>
      <c r="AP221" s="226"/>
      <c r="AQ221" s="226"/>
      <c r="AR221" s="226"/>
      <c r="AS221" s="226"/>
      <c r="AT221" s="226"/>
      <c r="AU221" s="226"/>
      <c r="AV221" s="226"/>
      <c r="AW221" s="226"/>
      <c r="AX221" s="226"/>
      <c r="AY221" s="226"/>
      <c r="AZ221" s="226"/>
      <c r="BA221" s="226"/>
      <c r="BB221" s="226"/>
      <c r="BC221" s="226"/>
      <c r="BD221" s="226"/>
      <c r="BE221" s="226"/>
      <c r="BF221" s="226"/>
      <c r="BG221" s="226"/>
      <c r="BH221" s="226"/>
    </row>
    <row r="222" outlineLevel="2">
      <c r="A222" s="227"/>
      <c r="B222" s="228"/>
      <c r="C222" s="233" t="s">
        <v>597</v>
      </c>
      <c r="D222" s="234"/>
      <c r="E222" s="235">
        <v>1209.5999999999999</v>
      </c>
      <c r="F222" s="224"/>
      <c r="G222" s="224"/>
      <c r="H222" s="224"/>
      <c r="I222" s="224"/>
      <c r="J222" s="224"/>
      <c r="K222" s="224"/>
      <c r="L222" s="224"/>
      <c r="M222" s="224"/>
      <c r="N222" s="225"/>
      <c r="O222" s="225"/>
      <c r="P222" s="225"/>
      <c r="Q222" s="225"/>
      <c r="R222" s="224"/>
      <c r="S222" s="224"/>
      <c r="T222" s="224"/>
      <c r="U222" s="224"/>
      <c r="V222" s="224"/>
      <c r="W222" s="224"/>
      <c r="X222" s="224"/>
      <c r="Y222" s="224"/>
      <c r="Z222" s="226"/>
      <c r="AA222" s="226"/>
      <c r="AB222" s="226"/>
      <c r="AC222" s="226"/>
      <c r="AD222" s="226"/>
      <c r="AE222" s="226"/>
      <c r="AF222" s="226"/>
      <c r="AG222" s="226" t="s">
        <v>217</v>
      </c>
      <c r="AH222" s="226">
        <v>5</v>
      </c>
      <c r="AI222" s="226"/>
      <c r="AJ222" s="226"/>
      <c r="AK222" s="226"/>
      <c r="AL222" s="226"/>
      <c r="AM222" s="226"/>
      <c r="AN222" s="226"/>
      <c r="AO222" s="226"/>
      <c r="AP222" s="226"/>
      <c r="AQ222" s="226"/>
      <c r="AR222" s="226"/>
      <c r="AS222" s="226"/>
      <c r="AT222" s="226"/>
      <c r="AU222" s="226"/>
      <c r="AV222" s="226"/>
      <c r="AW222" s="226"/>
      <c r="AX222" s="226"/>
      <c r="AY222" s="226"/>
      <c r="AZ222" s="226"/>
      <c r="BA222" s="226"/>
      <c r="BB222" s="226"/>
      <c r="BC222" s="226"/>
      <c r="BD222" s="226"/>
      <c r="BE222" s="226"/>
      <c r="BF222" s="226"/>
      <c r="BG222" s="226"/>
      <c r="BH222" s="226"/>
    </row>
    <row r="223" outlineLevel="3">
      <c r="A223" s="227"/>
      <c r="B223" s="228"/>
      <c r="C223" s="269" t="s">
        <v>598</v>
      </c>
      <c r="D223" s="270"/>
      <c r="E223" s="271">
        <v>181.44</v>
      </c>
      <c r="F223" s="224"/>
      <c r="G223" s="224"/>
      <c r="H223" s="224"/>
      <c r="I223" s="224"/>
      <c r="J223" s="224"/>
      <c r="K223" s="224"/>
      <c r="L223" s="224"/>
      <c r="M223" s="224"/>
      <c r="N223" s="225"/>
      <c r="O223" s="225"/>
      <c r="P223" s="225"/>
      <c r="Q223" s="225"/>
      <c r="R223" s="224"/>
      <c r="S223" s="224"/>
      <c r="T223" s="224"/>
      <c r="U223" s="224"/>
      <c r="V223" s="224"/>
      <c r="W223" s="224"/>
      <c r="X223" s="224"/>
      <c r="Y223" s="224"/>
      <c r="Z223" s="226"/>
      <c r="AA223" s="226"/>
      <c r="AB223" s="226"/>
      <c r="AC223" s="226"/>
      <c r="AD223" s="226"/>
      <c r="AE223" s="226"/>
      <c r="AF223" s="226"/>
      <c r="AG223" s="226" t="s">
        <v>217</v>
      </c>
      <c r="AH223" s="226">
        <v>4</v>
      </c>
      <c r="AI223" s="226"/>
      <c r="AJ223" s="226"/>
      <c r="AK223" s="226"/>
      <c r="AL223" s="226"/>
      <c r="AM223" s="226"/>
      <c r="AN223" s="226"/>
      <c r="AO223" s="226"/>
      <c r="AP223" s="226"/>
      <c r="AQ223" s="226"/>
      <c r="AR223" s="226"/>
      <c r="AS223" s="226"/>
      <c r="AT223" s="226"/>
      <c r="AU223" s="226"/>
      <c r="AV223" s="226"/>
      <c r="AW223" s="226"/>
      <c r="AX223" s="226"/>
      <c r="AY223" s="226"/>
      <c r="AZ223" s="226"/>
      <c r="BA223" s="226"/>
      <c r="BB223" s="226"/>
      <c r="BC223" s="226"/>
      <c r="BD223" s="226"/>
      <c r="BE223" s="226"/>
      <c r="BF223" s="226"/>
      <c r="BG223" s="226"/>
      <c r="BH223" s="226"/>
    </row>
    <row r="224" ht="25.5">
      <c r="A224" s="207" t="s">
        <v>203</v>
      </c>
      <c r="B224" s="208" t="s">
        <v>143</v>
      </c>
      <c r="C224" s="209" t="s">
        <v>144</v>
      </c>
      <c r="D224" s="210"/>
      <c r="E224" s="211"/>
      <c r="F224" s="212"/>
      <c r="G224" s="213">
        <f>SUMIF(AG225:AG233,"&lt;&gt;NOR",G225:G233)</f>
        <v>0</v>
      </c>
      <c r="H224" s="214"/>
      <c r="I224" s="214">
        <f>SUM(I225:I233)</f>
        <v>0</v>
      </c>
      <c r="J224" s="214"/>
      <c r="K224" s="214">
        <f>SUM(K225:K233)</f>
        <v>0</v>
      </c>
      <c r="L224" s="214"/>
      <c r="M224" s="214">
        <f>SUM(M225:M233)</f>
        <v>0</v>
      </c>
      <c r="N224" s="215"/>
      <c r="O224" s="215">
        <f>SUM(O225:O233)</f>
        <v>0.029999999999999999</v>
      </c>
      <c r="P224" s="215"/>
      <c r="Q224" s="215">
        <f>SUM(Q225:Q233)</f>
        <v>0</v>
      </c>
      <c r="R224" s="214"/>
      <c r="S224" s="214"/>
      <c r="T224" s="214"/>
      <c r="U224" s="214"/>
      <c r="V224" s="214">
        <f>SUM(V225:V233)</f>
        <v>65.830000000000013</v>
      </c>
      <c r="W224" s="214"/>
      <c r="X224" s="214"/>
      <c r="Y224" s="214"/>
      <c r="AG224" t="s">
        <v>204</v>
      </c>
    </row>
    <row r="225" outlineLevel="1">
      <c r="A225" s="216">
        <v>43</v>
      </c>
      <c r="B225" s="217" t="s">
        <v>599</v>
      </c>
      <c r="C225" s="218" t="s">
        <v>600</v>
      </c>
      <c r="D225" s="219" t="s">
        <v>207</v>
      </c>
      <c r="E225" s="220">
        <v>201.59999999999999</v>
      </c>
      <c r="F225" s="221"/>
      <c r="G225" s="222">
        <f>ROUND(E225*F225,2)</f>
        <v>0</v>
      </c>
      <c r="H225" s="223"/>
      <c r="I225" s="224">
        <f>ROUND(E225*H225,2)</f>
        <v>0</v>
      </c>
      <c r="J225" s="223"/>
      <c r="K225" s="224">
        <f>ROUND(E225*J225,2)</f>
        <v>0</v>
      </c>
      <c r="L225" s="224">
        <v>21</v>
      </c>
      <c r="M225" s="224">
        <f>G225*(1+L225/100)</f>
        <v>0</v>
      </c>
      <c r="N225" s="225">
        <v>4.0000000000000003E-05</v>
      </c>
      <c r="O225" s="225">
        <f>ROUND(E225*N225,2)</f>
        <v>0.01</v>
      </c>
      <c r="P225" s="225">
        <v>0</v>
      </c>
      <c r="Q225" s="225">
        <f>ROUND(E225*P225,2)</f>
        <v>0</v>
      </c>
      <c r="R225" s="224"/>
      <c r="S225" s="224" t="s">
        <v>395</v>
      </c>
      <c r="T225" s="224" t="s">
        <v>209</v>
      </c>
      <c r="U225" s="224">
        <v>0.26300000000000001</v>
      </c>
      <c r="V225" s="224">
        <f>ROUND(E225*U225,2)</f>
        <v>53.020000000000003</v>
      </c>
      <c r="W225" s="224"/>
      <c r="X225" s="224" t="s">
        <v>210</v>
      </c>
      <c r="Y225" s="224" t="s">
        <v>211</v>
      </c>
      <c r="Z225" s="226"/>
      <c r="AA225" s="226"/>
      <c r="AB225" s="226"/>
      <c r="AC225" s="226"/>
      <c r="AD225" s="226"/>
      <c r="AE225" s="226"/>
      <c r="AF225" s="226"/>
      <c r="AG225" s="226" t="s">
        <v>396</v>
      </c>
      <c r="AH225" s="226"/>
      <c r="AI225" s="226"/>
      <c r="AJ225" s="226"/>
      <c r="AK225" s="226"/>
      <c r="AL225" s="226"/>
      <c r="AM225" s="226"/>
      <c r="AN225" s="226"/>
      <c r="AO225" s="226"/>
      <c r="AP225" s="226"/>
      <c r="AQ225" s="226"/>
      <c r="AR225" s="226"/>
      <c r="AS225" s="226"/>
      <c r="AT225" s="226"/>
      <c r="AU225" s="226"/>
      <c r="AV225" s="226"/>
      <c r="AW225" s="226"/>
      <c r="AX225" s="226"/>
      <c r="AY225" s="226"/>
      <c r="AZ225" s="226"/>
      <c r="BA225" s="226"/>
      <c r="BB225" s="226"/>
      <c r="BC225" s="226"/>
      <c r="BD225" s="226"/>
      <c r="BE225" s="226"/>
      <c r="BF225" s="226"/>
      <c r="BG225" s="226"/>
      <c r="BH225" s="226"/>
    </row>
    <row r="226" outlineLevel="2">
      <c r="A226" s="227"/>
      <c r="B226" s="228"/>
      <c r="C226" s="233" t="s">
        <v>601</v>
      </c>
      <c r="D226" s="234"/>
      <c r="E226" s="235">
        <v>201.59999999999999</v>
      </c>
      <c r="F226" s="224"/>
      <c r="G226" s="224"/>
      <c r="H226" s="224"/>
      <c r="I226" s="224"/>
      <c r="J226" s="224"/>
      <c r="K226" s="224"/>
      <c r="L226" s="224"/>
      <c r="M226" s="224"/>
      <c r="N226" s="225"/>
      <c r="O226" s="225"/>
      <c r="P226" s="225"/>
      <c r="Q226" s="225"/>
      <c r="R226" s="224"/>
      <c r="S226" s="224"/>
      <c r="T226" s="224"/>
      <c r="U226" s="224"/>
      <c r="V226" s="224"/>
      <c r="W226" s="224"/>
      <c r="X226" s="224"/>
      <c r="Y226" s="224"/>
      <c r="Z226" s="226"/>
      <c r="AA226" s="226"/>
      <c r="AB226" s="226"/>
      <c r="AC226" s="226"/>
      <c r="AD226" s="226"/>
      <c r="AE226" s="226"/>
      <c r="AF226" s="226"/>
      <c r="AG226" s="226" t="s">
        <v>217</v>
      </c>
      <c r="AH226" s="226">
        <v>5</v>
      </c>
      <c r="AI226" s="226"/>
      <c r="AJ226" s="226"/>
      <c r="AK226" s="226"/>
      <c r="AL226" s="226"/>
      <c r="AM226" s="226"/>
      <c r="AN226" s="226"/>
      <c r="AO226" s="226"/>
      <c r="AP226" s="226"/>
      <c r="AQ226" s="226"/>
      <c r="AR226" s="226"/>
      <c r="AS226" s="226"/>
      <c r="AT226" s="226"/>
      <c r="AU226" s="226"/>
      <c r="AV226" s="226"/>
      <c r="AW226" s="226"/>
      <c r="AX226" s="226"/>
      <c r="AY226" s="226"/>
      <c r="AZ226" s="226"/>
      <c r="BA226" s="226"/>
      <c r="BB226" s="226"/>
      <c r="BC226" s="226"/>
      <c r="BD226" s="226"/>
      <c r="BE226" s="226"/>
      <c r="BF226" s="226"/>
      <c r="BG226" s="226"/>
      <c r="BH226" s="226"/>
    </row>
    <row r="227" outlineLevel="1">
      <c r="A227" s="237">
        <v>44</v>
      </c>
      <c r="B227" s="238" t="s">
        <v>602</v>
      </c>
      <c r="C227" s="239" t="s">
        <v>603</v>
      </c>
      <c r="D227" s="240" t="s">
        <v>280</v>
      </c>
      <c r="E227" s="241">
        <v>2</v>
      </c>
      <c r="F227" s="242"/>
      <c r="G227" s="243">
        <f>ROUND(E227*F227,2)</f>
        <v>0</v>
      </c>
      <c r="H227" s="223"/>
      <c r="I227" s="224">
        <f>ROUND(E227*H227,2)</f>
        <v>0</v>
      </c>
      <c r="J227" s="223"/>
      <c r="K227" s="224">
        <f>ROUND(E227*J227,2)</f>
        <v>0</v>
      </c>
      <c r="L227" s="224">
        <v>21</v>
      </c>
      <c r="M227" s="224">
        <f>G227*(1+L227/100)</f>
        <v>0</v>
      </c>
      <c r="N227" s="225">
        <v>1.0000000000000001E-05</v>
      </c>
      <c r="O227" s="225">
        <f>ROUND(E227*N227,2)</f>
        <v>0</v>
      </c>
      <c r="P227" s="225">
        <v>0</v>
      </c>
      <c r="Q227" s="225">
        <f>ROUND(E227*P227,2)</f>
        <v>0</v>
      </c>
      <c r="R227" s="224"/>
      <c r="S227" s="224" t="s">
        <v>395</v>
      </c>
      <c r="T227" s="224" t="s">
        <v>209</v>
      </c>
      <c r="U227" s="224">
        <v>0.17000000000000001</v>
      </c>
      <c r="V227" s="224">
        <f>ROUND(E227*U227,2)</f>
        <v>0.34000000000000002</v>
      </c>
      <c r="W227" s="224"/>
      <c r="X227" s="224" t="s">
        <v>210</v>
      </c>
      <c r="Y227" s="224" t="s">
        <v>211</v>
      </c>
      <c r="Z227" s="226"/>
      <c r="AA227" s="226"/>
      <c r="AB227" s="226"/>
      <c r="AC227" s="226"/>
      <c r="AD227" s="226"/>
      <c r="AE227" s="226"/>
      <c r="AF227" s="226"/>
      <c r="AG227" s="226" t="s">
        <v>396</v>
      </c>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row>
    <row r="228" outlineLevel="1">
      <c r="A228" s="237">
        <v>45</v>
      </c>
      <c r="B228" s="238" t="s">
        <v>604</v>
      </c>
      <c r="C228" s="239" t="s">
        <v>605</v>
      </c>
      <c r="D228" s="240" t="s">
        <v>280</v>
      </c>
      <c r="E228" s="241">
        <v>2</v>
      </c>
      <c r="F228" s="242"/>
      <c r="G228" s="243">
        <f>ROUND(E228*F228,2)</f>
        <v>0</v>
      </c>
      <c r="H228" s="223"/>
      <c r="I228" s="224">
        <f>ROUND(E228*H228,2)</f>
        <v>0</v>
      </c>
      <c r="J228" s="223"/>
      <c r="K228" s="224">
        <f>ROUND(E228*J228,2)</f>
        <v>0</v>
      </c>
      <c r="L228" s="224">
        <v>21</v>
      </c>
      <c r="M228" s="224">
        <f>G228*(1+L228/100)</f>
        <v>0</v>
      </c>
      <c r="N228" s="225">
        <v>0</v>
      </c>
      <c r="O228" s="225">
        <f>ROUND(E228*N228,2)</f>
        <v>0</v>
      </c>
      <c r="P228" s="225">
        <v>0</v>
      </c>
      <c r="Q228" s="225">
        <f>ROUND(E228*P228,2)</f>
        <v>0</v>
      </c>
      <c r="R228" s="224"/>
      <c r="S228" s="224" t="s">
        <v>395</v>
      </c>
      <c r="T228" s="224" t="s">
        <v>209</v>
      </c>
      <c r="U228" s="224">
        <v>0.11890000000000001</v>
      </c>
      <c r="V228" s="224">
        <f>ROUND(E228*U228,2)</f>
        <v>0.23999999999999999</v>
      </c>
      <c r="W228" s="224"/>
      <c r="X228" s="224" t="s">
        <v>210</v>
      </c>
      <c r="Y228" s="224" t="s">
        <v>211</v>
      </c>
      <c r="Z228" s="226"/>
      <c r="AA228" s="226"/>
      <c r="AB228" s="226"/>
      <c r="AC228" s="226"/>
      <c r="AD228" s="226"/>
      <c r="AE228" s="226"/>
      <c r="AF228" s="226"/>
      <c r="AG228" s="226" t="s">
        <v>396</v>
      </c>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row>
    <row r="229" outlineLevel="1">
      <c r="A229" s="237">
        <v>46</v>
      </c>
      <c r="B229" s="238" t="s">
        <v>606</v>
      </c>
      <c r="C229" s="239" t="s">
        <v>607</v>
      </c>
      <c r="D229" s="240" t="s">
        <v>280</v>
      </c>
      <c r="E229" s="241">
        <v>2</v>
      </c>
      <c r="F229" s="242"/>
      <c r="G229" s="243">
        <f>ROUND(E229*F229,2)</f>
        <v>0</v>
      </c>
      <c r="H229" s="223"/>
      <c r="I229" s="224">
        <f>ROUND(E229*H229,2)</f>
        <v>0</v>
      </c>
      <c r="J229" s="223"/>
      <c r="K229" s="224">
        <f>ROUND(E229*J229,2)</f>
        <v>0</v>
      </c>
      <c r="L229" s="224">
        <v>21</v>
      </c>
      <c r="M229" s="224">
        <f>G229*(1+L229/100)</f>
        <v>0</v>
      </c>
      <c r="N229" s="225">
        <v>0</v>
      </c>
      <c r="O229" s="225">
        <f>ROUND(E229*N229,2)</f>
        <v>0</v>
      </c>
      <c r="P229" s="225">
        <v>0</v>
      </c>
      <c r="Q229" s="225">
        <f>ROUND(E229*P229,2)</f>
        <v>0</v>
      </c>
      <c r="R229" s="224"/>
      <c r="S229" s="224" t="s">
        <v>395</v>
      </c>
      <c r="T229" s="224" t="s">
        <v>209</v>
      </c>
      <c r="U229" s="224">
        <v>0.26419999999999999</v>
      </c>
      <c r="V229" s="224">
        <f>ROUND(E229*U229,2)</f>
        <v>0.53000000000000003</v>
      </c>
      <c r="W229" s="224"/>
      <c r="X229" s="224" t="s">
        <v>210</v>
      </c>
      <c r="Y229" s="224" t="s">
        <v>211</v>
      </c>
      <c r="Z229" s="226"/>
      <c r="AA229" s="226"/>
      <c r="AB229" s="226"/>
      <c r="AC229" s="226"/>
      <c r="AD229" s="226"/>
      <c r="AE229" s="226"/>
      <c r="AF229" s="226"/>
      <c r="AG229" s="226" t="s">
        <v>396</v>
      </c>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row>
    <row r="230" outlineLevel="1">
      <c r="A230" s="237">
        <v>47</v>
      </c>
      <c r="B230" s="238" t="s">
        <v>608</v>
      </c>
      <c r="C230" s="239" t="s">
        <v>609</v>
      </c>
      <c r="D230" s="240" t="s">
        <v>280</v>
      </c>
      <c r="E230" s="241">
        <v>52</v>
      </c>
      <c r="F230" s="242"/>
      <c r="G230" s="243">
        <f>ROUND(E230*F230,2)</f>
        <v>0</v>
      </c>
      <c r="H230" s="223"/>
      <c r="I230" s="224">
        <f>ROUND(E230*H230,2)</f>
        <v>0</v>
      </c>
      <c r="J230" s="223"/>
      <c r="K230" s="224">
        <f>ROUND(E230*J230,2)</f>
        <v>0</v>
      </c>
      <c r="L230" s="224">
        <v>21</v>
      </c>
      <c r="M230" s="224">
        <f>G230*(1+L230/100)</f>
        <v>0</v>
      </c>
      <c r="N230" s="225">
        <v>6.9999999999999994E-05</v>
      </c>
      <c r="O230" s="225">
        <f>ROUND(E230*N230,2)</f>
        <v>0</v>
      </c>
      <c r="P230" s="225">
        <v>0</v>
      </c>
      <c r="Q230" s="225">
        <f>ROUND(E230*P230,2)</f>
        <v>0</v>
      </c>
      <c r="R230" s="224"/>
      <c r="S230" s="224" t="s">
        <v>395</v>
      </c>
      <c r="T230" s="224" t="s">
        <v>209</v>
      </c>
      <c r="U230" s="224">
        <v>0.22500000000000001</v>
      </c>
      <c r="V230" s="224">
        <f>ROUND(E230*U230,2)</f>
        <v>11.699999999999999</v>
      </c>
      <c r="W230" s="224"/>
      <c r="X230" s="224" t="s">
        <v>210</v>
      </c>
      <c r="Y230" s="224" t="s">
        <v>211</v>
      </c>
      <c r="Z230" s="226"/>
      <c r="AA230" s="226"/>
      <c r="AB230" s="226"/>
      <c r="AC230" s="226"/>
      <c r="AD230" s="226"/>
      <c r="AE230" s="226"/>
      <c r="AF230" s="226"/>
      <c r="AG230" s="226" t="s">
        <v>396</v>
      </c>
      <c r="AH230" s="226"/>
      <c r="AI230" s="226"/>
      <c r="AJ230" s="226"/>
      <c r="AK230" s="226"/>
      <c r="AL230" s="226"/>
      <c r="AM230" s="226"/>
      <c r="AN230" s="226"/>
      <c r="AO230" s="226"/>
      <c r="AP230" s="226"/>
      <c r="AQ230" s="226"/>
      <c r="AR230" s="226"/>
      <c r="AS230" s="226"/>
      <c r="AT230" s="226"/>
      <c r="AU230" s="226"/>
      <c r="AV230" s="226"/>
      <c r="AW230" s="226"/>
      <c r="AX230" s="226"/>
      <c r="AY230" s="226"/>
      <c r="AZ230" s="226"/>
      <c r="BA230" s="226"/>
      <c r="BB230" s="226"/>
      <c r="BC230" s="226"/>
      <c r="BD230" s="226"/>
      <c r="BE230" s="226"/>
      <c r="BF230" s="226"/>
      <c r="BG230" s="226"/>
      <c r="BH230" s="226"/>
    </row>
    <row r="231" outlineLevel="1">
      <c r="A231" s="237">
        <v>48</v>
      </c>
      <c r="B231" s="238" t="s">
        <v>610</v>
      </c>
      <c r="C231" s="239" t="s">
        <v>611</v>
      </c>
      <c r="D231" s="240" t="s">
        <v>280</v>
      </c>
      <c r="E231" s="241">
        <v>2</v>
      </c>
      <c r="F231" s="242"/>
      <c r="G231" s="243">
        <f>ROUND(E231*F231,2)</f>
        <v>0</v>
      </c>
      <c r="H231" s="223"/>
      <c r="I231" s="224">
        <f>ROUND(E231*H231,2)</f>
        <v>0</v>
      </c>
      <c r="J231" s="223"/>
      <c r="K231" s="224">
        <f>ROUND(E231*J231,2)</f>
        <v>0</v>
      </c>
      <c r="L231" s="224">
        <v>21</v>
      </c>
      <c r="M231" s="224">
        <f>G231*(1+L231/100)</f>
        <v>0</v>
      </c>
      <c r="N231" s="225">
        <v>0.0097999999999999997</v>
      </c>
      <c r="O231" s="225">
        <f>ROUND(E231*N231,2)</f>
        <v>0.02</v>
      </c>
      <c r="P231" s="225">
        <v>0</v>
      </c>
      <c r="Q231" s="225">
        <f>ROUND(E231*P231,2)</f>
        <v>0</v>
      </c>
      <c r="R231" s="224" t="s">
        <v>595</v>
      </c>
      <c r="S231" s="224" t="s">
        <v>395</v>
      </c>
      <c r="T231" s="224" t="s">
        <v>209</v>
      </c>
      <c r="U231" s="224">
        <v>0</v>
      </c>
      <c r="V231" s="224">
        <f>ROUND(E231*U231,2)</f>
        <v>0</v>
      </c>
      <c r="W231" s="224"/>
      <c r="X231" s="224" t="s">
        <v>230</v>
      </c>
      <c r="Y231" s="224" t="s">
        <v>211</v>
      </c>
      <c r="Z231" s="226"/>
      <c r="AA231" s="226"/>
      <c r="AB231" s="226"/>
      <c r="AC231" s="226"/>
      <c r="AD231" s="226"/>
      <c r="AE231" s="226"/>
      <c r="AF231" s="226"/>
      <c r="AG231" s="226" t="s">
        <v>596</v>
      </c>
      <c r="AH231" s="226"/>
      <c r="AI231" s="226"/>
      <c r="AJ231" s="226"/>
      <c r="AK231" s="226"/>
      <c r="AL231" s="226"/>
      <c r="AM231" s="226"/>
      <c r="AN231" s="226"/>
      <c r="AO231" s="226"/>
      <c r="AP231" s="226"/>
      <c r="AQ231" s="226"/>
      <c r="AR231" s="226"/>
      <c r="AS231" s="226"/>
      <c r="AT231" s="226"/>
      <c r="AU231" s="226"/>
      <c r="AV231" s="226"/>
      <c r="AW231" s="226"/>
      <c r="AX231" s="226"/>
      <c r="AY231" s="226"/>
      <c r="AZ231" s="226"/>
      <c r="BA231" s="226"/>
      <c r="BB231" s="226"/>
      <c r="BC231" s="226"/>
      <c r="BD231" s="226"/>
      <c r="BE231" s="226"/>
      <c r="BF231" s="226"/>
      <c r="BG231" s="226"/>
      <c r="BH231" s="226"/>
    </row>
    <row r="232" outlineLevel="1" ht="22.5">
      <c r="A232" s="237">
        <v>49</v>
      </c>
      <c r="B232" s="238" t="s">
        <v>612</v>
      </c>
      <c r="C232" s="239" t="s">
        <v>613</v>
      </c>
      <c r="D232" s="240" t="s">
        <v>280</v>
      </c>
      <c r="E232" s="241">
        <v>2</v>
      </c>
      <c r="F232" s="242"/>
      <c r="G232" s="243">
        <f>ROUND(E232*F232,2)</f>
        <v>0</v>
      </c>
      <c r="H232" s="223"/>
      <c r="I232" s="224">
        <f>ROUND(E232*H232,2)</f>
        <v>0</v>
      </c>
      <c r="J232" s="223"/>
      <c r="K232" s="224">
        <f>ROUND(E232*J232,2)</f>
        <v>0</v>
      </c>
      <c r="L232" s="224">
        <v>21</v>
      </c>
      <c r="M232" s="224">
        <f>G232*(1+L232/100)</f>
        <v>0</v>
      </c>
      <c r="N232" s="225">
        <v>0</v>
      </c>
      <c r="O232" s="225">
        <f>ROUND(E232*N232,2)</f>
        <v>0</v>
      </c>
      <c r="P232" s="225">
        <v>0</v>
      </c>
      <c r="Q232" s="225">
        <f>ROUND(E232*P232,2)</f>
        <v>0</v>
      </c>
      <c r="R232" s="224"/>
      <c r="S232" s="224" t="s">
        <v>208</v>
      </c>
      <c r="T232" s="224" t="s">
        <v>209</v>
      </c>
      <c r="U232" s="224">
        <v>0</v>
      </c>
      <c r="V232" s="224">
        <f>ROUND(E232*U232,2)</f>
        <v>0</v>
      </c>
      <c r="W232" s="224"/>
      <c r="X232" s="224" t="s">
        <v>230</v>
      </c>
      <c r="Y232" s="224" t="s">
        <v>211</v>
      </c>
      <c r="Z232" s="226"/>
      <c r="AA232" s="226"/>
      <c r="AB232" s="226"/>
      <c r="AC232" s="226"/>
      <c r="AD232" s="226"/>
      <c r="AE232" s="226"/>
      <c r="AF232" s="226"/>
      <c r="AG232" s="226" t="s">
        <v>596</v>
      </c>
      <c r="AH232" s="226"/>
      <c r="AI232" s="226"/>
      <c r="AJ232" s="226"/>
      <c r="AK232" s="226"/>
      <c r="AL232" s="226"/>
      <c r="AM232" s="226"/>
      <c r="AN232" s="226"/>
      <c r="AO232" s="226"/>
      <c r="AP232" s="226"/>
      <c r="AQ232" s="226"/>
      <c r="AR232" s="226"/>
      <c r="AS232" s="226"/>
      <c r="AT232" s="226"/>
      <c r="AU232" s="226"/>
      <c r="AV232" s="226"/>
      <c r="AW232" s="226"/>
      <c r="AX232" s="226"/>
      <c r="AY232" s="226"/>
      <c r="AZ232" s="226"/>
      <c r="BA232" s="226"/>
      <c r="BB232" s="226"/>
      <c r="BC232" s="226"/>
      <c r="BD232" s="226"/>
      <c r="BE232" s="226"/>
      <c r="BF232" s="226"/>
      <c r="BG232" s="226"/>
      <c r="BH232" s="226"/>
    </row>
    <row r="233" outlineLevel="1">
      <c r="A233" s="237">
        <v>50</v>
      </c>
      <c r="B233" s="238" t="s">
        <v>614</v>
      </c>
      <c r="C233" s="239" t="s">
        <v>615</v>
      </c>
      <c r="D233" s="240" t="s">
        <v>280</v>
      </c>
      <c r="E233" s="241">
        <v>2</v>
      </c>
      <c r="F233" s="242"/>
      <c r="G233" s="243">
        <f>ROUND(E233*F233,2)</f>
        <v>0</v>
      </c>
      <c r="H233" s="223"/>
      <c r="I233" s="224">
        <f>ROUND(E233*H233,2)</f>
        <v>0</v>
      </c>
      <c r="J233" s="223"/>
      <c r="K233" s="224">
        <f>ROUND(E233*J233,2)</f>
        <v>0</v>
      </c>
      <c r="L233" s="224">
        <v>21</v>
      </c>
      <c r="M233" s="224">
        <f>G233*(1+L233/100)</f>
        <v>0</v>
      </c>
      <c r="N233" s="225">
        <v>0</v>
      </c>
      <c r="O233" s="225">
        <f>ROUND(E233*N233,2)</f>
        <v>0</v>
      </c>
      <c r="P233" s="225">
        <v>0</v>
      </c>
      <c r="Q233" s="225">
        <f>ROUND(E233*P233,2)</f>
        <v>0</v>
      </c>
      <c r="R233" s="224"/>
      <c r="S233" s="224" t="s">
        <v>208</v>
      </c>
      <c r="T233" s="224" t="s">
        <v>209</v>
      </c>
      <c r="U233" s="224">
        <v>0</v>
      </c>
      <c r="V233" s="224">
        <f>ROUND(E233*U233,2)</f>
        <v>0</v>
      </c>
      <c r="W233" s="224"/>
      <c r="X233" s="224" t="s">
        <v>230</v>
      </c>
      <c r="Y233" s="224" t="s">
        <v>211</v>
      </c>
      <c r="Z233" s="226"/>
      <c r="AA233" s="226"/>
      <c r="AB233" s="226"/>
      <c r="AC233" s="226"/>
      <c r="AD233" s="226"/>
      <c r="AE233" s="226"/>
      <c r="AF233" s="226"/>
      <c r="AG233" s="226" t="s">
        <v>596</v>
      </c>
      <c r="AH233" s="226"/>
      <c r="AI233" s="226"/>
      <c r="AJ233" s="226"/>
      <c r="AK233" s="226"/>
      <c r="AL233" s="226"/>
      <c r="AM233" s="226"/>
      <c r="AN233" s="226"/>
      <c r="AO233" s="226"/>
      <c r="AP233" s="226"/>
      <c r="AQ233" s="226"/>
      <c r="AR233" s="226"/>
      <c r="AS233" s="226"/>
      <c r="AT233" s="226"/>
      <c r="AU233" s="226"/>
      <c r="AV233" s="226"/>
      <c r="AW233" s="226"/>
      <c r="AX233" s="226"/>
      <c r="AY233" s="226"/>
      <c r="AZ233" s="226"/>
      <c r="BA233" s="226"/>
      <c r="BB233" s="226"/>
      <c r="BC233" s="226"/>
      <c r="BD233" s="226"/>
      <c r="BE233" s="226"/>
      <c r="BF233" s="226"/>
      <c r="BG233" s="226"/>
      <c r="BH233" s="226"/>
    </row>
    <row r="234">
      <c r="A234" s="207" t="s">
        <v>203</v>
      </c>
      <c r="B234" s="208" t="s">
        <v>145</v>
      </c>
      <c r="C234" s="209" t="s">
        <v>146</v>
      </c>
      <c r="D234" s="210"/>
      <c r="E234" s="211"/>
      <c r="F234" s="212"/>
      <c r="G234" s="213">
        <f>SUMIF(AG235,"&lt;&gt;NOR",G235)</f>
        <v>0</v>
      </c>
      <c r="H234" s="214"/>
      <c r="I234" s="214">
        <f>SUM(I235)</f>
        <v>0</v>
      </c>
      <c r="J234" s="214"/>
      <c r="K234" s="214">
        <f>SUM(K235)</f>
        <v>0</v>
      </c>
      <c r="L234" s="214"/>
      <c r="M234" s="214">
        <f>SUM(M235)</f>
        <v>0</v>
      </c>
      <c r="N234" s="215"/>
      <c r="O234" s="215">
        <f>SUM(O235)</f>
        <v>0</v>
      </c>
      <c r="P234" s="215"/>
      <c r="Q234" s="215">
        <f>SUM(Q235)</f>
        <v>0</v>
      </c>
      <c r="R234" s="214"/>
      <c r="S234" s="214"/>
      <c r="T234" s="214"/>
      <c r="U234" s="214"/>
      <c r="V234" s="214">
        <f>SUM(V235)</f>
        <v>513.13999999999999</v>
      </c>
      <c r="W234" s="214"/>
      <c r="X234" s="214"/>
      <c r="Y234" s="214"/>
      <c r="AG234" t="s">
        <v>204</v>
      </c>
    </row>
    <row r="235" outlineLevel="1">
      <c r="A235" s="237">
        <v>51</v>
      </c>
      <c r="B235" s="238" t="s">
        <v>616</v>
      </c>
      <c r="C235" s="239" t="s">
        <v>617</v>
      </c>
      <c r="D235" s="240" t="s">
        <v>229</v>
      </c>
      <c r="E235" s="241">
        <v>1655.29899</v>
      </c>
      <c r="F235" s="242"/>
      <c r="G235" s="243">
        <f>ROUND(E235*F235,2)</f>
        <v>0</v>
      </c>
      <c r="H235" s="223"/>
      <c r="I235" s="224">
        <f>ROUND(E235*H235,2)</f>
        <v>0</v>
      </c>
      <c r="J235" s="223"/>
      <c r="K235" s="224">
        <f>ROUND(E235*J235,2)</f>
        <v>0</v>
      </c>
      <c r="L235" s="224">
        <v>21</v>
      </c>
      <c r="M235" s="224">
        <f>G235*(1+L235/100)</f>
        <v>0</v>
      </c>
      <c r="N235" s="225">
        <v>0</v>
      </c>
      <c r="O235" s="225">
        <f>ROUND(E235*N235,2)</f>
        <v>0</v>
      </c>
      <c r="P235" s="225">
        <v>0</v>
      </c>
      <c r="Q235" s="225">
        <f>ROUND(E235*P235,2)</f>
        <v>0</v>
      </c>
      <c r="R235" s="224"/>
      <c r="S235" s="224" t="s">
        <v>395</v>
      </c>
      <c r="T235" s="224" t="s">
        <v>209</v>
      </c>
      <c r="U235" s="224">
        <v>0.31</v>
      </c>
      <c r="V235" s="224">
        <f>ROUND(E235*U235,2)</f>
        <v>513.13999999999999</v>
      </c>
      <c r="W235" s="224"/>
      <c r="X235" s="224" t="s">
        <v>618</v>
      </c>
      <c r="Y235" s="224" t="s">
        <v>211</v>
      </c>
      <c r="Z235" s="226"/>
      <c r="AA235" s="226"/>
      <c r="AB235" s="226"/>
      <c r="AC235" s="226"/>
      <c r="AD235" s="226"/>
      <c r="AE235" s="226"/>
      <c r="AF235" s="226"/>
      <c r="AG235" s="226" t="s">
        <v>619</v>
      </c>
      <c r="AH235" s="226"/>
      <c r="AI235" s="226"/>
      <c r="AJ235" s="226"/>
      <c r="AK235" s="226"/>
      <c r="AL235" s="226"/>
      <c r="AM235" s="226"/>
      <c r="AN235" s="226"/>
      <c r="AO235" s="226"/>
      <c r="AP235" s="226"/>
      <c r="AQ235" s="226"/>
      <c r="AR235" s="226"/>
      <c r="AS235" s="226"/>
      <c r="AT235" s="226"/>
      <c r="AU235" s="226"/>
      <c r="AV235" s="226"/>
      <c r="AW235" s="226"/>
      <c r="AX235" s="226"/>
      <c r="AY235" s="226"/>
      <c r="AZ235" s="226"/>
      <c r="BA235" s="226"/>
      <c r="BB235" s="226"/>
      <c r="BC235" s="226"/>
      <c r="BD235" s="226"/>
      <c r="BE235" s="226"/>
      <c r="BF235" s="226"/>
      <c r="BG235" s="226"/>
      <c r="BH235" s="226"/>
    </row>
    <row r="236">
      <c r="A236" s="207" t="s">
        <v>203</v>
      </c>
      <c r="B236" s="208" t="s">
        <v>151</v>
      </c>
      <c r="C236" s="209" t="s">
        <v>152</v>
      </c>
      <c r="D236" s="210"/>
      <c r="E236" s="211"/>
      <c r="F236" s="212"/>
      <c r="G236" s="213">
        <f>SUMIF(AG237:AG242,"&lt;&gt;NOR",G237:G242)</f>
        <v>0</v>
      </c>
      <c r="H236" s="214"/>
      <c r="I236" s="214">
        <f>SUM(I237:I242)</f>
        <v>0</v>
      </c>
      <c r="J236" s="214"/>
      <c r="K236" s="214">
        <f>SUM(K237:K242)</f>
        <v>0</v>
      </c>
      <c r="L236" s="214"/>
      <c r="M236" s="214">
        <f>SUM(M237:M242)</f>
        <v>0</v>
      </c>
      <c r="N236" s="215"/>
      <c r="O236" s="215">
        <f>SUM(O237:O242)</f>
        <v>0.37</v>
      </c>
      <c r="P236" s="215"/>
      <c r="Q236" s="215">
        <f>SUM(Q237:Q242)</f>
        <v>0</v>
      </c>
      <c r="R236" s="214"/>
      <c r="S236" s="214"/>
      <c r="T236" s="214"/>
      <c r="U236" s="214"/>
      <c r="V236" s="214">
        <f>SUM(V237:V242)</f>
        <v>85.079999999999998</v>
      </c>
      <c r="W236" s="214"/>
      <c r="X236" s="214"/>
      <c r="Y236" s="214"/>
      <c r="AG236" t="s">
        <v>204</v>
      </c>
    </row>
    <row r="237" outlineLevel="1" ht="22.5">
      <c r="A237" s="216">
        <v>52</v>
      </c>
      <c r="B237" s="217" t="s">
        <v>620</v>
      </c>
      <c r="C237" s="218" t="s">
        <v>621</v>
      </c>
      <c r="D237" s="219" t="s">
        <v>207</v>
      </c>
      <c r="E237" s="220">
        <v>248.31999999999999</v>
      </c>
      <c r="F237" s="221"/>
      <c r="G237" s="222">
        <f>ROUND(E237*F237,2)</f>
        <v>0</v>
      </c>
      <c r="H237" s="223"/>
      <c r="I237" s="224">
        <f>ROUND(E237*H237,2)</f>
        <v>0</v>
      </c>
      <c r="J237" s="223"/>
      <c r="K237" s="224">
        <f>ROUND(E237*J237,2)</f>
        <v>0</v>
      </c>
      <c r="L237" s="224">
        <v>21</v>
      </c>
      <c r="M237" s="224">
        <f>G237*(1+L237/100)</f>
        <v>0</v>
      </c>
      <c r="N237" s="225">
        <v>0.0013600000000000001</v>
      </c>
      <c r="O237" s="225">
        <f>ROUND(E237*N237,2)</f>
        <v>0.34000000000000002</v>
      </c>
      <c r="P237" s="225">
        <v>0</v>
      </c>
      <c r="Q237" s="225">
        <f>ROUND(E237*P237,2)</f>
        <v>0</v>
      </c>
      <c r="R237" s="224"/>
      <c r="S237" s="224" t="s">
        <v>395</v>
      </c>
      <c r="T237" s="224" t="s">
        <v>209</v>
      </c>
      <c r="U237" s="224">
        <v>0.31</v>
      </c>
      <c r="V237" s="224">
        <f>ROUND(E237*U237,2)</f>
        <v>76.980000000000004</v>
      </c>
      <c r="W237" s="224"/>
      <c r="X237" s="224" t="s">
        <v>210</v>
      </c>
      <c r="Y237" s="224" t="s">
        <v>211</v>
      </c>
      <c r="Z237" s="226"/>
      <c r="AA237" s="226"/>
      <c r="AB237" s="226"/>
      <c r="AC237" s="226"/>
      <c r="AD237" s="226"/>
      <c r="AE237" s="226"/>
      <c r="AF237" s="226"/>
      <c r="AG237" s="226" t="s">
        <v>396</v>
      </c>
      <c r="AH237" s="226"/>
      <c r="AI237" s="226"/>
      <c r="AJ237" s="226"/>
      <c r="AK237" s="226"/>
      <c r="AL237" s="226"/>
      <c r="AM237" s="226"/>
      <c r="AN237" s="226"/>
      <c r="AO237" s="226"/>
      <c r="AP237" s="226"/>
      <c r="AQ237" s="226"/>
      <c r="AR237" s="226"/>
      <c r="AS237" s="226"/>
      <c r="AT237" s="226"/>
      <c r="AU237" s="226"/>
      <c r="AV237" s="226"/>
      <c r="AW237" s="226"/>
      <c r="AX237" s="226"/>
      <c r="AY237" s="226"/>
      <c r="AZ237" s="226"/>
      <c r="BA237" s="226"/>
      <c r="BB237" s="226"/>
      <c r="BC237" s="226"/>
      <c r="BD237" s="226"/>
      <c r="BE237" s="226"/>
      <c r="BF237" s="226"/>
      <c r="BG237" s="226"/>
      <c r="BH237" s="226"/>
    </row>
    <row r="238" outlineLevel="2">
      <c r="A238" s="227"/>
      <c r="B238" s="228"/>
      <c r="C238" s="233" t="s">
        <v>622</v>
      </c>
      <c r="D238" s="234"/>
      <c r="E238" s="235">
        <v>241.91999999999999</v>
      </c>
      <c r="F238" s="224"/>
      <c r="G238" s="224"/>
      <c r="H238" s="224"/>
      <c r="I238" s="224"/>
      <c r="J238" s="224"/>
      <c r="K238" s="224"/>
      <c r="L238" s="224"/>
      <c r="M238" s="224"/>
      <c r="N238" s="225"/>
      <c r="O238" s="225"/>
      <c r="P238" s="225"/>
      <c r="Q238" s="225"/>
      <c r="R238" s="224"/>
      <c r="S238" s="224"/>
      <c r="T238" s="224"/>
      <c r="U238" s="224"/>
      <c r="V238" s="224"/>
      <c r="W238" s="224"/>
      <c r="X238" s="224"/>
      <c r="Y238" s="224"/>
      <c r="Z238" s="226"/>
      <c r="AA238" s="226"/>
      <c r="AB238" s="226"/>
      <c r="AC238" s="226"/>
      <c r="AD238" s="226"/>
      <c r="AE238" s="226"/>
      <c r="AF238" s="226"/>
      <c r="AG238" s="226" t="s">
        <v>217</v>
      </c>
      <c r="AH238" s="226">
        <v>0</v>
      </c>
      <c r="AI238" s="226"/>
      <c r="AJ238" s="226"/>
      <c r="AK238" s="226"/>
      <c r="AL238" s="226"/>
      <c r="AM238" s="226"/>
      <c r="AN238" s="226"/>
      <c r="AO238" s="226"/>
      <c r="AP238" s="226"/>
      <c r="AQ238" s="226"/>
      <c r="AR238" s="226"/>
      <c r="AS238" s="226"/>
      <c r="AT238" s="226"/>
      <c r="AU238" s="226"/>
      <c r="AV238" s="226"/>
      <c r="AW238" s="226"/>
      <c r="AX238" s="226"/>
      <c r="AY238" s="226"/>
      <c r="AZ238" s="226"/>
      <c r="BA238" s="226"/>
      <c r="BB238" s="226"/>
      <c r="BC238" s="226"/>
      <c r="BD238" s="226"/>
      <c r="BE238" s="226"/>
      <c r="BF238" s="226"/>
      <c r="BG238" s="226"/>
      <c r="BH238" s="226"/>
    </row>
    <row r="239" outlineLevel="3">
      <c r="A239" s="227"/>
      <c r="B239" s="228"/>
      <c r="C239" s="233" t="s">
        <v>623</v>
      </c>
      <c r="D239" s="234"/>
      <c r="E239" s="235">
        <v>6.4000000000000004</v>
      </c>
      <c r="F239" s="224"/>
      <c r="G239" s="224"/>
      <c r="H239" s="224"/>
      <c r="I239" s="224"/>
      <c r="J239" s="224"/>
      <c r="K239" s="224"/>
      <c r="L239" s="224"/>
      <c r="M239" s="224"/>
      <c r="N239" s="225"/>
      <c r="O239" s="225"/>
      <c r="P239" s="225"/>
      <c r="Q239" s="225"/>
      <c r="R239" s="224"/>
      <c r="S239" s="224"/>
      <c r="T239" s="224"/>
      <c r="U239" s="224"/>
      <c r="V239" s="224"/>
      <c r="W239" s="224"/>
      <c r="X239" s="224"/>
      <c r="Y239" s="224"/>
      <c r="Z239" s="226"/>
      <c r="AA239" s="226"/>
      <c r="AB239" s="226"/>
      <c r="AC239" s="226"/>
      <c r="AD239" s="226"/>
      <c r="AE239" s="226"/>
      <c r="AF239" s="226"/>
      <c r="AG239" s="226" t="s">
        <v>217</v>
      </c>
      <c r="AH239" s="226">
        <v>0</v>
      </c>
      <c r="AI239" s="226"/>
      <c r="AJ239" s="226"/>
      <c r="AK239" s="226"/>
      <c r="AL239" s="226"/>
      <c r="AM239" s="226"/>
      <c r="AN239" s="226"/>
      <c r="AO239" s="226"/>
      <c r="AP239" s="226"/>
      <c r="AQ239" s="226"/>
      <c r="AR239" s="226"/>
      <c r="AS239" s="226"/>
      <c r="AT239" s="226"/>
      <c r="AU239" s="226"/>
      <c r="AV239" s="226"/>
      <c r="AW239" s="226"/>
      <c r="AX239" s="226"/>
      <c r="AY239" s="226"/>
      <c r="AZ239" s="226"/>
      <c r="BA239" s="226"/>
      <c r="BB239" s="226"/>
      <c r="BC239" s="226"/>
      <c r="BD239" s="226"/>
      <c r="BE239" s="226"/>
      <c r="BF239" s="226"/>
      <c r="BG239" s="226"/>
      <c r="BH239" s="226"/>
    </row>
    <row r="240" outlineLevel="1" ht="22.5">
      <c r="A240" s="216">
        <v>53</v>
      </c>
      <c r="B240" s="217" t="s">
        <v>624</v>
      </c>
      <c r="C240" s="218" t="s">
        <v>625</v>
      </c>
      <c r="D240" s="219" t="s">
        <v>207</v>
      </c>
      <c r="E240" s="220">
        <v>19.300000000000001</v>
      </c>
      <c r="F240" s="221"/>
      <c r="G240" s="222">
        <f>ROUND(E240*F240,2)</f>
        <v>0</v>
      </c>
      <c r="H240" s="223"/>
      <c r="I240" s="224">
        <f>ROUND(E240*H240,2)</f>
        <v>0</v>
      </c>
      <c r="J240" s="223"/>
      <c r="K240" s="224">
        <f>ROUND(E240*J240,2)</f>
        <v>0</v>
      </c>
      <c r="L240" s="224">
        <v>21</v>
      </c>
      <c r="M240" s="224">
        <f>G240*(1+L240/100)</f>
        <v>0</v>
      </c>
      <c r="N240" s="225">
        <v>0.00139</v>
      </c>
      <c r="O240" s="225">
        <f>ROUND(E240*N240,2)</f>
        <v>0.029999999999999999</v>
      </c>
      <c r="P240" s="225">
        <v>0</v>
      </c>
      <c r="Q240" s="225">
        <f>ROUND(E240*P240,2)</f>
        <v>0</v>
      </c>
      <c r="R240" s="224"/>
      <c r="S240" s="224" t="s">
        <v>395</v>
      </c>
      <c r="T240" s="224" t="s">
        <v>209</v>
      </c>
      <c r="U240" s="224">
        <v>0.39000000000000001</v>
      </c>
      <c r="V240" s="224">
        <f>ROUND(E240*U240,2)</f>
        <v>7.5300000000000002</v>
      </c>
      <c r="W240" s="224"/>
      <c r="X240" s="224" t="s">
        <v>210</v>
      </c>
      <c r="Y240" s="224" t="s">
        <v>211</v>
      </c>
      <c r="Z240" s="226"/>
      <c r="AA240" s="226"/>
      <c r="AB240" s="226"/>
      <c r="AC240" s="226"/>
      <c r="AD240" s="226"/>
      <c r="AE240" s="226"/>
      <c r="AF240" s="226"/>
      <c r="AG240" s="226" t="s">
        <v>396</v>
      </c>
      <c r="AH240" s="226"/>
      <c r="AI240" s="226"/>
      <c r="AJ240" s="226"/>
      <c r="AK240" s="226"/>
      <c r="AL240" s="226"/>
      <c r="AM240" s="226"/>
      <c r="AN240" s="226"/>
      <c r="AO240" s="226"/>
      <c r="AP240" s="226"/>
      <c r="AQ240" s="226"/>
      <c r="AR240" s="226"/>
      <c r="AS240" s="226"/>
      <c r="AT240" s="226"/>
      <c r="AU240" s="226"/>
      <c r="AV240" s="226"/>
      <c r="AW240" s="226"/>
      <c r="AX240" s="226"/>
      <c r="AY240" s="226"/>
      <c r="AZ240" s="226"/>
      <c r="BA240" s="226"/>
      <c r="BB240" s="226"/>
      <c r="BC240" s="226"/>
      <c r="BD240" s="226"/>
      <c r="BE240" s="226"/>
      <c r="BF240" s="226"/>
      <c r="BG240" s="226"/>
      <c r="BH240" s="226"/>
    </row>
    <row r="241" outlineLevel="2">
      <c r="A241" s="227"/>
      <c r="B241" s="228"/>
      <c r="C241" s="233" t="s">
        <v>626</v>
      </c>
      <c r="D241" s="234"/>
      <c r="E241" s="235">
        <v>19.300000000000001</v>
      </c>
      <c r="F241" s="224"/>
      <c r="G241" s="224"/>
      <c r="H241" s="224"/>
      <c r="I241" s="224"/>
      <c r="J241" s="224"/>
      <c r="K241" s="224"/>
      <c r="L241" s="224"/>
      <c r="M241" s="224"/>
      <c r="N241" s="225"/>
      <c r="O241" s="225"/>
      <c r="P241" s="225"/>
      <c r="Q241" s="225"/>
      <c r="R241" s="224"/>
      <c r="S241" s="224"/>
      <c r="T241" s="224"/>
      <c r="U241" s="224"/>
      <c r="V241" s="224"/>
      <c r="W241" s="224"/>
      <c r="X241" s="224"/>
      <c r="Y241" s="224"/>
      <c r="Z241" s="226"/>
      <c r="AA241" s="226"/>
      <c r="AB241" s="226"/>
      <c r="AC241" s="226"/>
      <c r="AD241" s="226"/>
      <c r="AE241" s="226"/>
      <c r="AF241" s="226"/>
      <c r="AG241" s="226" t="s">
        <v>217</v>
      </c>
      <c r="AH241" s="226">
        <v>0</v>
      </c>
      <c r="AI241" s="226"/>
      <c r="AJ241" s="226"/>
      <c r="AK241" s="226"/>
      <c r="AL241" s="226"/>
      <c r="AM241" s="226"/>
      <c r="AN241" s="226"/>
      <c r="AO241" s="226"/>
      <c r="AP241" s="226"/>
      <c r="AQ241" s="226"/>
      <c r="AR241" s="226"/>
      <c r="AS241" s="226"/>
      <c r="AT241" s="226"/>
      <c r="AU241" s="226"/>
      <c r="AV241" s="226"/>
      <c r="AW241" s="226"/>
      <c r="AX241" s="226"/>
      <c r="AY241" s="226"/>
      <c r="AZ241" s="226"/>
      <c r="BA241" s="226"/>
      <c r="BB241" s="226"/>
      <c r="BC241" s="226"/>
      <c r="BD241" s="226"/>
      <c r="BE241" s="226"/>
      <c r="BF241" s="226"/>
      <c r="BG241" s="226"/>
      <c r="BH241" s="226"/>
    </row>
    <row r="242" outlineLevel="1">
      <c r="A242" s="237">
        <v>54</v>
      </c>
      <c r="B242" s="238" t="s">
        <v>627</v>
      </c>
      <c r="C242" s="239" t="s">
        <v>628</v>
      </c>
      <c r="D242" s="240" t="s">
        <v>229</v>
      </c>
      <c r="E242" s="241">
        <v>0.36453999999999998</v>
      </c>
      <c r="F242" s="242"/>
      <c r="G242" s="243">
        <f>ROUND(E242*F242,2)</f>
        <v>0</v>
      </c>
      <c r="H242" s="223"/>
      <c r="I242" s="224">
        <f>ROUND(E242*H242,2)</f>
        <v>0</v>
      </c>
      <c r="J242" s="223"/>
      <c r="K242" s="224">
        <f>ROUND(E242*J242,2)</f>
        <v>0</v>
      </c>
      <c r="L242" s="224">
        <v>21</v>
      </c>
      <c r="M242" s="224">
        <f>G242*(1+L242/100)</f>
        <v>0</v>
      </c>
      <c r="N242" s="225">
        <v>0</v>
      </c>
      <c r="O242" s="225">
        <f>ROUND(E242*N242,2)</f>
        <v>0</v>
      </c>
      <c r="P242" s="225">
        <v>0</v>
      </c>
      <c r="Q242" s="225">
        <f>ROUND(E242*P242,2)</f>
        <v>0</v>
      </c>
      <c r="R242" s="224"/>
      <c r="S242" s="224" t="s">
        <v>395</v>
      </c>
      <c r="T242" s="224" t="s">
        <v>209</v>
      </c>
      <c r="U242" s="224">
        <v>1.567</v>
      </c>
      <c r="V242" s="224">
        <f>ROUND(E242*U242,2)</f>
        <v>0.56999999999999995</v>
      </c>
      <c r="W242" s="224"/>
      <c r="X242" s="224" t="s">
        <v>618</v>
      </c>
      <c r="Y242" s="224" t="s">
        <v>211</v>
      </c>
      <c r="Z242" s="226"/>
      <c r="AA242" s="226"/>
      <c r="AB242" s="226"/>
      <c r="AC242" s="226"/>
      <c r="AD242" s="226"/>
      <c r="AE242" s="226"/>
      <c r="AF242" s="226"/>
      <c r="AG242" s="226" t="s">
        <v>619</v>
      </c>
      <c r="AH242" s="226"/>
      <c r="AI242" s="226"/>
      <c r="AJ242" s="226"/>
      <c r="AK242" s="226"/>
      <c r="AL242" s="226"/>
      <c r="AM242" s="226"/>
      <c r="AN242" s="226"/>
      <c r="AO242" s="226"/>
      <c r="AP242" s="226"/>
      <c r="AQ242" s="226"/>
      <c r="AR242" s="226"/>
      <c r="AS242" s="226"/>
      <c r="AT242" s="226"/>
      <c r="AU242" s="226"/>
      <c r="AV242" s="226"/>
      <c r="AW242" s="226"/>
      <c r="AX242" s="226"/>
      <c r="AY242" s="226"/>
      <c r="AZ242" s="226"/>
      <c r="BA242" s="226"/>
      <c r="BB242" s="226"/>
      <c r="BC242" s="226"/>
      <c r="BD242" s="226"/>
      <c r="BE242" s="226"/>
      <c r="BF242" s="226"/>
      <c r="BG242" s="226"/>
      <c r="BH242" s="226"/>
    </row>
    <row r="243">
      <c r="A243" s="207" t="s">
        <v>203</v>
      </c>
      <c r="B243" s="208" t="s">
        <v>163</v>
      </c>
      <c r="C243" s="209" t="s">
        <v>164</v>
      </c>
      <c r="D243" s="210"/>
      <c r="E243" s="211"/>
      <c r="F243" s="212"/>
      <c r="G243" s="213">
        <f>SUMIF(AG244:AG256,"&lt;&gt;NOR",G244:G256)</f>
        <v>0</v>
      </c>
      <c r="H243" s="214"/>
      <c r="I243" s="214">
        <f>SUM(I244:I256)</f>
        <v>0</v>
      </c>
      <c r="J243" s="214"/>
      <c r="K243" s="214">
        <f>SUM(K244:K256)</f>
        <v>0</v>
      </c>
      <c r="L243" s="214"/>
      <c r="M243" s="214">
        <f>SUM(M244:M256)</f>
        <v>0</v>
      </c>
      <c r="N243" s="215"/>
      <c r="O243" s="215">
        <f>SUM(O244:O256)</f>
        <v>1.1000000000000001</v>
      </c>
      <c r="P243" s="215"/>
      <c r="Q243" s="215">
        <f>SUM(Q244:Q256)</f>
        <v>0</v>
      </c>
      <c r="R243" s="214"/>
      <c r="S243" s="214"/>
      <c r="T243" s="214"/>
      <c r="U243" s="214"/>
      <c r="V243" s="214">
        <f>SUM(V244:V256)</f>
        <v>160.56</v>
      </c>
      <c r="W243" s="214"/>
      <c r="X243" s="214"/>
      <c r="Y243" s="214"/>
      <c r="AG243" t="s">
        <v>204</v>
      </c>
    </row>
    <row r="244" outlineLevel="1" ht="22.5">
      <c r="A244" s="216">
        <v>55</v>
      </c>
      <c r="B244" s="217" t="s">
        <v>629</v>
      </c>
      <c r="C244" s="218" t="s">
        <v>630</v>
      </c>
      <c r="D244" s="219" t="s">
        <v>320</v>
      </c>
      <c r="E244" s="220">
        <v>44.799999999999997</v>
      </c>
      <c r="F244" s="221"/>
      <c r="G244" s="222">
        <f>ROUND(E244*F244,2)</f>
        <v>0</v>
      </c>
      <c r="H244" s="223"/>
      <c r="I244" s="224">
        <f>ROUND(E244*H244,2)</f>
        <v>0</v>
      </c>
      <c r="J244" s="223"/>
      <c r="K244" s="224">
        <f>ROUND(E244*J244,2)</f>
        <v>0</v>
      </c>
      <c r="L244" s="224">
        <v>21</v>
      </c>
      <c r="M244" s="224">
        <f>G244*(1+L244/100)</f>
        <v>0</v>
      </c>
      <c r="N244" s="225">
        <v>0.0060200000000000002</v>
      </c>
      <c r="O244" s="225">
        <f>ROUND(E244*N244,2)</f>
        <v>0.27000000000000002</v>
      </c>
      <c r="P244" s="225">
        <v>0</v>
      </c>
      <c r="Q244" s="225">
        <f>ROUND(E244*P244,2)</f>
        <v>0</v>
      </c>
      <c r="R244" s="224"/>
      <c r="S244" s="224" t="s">
        <v>395</v>
      </c>
      <c r="T244" s="224" t="s">
        <v>209</v>
      </c>
      <c r="U244" s="224">
        <v>0.67195000000000005</v>
      </c>
      <c r="V244" s="224">
        <f>ROUND(E244*U244,2)</f>
        <v>30.100000000000001</v>
      </c>
      <c r="W244" s="224"/>
      <c r="X244" s="224" t="s">
        <v>210</v>
      </c>
      <c r="Y244" s="224" t="s">
        <v>211</v>
      </c>
      <c r="Z244" s="226"/>
      <c r="AA244" s="226"/>
      <c r="AB244" s="226"/>
      <c r="AC244" s="226"/>
      <c r="AD244" s="226"/>
      <c r="AE244" s="226"/>
      <c r="AF244" s="226"/>
      <c r="AG244" s="226" t="s">
        <v>396</v>
      </c>
      <c r="AH244" s="226"/>
      <c r="AI244" s="226"/>
      <c r="AJ244" s="226"/>
      <c r="AK244" s="226"/>
      <c r="AL244" s="226"/>
      <c r="AM244" s="226"/>
      <c r="AN244" s="226"/>
      <c r="AO244" s="226"/>
      <c r="AP244" s="226"/>
      <c r="AQ244" s="226"/>
      <c r="AR244" s="226"/>
      <c r="AS244" s="226"/>
      <c r="AT244" s="226"/>
      <c r="AU244" s="226"/>
      <c r="AV244" s="226"/>
      <c r="AW244" s="226"/>
      <c r="AX244" s="226"/>
      <c r="AY244" s="226"/>
      <c r="AZ244" s="226"/>
      <c r="BA244" s="226"/>
      <c r="BB244" s="226"/>
      <c r="BC244" s="226"/>
      <c r="BD244" s="226"/>
      <c r="BE244" s="226"/>
      <c r="BF244" s="226"/>
      <c r="BG244" s="226"/>
      <c r="BH244" s="226"/>
    </row>
    <row r="245" outlineLevel="2">
      <c r="A245" s="227"/>
      <c r="B245" s="228"/>
      <c r="C245" s="233" t="s">
        <v>631</v>
      </c>
      <c r="D245" s="234"/>
      <c r="E245" s="235"/>
      <c r="F245" s="224"/>
      <c r="G245" s="224"/>
      <c r="H245" s="224"/>
      <c r="I245" s="224"/>
      <c r="J245" s="224"/>
      <c r="K245" s="224"/>
      <c r="L245" s="224"/>
      <c r="M245" s="224"/>
      <c r="N245" s="225"/>
      <c r="O245" s="225"/>
      <c r="P245" s="225"/>
      <c r="Q245" s="225"/>
      <c r="R245" s="224"/>
      <c r="S245" s="224"/>
      <c r="T245" s="224"/>
      <c r="U245" s="224"/>
      <c r="V245" s="224"/>
      <c r="W245" s="224"/>
      <c r="X245" s="224"/>
      <c r="Y245" s="224"/>
      <c r="Z245" s="226"/>
      <c r="AA245" s="226"/>
      <c r="AB245" s="226"/>
      <c r="AC245" s="226"/>
      <c r="AD245" s="226"/>
      <c r="AE245" s="226"/>
      <c r="AF245" s="226"/>
      <c r="AG245" s="226" t="s">
        <v>217</v>
      </c>
      <c r="AH245" s="226">
        <v>0</v>
      </c>
      <c r="AI245" s="226"/>
      <c r="AJ245" s="226"/>
      <c r="AK245" s="226"/>
      <c r="AL245" s="226"/>
      <c r="AM245" s="226"/>
      <c r="AN245" s="226"/>
      <c r="AO245" s="226"/>
      <c r="AP245" s="226"/>
      <c r="AQ245" s="226"/>
      <c r="AR245" s="226"/>
      <c r="AS245" s="226"/>
      <c r="AT245" s="226"/>
      <c r="AU245" s="226"/>
      <c r="AV245" s="226"/>
      <c r="AW245" s="226"/>
      <c r="AX245" s="226"/>
      <c r="AY245" s="226"/>
      <c r="AZ245" s="226"/>
      <c r="BA245" s="226"/>
      <c r="BB245" s="226"/>
      <c r="BC245" s="226"/>
      <c r="BD245" s="226"/>
      <c r="BE245" s="226"/>
      <c r="BF245" s="226"/>
      <c r="BG245" s="226"/>
      <c r="BH245" s="226"/>
    </row>
    <row r="246" outlineLevel="3">
      <c r="A246" s="227"/>
      <c r="B246" s="228"/>
      <c r="C246" s="233" t="s">
        <v>632</v>
      </c>
      <c r="D246" s="234"/>
      <c r="E246" s="235">
        <v>44.799999999999997</v>
      </c>
      <c r="F246" s="224"/>
      <c r="G246" s="224"/>
      <c r="H246" s="224"/>
      <c r="I246" s="224"/>
      <c r="J246" s="224"/>
      <c r="K246" s="224"/>
      <c r="L246" s="224"/>
      <c r="M246" s="224"/>
      <c r="N246" s="225"/>
      <c r="O246" s="225"/>
      <c r="P246" s="225"/>
      <c r="Q246" s="225"/>
      <c r="R246" s="224"/>
      <c r="S246" s="224"/>
      <c r="T246" s="224"/>
      <c r="U246" s="224"/>
      <c r="V246" s="224"/>
      <c r="W246" s="224"/>
      <c r="X246" s="224"/>
      <c r="Y246" s="224"/>
      <c r="Z246" s="226"/>
      <c r="AA246" s="226"/>
      <c r="AB246" s="226"/>
      <c r="AC246" s="226"/>
      <c r="AD246" s="226"/>
      <c r="AE246" s="226"/>
      <c r="AF246" s="226"/>
      <c r="AG246" s="226" t="s">
        <v>217</v>
      </c>
      <c r="AH246" s="226">
        <v>0</v>
      </c>
      <c r="AI246" s="226"/>
      <c r="AJ246" s="226"/>
      <c r="AK246" s="226"/>
      <c r="AL246" s="226"/>
      <c r="AM246" s="226"/>
      <c r="AN246" s="226"/>
      <c r="AO246" s="226"/>
      <c r="AP246" s="226"/>
      <c r="AQ246" s="226"/>
      <c r="AR246" s="226"/>
      <c r="AS246" s="226"/>
      <c r="AT246" s="226"/>
      <c r="AU246" s="226"/>
      <c r="AV246" s="226"/>
      <c r="AW246" s="226"/>
      <c r="AX246" s="226"/>
      <c r="AY246" s="226"/>
      <c r="AZ246" s="226"/>
      <c r="BA246" s="226"/>
      <c r="BB246" s="226"/>
      <c r="BC246" s="226"/>
      <c r="BD246" s="226"/>
      <c r="BE246" s="226"/>
      <c r="BF246" s="226"/>
      <c r="BG246" s="226"/>
      <c r="BH246" s="226"/>
    </row>
    <row r="247" outlineLevel="1">
      <c r="A247" s="216">
        <v>56</v>
      </c>
      <c r="B247" s="217" t="s">
        <v>633</v>
      </c>
      <c r="C247" s="218" t="s">
        <v>634</v>
      </c>
      <c r="D247" s="219" t="s">
        <v>320</v>
      </c>
      <c r="E247" s="220">
        <v>44.799999999999997</v>
      </c>
      <c r="F247" s="221"/>
      <c r="G247" s="222">
        <f>ROUND(E247*F247,2)</f>
        <v>0</v>
      </c>
      <c r="H247" s="223"/>
      <c r="I247" s="224">
        <f>ROUND(E247*H247,2)</f>
        <v>0</v>
      </c>
      <c r="J247" s="223"/>
      <c r="K247" s="224">
        <f>ROUND(E247*J247,2)</f>
        <v>0</v>
      </c>
      <c r="L247" s="224">
        <v>21</v>
      </c>
      <c r="M247" s="224">
        <f>G247*(1+L247/100)</f>
        <v>0</v>
      </c>
      <c r="N247" s="225">
        <v>0.0055399999999999998</v>
      </c>
      <c r="O247" s="225">
        <f>ROUND(E247*N247,2)</f>
        <v>0.25</v>
      </c>
      <c r="P247" s="225">
        <v>0</v>
      </c>
      <c r="Q247" s="225">
        <f>ROUND(E247*P247,2)</f>
        <v>0</v>
      </c>
      <c r="R247" s="224"/>
      <c r="S247" s="224" t="s">
        <v>395</v>
      </c>
      <c r="T247" s="224" t="s">
        <v>209</v>
      </c>
      <c r="U247" s="224">
        <v>0.65119000000000005</v>
      </c>
      <c r="V247" s="224">
        <f>ROUND(E247*U247,2)</f>
        <v>29.170000000000002</v>
      </c>
      <c r="W247" s="224"/>
      <c r="X247" s="224" t="s">
        <v>210</v>
      </c>
      <c r="Y247" s="224" t="s">
        <v>211</v>
      </c>
      <c r="Z247" s="226"/>
      <c r="AA247" s="226"/>
      <c r="AB247" s="226"/>
      <c r="AC247" s="226"/>
      <c r="AD247" s="226"/>
      <c r="AE247" s="226"/>
      <c r="AF247" s="226"/>
      <c r="AG247" s="226" t="s">
        <v>396</v>
      </c>
      <c r="AH247" s="226"/>
      <c r="AI247" s="226"/>
      <c r="AJ247" s="226"/>
      <c r="AK247" s="226"/>
      <c r="AL247" s="226"/>
      <c r="AM247" s="226"/>
      <c r="AN247" s="226"/>
      <c r="AO247" s="226"/>
      <c r="AP247" s="226"/>
      <c r="AQ247" s="226"/>
      <c r="AR247" s="226"/>
      <c r="AS247" s="226"/>
      <c r="AT247" s="226"/>
      <c r="AU247" s="226"/>
      <c r="AV247" s="226"/>
      <c r="AW247" s="226"/>
      <c r="AX247" s="226"/>
      <c r="AY247" s="226"/>
      <c r="AZ247" s="226"/>
      <c r="BA247" s="226"/>
      <c r="BB247" s="226"/>
      <c r="BC247" s="226"/>
      <c r="BD247" s="226"/>
      <c r="BE247" s="226"/>
      <c r="BF247" s="226"/>
      <c r="BG247" s="226"/>
      <c r="BH247" s="226"/>
    </row>
    <row r="248" outlineLevel="2">
      <c r="A248" s="227"/>
      <c r="B248" s="228"/>
      <c r="C248" s="233" t="s">
        <v>635</v>
      </c>
      <c r="D248" s="234"/>
      <c r="E248" s="235">
        <v>44.799999999999997</v>
      </c>
      <c r="F248" s="224"/>
      <c r="G248" s="224"/>
      <c r="H248" s="224"/>
      <c r="I248" s="224"/>
      <c r="J248" s="224"/>
      <c r="K248" s="224"/>
      <c r="L248" s="224"/>
      <c r="M248" s="224"/>
      <c r="N248" s="225"/>
      <c r="O248" s="225"/>
      <c r="P248" s="225"/>
      <c r="Q248" s="225"/>
      <c r="R248" s="224"/>
      <c r="S248" s="224"/>
      <c r="T248" s="224"/>
      <c r="U248" s="224"/>
      <c r="V248" s="224"/>
      <c r="W248" s="224"/>
      <c r="X248" s="224"/>
      <c r="Y248" s="224"/>
      <c r="Z248" s="226"/>
      <c r="AA248" s="226"/>
      <c r="AB248" s="226"/>
      <c r="AC248" s="226"/>
      <c r="AD248" s="226"/>
      <c r="AE248" s="226"/>
      <c r="AF248" s="226"/>
      <c r="AG248" s="226" t="s">
        <v>217</v>
      </c>
      <c r="AH248" s="226">
        <v>5</v>
      </c>
      <c r="AI248" s="226"/>
      <c r="AJ248" s="226"/>
      <c r="AK248" s="226"/>
      <c r="AL248" s="226"/>
      <c r="AM248" s="226"/>
      <c r="AN248" s="226"/>
      <c r="AO248" s="226"/>
      <c r="AP248" s="226"/>
      <c r="AQ248" s="226"/>
      <c r="AR248" s="226"/>
      <c r="AS248" s="226"/>
      <c r="AT248" s="226"/>
      <c r="AU248" s="226"/>
      <c r="AV248" s="226"/>
      <c r="AW248" s="226"/>
      <c r="AX248" s="226"/>
      <c r="AY248" s="226"/>
      <c r="AZ248" s="226"/>
      <c r="BA248" s="226"/>
      <c r="BB248" s="226"/>
      <c r="BC248" s="226"/>
      <c r="BD248" s="226"/>
      <c r="BE248" s="226"/>
      <c r="BF248" s="226"/>
      <c r="BG248" s="226"/>
      <c r="BH248" s="226"/>
    </row>
    <row r="249" outlineLevel="1">
      <c r="A249" s="237">
        <v>57</v>
      </c>
      <c r="B249" s="238" t="s">
        <v>636</v>
      </c>
      <c r="C249" s="239" t="s">
        <v>637</v>
      </c>
      <c r="D249" s="240" t="s">
        <v>280</v>
      </c>
      <c r="E249" s="241">
        <v>2</v>
      </c>
      <c r="F249" s="242"/>
      <c r="G249" s="243">
        <f>ROUND(E249*F249,2)</f>
        <v>0</v>
      </c>
      <c r="H249" s="223"/>
      <c r="I249" s="224">
        <f>ROUND(E249*H249,2)</f>
        <v>0</v>
      </c>
      <c r="J249" s="223"/>
      <c r="K249" s="224">
        <f>ROUND(E249*J249,2)</f>
        <v>0</v>
      </c>
      <c r="L249" s="224">
        <v>21</v>
      </c>
      <c r="M249" s="224">
        <f>G249*(1+L249/100)</f>
        <v>0</v>
      </c>
      <c r="N249" s="225">
        <v>0.00165</v>
      </c>
      <c r="O249" s="225">
        <f>ROUND(E249*N249,2)</f>
        <v>0</v>
      </c>
      <c r="P249" s="225">
        <v>0</v>
      </c>
      <c r="Q249" s="225">
        <f>ROUND(E249*P249,2)</f>
        <v>0</v>
      </c>
      <c r="R249" s="224"/>
      <c r="S249" s="224" t="s">
        <v>395</v>
      </c>
      <c r="T249" s="224" t="s">
        <v>209</v>
      </c>
      <c r="U249" s="224">
        <v>1.0879000000000001</v>
      </c>
      <c r="V249" s="224">
        <f>ROUND(E249*U249,2)</f>
        <v>2.1800000000000002</v>
      </c>
      <c r="W249" s="224"/>
      <c r="X249" s="224" t="s">
        <v>210</v>
      </c>
      <c r="Y249" s="224" t="s">
        <v>211</v>
      </c>
      <c r="Z249" s="226"/>
      <c r="AA249" s="226"/>
      <c r="AB249" s="226"/>
      <c r="AC249" s="226"/>
      <c r="AD249" s="226"/>
      <c r="AE249" s="226"/>
      <c r="AF249" s="226"/>
      <c r="AG249" s="226" t="s">
        <v>396</v>
      </c>
      <c r="AH249" s="226"/>
      <c r="AI249" s="226"/>
      <c r="AJ249" s="226"/>
      <c r="AK249" s="226"/>
      <c r="AL249" s="226"/>
      <c r="AM249" s="226"/>
      <c r="AN249" s="226"/>
      <c r="AO249" s="226"/>
      <c r="AP249" s="226"/>
      <c r="AQ249" s="226"/>
      <c r="AR249" s="226"/>
      <c r="AS249" s="226"/>
      <c r="AT249" s="226"/>
      <c r="AU249" s="226"/>
      <c r="AV249" s="226"/>
      <c r="AW249" s="226"/>
      <c r="AX249" s="226"/>
      <c r="AY249" s="226"/>
      <c r="AZ249" s="226"/>
      <c r="BA249" s="226"/>
      <c r="BB249" s="226"/>
      <c r="BC249" s="226"/>
      <c r="BD249" s="226"/>
      <c r="BE249" s="226"/>
      <c r="BF249" s="226"/>
      <c r="BG249" s="226"/>
      <c r="BH249" s="226"/>
    </row>
    <row r="250" outlineLevel="1">
      <c r="A250" s="216">
        <v>58</v>
      </c>
      <c r="B250" s="217" t="s">
        <v>638</v>
      </c>
      <c r="C250" s="218" t="s">
        <v>639</v>
      </c>
      <c r="D250" s="219" t="s">
        <v>320</v>
      </c>
      <c r="E250" s="220">
        <v>22.059999999999999</v>
      </c>
      <c r="F250" s="221"/>
      <c r="G250" s="222">
        <f>ROUND(E250*F250,2)</f>
        <v>0</v>
      </c>
      <c r="H250" s="223"/>
      <c r="I250" s="224">
        <f>ROUND(E250*H250,2)</f>
        <v>0</v>
      </c>
      <c r="J250" s="223"/>
      <c r="K250" s="224">
        <f>ROUND(E250*J250,2)</f>
        <v>0</v>
      </c>
      <c r="L250" s="224">
        <v>21</v>
      </c>
      <c r="M250" s="224">
        <f>G250*(1+L250/100)</f>
        <v>0</v>
      </c>
      <c r="N250" s="225">
        <v>0.0032799999999999999</v>
      </c>
      <c r="O250" s="225">
        <f>ROUND(E250*N250,2)</f>
        <v>0.070000000000000007</v>
      </c>
      <c r="P250" s="225">
        <v>0</v>
      </c>
      <c r="Q250" s="225">
        <f>ROUND(E250*P250,2)</f>
        <v>0</v>
      </c>
      <c r="R250" s="224"/>
      <c r="S250" s="224" t="s">
        <v>395</v>
      </c>
      <c r="T250" s="224" t="s">
        <v>209</v>
      </c>
      <c r="U250" s="224">
        <v>0.5806</v>
      </c>
      <c r="V250" s="224">
        <f>ROUND(E250*U250,2)</f>
        <v>12.810000000000001</v>
      </c>
      <c r="W250" s="224"/>
      <c r="X250" s="224" t="s">
        <v>210</v>
      </c>
      <c r="Y250" s="224" t="s">
        <v>211</v>
      </c>
      <c r="Z250" s="226"/>
      <c r="AA250" s="226"/>
      <c r="AB250" s="226"/>
      <c r="AC250" s="226"/>
      <c r="AD250" s="226"/>
      <c r="AE250" s="226"/>
      <c r="AF250" s="226"/>
      <c r="AG250" s="226" t="s">
        <v>396</v>
      </c>
      <c r="AH250" s="226"/>
      <c r="AI250" s="226"/>
      <c r="AJ250" s="226"/>
      <c r="AK250" s="226"/>
      <c r="AL250" s="226"/>
      <c r="AM250" s="226"/>
      <c r="AN250" s="226"/>
      <c r="AO250" s="226"/>
      <c r="AP250" s="226"/>
      <c r="AQ250" s="226"/>
      <c r="AR250" s="226"/>
      <c r="AS250" s="226"/>
      <c r="AT250" s="226"/>
      <c r="AU250" s="226"/>
      <c r="AV250" s="226"/>
      <c r="AW250" s="226"/>
      <c r="AX250" s="226"/>
      <c r="AY250" s="226"/>
      <c r="AZ250" s="226"/>
      <c r="BA250" s="226"/>
      <c r="BB250" s="226"/>
      <c r="BC250" s="226"/>
      <c r="BD250" s="226"/>
      <c r="BE250" s="226"/>
      <c r="BF250" s="226"/>
      <c r="BG250" s="226"/>
      <c r="BH250" s="226"/>
    </row>
    <row r="251" outlineLevel="2">
      <c r="A251" s="227"/>
      <c r="B251" s="228"/>
      <c r="C251" s="233" t="s">
        <v>640</v>
      </c>
      <c r="D251" s="234"/>
      <c r="E251" s="235">
        <v>22.059999999999999</v>
      </c>
      <c r="F251" s="224"/>
      <c r="G251" s="224"/>
      <c r="H251" s="224"/>
      <c r="I251" s="224"/>
      <c r="J251" s="224"/>
      <c r="K251" s="224"/>
      <c r="L251" s="224"/>
      <c r="M251" s="224"/>
      <c r="N251" s="225"/>
      <c r="O251" s="225"/>
      <c r="P251" s="225"/>
      <c r="Q251" s="225"/>
      <c r="R251" s="224"/>
      <c r="S251" s="224"/>
      <c r="T251" s="224"/>
      <c r="U251" s="224"/>
      <c r="V251" s="224"/>
      <c r="W251" s="224"/>
      <c r="X251" s="224"/>
      <c r="Y251" s="224"/>
      <c r="Z251" s="226"/>
      <c r="AA251" s="226"/>
      <c r="AB251" s="226"/>
      <c r="AC251" s="226"/>
      <c r="AD251" s="226"/>
      <c r="AE251" s="226"/>
      <c r="AF251" s="226"/>
      <c r="AG251" s="226" t="s">
        <v>217</v>
      </c>
      <c r="AH251" s="226">
        <v>0</v>
      </c>
      <c r="AI251" s="226"/>
      <c r="AJ251" s="226"/>
      <c r="AK251" s="226"/>
      <c r="AL251" s="226"/>
      <c r="AM251" s="226"/>
      <c r="AN251" s="226"/>
      <c r="AO251" s="226"/>
      <c r="AP251" s="226"/>
      <c r="AQ251" s="226"/>
      <c r="AR251" s="226"/>
      <c r="AS251" s="226"/>
      <c r="AT251" s="226"/>
      <c r="AU251" s="226"/>
      <c r="AV251" s="226"/>
      <c r="AW251" s="226"/>
      <c r="AX251" s="226"/>
      <c r="AY251" s="226"/>
      <c r="AZ251" s="226"/>
      <c r="BA251" s="226"/>
      <c r="BB251" s="226"/>
      <c r="BC251" s="226"/>
      <c r="BD251" s="226"/>
      <c r="BE251" s="226"/>
      <c r="BF251" s="226"/>
      <c r="BG251" s="226"/>
      <c r="BH251" s="226"/>
    </row>
    <row r="252" outlineLevel="1">
      <c r="A252" s="216">
        <v>59</v>
      </c>
      <c r="B252" s="217" t="s">
        <v>641</v>
      </c>
      <c r="C252" s="218" t="s">
        <v>642</v>
      </c>
      <c r="D252" s="219" t="s">
        <v>320</v>
      </c>
      <c r="E252" s="220">
        <v>82.400000000000006</v>
      </c>
      <c r="F252" s="221"/>
      <c r="G252" s="222">
        <f>ROUND(E252*F252,2)</f>
        <v>0</v>
      </c>
      <c r="H252" s="223"/>
      <c r="I252" s="224">
        <f>ROUND(E252*H252,2)</f>
        <v>0</v>
      </c>
      <c r="J252" s="223"/>
      <c r="K252" s="224">
        <f>ROUND(E252*J252,2)</f>
        <v>0</v>
      </c>
      <c r="L252" s="224">
        <v>21</v>
      </c>
      <c r="M252" s="224">
        <f>G252*(1+L252/100)</f>
        <v>0</v>
      </c>
      <c r="N252" s="225">
        <v>0.0059699999999999996</v>
      </c>
      <c r="O252" s="225">
        <f>ROUND(E252*N252,2)</f>
        <v>0.48999999999999999</v>
      </c>
      <c r="P252" s="225">
        <v>0</v>
      </c>
      <c r="Q252" s="225">
        <f>ROUND(E252*P252,2)</f>
        <v>0</v>
      </c>
      <c r="R252" s="224"/>
      <c r="S252" s="224" t="s">
        <v>395</v>
      </c>
      <c r="T252" s="224" t="s">
        <v>209</v>
      </c>
      <c r="U252" s="224">
        <v>0.93874999999999997</v>
      </c>
      <c r="V252" s="224">
        <f>ROUND(E252*U252,2)</f>
        <v>77.349999999999994</v>
      </c>
      <c r="W252" s="224"/>
      <c r="X252" s="224" t="s">
        <v>210</v>
      </c>
      <c r="Y252" s="224" t="s">
        <v>211</v>
      </c>
      <c r="Z252" s="226"/>
      <c r="AA252" s="226"/>
      <c r="AB252" s="226"/>
      <c r="AC252" s="226"/>
      <c r="AD252" s="226"/>
      <c r="AE252" s="226"/>
      <c r="AF252" s="226"/>
      <c r="AG252" s="226" t="s">
        <v>396</v>
      </c>
      <c r="AH252" s="226"/>
      <c r="AI252" s="226"/>
      <c r="AJ252" s="226"/>
      <c r="AK252" s="226"/>
      <c r="AL252" s="226"/>
      <c r="AM252" s="226"/>
      <c r="AN252" s="226"/>
      <c r="AO252" s="226"/>
      <c r="AP252" s="226"/>
      <c r="AQ252" s="226"/>
      <c r="AR252" s="226"/>
      <c r="AS252" s="226"/>
      <c r="AT252" s="226"/>
      <c r="AU252" s="226"/>
      <c r="AV252" s="226"/>
      <c r="AW252" s="226"/>
      <c r="AX252" s="226"/>
      <c r="AY252" s="226"/>
      <c r="AZ252" s="226"/>
      <c r="BA252" s="226"/>
      <c r="BB252" s="226"/>
      <c r="BC252" s="226"/>
      <c r="BD252" s="226"/>
      <c r="BE252" s="226"/>
      <c r="BF252" s="226"/>
      <c r="BG252" s="226"/>
      <c r="BH252" s="226"/>
    </row>
    <row r="253" outlineLevel="2" ht="22.5">
      <c r="A253" s="227"/>
      <c r="B253" s="228"/>
      <c r="C253" s="233" t="s">
        <v>643</v>
      </c>
      <c r="D253" s="234"/>
      <c r="E253" s="235">
        <v>82.400000000000006</v>
      </c>
      <c r="F253" s="224"/>
      <c r="G253" s="224"/>
      <c r="H253" s="224"/>
      <c r="I253" s="224"/>
      <c r="J253" s="224"/>
      <c r="K253" s="224"/>
      <c r="L253" s="224"/>
      <c r="M253" s="224"/>
      <c r="N253" s="225"/>
      <c r="O253" s="225"/>
      <c r="P253" s="225"/>
      <c r="Q253" s="225"/>
      <c r="R253" s="224"/>
      <c r="S253" s="224"/>
      <c r="T253" s="224"/>
      <c r="U253" s="224"/>
      <c r="V253" s="224"/>
      <c r="W253" s="224"/>
      <c r="X253" s="224"/>
      <c r="Y253" s="224"/>
      <c r="Z253" s="226"/>
      <c r="AA253" s="226"/>
      <c r="AB253" s="226"/>
      <c r="AC253" s="226"/>
      <c r="AD253" s="226"/>
      <c r="AE253" s="226"/>
      <c r="AF253" s="226"/>
      <c r="AG253" s="226" t="s">
        <v>217</v>
      </c>
      <c r="AH253" s="226">
        <v>0</v>
      </c>
      <c r="AI253" s="226"/>
      <c r="AJ253" s="226"/>
      <c r="AK253" s="226"/>
      <c r="AL253" s="226"/>
      <c r="AM253" s="226"/>
      <c r="AN253" s="226"/>
      <c r="AO253" s="226"/>
      <c r="AP253" s="226"/>
      <c r="AQ253" s="226"/>
      <c r="AR253" s="226"/>
      <c r="AS253" s="226"/>
      <c r="AT253" s="226"/>
      <c r="AU253" s="226"/>
      <c r="AV253" s="226"/>
      <c r="AW253" s="226"/>
      <c r="AX253" s="226"/>
      <c r="AY253" s="226"/>
      <c r="AZ253" s="226"/>
      <c r="BA253" s="226"/>
      <c r="BB253" s="226"/>
      <c r="BC253" s="226"/>
      <c r="BD253" s="226"/>
      <c r="BE253" s="226"/>
      <c r="BF253" s="226"/>
      <c r="BG253" s="226"/>
      <c r="BH253" s="226"/>
    </row>
    <row r="254" outlineLevel="1">
      <c r="A254" s="216">
        <v>60</v>
      </c>
      <c r="B254" s="217" t="s">
        <v>644</v>
      </c>
      <c r="C254" s="218" t="s">
        <v>645</v>
      </c>
      <c r="D254" s="219" t="s">
        <v>320</v>
      </c>
      <c r="E254" s="220">
        <v>6.0999999999999996</v>
      </c>
      <c r="F254" s="221"/>
      <c r="G254" s="222">
        <f>ROUND(E254*F254,2)</f>
        <v>0</v>
      </c>
      <c r="H254" s="223"/>
      <c r="I254" s="224">
        <f>ROUND(E254*H254,2)</f>
        <v>0</v>
      </c>
      <c r="J254" s="223"/>
      <c r="K254" s="224">
        <f>ROUND(E254*J254,2)</f>
        <v>0</v>
      </c>
      <c r="L254" s="224">
        <v>21</v>
      </c>
      <c r="M254" s="224">
        <f>G254*(1+L254/100)</f>
        <v>0</v>
      </c>
      <c r="N254" s="225">
        <v>0.0031099999999999999</v>
      </c>
      <c r="O254" s="225">
        <f>ROUND(E254*N254,2)</f>
        <v>0.02</v>
      </c>
      <c r="P254" s="225">
        <v>0</v>
      </c>
      <c r="Q254" s="225">
        <f>ROUND(E254*P254,2)</f>
        <v>0</v>
      </c>
      <c r="R254" s="224"/>
      <c r="S254" s="224" t="s">
        <v>395</v>
      </c>
      <c r="T254" s="224" t="s">
        <v>209</v>
      </c>
      <c r="U254" s="224">
        <v>0.5948</v>
      </c>
      <c r="V254" s="224">
        <f>ROUND(E254*U254,2)</f>
        <v>3.6299999999999999</v>
      </c>
      <c r="W254" s="224"/>
      <c r="X254" s="224" t="s">
        <v>210</v>
      </c>
      <c r="Y254" s="224" t="s">
        <v>211</v>
      </c>
      <c r="Z254" s="226"/>
      <c r="AA254" s="226"/>
      <c r="AB254" s="226"/>
      <c r="AC254" s="226"/>
      <c r="AD254" s="226"/>
      <c r="AE254" s="226"/>
      <c r="AF254" s="226"/>
      <c r="AG254" s="226" t="s">
        <v>396</v>
      </c>
      <c r="AH254" s="226"/>
      <c r="AI254" s="226"/>
      <c r="AJ254" s="226"/>
      <c r="AK254" s="226"/>
      <c r="AL254" s="226"/>
      <c r="AM254" s="226"/>
      <c r="AN254" s="226"/>
      <c r="AO254" s="226"/>
      <c r="AP254" s="226"/>
      <c r="AQ254" s="226"/>
      <c r="AR254" s="226"/>
      <c r="AS254" s="226"/>
      <c r="AT254" s="226"/>
      <c r="AU254" s="226"/>
      <c r="AV254" s="226"/>
      <c r="AW254" s="226"/>
      <c r="AX254" s="226"/>
      <c r="AY254" s="226"/>
      <c r="AZ254" s="226"/>
      <c r="BA254" s="226"/>
      <c r="BB254" s="226"/>
      <c r="BC254" s="226"/>
      <c r="BD254" s="226"/>
      <c r="BE254" s="226"/>
      <c r="BF254" s="226"/>
      <c r="BG254" s="226"/>
      <c r="BH254" s="226"/>
    </row>
    <row r="255" outlineLevel="2">
      <c r="A255" s="227"/>
      <c r="B255" s="228"/>
      <c r="C255" s="233" t="s">
        <v>646</v>
      </c>
      <c r="D255" s="234"/>
      <c r="E255" s="235">
        <v>6.0999999999999996</v>
      </c>
      <c r="F255" s="224"/>
      <c r="G255" s="224"/>
      <c r="H255" s="224"/>
      <c r="I255" s="224"/>
      <c r="J255" s="224"/>
      <c r="K255" s="224"/>
      <c r="L255" s="224"/>
      <c r="M255" s="224"/>
      <c r="N255" s="225"/>
      <c r="O255" s="225"/>
      <c r="P255" s="225"/>
      <c r="Q255" s="225"/>
      <c r="R255" s="224"/>
      <c r="S255" s="224"/>
      <c r="T255" s="224"/>
      <c r="U255" s="224"/>
      <c r="V255" s="224"/>
      <c r="W255" s="224"/>
      <c r="X255" s="224"/>
      <c r="Y255" s="224"/>
      <c r="Z255" s="226"/>
      <c r="AA255" s="226"/>
      <c r="AB255" s="226"/>
      <c r="AC255" s="226"/>
      <c r="AD255" s="226"/>
      <c r="AE255" s="226"/>
      <c r="AF255" s="226"/>
      <c r="AG255" s="226" t="s">
        <v>217</v>
      </c>
      <c r="AH255" s="226">
        <v>0</v>
      </c>
      <c r="AI255" s="226"/>
      <c r="AJ255" s="226"/>
      <c r="AK255" s="226"/>
      <c r="AL255" s="226"/>
      <c r="AM255" s="226"/>
      <c r="AN255" s="226"/>
      <c r="AO255" s="226"/>
      <c r="AP255" s="226"/>
      <c r="AQ255" s="226"/>
      <c r="AR255" s="226"/>
      <c r="AS255" s="226"/>
      <c r="AT255" s="226"/>
      <c r="AU255" s="226"/>
      <c r="AV255" s="226"/>
      <c r="AW255" s="226"/>
      <c r="AX255" s="226"/>
      <c r="AY255" s="226"/>
      <c r="AZ255" s="226"/>
      <c r="BA255" s="226"/>
      <c r="BB255" s="226"/>
      <c r="BC255" s="226"/>
      <c r="BD255" s="226"/>
      <c r="BE255" s="226"/>
      <c r="BF255" s="226"/>
      <c r="BG255" s="226"/>
      <c r="BH255" s="226"/>
    </row>
    <row r="256" outlineLevel="1">
      <c r="A256" s="237">
        <v>61</v>
      </c>
      <c r="B256" s="238" t="s">
        <v>647</v>
      </c>
      <c r="C256" s="239" t="s">
        <v>648</v>
      </c>
      <c r="D256" s="240" t="s">
        <v>229</v>
      </c>
      <c r="E256" s="241">
        <v>1.1044400000000001</v>
      </c>
      <c r="F256" s="242"/>
      <c r="G256" s="243">
        <f>ROUND(E256*F256,2)</f>
        <v>0</v>
      </c>
      <c r="H256" s="223"/>
      <c r="I256" s="224">
        <f>ROUND(E256*H256,2)</f>
        <v>0</v>
      </c>
      <c r="J256" s="223"/>
      <c r="K256" s="224">
        <f>ROUND(E256*J256,2)</f>
        <v>0</v>
      </c>
      <c r="L256" s="224">
        <v>21</v>
      </c>
      <c r="M256" s="224">
        <f>G256*(1+L256/100)</f>
        <v>0</v>
      </c>
      <c r="N256" s="225">
        <v>0</v>
      </c>
      <c r="O256" s="225">
        <f>ROUND(E256*N256,2)</f>
        <v>0</v>
      </c>
      <c r="P256" s="225">
        <v>0</v>
      </c>
      <c r="Q256" s="225">
        <f>ROUND(E256*P256,2)</f>
        <v>0</v>
      </c>
      <c r="R256" s="224"/>
      <c r="S256" s="224" t="s">
        <v>395</v>
      </c>
      <c r="T256" s="224" t="s">
        <v>209</v>
      </c>
      <c r="U256" s="224">
        <v>4.8200000000000003</v>
      </c>
      <c r="V256" s="224">
        <f>ROUND(E256*U256,2)</f>
        <v>5.3200000000000003</v>
      </c>
      <c r="W256" s="224"/>
      <c r="X256" s="224" t="s">
        <v>618</v>
      </c>
      <c r="Y256" s="224" t="s">
        <v>211</v>
      </c>
      <c r="Z256" s="226"/>
      <c r="AA256" s="226"/>
      <c r="AB256" s="226"/>
      <c r="AC256" s="226"/>
      <c r="AD256" s="226"/>
      <c r="AE256" s="226"/>
      <c r="AF256" s="226"/>
      <c r="AG256" s="226" t="s">
        <v>619</v>
      </c>
      <c r="AH256" s="226"/>
      <c r="AI256" s="226"/>
      <c r="AJ256" s="226"/>
      <c r="AK256" s="226"/>
      <c r="AL256" s="226"/>
      <c r="AM256" s="226"/>
      <c r="AN256" s="226"/>
      <c r="AO256" s="226"/>
      <c r="AP256" s="226"/>
      <c r="AQ256" s="226"/>
      <c r="AR256" s="226"/>
      <c r="AS256" s="226"/>
      <c r="AT256" s="226"/>
      <c r="AU256" s="226"/>
      <c r="AV256" s="226"/>
      <c r="AW256" s="226"/>
      <c r="AX256" s="226"/>
      <c r="AY256" s="226"/>
      <c r="AZ256" s="226"/>
      <c r="BA256" s="226"/>
      <c r="BB256" s="226"/>
      <c r="BC256" s="226"/>
      <c r="BD256" s="226"/>
      <c r="BE256" s="226"/>
      <c r="BF256" s="226"/>
      <c r="BG256" s="226"/>
      <c r="BH256" s="226"/>
    </row>
    <row r="257">
      <c r="A257" s="207" t="s">
        <v>203</v>
      </c>
      <c r="B257" s="208" t="s">
        <v>169</v>
      </c>
      <c r="C257" s="209" t="s">
        <v>170</v>
      </c>
      <c r="D257" s="210"/>
      <c r="E257" s="211"/>
      <c r="F257" s="212"/>
      <c r="G257" s="213">
        <f>SUMIF(AG258:AG265,"&lt;&gt;NOR",G258:G265)</f>
        <v>0</v>
      </c>
      <c r="H257" s="214"/>
      <c r="I257" s="214">
        <f>SUM(I258:I265)</f>
        <v>0</v>
      </c>
      <c r="J257" s="214"/>
      <c r="K257" s="214">
        <f>SUM(K258:K265)</f>
        <v>0</v>
      </c>
      <c r="L257" s="214"/>
      <c r="M257" s="214">
        <f>SUM(M258:M265)</f>
        <v>0</v>
      </c>
      <c r="N257" s="215"/>
      <c r="O257" s="215">
        <f>SUM(O258:O265)</f>
        <v>0</v>
      </c>
      <c r="P257" s="215"/>
      <c r="Q257" s="215">
        <f>SUM(Q258:Q265)</f>
        <v>0</v>
      </c>
      <c r="R257" s="214"/>
      <c r="S257" s="214"/>
      <c r="T257" s="214"/>
      <c r="U257" s="214"/>
      <c r="V257" s="214">
        <f>SUM(V258:V265)</f>
        <v>5.54</v>
      </c>
      <c r="W257" s="214"/>
      <c r="X257" s="214"/>
      <c r="Y257" s="214"/>
      <c r="AG257" t="s">
        <v>204</v>
      </c>
    </row>
    <row r="258" outlineLevel="1">
      <c r="A258" s="216">
        <v>62</v>
      </c>
      <c r="B258" s="217" t="s">
        <v>649</v>
      </c>
      <c r="C258" s="218" t="s">
        <v>650</v>
      </c>
      <c r="D258" s="219" t="s">
        <v>280</v>
      </c>
      <c r="E258" s="220">
        <v>1</v>
      </c>
      <c r="F258" s="221"/>
      <c r="G258" s="222">
        <f>ROUND(E258*F258,2)</f>
        <v>0</v>
      </c>
      <c r="H258" s="223"/>
      <c r="I258" s="224">
        <f>ROUND(E258*H258,2)</f>
        <v>0</v>
      </c>
      <c r="J258" s="223"/>
      <c r="K258" s="224">
        <f>ROUND(E258*J258,2)</f>
        <v>0</v>
      </c>
      <c r="L258" s="224">
        <v>21</v>
      </c>
      <c r="M258" s="224">
        <f>G258*(1+L258/100)</f>
        <v>0</v>
      </c>
      <c r="N258" s="225">
        <v>0.00093000000000000005</v>
      </c>
      <c r="O258" s="225">
        <f>ROUND(E258*N258,2)</f>
        <v>0</v>
      </c>
      <c r="P258" s="225">
        <v>0</v>
      </c>
      <c r="Q258" s="225">
        <f>ROUND(E258*P258,2)</f>
        <v>0</v>
      </c>
      <c r="R258" s="224"/>
      <c r="S258" s="224" t="s">
        <v>208</v>
      </c>
      <c r="T258" s="224" t="s">
        <v>209</v>
      </c>
      <c r="U258" s="224">
        <v>5.54</v>
      </c>
      <c r="V258" s="224">
        <f>ROUND(E258*U258,2)</f>
        <v>5.54</v>
      </c>
      <c r="W258" s="224"/>
      <c r="X258" s="224" t="s">
        <v>210</v>
      </c>
      <c r="Y258" s="224" t="s">
        <v>211</v>
      </c>
      <c r="Z258" s="226"/>
      <c r="AA258" s="226"/>
      <c r="AB258" s="226"/>
      <c r="AC258" s="226"/>
      <c r="AD258" s="226"/>
      <c r="AE258" s="226"/>
      <c r="AF258" s="226"/>
      <c r="AG258" s="226" t="s">
        <v>396</v>
      </c>
      <c r="AH258" s="226"/>
      <c r="AI258" s="226"/>
      <c r="AJ258" s="226"/>
      <c r="AK258" s="226"/>
      <c r="AL258" s="226"/>
      <c r="AM258" s="226"/>
      <c r="AN258" s="226"/>
      <c r="AO258" s="226"/>
      <c r="AP258" s="226"/>
      <c r="AQ258" s="226"/>
      <c r="AR258" s="226"/>
      <c r="AS258" s="226"/>
      <c r="AT258" s="226"/>
      <c r="AU258" s="226"/>
      <c r="AV258" s="226"/>
      <c r="AW258" s="226"/>
      <c r="AX258" s="226"/>
      <c r="AY258" s="226"/>
      <c r="AZ258" s="226"/>
      <c r="BA258" s="226"/>
      <c r="BB258" s="226"/>
      <c r="BC258" s="226"/>
      <c r="BD258" s="226"/>
      <c r="BE258" s="226"/>
      <c r="BF258" s="226"/>
      <c r="BG258" s="226"/>
      <c r="BH258" s="226"/>
    </row>
    <row r="259" outlineLevel="2" ht="22.5">
      <c r="A259" s="227"/>
      <c r="B259" s="228"/>
      <c r="C259" s="229" t="s">
        <v>501</v>
      </c>
      <c r="D259" s="230"/>
      <c r="E259" s="230"/>
      <c r="F259" s="230"/>
      <c r="G259" s="230"/>
      <c r="H259" s="224"/>
      <c r="I259" s="224"/>
      <c r="J259" s="224"/>
      <c r="K259" s="224"/>
      <c r="L259" s="224"/>
      <c r="M259" s="224"/>
      <c r="N259" s="225"/>
      <c r="O259" s="225"/>
      <c r="P259" s="225"/>
      <c r="Q259" s="225"/>
      <c r="R259" s="224"/>
      <c r="S259" s="224"/>
      <c r="T259" s="224"/>
      <c r="U259" s="224"/>
      <c r="V259" s="224"/>
      <c r="W259" s="224"/>
      <c r="X259" s="224"/>
      <c r="Y259" s="224"/>
      <c r="Z259" s="226"/>
      <c r="AA259" s="226"/>
      <c r="AB259" s="226"/>
      <c r="AC259" s="226"/>
      <c r="AD259" s="226"/>
      <c r="AE259" s="226"/>
      <c r="AF259" s="226"/>
      <c r="AG259" s="226" t="s">
        <v>214</v>
      </c>
      <c r="AH259" s="226"/>
      <c r="AI259" s="226"/>
      <c r="AJ259" s="226"/>
      <c r="AK259" s="226"/>
      <c r="AL259" s="226"/>
      <c r="AM259" s="226"/>
      <c r="AN259" s="226"/>
      <c r="AO259" s="226"/>
      <c r="AP259" s="226"/>
      <c r="AQ259" s="226"/>
      <c r="AR259" s="226"/>
      <c r="AS259" s="226"/>
      <c r="AT259" s="226"/>
      <c r="AU259" s="226"/>
      <c r="AV259" s="226"/>
      <c r="AW259" s="226"/>
      <c r="AX259" s="226"/>
      <c r="AY259" s="226"/>
      <c r="AZ259" s="226"/>
      <c r="BA259" s="236" t="str">
        <f>C259</f>
        <v>Pozinkovaná ocel, profily válované za studena z žárově pozinkovaných pásů z oceli, Spoje prováděné pomocí pozinkovaných metrických šroubů.</v>
      </c>
      <c r="BB259" s="226"/>
      <c r="BC259" s="226"/>
      <c r="BD259" s="226"/>
      <c r="BE259" s="226"/>
      <c r="BF259" s="226"/>
      <c r="BG259" s="226"/>
      <c r="BH259" s="226"/>
    </row>
    <row r="260" outlineLevel="3">
      <c r="A260" s="227"/>
      <c r="B260" s="228"/>
      <c r="C260" s="265" t="s">
        <v>505</v>
      </c>
      <c r="D260" s="266"/>
      <c r="E260" s="267"/>
      <c r="F260" s="268"/>
      <c r="G260" s="268"/>
      <c r="H260" s="224"/>
      <c r="I260" s="224"/>
      <c r="J260" s="224"/>
      <c r="K260" s="224"/>
      <c r="L260" s="224"/>
      <c r="M260" s="224"/>
      <c r="N260" s="225"/>
      <c r="O260" s="225"/>
      <c r="P260" s="225"/>
      <c r="Q260" s="225"/>
      <c r="R260" s="224"/>
      <c r="S260" s="224"/>
      <c r="T260" s="224"/>
      <c r="U260" s="224"/>
      <c r="V260" s="224"/>
      <c r="W260" s="224"/>
      <c r="X260" s="224"/>
      <c r="Y260" s="224"/>
      <c r="Z260" s="226"/>
      <c r="AA260" s="226"/>
      <c r="AB260" s="226"/>
      <c r="AC260" s="226"/>
      <c r="AD260" s="226"/>
      <c r="AE260" s="226"/>
      <c r="AF260" s="226"/>
      <c r="AG260" s="226" t="s">
        <v>214</v>
      </c>
      <c r="AH260" s="226"/>
      <c r="AI260" s="226"/>
      <c r="AJ260" s="226"/>
      <c r="AK260" s="226"/>
      <c r="AL260" s="226"/>
      <c r="AM260" s="226"/>
      <c r="AN260" s="226"/>
      <c r="AO260" s="226"/>
      <c r="AP260" s="226"/>
      <c r="AQ260" s="226"/>
      <c r="AR260" s="226"/>
      <c r="AS260" s="226"/>
      <c r="AT260" s="226"/>
      <c r="AU260" s="226"/>
      <c r="AV260" s="226"/>
      <c r="AW260" s="226"/>
      <c r="AX260" s="226"/>
      <c r="AY260" s="226"/>
      <c r="AZ260" s="226"/>
      <c r="BA260" s="226"/>
      <c r="BB260" s="226"/>
      <c r="BC260" s="226"/>
      <c r="BD260" s="226"/>
      <c r="BE260" s="226"/>
      <c r="BF260" s="226"/>
      <c r="BG260" s="226"/>
      <c r="BH260" s="226"/>
    </row>
    <row r="261" outlineLevel="3">
      <c r="A261" s="227"/>
      <c r="B261" s="228"/>
      <c r="C261" s="231" t="s">
        <v>506</v>
      </c>
      <c r="D261" s="232"/>
      <c r="E261" s="232"/>
      <c r="F261" s="232"/>
      <c r="G261" s="232"/>
      <c r="H261" s="224"/>
      <c r="I261" s="224"/>
      <c r="J261" s="224"/>
      <c r="K261" s="224"/>
      <c r="L261" s="224"/>
      <c r="M261" s="224"/>
      <c r="N261" s="225"/>
      <c r="O261" s="225"/>
      <c r="P261" s="225"/>
      <c r="Q261" s="225"/>
      <c r="R261" s="224"/>
      <c r="S261" s="224"/>
      <c r="T261" s="224"/>
      <c r="U261" s="224"/>
      <c r="V261" s="224"/>
      <c r="W261" s="224"/>
      <c r="X261" s="224"/>
      <c r="Y261" s="224"/>
      <c r="Z261" s="226"/>
      <c r="AA261" s="226"/>
      <c r="AB261" s="226"/>
      <c r="AC261" s="226"/>
      <c r="AD261" s="226"/>
      <c r="AE261" s="226"/>
      <c r="AF261" s="226"/>
      <c r="AG261" s="226" t="s">
        <v>214</v>
      </c>
      <c r="AH261" s="226"/>
      <c r="AI261" s="226"/>
      <c r="AJ261" s="226"/>
      <c r="AK261" s="226"/>
      <c r="AL261" s="226"/>
      <c r="AM261" s="226"/>
      <c r="AN261" s="226"/>
      <c r="AO261" s="226"/>
      <c r="AP261" s="226"/>
      <c r="AQ261" s="226"/>
      <c r="AR261" s="226"/>
      <c r="AS261" s="226"/>
      <c r="AT261" s="226"/>
      <c r="AU261" s="226"/>
      <c r="AV261" s="226"/>
      <c r="AW261" s="226"/>
      <c r="AX261" s="226"/>
      <c r="AY261" s="226"/>
      <c r="AZ261" s="226"/>
      <c r="BA261" s="226"/>
      <c r="BB261" s="226"/>
      <c r="BC261" s="226"/>
      <c r="BD261" s="226"/>
      <c r="BE261" s="226"/>
      <c r="BF261" s="226"/>
      <c r="BG261" s="226"/>
      <c r="BH261" s="226"/>
    </row>
    <row r="262" outlineLevel="3">
      <c r="A262" s="227"/>
      <c r="B262" s="228"/>
      <c r="C262" s="231" t="s">
        <v>651</v>
      </c>
      <c r="D262" s="232"/>
      <c r="E262" s="232"/>
      <c r="F262" s="232"/>
      <c r="G262" s="232"/>
      <c r="H262" s="224"/>
      <c r="I262" s="224"/>
      <c r="J262" s="224"/>
      <c r="K262" s="224"/>
      <c r="L262" s="224"/>
      <c r="M262" s="224"/>
      <c r="N262" s="225"/>
      <c r="O262" s="225"/>
      <c r="P262" s="225"/>
      <c r="Q262" s="225"/>
      <c r="R262" s="224"/>
      <c r="S262" s="224"/>
      <c r="T262" s="224"/>
      <c r="U262" s="224"/>
      <c r="V262" s="224"/>
      <c r="W262" s="224"/>
      <c r="X262" s="224"/>
      <c r="Y262" s="224"/>
      <c r="Z262" s="226"/>
      <c r="AA262" s="226"/>
      <c r="AB262" s="226"/>
      <c r="AC262" s="226"/>
      <c r="AD262" s="226"/>
      <c r="AE262" s="226"/>
      <c r="AF262" s="226"/>
      <c r="AG262" s="226" t="s">
        <v>214</v>
      </c>
      <c r="AH262" s="226"/>
      <c r="AI262" s="226"/>
      <c r="AJ262" s="226"/>
      <c r="AK262" s="226"/>
      <c r="AL262" s="226"/>
      <c r="AM262" s="226"/>
      <c r="AN262" s="226"/>
      <c r="AO262" s="226"/>
      <c r="AP262" s="226"/>
      <c r="AQ262" s="226"/>
      <c r="AR262" s="226"/>
      <c r="AS262" s="226"/>
      <c r="AT262" s="226"/>
      <c r="AU262" s="226"/>
      <c r="AV262" s="226"/>
      <c r="AW262" s="226"/>
      <c r="AX262" s="226"/>
      <c r="AY262" s="226"/>
      <c r="AZ262" s="226"/>
      <c r="BA262" s="226"/>
      <c r="BB262" s="226"/>
      <c r="BC262" s="226"/>
      <c r="BD262" s="226"/>
      <c r="BE262" s="226"/>
      <c r="BF262" s="226"/>
      <c r="BG262" s="226"/>
      <c r="BH262" s="226"/>
    </row>
    <row r="263" outlineLevel="3">
      <c r="A263" s="227"/>
      <c r="B263" s="228"/>
      <c r="C263" s="231" t="s">
        <v>187</v>
      </c>
      <c r="D263" s="232"/>
      <c r="E263" s="232"/>
      <c r="F263" s="232"/>
      <c r="G263" s="232"/>
      <c r="H263" s="224"/>
      <c r="I263" s="224"/>
      <c r="J263" s="224"/>
      <c r="K263" s="224"/>
      <c r="L263" s="224"/>
      <c r="M263" s="224"/>
      <c r="N263" s="225"/>
      <c r="O263" s="225"/>
      <c r="P263" s="225"/>
      <c r="Q263" s="225"/>
      <c r="R263" s="224"/>
      <c r="S263" s="224"/>
      <c r="T263" s="224"/>
      <c r="U263" s="224"/>
      <c r="V263" s="224"/>
      <c r="W263" s="224"/>
      <c r="X263" s="224"/>
      <c r="Y263" s="224"/>
      <c r="Z263" s="226"/>
      <c r="AA263" s="226"/>
      <c r="AB263" s="226"/>
      <c r="AC263" s="226"/>
      <c r="AD263" s="226"/>
      <c r="AE263" s="226"/>
      <c r="AF263" s="226"/>
      <c r="AG263" s="226" t="s">
        <v>214</v>
      </c>
      <c r="AH263" s="226"/>
      <c r="AI263" s="226"/>
      <c r="AJ263" s="226"/>
      <c r="AK263" s="226"/>
      <c r="AL263" s="226"/>
      <c r="AM263" s="226"/>
      <c r="AN263" s="226"/>
      <c r="AO263" s="226"/>
      <c r="AP263" s="226"/>
      <c r="AQ263" s="226"/>
      <c r="AR263" s="226"/>
      <c r="AS263" s="226"/>
      <c r="AT263" s="226"/>
      <c r="AU263" s="226"/>
      <c r="AV263" s="226"/>
      <c r="AW263" s="226"/>
      <c r="AX263" s="226"/>
      <c r="AY263" s="226"/>
      <c r="AZ263" s="226"/>
      <c r="BA263" s="226"/>
      <c r="BB263" s="226"/>
      <c r="BC263" s="226"/>
      <c r="BD263" s="226"/>
      <c r="BE263" s="226"/>
      <c r="BF263" s="226"/>
      <c r="BG263" s="226"/>
      <c r="BH263" s="226"/>
    </row>
    <row r="264" outlineLevel="3">
      <c r="A264" s="227"/>
      <c r="B264" s="228"/>
      <c r="C264" s="231" t="s">
        <v>511</v>
      </c>
      <c r="D264" s="232"/>
      <c r="E264" s="232"/>
      <c r="F264" s="232"/>
      <c r="G264" s="232"/>
      <c r="H264" s="224"/>
      <c r="I264" s="224"/>
      <c r="J264" s="224"/>
      <c r="K264" s="224"/>
      <c r="L264" s="224"/>
      <c r="M264" s="224"/>
      <c r="N264" s="225"/>
      <c r="O264" s="225"/>
      <c r="P264" s="225"/>
      <c r="Q264" s="225"/>
      <c r="R264" s="224"/>
      <c r="S264" s="224"/>
      <c r="T264" s="224"/>
      <c r="U264" s="224"/>
      <c r="V264" s="224"/>
      <c r="W264" s="224"/>
      <c r="X264" s="224"/>
      <c r="Y264" s="224"/>
      <c r="Z264" s="226"/>
      <c r="AA264" s="226"/>
      <c r="AB264" s="226"/>
      <c r="AC264" s="226"/>
      <c r="AD264" s="226"/>
      <c r="AE264" s="226"/>
      <c r="AF264" s="226"/>
      <c r="AG264" s="226" t="s">
        <v>214</v>
      </c>
      <c r="AH264" s="226"/>
      <c r="AI264" s="226"/>
      <c r="AJ264" s="226"/>
      <c r="AK264" s="226"/>
      <c r="AL264" s="226"/>
      <c r="AM264" s="226"/>
      <c r="AN264" s="226"/>
      <c r="AO264" s="226"/>
      <c r="AP264" s="226"/>
      <c r="AQ264" s="226"/>
      <c r="AR264" s="226"/>
      <c r="AS264" s="226"/>
      <c r="AT264" s="226"/>
      <c r="AU264" s="226"/>
      <c r="AV264" s="226"/>
      <c r="AW264" s="226"/>
      <c r="AX264" s="226"/>
      <c r="AY264" s="226"/>
      <c r="AZ264" s="226"/>
      <c r="BA264" s="226"/>
      <c r="BB264" s="226"/>
      <c r="BC264" s="226"/>
      <c r="BD264" s="226"/>
      <c r="BE264" s="226"/>
      <c r="BF264" s="226"/>
      <c r="BG264" s="226"/>
      <c r="BH264" s="226"/>
    </row>
    <row r="265" outlineLevel="1">
      <c r="A265" s="227">
        <v>63</v>
      </c>
      <c r="B265" s="228" t="s">
        <v>652</v>
      </c>
      <c r="C265" s="272" t="s">
        <v>653</v>
      </c>
      <c r="D265" s="273" t="s">
        <v>36</v>
      </c>
      <c r="E265" s="274"/>
      <c r="F265" s="223"/>
      <c r="G265" s="224">
        <f>ROUND(E265*F265,2)</f>
        <v>0</v>
      </c>
      <c r="H265" s="223"/>
      <c r="I265" s="224">
        <f>ROUND(E265*H265,2)</f>
        <v>0</v>
      </c>
      <c r="J265" s="223"/>
      <c r="K265" s="224">
        <f>ROUND(E265*J265,2)</f>
        <v>0</v>
      </c>
      <c r="L265" s="224">
        <v>21</v>
      </c>
      <c r="M265" s="224">
        <f>G265*(1+L265/100)</f>
        <v>0</v>
      </c>
      <c r="N265" s="225">
        <v>0</v>
      </c>
      <c r="O265" s="225">
        <f>ROUND(E265*N265,2)</f>
        <v>0</v>
      </c>
      <c r="P265" s="225">
        <v>0</v>
      </c>
      <c r="Q265" s="225">
        <f>ROUND(E265*P265,2)</f>
        <v>0</v>
      </c>
      <c r="R265" s="224"/>
      <c r="S265" s="224" t="s">
        <v>395</v>
      </c>
      <c r="T265" s="224" t="s">
        <v>209</v>
      </c>
      <c r="U265" s="224">
        <v>0</v>
      </c>
      <c r="V265" s="224">
        <f>ROUND(E265*U265,2)</f>
        <v>0</v>
      </c>
      <c r="W265" s="224"/>
      <c r="X265" s="224" t="s">
        <v>618</v>
      </c>
      <c r="Y265" s="224" t="s">
        <v>211</v>
      </c>
      <c r="Z265" s="226"/>
      <c r="AA265" s="226"/>
      <c r="AB265" s="226"/>
      <c r="AC265" s="226"/>
      <c r="AD265" s="226"/>
      <c r="AE265" s="226"/>
      <c r="AF265" s="226"/>
      <c r="AG265" s="226" t="s">
        <v>619</v>
      </c>
      <c r="AH265" s="226"/>
      <c r="AI265" s="226"/>
      <c r="AJ265" s="226"/>
      <c r="AK265" s="226"/>
      <c r="AL265" s="226"/>
      <c r="AM265" s="226"/>
      <c r="AN265" s="226"/>
      <c r="AO265" s="226"/>
      <c r="AP265" s="226"/>
      <c r="AQ265" s="226"/>
      <c r="AR265" s="226"/>
      <c r="AS265" s="226"/>
      <c r="AT265" s="226"/>
      <c r="AU265" s="226"/>
      <c r="AV265" s="226"/>
      <c r="AW265" s="226"/>
      <c r="AX265" s="226"/>
      <c r="AY265" s="226"/>
      <c r="AZ265" s="226"/>
      <c r="BA265" s="226"/>
      <c r="BB265" s="226"/>
      <c r="BC265" s="226"/>
      <c r="BD265" s="226"/>
      <c r="BE265" s="226"/>
      <c r="BF265" s="226"/>
      <c r="BG265" s="226"/>
      <c r="BH265" s="226"/>
    </row>
    <row r="266">
      <c r="A266" s="180"/>
      <c r="B266" s="188"/>
      <c r="C266" s="244"/>
      <c r="D266" s="190"/>
      <c r="E266" s="180"/>
      <c r="F266" s="180"/>
      <c r="G266" s="180"/>
      <c r="H266" s="180"/>
      <c r="I266" s="180"/>
      <c r="J266" s="180"/>
      <c r="K266" s="180"/>
      <c r="L266" s="180"/>
      <c r="M266" s="180"/>
      <c r="N266" s="180"/>
      <c r="O266" s="180"/>
      <c r="P266" s="180"/>
      <c r="Q266" s="180"/>
      <c r="R266" s="180"/>
      <c r="S266" s="180"/>
      <c r="T266" s="180"/>
      <c r="U266" s="180"/>
      <c r="V266" s="180"/>
      <c r="W266" s="180"/>
      <c r="X266" s="180"/>
      <c r="Y266" s="180"/>
      <c r="AE266">
        <v>12</v>
      </c>
      <c r="AF266">
        <v>21</v>
      </c>
      <c r="AG266" t="s">
        <v>189</v>
      </c>
    </row>
    <row r="267">
      <c r="A267" s="245"/>
      <c r="B267" s="246" t="s">
        <v>26</v>
      </c>
      <c r="C267" s="247"/>
      <c r="D267" s="248"/>
      <c r="E267" s="249"/>
      <c r="F267" s="249"/>
      <c r="G267" s="250">
        <f>G8+G38+G74+G92+G189+G224+G234+G236+G243+G257</f>
        <v>0</v>
      </c>
      <c r="H267" s="180"/>
      <c r="I267" s="180"/>
      <c r="J267" s="180"/>
      <c r="K267" s="180"/>
      <c r="L267" s="180"/>
      <c r="M267" s="180"/>
      <c r="N267" s="180"/>
      <c r="O267" s="180"/>
      <c r="P267" s="180"/>
      <c r="Q267" s="180"/>
      <c r="R267" s="180"/>
      <c r="S267" s="180"/>
      <c r="T267" s="180"/>
      <c r="U267" s="180"/>
      <c r="V267" s="180"/>
      <c r="W267" s="180"/>
      <c r="X267" s="180"/>
      <c r="Y267" s="180"/>
      <c r="AE267">
        <f>SUMIF(L7:L265,AE266,G7:G265)</f>
        <v>0</v>
      </c>
      <c r="AF267">
        <f>SUMIF(L7:L265,AF266,G7:G265)</f>
        <v>0</v>
      </c>
      <c r="AG267" t="s">
        <v>389</v>
      </c>
    </row>
    <row r="268">
      <c r="A268" s="275" t="s">
        <v>654</v>
      </c>
      <c r="B268" s="275"/>
      <c r="C268" s="244"/>
      <c r="D268" s="190"/>
      <c r="E268" s="180"/>
      <c r="F268" s="180"/>
      <c r="G268" s="180"/>
      <c r="H268" s="180"/>
      <c r="I268" s="180"/>
      <c r="J268" s="180"/>
      <c r="K268" s="180"/>
      <c r="L268" s="180"/>
      <c r="M268" s="180"/>
      <c r="N268" s="180"/>
      <c r="O268" s="180"/>
      <c r="P268" s="180"/>
      <c r="Q268" s="180"/>
      <c r="R268" s="180"/>
      <c r="S268" s="180"/>
      <c r="T268" s="180"/>
      <c r="U268" s="180"/>
      <c r="V268" s="180"/>
      <c r="W268" s="180"/>
      <c r="X268" s="180"/>
      <c r="Y268" s="180"/>
    </row>
    <row r="269">
      <c r="A269" s="180"/>
      <c r="B269" s="188" t="s">
        <v>655</v>
      </c>
      <c r="C269" s="244" t="s">
        <v>656</v>
      </c>
      <c r="D269" s="190"/>
      <c r="E269" s="180"/>
      <c r="F269" s="180"/>
      <c r="G269" s="180"/>
      <c r="H269" s="180"/>
      <c r="I269" s="180"/>
      <c r="J269" s="180"/>
      <c r="K269" s="180"/>
      <c r="L269" s="180"/>
      <c r="M269" s="180"/>
      <c r="N269" s="180"/>
      <c r="O269" s="180"/>
      <c r="P269" s="180"/>
      <c r="Q269" s="180"/>
      <c r="R269" s="180"/>
      <c r="S269" s="180"/>
      <c r="T269" s="180"/>
      <c r="U269" s="180"/>
      <c r="V269" s="180"/>
      <c r="W269" s="180"/>
      <c r="X269" s="180"/>
      <c r="Y269" s="180"/>
      <c r="AG269" t="s">
        <v>657</v>
      </c>
    </row>
    <row r="270" ht="25.5">
      <c r="A270" s="180"/>
      <c r="B270" s="188" t="s">
        <v>658</v>
      </c>
      <c r="C270" s="244" t="s">
        <v>659</v>
      </c>
      <c r="D270" s="190"/>
      <c r="E270" s="180"/>
      <c r="F270" s="180"/>
      <c r="G270" s="180"/>
      <c r="H270" s="180"/>
      <c r="I270" s="180"/>
      <c r="J270" s="180"/>
      <c r="K270" s="180"/>
      <c r="L270" s="180"/>
      <c r="M270" s="180"/>
      <c r="N270" s="180"/>
      <c r="O270" s="180"/>
      <c r="P270" s="180"/>
      <c r="Q270" s="180"/>
      <c r="R270" s="180"/>
      <c r="S270" s="180"/>
      <c r="T270" s="180"/>
      <c r="U270" s="180"/>
      <c r="V270" s="180"/>
      <c r="W270" s="180"/>
      <c r="X270" s="180"/>
      <c r="Y270" s="180"/>
      <c r="AG270" t="s">
        <v>660</v>
      </c>
    </row>
    <row r="271">
      <c r="A271" s="180"/>
      <c r="B271" s="188"/>
      <c r="C271" s="244" t="s">
        <v>505</v>
      </c>
      <c r="D271" s="190"/>
      <c r="E271" s="180"/>
      <c r="F271" s="180"/>
      <c r="G271" s="180"/>
      <c r="H271" s="180"/>
      <c r="I271" s="180"/>
      <c r="J271" s="180"/>
      <c r="K271" s="180"/>
      <c r="L271" s="180"/>
      <c r="M271" s="180"/>
      <c r="N271" s="180"/>
      <c r="O271" s="180"/>
      <c r="P271" s="180"/>
      <c r="Q271" s="180"/>
      <c r="R271" s="180"/>
      <c r="S271" s="180"/>
      <c r="T271" s="180"/>
      <c r="U271" s="180"/>
      <c r="V271" s="180"/>
      <c r="W271" s="180"/>
      <c r="X271" s="180"/>
      <c r="Y271" s="180"/>
      <c r="AG271" t="s">
        <v>661</v>
      </c>
    </row>
    <row r="272">
      <c r="A272" s="180"/>
      <c r="B272" s="188"/>
      <c r="C272" s="244"/>
      <c r="D272" s="190"/>
      <c r="E272" s="180"/>
      <c r="F272" s="180"/>
      <c r="G272" s="180"/>
      <c r="H272" s="180"/>
      <c r="I272" s="180"/>
      <c r="J272" s="180"/>
      <c r="K272" s="180"/>
      <c r="L272" s="180"/>
      <c r="M272" s="180"/>
      <c r="N272" s="180"/>
      <c r="O272" s="180"/>
      <c r="P272" s="180"/>
      <c r="Q272" s="180"/>
      <c r="R272" s="180"/>
      <c r="S272" s="180"/>
      <c r="T272" s="180"/>
      <c r="U272" s="180"/>
      <c r="V272" s="180"/>
      <c r="W272" s="180"/>
      <c r="X272" s="180"/>
      <c r="Y272" s="180"/>
    </row>
    <row r="273">
      <c r="A273" s="180"/>
      <c r="B273" s="188"/>
      <c r="C273" s="244"/>
      <c r="D273" s="190"/>
      <c r="E273" s="180"/>
      <c r="F273" s="180"/>
      <c r="G273" s="180"/>
      <c r="H273" s="180"/>
      <c r="I273" s="180"/>
      <c r="J273" s="180"/>
      <c r="K273" s="180"/>
      <c r="L273" s="180"/>
      <c r="M273" s="180"/>
      <c r="N273" s="180"/>
      <c r="O273" s="180"/>
      <c r="P273" s="180"/>
      <c r="Q273" s="180"/>
      <c r="R273" s="180"/>
      <c r="S273" s="180"/>
      <c r="T273" s="180"/>
      <c r="U273" s="180"/>
      <c r="V273" s="180"/>
      <c r="W273" s="180"/>
      <c r="X273" s="180"/>
      <c r="Y273" s="180"/>
    </row>
    <row r="274">
      <c r="A274" s="180"/>
      <c r="B274" s="188"/>
      <c r="C274" s="244"/>
      <c r="D274" s="190"/>
      <c r="E274" s="180"/>
      <c r="F274" s="180"/>
      <c r="G274" s="180"/>
      <c r="H274" s="180"/>
      <c r="I274" s="180"/>
      <c r="J274" s="180"/>
      <c r="K274" s="180"/>
      <c r="L274" s="180"/>
      <c r="M274" s="180"/>
      <c r="N274" s="180"/>
      <c r="O274" s="180"/>
      <c r="P274" s="180"/>
      <c r="Q274" s="180"/>
      <c r="R274" s="180"/>
      <c r="S274" s="180"/>
      <c r="T274" s="180"/>
      <c r="U274" s="180"/>
      <c r="V274" s="180"/>
      <c r="W274" s="180"/>
      <c r="X274" s="180"/>
      <c r="Y274" s="180"/>
    </row>
    <row r="275">
      <c r="A275" s="180" t="s">
        <v>390</v>
      </c>
      <c r="B275" s="180"/>
      <c r="C275" s="251"/>
      <c r="D275" s="190"/>
      <c r="E275" s="180"/>
      <c r="F275" s="180"/>
      <c r="G275" s="180"/>
      <c r="H275" s="180"/>
      <c r="I275" s="180"/>
      <c r="J275" s="180"/>
      <c r="K275" s="180"/>
      <c r="L275" s="180"/>
      <c r="M275" s="180"/>
      <c r="N275" s="180"/>
      <c r="O275" s="180"/>
      <c r="P275" s="180"/>
      <c r="Q275" s="180"/>
      <c r="R275" s="180"/>
      <c r="S275" s="180"/>
      <c r="T275" s="180"/>
      <c r="U275" s="180"/>
      <c r="V275" s="180"/>
      <c r="W275" s="180"/>
      <c r="X275" s="180"/>
      <c r="Y275" s="180"/>
    </row>
    <row r="276">
      <c r="A276" s="252"/>
      <c r="B276" s="253"/>
      <c r="C276" s="254"/>
      <c r="D276" s="253"/>
      <c r="E276" s="253"/>
      <c r="F276" s="253"/>
      <c r="G276" s="255"/>
      <c r="H276" s="180"/>
      <c r="I276" s="180"/>
      <c r="J276" s="180"/>
      <c r="K276" s="180"/>
      <c r="L276" s="180"/>
      <c r="M276" s="180"/>
      <c r="N276" s="180"/>
      <c r="O276" s="180"/>
      <c r="P276" s="180"/>
      <c r="Q276" s="180"/>
      <c r="R276" s="180"/>
      <c r="S276" s="180"/>
      <c r="T276" s="180"/>
      <c r="U276" s="180"/>
      <c r="V276" s="180"/>
      <c r="W276" s="180"/>
      <c r="X276" s="180"/>
      <c r="Y276" s="180"/>
      <c r="AG276" t="s">
        <v>391</v>
      </c>
    </row>
    <row r="277">
      <c r="A277" s="256"/>
      <c r="B277" s="257"/>
      <c r="C277" s="258"/>
      <c r="D277" s="257"/>
      <c r="E277" s="257"/>
      <c r="F277" s="257"/>
      <c r="G277" s="259"/>
      <c r="H277" s="180"/>
      <c r="I277" s="180"/>
      <c r="J277" s="180"/>
      <c r="K277" s="180"/>
      <c r="L277" s="180"/>
      <c r="M277" s="180"/>
      <c r="N277" s="180"/>
      <c r="O277" s="180"/>
      <c r="P277" s="180"/>
      <c r="Q277" s="180"/>
      <c r="R277" s="180"/>
      <c r="S277" s="180"/>
      <c r="T277" s="180"/>
      <c r="U277" s="180"/>
      <c r="V277" s="180"/>
      <c r="W277" s="180"/>
      <c r="X277" s="180"/>
      <c r="Y277" s="180"/>
    </row>
    <row r="278">
      <c r="A278" s="256"/>
      <c r="B278" s="257"/>
      <c r="C278" s="258"/>
      <c r="D278" s="257"/>
      <c r="E278" s="257"/>
      <c r="F278" s="257"/>
      <c r="G278" s="259"/>
      <c r="H278" s="180"/>
      <c r="I278" s="180"/>
      <c r="J278" s="180"/>
      <c r="K278" s="180"/>
      <c r="L278" s="180"/>
      <c r="M278" s="180"/>
      <c r="N278" s="180"/>
      <c r="O278" s="180"/>
      <c r="P278" s="180"/>
      <c r="Q278" s="180"/>
      <c r="R278" s="180"/>
      <c r="S278" s="180"/>
      <c r="T278" s="180"/>
      <c r="U278" s="180"/>
      <c r="V278" s="180"/>
      <c r="W278" s="180"/>
      <c r="X278" s="180"/>
      <c r="Y278" s="180"/>
    </row>
    <row r="279">
      <c r="A279" s="256"/>
      <c r="B279" s="257"/>
      <c r="C279" s="258"/>
      <c r="D279" s="257"/>
      <c r="E279" s="257"/>
      <c r="F279" s="257"/>
      <c r="G279" s="259"/>
      <c r="H279" s="180"/>
      <c r="I279" s="180"/>
      <c r="J279" s="180"/>
      <c r="K279" s="180"/>
      <c r="L279" s="180"/>
      <c r="M279" s="180"/>
      <c r="N279" s="180"/>
      <c r="O279" s="180"/>
      <c r="P279" s="180"/>
      <c r="Q279" s="180"/>
      <c r="R279" s="180"/>
      <c r="S279" s="180"/>
      <c r="T279" s="180"/>
      <c r="U279" s="180"/>
      <c r="V279" s="180"/>
      <c r="W279" s="180"/>
      <c r="X279" s="180"/>
      <c r="Y279" s="180"/>
    </row>
    <row r="280">
      <c r="A280" s="260"/>
      <c r="B280" s="261"/>
      <c r="C280" s="262"/>
      <c r="D280" s="261"/>
      <c r="E280" s="261"/>
      <c r="F280" s="261"/>
      <c r="G280" s="263"/>
      <c r="H280" s="180"/>
      <c r="I280" s="180"/>
      <c r="J280" s="180"/>
      <c r="K280" s="180"/>
      <c r="L280" s="180"/>
      <c r="M280" s="180"/>
      <c r="N280" s="180"/>
      <c r="O280" s="180"/>
      <c r="P280" s="180"/>
      <c r="Q280" s="180"/>
      <c r="R280" s="180"/>
      <c r="S280" s="180"/>
      <c r="T280" s="180"/>
      <c r="U280" s="180"/>
      <c r="V280" s="180"/>
      <c r="W280" s="180"/>
      <c r="X280" s="180"/>
      <c r="Y280" s="180"/>
    </row>
    <row r="281">
      <c r="A281" s="180"/>
      <c r="B281" s="188"/>
      <c r="C281" s="244"/>
      <c r="D281" s="190"/>
      <c r="E281" s="180"/>
      <c r="F281" s="180"/>
      <c r="G281" s="180"/>
      <c r="H281" s="180"/>
      <c r="I281" s="180"/>
      <c r="J281" s="180"/>
      <c r="K281" s="180"/>
      <c r="L281" s="180"/>
      <c r="M281" s="180"/>
      <c r="N281" s="180"/>
      <c r="O281" s="180"/>
      <c r="P281" s="180"/>
      <c r="Q281" s="180"/>
      <c r="R281" s="180"/>
      <c r="S281" s="180"/>
      <c r="T281" s="180"/>
      <c r="U281" s="180"/>
      <c r="V281" s="180"/>
      <c r="W281" s="180"/>
      <c r="X281" s="180"/>
      <c r="Y281" s="180"/>
    </row>
    <row r="282">
      <c r="C282" s="264"/>
      <c r="D282" s="123"/>
      <c r="AG282" t="s">
        <v>392</v>
      </c>
    </row>
    <row r="283">
      <c r="D283" s="123"/>
    </row>
    <row r="284">
      <c r="D284" s="123"/>
    </row>
    <row r="285">
      <c r="D285" s="123"/>
    </row>
    <row r="286">
      <c r="D286" s="123"/>
    </row>
    <row r="287">
      <c r="D287" s="123"/>
    </row>
    <row r="288">
      <c r="D288" s="123"/>
    </row>
    <row r="289">
      <c r="D289" s="123"/>
    </row>
    <row r="290">
      <c r="D290" s="123"/>
    </row>
    <row r="291">
      <c r="D291" s="123"/>
    </row>
    <row r="292">
      <c r="D292" s="123"/>
    </row>
    <row r="293">
      <c r="D293" s="123"/>
    </row>
    <row r="294">
      <c r="D294" s="123"/>
    </row>
    <row r="295">
      <c r="D295" s="123"/>
    </row>
    <row r="296">
      <c r="D296" s="123"/>
    </row>
    <row r="297">
      <c r="D297" s="123"/>
    </row>
    <row r="298">
      <c r="D298" s="123"/>
    </row>
    <row r="299">
      <c r="D299" s="123"/>
    </row>
    <row r="300">
      <c r="D300" s="123"/>
    </row>
    <row r="301">
      <c r="D301" s="123"/>
    </row>
    <row r="302">
      <c r="D302" s="123"/>
    </row>
    <row r="303">
      <c r="D303" s="123"/>
    </row>
    <row r="304">
      <c r="D304" s="123"/>
    </row>
    <row r="305">
      <c r="D305" s="123"/>
    </row>
    <row r="306">
      <c r="D306" s="123"/>
    </row>
    <row r="307">
      <c r="D307" s="123"/>
    </row>
    <row r="308">
      <c r="D308" s="123"/>
    </row>
    <row r="309">
      <c r="D309" s="123"/>
    </row>
    <row r="310">
      <c r="D310" s="123"/>
    </row>
    <row r="311">
      <c r="D311" s="123"/>
    </row>
    <row r="312">
      <c r="D312" s="123"/>
    </row>
    <row r="313">
      <c r="D313" s="123"/>
    </row>
    <row r="314">
      <c r="D314" s="123"/>
    </row>
    <row r="315">
      <c r="D315" s="123"/>
    </row>
    <row r="316">
      <c r="D316" s="123"/>
    </row>
    <row r="317">
      <c r="D317" s="123"/>
    </row>
    <row r="318">
      <c r="D318" s="123"/>
    </row>
    <row r="319">
      <c r="D319" s="123"/>
    </row>
    <row r="320">
      <c r="D320" s="123"/>
    </row>
    <row r="321">
      <c r="D321" s="123"/>
    </row>
    <row r="322">
      <c r="D322" s="123"/>
    </row>
    <row r="323">
      <c r="D323" s="123"/>
    </row>
    <row r="324">
      <c r="D324" s="123"/>
    </row>
    <row r="325">
      <c r="D325" s="123"/>
    </row>
    <row r="326">
      <c r="D326" s="123"/>
    </row>
    <row r="327">
      <c r="D327" s="123"/>
    </row>
    <row r="328">
      <c r="D328" s="123"/>
    </row>
    <row r="329">
      <c r="D329" s="123"/>
    </row>
    <row r="330">
      <c r="D330" s="123"/>
    </row>
    <row r="331">
      <c r="D331" s="123"/>
    </row>
    <row r="332">
      <c r="D332" s="123"/>
    </row>
    <row r="333">
      <c r="D333" s="123"/>
    </row>
    <row r="334">
      <c r="D334" s="123"/>
    </row>
    <row r="335">
      <c r="D335" s="123"/>
    </row>
    <row r="336">
      <c r="D336" s="123"/>
    </row>
    <row r="337">
      <c r="D337" s="123"/>
    </row>
    <row r="338">
      <c r="D338" s="123"/>
    </row>
    <row r="339">
      <c r="D339" s="123"/>
    </row>
    <row r="340">
      <c r="D340" s="123"/>
    </row>
    <row r="341">
      <c r="D341" s="123"/>
    </row>
    <row r="342">
      <c r="D342" s="123"/>
    </row>
    <row r="343">
      <c r="D343" s="123"/>
    </row>
    <row r="344">
      <c r="D344" s="123"/>
    </row>
    <row r="345">
      <c r="D345" s="123"/>
    </row>
    <row r="346">
      <c r="D346" s="123"/>
    </row>
    <row r="347">
      <c r="D347" s="123"/>
    </row>
    <row r="348">
      <c r="D348" s="123"/>
    </row>
    <row r="349">
      <c r="D349" s="123"/>
    </row>
    <row r="350">
      <c r="D350" s="123"/>
    </row>
    <row r="351">
      <c r="D351" s="123"/>
    </row>
    <row r="352">
      <c r="D352" s="123"/>
    </row>
    <row r="353">
      <c r="D353" s="123"/>
    </row>
    <row r="354">
      <c r="D354" s="123"/>
    </row>
    <row r="355">
      <c r="D355" s="123"/>
    </row>
    <row r="356">
      <c r="D356" s="123"/>
    </row>
    <row r="357">
      <c r="D357" s="123"/>
    </row>
    <row r="358">
      <c r="D358" s="123"/>
    </row>
    <row r="359">
      <c r="D359" s="123"/>
    </row>
    <row r="360">
      <c r="D360" s="123"/>
    </row>
    <row r="361">
      <c r="D361" s="123"/>
    </row>
    <row r="362">
      <c r="D362" s="123"/>
    </row>
    <row r="363">
      <c r="D363" s="123"/>
    </row>
    <row r="364">
      <c r="D364" s="123"/>
    </row>
    <row r="365">
      <c r="D365" s="123"/>
    </row>
    <row r="366">
      <c r="D366" s="123"/>
    </row>
    <row r="367">
      <c r="D367" s="123"/>
    </row>
    <row r="368">
      <c r="D368" s="123"/>
    </row>
    <row r="369">
      <c r="D369" s="123"/>
    </row>
    <row r="370">
      <c r="D370" s="123"/>
    </row>
    <row r="371">
      <c r="D371" s="123"/>
    </row>
    <row r="372">
      <c r="D372" s="123"/>
    </row>
    <row r="373">
      <c r="D373" s="123"/>
    </row>
    <row r="374">
      <c r="D374" s="123"/>
    </row>
    <row r="375">
      <c r="D375" s="123"/>
    </row>
    <row r="376">
      <c r="D376" s="123"/>
    </row>
    <row r="377">
      <c r="D377" s="123"/>
    </row>
    <row r="378">
      <c r="D378" s="123"/>
    </row>
    <row r="379">
      <c r="D379" s="123"/>
    </row>
    <row r="380">
      <c r="D380" s="123"/>
    </row>
    <row r="381">
      <c r="D381" s="123"/>
    </row>
    <row r="382">
      <c r="D382" s="123"/>
    </row>
    <row r="383">
      <c r="D383" s="123"/>
    </row>
    <row r="384">
      <c r="D384" s="123"/>
    </row>
    <row r="385">
      <c r="D385" s="123"/>
    </row>
    <row r="386">
      <c r="D386" s="123"/>
    </row>
    <row r="387">
      <c r="D387" s="123"/>
    </row>
    <row r="388">
      <c r="D388" s="123"/>
    </row>
    <row r="389">
      <c r="D389" s="123"/>
    </row>
    <row r="390">
      <c r="D390" s="123"/>
    </row>
    <row r="391">
      <c r="D391" s="123"/>
    </row>
    <row r="392">
      <c r="D392" s="123"/>
    </row>
    <row r="393">
      <c r="D393" s="123"/>
    </row>
    <row r="394">
      <c r="D394" s="123"/>
    </row>
    <row r="395">
      <c r="D395" s="123"/>
    </row>
    <row r="396">
      <c r="D396" s="123"/>
    </row>
    <row r="397">
      <c r="D397" s="123"/>
    </row>
    <row r="398">
      <c r="D398" s="123"/>
    </row>
    <row r="399">
      <c r="D399" s="123"/>
    </row>
    <row r="400">
      <c r="D400" s="123"/>
    </row>
    <row r="401">
      <c r="D401" s="123"/>
    </row>
    <row r="402">
      <c r="D402" s="123"/>
    </row>
    <row r="403">
      <c r="D403" s="123"/>
    </row>
    <row r="404">
      <c r="D404" s="123"/>
    </row>
    <row r="405">
      <c r="D405" s="123"/>
    </row>
    <row r="406">
      <c r="D406" s="123"/>
    </row>
    <row r="407">
      <c r="D407" s="123"/>
    </row>
    <row r="408">
      <c r="D408" s="123"/>
    </row>
    <row r="409">
      <c r="D409" s="123"/>
    </row>
    <row r="410">
      <c r="D410" s="123"/>
    </row>
    <row r="411">
      <c r="D411" s="123"/>
    </row>
    <row r="412">
      <c r="D412" s="123"/>
    </row>
    <row r="413">
      <c r="D413" s="123"/>
    </row>
    <row r="414">
      <c r="D414" s="123"/>
    </row>
    <row r="415">
      <c r="D415" s="123"/>
    </row>
    <row r="416">
      <c r="D416" s="123"/>
    </row>
    <row r="417">
      <c r="D417" s="123"/>
    </row>
    <row r="418">
      <c r="D418" s="123"/>
    </row>
    <row r="419">
      <c r="D419" s="123"/>
    </row>
    <row r="420">
      <c r="D420" s="123"/>
    </row>
    <row r="421">
      <c r="D421" s="123"/>
    </row>
    <row r="422">
      <c r="D422" s="123"/>
    </row>
    <row r="423">
      <c r="D423" s="123"/>
    </row>
    <row r="424">
      <c r="D424" s="123"/>
    </row>
    <row r="425">
      <c r="D425" s="123"/>
    </row>
    <row r="426">
      <c r="D426" s="123"/>
    </row>
    <row r="427">
      <c r="D427" s="123"/>
    </row>
    <row r="428">
      <c r="D428" s="123"/>
    </row>
    <row r="429">
      <c r="D429" s="123"/>
    </row>
    <row r="430">
      <c r="D430" s="123"/>
    </row>
    <row r="431">
      <c r="D431" s="123"/>
    </row>
    <row r="432">
      <c r="D432" s="123"/>
    </row>
    <row r="433">
      <c r="D433" s="123"/>
    </row>
    <row r="434">
      <c r="D434" s="123"/>
    </row>
    <row r="435">
      <c r="D435" s="123"/>
    </row>
    <row r="436">
      <c r="D436" s="123"/>
    </row>
    <row r="437">
      <c r="D437" s="123"/>
    </row>
    <row r="438">
      <c r="D438" s="123"/>
    </row>
    <row r="439">
      <c r="D439" s="123"/>
    </row>
    <row r="440">
      <c r="D440" s="123"/>
    </row>
    <row r="441">
      <c r="D441" s="123"/>
    </row>
    <row r="442">
      <c r="D442" s="123"/>
    </row>
    <row r="443">
      <c r="D443" s="123"/>
    </row>
    <row r="444">
      <c r="D444" s="123"/>
    </row>
    <row r="445">
      <c r="D445" s="123"/>
    </row>
    <row r="446">
      <c r="D446" s="123"/>
    </row>
    <row r="447">
      <c r="D447" s="123"/>
    </row>
    <row r="448">
      <c r="D448" s="123"/>
    </row>
    <row r="449">
      <c r="D449" s="123"/>
    </row>
    <row r="450">
      <c r="D450" s="123"/>
    </row>
    <row r="451">
      <c r="D451" s="123"/>
    </row>
    <row r="452">
      <c r="D452" s="123"/>
    </row>
    <row r="453">
      <c r="D453" s="123"/>
    </row>
    <row r="454">
      <c r="D454" s="123"/>
    </row>
    <row r="455">
      <c r="D455" s="123"/>
    </row>
    <row r="456">
      <c r="D456" s="123"/>
    </row>
    <row r="457">
      <c r="D457" s="123"/>
    </row>
    <row r="458">
      <c r="D458" s="123"/>
    </row>
    <row r="459">
      <c r="D459" s="123"/>
    </row>
    <row r="460">
      <c r="D460" s="123"/>
    </row>
    <row r="461">
      <c r="D461" s="123"/>
    </row>
    <row r="462">
      <c r="D462" s="123"/>
    </row>
    <row r="463">
      <c r="D463" s="123"/>
    </row>
    <row r="464">
      <c r="D464" s="123"/>
    </row>
    <row r="465">
      <c r="D465" s="123"/>
    </row>
    <row r="466">
      <c r="D466" s="123"/>
    </row>
    <row r="467">
      <c r="D467" s="123"/>
    </row>
    <row r="468">
      <c r="D468" s="123"/>
    </row>
    <row r="469">
      <c r="D469" s="123"/>
    </row>
    <row r="470">
      <c r="D470" s="123"/>
    </row>
    <row r="471">
      <c r="D471" s="123"/>
    </row>
    <row r="472">
      <c r="D472" s="123"/>
    </row>
    <row r="473">
      <c r="D473" s="123"/>
    </row>
    <row r="474">
      <c r="D474" s="123"/>
    </row>
    <row r="475">
      <c r="D475" s="123"/>
    </row>
    <row r="476">
      <c r="D476" s="123"/>
    </row>
    <row r="477">
      <c r="D477" s="123"/>
    </row>
    <row r="478">
      <c r="D478" s="123"/>
    </row>
    <row r="479">
      <c r="D479" s="123"/>
    </row>
    <row r="480">
      <c r="D480" s="123"/>
    </row>
    <row r="481">
      <c r="D481" s="123"/>
    </row>
    <row r="482">
      <c r="D482" s="123"/>
    </row>
    <row r="483">
      <c r="D483" s="123"/>
    </row>
    <row r="484">
      <c r="D484" s="123"/>
    </row>
    <row r="485">
      <c r="D485" s="123"/>
    </row>
    <row r="486">
      <c r="D486" s="123"/>
    </row>
    <row r="487">
      <c r="D487" s="123"/>
    </row>
    <row r="488">
      <c r="D488" s="123"/>
    </row>
    <row r="489">
      <c r="D489" s="123"/>
    </row>
    <row r="490">
      <c r="D490" s="123"/>
    </row>
    <row r="491">
      <c r="D491" s="123"/>
    </row>
    <row r="492">
      <c r="D492" s="123"/>
    </row>
    <row r="493">
      <c r="D493" s="123"/>
    </row>
    <row r="494">
      <c r="D494" s="123"/>
    </row>
    <row r="495">
      <c r="D495" s="123"/>
    </row>
    <row r="496">
      <c r="D496" s="123"/>
    </row>
    <row r="497">
      <c r="D497" s="123"/>
    </row>
    <row r="498">
      <c r="D498" s="123"/>
    </row>
    <row r="499">
      <c r="D499" s="123"/>
    </row>
    <row r="500">
      <c r="D500" s="123"/>
    </row>
    <row r="501">
      <c r="D501" s="123"/>
    </row>
    <row r="502">
      <c r="D502" s="123"/>
    </row>
    <row r="503">
      <c r="D503" s="123"/>
    </row>
    <row r="504">
      <c r="D504" s="123"/>
    </row>
    <row r="505">
      <c r="D505" s="123"/>
    </row>
    <row r="506">
      <c r="D506" s="123"/>
    </row>
    <row r="507">
      <c r="D507" s="123"/>
    </row>
    <row r="508">
      <c r="D508" s="123"/>
    </row>
    <row r="509">
      <c r="D509" s="123"/>
    </row>
    <row r="510">
      <c r="D510" s="123"/>
    </row>
    <row r="511">
      <c r="D511" s="123"/>
    </row>
    <row r="512">
      <c r="D512" s="123"/>
    </row>
    <row r="513">
      <c r="D513" s="123"/>
    </row>
    <row r="514">
      <c r="D514" s="123"/>
    </row>
    <row r="515">
      <c r="D515" s="123"/>
    </row>
    <row r="516">
      <c r="D516" s="123"/>
    </row>
    <row r="517">
      <c r="D517" s="123"/>
    </row>
    <row r="518">
      <c r="D518" s="123"/>
    </row>
    <row r="519">
      <c r="D519" s="123"/>
    </row>
    <row r="520">
      <c r="D520" s="123"/>
    </row>
    <row r="521">
      <c r="D521" s="123"/>
    </row>
    <row r="522">
      <c r="D522" s="123"/>
    </row>
    <row r="523">
      <c r="D523" s="123"/>
    </row>
    <row r="524">
      <c r="D524" s="123"/>
    </row>
    <row r="525">
      <c r="D525" s="123"/>
    </row>
    <row r="526">
      <c r="D526" s="123"/>
    </row>
    <row r="527">
      <c r="D527" s="123"/>
    </row>
    <row r="528">
      <c r="D528" s="123"/>
    </row>
    <row r="529">
      <c r="D529" s="123"/>
    </row>
    <row r="530">
      <c r="D530" s="123"/>
    </row>
    <row r="531">
      <c r="D531" s="123"/>
    </row>
    <row r="532">
      <c r="D532" s="123"/>
    </row>
    <row r="533">
      <c r="D533" s="123"/>
    </row>
    <row r="534">
      <c r="D534" s="123"/>
    </row>
    <row r="535">
      <c r="D535" s="123"/>
    </row>
    <row r="536">
      <c r="D536" s="123"/>
    </row>
    <row r="537">
      <c r="D537" s="123"/>
    </row>
    <row r="538">
      <c r="D538" s="123"/>
    </row>
    <row r="539">
      <c r="D539" s="123"/>
    </row>
    <row r="540">
      <c r="D540" s="123"/>
    </row>
    <row r="541">
      <c r="D541" s="123"/>
    </row>
    <row r="542">
      <c r="D542" s="123"/>
    </row>
    <row r="543">
      <c r="D543" s="123"/>
    </row>
    <row r="544">
      <c r="D544" s="123"/>
    </row>
    <row r="545">
      <c r="D545" s="123"/>
    </row>
    <row r="546">
      <c r="D546" s="123"/>
    </row>
    <row r="547">
      <c r="D547" s="123"/>
    </row>
    <row r="548">
      <c r="D548" s="123"/>
    </row>
    <row r="549">
      <c r="D549" s="123"/>
    </row>
    <row r="550">
      <c r="D550" s="123"/>
    </row>
    <row r="551">
      <c r="D551" s="123"/>
    </row>
    <row r="552">
      <c r="D552" s="123"/>
    </row>
    <row r="553">
      <c r="D553" s="123"/>
    </row>
    <row r="554">
      <c r="D554" s="123"/>
    </row>
    <row r="555">
      <c r="D555" s="123"/>
    </row>
    <row r="556">
      <c r="D556" s="123"/>
    </row>
    <row r="557">
      <c r="D557" s="123"/>
    </row>
    <row r="558">
      <c r="D558" s="123"/>
    </row>
    <row r="559">
      <c r="D559" s="123"/>
    </row>
    <row r="560">
      <c r="D560" s="123"/>
    </row>
    <row r="561">
      <c r="D561" s="123"/>
    </row>
    <row r="562">
      <c r="D562" s="123"/>
    </row>
    <row r="563">
      <c r="D563" s="123"/>
    </row>
    <row r="564">
      <c r="D564" s="123"/>
    </row>
    <row r="565">
      <c r="D565" s="123"/>
    </row>
    <row r="566">
      <c r="D566" s="123"/>
    </row>
    <row r="567">
      <c r="D567" s="123"/>
    </row>
    <row r="568">
      <c r="D568" s="123"/>
    </row>
    <row r="569">
      <c r="D569" s="123"/>
    </row>
    <row r="570">
      <c r="D570" s="123"/>
    </row>
    <row r="571">
      <c r="D571" s="123"/>
    </row>
    <row r="572">
      <c r="D572" s="123"/>
    </row>
    <row r="573">
      <c r="D573" s="123"/>
    </row>
    <row r="574">
      <c r="D574" s="123"/>
    </row>
    <row r="575">
      <c r="D575" s="123"/>
    </row>
    <row r="576">
      <c r="D576" s="123"/>
    </row>
    <row r="577">
      <c r="D577" s="123"/>
    </row>
    <row r="578">
      <c r="D578" s="123"/>
    </row>
    <row r="579">
      <c r="D579" s="123"/>
    </row>
    <row r="580">
      <c r="D580" s="123"/>
    </row>
    <row r="581">
      <c r="D581" s="123"/>
    </row>
    <row r="582">
      <c r="D582" s="123"/>
    </row>
    <row r="583">
      <c r="D583" s="123"/>
    </row>
    <row r="584">
      <c r="D584" s="123"/>
    </row>
    <row r="585">
      <c r="D585" s="123"/>
    </row>
    <row r="586">
      <c r="D586" s="123"/>
    </row>
    <row r="587">
      <c r="D587" s="123"/>
    </row>
    <row r="588">
      <c r="D588" s="123"/>
    </row>
    <row r="589">
      <c r="D589" s="123"/>
    </row>
    <row r="590">
      <c r="D590" s="123"/>
    </row>
    <row r="591">
      <c r="D591" s="123"/>
    </row>
    <row r="592">
      <c r="D592" s="123"/>
    </row>
    <row r="593">
      <c r="D593" s="123"/>
    </row>
    <row r="594">
      <c r="D594" s="123"/>
    </row>
    <row r="595">
      <c r="D595" s="123"/>
    </row>
    <row r="596">
      <c r="D596" s="123"/>
    </row>
    <row r="597">
      <c r="D597" s="123"/>
    </row>
    <row r="598">
      <c r="D598" s="123"/>
    </row>
    <row r="599">
      <c r="D599" s="123"/>
    </row>
    <row r="600">
      <c r="D600" s="123"/>
    </row>
    <row r="601">
      <c r="D601" s="123"/>
    </row>
    <row r="602">
      <c r="D602" s="123"/>
    </row>
    <row r="603">
      <c r="D603" s="123"/>
    </row>
    <row r="604">
      <c r="D604" s="123"/>
    </row>
    <row r="605">
      <c r="D605" s="123"/>
    </row>
    <row r="606">
      <c r="D606" s="123"/>
    </row>
    <row r="607">
      <c r="D607" s="123"/>
    </row>
    <row r="608">
      <c r="D608" s="123"/>
    </row>
    <row r="609">
      <c r="D609" s="123"/>
    </row>
    <row r="610">
      <c r="D610" s="123"/>
    </row>
    <row r="611">
      <c r="D611" s="123"/>
    </row>
    <row r="612">
      <c r="D612" s="123"/>
    </row>
    <row r="613">
      <c r="D613" s="123"/>
    </row>
    <row r="614">
      <c r="D614" s="123"/>
    </row>
    <row r="615">
      <c r="D615" s="123"/>
    </row>
    <row r="616">
      <c r="D616" s="123"/>
    </row>
    <row r="617">
      <c r="D617" s="123"/>
    </row>
    <row r="618">
      <c r="D618" s="123"/>
    </row>
    <row r="619">
      <c r="D619" s="123"/>
    </row>
    <row r="620">
      <c r="D620" s="123"/>
    </row>
    <row r="621">
      <c r="D621" s="123"/>
    </row>
    <row r="622">
      <c r="D622" s="123"/>
    </row>
    <row r="623">
      <c r="D623" s="123"/>
    </row>
    <row r="624">
      <c r="D624" s="123"/>
    </row>
    <row r="625">
      <c r="D625" s="123"/>
    </row>
    <row r="626">
      <c r="D626" s="123"/>
    </row>
    <row r="627">
      <c r="D627" s="123"/>
    </row>
    <row r="628">
      <c r="D628" s="123"/>
    </row>
    <row r="629">
      <c r="D629" s="123"/>
    </row>
    <row r="630">
      <c r="D630" s="123"/>
    </row>
    <row r="631">
      <c r="D631" s="123"/>
    </row>
    <row r="632">
      <c r="D632" s="123"/>
    </row>
    <row r="633">
      <c r="D633" s="123"/>
    </row>
    <row r="634">
      <c r="D634" s="123"/>
    </row>
    <row r="635">
      <c r="D635" s="123"/>
    </row>
    <row r="636">
      <c r="D636" s="123"/>
    </row>
    <row r="637">
      <c r="D637" s="123"/>
    </row>
    <row r="638">
      <c r="D638" s="123"/>
    </row>
    <row r="639">
      <c r="D639" s="123"/>
    </row>
    <row r="640">
      <c r="D640" s="123"/>
    </row>
    <row r="641">
      <c r="D641" s="123"/>
    </row>
    <row r="642">
      <c r="D642" s="123"/>
    </row>
    <row r="643">
      <c r="D643" s="123"/>
    </row>
    <row r="644">
      <c r="D644" s="123"/>
    </row>
    <row r="645">
      <c r="D645" s="123"/>
    </row>
    <row r="646">
      <c r="D646" s="123"/>
    </row>
    <row r="647">
      <c r="D647" s="123"/>
    </row>
    <row r="648">
      <c r="D648" s="123"/>
    </row>
    <row r="649">
      <c r="D649" s="123"/>
    </row>
    <row r="650">
      <c r="D650" s="123"/>
    </row>
    <row r="651">
      <c r="D651" s="123"/>
    </row>
    <row r="652">
      <c r="D652" s="123"/>
    </row>
    <row r="653">
      <c r="D653" s="123"/>
    </row>
    <row r="654">
      <c r="D654" s="123"/>
    </row>
    <row r="655">
      <c r="D655" s="123"/>
    </row>
    <row r="656">
      <c r="D656" s="123"/>
    </row>
    <row r="657">
      <c r="D657" s="123"/>
    </row>
    <row r="658">
      <c r="D658" s="123"/>
    </row>
    <row r="659">
      <c r="D659" s="123"/>
    </row>
    <row r="660">
      <c r="D660" s="123"/>
    </row>
    <row r="661">
      <c r="D661" s="123"/>
    </row>
    <row r="662">
      <c r="D662" s="123"/>
    </row>
    <row r="663">
      <c r="D663" s="123"/>
    </row>
    <row r="664">
      <c r="D664" s="123"/>
    </row>
    <row r="665">
      <c r="D665" s="123"/>
    </row>
    <row r="666">
      <c r="D666" s="123"/>
    </row>
    <row r="667">
      <c r="D667" s="123"/>
    </row>
    <row r="668">
      <c r="D668" s="123"/>
    </row>
    <row r="669">
      <c r="D669" s="123"/>
    </row>
    <row r="670">
      <c r="D670" s="123"/>
    </row>
    <row r="671">
      <c r="D671" s="123"/>
    </row>
    <row r="672">
      <c r="D672" s="123"/>
    </row>
    <row r="673">
      <c r="D673" s="123"/>
    </row>
    <row r="674">
      <c r="D674" s="123"/>
    </row>
    <row r="675">
      <c r="D675" s="123"/>
    </row>
    <row r="676">
      <c r="D676" s="123"/>
    </row>
    <row r="677">
      <c r="D677" s="123"/>
    </row>
    <row r="678">
      <c r="D678" s="123"/>
    </row>
    <row r="679">
      <c r="D679" s="123"/>
    </row>
    <row r="680">
      <c r="D680" s="123"/>
    </row>
    <row r="681">
      <c r="D681" s="123"/>
    </row>
    <row r="682">
      <c r="D682" s="123"/>
    </row>
    <row r="683">
      <c r="D683" s="123"/>
    </row>
    <row r="684">
      <c r="D684" s="123"/>
    </row>
    <row r="685">
      <c r="D685" s="123"/>
    </row>
    <row r="686">
      <c r="D686" s="123"/>
    </row>
    <row r="687">
      <c r="D687" s="123"/>
    </row>
    <row r="688">
      <c r="D688" s="123"/>
    </row>
    <row r="689">
      <c r="D689" s="123"/>
    </row>
    <row r="690">
      <c r="D690" s="123"/>
    </row>
    <row r="691">
      <c r="D691" s="123"/>
    </row>
    <row r="692">
      <c r="D692" s="123"/>
    </row>
    <row r="693">
      <c r="D693" s="123"/>
    </row>
    <row r="694">
      <c r="D694" s="123"/>
    </row>
    <row r="695">
      <c r="D695" s="123"/>
    </row>
    <row r="696">
      <c r="D696" s="123"/>
    </row>
    <row r="697">
      <c r="D697" s="123"/>
    </row>
    <row r="698">
      <c r="D698" s="123"/>
    </row>
    <row r="699">
      <c r="D699" s="123"/>
    </row>
    <row r="700">
      <c r="D700" s="123"/>
    </row>
    <row r="701">
      <c r="D701" s="123"/>
    </row>
    <row r="702">
      <c r="D702" s="123"/>
    </row>
    <row r="703">
      <c r="D703" s="123"/>
    </row>
    <row r="704">
      <c r="D704" s="123"/>
    </row>
    <row r="705">
      <c r="D705" s="123"/>
    </row>
    <row r="706">
      <c r="D706" s="123"/>
    </row>
    <row r="707">
      <c r="D707" s="123"/>
    </row>
    <row r="708">
      <c r="D708" s="123"/>
    </row>
    <row r="709">
      <c r="D709" s="123"/>
    </row>
    <row r="710">
      <c r="D710" s="123"/>
    </row>
    <row r="711">
      <c r="D711" s="123"/>
    </row>
    <row r="712">
      <c r="D712" s="123"/>
    </row>
    <row r="713">
      <c r="D713" s="123"/>
    </row>
    <row r="714">
      <c r="D714" s="123"/>
    </row>
    <row r="715">
      <c r="D715" s="123"/>
    </row>
    <row r="716">
      <c r="D716" s="123"/>
    </row>
    <row r="717">
      <c r="D717" s="123"/>
    </row>
    <row r="718">
      <c r="D718" s="123"/>
    </row>
    <row r="719">
      <c r="D719" s="123"/>
    </row>
    <row r="720">
      <c r="D720" s="123"/>
    </row>
    <row r="721">
      <c r="D721" s="123"/>
    </row>
    <row r="722">
      <c r="D722" s="123"/>
    </row>
    <row r="723">
      <c r="D723" s="123"/>
    </row>
    <row r="724">
      <c r="D724" s="123"/>
    </row>
    <row r="725">
      <c r="D725" s="123"/>
    </row>
    <row r="726">
      <c r="D726" s="123"/>
    </row>
    <row r="727">
      <c r="D727" s="123"/>
    </row>
    <row r="728">
      <c r="D728" s="123"/>
    </row>
    <row r="729">
      <c r="D729" s="123"/>
    </row>
    <row r="730">
      <c r="D730" s="123"/>
    </row>
    <row r="731">
      <c r="D731" s="123"/>
    </row>
    <row r="732">
      <c r="D732" s="123"/>
    </row>
    <row r="733">
      <c r="D733" s="123"/>
    </row>
    <row r="734">
      <c r="D734" s="123"/>
    </row>
    <row r="735">
      <c r="D735" s="123"/>
    </row>
    <row r="736">
      <c r="D736" s="123"/>
    </row>
    <row r="737">
      <c r="D737" s="123"/>
    </row>
    <row r="738">
      <c r="D738" s="123"/>
    </row>
    <row r="739">
      <c r="D739" s="123"/>
    </row>
    <row r="740">
      <c r="D740" s="123"/>
    </row>
    <row r="741">
      <c r="D741" s="123"/>
    </row>
    <row r="742">
      <c r="D742" s="123"/>
    </row>
    <row r="743">
      <c r="D743" s="123"/>
    </row>
    <row r="744">
      <c r="D744" s="123"/>
    </row>
    <row r="745">
      <c r="D745" s="123"/>
    </row>
    <row r="746">
      <c r="D746" s="123"/>
    </row>
    <row r="747">
      <c r="D747" s="123"/>
    </row>
    <row r="748">
      <c r="D748" s="123"/>
    </row>
    <row r="749">
      <c r="D749" s="123"/>
    </row>
    <row r="750">
      <c r="D750" s="123"/>
    </row>
    <row r="751">
      <c r="D751" s="123"/>
    </row>
    <row r="752">
      <c r="D752" s="123"/>
    </row>
    <row r="753">
      <c r="D753" s="123"/>
    </row>
    <row r="754">
      <c r="D754" s="123"/>
    </row>
    <row r="755">
      <c r="D755" s="123"/>
    </row>
    <row r="756">
      <c r="D756" s="123"/>
    </row>
    <row r="757">
      <c r="D757" s="123"/>
    </row>
    <row r="758">
      <c r="D758" s="123"/>
    </row>
    <row r="759">
      <c r="D759" s="123"/>
    </row>
    <row r="760">
      <c r="D760" s="123"/>
    </row>
    <row r="761">
      <c r="D761" s="123"/>
    </row>
    <row r="762">
      <c r="D762" s="123"/>
    </row>
    <row r="763">
      <c r="D763" s="123"/>
    </row>
    <row r="764">
      <c r="D764" s="123"/>
    </row>
    <row r="765">
      <c r="D765" s="123"/>
    </row>
    <row r="766">
      <c r="D766" s="123"/>
    </row>
    <row r="767">
      <c r="D767" s="123"/>
    </row>
    <row r="768">
      <c r="D768" s="123"/>
    </row>
    <row r="769">
      <c r="D769" s="123"/>
    </row>
    <row r="770">
      <c r="D770" s="123"/>
    </row>
    <row r="771">
      <c r="D771" s="123"/>
    </row>
    <row r="772">
      <c r="D772" s="123"/>
    </row>
    <row r="773">
      <c r="D773" s="123"/>
    </row>
    <row r="774">
      <c r="D774" s="123"/>
    </row>
    <row r="775">
      <c r="D775" s="123"/>
    </row>
    <row r="776">
      <c r="D776" s="123"/>
    </row>
    <row r="777">
      <c r="D777" s="123"/>
    </row>
    <row r="778">
      <c r="D778" s="123"/>
    </row>
    <row r="779">
      <c r="D779" s="123"/>
    </row>
    <row r="780">
      <c r="D780" s="123"/>
    </row>
    <row r="781">
      <c r="D781" s="123"/>
    </row>
    <row r="782">
      <c r="D782" s="123"/>
    </row>
    <row r="783">
      <c r="D783" s="123"/>
    </row>
    <row r="784">
      <c r="D784" s="123"/>
    </row>
    <row r="785">
      <c r="D785" s="123"/>
    </row>
    <row r="786">
      <c r="D786" s="123"/>
    </row>
    <row r="787">
      <c r="D787" s="123"/>
    </row>
    <row r="788">
      <c r="D788" s="123"/>
    </row>
    <row r="789">
      <c r="D789" s="123"/>
    </row>
    <row r="790">
      <c r="D790" s="123"/>
    </row>
    <row r="791">
      <c r="D791" s="123"/>
    </row>
    <row r="792">
      <c r="D792" s="123"/>
    </row>
    <row r="793">
      <c r="D793" s="123"/>
    </row>
    <row r="794">
      <c r="D794" s="123"/>
    </row>
    <row r="795">
      <c r="D795" s="123"/>
    </row>
    <row r="796">
      <c r="D796" s="123"/>
    </row>
    <row r="797">
      <c r="D797" s="123"/>
    </row>
    <row r="798">
      <c r="D798" s="123"/>
    </row>
    <row r="799">
      <c r="D799" s="123"/>
    </row>
    <row r="800">
      <c r="D800" s="123"/>
    </row>
    <row r="801">
      <c r="D801" s="123"/>
    </row>
    <row r="802">
      <c r="D802" s="123"/>
    </row>
    <row r="803">
      <c r="D803" s="123"/>
    </row>
    <row r="804">
      <c r="D804" s="123"/>
    </row>
    <row r="805">
      <c r="D805" s="123"/>
    </row>
    <row r="806">
      <c r="D806" s="123"/>
    </row>
    <row r="807">
      <c r="D807" s="123"/>
    </row>
    <row r="808">
      <c r="D808" s="123"/>
    </row>
    <row r="809">
      <c r="D809" s="123"/>
    </row>
    <row r="810">
      <c r="D810" s="123"/>
    </row>
    <row r="811">
      <c r="D811" s="123"/>
    </row>
    <row r="812">
      <c r="D812" s="123"/>
    </row>
    <row r="813">
      <c r="D813" s="123"/>
    </row>
    <row r="814">
      <c r="D814" s="123"/>
    </row>
    <row r="815">
      <c r="D815" s="123"/>
    </row>
    <row r="816">
      <c r="D816" s="123"/>
    </row>
    <row r="817">
      <c r="D817" s="123"/>
    </row>
    <row r="818">
      <c r="D818" s="123"/>
    </row>
    <row r="819">
      <c r="D819" s="123"/>
    </row>
    <row r="820">
      <c r="D820" s="123"/>
    </row>
    <row r="821">
      <c r="D821" s="123"/>
    </row>
    <row r="822">
      <c r="D822" s="123"/>
    </row>
    <row r="823">
      <c r="D823" s="123"/>
    </row>
    <row r="824">
      <c r="D824" s="123"/>
    </row>
    <row r="825">
      <c r="D825" s="123"/>
    </row>
    <row r="826">
      <c r="D826" s="123"/>
    </row>
    <row r="827">
      <c r="D827" s="123"/>
    </row>
    <row r="828">
      <c r="D828" s="123"/>
    </row>
    <row r="829">
      <c r="D829" s="123"/>
    </row>
    <row r="830">
      <c r="D830" s="123"/>
    </row>
    <row r="831">
      <c r="D831" s="123"/>
    </row>
    <row r="832">
      <c r="D832" s="123"/>
    </row>
    <row r="833">
      <c r="D833" s="123"/>
    </row>
    <row r="834">
      <c r="D834" s="123"/>
    </row>
    <row r="835">
      <c r="D835" s="123"/>
    </row>
    <row r="836">
      <c r="D836" s="123"/>
    </row>
    <row r="837">
      <c r="D837" s="123"/>
    </row>
    <row r="838">
      <c r="D838" s="123"/>
    </row>
    <row r="839">
      <c r="D839" s="123"/>
    </row>
    <row r="840">
      <c r="D840" s="123"/>
    </row>
    <row r="841">
      <c r="D841" s="123"/>
    </row>
    <row r="842">
      <c r="D842" s="123"/>
    </row>
    <row r="843">
      <c r="D843" s="123"/>
    </row>
    <row r="844">
      <c r="D844" s="123"/>
    </row>
    <row r="845">
      <c r="D845" s="123"/>
    </row>
    <row r="846">
      <c r="D846" s="123"/>
    </row>
    <row r="847">
      <c r="D847" s="123"/>
    </row>
    <row r="848">
      <c r="D848" s="123"/>
    </row>
    <row r="849">
      <c r="D849" s="123"/>
    </row>
    <row r="850">
      <c r="D850" s="123"/>
    </row>
    <row r="851">
      <c r="D851" s="123"/>
    </row>
    <row r="852">
      <c r="D852" s="123"/>
    </row>
    <row r="853">
      <c r="D853" s="123"/>
    </row>
    <row r="854">
      <c r="D854" s="123"/>
    </row>
    <row r="855">
      <c r="D855" s="123"/>
    </row>
    <row r="856">
      <c r="D856" s="123"/>
    </row>
    <row r="857">
      <c r="D857" s="123"/>
    </row>
    <row r="858">
      <c r="D858" s="123"/>
    </row>
    <row r="859">
      <c r="D859" s="123"/>
    </row>
    <row r="860">
      <c r="D860" s="123"/>
    </row>
    <row r="861">
      <c r="D861" s="123"/>
    </row>
    <row r="862">
      <c r="D862" s="123"/>
    </row>
    <row r="863">
      <c r="D863" s="123"/>
    </row>
    <row r="864">
      <c r="D864" s="123"/>
    </row>
    <row r="865">
      <c r="D865" s="123"/>
    </row>
    <row r="866">
      <c r="D866" s="123"/>
    </row>
    <row r="867">
      <c r="D867" s="123"/>
    </row>
    <row r="868">
      <c r="D868" s="123"/>
    </row>
    <row r="869">
      <c r="D869" s="123"/>
    </row>
    <row r="870">
      <c r="D870" s="123"/>
    </row>
    <row r="871">
      <c r="D871" s="123"/>
    </row>
    <row r="872">
      <c r="D872" s="123"/>
    </row>
    <row r="873">
      <c r="D873" s="123"/>
    </row>
    <row r="874">
      <c r="D874" s="123"/>
    </row>
    <row r="875">
      <c r="D875" s="123"/>
    </row>
    <row r="876">
      <c r="D876" s="123"/>
    </row>
    <row r="877">
      <c r="D877" s="123"/>
    </row>
    <row r="878">
      <c r="D878" s="123"/>
    </row>
    <row r="879">
      <c r="D879" s="123"/>
    </row>
    <row r="880">
      <c r="D880" s="123"/>
    </row>
    <row r="881">
      <c r="D881" s="123"/>
    </row>
    <row r="882">
      <c r="D882" s="123"/>
    </row>
    <row r="883">
      <c r="D883" s="123"/>
    </row>
    <row r="884">
      <c r="D884" s="123"/>
    </row>
    <row r="885">
      <c r="D885" s="123"/>
    </row>
    <row r="886">
      <c r="D886" s="123"/>
    </row>
    <row r="887">
      <c r="D887" s="123"/>
    </row>
    <row r="888">
      <c r="D888" s="123"/>
    </row>
    <row r="889">
      <c r="D889" s="123"/>
    </row>
    <row r="890">
      <c r="D890" s="123"/>
    </row>
    <row r="891">
      <c r="D891" s="123"/>
    </row>
    <row r="892">
      <c r="D892" s="123"/>
    </row>
    <row r="893">
      <c r="D893" s="123"/>
    </row>
    <row r="894">
      <c r="D894" s="123"/>
    </row>
    <row r="895">
      <c r="D895" s="123"/>
    </row>
    <row r="896">
      <c r="D896" s="123"/>
    </row>
    <row r="897">
      <c r="D897" s="123"/>
    </row>
    <row r="898">
      <c r="D898" s="123"/>
    </row>
    <row r="899">
      <c r="D899" s="123"/>
    </row>
    <row r="900">
      <c r="D900" s="123"/>
    </row>
    <row r="901">
      <c r="D901" s="123"/>
    </row>
    <row r="902">
      <c r="D902" s="123"/>
    </row>
    <row r="903">
      <c r="D903" s="123"/>
    </row>
    <row r="904">
      <c r="D904" s="123"/>
    </row>
    <row r="905">
      <c r="D905" s="123"/>
    </row>
    <row r="906">
      <c r="D906" s="123"/>
    </row>
    <row r="907">
      <c r="D907" s="123"/>
    </row>
    <row r="908">
      <c r="D908" s="123"/>
    </row>
    <row r="909">
      <c r="D909" s="123"/>
    </row>
    <row r="910">
      <c r="D910" s="123"/>
    </row>
    <row r="911">
      <c r="D911" s="123"/>
    </row>
    <row r="912">
      <c r="D912" s="123"/>
    </row>
    <row r="913">
      <c r="D913" s="123"/>
    </row>
    <row r="914">
      <c r="D914" s="123"/>
    </row>
    <row r="915">
      <c r="D915" s="123"/>
    </row>
    <row r="916">
      <c r="D916" s="123"/>
    </row>
    <row r="917">
      <c r="D917" s="123"/>
    </row>
    <row r="918">
      <c r="D918" s="123"/>
    </row>
    <row r="919">
      <c r="D919" s="123"/>
    </row>
    <row r="920">
      <c r="D920" s="123"/>
    </row>
    <row r="921">
      <c r="D921" s="123"/>
    </row>
    <row r="922">
      <c r="D922" s="123"/>
    </row>
    <row r="923">
      <c r="D923" s="123"/>
    </row>
    <row r="924">
      <c r="D924" s="123"/>
    </row>
    <row r="925">
      <c r="D925" s="123"/>
    </row>
    <row r="926">
      <c r="D926" s="123"/>
    </row>
    <row r="927">
      <c r="D927" s="123"/>
    </row>
    <row r="928">
      <c r="D928" s="123"/>
    </row>
    <row r="929">
      <c r="D929" s="123"/>
    </row>
    <row r="930">
      <c r="D930" s="123"/>
    </row>
    <row r="931">
      <c r="D931" s="123"/>
    </row>
    <row r="932">
      <c r="D932" s="123"/>
    </row>
    <row r="933">
      <c r="D933" s="123"/>
    </row>
    <row r="934">
      <c r="D934" s="123"/>
    </row>
    <row r="935">
      <c r="D935" s="123"/>
    </row>
    <row r="936">
      <c r="D936" s="123"/>
    </row>
    <row r="937">
      <c r="D937" s="123"/>
    </row>
    <row r="938">
      <c r="D938" s="123"/>
    </row>
    <row r="939">
      <c r="D939" s="123"/>
    </row>
    <row r="940">
      <c r="D940" s="123"/>
    </row>
    <row r="941">
      <c r="D941" s="123"/>
    </row>
    <row r="942">
      <c r="D942" s="123"/>
    </row>
    <row r="943">
      <c r="D943" s="123"/>
    </row>
    <row r="944">
      <c r="D944" s="123"/>
    </row>
    <row r="945">
      <c r="D945" s="123"/>
    </row>
    <row r="946">
      <c r="D946" s="123"/>
    </row>
    <row r="947">
      <c r="D947" s="123"/>
    </row>
    <row r="948">
      <c r="D948" s="123"/>
    </row>
    <row r="949">
      <c r="D949" s="123"/>
    </row>
    <row r="950">
      <c r="D950" s="123"/>
    </row>
    <row r="951">
      <c r="D951" s="123"/>
    </row>
    <row r="952">
      <c r="D952" s="123"/>
    </row>
    <row r="953">
      <c r="D953" s="123"/>
    </row>
    <row r="954">
      <c r="D954" s="123"/>
    </row>
    <row r="955">
      <c r="D955" s="123"/>
    </row>
    <row r="956">
      <c r="D956" s="123"/>
    </row>
    <row r="957">
      <c r="D957" s="123"/>
    </row>
    <row r="958">
      <c r="D958" s="123"/>
    </row>
    <row r="959">
      <c r="D959" s="123"/>
    </row>
    <row r="960">
      <c r="D960" s="123"/>
    </row>
    <row r="961">
      <c r="D961" s="123"/>
    </row>
    <row r="962">
      <c r="D962" s="123"/>
    </row>
    <row r="963">
      <c r="D963" s="123"/>
    </row>
    <row r="964">
      <c r="D964" s="123"/>
    </row>
    <row r="965">
      <c r="D965" s="123"/>
    </row>
    <row r="966">
      <c r="D966" s="123"/>
    </row>
    <row r="967">
      <c r="D967" s="123"/>
    </row>
    <row r="968">
      <c r="D968" s="123"/>
    </row>
    <row r="969">
      <c r="D969" s="123"/>
    </row>
    <row r="970">
      <c r="D970" s="123"/>
    </row>
    <row r="971">
      <c r="D971" s="123"/>
    </row>
    <row r="972">
      <c r="D972" s="123"/>
    </row>
    <row r="973">
      <c r="D973" s="123"/>
    </row>
    <row r="974">
      <c r="D974" s="123"/>
    </row>
    <row r="975">
      <c r="D975" s="123"/>
    </row>
    <row r="976">
      <c r="D976" s="123"/>
    </row>
    <row r="977">
      <c r="D977" s="123"/>
    </row>
    <row r="978">
      <c r="D978" s="123"/>
    </row>
    <row r="979">
      <c r="D979" s="123"/>
    </row>
    <row r="980">
      <c r="D980" s="123"/>
    </row>
    <row r="981">
      <c r="D981" s="123"/>
    </row>
    <row r="982">
      <c r="D982" s="123"/>
    </row>
    <row r="983">
      <c r="D983" s="123"/>
    </row>
    <row r="984">
      <c r="D984" s="123"/>
    </row>
    <row r="985">
      <c r="D985" s="123"/>
    </row>
    <row r="986">
      <c r="D986" s="123"/>
    </row>
    <row r="987">
      <c r="D987" s="123"/>
    </row>
    <row r="988">
      <c r="D988" s="123"/>
    </row>
    <row r="989">
      <c r="D989" s="123"/>
    </row>
    <row r="990">
      <c r="D990" s="123"/>
    </row>
    <row r="991">
      <c r="D991" s="123"/>
    </row>
    <row r="992">
      <c r="D992" s="123"/>
    </row>
    <row r="993">
      <c r="D993" s="123"/>
    </row>
    <row r="994">
      <c r="D994" s="123"/>
    </row>
    <row r="995">
      <c r="D995" s="123"/>
    </row>
    <row r="996">
      <c r="D996" s="123"/>
    </row>
    <row r="997">
      <c r="D997" s="123"/>
    </row>
    <row r="998">
      <c r="D998" s="123"/>
    </row>
    <row r="999">
      <c r="D999" s="123"/>
    </row>
    <row r="1000">
      <c r="D1000" s="123"/>
    </row>
    <row r="1001">
      <c r="D1001" s="123"/>
    </row>
    <row r="1002">
      <c r="D1002" s="123"/>
    </row>
    <row r="1003">
      <c r="D1003" s="123"/>
    </row>
    <row r="1004">
      <c r="D1004" s="123"/>
    </row>
    <row r="1005">
      <c r="D1005" s="123"/>
    </row>
    <row r="1006">
      <c r="D1006" s="123"/>
    </row>
    <row r="1007">
      <c r="D1007" s="123"/>
    </row>
    <row r="1008">
      <c r="D1008" s="123"/>
    </row>
    <row r="1009">
      <c r="D1009" s="123"/>
    </row>
    <row r="1010">
      <c r="D1010" s="123"/>
    </row>
    <row r="1011">
      <c r="D1011" s="123"/>
    </row>
    <row r="1012">
      <c r="D1012" s="123"/>
    </row>
    <row r="1013">
      <c r="D1013" s="123"/>
    </row>
    <row r="1014">
      <c r="D1014" s="123"/>
    </row>
    <row r="1015">
      <c r="D1015" s="123"/>
    </row>
    <row r="1016">
      <c r="D1016" s="123"/>
    </row>
    <row r="1017">
      <c r="D1017" s="123"/>
    </row>
    <row r="1018">
      <c r="D1018" s="123"/>
    </row>
    <row r="1019">
      <c r="D1019" s="123"/>
    </row>
    <row r="1020">
      <c r="D1020" s="123"/>
    </row>
    <row r="1021">
      <c r="D1021" s="123"/>
    </row>
    <row r="1022">
      <c r="D1022" s="123"/>
    </row>
    <row r="1023">
      <c r="D1023" s="123"/>
    </row>
    <row r="1024">
      <c r="D1024" s="123"/>
    </row>
    <row r="1025">
      <c r="D1025" s="123"/>
    </row>
    <row r="1026">
      <c r="D1026" s="123"/>
    </row>
    <row r="1027">
      <c r="D1027" s="123"/>
    </row>
    <row r="1028">
      <c r="D1028" s="123"/>
    </row>
    <row r="1029">
      <c r="D1029" s="123"/>
    </row>
    <row r="1030">
      <c r="D1030" s="123"/>
    </row>
    <row r="1031">
      <c r="D1031" s="123"/>
    </row>
    <row r="1032">
      <c r="D1032" s="123"/>
    </row>
    <row r="1033">
      <c r="D1033" s="123"/>
    </row>
    <row r="1034">
      <c r="D1034" s="123"/>
    </row>
    <row r="1035">
      <c r="D1035" s="123"/>
    </row>
    <row r="1036">
      <c r="D1036" s="123"/>
    </row>
    <row r="1037">
      <c r="D1037" s="123"/>
    </row>
    <row r="1038">
      <c r="D1038" s="123"/>
    </row>
    <row r="1039">
      <c r="D1039" s="123"/>
    </row>
    <row r="1040">
      <c r="D1040" s="123"/>
    </row>
    <row r="1041">
      <c r="D1041" s="123"/>
    </row>
    <row r="1042">
      <c r="D1042" s="123"/>
    </row>
    <row r="1043">
      <c r="D1043" s="123"/>
    </row>
    <row r="1044">
      <c r="D1044" s="123"/>
    </row>
    <row r="1045">
      <c r="D1045" s="123"/>
    </row>
    <row r="1046">
      <c r="D1046" s="123"/>
    </row>
    <row r="1047">
      <c r="D1047" s="123"/>
    </row>
    <row r="1048">
      <c r="D1048" s="123"/>
    </row>
    <row r="1049">
      <c r="D1049" s="123"/>
    </row>
    <row r="1050">
      <c r="D1050" s="123"/>
    </row>
    <row r="1051">
      <c r="D1051" s="123"/>
    </row>
    <row r="1052">
      <c r="D1052" s="123"/>
    </row>
    <row r="1053">
      <c r="D1053" s="123"/>
    </row>
    <row r="1054">
      <c r="D1054" s="123"/>
    </row>
    <row r="1055">
      <c r="D1055" s="123"/>
    </row>
    <row r="1056">
      <c r="D1056" s="123"/>
    </row>
    <row r="1057">
      <c r="D1057" s="123"/>
    </row>
    <row r="1058">
      <c r="D1058" s="123"/>
    </row>
    <row r="1059">
      <c r="D1059" s="123"/>
    </row>
    <row r="1060">
      <c r="D1060" s="123"/>
    </row>
    <row r="1061">
      <c r="D1061" s="123"/>
    </row>
    <row r="1062">
      <c r="D1062" s="123"/>
    </row>
    <row r="1063">
      <c r="D1063" s="123"/>
    </row>
    <row r="1064">
      <c r="D1064" s="123"/>
    </row>
    <row r="1065">
      <c r="D1065" s="123"/>
    </row>
    <row r="1066">
      <c r="D1066" s="123"/>
    </row>
    <row r="1067">
      <c r="D1067" s="123"/>
    </row>
    <row r="1068">
      <c r="D1068" s="123"/>
    </row>
    <row r="1069">
      <c r="D1069" s="123"/>
    </row>
    <row r="1070">
      <c r="D1070" s="123"/>
    </row>
    <row r="1071">
      <c r="D1071" s="123"/>
    </row>
    <row r="1072">
      <c r="D1072" s="123"/>
    </row>
    <row r="1073">
      <c r="D1073" s="123"/>
    </row>
    <row r="1074">
      <c r="D1074" s="123"/>
    </row>
    <row r="1075">
      <c r="D1075" s="123"/>
    </row>
    <row r="1076">
      <c r="D1076" s="123"/>
    </row>
    <row r="1077">
      <c r="D1077" s="123"/>
    </row>
    <row r="1078">
      <c r="D1078" s="123"/>
    </row>
    <row r="1079">
      <c r="D1079" s="123"/>
    </row>
    <row r="1080">
      <c r="D1080" s="123"/>
    </row>
    <row r="1081">
      <c r="D1081" s="123"/>
    </row>
    <row r="1082">
      <c r="D1082" s="123"/>
    </row>
    <row r="1083">
      <c r="D1083" s="123"/>
    </row>
    <row r="1084">
      <c r="D1084" s="123"/>
    </row>
    <row r="1085">
      <c r="D1085" s="123"/>
    </row>
    <row r="1086">
      <c r="D1086" s="123"/>
    </row>
    <row r="1087">
      <c r="D1087" s="123"/>
    </row>
    <row r="1088">
      <c r="D1088" s="123"/>
    </row>
    <row r="1089">
      <c r="D1089" s="123"/>
    </row>
    <row r="1090">
      <c r="D1090" s="123"/>
    </row>
    <row r="1091">
      <c r="D1091" s="123"/>
    </row>
    <row r="1092">
      <c r="D1092" s="123"/>
    </row>
    <row r="1093">
      <c r="D1093" s="123"/>
    </row>
    <row r="1094">
      <c r="D1094" s="123"/>
    </row>
    <row r="1095">
      <c r="D1095" s="123"/>
    </row>
    <row r="1096">
      <c r="D1096" s="123"/>
    </row>
    <row r="1097">
      <c r="D1097" s="123"/>
    </row>
    <row r="1098">
      <c r="D1098" s="123"/>
    </row>
    <row r="1099">
      <c r="D1099" s="123"/>
    </row>
    <row r="1100">
      <c r="D1100" s="123"/>
    </row>
    <row r="1101">
      <c r="D1101" s="123"/>
    </row>
    <row r="1102">
      <c r="D1102" s="123"/>
    </row>
    <row r="1103">
      <c r="D1103" s="123"/>
    </row>
    <row r="1104">
      <c r="D1104" s="123"/>
    </row>
    <row r="1105">
      <c r="D1105" s="123"/>
    </row>
    <row r="1106">
      <c r="D1106" s="123"/>
    </row>
    <row r="1107">
      <c r="D1107" s="123"/>
    </row>
    <row r="1108">
      <c r="D1108" s="123"/>
    </row>
    <row r="1109">
      <c r="D1109" s="123"/>
    </row>
    <row r="1110">
      <c r="D1110" s="123"/>
    </row>
    <row r="1111">
      <c r="D1111" s="123"/>
    </row>
    <row r="1112">
      <c r="D1112" s="123"/>
    </row>
    <row r="1113">
      <c r="D1113" s="123"/>
    </row>
    <row r="1114">
      <c r="D1114" s="123"/>
    </row>
    <row r="1115">
      <c r="D1115" s="123"/>
    </row>
    <row r="1116">
      <c r="D1116" s="123"/>
    </row>
    <row r="1117">
      <c r="D1117" s="123"/>
    </row>
    <row r="1118">
      <c r="D1118" s="123"/>
    </row>
    <row r="1119">
      <c r="D1119" s="123"/>
    </row>
    <row r="1120">
      <c r="D1120" s="123"/>
    </row>
    <row r="1121">
      <c r="D1121" s="123"/>
    </row>
    <row r="1122">
      <c r="D1122" s="123"/>
    </row>
    <row r="1123">
      <c r="D1123" s="123"/>
    </row>
    <row r="1124">
      <c r="D1124" s="123"/>
    </row>
    <row r="1125">
      <c r="D1125" s="123"/>
    </row>
    <row r="1126">
      <c r="D1126" s="123"/>
    </row>
    <row r="1127">
      <c r="D1127" s="123"/>
    </row>
    <row r="1128">
      <c r="D1128" s="123"/>
    </row>
    <row r="1129">
      <c r="D1129" s="123"/>
    </row>
    <row r="1130">
      <c r="D1130" s="123"/>
    </row>
    <row r="1131">
      <c r="D1131" s="123"/>
    </row>
    <row r="1132">
      <c r="D1132" s="123"/>
    </row>
    <row r="1133">
      <c r="D1133" s="123"/>
    </row>
    <row r="1134">
      <c r="D1134" s="123"/>
    </row>
    <row r="1135">
      <c r="D1135" s="123"/>
    </row>
    <row r="1136">
      <c r="D1136" s="123"/>
    </row>
    <row r="1137">
      <c r="D1137" s="123"/>
    </row>
    <row r="1138">
      <c r="D1138" s="123"/>
    </row>
    <row r="1139">
      <c r="D1139" s="123"/>
    </row>
    <row r="1140">
      <c r="D1140" s="123"/>
    </row>
    <row r="1141">
      <c r="D1141" s="123"/>
    </row>
    <row r="1142">
      <c r="D1142" s="123"/>
    </row>
    <row r="1143">
      <c r="D1143" s="123"/>
    </row>
    <row r="1144">
      <c r="D1144" s="123"/>
    </row>
    <row r="1145">
      <c r="D1145" s="123"/>
    </row>
    <row r="1146">
      <c r="D1146" s="123"/>
    </row>
    <row r="1147">
      <c r="D1147" s="123"/>
    </row>
    <row r="1148">
      <c r="D1148" s="123"/>
    </row>
    <row r="1149">
      <c r="D1149" s="123"/>
    </row>
    <row r="1150">
      <c r="D1150" s="123"/>
    </row>
    <row r="1151">
      <c r="D1151" s="123"/>
    </row>
    <row r="1152">
      <c r="D1152" s="123"/>
    </row>
    <row r="1153">
      <c r="D1153" s="123"/>
    </row>
    <row r="1154">
      <c r="D1154" s="123"/>
    </row>
    <row r="1155">
      <c r="D1155" s="123"/>
    </row>
    <row r="1156">
      <c r="D1156" s="123"/>
    </row>
    <row r="1157">
      <c r="D1157" s="123"/>
    </row>
    <row r="1158">
      <c r="D1158" s="123"/>
    </row>
    <row r="1159">
      <c r="D1159" s="123"/>
    </row>
    <row r="1160">
      <c r="D1160" s="123"/>
    </row>
    <row r="1161">
      <c r="D1161" s="123"/>
    </row>
    <row r="1162">
      <c r="D1162" s="123"/>
    </row>
    <row r="1163">
      <c r="D1163" s="123"/>
    </row>
    <row r="1164">
      <c r="D1164" s="123"/>
    </row>
    <row r="1165">
      <c r="D1165" s="123"/>
    </row>
    <row r="1166">
      <c r="D1166" s="123"/>
    </row>
    <row r="1167">
      <c r="D1167" s="123"/>
    </row>
    <row r="1168">
      <c r="D1168" s="123"/>
    </row>
    <row r="1169">
      <c r="D1169" s="123"/>
    </row>
    <row r="1170">
      <c r="D1170" s="123"/>
    </row>
    <row r="1171">
      <c r="D1171" s="123"/>
    </row>
    <row r="1172">
      <c r="D1172" s="123"/>
    </row>
    <row r="1173">
      <c r="D1173" s="123"/>
    </row>
    <row r="1174">
      <c r="D1174" s="123"/>
    </row>
    <row r="1175">
      <c r="D1175" s="123"/>
    </row>
    <row r="1176">
      <c r="D1176" s="123"/>
    </row>
    <row r="1177">
      <c r="D1177" s="123"/>
    </row>
    <row r="1178">
      <c r="D1178" s="123"/>
    </row>
    <row r="1179">
      <c r="D1179" s="123"/>
    </row>
    <row r="1180">
      <c r="D1180" s="123"/>
    </row>
    <row r="1181">
      <c r="D1181" s="123"/>
    </row>
    <row r="1182">
      <c r="D1182" s="123"/>
    </row>
    <row r="1183">
      <c r="D1183" s="123"/>
    </row>
    <row r="1184">
      <c r="D1184" s="123"/>
    </row>
    <row r="1185">
      <c r="D1185" s="123"/>
    </row>
    <row r="1186">
      <c r="D1186" s="123"/>
    </row>
    <row r="1187">
      <c r="D1187" s="123"/>
    </row>
    <row r="1188">
      <c r="D1188" s="123"/>
    </row>
    <row r="1189">
      <c r="D1189" s="123"/>
    </row>
    <row r="1190">
      <c r="D1190" s="123"/>
    </row>
    <row r="1191">
      <c r="D1191" s="123"/>
    </row>
    <row r="1192">
      <c r="D1192" s="123"/>
    </row>
    <row r="1193">
      <c r="D1193" s="123"/>
    </row>
    <row r="1194">
      <c r="D1194" s="123"/>
    </row>
    <row r="1195">
      <c r="D1195" s="123"/>
    </row>
    <row r="1196">
      <c r="D1196" s="123"/>
    </row>
    <row r="1197">
      <c r="D1197" s="123"/>
    </row>
    <row r="1198">
      <c r="D1198" s="123"/>
    </row>
    <row r="1199">
      <c r="D1199" s="123"/>
    </row>
    <row r="1200">
      <c r="D1200" s="123"/>
    </row>
    <row r="1201">
      <c r="D1201" s="123"/>
    </row>
    <row r="1202">
      <c r="D1202" s="123"/>
    </row>
    <row r="1203">
      <c r="D1203" s="123"/>
    </row>
    <row r="1204">
      <c r="D1204" s="123"/>
    </row>
    <row r="1205">
      <c r="D1205" s="123"/>
    </row>
    <row r="1206">
      <c r="D1206" s="123"/>
    </row>
    <row r="1207">
      <c r="D1207" s="123"/>
    </row>
    <row r="1208">
      <c r="D1208" s="123"/>
    </row>
    <row r="1209">
      <c r="D1209" s="123"/>
    </row>
    <row r="1210">
      <c r="D1210" s="123"/>
    </row>
    <row r="1211">
      <c r="D1211" s="123"/>
    </row>
    <row r="1212">
      <c r="D1212" s="123"/>
    </row>
    <row r="1213">
      <c r="D1213" s="123"/>
    </row>
    <row r="1214">
      <c r="D1214" s="123"/>
    </row>
    <row r="1215">
      <c r="D1215" s="123"/>
    </row>
    <row r="1216">
      <c r="D1216" s="123"/>
    </row>
    <row r="1217">
      <c r="D1217" s="123"/>
    </row>
    <row r="1218">
      <c r="D1218" s="123"/>
    </row>
    <row r="1219">
      <c r="D1219" s="123"/>
    </row>
    <row r="1220">
      <c r="D1220" s="123"/>
    </row>
    <row r="1221">
      <c r="D1221" s="123"/>
    </row>
    <row r="1222">
      <c r="D1222" s="123"/>
    </row>
    <row r="1223">
      <c r="D1223" s="123"/>
    </row>
    <row r="1224">
      <c r="D1224" s="123"/>
    </row>
    <row r="1225">
      <c r="D1225" s="123"/>
    </row>
    <row r="1226">
      <c r="D1226" s="123"/>
    </row>
    <row r="1227">
      <c r="D1227" s="123"/>
    </row>
    <row r="1228">
      <c r="D1228" s="123"/>
    </row>
    <row r="1229">
      <c r="D1229" s="123"/>
    </row>
    <row r="1230">
      <c r="D1230" s="123"/>
    </row>
    <row r="1231">
      <c r="D1231" s="123"/>
    </row>
    <row r="1232">
      <c r="D1232" s="123"/>
    </row>
    <row r="1233">
      <c r="D1233" s="123"/>
    </row>
    <row r="1234">
      <c r="D1234" s="123"/>
    </row>
    <row r="1235">
      <c r="D1235" s="123"/>
    </row>
    <row r="1236">
      <c r="D1236" s="123"/>
    </row>
    <row r="1237">
      <c r="D1237" s="123"/>
    </row>
    <row r="1238">
      <c r="D1238" s="123"/>
    </row>
    <row r="1239">
      <c r="D1239" s="123"/>
    </row>
    <row r="1240">
      <c r="D1240" s="123"/>
    </row>
    <row r="1241">
      <c r="D1241" s="123"/>
    </row>
    <row r="1242">
      <c r="D1242" s="123"/>
    </row>
    <row r="1243">
      <c r="D1243" s="123"/>
    </row>
    <row r="1244">
      <c r="D1244" s="123"/>
    </row>
    <row r="1245">
      <c r="D1245" s="123"/>
    </row>
    <row r="1246">
      <c r="D1246" s="123"/>
    </row>
    <row r="1247">
      <c r="D1247" s="123"/>
    </row>
    <row r="1248">
      <c r="D1248" s="123"/>
    </row>
    <row r="1249">
      <c r="D1249" s="123"/>
    </row>
    <row r="1250">
      <c r="D1250" s="123"/>
    </row>
    <row r="1251">
      <c r="D1251" s="123"/>
    </row>
    <row r="1252">
      <c r="D1252" s="123"/>
    </row>
    <row r="1253">
      <c r="D1253" s="123"/>
    </row>
    <row r="1254">
      <c r="D1254" s="123"/>
    </row>
    <row r="1255">
      <c r="D1255" s="123"/>
    </row>
    <row r="1256">
      <c r="D1256" s="123"/>
    </row>
    <row r="1257">
      <c r="D1257" s="123"/>
    </row>
    <row r="1258">
      <c r="D1258" s="123"/>
    </row>
    <row r="1259">
      <c r="D1259" s="123"/>
    </row>
    <row r="1260">
      <c r="D1260" s="123"/>
    </row>
    <row r="1261">
      <c r="D1261" s="123"/>
    </row>
    <row r="1262">
      <c r="D1262" s="123"/>
    </row>
    <row r="1263">
      <c r="D1263" s="123"/>
    </row>
    <row r="1264">
      <c r="D1264" s="123"/>
    </row>
    <row r="1265">
      <c r="D1265" s="123"/>
    </row>
    <row r="1266">
      <c r="D1266" s="123"/>
    </row>
    <row r="1267">
      <c r="D1267" s="123"/>
    </row>
    <row r="1268">
      <c r="D1268" s="123"/>
    </row>
    <row r="1269">
      <c r="D1269" s="123"/>
    </row>
    <row r="1270">
      <c r="D1270" s="123"/>
    </row>
    <row r="1271">
      <c r="D1271" s="123"/>
    </row>
    <row r="1272">
      <c r="D1272" s="123"/>
    </row>
    <row r="1273">
      <c r="D1273" s="123"/>
    </row>
    <row r="1274">
      <c r="D1274" s="123"/>
    </row>
    <row r="1275">
      <c r="D1275" s="123"/>
    </row>
    <row r="1276">
      <c r="D1276" s="123"/>
    </row>
    <row r="1277">
      <c r="D1277" s="123"/>
    </row>
    <row r="1278">
      <c r="D1278" s="123"/>
    </row>
    <row r="1279">
      <c r="D1279" s="123"/>
    </row>
    <row r="1280">
      <c r="D1280" s="123"/>
    </row>
    <row r="1281">
      <c r="D1281" s="123"/>
    </row>
    <row r="1282">
      <c r="D1282" s="123"/>
    </row>
    <row r="1283">
      <c r="D1283" s="123"/>
    </row>
    <row r="1284">
      <c r="D1284" s="123"/>
    </row>
    <row r="1285">
      <c r="D1285" s="123"/>
    </row>
    <row r="1286">
      <c r="D1286" s="123"/>
    </row>
    <row r="1287">
      <c r="D1287" s="123"/>
    </row>
    <row r="1288">
      <c r="D1288" s="123"/>
    </row>
    <row r="1289">
      <c r="D1289" s="123"/>
    </row>
    <row r="1290">
      <c r="D1290" s="123"/>
    </row>
    <row r="1291">
      <c r="D1291" s="123"/>
    </row>
    <row r="1292">
      <c r="D1292" s="123"/>
    </row>
    <row r="1293">
      <c r="D1293" s="123"/>
    </row>
    <row r="1294">
      <c r="D1294" s="123"/>
    </row>
    <row r="1295">
      <c r="D1295" s="123"/>
    </row>
    <row r="1296">
      <c r="D1296" s="123"/>
    </row>
    <row r="1297">
      <c r="D1297" s="123"/>
    </row>
    <row r="1298">
      <c r="D1298" s="123"/>
    </row>
    <row r="1299">
      <c r="D1299" s="123"/>
    </row>
    <row r="1300">
      <c r="D1300" s="123"/>
    </row>
    <row r="1301">
      <c r="D1301" s="123"/>
    </row>
    <row r="1302">
      <c r="D1302" s="123"/>
    </row>
    <row r="1303">
      <c r="D1303" s="123"/>
    </row>
    <row r="1304">
      <c r="D1304" s="123"/>
    </row>
    <row r="1305">
      <c r="D1305" s="123"/>
    </row>
    <row r="1306">
      <c r="D1306" s="123"/>
    </row>
    <row r="1307">
      <c r="D1307" s="123"/>
    </row>
    <row r="1308">
      <c r="D1308" s="123"/>
    </row>
    <row r="1309">
      <c r="D1309" s="123"/>
    </row>
    <row r="1310">
      <c r="D1310" s="123"/>
    </row>
    <row r="1311">
      <c r="D1311" s="123"/>
    </row>
    <row r="1312">
      <c r="D1312" s="123"/>
    </row>
    <row r="1313">
      <c r="D1313" s="123"/>
    </row>
    <row r="1314">
      <c r="D1314" s="123"/>
    </row>
    <row r="1315">
      <c r="D1315" s="123"/>
    </row>
    <row r="1316">
      <c r="D1316" s="123"/>
    </row>
    <row r="1317">
      <c r="D1317" s="123"/>
    </row>
    <row r="1318">
      <c r="D1318" s="123"/>
    </row>
    <row r="1319">
      <c r="D1319" s="123"/>
    </row>
    <row r="1320">
      <c r="D1320" s="123"/>
    </row>
    <row r="1321">
      <c r="D1321" s="123"/>
    </row>
    <row r="1322">
      <c r="D1322" s="123"/>
    </row>
    <row r="1323">
      <c r="D1323" s="123"/>
    </row>
    <row r="1324">
      <c r="D1324" s="123"/>
    </row>
    <row r="1325">
      <c r="D1325" s="123"/>
    </row>
    <row r="1326">
      <c r="D1326" s="123"/>
    </row>
    <row r="1327">
      <c r="D1327" s="123"/>
    </row>
    <row r="1328">
      <c r="D1328" s="123"/>
    </row>
    <row r="1329">
      <c r="D1329" s="123"/>
    </row>
    <row r="1330">
      <c r="D1330" s="123"/>
    </row>
    <row r="1331">
      <c r="D1331" s="123"/>
    </row>
    <row r="1332">
      <c r="D1332" s="123"/>
    </row>
    <row r="1333">
      <c r="D1333" s="123"/>
    </row>
    <row r="1334">
      <c r="D1334" s="123"/>
    </row>
    <row r="1335">
      <c r="D1335" s="123"/>
    </row>
    <row r="1336">
      <c r="D1336" s="123"/>
    </row>
    <row r="1337">
      <c r="D1337" s="123"/>
    </row>
    <row r="1338">
      <c r="D1338" s="123"/>
    </row>
    <row r="1339">
      <c r="D1339" s="123"/>
    </row>
    <row r="1340">
      <c r="D1340" s="123"/>
    </row>
    <row r="1341">
      <c r="D1341" s="123"/>
    </row>
    <row r="1342">
      <c r="D1342" s="123"/>
    </row>
    <row r="1343">
      <c r="D1343" s="123"/>
    </row>
    <row r="1344">
      <c r="D1344" s="123"/>
    </row>
    <row r="1345">
      <c r="D1345" s="123"/>
    </row>
    <row r="1346">
      <c r="D1346" s="123"/>
    </row>
    <row r="1347">
      <c r="D1347" s="123"/>
    </row>
    <row r="1348">
      <c r="D1348" s="123"/>
    </row>
    <row r="1349">
      <c r="D1349" s="123"/>
    </row>
    <row r="1350">
      <c r="D1350" s="123"/>
    </row>
    <row r="1351">
      <c r="D1351" s="123"/>
    </row>
    <row r="1352">
      <c r="D1352" s="123"/>
    </row>
    <row r="1353">
      <c r="D1353" s="123"/>
    </row>
    <row r="1354">
      <c r="D1354" s="123"/>
    </row>
    <row r="1355">
      <c r="D1355" s="123"/>
    </row>
    <row r="1356">
      <c r="D1356" s="123"/>
    </row>
    <row r="1357">
      <c r="D1357" s="123"/>
    </row>
    <row r="1358">
      <c r="D1358" s="123"/>
    </row>
    <row r="1359">
      <c r="D1359" s="123"/>
    </row>
    <row r="1360">
      <c r="D1360" s="123"/>
    </row>
    <row r="1361">
      <c r="D1361" s="123"/>
    </row>
    <row r="1362">
      <c r="D1362" s="123"/>
    </row>
    <row r="1363">
      <c r="D1363" s="123"/>
    </row>
    <row r="1364">
      <c r="D1364" s="123"/>
    </row>
    <row r="1365">
      <c r="D1365" s="123"/>
    </row>
    <row r="1366">
      <c r="D1366" s="123"/>
    </row>
    <row r="1367">
      <c r="D1367" s="123"/>
    </row>
    <row r="1368">
      <c r="D1368" s="123"/>
    </row>
    <row r="1369">
      <c r="D1369" s="123"/>
    </row>
    <row r="1370">
      <c r="D1370" s="123"/>
    </row>
    <row r="1371">
      <c r="D1371" s="123"/>
    </row>
    <row r="1372">
      <c r="D1372" s="123"/>
    </row>
    <row r="1373">
      <c r="D1373" s="123"/>
    </row>
    <row r="1374">
      <c r="D1374" s="123"/>
    </row>
    <row r="1375">
      <c r="D1375" s="123"/>
    </row>
    <row r="1376">
      <c r="D1376" s="123"/>
    </row>
    <row r="1377">
      <c r="D1377" s="123"/>
    </row>
    <row r="1378">
      <c r="D1378" s="123"/>
    </row>
    <row r="1379">
      <c r="D1379" s="123"/>
    </row>
    <row r="1380">
      <c r="D1380" s="123"/>
    </row>
    <row r="1381">
      <c r="D1381" s="123"/>
    </row>
    <row r="1382">
      <c r="D1382" s="123"/>
    </row>
    <row r="1383">
      <c r="D1383" s="123"/>
    </row>
    <row r="1384">
      <c r="D1384" s="123"/>
    </row>
    <row r="1385">
      <c r="D1385" s="123"/>
    </row>
    <row r="1386">
      <c r="D1386" s="123"/>
    </row>
    <row r="1387">
      <c r="D1387" s="123"/>
    </row>
    <row r="1388">
      <c r="D1388" s="123"/>
    </row>
    <row r="1389">
      <c r="D1389" s="123"/>
    </row>
    <row r="1390">
      <c r="D1390" s="123"/>
    </row>
    <row r="1391">
      <c r="D1391" s="123"/>
    </row>
    <row r="1392">
      <c r="D1392" s="123"/>
    </row>
    <row r="1393">
      <c r="D1393" s="123"/>
    </row>
    <row r="1394">
      <c r="D1394" s="123"/>
    </row>
    <row r="1395">
      <c r="D1395" s="123"/>
    </row>
    <row r="1396">
      <c r="D1396" s="123"/>
    </row>
    <row r="1397">
      <c r="D1397" s="123"/>
    </row>
    <row r="1398">
      <c r="D1398" s="123"/>
    </row>
    <row r="1399">
      <c r="D1399" s="123"/>
    </row>
    <row r="1400">
      <c r="D1400" s="123"/>
    </row>
    <row r="1401">
      <c r="D1401" s="123"/>
    </row>
    <row r="1402">
      <c r="D1402" s="123"/>
    </row>
    <row r="1403">
      <c r="D1403" s="123"/>
    </row>
    <row r="1404">
      <c r="D1404" s="123"/>
    </row>
    <row r="1405">
      <c r="D1405" s="123"/>
    </row>
    <row r="1406">
      <c r="D1406" s="123"/>
    </row>
    <row r="1407">
      <c r="D1407" s="123"/>
    </row>
    <row r="1408">
      <c r="D1408" s="123"/>
    </row>
    <row r="1409">
      <c r="D1409" s="123"/>
    </row>
    <row r="1410">
      <c r="D1410" s="123"/>
    </row>
    <row r="1411">
      <c r="D1411" s="123"/>
    </row>
    <row r="1412">
      <c r="D1412" s="123"/>
    </row>
    <row r="1413">
      <c r="D1413" s="123"/>
    </row>
    <row r="1414">
      <c r="D1414" s="123"/>
    </row>
    <row r="1415">
      <c r="D1415" s="123"/>
    </row>
    <row r="1416">
      <c r="D1416" s="123"/>
    </row>
    <row r="1417">
      <c r="D1417" s="123"/>
    </row>
    <row r="1418">
      <c r="D1418" s="123"/>
    </row>
    <row r="1419">
      <c r="D1419" s="123"/>
    </row>
    <row r="1420">
      <c r="D1420" s="123"/>
    </row>
    <row r="1421">
      <c r="D1421" s="123"/>
    </row>
    <row r="1422">
      <c r="D1422" s="123"/>
    </row>
    <row r="1423">
      <c r="D1423" s="123"/>
    </row>
    <row r="1424">
      <c r="D1424" s="123"/>
    </row>
    <row r="1425">
      <c r="D1425" s="123"/>
    </row>
    <row r="1426">
      <c r="D1426" s="123"/>
    </row>
    <row r="1427">
      <c r="D1427" s="123"/>
    </row>
    <row r="1428">
      <c r="D1428" s="123"/>
    </row>
    <row r="1429">
      <c r="D1429" s="123"/>
    </row>
    <row r="1430">
      <c r="D1430" s="123"/>
    </row>
    <row r="1431">
      <c r="D1431" s="123"/>
    </row>
    <row r="1432">
      <c r="D1432" s="123"/>
    </row>
    <row r="1433">
      <c r="D1433" s="123"/>
    </row>
    <row r="1434">
      <c r="D1434" s="123"/>
    </row>
    <row r="1435">
      <c r="D1435" s="123"/>
    </row>
    <row r="1436">
      <c r="D1436" s="123"/>
    </row>
    <row r="1437">
      <c r="D1437" s="123"/>
    </row>
    <row r="1438">
      <c r="D1438" s="123"/>
    </row>
    <row r="1439">
      <c r="D1439" s="123"/>
    </row>
    <row r="1440">
      <c r="D1440" s="123"/>
    </row>
    <row r="1441">
      <c r="D1441" s="123"/>
    </row>
    <row r="1442">
      <c r="D1442" s="123"/>
    </row>
    <row r="1443">
      <c r="D1443" s="123"/>
    </row>
    <row r="1444">
      <c r="D1444" s="123"/>
    </row>
    <row r="1445">
      <c r="D1445" s="123"/>
    </row>
    <row r="1446">
      <c r="D1446" s="123"/>
    </row>
    <row r="1447">
      <c r="D1447" s="123"/>
    </row>
    <row r="1448">
      <c r="D1448" s="123"/>
    </row>
    <row r="1449">
      <c r="D1449" s="123"/>
    </row>
    <row r="1450">
      <c r="D1450" s="123"/>
    </row>
    <row r="1451">
      <c r="D1451" s="123"/>
    </row>
    <row r="1452">
      <c r="D1452" s="123"/>
    </row>
    <row r="1453">
      <c r="D1453" s="123"/>
    </row>
    <row r="1454">
      <c r="D1454" s="123"/>
    </row>
    <row r="1455">
      <c r="D1455" s="123"/>
    </row>
    <row r="1456">
      <c r="D1456" s="123"/>
    </row>
    <row r="1457">
      <c r="D1457" s="123"/>
    </row>
    <row r="1458">
      <c r="D1458" s="123"/>
    </row>
    <row r="1459">
      <c r="D1459" s="123"/>
    </row>
    <row r="1460">
      <c r="D1460" s="123"/>
    </row>
    <row r="1461">
      <c r="D1461" s="123"/>
    </row>
    <row r="1462">
      <c r="D1462" s="123"/>
    </row>
    <row r="1463">
      <c r="D1463" s="123"/>
    </row>
    <row r="1464">
      <c r="D1464" s="123"/>
    </row>
    <row r="1465">
      <c r="D1465" s="123"/>
    </row>
    <row r="1466">
      <c r="D1466" s="123"/>
    </row>
    <row r="1467">
      <c r="D1467" s="123"/>
    </row>
    <row r="1468">
      <c r="D1468" s="123"/>
    </row>
    <row r="1469">
      <c r="D1469" s="123"/>
    </row>
    <row r="1470">
      <c r="D1470" s="123"/>
    </row>
    <row r="1471">
      <c r="D1471" s="123"/>
    </row>
    <row r="1472">
      <c r="D1472" s="123"/>
    </row>
    <row r="1473">
      <c r="D1473" s="123"/>
    </row>
    <row r="1474">
      <c r="D1474" s="123"/>
    </row>
    <row r="1475">
      <c r="D1475" s="123"/>
    </row>
    <row r="1476">
      <c r="D1476" s="123"/>
    </row>
    <row r="1477">
      <c r="D1477" s="123"/>
    </row>
    <row r="1478">
      <c r="D1478" s="123"/>
    </row>
    <row r="1479">
      <c r="D1479" s="123"/>
    </row>
    <row r="1480">
      <c r="D1480" s="123"/>
    </row>
    <row r="1481">
      <c r="D1481" s="123"/>
    </row>
    <row r="1482">
      <c r="D1482" s="123"/>
    </row>
    <row r="1483">
      <c r="D1483" s="123"/>
    </row>
    <row r="1484">
      <c r="D1484" s="123"/>
    </row>
    <row r="1485">
      <c r="D1485" s="123"/>
    </row>
    <row r="1486">
      <c r="D1486" s="123"/>
    </row>
    <row r="1487">
      <c r="D1487" s="123"/>
    </row>
    <row r="1488">
      <c r="D1488" s="123"/>
    </row>
    <row r="1489">
      <c r="D1489" s="123"/>
    </row>
    <row r="1490">
      <c r="D1490" s="123"/>
    </row>
    <row r="1491">
      <c r="D1491" s="123"/>
    </row>
    <row r="1492">
      <c r="D1492" s="123"/>
    </row>
    <row r="1493">
      <c r="D1493" s="123"/>
    </row>
    <row r="1494">
      <c r="D1494" s="123"/>
    </row>
    <row r="1495">
      <c r="D1495" s="123"/>
    </row>
    <row r="1496">
      <c r="D1496" s="123"/>
    </row>
    <row r="1497">
      <c r="D1497" s="123"/>
    </row>
    <row r="1498">
      <c r="D1498" s="123"/>
    </row>
    <row r="1499">
      <c r="D1499" s="123"/>
    </row>
    <row r="1500">
      <c r="D1500" s="123"/>
    </row>
    <row r="1501">
      <c r="D1501" s="123"/>
    </row>
    <row r="1502">
      <c r="D1502" s="123"/>
    </row>
    <row r="1503">
      <c r="D1503" s="123"/>
    </row>
    <row r="1504">
      <c r="D1504" s="123"/>
    </row>
    <row r="1505">
      <c r="D1505" s="123"/>
    </row>
    <row r="1506">
      <c r="D1506" s="123"/>
    </row>
    <row r="1507">
      <c r="D1507" s="123"/>
    </row>
    <row r="1508">
      <c r="D1508" s="123"/>
    </row>
    <row r="1509">
      <c r="D1509" s="123"/>
    </row>
    <row r="1510">
      <c r="D1510" s="123"/>
    </row>
    <row r="1511">
      <c r="D1511" s="123"/>
    </row>
    <row r="1512">
      <c r="D1512" s="123"/>
    </row>
    <row r="1513">
      <c r="D1513" s="123"/>
    </row>
    <row r="1514">
      <c r="D1514" s="123"/>
    </row>
    <row r="1515">
      <c r="D1515" s="123"/>
    </row>
    <row r="1516">
      <c r="D1516" s="123"/>
    </row>
    <row r="1517">
      <c r="D1517" s="123"/>
    </row>
    <row r="1518">
      <c r="D1518" s="123"/>
    </row>
    <row r="1519">
      <c r="D1519" s="123"/>
    </row>
    <row r="1520">
      <c r="D1520" s="123"/>
    </row>
    <row r="1521">
      <c r="D1521" s="123"/>
    </row>
    <row r="1522">
      <c r="D1522" s="123"/>
    </row>
    <row r="1523">
      <c r="D1523" s="123"/>
    </row>
    <row r="1524">
      <c r="D1524" s="123"/>
    </row>
    <row r="1525">
      <c r="D1525" s="123"/>
    </row>
    <row r="1526">
      <c r="D1526" s="123"/>
    </row>
    <row r="1527">
      <c r="D1527" s="123"/>
    </row>
    <row r="1528">
      <c r="D1528" s="123"/>
    </row>
    <row r="1529">
      <c r="D1529" s="123"/>
    </row>
    <row r="1530">
      <c r="D1530" s="123"/>
    </row>
    <row r="1531">
      <c r="D1531" s="123"/>
    </row>
    <row r="1532">
      <c r="D1532" s="123"/>
    </row>
    <row r="1533">
      <c r="D1533" s="123"/>
    </row>
    <row r="1534">
      <c r="D1534" s="123"/>
    </row>
    <row r="1535">
      <c r="D1535" s="123"/>
    </row>
    <row r="1536">
      <c r="D1536" s="123"/>
    </row>
    <row r="1537">
      <c r="D1537" s="123"/>
    </row>
    <row r="1538">
      <c r="D1538" s="123"/>
    </row>
    <row r="1539">
      <c r="D1539" s="123"/>
    </row>
    <row r="1540">
      <c r="D1540" s="123"/>
    </row>
    <row r="1541">
      <c r="D1541" s="123"/>
    </row>
    <row r="1542">
      <c r="D1542" s="123"/>
    </row>
    <row r="1543">
      <c r="D1543" s="123"/>
    </row>
    <row r="1544">
      <c r="D1544" s="123"/>
    </row>
    <row r="1545">
      <c r="D1545" s="123"/>
    </row>
    <row r="1546">
      <c r="D1546" s="123"/>
    </row>
    <row r="1547">
      <c r="D1547" s="123"/>
    </row>
    <row r="1548">
      <c r="D1548" s="123"/>
    </row>
    <row r="1549">
      <c r="D1549" s="123"/>
    </row>
    <row r="1550">
      <c r="D1550" s="123"/>
    </row>
    <row r="1551">
      <c r="D1551" s="123"/>
    </row>
    <row r="1552">
      <c r="D1552" s="123"/>
    </row>
    <row r="1553">
      <c r="D1553" s="123"/>
    </row>
    <row r="1554">
      <c r="D1554" s="123"/>
    </row>
    <row r="1555">
      <c r="D1555" s="123"/>
    </row>
    <row r="1556">
      <c r="D1556" s="123"/>
    </row>
    <row r="1557">
      <c r="D1557" s="123"/>
    </row>
    <row r="1558">
      <c r="D1558" s="123"/>
    </row>
    <row r="1559">
      <c r="D1559" s="123"/>
    </row>
    <row r="1560">
      <c r="D1560" s="123"/>
    </row>
    <row r="1561">
      <c r="D1561" s="123"/>
    </row>
    <row r="1562">
      <c r="D1562" s="123"/>
    </row>
    <row r="1563">
      <c r="D1563" s="123"/>
    </row>
    <row r="1564">
      <c r="D1564" s="123"/>
    </row>
    <row r="1565">
      <c r="D1565" s="123"/>
    </row>
    <row r="1566">
      <c r="D1566" s="123"/>
    </row>
    <row r="1567">
      <c r="D1567" s="123"/>
    </row>
    <row r="1568">
      <c r="D1568" s="123"/>
    </row>
    <row r="1569">
      <c r="D1569" s="123"/>
    </row>
    <row r="1570">
      <c r="D1570" s="123"/>
    </row>
    <row r="1571">
      <c r="D1571" s="123"/>
    </row>
    <row r="1572">
      <c r="D1572" s="123"/>
    </row>
    <row r="1573">
      <c r="D1573" s="123"/>
    </row>
    <row r="1574">
      <c r="D1574" s="123"/>
    </row>
    <row r="1575">
      <c r="D1575" s="123"/>
    </row>
    <row r="1576">
      <c r="D1576" s="123"/>
    </row>
    <row r="1577">
      <c r="D1577" s="123"/>
    </row>
    <row r="1578">
      <c r="D1578" s="123"/>
    </row>
    <row r="1579">
      <c r="D1579" s="123"/>
    </row>
    <row r="1580">
      <c r="D1580" s="123"/>
    </row>
    <row r="1581">
      <c r="D1581" s="123"/>
    </row>
    <row r="1582">
      <c r="D1582" s="123"/>
    </row>
    <row r="1583">
      <c r="D1583" s="123"/>
    </row>
    <row r="1584">
      <c r="D1584" s="123"/>
    </row>
    <row r="1585">
      <c r="D1585" s="123"/>
    </row>
    <row r="1586">
      <c r="D1586" s="123"/>
    </row>
    <row r="1587">
      <c r="D1587" s="123"/>
    </row>
    <row r="1588">
      <c r="D1588" s="123"/>
    </row>
    <row r="1589">
      <c r="D1589" s="123"/>
    </row>
    <row r="1590">
      <c r="D1590" s="123"/>
    </row>
    <row r="1591">
      <c r="D1591" s="123"/>
    </row>
    <row r="1592">
      <c r="D1592" s="123"/>
    </row>
    <row r="1593">
      <c r="D1593" s="123"/>
    </row>
    <row r="1594">
      <c r="D1594" s="123"/>
    </row>
    <row r="1595">
      <c r="D1595" s="123"/>
    </row>
    <row r="1596">
      <c r="D1596" s="123"/>
    </row>
    <row r="1597">
      <c r="D1597" s="123"/>
    </row>
    <row r="1598">
      <c r="D1598" s="123"/>
    </row>
    <row r="1599">
      <c r="D1599" s="123"/>
    </row>
    <row r="1600">
      <c r="D1600" s="123"/>
    </row>
    <row r="1601">
      <c r="D1601" s="123"/>
    </row>
    <row r="1602">
      <c r="D1602" s="123"/>
    </row>
    <row r="1603">
      <c r="D1603" s="123"/>
    </row>
    <row r="1604">
      <c r="D1604" s="123"/>
    </row>
    <row r="1605">
      <c r="D1605" s="123"/>
    </row>
    <row r="1606">
      <c r="D1606" s="123"/>
    </row>
    <row r="1607">
      <c r="D1607" s="123"/>
    </row>
    <row r="1608">
      <c r="D1608" s="123"/>
    </row>
    <row r="1609">
      <c r="D1609" s="123"/>
    </row>
    <row r="1610">
      <c r="D1610" s="123"/>
    </row>
    <row r="1611">
      <c r="D1611" s="123"/>
    </row>
    <row r="1612">
      <c r="D1612" s="123"/>
    </row>
    <row r="1613">
      <c r="D1613" s="123"/>
    </row>
    <row r="1614">
      <c r="D1614" s="123"/>
    </row>
    <row r="1615">
      <c r="D1615" s="123"/>
    </row>
    <row r="1616">
      <c r="D1616" s="123"/>
    </row>
    <row r="1617">
      <c r="D1617" s="123"/>
    </row>
    <row r="1618">
      <c r="D1618" s="123"/>
    </row>
    <row r="1619">
      <c r="D1619" s="123"/>
    </row>
    <row r="1620">
      <c r="D1620" s="123"/>
    </row>
    <row r="1621">
      <c r="D1621" s="123"/>
    </row>
    <row r="1622">
      <c r="D1622" s="123"/>
    </row>
    <row r="1623">
      <c r="D1623" s="123"/>
    </row>
    <row r="1624">
      <c r="D1624" s="123"/>
    </row>
    <row r="1625">
      <c r="D1625" s="123"/>
    </row>
    <row r="1626">
      <c r="D1626" s="123"/>
    </row>
    <row r="1627">
      <c r="D1627" s="123"/>
    </row>
    <row r="1628">
      <c r="D1628" s="123"/>
    </row>
    <row r="1629">
      <c r="D1629" s="123"/>
    </row>
    <row r="1630">
      <c r="D1630" s="123"/>
    </row>
    <row r="1631">
      <c r="D1631" s="123"/>
    </row>
    <row r="1632">
      <c r="D1632" s="123"/>
    </row>
    <row r="1633">
      <c r="D1633" s="123"/>
    </row>
    <row r="1634">
      <c r="D1634" s="123"/>
    </row>
    <row r="1635">
      <c r="D1635" s="123"/>
    </row>
    <row r="1636">
      <c r="D1636" s="123"/>
    </row>
    <row r="1637">
      <c r="D1637" s="123"/>
    </row>
    <row r="1638">
      <c r="D1638" s="123"/>
    </row>
    <row r="1639">
      <c r="D1639" s="123"/>
    </row>
    <row r="1640">
      <c r="D1640" s="123"/>
    </row>
    <row r="1641">
      <c r="D1641" s="123"/>
    </row>
    <row r="1642">
      <c r="D1642" s="123"/>
    </row>
    <row r="1643">
      <c r="D1643" s="123"/>
    </row>
    <row r="1644">
      <c r="D1644" s="123"/>
    </row>
    <row r="1645">
      <c r="D1645" s="123"/>
    </row>
    <row r="1646">
      <c r="D1646" s="123"/>
    </row>
    <row r="1647">
      <c r="D1647" s="123"/>
    </row>
    <row r="1648">
      <c r="D1648" s="123"/>
    </row>
    <row r="1649">
      <c r="D1649" s="123"/>
    </row>
    <row r="1650">
      <c r="D1650" s="123"/>
    </row>
    <row r="1651">
      <c r="D1651" s="123"/>
    </row>
    <row r="1652">
      <c r="D1652" s="123"/>
    </row>
    <row r="1653">
      <c r="D1653" s="123"/>
    </row>
    <row r="1654">
      <c r="D1654" s="123"/>
    </row>
    <row r="1655">
      <c r="D1655" s="123"/>
    </row>
    <row r="1656">
      <c r="D1656" s="123"/>
    </row>
    <row r="1657">
      <c r="D1657" s="123"/>
    </row>
    <row r="1658">
      <c r="D1658" s="123"/>
    </row>
    <row r="1659">
      <c r="D1659" s="123"/>
    </row>
    <row r="1660">
      <c r="D1660" s="123"/>
    </row>
    <row r="1661">
      <c r="D1661" s="123"/>
    </row>
    <row r="1662">
      <c r="D1662" s="123"/>
    </row>
    <row r="1663">
      <c r="D1663" s="123"/>
    </row>
    <row r="1664">
      <c r="D1664" s="123"/>
    </row>
    <row r="1665">
      <c r="D1665" s="123"/>
    </row>
    <row r="1666">
      <c r="D1666" s="123"/>
    </row>
    <row r="1667">
      <c r="D1667" s="123"/>
    </row>
    <row r="1668">
      <c r="D1668" s="123"/>
    </row>
    <row r="1669">
      <c r="D1669" s="123"/>
    </row>
    <row r="1670">
      <c r="D1670" s="123"/>
    </row>
    <row r="1671">
      <c r="D1671" s="123"/>
    </row>
    <row r="1672">
      <c r="D1672" s="123"/>
    </row>
    <row r="1673">
      <c r="D1673" s="123"/>
    </row>
    <row r="1674">
      <c r="D1674" s="123"/>
    </row>
    <row r="1675">
      <c r="D1675" s="123"/>
    </row>
    <row r="1676">
      <c r="D1676" s="123"/>
    </row>
    <row r="1677">
      <c r="D1677" s="123"/>
    </row>
    <row r="1678">
      <c r="D1678" s="123"/>
    </row>
    <row r="1679">
      <c r="D1679" s="123"/>
    </row>
    <row r="1680">
      <c r="D1680" s="123"/>
    </row>
    <row r="1681">
      <c r="D1681" s="123"/>
    </row>
    <row r="1682">
      <c r="D1682" s="123"/>
    </row>
    <row r="1683">
      <c r="D1683" s="123"/>
    </row>
    <row r="1684">
      <c r="D1684" s="123"/>
    </row>
    <row r="1685">
      <c r="D1685" s="123"/>
    </row>
    <row r="1686">
      <c r="D1686" s="123"/>
    </row>
    <row r="1687">
      <c r="D1687" s="123"/>
    </row>
    <row r="1688">
      <c r="D1688" s="123"/>
    </row>
    <row r="1689">
      <c r="D1689" s="123"/>
    </row>
    <row r="1690">
      <c r="D1690" s="123"/>
    </row>
    <row r="1691">
      <c r="D1691" s="123"/>
    </row>
    <row r="1692">
      <c r="D1692" s="123"/>
    </row>
    <row r="1693">
      <c r="D1693" s="123"/>
    </row>
    <row r="1694">
      <c r="D1694" s="123"/>
    </row>
    <row r="1695">
      <c r="D1695" s="123"/>
    </row>
    <row r="1696">
      <c r="D1696" s="123"/>
    </row>
    <row r="1697">
      <c r="D1697" s="123"/>
    </row>
    <row r="1698">
      <c r="D1698" s="123"/>
    </row>
    <row r="1699">
      <c r="D1699" s="123"/>
    </row>
    <row r="1700">
      <c r="D1700" s="123"/>
    </row>
    <row r="1701">
      <c r="D1701" s="123"/>
    </row>
    <row r="1702">
      <c r="D1702" s="123"/>
    </row>
    <row r="1703">
      <c r="D1703" s="123"/>
    </row>
    <row r="1704">
      <c r="D1704" s="123"/>
    </row>
    <row r="1705">
      <c r="D1705" s="123"/>
    </row>
    <row r="1706">
      <c r="D1706" s="123"/>
    </row>
    <row r="1707">
      <c r="D1707" s="123"/>
    </row>
    <row r="1708">
      <c r="D1708" s="123"/>
    </row>
    <row r="1709">
      <c r="D1709" s="123"/>
    </row>
    <row r="1710">
      <c r="D1710" s="123"/>
    </row>
    <row r="1711">
      <c r="D1711" s="123"/>
    </row>
    <row r="1712">
      <c r="D1712" s="123"/>
    </row>
    <row r="1713">
      <c r="D1713" s="123"/>
    </row>
    <row r="1714">
      <c r="D1714" s="123"/>
    </row>
    <row r="1715">
      <c r="D1715" s="123"/>
    </row>
    <row r="1716">
      <c r="D1716" s="123"/>
    </row>
    <row r="1717">
      <c r="D1717" s="123"/>
    </row>
    <row r="1718">
      <c r="D1718" s="123"/>
    </row>
    <row r="1719">
      <c r="D1719" s="123"/>
    </row>
    <row r="1720">
      <c r="D1720" s="123"/>
    </row>
    <row r="1721">
      <c r="D1721" s="123"/>
    </row>
    <row r="1722">
      <c r="D1722" s="123"/>
    </row>
    <row r="1723">
      <c r="D1723" s="123"/>
    </row>
    <row r="1724">
      <c r="D1724" s="123"/>
    </row>
    <row r="1725">
      <c r="D1725" s="123"/>
    </row>
    <row r="1726">
      <c r="D1726" s="123"/>
    </row>
    <row r="1727">
      <c r="D1727" s="123"/>
    </row>
    <row r="1728">
      <c r="D1728" s="123"/>
    </row>
    <row r="1729">
      <c r="D1729" s="123"/>
    </row>
    <row r="1730">
      <c r="D1730" s="123"/>
    </row>
    <row r="1731">
      <c r="D1731" s="123"/>
    </row>
    <row r="1732">
      <c r="D1732" s="123"/>
    </row>
    <row r="1733">
      <c r="D1733" s="123"/>
    </row>
    <row r="1734">
      <c r="D1734" s="123"/>
    </row>
    <row r="1735">
      <c r="D1735" s="123"/>
    </row>
    <row r="1736">
      <c r="D1736" s="123"/>
    </row>
    <row r="1737">
      <c r="D1737" s="123"/>
    </row>
    <row r="1738">
      <c r="D1738" s="123"/>
    </row>
    <row r="1739">
      <c r="D1739" s="123"/>
    </row>
    <row r="1740">
      <c r="D1740" s="123"/>
    </row>
    <row r="1741">
      <c r="D1741" s="123"/>
    </row>
    <row r="1742">
      <c r="D1742" s="123"/>
    </row>
    <row r="1743">
      <c r="D1743" s="123"/>
    </row>
    <row r="1744">
      <c r="D1744" s="123"/>
    </row>
    <row r="1745">
      <c r="D1745" s="123"/>
    </row>
    <row r="1746">
      <c r="D1746" s="123"/>
    </row>
    <row r="1747">
      <c r="D1747" s="123"/>
    </row>
    <row r="1748">
      <c r="D1748" s="123"/>
    </row>
    <row r="1749">
      <c r="D1749" s="123"/>
    </row>
    <row r="1750">
      <c r="D1750" s="123"/>
    </row>
    <row r="1751">
      <c r="D1751" s="123"/>
    </row>
    <row r="1752">
      <c r="D1752" s="123"/>
    </row>
    <row r="1753">
      <c r="D1753" s="123"/>
    </row>
    <row r="1754">
      <c r="D1754" s="123"/>
    </row>
    <row r="1755">
      <c r="D1755" s="123"/>
    </row>
    <row r="1756">
      <c r="D1756" s="123"/>
    </row>
    <row r="1757">
      <c r="D1757" s="123"/>
    </row>
    <row r="1758">
      <c r="D1758" s="123"/>
    </row>
    <row r="1759">
      <c r="D1759" s="123"/>
    </row>
    <row r="1760">
      <c r="D1760" s="123"/>
    </row>
    <row r="1761">
      <c r="D1761" s="123"/>
    </row>
    <row r="1762">
      <c r="D1762" s="123"/>
    </row>
    <row r="1763">
      <c r="D1763" s="123"/>
    </row>
    <row r="1764">
      <c r="D1764" s="123"/>
    </row>
    <row r="1765">
      <c r="D1765" s="123"/>
    </row>
    <row r="1766">
      <c r="D1766" s="123"/>
    </row>
    <row r="1767">
      <c r="D1767" s="123"/>
    </row>
    <row r="1768">
      <c r="D1768" s="123"/>
    </row>
    <row r="1769">
      <c r="D1769" s="123"/>
    </row>
    <row r="1770">
      <c r="D1770" s="123"/>
    </row>
    <row r="1771">
      <c r="D1771" s="123"/>
    </row>
    <row r="1772">
      <c r="D1772" s="123"/>
    </row>
    <row r="1773">
      <c r="D1773" s="123"/>
    </row>
    <row r="1774">
      <c r="D1774" s="123"/>
    </row>
    <row r="1775">
      <c r="D1775" s="123"/>
    </row>
    <row r="1776">
      <c r="D1776" s="123"/>
    </row>
    <row r="1777">
      <c r="D1777" s="123"/>
    </row>
    <row r="1778">
      <c r="D1778" s="123"/>
    </row>
    <row r="1779">
      <c r="D1779" s="123"/>
    </row>
    <row r="1780">
      <c r="D1780" s="123"/>
    </row>
    <row r="1781">
      <c r="D1781" s="123"/>
    </row>
    <row r="1782">
      <c r="D1782" s="123"/>
    </row>
    <row r="1783">
      <c r="D1783" s="123"/>
    </row>
    <row r="1784">
      <c r="D1784" s="123"/>
    </row>
    <row r="1785">
      <c r="D1785" s="123"/>
    </row>
    <row r="1786">
      <c r="D1786" s="123"/>
    </row>
    <row r="1787">
      <c r="D1787" s="123"/>
    </row>
    <row r="1788">
      <c r="D1788" s="123"/>
    </row>
    <row r="1789">
      <c r="D1789" s="123"/>
    </row>
    <row r="1790">
      <c r="D1790" s="123"/>
    </row>
    <row r="1791">
      <c r="D1791" s="123"/>
    </row>
    <row r="1792">
      <c r="D1792" s="123"/>
    </row>
    <row r="1793">
      <c r="D1793" s="123"/>
    </row>
    <row r="1794">
      <c r="D1794" s="123"/>
    </row>
    <row r="1795">
      <c r="D1795" s="123"/>
    </row>
    <row r="1796">
      <c r="D1796" s="123"/>
    </row>
    <row r="1797">
      <c r="D1797" s="123"/>
    </row>
    <row r="1798">
      <c r="D1798" s="123"/>
    </row>
    <row r="1799">
      <c r="D1799" s="123"/>
    </row>
    <row r="1800">
      <c r="D1800" s="123"/>
    </row>
    <row r="1801">
      <c r="D1801" s="123"/>
    </row>
    <row r="1802">
      <c r="D1802" s="123"/>
    </row>
    <row r="1803">
      <c r="D1803" s="123"/>
    </row>
    <row r="1804">
      <c r="D1804" s="123"/>
    </row>
    <row r="1805">
      <c r="D1805" s="123"/>
    </row>
    <row r="1806">
      <c r="D1806" s="123"/>
    </row>
    <row r="1807">
      <c r="D1807" s="123"/>
    </row>
    <row r="1808">
      <c r="D1808" s="123"/>
    </row>
    <row r="1809">
      <c r="D1809" s="123"/>
    </row>
    <row r="1810">
      <c r="D1810" s="123"/>
    </row>
    <row r="1811">
      <c r="D1811" s="123"/>
    </row>
    <row r="1812">
      <c r="D1812" s="123"/>
    </row>
    <row r="1813">
      <c r="D1813" s="123"/>
    </row>
    <row r="1814">
      <c r="D1814" s="123"/>
    </row>
    <row r="1815">
      <c r="D1815" s="123"/>
    </row>
    <row r="1816">
      <c r="D1816" s="123"/>
    </row>
    <row r="1817">
      <c r="D1817" s="123"/>
    </row>
    <row r="1818">
      <c r="D1818" s="123"/>
    </row>
    <row r="1819">
      <c r="D1819" s="123"/>
    </row>
    <row r="1820">
      <c r="D1820" s="123"/>
    </row>
    <row r="1821">
      <c r="D1821" s="123"/>
    </row>
    <row r="1822">
      <c r="D1822" s="123"/>
    </row>
    <row r="1823">
      <c r="D1823" s="123"/>
    </row>
    <row r="1824">
      <c r="D1824" s="123"/>
    </row>
    <row r="1825">
      <c r="D1825" s="123"/>
    </row>
    <row r="1826">
      <c r="D1826" s="123"/>
    </row>
    <row r="1827">
      <c r="D1827" s="123"/>
    </row>
    <row r="1828">
      <c r="D1828" s="123"/>
    </row>
    <row r="1829">
      <c r="D1829" s="123"/>
    </row>
    <row r="1830">
      <c r="D1830" s="123"/>
    </row>
    <row r="1831">
      <c r="D1831" s="123"/>
    </row>
    <row r="1832">
      <c r="D1832" s="123"/>
    </row>
    <row r="1833">
      <c r="D1833" s="123"/>
    </row>
    <row r="1834">
      <c r="D1834" s="123"/>
    </row>
    <row r="1835">
      <c r="D1835" s="123"/>
    </row>
    <row r="1836">
      <c r="D1836" s="123"/>
    </row>
    <row r="1837">
      <c r="D1837" s="123"/>
    </row>
    <row r="1838">
      <c r="D1838" s="123"/>
    </row>
    <row r="1839">
      <c r="D1839" s="123"/>
    </row>
    <row r="1840">
      <c r="D1840" s="123"/>
    </row>
    <row r="1841">
      <c r="D1841" s="123"/>
    </row>
    <row r="1842">
      <c r="D1842" s="123"/>
    </row>
    <row r="1843">
      <c r="D1843" s="123"/>
    </row>
    <row r="1844">
      <c r="D1844" s="123"/>
    </row>
    <row r="1845">
      <c r="D1845" s="123"/>
    </row>
    <row r="1846">
      <c r="D1846" s="123"/>
    </row>
    <row r="1847">
      <c r="D1847" s="123"/>
    </row>
    <row r="1848">
      <c r="D1848" s="123"/>
    </row>
    <row r="1849">
      <c r="D1849" s="123"/>
    </row>
    <row r="1850">
      <c r="D1850" s="123"/>
    </row>
    <row r="1851">
      <c r="D1851" s="123"/>
    </row>
    <row r="1852">
      <c r="D1852" s="123"/>
    </row>
    <row r="1853">
      <c r="D1853" s="123"/>
    </row>
    <row r="1854">
      <c r="D1854" s="123"/>
    </row>
    <row r="1855">
      <c r="D1855" s="123"/>
    </row>
    <row r="1856">
      <c r="D1856" s="123"/>
    </row>
    <row r="1857">
      <c r="D1857" s="123"/>
    </row>
    <row r="1858">
      <c r="D1858" s="123"/>
    </row>
    <row r="1859">
      <c r="D1859" s="123"/>
    </row>
    <row r="1860">
      <c r="D1860" s="123"/>
    </row>
    <row r="1861">
      <c r="D1861" s="123"/>
    </row>
    <row r="1862">
      <c r="D1862" s="123"/>
    </row>
    <row r="1863">
      <c r="D1863" s="123"/>
    </row>
    <row r="1864">
      <c r="D1864" s="123"/>
    </row>
    <row r="1865">
      <c r="D1865" s="123"/>
    </row>
    <row r="1866">
      <c r="D1866" s="123"/>
    </row>
    <row r="1867">
      <c r="D1867" s="123"/>
    </row>
    <row r="1868">
      <c r="D1868" s="123"/>
    </row>
    <row r="1869">
      <c r="D1869" s="123"/>
    </row>
    <row r="1870">
      <c r="D1870" s="123"/>
    </row>
    <row r="1871">
      <c r="D1871" s="123"/>
    </row>
    <row r="1872">
      <c r="D1872" s="123"/>
    </row>
    <row r="1873">
      <c r="D1873" s="123"/>
    </row>
    <row r="1874">
      <c r="D1874" s="123"/>
    </row>
    <row r="1875">
      <c r="D1875" s="123"/>
    </row>
    <row r="1876">
      <c r="D1876" s="123"/>
    </row>
    <row r="1877">
      <c r="D1877" s="123"/>
    </row>
    <row r="1878">
      <c r="D1878" s="123"/>
    </row>
    <row r="1879">
      <c r="D1879" s="123"/>
    </row>
    <row r="1880">
      <c r="D1880" s="123"/>
    </row>
    <row r="1881">
      <c r="D1881" s="123"/>
    </row>
    <row r="1882">
      <c r="D1882" s="123"/>
    </row>
    <row r="1883">
      <c r="D1883" s="123"/>
    </row>
    <row r="1884">
      <c r="D1884" s="123"/>
    </row>
    <row r="1885">
      <c r="D1885" s="123"/>
    </row>
    <row r="1886">
      <c r="D1886" s="123"/>
    </row>
    <row r="1887">
      <c r="D1887" s="123"/>
    </row>
    <row r="1888">
      <c r="D1888" s="123"/>
    </row>
    <row r="1889">
      <c r="D1889" s="123"/>
    </row>
    <row r="1890">
      <c r="D1890" s="123"/>
    </row>
    <row r="1891">
      <c r="D1891" s="123"/>
    </row>
    <row r="1892">
      <c r="D1892" s="123"/>
    </row>
    <row r="1893">
      <c r="D1893" s="123"/>
    </row>
    <row r="1894">
      <c r="D1894" s="123"/>
    </row>
    <row r="1895">
      <c r="D1895" s="123"/>
    </row>
    <row r="1896">
      <c r="D1896" s="123"/>
    </row>
    <row r="1897">
      <c r="D1897" s="123"/>
    </row>
    <row r="1898">
      <c r="D1898" s="123"/>
    </row>
    <row r="1899">
      <c r="D1899" s="123"/>
    </row>
    <row r="1900">
      <c r="D1900" s="123"/>
    </row>
    <row r="1901">
      <c r="D1901" s="123"/>
    </row>
    <row r="1902">
      <c r="D1902" s="123"/>
    </row>
    <row r="1903">
      <c r="D1903" s="123"/>
    </row>
    <row r="1904">
      <c r="D1904" s="123"/>
    </row>
    <row r="1905">
      <c r="D1905" s="123"/>
    </row>
    <row r="1906">
      <c r="D1906" s="123"/>
    </row>
    <row r="1907">
      <c r="D1907" s="123"/>
    </row>
    <row r="1908">
      <c r="D1908" s="123"/>
    </row>
    <row r="1909">
      <c r="D1909" s="123"/>
    </row>
    <row r="1910">
      <c r="D1910" s="123"/>
    </row>
    <row r="1911">
      <c r="D1911" s="123"/>
    </row>
    <row r="1912">
      <c r="D1912" s="123"/>
    </row>
    <row r="1913">
      <c r="D1913" s="123"/>
    </row>
    <row r="1914">
      <c r="D1914" s="123"/>
    </row>
    <row r="1915">
      <c r="D1915" s="123"/>
    </row>
    <row r="1916">
      <c r="D1916" s="123"/>
    </row>
    <row r="1917">
      <c r="D1917" s="123"/>
    </row>
    <row r="1918">
      <c r="D1918" s="123"/>
    </row>
    <row r="1919">
      <c r="D1919" s="123"/>
    </row>
    <row r="1920">
      <c r="D1920" s="123"/>
    </row>
    <row r="1921">
      <c r="D1921" s="123"/>
    </row>
    <row r="1922">
      <c r="D1922" s="123"/>
    </row>
    <row r="1923">
      <c r="D1923" s="123"/>
    </row>
    <row r="1924">
      <c r="D1924" s="123"/>
    </row>
    <row r="1925">
      <c r="D1925" s="123"/>
    </row>
    <row r="1926">
      <c r="D1926" s="123"/>
    </row>
    <row r="1927">
      <c r="D1927" s="123"/>
    </row>
    <row r="1928">
      <c r="D1928" s="123"/>
    </row>
    <row r="1929">
      <c r="D1929" s="123"/>
    </row>
    <row r="1930">
      <c r="D1930" s="123"/>
    </row>
    <row r="1931">
      <c r="D1931" s="123"/>
    </row>
    <row r="1932">
      <c r="D1932" s="123"/>
    </row>
    <row r="1933">
      <c r="D1933" s="123"/>
    </row>
    <row r="1934">
      <c r="D1934" s="123"/>
    </row>
    <row r="1935">
      <c r="D1935" s="123"/>
    </row>
    <row r="1936">
      <c r="D1936" s="123"/>
    </row>
    <row r="1937">
      <c r="D1937" s="123"/>
    </row>
    <row r="1938">
      <c r="D1938" s="123"/>
    </row>
    <row r="1939">
      <c r="D1939" s="123"/>
    </row>
    <row r="1940">
      <c r="D1940" s="123"/>
    </row>
    <row r="1941">
      <c r="D1941" s="123"/>
    </row>
    <row r="1942">
      <c r="D1942" s="123"/>
    </row>
    <row r="1943">
      <c r="D1943" s="123"/>
    </row>
    <row r="1944">
      <c r="D1944" s="123"/>
    </row>
    <row r="1945">
      <c r="D1945" s="123"/>
    </row>
    <row r="1946">
      <c r="D1946" s="123"/>
    </row>
    <row r="1947">
      <c r="D1947" s="123"/>
    </row>
    <row r="1948">
      <c r="D1948" s="123"/>
    </row>
    <row r="1949">
      <c r="D1949" s="123"/>
    </row>
    <row r="1950">
      <c r="D1950" s="123"/>
    </row>
    <row r="1951">
      <c r="D1951" s="123"/>
    </row>
    <row r="1952">
      <c r="D1952" s="123"/>
    </row>
    <row r="1953">
      <c r="D1953" s="123"/>
    </row>
    <row r="1954">
      <c r="D1954" s="123"/>
    </row>
    <row r="1955">
      <c r="D1955" s="123"/>
    </row>
    <row r="1956">
      <c r="D1956" s="123"/>
    </row>
    <row r="1957">
      <c r="D1957" s="123"/>
    </row>
    <row r="1958">
      <c r="D1958" s="123"/>
    </row>
    <row r="1959">
      <c r="D1959" s="123"/>
    </row>
    <row r="1960">
      <c r="D1960" s="123"/>
    </row>
    <row r="1961">
      <c r="D1961" s="123"/>
    </row>
    <row r="1962">
      <c r="D1962" s="123"/>
    </row>
    <row r="1963">
      <c r="D1963" s="123"/>
    </row>
    <row r="1964">
      <c r="D1964" s="123"/>
    </row>
    <row r="1965">
      <c r="D1965" s="123"/>
    </row>
    <row r="1966">
      <c r="D1966" s="123"/>
    </row>
    <row r="1967">
      <c r="D1967" s="123"/>
    </row>
    <row r="1968">
      <c r="D1968" s="123"/>
    </row>
    <row r="1969">
      <c r="D1969" s="123"/>
    </row>
    <row r="1970">
      <c r="D1970" s="123"/>
    </row>
    <row r="1971">
      <c r="D1971" s="123"/>
    </row>
    <row r="1972">
      <c r="D1972" s="123"/>
    </row>
    <row r="1973">
      <c r="D1973" s="123"/>
    </row>
    <row r="1974">
      <c r="D1974" s="123"/>
    </row>
    <row r="1975">
      <c r="D1975" s="123"/>
    </row>
    <row r="1976">
      <c r="D1976" s="123"/>
    </row>
    <row r="1977">
      <c r="D1977" s="123"/>
    </row>
    <row r="1978">
      <c r="D1978" s="123"/>
    </row>
    <row r="1979">
      <c r="D1979" s="123"/>
    </row>
    <row r="1980">
      <c r="D1980" s="123"/>
    </row>
    <row r="1981">
      <c r="D1981" s="123"/>
    </row>
    <row r="1982">
      <c r="D1982" s="123"/>
    </row>
    <row r="1983">
      <c r="D1983" s="123"/>
    </row>
    <row r="1984">
      <c r="D1984" s="123"/>
    </row>
    <row r="1985">
      <c r="D1985" s="123"/>
    </row>
    <row r="1986">
      <c r="D1986" s="123"/>
    </row>
    <row r="1987">
      <c r="D1987" s="123"/>
    </row>
    <row r="1988">
      <c r="D1988" s="123"/>
    </row>
    <row r="1989">
      <c r="D1989" s="123"/>
    </row>
    <row r="1990">
      <c r="D1990" s="123"/>
    </row>
    <row r="1991">
      <c r="D1991" s="123"/>
    </row>
    <row r="1992">
      <c r="D1992" s="123"/>
    </row>
    <row r="1993">
      <c r="D1993" s="123"/>
    </row>
    <row r="1994">
      <c r="D1994" s="123"/>
    </row>
    <row r="1995">
      <c r="D1995" s="123"/>
    </row>
    <row r="1996">
      <c r="D1996" s="123"/>
    </row>
    <row r="1997">
      <c r="D1997" s="123"/>
    </row>
    <row r="1998">
      <c r="D1998" s="123"/>
    </row>
    <row r="1999">
      <c r="D1999" s="123"/>
    </row>
    <row r="2000">
      <c r="D2000" s="123"/>
    </row>
    <row r="2001">
      <c r="D2001" s="123"/>
    </row>
    <row r="2002">
      <c r="D2002" s="123"/>
    </row>
    <row r="2003">
      <c r="D2003" s="123"/>
    </row>
    <row r="2004">
      <c r="D2004" s="123"/>
    </row>
    <row r="2005">
      <c r="D2005" s="123"/>
    </row>
    <row r="2006">
      <c r="D2006" s="123"/>
    </row>
    <row r="2007">
      <c r="D2007" s="123"/>
    </row>
    <row r="2008">
      <c r="D2008" s="123"/>
    </row>
    <row r="2009">
      <c r="D2009" s="123"/>
    </row>
    <row r="2010">
      <c r="D2010" s="123"/>
    </row>
    <row r="2011">
      <c r="D2011" s="123"/>
    </row>
    <row r="2012">
      <c r="D2012" s="123"/>
    </row>
    <row r="2013">
      <c r="D2013" s="123"/>
    </row>
    <row r="2014">
      <c r="D2014" s="123"/>
    </row>
    <row r="2015">
      <c r="D2015" s="123"/>
    </row>
    <row r="2016">
      <c r="D2016" s="123"/>
    </row>
    <row r="2017">
      <c r="D2017" s="123"/>
    </row>
    <row r="2018">
      <c r="D2018" s="123"/>
    </row>
    <row r="2019">
      <c r="D2019" s="123"/>
    </row>
    <row r="2020">
      <c r="D2020" s="123"/>
    </row>
    <row r="2021">
      <c r="D2021" s="123"/>
    </row>
    <row r="2022">
      <c r="D2022" s="123"/>
    </row>
    <row r="2023">
      <c r="D2023" s="123"/>
    </row>
    <row r="2024">
      <c r="D2024" s="123"/>
    </row>
    <row r="2025">
      <c r="D2025" s="123"/>
    </row>
    <row r="2026">
      <c r="D2026" s="123"/>
    </row>
    <row r="2027">
      <c r="D2027" s="123"/>
    </row>
    <row r="2028">
      <c r="D2028" s="123"/>
    </row>
    <row r="2029">
      <c r="D2029" s="123"/>
    </row>
    <row r="2030">
      <c r="D2030" s="123"/>
    </row>
    <row r="2031">
      <c r="D2031" s="123"/>
    </row>
    <row r="2032">
      <c r="D2032" s="123"/>
    </row>
    <row r="2033">
      <c r="D2033" s="123"/>
    </row>
    <row r="2034">
      <c r="D2034" s="123"/>
    </row>
    <row r="2035">
      <c r="D2035" s="123"/>
    </row>
    <row r="2036">
      <c r="D2036" s="123"/>
    </row>
    <row r="2037">
      <c r="D2037" s="123"/>
    </row>
    <row r="2038">
      <c r="D2038" s="123"/>
    </row>
    <row r="2039">
      <c r="D2039" s="123"/>
    </row>
    <row r="2040">
      <c r="D2040" s="123"/>
    </row>
    <row r="2041">
      <c r="D2041" s="123"/>
    </row>
    <row r="2042">
      <c r="D2042" s="123"/>
    </row>
    <row r="2043">
      <c r="D2043" s="123"/>
    </row>
    <row r="2044">
      <c r="D2044" s="123"/>
    </row>
    <row r="2045">
      <c r="D2045" s="123"/>
    </row>
    <row r="2046">
      <c r="D2046" s="123"/>
    </row>
    <row r="2047">
      <c r="D2047" s="123"/>
    </row>
    <row r="2048">
      <c r="D2048" s="123"/>
    </row>
    <row r="2049">
      <c r="D2049" s="123"/>
    </row>
    <row r="2050">
      <c r="D2050" s="123"/>
    </row>
    <row r="2051">
      <c r="D2051" s="123"/>
    </row>
    <row r="2052">
      <c r="D2052" s="123"/>
    </row>
    <row r="2053">
      <c r="D2053" s="123"/>
    </row>
    <row r="2054">
      <c r="D2054" s="123"/>
    </row>
    <row r="2055">
      <c r="D2055" s="123"/>
    </row>
    <row r="2056">
      <c r="D2056" s="123"/>
    </row>
    <row r="2057">
      <c r="D2057" s="123"/>
    </row>
    <row r="2058">
      <c r="D2058" s="123"/>
    </row>
    <row r="2059">
      <c r="D2059" s="123"/>
    </row>
    <row r="2060">
      <c r="D2060" s="123"/>
    </row>
    <row r="2061">
      <c r="D2061" s="123"/>
    </row>
    <row r="2062">
      <c r="D2062" s="123"/>
    </row>
    <row r="2063">
      <c r="D2063" s="123"/>
    </row>
    <row r="2064">
      <c r="D2064" s="123"/>
    </row>
    <row r="2065">
      <c r="D2065" s="123"/>
    </row>
    <row r="2066">
      <c r="D2066" s="123"/>
    </row>
    <row r="2067">
      <c r="D2067" s="123"/>
    </row>
    <row r="2068">
      <c r="D2068" s="123"/>
    </row>
    <row r="2069">
      <c r="D2069" s="123"/>
    </row>
    <row r="2070">
      <c r="D2070" s="123"/>
    </row>
    <row r="2071">
      <c r="D2071" s="123"/>
    </row>
    <row r="2072">
      <c r="D2072" s="123"/>
    </row>
    <row r="2073">
      <c r="D2073" s="123"/>
    </row>
    <row r="2074">
      <c r="D2074" s="123"/>
    </row>
    <row r="2075">
      <c r="D2075" s="123"/>
    </row>
    <row r="2076">
      <c r="D2076" s="123"/>
    </row>
    <row r="2077">
      <c r="D2077" s="123"/>
    </row>
    <row r="2078">
      <c r="D2078" s="123"/>
    </row>
    <row r="2079">
      <c r="D2079" s="123"/>
    </row>
    <row r="2080">
      <c r="D2080" s="123"/>
    </row>
    <row r="2081">
      <c r="D2081" s="123"/>
    </row>
    <row r="2082">
      <c r="D2082" s="123"/>
    </row>
    <row r="2083">
      <c r="D2083" s="123"/>
    </row>
    <row r="2084">
      <c r="D2084" s="123"/>
    </row>
    <row r="2085">
      <c r="D2085" s="123"/>
    </row>
    <row r="2086">
      <c r="D2086" s="123"/>
    </row>
    <row r="2087">
      <c r="D2087" s="123"/>
    </row>
    <row r="2088">
      <c r="D2088" s="123"/>
    </row>
    <row r="2089">
      <c r="D2089" s="123"/>
    </row>
    <row r="2090">
      <c r="D2090" s="123"/>
    </row>
    <row r="2091">
      <c r="D2091" s="123"/>
    </row>
    <row r="2092">
      <c r="D2092" s="123"/>
    </row>
    <row r="2093">
      <c r="D2093" s="123"/>
    </row>
    <row r="2094">
      <c r="D2094" s="123"/>
    </row>
    <row r="2095">
      <c r="D2095" s="123"/>
    </row>
    <row r="2096">
      <c r="D2096" s="123"/>
    </row>
    <row r="2097">
      <c r="D2097" s="123"/>
    </row>
    <row r="2098">
      <c r="D2098" s="123"/>
    </row>
    <row r="2099">
      <c r="D2099" s="123"/>
    </row>
    <row r="2100">
      <c r="D2100" s="123"/>
    </row>
    <row r="2101">
      <c r="D2101" s="123"/>
    </row>
    <row r="2102">
      <c r="D2102" s="123"/>
    </row>
    <row r="2103">
      <c r="D2103" s="123"/>
    </row>
    <row r="2104">
      <c r="D2104" s="123"/>
    </row>
    <row r="2105">
      <c r="D2105" s="123"/>
    </row>
    <row r="2106">
      <c r="D2106" s="123"/>
    </row>
    <row r="2107">
      <c r="D2107" s="123"/>
    </row>
    <row r="2108">
      <c r="D2108" s="123"/>
    </row>
    <row r="2109">
      <c r="D2109" s="123"/>
    </row>
    <row r="2110">
      <c r="D2110" s="123"/>
    </row>
    <row r="2111">
      <c r="D2111" s="123"/>
    </row>
    <row r="2112">
      <c r="D2112" s="123"/>
    </row>
    <row r="2113">
      <c r="D2113" s="123"/>
    </row>
    <row r="2114">
      <c r="D2114" s="123"/>
    </row>
    <row r="2115">
      <c r="D2115" s="123"/>
    </row>
    <row r="2116">
      <c r="D2116" s="123"/>
    </row>
    <row r="2117">
      <c r="D2117" s="123"/>
    </row>
    <row r="2118">
      <c r="D2118" s="123"/>
    </row>
    <row r="2119">
      <c r="D2119" s="123"/>
    </row>
    <row r="2120">
      <c r="D2120" s="123"/>
    </row>
    <row r="2121">
      <c r="D2121" s="123"/>
    </row>
    <row r="2122">
      <c r="D2122" s="123"/>
    </row>
    <row r="2123">
      <c r="D2123" s="123"/>
    </row>
    <row r="2124">
      <c r="D2124" s="123"/>
    </row>
    <row r="2125">
      <c r="D2125" s="123"/>
    </row>
    <row r="2126">
      <c r="D2126" s="123"/>
    </row>
    <row r="2127">
      <c r="D2127" s="123"/>
    </row>
    <row r="2128">
      <c r="D2128" s="123"/>
    </row>
    <row r="2129">
      <c r="D2129" s="123"/>
    </row>
    <row r="2130">
      <c r="D2130" s="123"/>
    </row>
    <row r="2131">
      <c r="D2131" s="123"/>
    </row>
    <row r="2132">
      <c r="D2132" s="123"/>
    </row>
    <row r="2133">
      <c r="D2133" s="123"/>
    </row>
    <row r="2134">
      <c r="D2134" s="123"/>
    </row>
    <row r="2135">
      <c r="D2135" s="123"/>
    </row>
    <row r="2136">
      <c r="D2136" s="123"/>
    </row>
    <row r="2137">
      <c r="D2137" s="123"/>
    </row>
    <row r="2138">
      <c r="D2138" s="123"/>
    </row>
    <row r="2139">
      <c r="D2139" s="123"/>
    </row>
    <row r="2140">
      <c r="D2140" s="123"/>
    </row>
    <row r="2141">
      <c r="D2141" s="123"/>
    </row>
    <row r="2142">
      <c r="D2142" s="123"/>
    </row>
    <row r="2143">
      <c r="D2143" s="123"/>
    </row>
    <row r="2144">
      <c r="D2144" s="123"/>
    </row>
    <row r="2145">
      <c r="D2145" s="123"/>
    </row>
    <row r="2146">
      <c r="D2146" s="123"/>
    </row>
    <row r="2147">
      <c r="D2147" s="123"/>
    </row>
    <row r="2148">
      <c r="D2148" s="123"/>
    </row>
    <row r="2149">
      <c r="D2149" s="123"/>
    </row>
    <row r="2150">
      <c r="D2150" s="123"/>
    </row>
    <row r="2151">
      <c r="D2151" s="123"/>
    </row>
    <row r="2152">
      <c r="D2152" s="123"/>
    </row>
    <row r="2153">
      <c r="D2153" s="123"/>
    </row>
    <row r="2154">
      <c r="D2154" s="123"/>
    </row>
    <row r="2155">
      <c r="D2155" s="123"/>
    </row>
    <row r="2156">
      <c r="D2156" s="123"/>
    </row>
    <row r="2157">
      <c r="D2157" s="123"/>
    </row>
    <row r="2158">
      <c r="D2158" s="123"/>
    </row>
    <row r="2159">
      <c r="D2159" s="123"/>
    </row>
    <row r="2160">
      <c r="D2160" s="123"/>
    </row>
    <row r="2161">
      <c r="D2161" s="123"/>
    </row>
    <row r="2162">
      <c r="D2162" s="123"/>
    </row>
    <row r="2163">
      <c r="D2163" s="123"/>
    </row>
    <row r="2164">
      <c r="D2164" s="123"/>
    </row>
    <row r="2165">
      <c r="D2165" s="123"/>
    </row>
    <row r="2166">
      <c r="D2166" s="123"/>
    </row>
    <row r="2167">
      <c r="D2167" s="123"/>
    </row>
    <row r="2168">
      <c r="D2168" s="123"/>
    </row>
    <row r="2169">
      <c r="D2169" s="123"/>
    </row>
    <row r="2170">
      <c r="D2170" s="123"/>
    </row>
    <row r="2171">
      <c r="D2171" s="123"/>
    </row>
    <row r="2172">
      <c r="D2172" s="123"/>
    </row>
    <row r="2173">
      <c r="D2173" s="123"/>
    </row>
    <row r="2174">
      <c r="D2174" s="123"/>
    </row>
    <row r="2175">
      <c r="D2175" s="123"/>
    </row>
    <row r="2176">
      <c r="D2176" s="123"/>
    </row>
    <row r="2177">
      <c r="D2177" s="123"/>
    </row>
    <row r="2178">
      <c r="D2178" s="123"/>
    </row>
    <row r="2179">
      <c r="D2179" s="123"/>
    </row>
    <row r="2180">
      <c r="D2180" s="123"/>
    </row>
    <row r="2181">
      <c r="D2181" s="123"/>
    </row>
    <row r="2182">
      <c r="D2182" s="123"/>
    </row>
    <row r="2183">
      <c r="D2183" s="123"/>
    </row>
    <row r="2184">
      <c r="D2184" s="123"/>
    </row>
    <row r="2185">
      <c r="D2185" s="123"/>
    </row>
    <row r="2186">
      <c r="D2186" s="123"/>
    </row>
    <row r="2187">
      <c r="D2187" s="123"/>
    </row>
    <row r="2188">
      <c r="D2188" s="123"/>
    </row>
    <row r="2189">
      <c r="D2189" s="123"/>
    </row>
    <row r="2190">
      <c r="D2190" s="123"/>
    </row>
    <row r="2191">
      <c r="D2191" s="123"/>
    </row>
    <row r="2192">
      <c r="D2192" s="123"/>
    </row>
    <row r="2193">
      <c r="D2193" s="123"/>
    </row>
    <row r="2194">
      <c r="D2194" s="123"/>
    </row>
    <row r="2195">
      <c r="D2195" s="123"/>
    </row>
    <row r="2196">
      <c r="D2196" s="123"/>
    </row>
    <row r="2197">
      <c r="D2197" s="123"/>
    </row>
    <row r="2198">
      <c r="D2198" s="123"/>
    </row>
    <row r="2199">
      <c r="D2199" s="123"/>
    </row>
    <row r="2200">
      <c r="D2200" s="123"/>
    </row>
    <row r="2201">
      <c r="D2201" s="123"/>
    </row>
    <row r="2202">
      <c r="D2202" s="123"/>
    </row>
    <row r="2203">
      <c r="D2203" s="123"/>
    </row>
    <row r="2204">
      <c r="D2204" s="123"/>
    </row>
    <row r="2205">
      <c r="D2205" s="123"/>
    </row>
    <row r="2206">
      <c r="D2206" s="123"/>
    </row>
    <row r="2207">
      <c r="D2207" s="123"/>
    </row>
    <row r="2208">
      <c r="D2208" s="123"/>
    </row>
    <row r="2209">
      <c r="D2209" s="123"/>
    </row>
    <row r="2210">
      <c r="D2210" s="123"/>
    </row>
    <row r="2211">
      <c r="D2211" s="123"/>
    </row>
    <row r="2212">
      <c r="D2212" s="123"/>
    </row>
    <row r="2213">
      <c r="D2213" s="123"/>
    </row>
    <row r="2214">
      <c r="D2214" s="123"/>
    </row>
    <row r="2215">
      <c r="D2215" s="123"/>
    </row>
    <row r="2216">
      <c r="D2216" s="123"/>
    </row>
    <row r="2217">
      <c r="D2217" s="123"/>
    </row>
    <row r="2218">
      <c r="D2218" s="123"/>
    </row>
    <row r="2219">
      <c r="D2219" s="123"/>
    </row>
    <row r="2220">
      <c r="D2220" s="123"/>
    </row>
    <row r="2221">
      <c r="D2221" s="123"/>
    </row>
    <row r="2222">
      <c r="D2222" s="123"/>
    </row>
    <row r="2223">
      <c r="D2223" s="123"/>
    </row>
    <row r="2224">
      <c r="D2224" s="123"/>
    </row>
    <row r="2225">
      <c r="D2225" s="123"/>
    </row>
    <row r="2226">
      <c r="D2226" s="123"/>
    </row>
    <row r="2227">
      <c r="D2227" s="123"/>
    </row>
    <row r="2228">
      <c r="D2228" s="123"/>
    </row>
    <row r="2229">
      <c r="D2229" s="123"/>
    </row>
    <row r="2230">
      <c r="D2230" s="123"/>
    </row>
    <row r="2231">
      <c r="D2231" s="123"/>
    </row>
    <row r="2232">
      <c r="D2232" s="123"/>
    </row>
    <row r="2233">
      <c r="D2233" s="123"/>
    </row>
    <row r="2234">
      <c r="D2234" s="123"/>
    </row>
    <row r="2235">
      <c r="D2235" s="123"/>
    </row>
    <row r="2236">
      <c r="D2236" s="123"/>
    </row>
    <row r="2237">
      <c r="D2237" s="123"/>
    </row>
    <row r="2238">
      <c r="D2238" s="123"/>
    </row>
    <row r="2239">
      <c r="D2239" s="123"/>
    </row>
    <row r="2240">
      <c r="D2240" s="123"/>
    </row>
    <row r="2241">
      <c r="D2241" s="123"/>
    </row>
    <row r="2242">
      <c r="D2242" s="123"/>
    </row>
    <row r="2243">
      <c r="D2243" s="123"/>
    </row>
    <row r="2244">
      <c r="D2244" s="123"/>
    </row>
    <row r="2245">
      <c r="D2245" s="123"/>
    </row>
    <row r="2246">
      <c r="D2246" s="123"/>
    </row>
    <row r="2247">
      <c r="D2247" s="123"/>
    </row>
    <row r="2248">
      <c r="D2248" s="123"/>
    </row>
    <row r="2249">
      <c r="D2249" s="123"/>
    </row>
    <row r="2250">
      <c r="D2250" s="123"/>
    </row>
    <row r="2251">
      <c r="D2251" s="123"/>
    </row>
    <row r="2252">
      <c r="D2252" s="123"/>
    </row>
    <row r="2253">
      <c r="D2253" s="123"/>
    </row>
    <row r="2254">
      <c r="D2254" s="123"/>
    </row>
    <row r="2255">
      <c r="D2255" s="123"/>
    </row>
    <row r="2256">
      <c r="D2256" s="123"/>
    </row>
    <row r="2257">
      <c r="D2257" s="123"/>
    </row>
    <row r="2258">
      <c r="D2258" s="123"/>
    </row>
    <row r="2259">
      <c r="D2259" s="123"/>
    </row>
    <row r="2260">
      <c r="D2260" s="123"/>
    </row>
    <row r="2261">
      <c r="D2261" s="123"/>
    </row>
    <row r="2262">
      <c r="D2262" s="123"/>
    </row>
    <row r="2263">
      <c r="D2263" s="123"/>
    </row>
    <row r="2264">
      <c r="D2264" s="123"/>
    </row>
    <row r="2265">
      <c r="D2265" s="123"/>
    </row>
    <row r="2266">
      <c r="D2266" s="123"/>
    </row>
    <row r="2267">
      <c r="D2267" s="123"/>
    </row>
    <row r="2268">
      <c r="D2268" s="123"/>
    </row>
    <row r="2269">
      <c r="D2269" s="123"/>
    </row>
    <row r="2270">
      <c r="D2270" s="123"/>
    </row>
    <row r="2271">
      <c r="D2271" s="123"/>
    </row>
    <row r="2272">
      <c r="D2272" s="123"/>
    </row>
    <row r="2273">
      <c r="D2273" s="123"/>
    </row>
    <row r="2274">
      <c r="D2274" s="123"/>
    </row>
    <row r="2275">
      <c r="D2275" s="123"/>
    </row>
    <row r="2276">
      <c r="D2276" s="123"/>
    </row>
    <row r="2277">
      <c r="D2277" s="123"/>
    </row>
    <row r="2278">
      <c r="D2278" s="123"/>
    </row>
    <row r="2279">
      <c r="D2279" s="123"/>
    </row>
    <row r="2280">
      <c r="D2280" s="123"/>
    </row>
    <row r="2281">
      <c r="D2281" s="123"/>
    </row>
    <row r="2282">
      <c r="D2282" s="123"/>
    </row>
    <row r="2283">
      <c r="D2283" s="123"/>
    </row>
    <row r="2284">
      <c r="D2284" s="123"/>
    </row>
    <row r="2285">
      <c r="D2285" s="123"/>
    </row>
    <row r="2286">
      <c r="D2286" s="123"/>
    </row>
    <row r="2287">
      <c r="D2287" s="123"/>
    </row>
    <row r="2288">
      <c r="D2288" s="123"/>
    </row>
    <row r="2289">
      <c r="D2289" s="123"/>
    </row>
    <row r="2290">
      <c r="D2290" s="123"/>
    </row>
    <row r="2291">
      <c r="D2291" s="123"/>
    </row>
    <row r="2292">
      <c r="D2292" s="123"/>
    </row>
    <row r="2293">
      <c r="D2293" s="123"/>
    </row>
    <row r="2294">
      <c r="D2294" s="123"/>
    </row>
    <row r="2295">
      <c r="D2295" s="123"/>
    </row>
    <row r="2296">
      <c r="D2296" s="123"/>
    </row>
    <row r="2297">
      <c r="D2297" s="123"/>
    </row>
    <row r="2298">
      <c r="D2298" s="123"/>
    </row>
    <row r="2299">
      <c r="D2299" s="123"/>
    </row>
    <row r="2300">
      <c r="D2300" s="123"/>
    </row>
    <row r="2301">
      <c r="D2301" s="123"/>
    </row>
    <row r="2302">
      <c r="D2302" s="123"/>
    </row>
    <row r="2303">
      <c r="D2303" s="123"/>
    </row>
    <row r="2304">
      <c r="D2304" s="123"/>
    </row>
    <row r="2305">
      <c r="D2305" s="123"/>
    </row>
    <row r="2306">
      <c r="D2306" s="123"/>
    </row>
    <row r="2307">
      <c r="D2307" s="123"/>
    </row>
    <row r="2308">
      <c r="D2308" s="123"/>
    </row>
    <row r="2309">
      <c r="D2309" s="123"/>
    </row>
    <row r="2310">
      <c r="D2310" s="123"/>
    </row>
    <row r="2311">
      <c r="D2311" s="123"/>
    </row>
    <row r="2312">
      <c r="D2312" s="123"/>
    </row>
    <row r="2313">
      <c r="D2313" s="123"/>
    </row>
    <row r="2314">
      <c r="D2314" s="123"/>
    </row>
    <row r="2315">
      <c r="D2315" s="123"/>
    </row>
    <row r="2316">
      <c r="D2316" s="123"/>
    </row>
    <row r="2317">
      <c r="D2317" s="123"/>
    </row>
    <row r="2318">
      <c r="D2318" s="123"/>
    </row>
    <row r="2319">
      <c r="D2319" s="123"/>
    </row>
    <row r="2320">
      <c r="D2320" s="123"/>
    </row>
    <row r="2321">
      <c r="D2321" s="123"/>
    </row>
    <row r="2322">
      <c r="D2322" s="123"/>
    </row>
    <row r="2323">
      <c r="D2323" s="123"/>
    </row>
    <row r="2324">
      <c r="D2324" s="123"/>
    </row>
    <row r="2325">
      <c r="D2325" s="123"/>
    </row>
    <row r="2326">
      <c r="D2326" s="123"/>
    </row>
    <row r="2327">
      <c r="D2327" s="123"/>
    </row>
    <row r="2328">
      <c r="D2328" s="123"/>
    </row>
    <row r="2329">
      <c r="D2329" s="123"/>
    </row>
    <row r="2330">
      <c r="D2330" s="123"/>
    </row>
    <row r="2331">
      <c r="D2331" s="123"/>
    </row>
    <row r="2332">
      <c r="D2332" s="123"/>
    </row>
    <row r="2333">
      <c r="D2333" s="123"/>
    </row>
    <row r="2334">
      <c r="D2334" s="123"/>
    </row>
    <row r="2335">
      <c r="D2335" s="123"/>
    </row>
    <row r="2336">
      <c r="D2336" s="123"/>
    </row>
    <row r="2337">
      <c r="D2337" s="123"/>
    </row>
    <row r="2338">
      <c r="D2338" s="123"/>
    </row>
    <row r="2339">
      <c r="D2339" s="123"/>
    </row>
    <row r="2340">
      <c r="D2340" s="123"/>
    </row>
    <row r="2341">
      <c r="D2341" s="123"/>
    </row>
    <row r="2342">
      <c r="D2342" s="123"/>
    </row>
    <row r="2343">
      <c r="D2343" s="123"/>
    </row>
    <row r="2344">
      <c r="D2344" s="123"/>
    </row>
    <row r="2345">
      <c r="D2345" s="123"/>
    </row>
    <row r="2346">
      <c r="D2346" s="123"/>
    </row>
    <row r="2347">
      <c r="D2347" s="123"/>
    </row>
    <row r="2348">
      <c r="D2348" s="123"/>
    </row>
    <row r="2349">
      <c r="D2349" s="123"/>
    </row>
    <row r="2350">
      <c r="D2350" s="123"/>
    </row>
    <row r="2351">
      <c r="D2351" s="123"/>
    </row>
    <row r="2352">
      <c r="D2352" s="123"/>
    </row>
    <row r="2353">
      <c r="D2353" s="123"/>
    </row>
    <row r="2354">
      <c r="D2354" s="123"/>
    </row>
    <row r="2355">
      <c r="D2355" s="123"/>
    </row>
    <row r="2356">
      <c r="D2356" s="123"/>
    </row>
    <row r="2357">
      <c r="D2357" s="123"/>
    </row>
    <row r="2358">
      <c r="D2358" s="123"/>
    </row>
    <row r="2359">
      <c r="D2359" s="123"/>
    </row>
    <row r="2360">
      <c r="D2360" s="123"/>
    </row>
    <row r="2361">
      <c r="D2361" s="123"/>
    </row>
    <row r="2362">
      <c r="D2362" s="123"/>
    </row>
    <row r="2363">
      <c r="D2363" s="123"/>
    </row>
    <row r="2364">
      <c r="D2364" s="123"/>
    </row>
    <row r="2365">
      <c r="D2365" s="123"/>
    </row>
    <row r="2366">
      <c r="D2366" s="123"/>
    </row>
    <row r="2367">
      <c r="D2367" s="123"/>
    </row>
    <row r="2368">
      <c r="D2368" s="123"/>
    </row>
    <row r="2369">
      <c r="D2369" s="123"/>
    </row>
    <row r="2370">
      <c r="D2370" s="123"/>
    </row>
    <row r="2371">
      <c r="D2371" s="123"/>
    </row>
    <row r="2372">
      <c r="D2372" s="123"/>
    </row>
    <row r="2373">
      <c r="D2373" s="123"/>
    </row>
    <row r="2374">
      <c r="D2374" s="123"/>
    </row>
    <row r="2375">
      <c r="D2375" s="123"/>
    </row>
    <row r="2376">
      <c r="D2376" s="123"/>
    </row>
    <row r="2377">
      <c r="D2377" s="123"/>
    </row>
    <row r="2378">
      <c r="D2378" s="123"/>
    </row>
    <row r="2379">
      <c r="D2379" s="123"/>
    </row>
    <row r="2380">
      <c r="D2380" s="123"/>
    </row>
    <row r="2381">
      <c r="D2381" s="123"/>
    </row>
    <row r="2382">
      <c r="D2382" s="123"/>
    </row>
    <row r="2383">
      <c r="D2383" s="123"/>
    </row>
    <row r="2384">
      <c r="D2384" s="123"/>
    </row>
    <row r="2385">
      <c r="D2385" s="123"/>
    </row>
    <row r="2386">
      <c r="D2386" s="123"/>
    </row>
    <row r="2387">
      <c r="D2387" s="123"/>
    </row>
    <row r="2388">
      <c r="D2388" s="123"/>
    </row>
    <row r="2389">
      <c r="D2389" s="123"/>
    </row>
    <row r="2390">
      <c r="D2390" s="123"/>
    </row>
    <row r="2391">
      <c r="D2391" s="123"/>
    </row>
    <row r="2392">
      <c r="D2392" s="123"/>
    </row>
    <row r="2393">
      <c r="D2393" s="123"/>
    </row>
    <row r="2394">
      <c r="D2394" s="123"/>
    </row>
    <row r="2395">
      <c r="D2395" s="123"/>
    </row>
    <row r="2396">
      <c r="D2396" s="123"/>
    </row>
    <row r="2397">
      <c r="D2397" s="123"/>
    </row>
    <row r="2398">
      <c r="D2398" s="123"/>
    </row>
    <row r="2399">
      <c r="D2399" s="123"/>
    </row>
    <row r="2400">
      <c r="D2400" s="123"/>
    </row>
    <row r="2401">
      <c r="D2401" s="123"/>
    </row>
    <row r="2402">
      <c r="D2402" s="123"/>
    </row>
    <row r="2403">
      <c r="D2403" s="123"/>
    </row>
    <row r="2404">
      <c r="D2404" s="123"/>
    </row>
    <row r="2405">
      <c r="D2405" s="123"/>
    </row>
    <row r="2406">
      <c r="D2406" s="123"/>
    </row>
    <row r="2407">
      <c r="D2407" s="123"/>
    </row>
    <row r="2408">
      <c r="D2408" s="123"/>
    </row>
    <row r="2409">
      <c r="D2409" s="123"/>
    </row>
    <row r="2410">
      <c r="D2410" s="123"/>
    </row>
    <row r="2411">
      <c r="D2411" s="123"/>
    </row>
    <row r="2412">
      <c r="D2412" s="123"/>
    </row>
    <row r="2413">
      <c r="D2413" s="123"/>
    </row>
    <row r="2414">
      <c r="D2414" s="123"/>
    </row>
    <row r="2415">
      <c r="D2415" s="123"/>
    </row>
    <row r="2416">
      <c r="D2416" s="123"/>
    </row>
    <row r="2417">
      <c r="D2417" s="123"/>
    </row>
    <row r="2418">
      <c r="D2418" s="123"/>
    </row>
    <row r="2419">
      <c r="D2419" s="123"/>
    </row>
    <row r="2420">
      <c r="D2420" s="123"/>
    </row>
    <row r="2421">
      <c r="D2421" s="123"/>
    </row>
    <row r="2422">
      <c r="D2422" s="123"/>
    </row>
    <row r="2423">
      <c r="D2423" s="123"/>
    </row>
    <row r="2424">
      <c r="D2424" s="123"/>
    </row>
    <row r="2425">
      <c r="D2425" s="123"/>
    </row>
    <row r="2426">
      <c r="D2426" s="123"/>
    </row>
    <row r="2427">
      <c r="D2427" s="123"/>
    </row>
    <row r="2428">
      <c r="D2428" s="123"/>
    </row>
    <row r="2429">
      <c r="D2429" s="123"/>
    </row>
    <row r="2430">
      <c r="D2430" s="123"/>
    </row>
    <row r="2431">
      <c r="D2431" s="123"/>
    </row>
    <row r="2432">
      <c r="D2432" s="123"/>
    </row>
    <row r="2433">
      <c r="D2433" s="123"/>
    </row>
    <row r="2434">
      <c r="D2434" s="123"/>
    </row>
    <row r="2435">
      <c r="D2435" s="123"/>
    </row>
    <row r="2436">
      <c r="D2436" s="123"/>
    </row>
    <row r="2437">
      <c r="D2437" s="123"/>
    </row>
    <row r="2438">
      <c r="D2438" s="123"/>
    </row>
    <row r="2439">
      <c r="D2439" s="123"/>
    </row>
    <row r="2440">
      <c r="D2440" s="123"/>
    </row>
    <row r="2441">
      <c r="D2441" s="123"/>
    </row>
    <row r="2442">
      <c r="D2442" s="123"/>
    </row>
    <row r="2443">
      <c r="D2443" s="123"/>
    </row>
    <row r="2444">
      <c r="D2444" s="123"/>
    </row>
    <row r="2445">
      <c r="D2445" s="123"/>
    </row>
    <row r="2446">
      <c r="D2446" s="123"/>
    </row>
    <row r="2447">
      <c r="D2447" s="123"/>
    </row>
    <row r="2448">
      <c r="D2448" s="123"/>
    </row>
    <row r="2449">
      <c r="D2449" s="123"/>
    </row>
    <row r="2450">
      <c r="D2450" s="123"/>
    </row>
    <row r="2451">
      <c r="D2451" s="123"/>
    </row>
    <row r="2452">
      <c r="D2452" s="123"/>
    </row>
    <row r="2453">
      <c r="D2453" s="123"/>
    </row>
    <row r="2454">
      <c r="D2454" s="123"/>
    </row>
    <row r="2455">
      <c r="D2455" s="123"/>
    </row>
    <row r="2456">
      <c r="D2456" s="123"/>
    </row>
    <row r="2457">
      <c r="D2457" s="123"/>
    </row>
    <row r="2458">
      <c r="D2458" s="123"/>
    </row>
    <row r="2459">
      <c r="D2459" s="123"/>
    </row>
    <row r="2460">
      <c r="D2460" s="123"/>
    </row>
    <row r="2461">
      <c r="D2461" s="123"/>
    </row>
    <row r="2462">
      <c r="D2462" s="123"/>
    </row>
    <row r="2463">
      <c r="D2463" s="123"/>
    </row>
    <row r="2464">
      <c r="D2464" s="123"/>
    </row>
    <row r="2465">
      <c r="D2465" s="123"/>
    </row>
    <row r="2466">
      <c r="D2466" s="123"/>
    </row>
    <row r="2467">
      <c r="D2467" s="123"/>
    </row>
    <row r="2468">
      <c r="D2468" s="123"/>
    </row>
    <row r="2469">
      <c r="D2469" s="123"/>
    </row>
    <row r="2470">
      <c r="D2470" s="123"/>
    </row>
    <row r="2471">
      <c r="D2471" s="123"/>
    </row>
    <row r="2472">
      <c r="D2472" s="123"/>
    </row>
    <row r="2473">
      <c r="D2473" s="123"/>
    </row>
    <row r="2474">
      <c r="D2474" s="123"/>
    </row>
    <row r="2475">
      <c r="D2475" s="123"/>
    </row>
    <row r="2476">
      <c r="D2476" s="123"/>
    </row>
    <row r="2477">
      <c r="D2477" s="123"/>
    </row>
    <row r="2478">
      <c r="D2478" s="123"/>
    </row>
    <row r="2479">
      <c r="D2479" s="123"/>
    </row>
    <row r="2480">
      <c r="D2480" s="123"/>
    </row>
    <row r="2481">
      <c r="D2481" s="123"/>
    </row>
    <row r="2482">
      <c r="D2482" s="123"/>
    </row>
    <row r="2483">
      <c r="D2483" s="123"/>
    </row>
    <row r="2484">
      <c r="D2484" s="123"/>
    </row>
    <row r="2485">
      <c r="D2485" s="123"/>
    </row>
    <row r="2486">
      <c r="D2486" s="123"/>
    </row>
    <row r="2487">
      <c r="D2487" s="123"/>
    </row>
    <row r="2488">
      <c r="D2488" s="123"/>
    </row>
    <row r="2489">
      <c r="D2489" s="123"/>
    </row>
    <row r="2490">
      <c r="D2490" s="123"/>
    </row>
    <row r="2491">
      <c r="D2491" s="123"/>
    </row>
    <row r="2492">
      <c r="D2492" s="123"/>
    </row>
    <row r="2493">
      <c r="D2493" s="123"/>
    </row>
    <row r="2494">
      <c r="D2494" s="123"/>
    </row>
    <row r="2495">
      <c r="D2495" s="123"/>
    </row>
    <row r="2496">
      <c r="D2496" s="123"/>
    </row>
    <row r="2497">
      <c r="D2497" s="123"/>
    </row>
    <row r="2498">
      <c r="D2498" s="123"/>
    </row>
    <row r="2499">
      <c r="D2499" s="123"/>
    </row>
    <row r="2500">
      <c r="D2500" s="123"/>
    </row>
    <row r="2501">
      <c r="D2501" s="123"/>
    </row>
    <row r="2502">
      <c r="D2502" s="123"/>
    </row>
    <row r="2503">
      <c r="D2503" s="123"/>
    </row>
    <row r="2504">
      <c r="D2504" s="123"/>
    </row>
    <row r="2505">
      <c r="D2505" s="123"/>
    </row>
    <row r="2506">
      <c r="D2506" s="123"/>
    </row>
    <row r="2507">
      <c r="D2507" s="123"/>
    </row>
    <row r="2508">
      <c r="D2508" s="123"/>
    </row>
    <row r="2509">
      <c r="D2509" s="123"/>
    </row>
    <row r="2510">
      <c r="D2510" s="123"/>
    </row>
    <row r="2511">
      <c r="D2511" s="123"/>
    </row>
    <row r="2512">
      <c r="D2512" s="123"/>
    </row>
    <row r="2513">
      <c r="D2513" s="123"/>
    </row>
    <row r="2514">
      <c r="D2514" s="123"/>
    </row>
    <row r="2515">
      <c r="D2515" s="123"/>
    </row>
    <row r="2516">
      <c r="D2516" s="123"/>
    </row>
    <row r="2517">
      <c r="D2517" s="123"/>
    </row>
    <row r="2518">
      <c r="D2518" s="123"/>
    </row>
    <row r="2519">
      <c r="D2519" s="123"/>
    </row>
    <row r="2520">
      <c r="D2520" s="123"/>
    </row>
    <row r="2521">
      <c r="D2521" s="123"/>
    </row>
    <row r="2522">
      <c r="D2522" s="123"/>
    </row>
    <row r="2523">
      <c r="D2523" s="123"/>
    </row>
    <row r="2524">
      <c r="D2524" s="123"/>
    </row>
    <row r="2525">
      <c r="D2525" s="123"/>
    </row>
    <row r="2526">
      <c r="D2526" s="123"/>
    </row>
    <row r="2527">
      <c r="D2527" s="123"/>
    </row>
    <row r="2528">
      <c r="D2528" s="123"/>
    </row>
    <row r="2529">
      <c r="D2529" s="123"/>
    </row>
    <row r="2530">
      <c r="D2530" s="123"/>
    </row>
    <row r="2531">
      <c r="D2531" s="123"/>
    </row>
    <row r="2532">
      <c r="D2532" s="123"/>
    </row>
    <row r="2533">
      <c r="D2533" s="123"/>
    </row>
    <row r="2534">
      <c r="D2534" s="123"/>
    </row>
    <row r="2535">
      <c r="D2535" s="123"/>
    </row>
    <row r="2536">
      <c r="D2536" s="123"/>
    </row>
    <row r="2537">
      <c r="D2537" s="123"/>
    </row>
    <row r="2538">
      <c r="D2538" s="123"/>
    </row>
    <row r="2539">
      <c r="D2539" s="123"/>
    </row>
    <row r="2540">
      <c r="D2540" s="123"/>
    </row>
    <row r="2541">
      <c r="D2541" s="123"/>
    </row>
    <row r="2542">
      <c r="D2542" s="123"/>
    </row>
    <row r="2543">
      <c r="D2543" s="123"/>
    </row>
    <row r="2544">
      <c r="D2544" s="123"/>
    </row>
    <row r="2545">
      <c r="D2545" s="123"/>
    </row>
    <row r="2546">
      <c r="D2546" s="123"/>
    </row>
    <row r="2547">
      <c r="D2547" s="123"/>
    </row>
    <row r="2548">
      <c r="D2548" s="123"/>
    </row>
    <row r="2549">
      <c r="D2549" s="123"/>
    </row>
    <row r="2550">
      <c r="D2550" s="123"/>
    </row>
    <row r="2551">
      <c r="D2551" s="123"/>
    </row>
    <row r="2552">
      <c r="D2552" s="123"/>
    </row>
    <row r="2553">
      <c r="D2553" s="123"/>
    </row>
    <row r="2554">
      <c r="D2554" s="123"/>
    </row>
    <row r="2555">
      <c r="D2555" s="123"/>
    </row>
    <row r="2556">
      <c r="D2556" s="123"/>
    </row>
    <row r="2557">
      <c r="D2557" s="123"/>
    </row>
    <row r="2558">
      <c r="D2558" s="123"/>
    </row>
    <row r="2559">
      <c r="D2559" s="123"/>
    </row>
    <row r="2560">
      <c r="D2560" s="123"/>
    </row>
    <row r="2561">
      <c r="D2561" s="123"/>
    </row>
    <row r="2562">
      <c r="D2562" s="123"/>
    </row>
    <row r="2563">
      <c r="D2563" s="123"/>
    </row>
    <row r="2564">
      <c r="D2564" s="123"/>
    </row>
    <row r="2565">
      <c r="D2565" s="123"/>
    </row>
    <row r="2566">
      <c r="D2566" s="123"/>
    </row>
    <row r="2567">
      <c r="D2567" s="123"/>
    </row>
    <row r="2568">
      <c r="D2568" s="123"/>
    </row>
    <row r="2569">
      <c r="D2569" s="123"/>
    </row>
    <row r="2570">
      <c r="D2570" s="123"/>
    </row>
    <row r="2571">
      <c r="D2571" s="123"/>
    </row>
    <row r="2572">
      <c r="D2572" s="123"/>
    </row>
    <row r="2573">
      <c r="D2573" s="123"/>
    </row>
    <row r="2574">
      <c r="D2574" s="123"/>
    </row>
    <row r="2575">
      <c r="D2575" s="123"/>
    </row>
    <row r="2576">
      <c r="D2576" s="123"/>
    </row>
    <row r="2577">
      <c r="D2577" s="123"/>
    </row>
    <row r="2578">
      <c r="D2578" s="123"/>
    </row>
    <row r="2579">
      <c r="D2579" s="123"/>
    </row>
    <row r="2580">
      <c r="D2580" s="123"/>
    </row>
    <row r="2581">
      <c r="D2581" s="123"/>
    </row>
    <row r="2582">
      <c r="D2582" s="123"/>
    </row>
    <row r="2583">
      <c r="D2583" s="123"/>
    </row>
    <row r="2584">
      <c r="D2584" s="123"/>
    </row>
    <row r="2585">
      <c r="D2585" s="123"/>
    </row>
    <row r="2586">
      <c r="D2586" s="123"/>
    </row>
    <row r="2587">
      <c r="D2587" s="123"/>
    </row>
    <row r="2588">
      <c r="D2588" s="123"/>
    </row>
    <row r="2589">
      <c r="D2589" s="123"/>
    </row>
    <row r="2590">
      <c r="D2590" s="123"/>
    </row>
    <row r="2591">
      <c r="D2591" s="123"/>
    </row>
    <row r="2592">
      <c r="D2592" s="123"/>
    </row>
    <row r="2593">
      <c r="D2593" s="123"/>
    </row>
    <row r="2594">
      <c r="D2594" s="123"/>
    </row>
    <row r="2595">
      <c r="D2595" s="123"/>
    </row>
    <row r="2596">
      <c r="D2596" s="123"/>
    </row>
    <row r="2597">
      <c r="D2597" s="123"/>
    </row>
    <row r="2598">
      <c r="D2598" s="123"/>
    </row>
    <row r="2599">
      <c r="D2599" s="123"/>
    </row>
    <row r="2600">
      <c r="D2600" s="123"/>
    </row>
    <row r="2601">
      <c r="D2601" s="123"/>
    </row>
    <row r="2602">
      <c r="D2602" s="123"/>
    </row>
    <row r="2603">
      <c r="D2603" s="123"/>
    </row>
    <row r="2604">
      <c r="D2604" s="123"/>
    </row>
    <row r="2605">
      <c r="D2605" s="123"/>
    </row>
    <row r="2606">
      <c r="D2606" s="123"/>
    </row>
    <row r="2607">
      <c r="D2607" s="123"/>
    </row>
    <row r="2608">
      <c r="D2608" s="123"/>
    </row>
    <row r="2609">
      <c r="D2609" s="123"/>
    </row>
    <row r="2610">
      <c r="D2610" s="123"/>
    </row>
    <row r="2611">
      <c r="D2611" s="123"/>
    </row>
    <row r="2612">
      <c r="D2612" s="123"/>
    </row>
    <row r="2613">
      <c r="D2613" s="123"/>
    </row>
    <row r="2614">
      <c r="D2614" s="123"/>
    </row>
    <row r="2615">
      <c r="D2615" s="123"/>
    </row>
    <row r="2616">
      <c r="D2616" s="123"/>
    </row>
    <row r="2617">
      <c r="D2617" s="123"/>
    </row>
    <row r="2618">
      <c r="D2618" s="123"/>
    </row>
    <row r="2619">
      <c r="D2619" s="123"/>
    </row>
    <row r="2620">
      <c r="D2620" s="123"/>
    </row>
    <row r="2621">
      <c r="D2621" s="123"/>
    </row>
    <row r="2622">
      <c r="D2622" s="123"/>
    </row>
    <row r="2623">
      <c r="D2623" s="123"/>
    </row>
    <row r="2624">
      <c r="D2624" s="123"/>
    </row>
    <row r="2625">
      <c r="D2625" s="123"/>
    </row>
    <row r="2626">
      <c r="D2626" s="123"/>
    </row>
    <row r="2627">
      <c r="D2627" s="123"/>
    </row>
    <row r="2628">
      <c r="D2628" s="123"/>
    </row>
    <row r="2629">
      <c r="D2629" s="123"/>
    </row>
    <row r="2630">
      <c r="D2630" s="123"/>
    </row>
    <row r="2631">
      <c r="D2631" s="123"/>
    </row>
    <row r="2632">
      <c r="D2632" s="123"/>
    </row>
    <row r="2633">
      <c r="D2633" s="123"/>
    </row>
    <row r="2634">
      <c r="D2634" s="123"/>
    </row>
    <row r="2635">
      <c r="D2635" s="123"/>
    </row>
    <row r="2636">
      <c r="D2636" s="123"/>
    </row>
    <row r="2637">
      <c r="D2637" s="123"/>
    </row>
    <row r="2638">
      <c r="D2638" s="123"/>
    </row>
    <row r="2639">
      <c r="D2639" s="123"/>
    </row>
    <row r="2640">
      <c r="D2640" s="123"/>
    </row>
    <row r="2641">
      <c r="D2641" s="123"/>
    </row>
    <row r="2642">
      <c r="D2642" s="123"/>
    </row>
    <row r="2643">
      <c r="D2643" s="123"/>
    </row>
    <row r="2644">
      <c r="D2644" s="123"/>
    </row>
    <row r="2645">
      <c r="D2645" s="123"/>
    </row>
    <row r="2646">
      <c r="D2646" s="123"/>
    </row>
    <row r="2647">
      <c r="D2647" s="123"/>
    </row>
    <row r="2648">
      <c r="D2648" s="123"/>
    </row>
    <row r="2649">
      <c r="D2649" s="123"/>
    </row>
    <row r="2650">
      <c r="D2650" s="123"/>
    </row>
    <row r="2651">
      <c r="D2651" s="123"/>
    </row>
    <row r="2652">
      <c r="D2652" s="123"/>
    </row>
    <row r="2653">
      <c r="D2653" s="123"/>
    </row>
    <row r="2654">
      <c r="D2654" s="123"/>
    </row>
    <row r="2655">
      <c r="D2655" s="123"/>
    </row>
    <row r="2656">
      <c r="D2656" s="123"/>
    </row>
    <row r="2657">
      <c r="D2657" s="123"/>
    </row>
    <row r="2658">
      <c r="D2658" s="123"/>
    </row>
    <row r="2659">
      <c r="D2659" s="123"/>
    </row>
    <row r="2660">
      <c r="D2660" s="123"/>
    </row>
    <row r="2661">
      <c r="D2661" s="123"/>
    </row>
    <row r="2662">
      <c r="D2662" s="123"/>
    </row>
    <row r="2663">
      <c r="D2663" s="123"/>
    </row>
    <row r="2664">
      <c r="D2664" s="123"/>
    </row>
    <row r="2665">
      <c r="D2665" s="123"/>
    </row>
    <row r="2666">
      <c r="D2666" s="123"/>
    </row>
    <row r="2667">
      <c r="D2667" s="123"/>
    </row>
    <row r="2668">
      <c r="D2668" s="123"/>
    </row>
    <row r="2669">
      <c r="D2669" s="123"/>
    </row>
    <row r="2670">
      <c r="D2670" s="123"/>
    </row>
    <row r="2671">
      <c r="D2671" s="123"/>
    </row>
    <row r="2672">
      <c r="D2672" s="123"/>
    </row>
    <row r="2673">
      <c r="D2673" s="123"/>
    </row>
    <row r="2674">
      <c r="D2674" s="123"/>
    </row>
    <row r="2675">
      <c r="D2675" s="123"/>
    </row>
    <row r="2676">
      <c r="D2676" s="123"/>
    </row>
    <row r="2677">
      <c r="D2677" s="123"/>
    </row>
    <row r="2678">
      <c r="D2678" s="123"/>
    </row>
    <row r="2679">
      <c r="D2679" s="123"/>
    </row>
    <row r="2680">
      <c r="D2680" s="123"/>
    </row>
    <row r="2681">
      <c r="D2681" s="123"/>
    </row>
    <row r="2682">
      <c r="D2682" s="123"/>
    </row>
    <row r="2683">
      <c r="D2683" s="123"/>
    </row>
    <row r="2684">
      <c r="D2684" s="123"/>
    </row>
    <row r="2685">
      <c r="D2685" s="123"/>
    </row>
    <row r="2686">
      <c r="D2686" s="123"/>
    </row>
    <row r="2687">
      <c r="D2687" s="123"/>
    </row>
    <row r="2688">
      <c r="D2688" s="123"/>
    </row>
    <row r="2689">
      <c r="D2689" s="123"/>
    </row>
    <row r="2690">
      <c r="D2690" s="123"/>
    </row>
    <row r="2691">
      <c r="D2691" s="123"/>
    </row>
    <row r="2692">
      <c r="D2692" s="123"/>
    </row>
    <row r="2693">
      <c r="D2693" s="123"/>
    </row>
    <row r="2694">
      <c r="D2694" s="123"/>
    </row>
    <row r="2695">
      <c r="D2695" s="123"/>
    </row>
    <row r="2696">
      <c r="D2696" s="123"/>
    </row>
    <row r="2697">
      <c r="D2697" s="123"/>
    </row>
    <row r="2698">
      <c r="D2698" s="123"/>
    </row>
    <row r="2699">
      <c r="D2699" s="123"/>
    </row>
    <row r="2700">
      <c r="D2700" s="123"/>
    </row>
    <row r="2701">
      <c r="D2701" s="123"/>
    </row>
    <row r="2702">
      <c r="D2702" s="123"/>
    </row>
    <row r="2703">
      <c r="D2703" s="123"/>
    </row>
    <row r="2704">
      <c r="D2704" s="123"/>
    </row>
    <row r="2705">
      <c r="D2705" s="123"/>
    </row>
    <row r="2706">
      <c r="D2706" s="123"/>
    </row>
    <row r="2707">
      <c r="D2707" s="123"/>
    </row>
    <row r="2708">
      <c r="D2708" s="123"/>
    </row>
    <row r="2709">
      <c r="D2709" s="123"/>
    </row>
    <row r="2710">
      <c r="D2710" s="123"/>
    </row>
    <row r="2711">
      <c r="D2711" s="123"/>
    </row>
    <row r="2712">
      <c r="D2712" s="123"/>
    </row>
    <row r="2713">
      <c r="D2713" s="123"/>
    </row>
    <row r="2714">
      <c r="D2714" s="123"/>
    </row>
    <row r="2715">
      <c r="D2715" s="123"/>
    </row>
    <row r="2716">
      <c r="D2716" s="123"/>
    </row>
    <row r="2717">
      <c r="D2717" s="123"/>
    </row>
    <row r="2718">
      <c r="D2718" s="123"/>
    </row>
    <row r="2719">
      <c r="D2719" s="123"/>
    </row>
    <row r="2720">
      <c r="D2720" s="123"/>
    </row>
    <row r="2721">
      <c r="D2721" s="123"/>
    </row>
    <row r="2722">
      <c r="D2722" s="123"/>
    </row>
    <row r="2723">
      <c r="D2723" s="123"/>
    </row>
    <row r="2724">
      <c r="D2724" s="123"/>
    </row>
    <row r="2725">
      <c r="D2725" s="123"/>
    </row>
    <row r="2726">
      <c r="D2726" s="123"/>
    </row>
    <row r="2727">
      <c r="D2727" s="123"/>
    </row>
    <row r="2728">
      <c r="D2728" s="123"/>
    </row>
    <row r="2729">
      <c r="D2729" s="123"/>
    </row>
    <row r="2730">
      <c r="D2730" s="123"/>
    </row>
    <row r="2731">
      <c r="D2731" s="123"/>
    </row>
    <row r="2732">
      <c r="D2732" s="123"/>
    </row>
    <row r="2733">
      <c r="D2733" s="123"/>
    </row>
    <row r="2734">
      <c r="D2734" s="123"/>
    </row>
    <row r="2735">
      <c r="D2735" s="123"/>
    </row>
    <row r="2736">
      <c r="D2736" s="123"/>
    </row>
    <row r="2737">
      <c r="D2737" s="123"/>
    </row>
    <row r="2738">
      <c r="D2738" s="123"/>
    </row>
    <row r="2739">
      <c r="D2739" s="123"/>
    </row>
    <row r="2740">
      <c r="D2740" s="123"/>
    </row>
    <row r="2741">
      <c r="D2741" s="123"/>
    </row>
    <row r="2742">
      <c r="D2742" s="123"/>
    </row>
    <row r="2743">
      <c r="D2743" s="123"/>
    </row>
    <row r="2744">
      <c r="D2744" s="123"/>
    </row>
    <row r="2745">
      <c r="D2745" s="123"/>
    </row>
    <row r="2746">
      <c r="D2746" s="123"/>
    </row>
    <row r="2747">
      <c r="D2747" s="123"/>
    </row>
    <row r="2748">
      <c r="D2748" s="123"/>
    </row>
    <row r="2749">
      <c r="D2749" s="123"/>
    </row>
    <row r="2750">
      <c r="D2750" s="123"/>
    </row>
    <row r="2751">
      <c r="D2751" s="123"/>
    </row>
    <row r="2752">
      <c r="D2752" s="123"/>
    </row>
    <row r="2753">
      <c r="D2753" s="123"/>
    </row>
    <row r="2754">
      <c r="D2754" s="123"/>
    </row>
    <row r="2755">
      <c r="D2755" s="123"/>
    </row>
    <row r="2756">
      <c r="D2756" s="123"/>
    </row>
    <row r="2757">
      <c r="D2757" s="123"/>
    </row>
    <row r="2758">
      <c r="D2758" s="123"/>
    </row>
    <row r="2759">
      <c r="D2759" s="123"/>
    </row>
    <row r="2760">
      <c r="D2760" s="123"/>
    </row>
    <row r="2761">
      <c r="D2761" s="123"/>
    </row>
    <row r="2762">
      <c r="D2762" s="123"/>
    </row>
    <row r="2763">
      <c r="D2763" s="123"/>
    </row>
    <row r="2764">
      <c r="D2764" s="123"/>
    </row>
    <row r="2765">
      <c r="D2765" s="123"/>
    </row>
    <row r="2766">
      <c r="D2766" s="123"/>
    </row>
    <row r="2767">
      <c r="D2767" s="123"/>
    </row>
    <row r="2768">
      <c r="D2768" s="123"/>
    </row>
    <row r="2769">
      <c r="D2769" s="123"/>
    </row>
    <row r="2770">
      <c r="D2770" s="123"/>
    </row>
    <row r="2771">
      <c r="D2771" s="123"/>
    </row>
    <row r="2772">
      <c r="D2772" s="123"/>
    </row>
    <row r="2773">
      <c r="D2773" s="123"/>
    </row>
    <row r="2774">
      <c r="D2774" s="123"/>
    </row>
    <row r="2775">
      <c r="D2775" s="123"/>
    </row>
    <row r="2776">
      <c r="D2776" s="123"/>
    </row>
    <row r="2777">
      <c r="D2777" s="123"/>
    </row>
    <row r="2778">
      <c r="D2778" s="123"/>
    </row>
    <row r="2779">
      <c r="D2779" s="123"/>
    </row>
    <row r="2780">
      <c r="D2780" s="123"/>
    </row>
    <row r="2781">
      <c r="D2781" s="123"/>
    </row>
    <row r="2782">
      <c r="D2782" s="123"/>
    </row>
    <row r="2783">
      <c r="D2783" s="123"/>
    </row>
    <row r="2784">
      <c r="D2784" s="123"/>
    </row>
    <row r="2785">
      <c r="D2785" s="123"/>
    </row>
    <row r="2786">
      <c r="D2786" s="123"/>
    </row>
    <row r="2787">
      <c r="D2787" s="123"/>
    </row>
    <row r="2788">
      <c r="D2788" s="123"/>
    </row>
    <row r="2789">
      <c r="D2789" s="123"/>
    </row>
    <row r="2790">
      <c r="D2790" s="123"/>
    </row>
    <row r="2791">
      <c r="D2791" s="123"/>
    </row>
    <row r="2792">
      <c r="D2792" s="123"/>
    </row>
    <row r="2793">
      <c r="D2793" s="123"/>
    </row>
    <row r="2794">
      <c r="D2794" s="123"/>
    </row>
    <row r="2795">
      <c r="D2795" s="123"/>
    </row>
    <row r="2796">
      <c r="D2796" s="123"/>
    </row>
    <row r="2797">
      <c r="D2797" s="123"/>
    </row>
    <row r="2798">
      <c r="D2798" s="123"/>
    </row>
    <row r="2799">
      <c r="D2799" s="123"/>
    </row>
    <row r="2800">
      <c r="D2800" s="123"/>
    </row>
    <row r="2801">
      <c r="D2801" s="123"/>
    </row>
    <row r="2802">
      <c r="D2802" s="123"/>
    </row>
    <row r="2803">
      <c r="D2803" s="123"/>
    </row>
    <row r="2804">
      <c r="D2804" s="123"/>
    </row>
    <row r="2805">
      <c r="D2805" s="123"/>
    </row>
    <row r="2806">
      <c r="D2806" s="123"/>
    </row>
    <row r="2807">
      <c r="D2807" s="123"/>
    </row>
    <row r="2808">
      <c r="D2808" s="123"/>
    </row>
    <row r="2809">
      <c r="D2809" s="123"/>
    </row>
    <row r="2810">
      <c r="D2810" s="123"/>
    </row>
    <row r="2811">
      <c r="D2811" s="123"/>
    </row>
    <row r="2812">
      <c r="D2812" s="123"/>
    </row>
    <row r="2813">
      <c r="D2813" s="123"/>
    </row>
    <row r="2814">
      <c r="D2814" s="123"/>
    </row>
    <row r="2815">
      <c r="D2815" s="123"/>
    </row>
    <row r="2816">
      <c r="D2816" s="123"/>
    </row>
    <row r="2817">
      <c r="D2817" s="123"/>
    </row>
    <row r="2818">
      <c r="D2818" s="123"/>
    </row>
    <row r="2819">
      <c r="D2819" s="123"/>
    </row>
    <row r="2820">
      <c r="D2820" s="123"/>
    </row>
    <row r="2821">
      <c r="D2821" s="123"/>
    </row>
    <row r="2822">
      <c r="D2822" s="123"/>
    </row>
    <row r="2823">
      <c r="D2823" s="123"/>
    </row>
    <row r="2824">
      <c r="D2824" s="123"/>
    </row>
    <row r="2825">
      <c r="D2825" s="123"/>
    </row>
    <row r="2826">
      <c r="D2826" s="123"/>
    </row>
    <row r="2827">
      <c r="D2827" s="123"/>
    </row>
    <row r="2828">
      <c r="D2828" s="123"/>
    </row>
    <row r="2829">
      <c r="D2829" s="123"/>
    </row>
    <row r="2830">
      <c r="D2830" s="123"/>
    </row>
    <row r="2831">
      <c r="D2831" s="123"/>
    </row>
    <row r="2832">
      <c r="D2832" s="123"/>
    </row>
    <row r="2833">
      <c r="D2833" s="123"/>
    </row>
    <row r="2834">
      <c r="D2834" s="123"/>
    </row>
    <row r="2835">
      <c r="D2835" s="123"/>
    </row>
    <row r="2836">
      <c r="D2836" s="123"/>
    </row>
    <row r="2837">
      <c r="D2837" s="123"/>
    </row>
    <row r="2838">
      <c r="D2838" s="123"/>
    </row>
    <row r="2839">
      <c r="D2839" s="123"/>
    </row>
    <row r="2840">
      <c r="D2840" s="123"/>
    </row>
    <row r="2841">
      <c r="D2841" s="123"/>
    </row>
    <row r="2842">
      <c r="D2842" s="123"/>
    </row>
    <row r="2843">
      <c r="D2843" s="123"/>
    </row>
    <row r="2844">
      <c r="D2844" s="123"/>
    </row>
    <row r="2845">
      <c r="D2845" s="123"/>
    </row>
    <row r="2846">
      <c r="D2846" s="123"/>
    </row>
    <row r="2847">
      <c r="D2847" s="123"/>
    </row>
    <row r="2848">
      <c r="D2848" s="123"/>
    </row>
    <row r="2849">
      <c r="D2849" s="123"/>
    </row>
    <row r="2850">
      <c r="D2850" s="123"/>
    </row>
    <row r="2851">
      <c r="D2851" s="123"/>
    </row>
    <row r="2852">
      <c r="D2852" s="123"/>
    </row>
    <row r="2853">
      <c r="D2853" s="123"/>
    </row>
    <row r="2854">
      <c r="D2854" s="123"/>
    </row>
    <row r="2855">
      <c r="D2855" s="123"/>
    </row>
    <row r="2856">
      <c r="D2856" s="123"/>
    </row>
    <row r="2857">
      <c r="D2857" s="123"/>
    </row>
    <row r="2858">
      <c r="D2858" s="123"/>
    </row>
    <row r="2859">
      <c r="D2859" s="123"/>
    </row>
    <row r="2860">
      <c r="D2860" s="123"/>
    </row>
    <row r="2861">
      <c r="D2861" s="123"/>
    </row>
    <row r="2862">
      <c r="D2862" s="123"/>
    </row>
    <row r="2863">
      <c r="D2863" s="123"/>
    </row>
    <row r="2864">
      <c r="D2864" s="123"/>
    </row>
    <row r="2865">
      <c r="D2865" s="123"/>
    </row>
    <row r="2866">
      <c r="D2866" s="123"/>
    </row>
    <row r="2867">
      <c r="D2867" s="123"/>
    </row>
    <row r="2868">
      <c r="D2868" s="123"/>
    </row>
    <row r="2869">
      <c r="D2869" s="123"/>
    </row>
    <row r="2870">
      <c r="D2870" s="123"/>
    </row>
    <row r="2871">
      <c r="D2871" s="123"/>
    </row>
    <row r="2872">
      <c r="D2872" s="123"/>
    </row>
    <row r="2873">
      <c r="D2873" s="123"/>
    </row>
    <row r="2874">
      <c r="D2874" s="123"/>
    </row>
    <row r="2875">
      <c r="D2875" s="123"/>
    </row>
    <row r="2876">
      <c r="D2876" s="123"/>
    </row>
    <row r="2877">
      <c r="D2877" s="123"/>
    </row>
    <row r="2878">
      <c r="D2878" s="123"/>
    </row>
    <row r="2879">
      <c r="D2879" s="123"/>
    </row>
    <row r="2880">
      <c r="D2880" s="123"/>
    </row>
    <row r="2881">
      <c r="D2881" s="123"/>
    </row>
    <row r="2882">
      <c r="D2882" s="123"/>
    </row>
    <row r="2883">
      <c r="D2883" s="123"/>
    </row>
    <row r="2884">
      <c r="D2884" s="123"/>
    </row>
    <row r="2885">
      <c r="D2885" s="123"/>
    </row>
    <row r="2886">
      <c r="D2886" s="123"/>
    </row>
    <row r="2887">
      <c r="D2887" s="123"/>
    </row>
    <row r="2888">
      <c r="D2888" s="123"/>
    </row>
    <row r="2889">
      <c r="D2889" s="123"/>
    </row>
    <row r="2890">
      <c r="D2890" s="123"/>
    </row>
    <row r="2891">
      <c r="D2891" s="123"/>
    </row>
    <row r="2892">
      <c r="D2892" s="123"/>
    </row>
    <row r="2893">
      <c r="D2893" s="123"/>
    </row>
    <row r="2894">
      <c r="D2894" s="123"/>
    </row>
    <row r="2895">
      <c r="D2895" s="123"/>
    </row>
    <row r="2896">
      <c r="D2896" s="123"/>
    </row>
    <row r="2897">
      <c r="D2897" s="123"/>
    </row>
    <row r="2898">
      <c r="D2898" s="123"/>
    </row>
    <row r="2899">
      <c r="D2899" s="123"/>
    </row>
    <row r="2900">
      <c r="D2900" s="123"/>
    </row>
    <row r="2901">
      <c r="D2901" s="123"/>
    </row>
    <row r="2902">
      <c r="D2902" s="123"/>
    </row>
    <row r="2903">
      <c r="D2903" s="123"/>
    </row>
    <row r="2904">
      <c r="D2904" s="123"/>
    </row>
    <row r="2905">
      <c r="D2905" s="123"/>
    </row>
    <row r="2906">
      <c r="D2906" s="123"/>
    </row>
    <row r="2907">
      <c r="D2907" s="123"/>
    </row>
    <row r="2908">
      <c r="D2908" s="123"/>
    </row>
    <row r="2909">
      <c r="D2909" s="123"/>
    </row>
    <row r="2910">
      <c r="D2910" s="123"/>
    </row>
    <row r="2911">
      <c r="D2911" s="123"/>
    </row>
    <row r="2912">
      <c r="D2912" s="123"/>
    </row>
    <row r="2913">
      <c r="D2913" s="123"/>
    </row>
    <row r="2914">
      <c r="D2914" s="123"/>
    </row>
    <row r="2915">
      <c r="D2915" s="123"/>
    </row>
    <row r="2916">
      <c r="D2916" s="123"/>
    </row>
    <row r="2917">
      <c r="D2917" s="123"/>
    </row>
    <row r="2918">
      <c r="D2918" s="123"/>
    </row>
    <row r="2919">
      <c r="D2919" s="123"/>
    </row>
    <row r="2920">
      <c r="D2920" s="123"/>
    </row>
    <row r="2921">
      <c r="D2921" s="123"/>
    </row>
    <row r="2922">
      <c r="D2922" s="123"/>
    </row>
    <row r="2923">
      <c r="D2923" s="123"/>
    </row>
    <row r="2924">
      <c r="D2924" s="123"/>
    </row>
    <row r="2925">
      <c r="D2925" s="123"/>
    </row>
    <row r="2926">
      <c r="D2926" s="123"/>
    </row>
    <row r="2927">
      <c r="D2927" s="123"/>
    </row>
    <row r="2928">
      <c r="D2928" s="123"/>
    </row>
    <row r="2929">
      <c r="D2929" s="123"/>
    </row>
    <row r="2930">
      <c r="D2930" s="123"/>
    </row>
    <row r="2931">
      <c r="D2931" s="123"/>
    </row>
    <row r="2932">
      <c r="D2932" s="123"/>
    </row>
    <row r="2933">
      <c r="D2933" s="123"/>
    </row>
    <row r="2934">
      <c r="D2934" s="123"/>
    </row>
    <row r="2935">
      <c r="D2935" s="123"/>
    </row>
    <row r="2936">
      <c r="D2936" s="123"/>
    </row>
    <row r="2937">
      <c r="D2937" s="123"/>
    </row>
    <row r="2938">
      <c r="D2938" s="123"/>
    </row>
    <row r="2939">
      <c r="D2939" s="123"/>
    </row>
    <row r="2940">
      <c r="D2940" s="123"/>
    </row>
    <row r="2941">
      <c r="D2941" s="123"/>
    </row>
    <row r="2942">
      <c r="D2942" s="123"/>
    </row>
    <row r="2943">
      <c r="D2943" s="123"/>
    </row>
    <row r="2944">
      <c r="D2944" s="123"/>
    </row>
    <row r="2945">
      <c r="D2945" s="123"/>
    </row>
    <row r="2946">
      <c r="D2946" s="123"/>
    </row>
    <row r="2947">
      <c r="D2947" s="123"/>
    </row>
    <row r="2948">
      <c r="D2948" s="123"/>
    </row>
    <row r="2949">
      <c r="D2949" s="123"/>
    </row>
    <row r="2950">
      <c r="D2950" s="123"/>
    </row>
    <row r="2951">
      <c r="D2951" s="123"/>
    </row>
    <row r="2952">
      <c r="D2952" s="123"/>
    </row>
    <row r="2953">
      <c r="D2953" s="123"/>
    </row>
    <row r="2954">
      <c r="D2954" s="123"/>
    </row>
    <row r="2955">
      <c r="D2955" s="123"/>
    </row>
    <row r="2956">
      <c r="D2956" s="123"/>
    </row>
    <row r="2957">
      <c r="D2957" s="123"/>
    </row>
    <row r="2958">
      <c r="D2958" s="123"/>
    </row>
    <row r="2959">
      <c r="D2959" s="123"/>
    </row>
    <row r="2960">
      <c r="D2960" s="123"/>
    </row>
    <row r="2961">
      <c r="D2961" s="123"/>
    </row>
    <row r="2962">
      <c r="D2962" s="123"/>
    </row>
    <row r="2963">
      <c r="D2963" s="123"/>
    </row>
    <row r="2964">
      <c r="D2964" s="123"/>
    </row>
    <row r="2965">
      <c r="D2965" s="123"/>
    </row>
    <row r="2966">
      <c r="D2966" s="123"/>
    </row>
    <row r="2967">
      <c r="D2967" s="123"/>
    </row>
    <row r="2968">
      <c r="D2968" s="123"/>
    </row>
    <row r="2969">
      <c r="D2969" s="123"/>
    </row>
    <row r="2970">
      <c r="D2970" s="123"/>
    </row>
    <row r="2971">
      <c r="D2971" s="123"/>
    </row>
    <row r="2972">
      <c r="D2972" s="123"/>
    </row>
    <row r="2973">
      <c r="D2973" s="123"/>
    </row>
    <row r="2974">
      <c r="D2974" s="123"/>
    </row>
    <row r="2975">
      <c r="D2975" s="123"/>
    </row>
    <row r="2976">
      <c r="D2976" s="123"/>
    </row>
    <row r="2977">
      <c r="D2977" s="123"/>
    </row>
    <row r="2978">
      <c r="D2978" s="123"/>
    </row>
    <row r="2979">
      <c r="D2979" s="123"/>
    </row>
    <row r="2980">
      <c r="D2980" s="123"/>
    </row>
    <row r="2981">
      <c r="D2981" s="123"/>
    </row>
    <row r="2982">
      <c r="D2982" s="123"/>
    </row>
    <row r="2983">
      <c r="D2983" s="123"/>
    </row>
    <row r="2984">
      <c r="D2984" s="123"/>
    </row>
    <row r="2985">
      <c r="D2985" s="123"/>
    </row>
    <row r="2986">
      <c r="D2986" s="123"/>
    </row>
    <row r="2987">
      <c r="D2987" s="123"/>
    </row>
    <row r="2988">
      <c r="D2988" s="123"/>
    </row>
    <row r="2989">
      <c r="D2989" s="123"/>
    </row>
    <row r="2990">
      <c r="D2990" s="123"/>
    </row>
    <row r="2991">
      <c r="D2991" s="123"/>
    </row>
    <row r="2992">
      <c r="D2992" s="123"/>
    </row>
    <row r="2993">
      <c r="D2993" s="123"/>
    </row>
    <row r="2994">
      <c r="D2994" s="123"/>
    </row>
    <row r="2995">
      <c r="D2995" s="123"/>
    </row>
    <row r="2996">
      <c r="D2996" s="123"/>
    </row>
    <row r="2997">
      <c r="D2997" s="123"/>
    </row>
    <row r="2998">
      <c r="D2998" s="123"/>
    </row>
    <row r="2999">
      <c r="D2999" s="123"/>
    </row>
    <row r="3000">
      <c r="D3000" s="123"/>
    </row>
    <row r="3001">
      <c r="D3001" s="123"/>
    </row>
    <row r="3002">
      <c r="D3002" s="123"/>
    </row>
    <row r="3003">
      <c r="D3003" s="123"/>
    </row>
    <row r="3004">
      <c r="D3004" s="123"/>
    </row>
    <row r="3005">
      <c r="D3005" s="123"/>
    </row>
    <row r="3006">
      <c r="D3006" s="123"/>
    </row>
    <row r="3007">
      <c r="D3007" s="123"/>
    </row>
    <row r="3008">
      <c r="D3008" s="123"/>
    </row>
    <row r="3009">
      <c r="D3009" s="123"/>
    </row>
    <row r="3010">
      <c r="D3010" s="123"/>
    </row>
    <row r="3011">
      <c r="D3011" s="123"/>
    </row>
    <row r="3012">
      <c r="D3012" s="123"/>
    </row>
    <row r="3013">
      <c r="D3013" s="123"/>
    </row>
    <row r="3014">
      <c r="D3014" s="123"/>
    </row>
    <row r="3015">
      <c r="D3015" s="123"/>
    </row>
    <row r="3016">
      <c r="D3016" s="123"/>
    </row>
    <row r="3017">
      <c r="D3017" s="123"/>
    </row>
    <row r="3018">
      <c r="D3018" s="123"/>
    </row>
    <row r="3019">
      <c r="D3019" s="123"/>
    </row>
    <row r="3020">
      <c r="D3020" s="123"/>
    </row>
    <row r="3021">
      <c r="D3021" s="123"/>
    </row>
    <row r="3022">
      <c r="D3022" s="123"/>
    </row>
    <row r="3023">
      <c r="D3023" s="123"/>
    </row>
    <row r="3024">
      <c r="D3024" s="123"/>
    </row>
    <row r="3025">
      <c r="D3025" s="123"/>
    </row>
    <row r="3026">
      <c r="D3026" s="123"/>
    </row>
    <row r="3027">
      <c r="D3027" s="123"/>
    </row>
    <row r="3028">
      <c r="D3028" s="123"/>
    </row>
    <row r="3029">
      <c r="D3029" s="123"/>
    </row>
    <row r="3030">
      <c r="D3030" s="123"/>
    </row>
    <row r="3031">
      <c r="D3031" s="123"/>
    </row>
    <row r="3032">
      <c r="D3032" s="123"/>
    </row>
    <row r="3033">
      <c r="D3033" s="123"/>
    </row>
    <row r="3034">
      <c r="D3034" s="123"/>
    </row>
    <row r="3035">
      <c r="D3035" s="123"/>
    </row>
    <row r="3036">
      <c r="D3036" s="123"/>
    </row>
    <row r="3037">
      <c r="D3037" s="123"/>
    </row>
    <row r="3038">
      <c r="D3038" s="123"/>
    </row>
    <row r="3039">
      <c r="D3039" s="123"/>
    </row>
    <row r="3040">
      <c r="D3040" s="123"/>
    </row>
    <row r="3041">
      <c r="D3041" s="123"/>
    </row>
    <row r="3042">
      <c r="D3042" s="123"/>
    </row>
    <row r="3043">
      <c r="D3043" s="123"/>
    </row>
    <row r="3044">
      <c r="D3044" s="123"/>
    </row>
    <row r="3045">
      <c r="D3045" s="123"/>
    </row>
    <row r="3046">
      <c r="D3046" s="123"/>
    </row>
    <row r="3047">
      <c r="D3047" s="123"/>
    </row>
    <row r="3048">
      <c r="D3048" s="123"/>
    </row>
    <row r="3049">
      <c r="D3049" s="123"/>
    </row>
    <row r="3050">
      <c r="D3050" s="123"/>
    </row>
    <row r="3051">
      <c r="D3051" s="123"/>
    </row>
    <row r="3052">
      <c r="D3052" s="123"/>
    </row>
    <row r="3053">
      <c r="D3053" s="123"/>
    </row>
    <row r="3054">
      <c r="D3054" s="123"/>
    </row>
    <row r="3055">
      <c r="D3055" s="123"/>
    </row>
    <row r="3056">
      <c r="D3056" s="123"/>
    </row>
    <row r="3057">
      <c r="D3057" s="123"/>
    </row>
    <row r="3058">
      <c r="D3058" s="123"/>
    </row>
    <row r="3059">
      <c r="D3059" s="123"/>
    </row>
    <row r="3060">
      <c r="D3060" s="123"/>
    </row>
    <row r="3061">
      <c r="D3061" s="123"/>
    </row>
    <row r="3062">
      <c r="D3062" s="123"/>
    </row>
    <row r="3063">
      <c r="D3063" s="123"/>
    </row>
    <row r="3064">
      <c r="D3064" s="123"/>
    </row>
    <row r="3065">
      <c r="D3065" s="123"/>
    </row>
    <row r="3066">
      <c r="D3066" s="123"/>
    </row>
    <row r="3067">
      <c r="D3067" s="123"/>
    </row>
    <row r="3068">
      <c r="D3068" s="123"/>
    </row>
    <row r="3069">
      <c r="D3069" s="123"/>
    </row>
    <row r="3070">
      <c r="D3070" s="123"/>
    </row>
    <row r="3071">
      <c r="D3071" s="123"/>
    </row>
    <row r="3072">
      <c r="D3072" s="123"/>
    </row>
    <row r="3073">
      <c r="D3073" s="123"/>
    </row>
    <row r="3074">
      <c r="D3074" s="123"/>
    </row>
    <row r="3075">
      <c r="D3075" s="123"/>
    </row>
    <row r="3076">
      <c r="D3076" s="123"/>
    </row>
    <row r="3077">
      <c r="D3077" s="123"/>
    </row>
    <row r="3078">
      <c r="D3078" s="123"/>
    </row>
    <row r="3079">
      <c r="D3079" s="123"/>
    </row>
    <row r="3080">
      <c r="D3080" s="123"/>
    </row>
    <row r="3081">
      <c r="D3081" s="123"/>
    </row>
    <row r="3082">
      <c r="D3082" s="123"/>
    </row>
    <row r="3083">
      <c r="D3083" s="123"/>
    </row>
    <row r="3084">
      <c r="D3084" s="123"/>
    </row>
    <row r="3085">
      <c r="D3085" s="123"/>
    </row>
    <row r="3086">
      <c r="D3086" s="123"/>
    </row>
    <row r="3087">
      <c r="D3087" s="123"/>
    </row>
    <row r="3088">
      <c r="D3088" s="123"/>
    </row>
    <row r="3089">
      <c r="D3089" s="123"/>
    </row>
    <row r="3090">
      <c r="D3090" s="123"/>
    </row>
    <row r="3091">
      <c r="D3091" s="123"/>
    </row>
    <row r="3092">
      <c r="D3092" s="123"/>
    </row>
    <row r="3093">
      <c r="D3093" s="123"/>
    </row>
    <row r="3094">
      <c r="D3094" s="123"/>
    </row>
    <row r="3095">
      <c r="D3095" s="123"/>
    </row>
    <row r="3096">
      <c r="D3096" s="123"/>
    </row>
    <row r="3097">
      <c r="D3097" s="123"/>
    </row>
    <row r="3098">
      <c r="D3098" s="123"/>
    </row>
    <row r="3099">
      <c r="D3099" s="123"/>
    </row>
    <row r="3100">
      <c r="D3100" s="123"/>
    </row>
    <row r="3101">
      <c r="D3101" s="123"/>
    </row>
    <row r="3102">
      <c r="D3102" s="123"/>
    </row>
    <row r="3103">
      <c r="D3103" s="123"/>
    </row>
    <row r="3104">
      <c r="D3104" s="123"/>
    </row>
    <row r="3105">
      <c r="D3105" s="123"/>
    </row>
    <row r="3106">
      <c r="D3106" s="123"/>
    </row>
    <row r="3107">
      <c r="D3107" s="123"/>
    </row>
    <row r="3108">
      <c r="D3108" s="123"/>
    </row>
    <row r="3109">
      <c r="D3109" s="123"/>
    </row>
    <row r="3110">
      <c r="D3110" s="123"/>
    </row>
    <row r="3111">
      <c r="D3111" s="123"/>
    </row>
    <row r="3112">
      <c r="D3112" s="123"/>
    </row>
    <row r="3113">
      <c r="D3113" s="123"/>
    </row>
    <row r="3114">
      <c r="D3114" s="123"/>
    </row>
    <row r="3115">
      <c r="D3115" s="123"/>
    </row>
    <row r="3116">
      <c r="D3116" s="123"/>
    </row>
    <row r="3117">
      <c r="D3117" s="123"/>
    </row>
    <row r="3118">
      <c r="D3118" s="123"/>
    </row>
    <row r="3119">
      <c r="D3119" s="123"/>
    </row>
    <row r="3120">
      <c r="D3120" s="123"/>
    </row>
    <row r="3121">
      <c r="D3121" s="123"/>
    </row>
    <row r="3122">
      <c r="D3122" s="123"/>
    </row>
    <row r="3123">
      <c r="D3123" s="123"/>
    </row>
    <row r="3124">
      <c r="D3124" s="123"/>
    </row>
    <row r="3125">
      <c r="D3125" s="123"/>
    </row>
    <row r="3126">
      <c r="D3126" s="123"/>
    </row>
    <row r="3127">
      <c r="D3127" s="123"/>
    </row>
    <row r="3128">
      <c r="D3128" s="123"/>
    </row>
    <row r="3129">
      <c r="D3129" s="123"/>
    </row>
    <row r="3130">
      <c r="D3130" s="123"/>
    </row>
    <row r="3131">
      <c r="D3131" s="123"/>
    </row>
    <row r="3132">
      <c r="D3132" s="123"/>
    </row>
    <row r="3133">
      <c r="D3133" s="123"/>
    </row>
    <row r="3134">
      <c r="D3134" s="123"/>
    </row>
    <row r="3135">
      <c r="D3135" s="123"/>
    </row>
    <row r="3136">
      <c r="D3136" s="123"/>
    </row>
    <row r="3137">
      <c r="D3137" s="123"/>
    </row>
    <row r="3138">
      <c r="D3138" s="123"/>
    </row>
    <row r="3139">
      <c r="D3139" s="123"/>
    </row>
    <row r="3140">
      <c r="D3140" s="123"/>
    </row>
    <row r="3141">
      <c r="D3141" s="123"/>
    </row>
    <row r="3142">
      <c r="D3142" s="123"/>
    </row>
    <row r="3143">
      <c r="D3143" s="123"/>
    </row>
    <row r="3144">
      <c r="D3144" s="123"/>
    </row>
    <row r="3145">
      <c r="D3145" s="123"/>
    </row>
    <row r="3146">
      <c r="D3146" s="123"/>
    </row>
    <row r="3147">
      <c r="D3147" s="123"/>
    </row>
    <row r="3148">
      <c r="D3148" s="123"/>
    </row>
    <row r="3149">
      <c r="D3149" s="123"/>
    </row>
    <row r="3150">
      <c r="D3150" s="123"/>
    </row>
    <row r="3151">
      <c r="D3151" s="123"/>
    </row>
    <row r="3152">
      <c r="D3152" s="123"/>
    </row>
    <row r="3153">
      <c r="D3153" s="123"/>
    </row>
    <row r="3154">
      <c r="D3154" s="123"/>
    </row>
    <row r="3155">
      <c r="D3155" s="123"/>
    </row>
    <row r="3156">
      <c r="D3156" s="123"/>
    </row>
    <row r="3157">
      <c r="D3157" s="123"/>
    </row>
    <row r="3158">
      <c r="D3158" s="123"/>
    </row>
    <row r="3159">
      <c r="D3159" s="123"/>
    </row>
    <row r="3160">
      <c r="D3160" s="123"/>
    </row>
    <row r="3161">
      <c r="D3161" s="123"/>
    </row>
    <row r="3162">
      <c r="D3162" s="123"/>
    </row>
    <row r="3163">
      <c r="D3163" s="123"/>
    </row>
    <row r="3164">
      <c r="D3164" s="123"/>
    </row>
    <row r="3165">
      <c r="D3165" s="123"/>
    </row>
    <row r="3166">
      <c r="D3166" s="123"/>
    </row>
    <row r="3167">
      <c r="D3167" s="123"/>
    </row>
    <row r="3168">
      <c r="D3168" s="123"/>
    </row>
    <row r="3169">
      <c r="D3169" s="123"/>
    </row>
    <row r="3170">
      <c r="D3170" s="123"/>
    </row>
    <row r="3171">
      <c r="D3171" s="123"/>
    </row>
    <row r="3172">
      <c r="D3172" s="123"/>
    </row>
    <row r="3173">
      <c r="D3173" s="123"/>
    </row>
    <row r="3174">
      <c r="D3174" s="123"/>
    </row>
    <row r="3175">
      <c r="D3175" s="123"/>
    </row>
    <row r="3176">
      <c r="D3176" s="123"/>
    </row>
    <row r="3177">
      <c r="D3177" s="123"/>
    </row>
    <row r="3178">
      <c r="D3178" s="123"/>
    </row>
    <row r="3179">
      <c r="D3179" s="123"/>
    </row>
    <row r="3180">
      <c r="D3180" s="123"/>
    </row>
    <row r="3181">
      <c r="D3181" s="123"/>
    </row>
    <row r="3182">
      <c r="D3182" s="123"/>
    </row>
    <row r="3183">
      <c r="D3183" s="123"/>
    </row>
    <row r="3184">
      <c r="D3184" s="123"/>
    </row>
    <row r="3185">
      <c r="D3185" s="123"/>
    </row>
    <row r="3186">
      <c r="D3186" s="123"/>
    </row>
    <row r="3187">
      <c r="D3187" s="123"/>
    </row>
    <row r="3188">
      <c r="D3188" s="123"/>
    </row>
    <row r="3189">
      <c r="D3189" s="123"/>
    </row>
    <row r="3190">
      <c r="D3190" s="123"/>
    </row>
    <row r="3191">
      <c r="D3191" s="123"/>
    </row>
    <row r="3192">
      <c r="D3192" s="123"/>
    </row>
    <row r="3193">
      <c r="D3193" s="123"/>
    </row>
    <row r="3194">
      <c r="D3194" s="123"/>
    </row>
    <row r="3195">
      <c r="D3195" s="123"/>
    </row>
    <row r="3196">
      <c r="D3196" s="123"/>
    </row>
    <row r="3197">
      <c r="D3197" s="123"/>
    </row>
    <row r="3198">
      <c r="D3198" s="123"/>
    </row>
    <row r="3199">
      <c r="D3199" s="123"/>
    </row>
    <row r="3200">
      <c r="D3200" s="123"/>
    </row>
    <row r="3201">
      <c r="D3201" s="123"/>
    </row>
    <row r="3202">
      <c r="D3202" s="123"/>
    </row>
    <row r="3203">
      <c r="D3203" s="123"/>
    </row>
    <row r="3204">
      <c r="D3204" s="123"/>
    </row>
    <row r="3205">
      <c r="D3205" s="123"/>
    </row>
    <row r="3206">
      <c r="D3206" s="123"/>
    </row>
    <row r="3207">
      <c r="D3207" s="123"/>
    </row>
    <row r="3208">
      <c r="D3208" s="123"/>
    </row>
    <row r="3209">
      <c r="D3209" s="123"/>
    </row>
    <row r="3210">
      <c r="D3210" s="123"/>
    </row>
    <row r="3211">
      <c r="D3211" s="123"/>
    </row>
    <row r="3212">
      <c r="D3212" s="123"/>
    </row>
    <row r="3213">
      <c r="D3213" s="123"/>
    </row>
    <row r="3214">
      <c r="D3214" s="123"/>
    </row>
    <row r="3215">
      <c r="D3215" s="123"/>
    </row>
    <row r="3216">
      <c r="D3216" s="123"/>
    </row>
    <row r="3217">
      <c r="D3217" s="123"/>
    </row>
    <row r="3218">
      <c r="D3218" s="123"/>
    </row>
    <row r="3219">
      <c r="D3219" s="123"/>
    </row>
    <row r="3220">
      <c r="D3220" s="123"/>
    </row>
    <row r="3221">
      <c r="D3221" s="123"/>
    </row>
    <row r="3222">
      <c r="D3222" s="123"/>
    </row>
    <row r="3223">
      <c r="D3223" s="123"/>
    </row>
    <row r="3224">
      <c r="D3224" s="123"/>
    </row>
    <row r="3225">
      <c r="D3225" s="123"/>
    </row>
    <row r="3226">
      <c r="D3226" s="123"/>
    </row>
    <row r="3227">
      <c r="D3227" s="123"/>
    </row>
    <row r="3228">
      <c r="D3228" s="123"/>
    </row>
    <row r="3229">
      <c r="D3229" s="123"/>
    </row>
    <row r="3230">
      <c r="D3230" s="123"/>
    </row>
    <row r="3231">
      <c r="D3231" s="123"/>
    </row>
    <row r="3232">
      <c r="D3232" s="123"/>
    </row>
    <row r="3233">
      <c r="D3233" s="123"/>
    </row>
    <row r="3234">
      <c r="D3234" s="123"/>
    </row>
    <row r="3235">
      <c r="D3235" s="123"/>
    </row>
    <row r="3236">
      <c r="D3236" s="123"/>
    </row>
    <row r="3237">
      <c r="D3237" s="123"/>
    </row>
    <row r="3238">
      <c r="D3238" s="123"/>
    </row>
    <row r="3239">
      <c r="D3239" s="123"/>
    </row>
    <row r="3240">
      <c r="D3240" s="123"/>
    </row>
    <row r="3241">
      <c r="D3241" s="123"/>
    </row>
    <row r="3242">
      <c r="D3242" s="123"/>
    </row>
    <row r="3243">
      <c r="D3243" s="123"/>
    </row>
    <row r="3244">
      <c r="D3244" s="123"/>
    </row>
    <row r="3245">
      <c r="D3245" s="123"/>
    </row>
    <row r="3246">
      <c r="D3246" s="123"/>
    </row>
    <row r="3247">
      <c r="D3247" s="123"/>
    </row>
    <row r="3248">
      <c r="D3248" s="123"/>
    </row>
    <row r="3249">
      <c r="D3249" s="123"/>
    </row>
    <row r="3250">
      <c r="D3250" s="123"/>
    </row>
    <row r="3251">
      <c r="D3251" s="123"/>
    </row>
    <row r="3252">
      <c r="D3252" s="123"/>
    </row>
    <row r="3253">
      <c r="D3253" s="123"/>
    </row>
    <row r="3254">
      <c r="D3254" s="123"/>
    </row>
    <row r="3255">
      <c r="D3255" s="123"/>
    </row>
    <row r="3256">
      <c r="D3256" s="123"/>
    </row>
    <row r="3257">
      <c r="D3257" s="123"/>
    </row>
    <row r="3258">
      <c r="D3258" s="123"/>
    </row>
    <row r="3259">
      <c r="D3259" s="123"/>
    </row>
    <row r="3260">
      <c r="D3260" s="123"/>
    </row>
    <row r="3261">
      <c r="D3261" s="123"/>
    </row>
    <row r="3262">
      <c r="D3262" s="123"/>
    </row>
    <row r="3263">
      <c r="D3263" s="123"/>
    </row>
    <row r="3264">
      <c r="D3264" s="123"/>
    </row>
    <row r="3265">
      <c r="D3265" s="123"/>
    </row>
    <row r="3266">
      <c r="D3266" s="123"/>
    </row>
    <row r="3267">
      <c r="D3267" s="123"/>
    </row>
    <row r="3268">
      <c r="D3268" s="123"/>
    </row>
    <row r="3269">
      <c r="D3269" s="123"/>
    </row>
    <row r="3270">
      <c r="D3270" s="123"/>
    </row>
    <row r="3271">
      <c r="D3271" s="123"/>
    </row>
    <row r="3272">
      <c r="D3272" s="123"/>
    </row>
    <row r="3273">
      <c r="D3273" s="123"/>
    </row>
    <row r="3274">
      <c r="D3274" s="123"/>
    </row>
    <row r="3275">
      <c r="D3275" s="123"/>
    </row>
    <row r="3276">
      <c r="D3276" s="123"/>
    </row>
    <row r="3277">
      <c r="D3277" s="123"/>
    </row>
    <row r="3278">
      <c r="D3278" s="123"/>
    </row>
    <row r="3279">
      <c r="D3279" s="123"/>
    </row>
    <row r="3280">
      <c r="D3280" s="123"/>
    </row>
    <row r="3281">
      <c r="D3281" s="123"/>
    </row>
    <row r="3282">
      <c r="D3282" s="123"/>
    </row>
    <row r="3283">
      <c r="D3283" s="123"/>
    </row>
    <row r="3284">
      <c r="D3284" s="123"/>
    </row>
    <row r="3285">
      <c r="D3285" s="123"/>
    </row>
    <row r="3286">
      <c r="D3286" s="123"/>
    </row>
    <row r="3287">
      <c r="D3287" s="123"/>
    </row>
    <row r="3288">
      <c r="D3288" s="123"/>
    </row>
    <row r="3289">
      <c r="D3289" s="123"/>
    </row>
    <row r="3290">
      <c r="D3290" s="123"/>
    </row>
    <row r="3291">
      <c r="D3291" s="123"/>
    </row>
    <row r="3292">
      <c r="D3292" s="123"/>
    </row>
    <row r="3293">
      <c r="D3293" s="123"/>
    </row>
    <row r="3294">
      <c r="D3294" s="123"/>
    </row>
    <row r="3295">
      <c r="D3295" s="123"/>
    </row>
    <row r="3296">
      <c r="D3296" s="123"/>
    </row>
    <row r="3297">
      <c r="D3297" s="123"/>
    </row>
    <row r="3298">
      <c r="D3298" s="123"/>
    </row>
    <row r="3299">
      <c r="D3299" s="123"/>
    </row>
    <row r="3300">
      <c r="D3300" s="123"/>
    </row>
    <row r="3301">
      <c r="D3301" s="123"/>
    </row>
    <row r="3302">
      <c r="D3302" s="123"/>
    </row>
    <row r="3303">
      <c r="D3303" s="123"/>
    </row>
    <row r="3304">
      <c r="D3304" s="123"/>
    </row>
    <row r="3305">
      <c r="D3305" s="123"/>
    </row>
    <row r="3306">
      <c r="D3306" s="123"/>
    </row>
    <row r="3307">
      <c r="D3307" s="123"/>
    </row>
    <row r="3308">
      <c r="D3308" s="123"/>
    </row>
    <row r="3309">
      <c r="D3309" s="123"/>
    </row>
    <row r="3310">
      <c r="D3310" s="123"/>
    </row>
    <row r="3311">
      <c r="D3311" s="123"/>
    </row>
    <row r="3312">
      <c r="D3312" s="123"/>
    </row>
    <row r="3313">
      <c r="D3313" s="123"/>
    </row>
    <row r="3314">
      <c r="D3314" s="123"/>
    </row>
    <row r="3315">
      <c r="D3315" s="123"/>
    </row>
    <row r="3316">
      <c r="D3316" s="123"/>
    </row>
    <row r="3317">
      <c r="D3317" s="123"/>
    </row>
    <row r="3318">
      <c r="D3318" s="123"/>
    </row>
    <row r="3319">
      <c r="D3319" s="123"/>
    </row>
    <row r="3320">
      <c r="D3320" s="123"/>
    </row>
    <row r="3321">
      <c r="D3321" s="123"/>
    </row>
    <row r="3322">
      <c r="D3322" s="123"/>
    </row>
    <row r="3323">
      <c r="D3323" s="123"/>
    </row>
    <row r="3324">
      <c r="D3324" s="123"/>
    </row>
    <row r="3325">
      <c r="D3325" s="123"/>
    </row>
    <row r="3326">
      <c r="D3326" s="123"/>
    </row>
    <row r="3327">
      <c r="D3327" s="123"/>
    </row>
    <row r="3328">
      <c r="D3328" s="123"/>
    </row>
    <row r="3329">
      <c r="D3329" s="123"/>
    </row>
    <row r="3330">
      <c r="D3330" s="123"/>
    </row>
    <row r="3331">
      <c r="D3331" s="123"/>
    </row>
    <row r="3332">
      <c r="D3332" s="123"/>
    </row>
    <row r="3333">
      <c r="D3333" s="123"/>
    </row>
    <row r="3334">
      <c r="D3334" s="123"/>
    </row>
    <row r="3335">
      <c r="D3335" s="123"/>
    </row>
    <row r="3336">
      <c r="D3336" s="123"/>
    </row>
    <row r="3337">
      <c r="D3337" s="123"/>
    </row>
    <row r="3338">
      <c r="D3338" s="123"/>
    </row>
    <row r="3339">
      <c r="D3339" s="123"/>
    </row>
    <row r="3340">
      <c r="D3340" s="123"/>
    </row>
    <row r="3341">
      <c r="D3341" s="123"/>
    </row>
    <row r="3342">
      <c r="D3342" s="123"/>
    </row>
    <row r="3343">
      <c r="D3343" s="123"/>
    </row>
    <row r="3344">
      <c r="D3344" s="123"/>
    </row>
    <row r="3345">
      <c r="D3345" s="123"/>
    </row>
    <row r="3346">
      <c r="D3346" s="123"/>
    </row>
    <row r="3347">
      <c r="D3347" s="123"/>
    </row>
    <row r="3348">
      <c r="D3348" s="123"/>
    </row>
    <row r="3349">
      <c r="D3349" s="123"/>
    </row>
    <row r="3350">
      <c r="D3350" s="123"/>
    </row>
    <row r="3351">
      <c r="D3351" s="123"/>
    </row>
    <row r="3352">
      <c r="D3352" s="123"/>
    </row>
    <row r="3353">
      <c r="D3353" s="123"/>
    </row>
    <row r="3354">
      <c r="D3354" s="123"/>
    </row>
    <row r="3355">
      <c r="D3355" s="123"/>
    </row>
    <row r="3356">
      <c r="D3356" s="123"/>
    </row>
    <row r="3357">
      <c r="D3357" s="123"/>
    </row>
    <row r="3358">
      <c r="D3358" s="123"/>
    </row>
    <row r="3359">
      <c r="D3359" s="123"/>
    </row>
    <row r="3360">
      <c r="D3360" s="123"/>
    </row>
    <row r="3361">
      <c r="D3361" s="123"/>
    </row>
    <row r="3362">
      <c r="D3362" s="123"/>
    </row>
    <row r="3363">
      <c r="D3363" s="123"/>
    </row>
    <row r="3364">
      <c r="D3364" s="123"/>
    </row>
    <row r="3365">
      <c r="D3365" s="123"/>
    </row>
    <row r="3366">
      <c r="D3366" s="123"/>
    </row>
    <row r="3367">
      <c r="D3367" s="123"/>
    </row>
    <row r="3368">
      <c r="D3368" s="123"/>
    </row>
    <row r="3369">
      <c r="D3369" s="123"/>
    </row>
    <row r="3370">
      <c r="D3370" s="123"/>
    </row>
    <row r="3371">
      <c r="D3371" s="123"/>
    </row>
    <row r="3372">
      <c r="D3372" s="123"/>
    </row>
    <row r="3373">
      <c r="D3373" s="123"/>
    </row>
    <row r="3374">
      <c r="D3374" s="123"/>
    </row>
    <row r="3375">
      <c r="D3375" s="123"/>
    </row>
    <row r="3376">
      <c r="D3376" s="123"/>
    </row>
    <row r="3377">
      <c r="D3377" s="123"/>
    </row>
    <row r="3378">
      <c r="D3378" s="123"/>
    </row>
    <row r="3379">
      <c r="D3379" s="123"/>
    </row>
    <row r="3380">
      <c r="D3380" s="123"/>
    </row>
    <row r="3381">
      <c r="D3381" s="123"/>
    </row>
    <row r="3382">
      <c r="D3382" s="123"/>
    </row>
    <row r="3383">
      <c r="D3383" s="123"/>
    </row>
    <row r="3384">
      <c r="D3384" s="123"/>
    </row>
    <row r="3385">
      <c r="D3385" s="123"/>
    </row>
    <row r="3386">
      <c r="D3386" s="123"/>
    </row>
    <row r="3387">
      <c r="D3387" s="123"/>
    </row>
    <row r="3388">
      <c r="D3388" s="123"/>
    </row>
    <row r="3389">
      <c r="D3389" s="123"/>
    </row>
    <row r="3390">
      <c r="D3390" s="123"/>
    </row>
    <row r="3391">
      <c r="D3391" s="123"/>
    </row>
    <row r="3392">
      <c r="D3392" s="123"/>
    </row>
    <row r="3393">
      <c r="D3393" s="123"/>
    </row>
    <row r="3394">
      <c r="D3394" s="123"/>
    </row>
    <row r="3395">
      <c r="D3395" s="123"/>
    </row>
    <row r="3396">
      <c r="D3396" s="123"/>
    </row>
    <row r="3397">
      <c r="D3397" s="123"/>
    </row>
    <row r="3398">
      <c r="D3398" s="123"/>
    </row>
    <row r="3399">
      <c r="D3399" s="123"/>
    </row>
    <row r="3400">
      <c r="D3400" s="123"/>
    </row>
    <row r="3401">
      <c r="D3401" s="123"/>
    </row>
    <row r="3402">
      <c r="D3402" s="123"/>
    </row>
    <row r="3403">
      <c r="D3403" s="123"/>
    </row>
    <row r="3404">
      <c r="D3404" s="123"/>
    </row>
    <row r="3405">
      <c r="D3405" s="123"/>
    </row>
    <row r="3406">
      <c r="D3406" s="123"/>
    </row>
    <row r="3407">
      <c r="D3407" s="123"/>
    </row>
    <row r="3408">
      <c r="D3408" s="123"/>
    </row>
    <row r="3409">
      <c r="D3409" s="123"/>
    </row>
    <row r="3410">
      <c r="D3410" s="123"/>
    </row>
    <row r="3411">
      <c r="D3411" s="123"/>
    </row>
    <row r="3412">
      <c r="D3412" s="123"/>
    </row>
    <row r="3413">
      <c r="D3413" s="123"/>
    </row>
    <row r="3414">
      <c r="D3414" s="123"/>
    </row>
    <row r="3415">
      <c r="D3415" s="123"/>
    </row>
    <row r="3416">
      <c r="D3416" s="123"/>
    </row>
    <row r="3417">
      <c r="D3417" s="123"/>
    </row>
    <row r="3418">
      <c r="D3418" s="123"/>
    </row>
    <row r="3419">
      <c r="D3419" s="123"/>
    </row>
    <row r="3420">
      <c r="D3420" s="123"/>
    </row>
    <row r="3421">
      <c r="D3421" s="123"/>
    </row>
    <row r="3422">
      <c r="D3422" s="123"/>
    </row>
    <row r="3423">
      <c r="D3423" s="123"/>
    </row>
    <row r="3424">
      <c r="D3424" s="123"/>
    </row>
    <row r="3425">
      <c r="D3425" s="123"/>
    </row>
    <row r="3426">
      <c r="D3426" s="123"/>
    </row>
    <row r="3427">
      <c r="D3427" s="123"/>
    </row>
    <row r="3428">
      <c r="D3428" s="123"/>
    </row>
    <row r="3429">
      <c r="D3429" s="123"/>
    </row>
    <row r="3430">
      <c r="D3430" s="123"/>
    </row>
    <row r="3431">
      <c r="D3431" s="123"/>
    </row>
    <row r="3432">
      <c r="D3432" s="123"/>
    </row>
    <row r="3433">
      <c r="D3433" s="123"/>
    </row>
    <row r="3434">
      <c r="D3434" s="123"/>
    </row>
    <row r="3435">
      <c r="D3435" s="123"/>
    </row>
    <row r="3436">
      <c r="D3436" s="123"/>
    </row>
    <row r="3437">
      <c r="D3437" s="123"/>
    </row>
    <row r="3438">
      <c r="D3438" s="123"/>
    </row>
    <row r="3439">
      <c r="D3439" s="123"/>
    </row>
    <row r="3440">
      <c r="D3440" s="123"/>
    </row>
    <row r="3441">
      <c r="D3441" s="123"/>
    </row>
    <row r="3442">
      <c r="D3442" s="123"/>
    </row>
    <row r="3443">
      <c r="D3443" s="123"/>
    </row>
    <row r="3444">
      <c r="D3444" s="123"/>
    </row>
    <row r="3445">
      <c r="D3445" s="123"/>
    </row>
    <row r="3446">
      <c r="D3446" s="123"/>
    </row>
    <row r="3447">
      <c r="D3447" s="123"/>
    </row>
    <row r="3448">
      <c r="D3448" s="123"/>
    </row>
    <row r="3449">
      <c r="D3449" s="123"/>
    </row>
    <row r="3450">
      <c r="D3450" s="123"/>
    </row>
    <row r="3451">
      <c r="D3451" s="123"/>
    </row>
    <row r="3452">
      <c r="D3452" s="123"/>
    </row>
    <row r="3453">
      <c r="D3453" s="123"/>
    </row>
    <row r="3454">
      <c r="D3454" s="123"/>
    </row>
    <row r="3455">
      <c r="D3455" s="123"/>
    </row>
    <row r="3456">
      <c r="D3456" s="123"/>
    </row>
    <row r="3457">
      <c r="D3457" s="123"/>
    </row>
    <row r="3458">
      <c r="D3458" s="123"/>
    </row>
    <row r="3459">
      <c r="D3459" s="123"/>
    </row>
    <row r="3460">
      <c r="D3460" s="123"/>
    </row>
    <row r="3461">
      <c r="D3461" s="123"/>
    </row>
    <row r="3462">
      <c r="D3462" s="123"/>
    </row>
    <row r="3463">
      <c r="D3463" s="123"/>
    </row>
    <row r="3464">
      <c r="D3464" s="123"/>
    </row>
    <row r="3465">
      <c r="D3465" s="123"/>
    </row>
    <row r="3466">
      <c r="D3466" s="123"/>
    </row>
    <row r="3467">
      <c r="D3467" s="123"/>
    </row>
    <row r="3468">
      <c r="D3468" s="123"/>
    </row>
    <row r="3469">
      <c r="D3469" s="123"/>
    </row>
    <row r="3470">
      <c r="D3470" s="123"/>
    </row>
    <row r="3471">
      <c r="D3471" s="123"/>
    </row>
    <row r="3472">
      <c r="D3472" s="123"/>
    </row>
    <row r="3473">
      <c r="D3473" s="123"/>
    </row>
    <row r="3474">
      <c r="D3474" s="123"/>
    </row>
    <row r="3475">
      <c r="D3475" s="123"/>
    </row>
    <row r="3476">
      <c r="D3476" s="123"/>
    </row>
    <row r="3477">
      <c r="D3477" s="123"/>
    </row>
    <row r="3478">
      <c r="D3478" s="123"/>
    </row>
    <row r="3479">
      <c r="D3479" s="123"/>
    </row>
    <row r="3480">
      <c r="D3480" s="123"/>
    </row>
    <row r="3481">
      <c r="D3481" s="123"/>
    </row>
    <row r="3482">
      <c r="D3482" s="123"/>
    </row>
    <row r="3483">
      <c r="D3483" s="123"/>
    </row>
    <row r="3484">
      <c r="D3484" s="123"/>
    </row>
    <row r="3485">
      <c r="D3485" s="123"/>
    </row>
    <row r="3486">
      <c r="D3486" s="123"/>
    </row>
    <row r="3487">
      <c r="D3487" s="123"/>
    </row>
    <row r="3488">
      <c r="D3488" s="123"/>
    </row>
    <row r="3489">
      <c r="D3489" s="123"/>
    </row>
    <row r="3490">
      <c r="D3490" s="123"/>
    </row>
    <row r="3491">
      <c r="D3491" s="123"/>
    </row>
    <row r="3492">
      <c r="D3492" s="123"/>
    </row>
    <row r="3493">
      <c r="D3493" s="123"/>
    </row>
    <row r="3494">
      <c r="D3494" s="123"/>
    </row>
    <row r="3495">
      <c r="D3495" s="123"/>
    </row>
    <row r="3496">
      <c r="D3496" s="123"/>
    </row>
    <row r="3497">
      <c r="D3497" s="123"/>
    </row>
    <row r="3498">
      <c r="D3498" s="123"/>
    </row>
    <row r="3499">
      <c r="D3499" s="123"/>
    </row>
    <row r="3500">
      <c r="D3500" s="123"/>
    </row>
    <row r="3501">
      <c r="D3501" s="123"/>
    </row>
    <row r="3502">
      <c r="D3502" s="123"/>
    </row>
    <row r="3503">
      <c r="D3503" s="123"/>
    </row>
    <row r="3504">
      <c r="D3504" s="123"/>
    </row>
    <row r="3505">
      <c r="D3505" s="123"/>
    </row>
    <row r="3506">
      <c r="D3506" s="123"/>
    </row>
    <row r="3507">
      <c r="D3507" s="123"/>
    </row>
    <row r="3508">
      <c r="D3508" s="123"/>
    </row>
    <row r="3509">
      <c r="D3509" s="123"/>
    </row>
    <row r="3510">
      <c r="D3510" s="123"/>
    </row>
    <row r="3511">
      <c r="D3511" s="123"/>
    </row>
    <row r="3512">
      <c r="D3512" s="123"/>
    </row>
    <row r="3513">
      <c r="D3513" s="123"/>
    </row>
    <row r="3514">
      <c r="D3514" s="123"/>
    </row>
    <row r="3515">
      <c r="D3515" s="123"/>
    </row>
    <row r="3516">
      <c r="D3516" s="123"/>
    </row>
    <row r="3517">
      <c r="D3517" s="123"/>
    </row>
    <row r="3518">
      <c r="D3518" s="123"/>
    </row>
    <row r="3519">
      <c r="D3519" s="123"/>
    </row>
    <row r="3520">
      <c r="D3520" s="123"/>
    </row>
    <row r="3521">
      <c r="D3521" s="123"/>
    </row>
    <row r="3522">
      <c r="D3522" s="123"/>
    </row>
    <row r="3523">
      <c r="D3523" s="123"/>
    </row>
    <row r="3524">
      <c r="D3524" s="123"/>
    </row>
    <row r="3525">
      <c r="D3525" s="123"/>
    </row>
    <row r="3526">
      <c r="D3526" s="123"/>
    </row>
    <row r="3527">
      <c r="D3527" s="123"/>
    </row>
    <row r="3528">
      <c r="D3528" s="123"/>
    </row>
    <row r="3529">
      <c r="D3529" s="123"/>
    </row>
    <row r="3530">
      <c r="D3530" s="123"/>
    </row>
    <row r="3531">
      <c r="D3531" s="123"/>
    </row>
    <row r="3532">
      <c r="D3532" s="123"/>
    </row>
    <row r="3533">
      <c r="D3533" s="123"/>
    </row>
    <row r="3534">
      <c r="D3534" s="123"/>
    </row>
    <row r="3535">
      <c r="D3535" s="123"/>
    </row>
    <row r="3536">
      <c r="D3536" s="123"/>
    </row>
    <row r="3537">
      <c r="D3537" s="123"/>
    </row>
    <row r="3538">
      <c r="D3538" s="123"/>
    </row>
    <row r="3539">
      <c r="D3539" s="123"/>
    </row>
    <row r="3540">
      <c r="D3540" s="123"/>
    </row>
    <row r="3541">
      <c r="D3541" s="123"/>
    </row>
    <row r="3542">
      <c r="D3542" s="123"/>
    </row>
    <row r="3543">
      <c r="D3543" s="123"/>
    </row>
    <row r="3544">
      <c r="D3544" s="123"/>
    </row>
    <row r="3545">
      <c r="D3545" s="123"/>
    </row>
    <row r="3546">
      <c r="D3546" s="123"/>
    </row>
    <row r="3547">
      <c r="D3547" s="123"/>
    </row>
    <row r="3548">
      <c r="D3548" s="123"/>
    </row>
    <row r="3549">
      <c r="D3549" s="123"/>
    </row>
    <row r="3550">
      <c r="D3550" s="123"/>
    </row>
    <row r="3551">
      <c r="D3551" s="123"/>
    </row>
    <row r="3552">
      <c r="D3552" s="123"/>
    </row>
    <row r="3553">
      <c r="D3553" s="123"/>
    </row>
    <row r="3554">
      <c r="D3554" s="123"/>
    </row>
    <row r="3555">
      <c r="D3555" s="123"/>
    </row>
    <row r="3556">
      <c r="D3556" s="123"/>
    </row>
    <row r="3557">
      <c r="D3557" s="123"/>
    </row>
    <row r="3558">
      <c r="D3558" s="123"/>
    </row>
    <row r="3559">
      <c r="D3559" s="123"/>
    </row>
    <row r="3560">
      <c r="D3560" s="123"/>
    </row>
    <row r="3561">
      <c r="D3561" s="123"/>
    </row>
    <row r="3562">
      <c r="D3562" s="123"/>
    </row>
    <row r="3563">
      <c r="D3563" s="123"/>
    </row>
    <row r="3564">
      <c r="D3564" s="123"/>
    </row>
    <row r="3565">
      <c r="D3565" s="123"/>
    </row>
    <row r="3566">
      <c r="D3566" s="123"/>
    </row>
    <row r="3567">
      <c r="D3567" s="123"/>
    </row>
    <row r="3568">
      <c r="D3568" s="123"/>
    </row>
    <row r="3569">
      <c r="D3569" s="123"/>
    </row>
    <row r="3570">
      <c r="D3570" s="123"/>
    </row>
    <row r="3571">
      <c r="D3571" s="123"/>
    </row>
    <row r="3572">
      <c r="D3572" s="123"/>
    </row>
    <row r="3573">
      <c r="D3573" s="123"/>
    </row>
    <row r="3574">
      <c r="D3574" s="123"/>
    </row>
    <row r="3575">
      <c r="D3575" s="123"/>
    </row>
    <row r="3576">
      <c r="D3576" s="123"/>
    </row>
    <row r="3577">
      <c r="D3577" s="123"/>
    </row>
    <row r="3578">
      <c r="D3578" s="123"/>
    </row>
    <row r="3579">
      <c r="D3579" s="123"/>
    </row>
    <row r="3580">
      <c r="D3580" s="123"/>
    </row>
    <row r="3581">
      <c r="D3581" s="123"/>
    </row>
    <row r="3582">
      <c r="D3582" s="123"/>
    </row>
    <row r="3583">
      <c r="D3583" s="123"/>
    </row>
    <row r="3584">
      <c r="D3584" s="123"/>
    </row>
    <row r="3585">
      <c r="D3585" s="123"/>
    </row>
    <row r="3586">
      <c r="D3586" s="123"/>
    </row>
    <row r="3587">
      <c r="D3587" s="123"/>
    </row>
    <row r="3588">
      <c r="D3588" s="123"/>
    </row>
    <row r="3589">
      <c r="D3589" s="123"/>
    </row>
    <row r="3590">
      <c r="D3590" s="123"/>
    </row>
    <row r="3591">
      <c r="D3591" s="123"/>
    </row>
    <row r="3592">
      <c r="D3592" s="123"/>
    </row>
    <row r="3593">
      <c r="D3593" s="123"/>
    </row>
    <row r="3594">
      <c r="D3594" s="123"/>
    </row>
    <row r="3595">
      <c r="D3595" s="123"/>
    </row>
    <row r="3596">
      <c r="D3596" s="123"/>
    </row>
    <row r="3597">
      <c r="D3597" s="123"/>
    </row>
    <row r="3598">
      <c r="D3598" s="123"/>
    </row>
    <row r="3599">
      <c r="D3599" s="123"/>
    </row>
    <row r="3600">
      <c r="D3600" s="123"/>
    </row>
    <row r="3601">
      <c r="D3601" s="123"/>
    </row>
    <row r="3602">
      <c r="D3602" s="123"/>
    </row>
    <row r="3603">
      <c r="D3603" s="123"/>
    </row>
    <row r="3604">
      <c r="D3604" s="123"/>
    </row>
    <row r="3605">
      <c r="D3605" s="123"/>
    </row>
    <row r="3606">
      <c r="D3606" s="123"/>
    </row>
    <row r="3607">
      <c r="D3607" s="123"/>
    </row>
    <row r="3608">
      <c r="D3608" s="123"/>
    </row>
    <row r="3609">
      <c r="D3609" s="123"/>
    </row>
    <row r="3610">
      <c r="D3610" s="123"/>
    </row>
    <row r="3611">
      <c r="D3611" s="123"/>
    </row>
    <row r="3612">
      <c r="D3612" s="123"/>
    </row>
    <row r="3613">
      <c r="D3613" s="123"/>
    </row>
    <row r="3614">
      <c r="D3614" s="123"/>
    </row>
    <row r="3615">
      <c r="D3615" s="123"/>
    </row>
    <row r="3616">
      <c r="D3616" s="123"/>
    </row>
    <row r="3617">
      <c r="D3617" s="123"/>
    </row>
    <row r="3618">
      <c r="D3618" s="123"/>
    </row>
    <row r="3619">
      <c r="D3619" s="123"/>
    </row>
    <row r="3620">
      <c r="D3620" s="123"/>
    </row>
    <row r="3621">
      <c r="D3621" s="123"/>
    </row>
    <row r="3622">
      <c r="D3622" s="123"/>
    </row>
    <row r="3623">
      <c r="D3623" s="123"/>
    </row>
    <row r="3624">
      <c r="D3624" s="123"/>
    </row>
    <row r="3625">
      <c r="D3625" s="123"/>
    </row>
    <row r="3626">
      <c r="D3626" s="123"/>
    </row>
    <row r="3627">
      <c r="D3627" s="123"/>
    </row>
    <row r="3628">
      <c r="D3628" s="123"/>
    </row>
    <row r="3629">
      <c r="D3629" s="123"/>
    </row>
    <row r="3630">
      <c r="D3630" s="123"/>
    </row>
    <row r="3631">
      <c r="D3631" s="123"/>
    </row>
    <row r="3632">
      <c r="D3632" s="123"/>
    </row>
    <row r="3633">
      <c r="D3633" s="123"/>
    </row>
    <row r="3634">
      <c r="D3634" s="123"/>
    </row>
    <row r="3635">
      <c r="D3635" s="123"/>
    </row>
    <row r="3636">
      <c r="D3636" s="123"/>
    </row>
    <row r="3637">
      <c r="D3637" s="123"/>
    </row>
    <row r="3638">
      <c r="D3638" s="123"/>
    </row>
    <row r="3639">
      <c r="D3639" s="123"/>
    </row>
    <row r="3640">
      <c r="D3640" s="123"/>
    </row>
    <row r="3641">
      <c r="D3641" s="123"/>
    </row>
    <row r="3642">
      <c r="D3642" s="123"/>
    </row>
    <row r="3643">
      <c r="D3643" s="123"/>
    </row>
    <row r="3644">
      <c r="D3644" s="123"/>
    </row>
    <row r="3645">
      <c r="D3645" s="123"/>
    </row>
    <row r="3646">
      <c r="D3646" s="123"/>
    </row>
    <row r="3647">
      <c r="D3647" s="123"/>
    </row>
    <row r="3648">
      <c r="D3648" s="123"/>
    </row>
    <row r="3649">
      <c r="D3649" s="123"/>
    </row>
    <row r="3650">
      <c r="D3650" s="123"/>
    </row>
    <row r="3651">
      <c r="D3651" s="123"/>
    </row>
    <row r="3652">
      <c r="D3652" s="123"/>
    </row>
    <row r="3653">
      <c r="D3653" s="123"/>
    </row>
    <row r="3654">
      <c r="D3654" s="123"/>
    </row>
    <row r="3655">
      <c r="D3655" s="123"/>
    </row>
    <row r="3656">
      <c r="D3656" s="123"/>
    </row>
    <row r="3657">
      <c r="D3657" s="123"/>
    </row>
    <row r="3658">
      <c r="D3658" s="123"/>
    </row>
    <row r="3659">
      <c r="D3659" s="123"/>
    </row>
    <row r="3660">
      <c r="D3660" s="123"/>
    </row>
    <row r="3661">
      <c r="D3661" s="123"/>
    </row>
    <row r="3662">
      <c r="D3662" s="123"/>
    </row>
    <row r="3663">
      <c r="D3663" s="123"/>
    </row>
    <row r="3664">
      <c r="D3664" s="123"/>
    </row>
    <row r="3665">
      <c r="D3665" s="123"/>
    </row>
    <row r="3666">
      <c r="D3666" s="123"/>
    </row>
    <row r="3667">
      <c r="D3667" s="123"/>
    </row>
    <row r="3668">
      <c r="D3668" s="123"/>
    </row>
    <row r="3669">
      <c r="D3669" s="123"/>
    </row>
    <row r="3670">
      <c r="D3670" s="123"/>
    </row>
    <row r="3671">
      <c r="D3671" s="123"/>
    </row>
    <row r="3672">
      <c r="D3672" s="123"/>
    </row>
    <row r="3673">
      <c r="D3673" s="123"/>
    </row>
    <row r="3674">
      <c r="D3674" s="123"/>
    </row>
    <row r="3675">
      <c r="D3675" s="123"/>
    </row>
    <row r="3676">
      <c r="D3676" s="123"/>
    </row>
    <row r="3677">
      <c r="D3677" s="123"/>
    </row>
    <row r="3678">
      <c r="D3678" s="123"/>
    </row>
    <row r="3679">
      <c r="D3679" s="123"/>
    </row>
    <row r="3680">
      <c r="D3680" s="123"/>
    </row>
    <row r="3681">
      <c r="D3681" s="123"/>
    </row>
    <row r="3682">
      <c r="D3682" s="123"/>
    </row>
    <row r="3683">
      <c r="D3683" s="123"/>
    </row>
    <row r="3684">
      <c r="D3684" s="123"/>
    </row>
    <row r="3685">
      <c r="D3685" s="123"/>
    </row>
    <row r="3686">
      <c r="D3686" s="123"/>
    </row>
    <row r="3687">
      <c r="D3687" s="123"/>
    </row>
    <row r="3688">
      <c r="D3688" s="123"/>
    </row>
    <row r="3689">
      <c r="D3689" s="123"/>
    </row>
    <row r="3690">
      <c r="D3690" s="123"/>
    </row>
    <row r="3691">
      <c r="D3691" s="123"/>
    </row>
    <row r="3692">
      <c r="D3692" s="123"/>
    </row>
    <row r="3693">
      <c r="D3693" s="123"/>
    </row>
    <row r="3694">
      <c r="D3694" s="123"/>
    </row>
    <row r="3695">
      <c r="D3695" s="123"/>
    </row>
    <row r="3696">
      <c r="D3696" s="123"/>
    </row>
    <row r="3697">
      <c r="D3697" s="123"/>
    </row>
    <row r="3698">
      <c r="D3698" s="123"/>
    </row>
    <row r="3699">
      <c r="D3699" s="123"/>
    </row>
    <row r="3700">
      <c r="D3700" s="123"/>
    </row>
    <row r="3701">
      <c r="D3701" s="123"/>
    </row>
    <row r="3702">
      <c r="D3702" s="123"/>
    </row>
    <row r="3703">
      <c r="D3703" s="123"/>
    </row>
    <row r="3704">
      <c r="D3704" s="123"/>
    </row>
    <row r="3705">
      <c r="D3705" s="123"/>
    </row>
    <row r="3706">
      <c r="D3706" s="123"/>
    </row>
    <row r="3707">
      <c r="D3707" s="123"/>
    </row>
    <row r="3708">
      <c r="D3708" s="123"/>
    </row>
    <row r="3709">
      <c r="D3709" s="123"/>
    </row>
    <row r="3710">
      <c r="D3710" s="123"/>
    </row>
    <row r="3711">
      <c r="D3711" s="123"/>
    </row>
    <row r="3712">
      <c r="D3712" s="123"/>
    </row>
    <row r="3713">
      <c r="D3713" s="123"/>
    </row>
    <row r="3714">
      <c r="D3714" s="123"/>
    </row>
    <row r="3715">
      <c r="D3715" s="123"/>
    </row>
    <row r="3716">
      <c r="D3716" s="123"/>
    </row>
    <row r="3717">
      <c r="D3717" s="123"/>
    </row>
    <row r="3718">
      <c r="D3718" s="123"/>
    </row>
    <row r="3719">
      <c r="D3719" s="123"/>
    </row>
    <row r="3720">
      <c r="D3720" s="123"/>
    </row>
    <row r="3721">
      <c r="D3721" s="123"/>
    </row>
    <row r="3722">
      <c r="D3722" s="123"/>
    </row>
    <row r="3723">
      <c r="D3723" s="123"/>
    </row>
    <row r="3724">
      <c r="D3724" s="123"/>
    </row>
    <row r="3725">
      <c r="D3725" s="123"/>
    </row>
    <row r="3726">
      <c r="D3726" s="123"/>
    </row>
    <row r="3727">
      <c r="D3727" s="123"/>
    </row>
    <row r="3728">
      <c r="D3728" s="123"/>
    </row>
    <row r="3729">
      <c r="D3729" s="123"/>
    </row>
    <row r="3730">
      <c r="D3730" s="123"/>
    </row>
    <row r="3731">
      <c r="D3731" s="123"/>
    </row>
    <row r="3732">
      <c r="D3732" s="123"/>
    </row>
    <row r="3733">
      <c r="D3733" s="123"/>
    </row>
    <row r="3734">
      <c r="D3734" s="123"/>
    </row>
    <row r="3735">
      <c r="D3735" s="123"/>
    </row>
    <row r="3736">
      <c r="D3736" s="123"/>
    </row>
    <row r="3737">
      <c r="D3737" s="123"/>
    </row>
    <row r="3738">
      <c r="D3738" s="123"/>
    </row>
    <row r="3739">
      <c r="D3739" s="123"/>
    </row>
    <row r="3740">
      <c r="D3740" s="123"/>
    </row>
    <row r="3741">
      <c r="D3741" s="123"/>
    </row>
    <row r="3742">
      <c r="D3742" s="123"/>
    </row>
    <row r="3743">
      <c r="D3743" s="123"/>
    </row>
    <row r="3744">
      <c r="D3744" s="123"/>
    </row>
    <row r="3745">
      <c r="D3745" s="123"/>
    </row>
    <row r="3746">
      <c r="D3746" s="123"/>
    </row>
    <row r="3747">
      <c r="D3747" s="123"/>
    </row>
    <row r="3748">
      <c r="D3748" s="123"/>
    </row>
    <row r="3749">
      <c r="D3749" s="123"/>
    </row>
    <row r="3750">
      <c r="D3750" s="123"/>
    </row>
    <row r="3751">
      <c r="D3751" s="123"/>
    </row>
    <row r="3752">
      <c r="D3752" s="123"/>
    </row>
    <row r="3753">
      <c r="D3753" s="123"/>
    </row>
    <row r="3754">
      <c r="D3754" s="123"/>
    </row>
    <row r="3755">
      <c r="D3755" s="123"/>
    </row>
    <row r="3756">
      <c r="D3756" s="123"/>
    </row>
    <row r="3757">
      <c r="D3757" s="123"/>
    </row>
    <row r="3758">
      <c r="D3758" s="123"/>
    </row>
    <row r="3759">
      <c r="D3759" s="123"/>
    </row>
    <row r="3760">
      <c r="D3760" s="123"/>
    </row>
    <row r="3761">
      <c r="D3761" s="123"/>
    </row>
    <row r="3762">
      <c r="D3762" s="123"/>
    </row>
    <row r="3763">
      <c r="D3763" s="123"/>
    </row>
    <row r="3764">
      <c r="D3764" s="123"/>
    </row>
    <row r="3765">
      <c r="D3765" s="123"/>
    </row>
    <row r="3766">
      <c r="D3766" s="123"/>
    </row>
    <row r="3767">
      <c r="D3767" s="123"/>
    </row>
    <row r="3768">
      <c r="D3768" s="123"/>
    </row>
    <row r="3769">
      <c r="D3769" s="123"/>
    </row>
    <row r="3770">
      <c r="D3770" s="123"/>
    </row>
    <row r="3771">
      <c r="D3771" s="123"/>
    </row>
    <row r="3772">
      <c r="D3772" s="123"/>
    </row>
    <row r="3773">
      <c r="D3773" s="123"/>
    </row>
    <row r="3774">
      <c r="D3774" s="123"/>
    </row>
    <row r="3775">
      <c r="D3775" s="123"/>
    </row>
    <row r="3776">
      <c r="D3776" s="123"/>
    </row>
    <row r="3777">
      <c r="D3777" s="123"/>
    </row>
    <row r="3778">
      <c r="D3778" s="123"/>
    </row>
    <row r="3779">
      <c r="D3779" s="123"/>
    </row>
    <row r="3780">
      <c r="D3780" s="123"/>
    </row>
    <row r="3781">
      <c r="D3781" s="123"/>
    </row>
    <row r="3782">
      <c r="D3782" s="123"/>
    </row>
    <row r="3783">
      <c r="D3783" s="123"/>
    </row>
    <row r="3784">
      <c r="D3784" s="123"/>
    </row>
    <row r="3785">
      <c r="D3785" s="123"/>
    </row>
    <row r="3786">
      <c r="D3786" s="123"/>
    </row>
    <row r="3787">
      <c r="D3787" s="123"/>
    </row>
    <row r="3788">
      <c r="D3788" s="123"/>
    </row>
    <row r="3789">
      <c r="D3789" s="123"/>
    </row>
    <row r="3790">
      <c r="D3790" s="123"/>
    </row>
    <row r="3791">
      <c r="D3791" s="123"/>
    </row>
    <row r="3792">
      <c r="D3792" s="123"/>
    </row>
    <row r="3793">
      <c r="D3793" s="123"/>
    </row>
    <row r="3794">
      <c r="D3794" s="123"/>
    </row>
    <row r="3795">
      <c r="D3795" s="123"/>
    </row>
    <row r="3796">
      <c r="D3796" s="123"/>
    </row>
    <row r="3797">
      <c r="D3797" s="123"/>
    </row>
    <row r="3798">
      <c r="D3798" s="123"/>
    </row>
    <row r="3799">
      <c r="D3799" s="123"/>
    </row>
    <row r="3800">
      <c r="D3800" s="123"/>
    </row>
    <row r="3801">
      <c r="D3801" s="123"/>
    </row>
    <row r="3802">
      <c r="D3802" s="123"/>
    </row>
    <row r="3803">
      <c r="D3803" s="123"/>
    </row>
    <row r="3804">
      <c r="D3804" s="123"/>
    </row>
    <row r="3805">
      <c r="D3805" s="123"/>
    </row>
    <row r="3806">
      <c r="D3806" s="123"/>
    </row>
    <row r="3807">
      <c r="D3807" s="123"/>
    </row>
    <row r="3808">
      <c r="D3808" s="123"/>
    </row>
    <row r="3809">
      <c r="D3809" s="123"/>
    </row>
    <row r="3810">
      <c r="D3810" s="123"/>
    </row>
    <row r="3811">
      <c r="D3811" s="123"/>
    </row>
    <row r="3812">
      <c r="D3812" s="123"/>
    </row>
    <row r="3813">
      <c r="D3813" s="123"/>
    </row>
    <row r="3814">
      <c r="D3814" s="123"/>
    </row>
    <row r="3815">
      <c r="D3815" s="123"/>
    </row>
    <row r="3816">
      <c r="D3816" s="123"/>
    </row>
    <row r="3817">
      <c r="D3817" s="123"/>
    </row>
    <row r="3818">
      <c r="D3818" s="123"/>
    </row>
    <row r="3819">
      <c r="D3819" s="123"/>
    </row>
    <row r="3820">
      <c r="D3820" s="123"/>
    </row>
    <row r="3821">
      <c r="D3821" s="123"/>
    </row>
    <row r="3822">
      <c r="D3822" s="123"/>
    </row>
    <row r="3823">
      <c r="D3823" s="123"/>
    </row>
    <row r="3824">
      <c r="D3824" s="123"/>
    </row>
    <row r="3825">
      <c r="D3825" s="123"/>
    </row>
    <row r="3826">
      <c r="D3826" s="123"/>
    </row>
    <row r="3827">
      <c r="D3827" s="123"/>
    </row>
    <row r="3828">
      <c r="D3828" s="123"/>
    </row>
    <row r="3829">
      <c r="D3829" s="123"/>
    </row>
    <row r="3830">
      <c r="D3830" s="123"/>
    </row>
    <row r="3831">
      <c r="D3831" s="123"/>
    </row>
    <row r="3832">
      <c r="D3832" s="123"/>
    </row>
    <row r="3833">
      <c r="D3833" s="123"/>
    </row>
    <row r="3834">
      <c r="D3834" s="123"/>
    </row>
    <row r="3835">
      <c r="D3835" s="123"/>
    </row>
    <row r="3836">
      <c r="D3836" s="123"/>
    </row>
    <row r="3837">
      <c r="D3837" s="123"/>
    </row>
    <row r="3838">
      <c r="D3838" s="123"/>
    </row>
    <row r="3839">
      <c r="D3839" s="123"/>
    </row>
    <row r="3840">
      <c r="D3840" s="123"/>
    </row>
    <row r="3841">
      <c r="D3841" s="123"/>
    </row>
    <row r="3842">
      <c r="D3842" s="123"/>
    </row>
    <row r="3843">
      <c r="D3843" s="123"/>
    </row>
    <row r="3844">
      <c r="D3844" s="123"/>
    </row>
    <row r="3845">
      <c r="D3845" s="123"/>
    </row>
    <row r="3846">
      <c r="D3846" s="123"/>
    </row>
    <row r="3847">
      <c r="D3847" s="123"/>
    </row>
    <row r="3848">
      <c r="D3848" s="123"/>
    </row>
    <row r="3849">
      <c r="D3849" s="123"/>
    </row>
    <row r="3850">
      <c r="D3850" s="123"/>
    </row>
    <row r="3851">
      <c r="D3851" s="123"/>
    </row>
    <row r="3852">
      <c r="D3852" s="123"/>
    </row>
    <row r="3853">
      <c r="D3853" s="123"/>
    </row>
    <row r="3854">
      <c r="D3854" s="123"/>
    </row>
    <row r="3855">
      <c r="D3855" s="123"/>
    </row>
    <row r="3856">
      <c r="D3856" s="123"/>
    </row>
    <row r="3857">
      <c r="D3857" s="123"/>
    </row>
    <row r="3858">
      <c r="D3858" s="123"/>
    </row>
    <row r="3859">
      <c r="D3859" s="123"/>
    </row>
    <row r="3860">
      <c r="D3860" s="123"/>
    </row>
    <row r="3861">
      <c r="D3861" s="123"/>
    </row>
    <row r="3862">
      <c r="D3862" s="123"/>
    </row>
    <row r="3863">
      <c r="D3863" s="123"/>
    </row>
    <row r="3864">
      <c r="D3864" s="123"/>
    </row>
    <row r="3865">
      <c r="D3865" s="123"/>
    </row>
    <row r="3866">
      <c r="D3866" s="123"/>
    </row>
    <row r="3867">
      <c r="D3867" s="123"/>
    </row>
    <row r="3868">
      <c r="D3868" s="123"/>
    </row>
    <row r="3869">
      <c r="D3869" s="123"/>
    </row>
    <row r="3870">
      <c r="D3870" s="123"/>
    </row>
    <row r="3871">
      <c r="D3871" s="123"/>
    </row>
    <row r="3872">
      <c r="D3872" s="123"/>
    </row>
    <row r="3873">
      <c r="D3873" s="123"/>
    </row>
    <row r="3874">
      <c r="D3874" s="123"/>
    </row>
    <row r="3875">
      <c r="D3875" s="123"/>
    </row>
    <row r="3876">
      <c r="D3876" s="123"/>
    </row>
    <row r="3877">
      <c r="D3877" s="123"/>
    </row>
    <row r="3878">
      <c r="D3878" s="123"/>
    </row>
    <row r="3879">
      <c r="D3879" s="123"/>
    </row>
    <row r="3880">
      <c r="D3880" s="123"/>
    </row>
    <row r="3881">
      <c r="D3881" s="123"/>
    </row>
    <row r="3882">
      <c r="D3882" s="123"/>
    </row>
    <row r="3883">
      <c r="D3883" s="123"/>
    </row>
    <row r="3884">
      <c r="D3884" s="123"/>
    </row>
    <row r="3885">
      <c r="D3885" s="123"/>
    </row>
    <row r="3886">
      <c r="D3886" s="123"/>
    </row>
    <row r="3887">
      <c r="D3887" s="123"/>
    </row>
    <row r="3888">
      <c r="D3888" s="123"/>
    </row>
    <row r="3889">
      <c r="D3889" s="123"/>
    </row>
    <row r="3890">
      <c r="D3890" s="123"/>
    </row>
    <row r="3891">
      <c r="D3891" s="123"/>
    </row>
    <row r="3892">
      <c r="D3892" s="123"/>
    </row>
    <row r="3893">
      <c r="D3893" s="123"/>
    </row>
    <row r="3894">
      <c r="D3894" s="123"/>
    </row>
    <row r="3895">
      <c r="D3895" s="123"/>
    </row>
    <row r="3896">
      <c r="D3896" s="123"/>
    </row>
    <row r="3897">
      <c r="D3897" s="123"/>
    </row>
    <row r="3898">
      <c r="D3898" s="123"/>
    </row>
    <row r="3899">
      <c r="D3899" s="123"/>
    </row>
    <row r="3900">
      <c r="D3900" s="123"/>
    </row>
    <row r="3901">
      <c r="D3901" s="123"/>
    </row>
    <row r="3902">
      <c r="D3902" s="123"/>
    </row>
    <row r="3903">
      <c r="D3903" s="123"/>
    </row>
    <row r="3904">
      <c r="D3904" s="123"/>
    </row>
    <row r="3905">
      <c r="D3905" s="123"/>
    </row>
    <row r="3906">
      <c r="D3906" s="123"/>
    </row>
    <row r="3907">
      <c r="D3907" s="123"/>
    </row>
    <row r="3908">
      <c r="D3908" s="123"/>
    </row>
    <row r="3909">
      <c r="D3909" s="123"/>
    </row>
    <row r="3910">
      <c r="D3910" s="123"/>
    </row>
    <row r="3911">
      <c r="D3911" s="123"/>
    </row>
    <row r="3912">
      <c r="D3912" s="123"/>
    </row>
    <row r="3913">
      <c r="D3913" s="123"/>
    </row>
    <row r="3914">
      <c r="D3914" s="123"/>
    </row>
    <row r="3915">
      <c r="D3915" s="123"/>
    </row>
    <row r="3916">
      <c r="D3916" s="123"/>
    </row>
    <row r="3917">
      <c r="D3917" s="123"/>
    </row>
    <row r="3918">
      <c r="D3918" s="123"/>
    </row>
    <row r="3919">
      <c r="D3919" s="123"/>
    </row>
    <row r="3920">
      <c r="D3920" s="123"/>
    </row>
    <row r="3921">
      <c r="D3921" s="123"/>
    </row>
    <row r="3922">
      <c r="D3922" s="123"/>
    </row>
    <row r="3923">
      <c r="D3923" s="123"/>
    </row>
    <row r="3924">
      <c r="D3924" s="123"/>
    </row>
    <row r="3925">
      <c r="D3925" s="123"/>
    </row>
    <row r="3926">
      <c r="D3926" s="123"/>
    </row>
    <row r="3927">
      <c r="D3927" s="123"/>
    </row>
    <row r="3928">
      <c r="D3928" s="123"/>
    </row>
    <row r="3929">
      <c r="D3929" s="123"/>
    </row>
    <row r="3930">
      <c r="D3930" s="123"/>
    </row>
    <row r="3931">
      <c r="D3931" s="123"/>
    </row>
    <row r="3932">
      <c r="D3932" s="123"/>
    </row>
    <row r="3933">
      <c r="D3933" s="123"/>
    </row>
    <row r="3934">
      <c r="D3934" s="123"/>
    </row>
    <row r="3935">
      <c r="D3935" s="123"/>
    </row>
    <row r="3936">
      <c r="D3936" s="123"/>
    </row>
    <row r="3937">
      <c r="D3937" s="123"/>
    </row>
    <row r="3938">
      <c r="D3938" s="123"/>
    </row>
    <row r="3939">
      <c r="D3939" s="123"/>
    </row>
    <row r="3940">
      <c r="D3940" s="123"/>
    </row>
    <row r="3941">
      <c r="D3941" s="123"/>
    </row>
    <row r="3942">
      <c r="D3942" s="123"/>
    </row>
    <row r="3943">
      <c r="D3943" s="123"/>
    </row>
    <row r="3944">
      <c r="D3944" s="123"/>
    </row>
    <row r="3945">
      <c r="D3945" s="123"/>
    </row>
    <row r="3946">
      <c r="D3946" s="123"/>
    </row>
    <row r="3947">
      <c r="D3947" s="123"/>
    </row>
    <row r="3948">
      <c r="D3948" s="123"/>
    </row>
    <row r="3949">
      <c r="D3949" s="123"/>
    </row>
    <row r="3950">
      <c r="D3950" s="123"/>
    </row>
    <row r="3951">
      <c r="D3951" s="123"/>
    </row>
    <row r="3952">
      <c r="D3952" s="123"/>
    </row>
    <row r="3953">
      <c r="D3953" s="123"/>
    </row>
    <row r="3954">
      <c r="D3954" s="123"/>
    </row>
    <row r="3955">
      <c r="D3955" s="123"/>
    </row>
    <row r="3956">
      <c r="D3956" s="123"/>
    </row>
    <row r="3957">
      <c r="D3957" s="123"/>
    </row>
    <row r="3958">
      <c r="D3958" s="123"/>
    </row>
    <row r="3959">
      <c r="D3959" s="123"/>
    </row>
    <row r="3960">
      <c r="D3960" s="123"/>
    </row>
    <row r="3961">
      <c r="D3961" s="123"/>
    </row>
    <row r="3962">
      <c r="D3962" s="123"/>
    </row>
    <row r="3963">
      <c r="D3963" s="123"/>
    </row>
    <row r="3964">
      <c r="D3964" s="123"/>
    </row>
    <row r="3965">
      <c r="D3965" s="123"/>
    </row>
    <row r="3966">
      <c r="D3966" s="123"/>
    </row>
    <row r="3967">
      <c r="D3967" s="123"/>
    </row>
    <row r="3968">
      <c r="D3968" s="123"/>
    </row>
    <row r="3969">
      <c r="D3969" s="123"/>
    </row>
    <row r="3970">
      <c r="D3970" s="123"/>
    </row>
    <row r="3971">
      <c r="D3971" s="123"/>
    </row>
    <row r="3972">
      <c r="D3972" s="123"/>
    </row>
    <row r="3973">
      <c r="D3973" s="123"/>
    </row>
    <row r="3974">
      <c r="D3974" s="123"/>
    </row>
    <row r="3975">
      <c r="D3975" s="123"/>
    </row>
    <row r="3976">
      <c r="D3976" s="123"/>
    </row>
    <row r="3977">
      <c r="D3977" s="123"/>
    </row>
    <row r="3978">
      <c r="D3978" s="123"/>
    </row>
    <row r="3979">
      <c r="D3979" s="123"/>
    </row>
    <row r="3980">
      <c r="D3980" s="123"/>
    </row>
    <row r="3981">
      <c r="D3981" s="123"/>
    </row>
    <row r="3982">
      <c r="D3982" s="123"/>
    </row>
    <row r="3983">
      <c r="D3983" s="123"/>
    </row>
    <row r="3984">
      <c r="D3984" s="123"/>
    </row>
    <row r="3985">
      <c r="D3985" s="123"/>
    </row>
    <row r="3986">
      <c r="D3986" s="123"/>
    </row>
    <row r="3987">
      <c r="D3987" s="123"/>
    </row>
    <row r="3988">
      <c r="D3988" s="123"/>
    </row>
    <row r="3989">
      <c r="D3989" s="123"/>
    </row>
    <row r="3990">
      <c r="D3990" s="123"/>
    </row>
    <row r="3991">
      <c r="D3991" s="123"/>
    </row>
    <row r="3992">
      <c r="D3992" s="123"/>
    </row>
    <row r="3993">
      <c r="D3993" s="123"/>
    </row>
    <row r="3994">
      <c r="D3994" s="123"/>
    </row>
    <row r="3995">
      <c r="D3995" s="123"/>
    </row>
    <row r="3996">
      <c r="D3996" s="123"/>
    </row>
    <row r="3997">
      <c r="D3997" s="123"/>
    </row>
    <row r="3998">
      <c r="D3998" s="123"/>
    </row>
    <row r="3999">
      <c r="D3999" s="123"/>
    </row>
    <row r="4000">
      <c r="D4000" s="123"/>
    </row>
    <row r="4001">
      <c r="D4001" s="123"/>
    </row>
    <row r="4002">
      <c r="D4002" s="123"/>
    </row>
    <row r="4003">
      <c r="D4003" s="123"/>
    </row>
    <row r="4004">
      <c r="D4004" s="123"/>
    </row>
    <row r="4005">
      <c r="D4005" s="123"/>
    </row>
    <row r="4006">
      <c r="D4006" s="123"/>
    </row>
    <row r="4007">
      <c r="D4007" s="123"/>
    </row>
    <row r="4008">
      <c r="D4008" s="123"/>
    </row>
    <row r="4009">
      <c r="D4009" s="123"/>
    </row>
    <row r="4010">
      <c r="D4010" s="123"/>
    </row>
    <row r="4011">
      <c r="D4011" s="123"/>
    </row>
    <row r="4012">
      <c r="D4012" s="123"/>
    </row>
    <row r="4013">
      <c r="D4013" s="123"/>
    </row>
    <row r="4014">
      <c r="D4014" s="123"/>
    </row>
    <row r="4015">
      <c r="D4015" s="123"/>
    </row>
    <row r="4016">
      <c r="D4016" s="123"/>
    </row>
    <row r="4017">
      <c r="D4017" s="123"/>
    </row>
    <row r="4018">
      <c r="D4018" s="123"/>
    </row>
    <row r="4019">
      <c r="D4019" s="123"/>
    </row>
    <row r="4020">
      <c r="D4020" s="123"/>
    </row>
    <row r="4021">
      <c r="D4021" s="123"/>
    </row>
    <row r="4022">
      <c r="D4022" s="123"/>
    </row>
    <row r="4023">
      <c r="D4023" s="123"/>
    </row>
    <row r="4024">
      <c r="D4024" s="123"/>
    </row>
    <row r="4025">
      <c r="D4025" s="123"/>
    </row>
    <row r="4026">
      <c r="D4026" s="123"/>
    </row>
    <row r="4027">
      <c r="D4027" s="123"/>
    </row>
    <row r="4028">
      <c r="D4028" s="123"/>
    </row>
    <row r="4029">
      <c r="D4029" s="123"/>
    </row>
    <row r="4030">
      <c r="D4030" s="123"/>
    </row>
    <row r="4031">
      <c r="D4031" s="123"/>
    </row>
    <row r="4032">
      <c r="D4032" s="123"/>
    </row>
    <row r="4033">
      <c r="D4033" s="123"/>
    </row>
    <row r="4034">
      <c r="D4034" s="123"/>
    </row>
    <row r="4035">
      <c r="D4035" s="123"/>
    </row>
    <row r="4036">
      <c r="D4036" s="123"/>
    </row>
    <row r="4037">
      <c r="D4037" s="123"/>
    </row>
    <row r="4038">
      <c r="D4038" s="123"/>
    </row>
    <row r="4039">
      <c r="D4039" s="123"/>
    </row>
    <row r="4040">
      <c r="D4040" s="123"/>
    </row>
    <row r="4041">
      <c r="D4041" s="123"/>
    </row>
    <row r="4042">
      <c r="D4042" s="123"/>
    </row>
    <row r="4043">
      <c r="D4043" s="123"/>
    </row>
    <row r="4044">
      <c r="D4044" s="123"/>
    </row>
    <row r="4045">
      <c r="D4045" s="123"/>
    </row>
    <row r="4046">
      <c r="D4046" s="123"/>
    </row>
    <row r="4047">
      <c r="D4047" s="123"/>
    </row>
    <row r="4048">
      <c r="D4048" s="123"/>
    </row>
    <row r="4049">
      <c r="D4049" s="123"/>
    </row>
    <row r="4050">
      <c r="D4050" s="123"/>
    </row>
    <row r="4051">
      <c r="D4051" s="123"/>
    </row>
    <row r="4052">
      <c r="D4052" s="123"/>
    </row>
    <row r="4053">
      <c r="D4053" s="123"/>
    </row>
    <row r="4054">
      <c r="D4054" s="123"/>
    </row>
    <row r="4055">
      <c r="D4055" s="123"/>
    </row>
    <row r="4056">
      <c r="D4056" s="123"/>
    </row>
    <row r="4057">
      <c r="D4057" s="123"/>
    </row>
    <row r="4058">
      <c r="D4058" s="123"/>
    </row>
    <row r="4059">
      <c r="D4059" s="123"/>
    </row>
    <row r="4060">
      <c r="D4060" s="123"/>
    </row>
    <row r="4061">
      <c r="D4061" s="123"/>
    </row>
    <row r="4062">
      <c r="D4062" s="123"/>
    </row>
    <row r="4063">
      <c r="D4063" s="123"/>
    </row>
    <row r="4064">
      <c r="D4064" s="123"/>
    </row>
    <row r="4065">
      <c r="D4065" s="123"/>
    </row>
    <row r="4066">
      <c r="D4066" s="123"/>
    </row>
    <row r="4067">
      <c r="D4067" s="123"/>
    </row>
    <row r="4068">
      <c r="D4068" s="123"/>
    </row>
    <row r="4069">
      <c r="D4069" s="123"/>
    </row>
    <row r="4070">
      <c r="D4070" s="123"/>
    </row>
    <row r="4071">
      <c r="D4071" s="123"/>
    </row>
    <row r="4072">
      <c r="D4072" s="123"/>
    </row>
    <row r="4073">
      <c r="D4073" s="123"/>
    </row>
    <row r="4074">
      <c r="D4074" s="123"/>
    </row>
    <row r="4075">
      <c r="D4075" s="123"/>
    </row>
    <row r="4076">
      <c r="D4076" s="123"/>
    </row>
    <row r="4077">
      <c r="D4077" s="123"/>
    </row>
    <row r="4078">
      <c r="D4078" s="123"/>
    </row>
    <row r="4079">
      <c r="D4079" s="123"/>
    </row>
    <row r="4080">
      <c r="D4080" s="123"/>
    </row>
    <row r="4081">
      <c r="D4081" s="123"/>
    </row>
    <row r="4082">
      <c r="D4082" s="123"/>
    </row>
    <row r="4083">
      <c r="D4083" s="123"/>
    </row>
    <row r="4084">
      <c r="D4084" s="123"/>
    </row>
    <row r="4085">
      <c r="D4085" s="123"/>
    </row>
    <row r="4086">
      <c r="D4086" s="123"/>
    </row>
    <row r="4087">
      <c r="D4087" s="123"/>
    </row>
    <row r="4088">
      <c r="D4088" s="123"/>
    </row>
    <row r="4089">
      <c r="D4089" s="123"/>
    </row>
    <row r="4090">
      <c r="D4090" s="123"/>
    </row>
    <row r="4091">
      <c r="D4091" s="123"/>
    </row>
    <row r="4092">
      <c r="D4092" s="123"/>
    </row>
    <row r="4093">
      <c r="D4093" s="123"/>
    </row>
    <row r="4094">
      <c r="D4094" s="123"/>
    </row>
    <row r="4095">
      <c r="D4095" s="123"/>
    </row>
    <row r="4096">
      <c r="D4096" s="123"/>
    </row>
    <row r="4097">
      <c r="D4097" s="123"/>
    </row>
    <row r="4098">
      <c r="D4098" s="123"/>
    </row>
    <row r="4099">
      <c r="D4099" s="123"/>
    </row>
    <row r="4100">
      <c r="D4100" s="123"/>
    </row>
    <row r="4101">
      <c r="D4101" s="123"/>
    </row>
    <row r="4102">
      <c r="D4102" s="123"/>
    </row>
    <row r="4103">
      <c r="D4103" s="123"/>
    </row>
    <row r="4104">
      <c r="D4104" s="123"/>
    </row>
    <row r="4105">
      <c r="D4105" s="123"/>
    </row>
    <row r="4106">
      <c r="D4106" s="123"/>
    </row>
    <row r="4107">
      <c r="D4107" s="123"/>
    </row>
    <row r="4108">
      <c r="D4108" s="123"/>
    </row>
    <row r="4109">
      <c r="D4109" s="123"/>
    </row>
    <row r="4110">
      <c r="D4110" s="123"/>
    </row>
    <row r="4111">
      <c r="D4111" s="123"/>
    </row>
    <row r="4112">
      <c r="D4112" s="123"/>
    </row>
    <row r="4113">
      <c r="D4113" s="123"/>
    </row>
    <row r="4114">
      <c r="D4114" s="123"/>
    </row>
    <row r="4115">
      <c r="D4115" s="123"/>
    </row>
    <row r="4116">
      <c r="D4116" s="123"/>
    </row>
    <row r="4117">
      <c r="D4117" s="123"/>
    </row>
    <row r="4118">
      <c r="D4118" s="123"/>
    </row>
    <row r="4119">
      <c r="D4119" s="123"/>
    </row>
    <row r="4120">
      <c r="D4120" s="123"/>
    </row>
    <row r="4121">
      <c r="D4121" s="123"/>
    </row>
    <row r="4122">
      <c r="D4122" s="123"/>
    </row>
    <row r="4123">
      <c r="D4123" s="123"/>
    </row>
    <row r="4124">
      <c r="D4124" s="123"/>
    </row>
    <row r="4125">
      <c r="D4125" s="123"/>
    </row>
    <row r="4126">
      <c r="D4126" s="123"/>
    </row>
    <row r="4127">
      <c r="D4127" s="123"/>
    </row>
    <row r="4128">
      <c r="D4128" s="123"/>
    </row>
    <row r="4129">
      <c r="D4129" s="123"/>
    </row>
    <row r="4130">
      <c r="D4130" s="123"/>
    </row>
    <row r="4131">
      <c r="D4131" s="123"/>
    </row>
    <row r="4132">
      <c r="D4132" s="123"/>
    </row>
    <row r="4133">
      <c r="D4133" s="123"/>
    </row>
    <row r="4134">
      <c r="D4134" s="123"/>
    </row>
    <row r="4135">
      <c r="D4135" s="123"/>
    </row>
    <row r="4136">
      <c r="D4136" s="123"/>
    </row>
    <row r="4137">
      <c r="D4137" s="123"/>
    </row>
    <row r="4138">
      <c r="D4138" s="123"/>
    </row>
    <row r="4139">
      <c r="D4139" s="123"/>
    </row>
    <row r="4140">
      <c r="D4140" s="123"/>
    </row>
    <row r="4141">
      <c r="D4141" s="123"/>
    </row>
    <row r="4142">
      <c r="D4142" s="123"/>
    </row>
    <row r="4143">
      <c r="D4143" s="123"/>
    </row>
    <row r="4144">
      <c r="D4144" s="123"/>
    </row>
    <row r="4145">
      <c r="D4145" s="123"/>
    </row>
    <row r="4146">
      <c r="D4146" s="123"/>
    </row>
    <row r="4147">
      <c r="D4147" s="123"/>
    </row>
    <row r="4148">
      <c r="D4148" s="123"/>
    </row>
    <row r="4149">
      <c r="D4149" s="123"/>
    </row>
    <row r="4150">
      <c r="D4150" s="123"/>
    </row>
    <row r="4151">
      <c r="D4151" s="123"/>
    </row>
    <row r="4152">
      <c r="D4152" s="123"/>
    </row>
    <row r="4153">
      <c r="D4153" s="123"/>
    </row>
    <row r="4154">
      <c r="D4154" s="123"/>
    </row>
    <row r="4155">
      <c r="D4155" s="123"/>
    </row>
    <row r="4156">
      <c r="D4156" s="123"/>
    </row>
    <row r="4157">
      <c r="D4157" s="123"/>
    </row>
    <row r="4158">
      <c r="D4158" s="123"/>
    </row>
    <row r="4159">
      <c r="D4159" s="123"/>
    </row>
    <row r="4160">
      <c r="D4160" s="123"/>
    </row>
    <row r="4161">
      <c r="D4161" s="123"/>
    </row>
    <row r="4162">
      <c r="D4162" s="123"/>
    </row>
    <row r="4163">
      <c r="D4163" s="123"/>
    </row>
    <row r="4164">
      <c r="D4164" s="123"/>
    </row>
    <row r="4165">
      <c r="D4165" s="123"/>
    </row>
    <row r="4166">
      <c r="D4166" s="123"/>
    </row>
    <row r="4167">
      <c r="D4167" s="123"/>
    </row>
    <row r="4168">
      <c r="D4168" s="123"/>
    </row>
    <row r="4169">
      <c r="D4169" s="123"/>
    </row>
    <row r="4170">
      <c r="D4170" s="123"/>
    </row>
    <row r="4171">
      <c r="D4171" s="123"/>
    </row>
    <row r="4172">
      <c r="D4172" s="123"/>
    </row>
    <row r="4173">
      <c r="D4173" s="123"/>
    </row>
    <row r="4174">
      <c r="D4174" s="123"/>
    </row>
    <row r="4175">
      <c r="D4175" s="123"/>
    </row>
    <row r="4176">
      <c r="D4176" s="123"/>
    </row>
    <row r="4177">
      <c r="D4177" s="123"/>
    </row>
    <row r="4178">
      <c r="D4178" s="123"/>
    </row>
    <row r="4179">
      <c r="D4179" s="123"/>
    </row>
    <row r="4180">
      <c r="D4180" s="123"/>
    </row>
    <row r="4181">
      <c r="D4181" s="123"/>
    </row>
    <row r="4182">
      <c r="D4182" s="123"/>
    </row>
    <row r="4183">
      <c r="D4183" s="123"/>
    </row>
    <row r="4184">
      <c r="D4184" s="123"/>
    </row>
    <row r="4185">
      <c r="D4185" s="123"/>
    </row>
    <row r="4186">
      <c r="D4186" s="123"/>
    </row>
    <row r="4187">
      <c r="D4187" s="123"/>
    </row>
    <row r="4188">
      <c r="D4188" s="123"/>
    </row>
    <row r="4189">
      <c r="D4189" s="123"/>
    </row>
    <row r="4190">
      <c r="D4190" s="123"/>
    </row>
    <row r="4191">
      <c r="D4191" s="123"/>
    </row>
    <row r="4192">
      <c r="D4192" s="123"/>
    </row>
    <row r="4193">
      <c r="D4193" s="123"/>
    </row>
    <row r="4194">
      <c r="D4194" s="123"/>
    </row>
    <row r="4195">
      <c r="D4195" s="123"/>
    </row>
    <row r="4196">
      <c r="D4196" s="123"/>
    </row>
    <row r="4197">
      <c r="D4197" s="123"/>
    </row>
    <row r="4198">
      <c r="D4198" s="123"/>
    </row>
    <row r="4199">
      <c r="D4199" s="123"/>
    </row>
    <row r="4200">
      <c r="D4200" s="123"/>
    </row>
    <row r="4201">
      <c r="D4201" s="123"/>
    </row>
    <row r="4202">
      <c r="D4202" s="123"/>
    </row>
    <row r="4203">
      <c r="D4203" s="123"/>
    </row>
    <row r="4204">
      <c r="D4204" s="123"/>
    </row>
    <row r="4205">
      <c r="D4205" s="123"/>
    </row>
    <row r="4206">
      <c r="D4206" s="123"/>
    </row>
    <row r="4207">
      <c r="D4207" s="123"/>
    </row>
    <row r="4208">
      <c r="D4208" s="123"/>
    </row>
    <row r="4209">
      <c r="D4209" s="123"/>
    </row>
    <row r="4210">
      <c r="D4210" s="123"/>
    </row>
    <row r="4211">
      <c r="D4211" s="123"/>
    </row>
    <row r="4212">
      <c r="D4212" s="123"/>
    </row>
    <row r="4213">
      <c r="D4213" s="123"/>
    </row>
    <row r="4214">
      <c r="D4214" s="123"/>
    </row>
    <row r="4215">
      <c r="D4215" s="123"/>
    </row>
    <row r="4216">
      <c r="D4216" s="123"/>
    </row>
    <row r="4217">
      <c r="D4217" s="123"/>
    </row>
    <row r="4218">
      <c r="D4218" s="123"/>
    </row>
    <row r="4219">
      <c r="D4219" s="123"/>
    </row>
    <row r="4220">
      <c r="D4220" s="123"/>
    </row>
    <row r="4221">
      <c r="D4221" s="123"/>
    </row>
    <row r="4222">
      <c r="D4222" s="123"/>
    </row>
    <row r="4223">
      <c r="D4223" s="123"/>
    </row>
    <row r="4224">
      <c r="D4224" s="123"/>
    </row>
    <row r="4225">
      <c r="D4225" s="123"/>
    </row>
    <row r="4226">
      <c r="D4226" s="123"/>
    </row>
    <row r="4227">
      <c r="D4227" s="123"/>
    </row>
    <row r="4228">
      <c r="D4228" s="123"/>
    </row>
    <row r="4229">
      <c r="D4229" s="123"/>
    </row>
    <row r="4230">
      <c r="D4230" s="123"/>
    </row>
    <row r="4231">
      <c r="D4231" s="123"/>
    </row>
    <row r="4232">
      <c r="D4232" s="123"/>
    </row>
    <row r="4233">
      <c r="D4233" s="123"/>
    </row>
    <row r="4234">
      <c r="D4234" s="123"/>
    </row>
    <row r="4235">
      <c r="D4235" s="123"/>
    </row>
    <row r="4236">
      <c r="D4236" s="123"/>
    </row>
    <row r="4237">
      <c r="D4237" s="123"/>
    </row>
    <row r="4238">
      <c r="D4238" s="123"/>
    </row>
    <row r="4239">
      <c r="D4239" s="123"/>
    </row>
    <row r="4240">
      <c r="D4240" s="123"/>
    </row>
    <row r="4241">
      <c r="D4241" s="123"/>
    </row>
    <row r="4242">
      <c r="D4242" s="123"/>
    </row>
    <row r="4243">
      <c r="D4243" s="123"/>
    </row>
    <row r="4244">
      <c r="D4244" s="123"/>
    </row>
    <row r="4245">
      <c r="D4245" s="123"/>
    </row>
    <row r="4246">
      <c r="D4246" s="123"/>
    </row>
    <row r="4247">
      <c r="D4247" s="123"/>
    </row>
    <row r="4248">
      <c r="D4248" s="123"/>
    </row>
    <row r="4249">
      <c r="D4249" s="123"/>
    </row>
    <row r="4250">
      <c r="D4250" s="123"/>
    </row>
    <row r="4251">
      <c r="D4251" s="123"/>
    </row>
    <row r="4252">
      <c r="D4252" s="123"/>
    </row>
    <row r="4253">
      <c r="D4253" s="123"/>
    </row>
    <row r="4254">
      <c r="D4254" s="123"/>
    </row>
    <row r="4255">
      <c r="D4255" s="123"/>
    </row>
    <row r="4256">
      <c r="D4256" s="123"/>
    </row>
    <row r="4257">
      <c r="D4257" s="123"/>
    </row>
    <row r="4258">
      <c r="D4258" s="123"/>
    </row>
    <row r="4259">
      <c r="D4259" s="123"/>
    </row>
    <row r="4260">
      <c r="D4260" s="123"/>
    </row>
    <row r="4261">
      <c r="D4261" s="123"/>
    </row>
    <row r="4262">
      <c r="D4262" s="123"/>
    </row>
    <row r="4263">
      <c r="D4263" s="123"/>
    </row>
    <row r="4264">
      <c r="D4264" s="123"/>
    </row>
    <row r="4265">
      <c r="D4265" s="123"/>
    </row>
    <row r="4266">
      <c r="D4266" s="123"/>
    </row>
    <row r="4267">
      <c r="D4267" s="123"/>
    </row>
    <row r="4268">
      <c r="D4268" s="123"/>
    </row>
    <row r="4269">
      <c r="D4269" s="123"/>
    </row>
    <row r="4270">
      <c r="D4270" s="123"/>
    </row>
    <row r="4271">
      <c r="D4271" s="123"/>
    </row>
    <row r="4272">
      <c r="D4272" s="123"/>
    </row>
    <row r="4273">
      <c r="D4273" s="123"/>
    </row>
    <row r="4274">
      <c r="D4274" s="123"/>
    </row>
    <row r="4275">
      <c r="D4275" s="123"/>
    </row>
    <row r="4276">
      <c r="D4276" s="123"/>
    </row>
    <row r="4277">
      <c r="D4277" s="123"/>
    </row>
    <row r="4278">
      <c r="D4278" s="123"/>
    </row>
    <row r="4279">
      <c r="D4279" s="123"/>
    </row>
    <row r="4280">
      <c r="D4280" s="123"/>
    </row>
    <row r="4281">
      <c r="D4281" s="123"/>
    </row>
    <row r="4282">
      <c r="D4282" s="123"/>
    </row>
    <row r="4283">
      <c r="D4283" s="123"/>
    </row>
    <row r="4284">
      <c r="D4284" s="123"/>
    </row>
    <row r="4285">
      <c r="D4285" s="123"/>
    </row>
    <row r="4286">
      <c r="D4286" s="123"/>
    </row>
    <row r="4287">
      <c r="D4287" s="123"/>
    </row>
    <row r="4288">
      <c r="D4288" s="123"/>
    </row>
    <row r="4289">
      <c r="D4289" s="123"/>
    </row>
    <row r="4290">
      <c r="D4290" s="123"/>
    </row>
    <row r="4291">
      <c r="D4291" s="123"/>
    </row>
    <row r="4292">
      <c r="D4292" s="123"/>
    </row>
    <row r="4293">
      <c r="D4293" s="123"/>
    </row>
    <row r="4294">
      <c r="D4294" s="123"/>
    </row>
    <row r="4295">
      <c r="D4295" s="123"/>
    </row>
    <row r="4296">
      <c r="D4296" s="123"/>
    </row>
    <row r="4297">
      <c r="D4297" s="123"/>
    </row>
    <row r="4298">
      <c r="D4298" s="123"/>
    </row>
    <row r="4299">
      <c r="D4299" s="123"/>
    </row>
    <row r="4300">
      <c r="D4300" s="123"/>
    </row>
    <row r="4301">
      <c r="D4301" s="123"/>
    </row>
    <row r="4302">
      <c r="D4302" s="123"/>
    </row>
    <row r="4303">
      <c r="D4303" s="123"/>
    </row>
    <row r="4304">
      <c r="D4304" s="123"/>
    </row>
    <row r="4305">
      <c r="D4305" s="123"/>
    </row>
    <row r="4306">
      <c r="D4306" s="123"/>
    </row>
    <row r="4307">
      <c r="D4307" s="123"/>
    </row>
    <row r="4308">
      <c r="D4308" s="123"/>
    </row>
    <row r="4309">
      <c r="D4309" s="123"/>
    </row>
    <row r="4310">
      <c r="D4310" s="123"/>
    </row>
    <row r="4311">
      <c r="D4311" s="123"/>
    </row>
    <row r="4312">
      <c r="D4312" s="123"/>
    </row>
    <row r="4313">
      <c r="D4313" s="123"/>
    </row>
    <row r="4314">
      <c r="D4314" s="123"/>
    </row>
    <row r="4315">
      <c r="D4315" s="123"/>
    </row>
    <row r="4316">
      <c r="D4316" s="123"/>
    </row>
    <row r="4317">
      <c r="D4317" s="123"/>
    </row>
    <row r="4318">
      <c r="D4318" s="123"/>
    </row>
    <row r="4319">
      <c r="D4319" s="123"/>
    </row>
    <row r="4320">
      <c r="D4320" s="123"/>
    </row>
    <row r="4321">
      <c r="D4321" s="123"/>
    </row>
    <row r="4322">
      <c r="D4322" s="123"/>
    </row>
    <row r="4323">
      <c r="D4323" s="123"/>
    </row>
    <row r="4324">
      <c r="D4324" s="123"/>
    </row>
    <row r="4325">
      <c r="D4325" s="123"/>
    </row>
    <row r="4326">
      <c r="D4326" s="123"/>
    </row>
    <row r="4327">
      <c r="D4327" s="123"/>
    </row>
    <row r="4328">
      <c r="D4328" s="123"/>
    </row>
    <row r="4329">
      <c r="D4329" s="123"/>
    </row>
    <row r="4330">
      <c r="D4330" s="123"/>
    </row>
    <row r="4331">
      <c r="D4331" s="123"/>
    </row>
    <row r="4332">
      <c r="D4332" s="123"/>
    </row>
    <row r="4333">
      <c r="D4333" s="123"/>
    </row>
    <row r="4334">
      <c r="D4334" s="123"/>
    </row>
    <row r="4335">
      <c r="D4335" s="123"/>
    </row>
    <row r="4336">
      <c r="D4336" s="123"/>
    </row>
    <row r="4337">
      <c r="D4337" s="123"/>
    </row>
    <row r="4338">
      <c r="D4338" s="123"/>
    </row>
    <row r="4339">
      <c r="D4339" s="123"/>
    </row>
    <row r="4340">
      <c r="D4340" s="123"/>
    </row>
    <row r="4341">
      <c r="D4341" s="123"/>
    </row>
    <row r="4342">
      <c r="D4342" s="123"/>
    </row>
    <row r="4343">
      <c r="D4343" s="123"/>
    </row>
    <row r="4344">
      <c r="D4344" s="123"/>
    </row>
    <row r="4345">
      <c r="D4345" s="123"/>
    </row>
    <row r="4346">
      <c r="D4346" s="123"/>
    </row>
    <row r="4347">
      <c r="D4347" s="123"/>
    </row>
    <row r="4348">
      <c r="D4348" s="123"/>
    </row>
    <row r="4349">
      <c r="D4349" s="123"/>
    </row>
    <row r="4350">
      <c r="D4350" s="123"/>
    </row>
    <row r="4351">
      <c r="D4351" s="123"/>
    </row>
    <row r="4352">
      <c r="D4352" s="123"/>
    </row>
    <row r="4353">
      <c r="D4353" s="123"/>
    </row>
    <row r="4354">
      <c r="D4354" s="123"/>
    </row>
    <row r="4355">
      <c r="D4355" s="123"/>
    </row>
    <row r="4356">
      <c r="D4356" s="123"/>
    </row>
    <row r="4357">
      <c r="D4357" s="123"/>
    </row>
    <row r="4358">
      <c r="D4358" s="123"/>
    </row>
    <row r="4359">
      <c r="D4359" s="123"/>
    </row>
    <row r="4360">
      <c r="D4360" s="123"/>
    </row>
    <row r="4361">
      <c r="D4361" s="123"/>
    </row>
    <row r="4362">
      <c r="D4362" s="123"/>
    </row>
    <row r="4363">
      <c r="D4363" s="123"/>
    </row>
    <row r="4364">
      <c r="D4364" s="123"/>
    </row>
    <row r="4365">
      <c r="D4365" s="123"/>
    </row>
    <row r="4366">
      <c r="D4366" s="123"/>
    </row>
    <row r="4367">
      <c r="D4367" s="123"/>
    </row>
    <row r="4368">
      <c r="D4368" s="123"/>
    </row>
    <row r="4369">
      <c r="D4369" s="123"/>
    </row>
    <row r="4370">
      <c r="D4370" s="123"/>
    </row>
    <row r="4371">
      <c r="D4371" s="123"/>
    </row>
    <row r="4372">
      <c r="D4372" s="123"/>
    </row>
    <row r="4373">
      <c r="D4373" s="123"/>
    </row>
    <row r="4374">
      <c r="D4374" s="123"/>
    </row>
    <row r="4375">
      <c r="D4375" s="123"/>
    </row>
    <row r="4376">
      <c r="D4376" s="123"/>
    </row>
    <row r="4377">
      <c r="D4377" s="123"/>
    </row>
    <row r="4378">
      <c r="D4378" s="123"/>
    </row>
    <row r="4379">
      <c r="D4379" s="123"/>
    </row>
    <row r="4380">
      <c r="D4380" s="123"/>
    </row>
    <row r="4381">
      <c r="D4381" s="123"/>
    </row>
    <row r="4382">
      <c r="D4382" s="123"/>
    </row>
    <row r="4383">
      <c r="D4383" s="123"/>
    </row>
    <row r="4384">
      <c r="D4384" s="123"/>
    </row>
    <row r="4385">
      <c r="D4385" s="123"/>
    </row>
    <row r="4386">
      <c r="D4386" s="123"/>
    </row>
    <row r="4387">
      <c r="D4387" s="123"/>
    </row>
    <row r="4388">
      <c r="D4388" s="123"/>
    </row>
    <row r="4389">
      <c r="D4389" s="123"/>
    </row>
    <row r="4390">
      <c r="D4390" s="123"/>
    </row>
    <row r="4391">
      <c r="D4391" s="123"/>
    </row>
    <row r="4392">
      <c r="D4392" s="123"/>
    </row>
    <row r="4393">
      <c r="D4393" s="123"/>
    </row>
    <row r="4394">
      <c r="D4394" s="123"/>
    </row>
    <row r="4395">
      <c r="D4395" s="123"/>
    </row>
    <row r="4396">
      <c r="D4396" s="123"/>
    </row>
    <row r="4397">
      <c r="D4397" s="123"/>
    </row>
    <row r="4398">
      <c r="D4398" s="123"/>
    </row>
    <row r="4399">
      <c r="D4399" s="123"/>
    </row>
    <row r="4400">
      <c r="D4400" s="123"/>
    </row>
    <row r="4401">
      <c r="D4401" s="123"/>
    </row>
    <row r="4402">
      <c r="D4402" s="123"/>
    </row>
    <row r="4403">
      <c r="D4403" s="123"/>
    </row>
    <row r="4404">
      <c r="D4404" s="123"/>
    </row>
    <row r="4405">
      <c r="D4405" s="123"/>
    </row>
    <row r="4406">
      <c r="D4406" s="123"/>
    </row>
    <row r="4407">
      <c r="D4407" s="123"/>
    </row>
    <row r="4408">
      <c r="D4408" s="123"/>
    </row>
    <row r="4409">
      <c r="D4409" s="123"/>
    </row>
    <row r="4410">
      <c r="D4410" s="123"/>
    </row>
    <row r="4411">
      <c r="D4411" s="123"/>
    </row>
    <row r="4412">
      <c r="D4412" s="123"/>
    </row>
    <row r="4413">
      <c r="D4413" s="123"/>
    </row>
    <row r="4414">
      <c r="D4414" s="123"/>
    </row>
    <row r="4415">
      <c r="D4415" s="123"/>
    </row>
    <row r="4416">
      <c r="D4416" s="123"/>
    </row>
    <row r="4417">
      <c r="D4417" s="123"/>
    </row>
    <row r="4418">
      <c r="D4418" s="123"/>
    </row>
    <row r="4419">
      <c r="D4419" s="123"/>
    </row>
    <row r="4420">
      <c r="D4420" s="123"/>
    </row>
    <row r="4421">
      <c r="D4421" s="123"/>
    </row>
    <row r="4422">
      <c r="D4422" s="123"/>
    </row>
    <row r="4423">
      <c r="D4423" s="123"/>
    </row>
    <row r="4424">
      <c r="D4424" s="123"/>
    </row>
    <row r="4425">
      <c r="D4425" s="123"/>
    </row>
    <row r="4426">
      <c r="D4426" s="123"/>
    </row>
    <row r="4427">
      <c r="D4427" s="123"/>
    </row>
    <row r="4428">
      <c r="D4428" s="123"/>
    </row>
    <row r="4429">
      <c r="D4429" s="123"/>
    </row>
    <row r="4430">
      <c r="D4430" s="123"/>
    </row>
    <row r="4431">
      <c r="D4431" s="123"/>
    </row>
    <row r="4432">
      <c r="D4432" s="123"/>
    </row>
    <row r="4433">
      <c r="D4433" s="123"/>
    </row>
    <row r="4434">
      <c r="D4434" s="123"/>
    </row>
    <row r="4435">
      <c r="D4435" s="123"/>
    </row>
    <row r="4436">
      <c r="D4436" s="123"/>
    </row>
    <row r="4437">
      <c r="D4437" s="123"/>
    </row>
    <row r="4438">
      <c r="D4438" s="123"/>
    </row>
    <row r="4439">
      <c r="D4439" s="123"/>
    </row>
    <row r="4440">
      <c r="D4440" s="123"/>
    </row>
    <row r="4441">
      <c r="D4441" s="123"/>
    </row>
    <row r="4442">
      <c r="D4442" s="123"/>
    </row>
    <row r="4443">
      <c r="D4443" s="123"/>
    </row>
    <row r="4444">
      <c r="D4444" s="123"/>
    </row>
    <row r="4445">
      <c r="D4445" s="123"/>
    </row>
    <row r="4446">
      <c r="D4446" s="123"/>
    </row>
    <row r="4447">
      <c r="D4447" s="123"/>
    </row>
    <row r="4448">
      <c r="D4448" s="123"/>
    </row>
    <row r="4449">
      <c r="D4449" s="123"/>
    </row>
    <row r="4450">
      <c r="D4450" s="123"/>
    </row>
    <row r="4451">
      <c r="D4451" s="123"/>
    </row>
    <row r="4452">
      <c r="D4452" s="123"/>
    </row>
    <row r="4453">
      <c r="D4453" s="123"/>
    </row>
    <row r="4454">
      <c r="D4454" s="123"/>
    </row>
    <row r="4455">
      <c r="D4455" s="123"/>
    </row>
    <row r="4456">
      <c r="D4456" s="123"/>
    </row>
    <row r="4457">
      <c r="D4457" s="123"/>
    </row>
    <row r="4458">
      <c r="D4458" s="123"/>
    </row>
    <row r="4459">
      <c r="D4459" s="123"/>
    </row>
    <row r="4460">
      <c r="D4460" s="123"/>
    </row>
    <row r="4461">
      <c r="D4461" s="123"/>
    </row>
    <row r="4462">
      <c r="D4462" s="123"/>
    </row>
    <row r="4463">
      <c r="D4463" s="123"/>
    </row>
    <row r="4464">
      <c r="D4464" s="123"/>
    </row>
    <row r="4465">
      <c r="D4465" s="123"/>
    </row>
    <row r="4466">
      <c r="D4466" s="123"/>
    </row>
    <row r="4467">
      <c r="D4467" s="123"/>
    </row>
    <row r="4468">
      <c r="D4468" s="123"/>
    </row>
    <row r="4469">
      <c r="D4469" s="123"/>
    </row>
    <row r="4470">
      <c r="D4470" s="123"/>
    </row>
    <row r="4471">
      <c r="D4471" s="123"/>
    </row>
    <row r="4472">
      <c r="D4472" s="123"/>
    </row>
    <row r="4473">
      <c r="D4473" s="123"/>
    </row>
    <row r="4474">
      <c r="D4474" s="123"/>
    </row>
    <row r="4475">
      <c r="D4475" s="123"/>
    </row>
    <row r="4476">
      <c r="D4476" s="123"/>
    </row>
    <row r="4477">
      <c r="D4477" s="123"/>
    </row>
    <row r="4478">
      <c r="D4478" s="123"/>
    </row>
    <row r="4479">
      <c r="D4479" s="123"/>
    </row>
    <row r="4480">
      <c r="D4480" s="123"/>
    </row>
    <row r="4481">
      <c r="D4481" s="123"/>
    </row>
    <row r="4482">
      <c r="D4482" s="123"/>
    </row>
    <row r="4483">
      <c r="D4483" s="123"/>
    </row>
    <row r="4484">
      <c r="D4484" s="123"/>
    </row>
    <row r="4485">
      <c r="D4485" s="123"/>
    </row>
    <row r="4486">
      <c r="D4486" s="123"/>
    </row>
    <row r="4487">
      <c r="D4487" s="123"/>
    </row>
    <row r="4488">
      <c r="D4488" s="123"/>
    </row>
    <row r="4489">
      <c r="D4489" s="123"/>
    </row>
    <row r="4490">
      <c r="D4490" s="123"/>
    </row>
    <row r="4491">
      <c r="D4491" s="123"/>
    </row>
    <row r="4492">
      <c r="D4492" s="123"/>
    </row>
    <row r="4493">
      <c r="D4493" s="123"/>
    </row>
    <row r="4494">
      <c r="D4494" s="123"/>
    </row>
    <row r="4495">
      <c r="D4495" s="123"/>
    </row>
    <row r="4496">
      <c r="D4496" s="123"/>
    </row>
    <row r="4497">
      <c r="D4497" s="123"/>
    </row>
    <row r="4498">
      <c r="D4498" s="123"/>
    </row>
    <row r="4499">
      <c r="D4499" s="123"/>
    </row>
    <row r="4500">
      <c r="D4500" s="123"/>
    </row>
    <row r="4501">
      <c r="D4501" s="123"/>
    </row>
    <row r="4502">
      <c r="D4502" s="123"/>
    </row>
    <row r="4503">
      <c r="D4503" s="123"/>
    </row>
    <row r="4504">
      <c r="D4504" s="123"/>
    </row>
    <row r="4505">
      <c r="D4505" s="123"/>
    </row>
    <row r="4506">
      <c r="D4506" s="123"/>
    </row>
    <row r="4507">
      <c r="D4507" s="123"/>
    </row>
    <row r="4508">
      <c r="D4508" s="123"/>
    </row>
    <row r="4509">
      <c r="D4509" s="123"/>
    </row>
    <row r="4510">
      <c r="D4510" s="123"/>
    </row>
    <row r="4511">
      <c r="D4511" s="123"/>
    </row>
    <row r="4512">
      <c r="D4512" s="123"/>
    </row>
    <row r="4513">
      <c r="D4513" s="123"/>
    </row>
    <row r="4514">
      <c r="D4514" s="123"/>
    </row>
    <row r="4515">
      <c r="D4515" s="123"/>
    </row>
    <row r="4516">
      <c r="D4516" s="123"/>
    </row>
    <row r="4517">
      <c r="D4517" s="123"/>
    </row>
    <row r="4518">
      <c r="D4518" s="123"/>
    </row>
    <row r="4519">
      <c r="D4519" s="123"/>
    </row>
    <row r="4520">
      <c r="D4520" s="123"/>
    </row>
    <row r="4521">
      <c r="D4521" s="123"/>
    </row>
    <row r="4522">
      <c r="D4522" s="123"/>
    </row>
    <row r="4523">
      <c r="D4523" s="123"/>
    </row>
    <row r="4524">
      <c r="D4524" s="123"/>
    </row>
    <row r="4525">
      <c r="D4525" s="123"/>
    </row>
    <row r="4526">
      <c r="D4526" s="123"/>
    </row>
    <row r="4527">
      <c r="D4527" s="123"/>
    </row>
    <row r="4528">
      <c r="D4528" s="123"/>
    </row>
    <row r="4529">
      <c r="D4529" s="123"/>
    </row>
    <row r="4530">
      <c r="D4530" s="123"/>
    </row>
    <row r="4531">
      <c r="D4531" s="123"/>
    </row>
    <row r="4532">
      <c r="D4532" s="123"/>
    </row>
    <row r="4533">
      <c r="D4533" s="123"/>
    </row>
    <row r="4534">
      <c r="D4534" s="123"/>
    </row>
    <row r="4535">
      <c r="D4535" s="123"/>
    </row>
    <row r="4536">
      <c r="D4536" s="123"/>
    </row>
    <row r="4537">
      <c r="D4537" s="123"/>
    </row>
    <row r="4538">
      <c r="D4538" s="123"/>
    </row>
    <row r="4539">
      <c r="D4539" s="123"/>
    </row>
    <row r="4540">
      <c r="D4540" s="123"/>
    </row>
    <row r="4541">
      <c r="D4541" s="123"/>
    </row>
    <row r="4542">
      <c r="D4542" s="123"/>
    </row>
    <row r="4543">
      <c r="D4543" s="123"/>
    </row>
    <row r="4544">
      <c r="D4544" s="123"/>
    </row>
    <row r="4545">
      <c r="D4545" s="123"/>
    </row>
    <row r="4546">
      <c r="D4546" s="123"/>
    </row>
    <row r="4547">
      <c r="D4547" s="123"/>
    </row>
    <row r="4548">
      <c r="D4548" s="123"/>
    </row>
    <row r="4549">
      <c r="D4549" s="123"/>
    </row>
    <row r="4550">
      <c r="D4550" s="123"/>
    </row>
    <row r="4551">
      <c r="D4551" s="123"/>
    </row>
    <row r="4552">
      <c r="D4552" s="123"/>
    </row>
    <row r="4553">
      <c r="D4553" s="123"/>
    </row>
    <row r="4554">
      <c r="D4554" s="123"/>
    </row>
    <row r="4555">
      <c r="D4555" s="123"/>
    </row>
    <row r="4556">
      <c r="D4556" s="123"/>
    </row>
    <row r="4557">
      <c r="D4557" s="123"/>
    </row>
    <row r="4558">
      <c r="D4558" s="123"/>
    </row>
    <row r="4559">
      <c r="D4559" s="123"/>
    </row>
    <row r="4560">
      <c r="D4560" s="123"/>
    </row>
    <row r="4561">
      <c r="D4561" s="123"/>
    </row>
    <row r="4562">
      <c r="D4562" s="123"/>
    </row>
    <row r="4563">
      <c r="D4563" s="123"/>
    </row>
    <row r="4564">
      <c r="D4564" s="123"/>
    </row>
    <row r="4565">
      <c r="D4565" s="123"/>
    </row>
    <row r="4566">
      <c r="D4566" s="123"/>
    </row>
    <row r="4567">
      <c r="D4567" s="123"/>
    </row>
    <row r="4568">
      <c r="D4568" s="123"/>
    </row>
    <row r="4569">
      <c r="D4569" s="123"/>
    </row>
    <row r="4570">
      <c r="D4570" s="123"/>
    </row>
    <row r="4571">
      <c r="D4571" s="123"/>
    </row>
    <row r="4572">
      <c r="D4572" s="123"/>
    </row>
    <row r="4573">
      <c r="D4573" s="123"/>
    </row>
    <row r="4574">
      <c r="D4574" s="123"/>
    </row>
    <row r="4575">
      <c r="D4575" s="123"/>
    </row>
    <row r="4576">
      <c r="D4576" s="123"/>
    </row>
    <row r="4577">
      <c r="D4577" s="123"/>
    </row>
    <row r="4578">
      <c r="D4578" s="123"/>
    </row>
    <row r="4579">
      <c r="D4579" s="123"/>
    </row>
    <row r="4580">
      <c r="D4580" s="123"/>
    </row>
    <row r="4581">
      <c r="D4581" s="123"/>
    </row>
    <row r="4582">
      <c r="D4582" s="123"/>
    </row>
    <row r="4583">
      <c r="D4583" s="123"/>
    </row>
    <row r="4584">
      <c r="D4584" s="123"/>
    </row>
    <row r="4585">
      <c r="D4585" s="123"/>
    </row>
    <row r="4586">
      <c r="D4586" s="123"/>
    </row>
    <row r="4587">
      <c r="D4587" s="123"/>
    </row>
    <row r="4588">
      <c r="D4588" s="123"/>
    </row>
    <row r="4589">
      <c r="D4589" s="123"/>
    </row>
    <row r="4590">
      <c r="D4590" s="123"/>
    </row>
    <row r="4591">
      <c r="D4591" s="123"/>
    </row>
    <row r="4592">
      <c r="D4592" s="123"/>
    </row>
    <row r="4593">
      <c r="D4593" s="123"/>
    </row>
    <row r="4594">
      <c r="D4594" s="123"/>
    </row>
    <row r="4595">
      <c r="D4595" s="123"/>
    </row>
    <row r="4596">
      <c r="D4596" s="123"/>
    </row>
    <row r="4597">
      <c r="D4597" s="123"/>
    </row>
    <row r="4598">
      <c r="D4598" s="123"/>
    </row>
    <row r="4599">
      <c r="D4599" s="123"/>
    </row>
    <row r="4600">
      <c r="D4600" s="123"/>
    </row>
    <row r="4601">
      <c r="D4601" s="123"/>
    </row>
    <row r="4602">
      <c r="D4602" s="123"/>
    </row>
    <row r="4603">
      <c r="D4603" s="123"/>
    </row>
    <row r="4604">
      <c r="D4604" s="123"/>
    </row>
    <row r="4605">
      <c r="D4605" s="123"/>
    </row>
    <row r="4606">
      <c r="D4606" s="123"/>
    </row>
    <row r="4607">
      <c r="D4607" s="123"/>
    </row>
    <row r="4608">
      <c r="D4608" s="123"/>
    </row>
    <row r="4609">
      <c r="D4609" s="123"/>
    </row>
    <row r="4610">
      <c r="D4610" s="123"/>
    </row>
    <row r="4611">
      <c r="D4611" s="123"/>
    </row>
    <row r="4612">
      <c r="D4612" s="123"/>
    </row>
    <row r="4613">
      <c r="D4613" s="123"/>
    </row>
    <row r="4614">
      <c r="D4614" s="123"/>
    </row>
    <row r="4615">
      <c r="D4615" s="123"/>
    </row>
    <row r="4616">
      <c r="D4616" s="123"/>
    </row>
    <row r="4617">
      <c r="D4617" s="123"/>
    </row>
    <row r="4618">
      <c r="D4618" s="123"/>
    </row>
    <row r="4619">
      <c r="D4619" s="123"/>
    </row>
    <row r="4620">
      <c r="D4620" s="123"/>
    </row>
    <row r="4621">
      <c r="D4621" s="123"/>
    </row>
    <row r="4622">
      <c r="D4622" s="123"/>
    </row>
    <row r="4623">
      <c r="D4623" s="123"/>
    </row>
    <row r="4624">
      <c r="D4624" s="123"/>
    </row>
    <row r="4625">
      <c r="D4625" s="123"/>
    </row>
    <row r="4626">
      <c r="D4626" s="123"/>
    </row>
    <row r="4627">
      <c r="D4627" s="123"/>
    </row>
    <row r="4628">
      <c r="D4628" s="123"/>
    </row>
    <row r="4629">
      <c r="D4629" s="123"/>
    </row>
    <row r="4630">
      <c r="D4630" s="123"/>
    </row>
    <row r="4631">
      <c r="D4631" s="123"/>
    </row>
    <row r="4632">
      <c r="D4632" s="123"/>
    </row>
    <row r="4633">
      <c r="D4633" s="123"/>
    </row>
    <row r="4634">
      <c r="D4634" s="123"/>
    </row>
    <row r="4635">
      <c r="D4635" s="123"/>
    </row>
    <row r="4636">
      <c r="D4636" s="123"/>
    </row>
    <row r="4637">
      <c r="D4637" s="123"/>
    </row>
    <row r="4638">
      <c r="D4638" s="123"/>
    </row>
    <row r="4639">
      <c r="D4639" s="123"/>
    </row>
    <row r="4640">
      <c r="D4640" s="123"/>
    </row>
    <row r="4641">
      <c r="D4641" s="123"/>
    </row>
    <row r="4642">
      <c r="D4642" s="123"/>
    </row>
    <row r="4643">
      <c r="D4643" s="123"/>
    </row>
    <row r="4644">
      <c r="D4644" s="123"/>
    </row>
    <row r="4645">
      <c r="D4645" s="123"/>
    </row>
    <row r="4646">
      <c r="D4646" s="123"/>
    </row>
    <row r="4647">
      <c r="D4647" s="123"/>
    </row>
    <row r="4648">
      <c r="D4648" s="123"/>
    </row>
    <row r="4649">
      <c r="D4649" s="123"/>
    </row>
    <row r="4650">
      <c r="D4650" s="123"/>
    </row>
    <row r="4651">
      <c r="D4651" s="123"/>
    </row>
    <row r="4652">
      <c r="D4652" s="123"/>
    </row>
    <row r="4653">
      <c r="D4653" s="123"/>
    </row>
    <row r="4654">
      <c r="D4654" s="123"/>
    </row>
    <row r="4655">
      <c r="D4655" s="123"/>
    </row>
    <row r="4656">
      <c r="D4656" s="123"/>
    </row>
    <row r="4657">
      <c r="D4657" s="123"/>
    </row>
    <row r="4658">
      <c r="D4658" s="123"/>
    </row>
    <row r="4659">
      <c r="D4659" s="123"/>
    </row>
    <row r="4660">
      <c r="D4660" s="123"/>
    </row>
    <row r="4661">
      <c r="D4661" s="123"/>
    </row>
    <row r="4662">
      <c r="D4662" s="123"/>
    </row>
    <row r="4663">
      <c r="D4663" s="123"/>
    </row>
    <row r="4664">
      <c r="D4664" s="123"/>
    </row>
    <row r="4665">
      <c r="D4665" s="123"/>
    </row>
    <row r="4666">
      <c r="D4666" s="123"/>
    </row>
    <row r="4667">
      <c r="D4667" s="123"/>
    </row>
    <row r="4668">
      <c r="D4668" s="123"/>
    </row>
    <row r="4669">
      <c r="D4669" s="123"/>
    </row>
    <row r="4670">
      <c r="D4670" s="123"/>
    </row>
    <row r="4671">
      <c r="D4671" s="123"/>
    </row>
    <row r="4672">
      <c r="D4672" s="123"/>
    </row>
    <row r="4673">
      <c r="D4673" s="123"/>
    </row>
    <row r="4674">
      <c r="D4674" s="123"/>
    </row>
    <row r="4675">
      <c r="D4675" s="123"/>
    </row>
    <row r="4676">
      <c r="D4676" s="123"/>
    </row>
    <row r="4677">
      <c r="D4677" s="123"/>
    </row>
    <row r="4678">
      <c r="D4678" s="123"/>
    </row>
    <row r="4679">
      <c r="D4679" s="123"/>
    </row>
    <row r="4680">
      <c r="D4680" s="123"/>
    </row>
    <row r="4681">
      <c r="D4681" s="123"/>
    </row>
    <row r="4682">
      <c r="D4682" s="123"/>
    </row>
    <row r="4683">
      <c r="D4683" s="123"/>
    </row>
    <row r="4684">
      <c r="D4684" s="123"/>
    </row>
    <row r="4685">
      <c r="D4685" s="123"/>
    </row>
    <row r="4686">
      <c r="D4686" s="123"/>
    </row>
    <row r="4687">
      <c r="D4687" s="123"/>
    </row>
    <row r="4688">
      <c r="D4688" s="123"/>
    </row>
    <row r="4689">
      <c r="D4689" s="123"/>
    </row>
    <row r="4690">
      <c r="D4690" s="123"/>
    </row>
    <row r="4691">
      <c r="D4691" s="123"/>
    </row>
    <row r="4692">
      <c r="D4692" s="123"/>
    </row>
    <row r="4693">
      <c r="D4693" s="123"/>
    </row>
    <row r="4694">
      <c r="D4694" s="123"/>
    </row>
    <row r="4695">
      <c r="D4695" s="123"/>
    </row>
    <row r="4696">
      <c r="D4696" s="123"/>
    </row>
    <row r="4697">
      <c r="D4697" s="123"/>
    </row>
    <row r="4698">
      <c r="D4698" s="123"/>
    </row>
    <row r="4699">
      <c r="D4699" s="123"/>
    </row>
    <row r="4700">
      <c r="D4700" s="123"/>
    </row>
    <row r="4701">
      <c r="D4701" s="123"/>
    </row>
    <row r="4702">
      <c r="D4702" s="123"/>
    </row>
    <row r="4703">
      <c r="D4703" s="123"/>
    </row>
    <row r="4704">
      <c r="D4704" s="123"/>
    </row>
    <row r="4705">
      <c r="D4705" s="123"/>
    </row>
    <row r="4706">
      <c r="D4706" s="123"/>
    </row>
    <row r="4707">
      <c r="D4707" s="123"/>
    </row>
    <row r="4708">
      <c r="D4708" s="123"/>
    </row>
    <row r="4709">
      <c r="D4709" s="123"/>
    </row>
    <row r="4710">
      <c r="D4710" s="123"/>
    </row>
    <row r="4711">
      <c r="D4711" s="123"/>
    </row>
    <row r="4712">
      <c r="D4712" s="123"/>
    </row>
    <row r="4713">
      <c r="D4713" s="123"/>
    </row>
    <row r="4714">
      <c r="D4714" s="123"/>
    </row>
    <row r="4715">
      <c r="D4715" s="123"/>
    </row>
    <row r="4716">
      <c r="D4716" s="123"/>
    </row>
    <row r="4717">
      <c r="D4717" s="123"/>
    </row>
    <row r="4718">
      <c r="D4718" s="123"/>
    </row>
    <row r="4719">
      <c r="D4719" s="123"/>
    </row>
    <row r="4720">
      <c r="D4720" s="123"/>
    </row>
    <row r="4721">
      <c r="D4721" s="123"/>
    </row>
    <row r="4722">
      <c r="D4722" s="123"/>
    </row>
    <row r="4723">
      <c r="D4723" s="123"/>
    </row>
    <row r="4724">
      <c r="D4724" s="123"/>
    </row>
    <row r="4725">
      <c r="D4725" s="123"/>
    </row>
    <row r="4726">
      <c r="D4726" s="123"/>
    </row>
    <row r="4727">
      <c r="D4727" s="123"/>
    </row>
    <row r="4728">
      <c r="D4728" s="123"/>
    </row>
    <row r="4729">
      <c r="D4729" s="123"/>
    </row>
    <row r="4730">
      <c r="D4730" s="123"/>
    </row>
    <row r="4731">
      <c r="D4731" s="123"/>
    </row>
    <row r="4732">
      <c r="D4732" s="123"/>
    </row>
    <row r="4733">
      <c r="D4733" s="123"/>
    </row>
    <row r="4734">
      <c r="D4734" s="123"/>
    </row>
    <row r="4735">
      <c r="D4735" s="123"/>
    </row>
    <row r="4736">
      <c r="D4736" s="123"/>
    </row>
    <row r="4737">
      <c r="D4737" s="123"/>
    </row>
    <row r="4738">
      <c r="D4738" s="123"/>
    </row>
    <row r="4739">
      <c r="D4739" s="123"/>
    </row>
    <row r="4740">
      <c r="D4740" s="123"/>
    </row>
    <row r="4741">
      <c r="D4741" s="123"/>
    </row>
    <row r="4742">
      <c r="D4742" s="123"/>
    </row>
    <row r="4743">
      <c r="D4743" s="123"/>
    </row>
    <row r="4744">
      <c r="D4744" s="123"/>
    </row>
    <row r="4745">
      <c r="D4745" s="123"/>
    </row>
    <row r="4746">
      <c r="D4746" s="123"/>
    </row>
    <row r="4747">
      <c r="D4747" s="123"/>
    </row>
    <row r="4748">
      <c r="D4748" s="123"/>
    </row>
    <row r="4749">
      <c r="D4749" s="123"/>
    </row>
    <row r="4750">
      <c r="D4750" s="123"/>
    </row>
    <row r="4751">
      <c r="D4751" s="123"/>
    </row>
    <row r="4752">
      <c r="D4752" s="123"/>
    </row>
    <row r="4753">
      <c r="D4753" s="123"/>
    </row>
    <row r="4754">
      <c r="D4754" s="123"/>
    </row>
    <row r="4755">
      <c r="D4755" s="123"/>
    </row>
    <row r="4756">
      <c r="D4756" s="123"/>
    </row>
    <row r="4757">
      <c r="D4757" s="123"/>
    </row>
    <row r="4758">
      <c r="D4758" s="123"/>
    </row>
    <row r="4759">
      <c r="D4759" s="123"/>
    </row>
    <row r="4760">
      <c r="D4760" s="123"/>
    </row>
    <row r="4761">
      <c r="D4761" s="123"/>
    </row>
    <row r="4762">
      <c r="D4762" s="123"/>
    </row>
    <row r="4763">
      <c r="D4763" s="123"/>
    </row>
    <row r="4764">
      <c r="D4764" s="123"/>
    </row>
    <row r="4765">
      <c r="D4765" s="123"/>
    </row>
    <row r="4766">
      <c r="D4766" s="123"/>
    </row>
    <row r="4767">
      <c r="D4767" s="123"/>
    </row>
    <row r="4768">
      <c r="D4768" s="123"/>
    </row>
    <row r="4769">
      <c r="D4769" s="123"/>
    </row>
    <row r="4770">
      <c r="D4770" s="123"/>
    </row>
    <row r="4771">
      <c r="D4771" s="123"/>
    </row>
    <row r="4772">
      <c r="D4772" s="123"/>
    </row>
    <row r="4773">
      <c r="D4773" s="123"/>
    </row>
    <row r="4774">
      <c r="D4774" s="123"/>
    </row>
    <row r="4775">
      <c r="D4775" s="123"/>
    </row>
    <row r="4776">
      <c r="D4776" s="123"/>
    </row>
    <row r="4777">
      <c r="D4777" s="123"/>
    </row>
    <row r="4778">
      <c r="D4778" s="123"/>
    </row>
    <row r="4779">
      <c r="D4779" s="123"/>
    </row>
    <row r="4780">
      <c r="D4780" s="123"/>
    </row>
    <row r="4781">
      <c r="D4781" s="123"/>
    </row>
    <row r="4782">
      <c r="D4782" s="123"/>
    </row>
    <row r="4783">
      <c r="D4783" s="123"/>
    </row>
    <row r="4784">
      <c r="D4784" s="123"/>
    </row>
    <row r="4785">
      <c r="D4785" s="123"/>
    </row>
    <row r="4786">
      <c r="D4786" s="123"/>
    </row>
    <row r="4787">
      <c r="D4787" s="123"/>
    </row>
    <row r="4788">
      <c r="D4788" s="123"/>
    </row>
    <row r="4789">
      <c r="D4789" s="123"/>
    </row>
    <row r="4790">
      <c r="D4790" s="123"/>
    </row>
    <row r="4791">
      <c r="D4791" s="123"/>
    </row>
    <row r="4792">
      <c r="D4792" s="123"/>
    </row>
    <row r="4793">
      <c r="D4793" s="123"/>
    </row>
    <row r="4794">
      <c r="D4794" s="123"/>
    </row>
    <row r="4795">
      <c r="D4795" s="123"/>
    </row>
    <row r="4796">
      <c r="D4796" s="123"/>
    </row>
    <row r="4797">
      <c r="D4797" s="123"/>
    </row>
    <row r="4798">
      <c r="D4798" s="123"/>
    </row>
    <row r="4799">
      <c r="D4799" s="123"/>
    </row>
    <row r="4800">
      <c r="D4800" s="123"/>
    </row>
    <row r="4801">
      <c r="D4801" s="123"/>
    </row>
    <row r="4802">
      <c r="D4802" s="123"/>
    </row>
    <row r="4803">
      <c r="D4803" s="123"/>
    </row>
    <row r="4804">
      <c r="D4804" s="123"/>
    </row>
    <row r="4805">
      <c r="D4805" s="123"/>
    </row>
    <row r="4806">
      <c r="D4806" s="123"/>
    </row>
    <row r="4807">
      <c r="D4807" s="123"/>
    </row>
    <row r="4808">
      <c r="D4808" s="123"/>
    </row>
    <row r="4809">
      <c r="D4809" s="123"/>
    </row>
    <row r="4810">
      <c r="D4810" s="123"/>
    </row>
    <row r="4811">
      <c r="D4811" s="123"/>
    </row>
    <row r="4812">
      <c r="D4812" s="123"/>
    </row>
    <row r="4813">
      <c r="D4813" s="123"/>
    </row>
    <row r="4814">
      <c r="D4814" s="123"/>
    </row>
    <row r="4815">
      <c r="D4815" s="123"/>
    </row>
    <row r="4816">
      <c r="D4816" s="123"/>
    </row>
    <row r="4817">
      <c r="D4817" s="123"/>
    </row>
    <row r="4818">
      <c r="D4818" s="123"/>
    </row>
    <row r="4819">
      <c r="D4819" s="123"/>
    </row>
    <row r="4820">
      <c r="D4820" s="123"/>
    </row>
    <row r="4821">
      <c r="D4821" s="123"/>
    </row>
    <row r="4822">
      <c r="D4822" s="123"/>
    </row>
    <row r="4823">
      <c r="D4823" s="123"/>
    </row>
    <row r="4824">
      <c r="D4824" s="123"/>
    </row>
    <row r="4825">
      <c r="D4825" s="123"/>
    </row>
    <row r="4826">
      <c r="D4826" s="123"/>
    </row>
    <row r="4827">
      <c r="D4827" s="123"/>
    </row>
    <row r="4828">
      <c r="D4828" s="123"/>
    </row>
    <row r="4829">
      <c r="D4829" s="123"/>
    </row>
    <row r="4830">
      <c r="D4830" s="123"/>
    </row>
    <row r="4831">
      <c r="D4831" s="123"/>
    </row>
    <row r="4832">
      <c r="D4832" s="123"/>
    </row>
    <row r="4833">
      <c r="D4833" s="123"/>
    </row>
    <row r="4834">
      <c r="D4834" s="123"/>
    </row>
    <row r="4835">
      <c r="D4835" s="123"/>
    </row>
    <row r="4836">
      <c r="D4836" s="123"/>
    </row>
    <row r="4837">
      <c r="D4837" s="123"/>
    </row>
    <row r="4838">
      <c r="D4838" s="123"/>
    </row>
    <row r="4839">
      <c r="D4839" s="123"/>
    </row>
    <row r="4840">
      <c r="D4840" s="123"/>
    </row>
    <row r="4841">
      <c r="D4841" s="123"/>
    </row>
    <row r="4842">
      <c r="D4842" s="123"/>
    </row>
    <row r="4843">
      <c r="D4843" s="123"/>
    </row>
    <row r="4844">
      <c r="D4844" s="123"/>
    </row>
    <row r="4845">
      <c r="D4845" s="123"/>
    </row>
    <row r="4846">
      <c r="D4846" s="123"/>
    </row>
    <row r="4847">
      <c r="D4847" s="123"/>
    </row>
    <row r="4848">
      <c r="D4848" s="123"/>
    </row>
    <row r="4849">
      <c r="D4849" s="123"/>
    </row>
    <row r="4850">
      <c r="D4850" s="123"/>
    </row>
    <row r="4851">
      <c r="D4851" s="123"/>
    </row>
    <row r="4852">
      <c r="D4852" s="123"/>
    </row>
    <row r="4853">
      <c r="D4853" s="123"/>
    </row>
    <row r="4854">
      <c r="D4854" s="123"/>
    </row>
    <row r="4855">
      <c r="D4855" s="123"/>
    </row>
    <row r="4856">
      <c r="D4856" s="123"/>
    </row>
    <row r="4857">
      <c r="D4857" s="123"/>
    </row>
    <row r="4858">
      <c r="D4858" s="123"/>
    </row>
    <row r="4859">
      <c r="D4859" s="123"/>
    </row>
    <row r="4860">
      <c r="D4860" s="123"/>
    </row>
    <row r="4861">
      <c r="D4861" s="123"/>
    </row>
    <row r="4862">
      <c r="D4862" s="123"/>
    </row>
    <row r="4863">
      <c r="D4863" s="123"/>
    </row>
    <row r="4864">
      <c r="D4864" s="123"/>
    </row>
    <row r="4865">
      <c r="D4865" s="123"/>
    </row>
    <row r="4866">
      <c r="D4866" s="123"/>
    </row>
    <row r="4867">
      <c r="D4867" s="123"/>
    </row>
    <row r="4868">
      <c r="D4868" s="123"/>
    </row>
    <row r="4869">
      <c r="D4869" s="123"/>
    </row>
    <row r="4870">
      <c r="D4870" s="123"/>
    </row>
    <row r="4871">
      <c r="D4871" s="123"/>
    </row>
    <row r="4872">
      <c r="D4872" s="123"/>
    </row>
    <row r="4873">
      <c r="D4873" s="123"/>
    </row>
    <row r="4874">
      <c r="D4874" s="123"/>
    </row>
    <row r="4875">
      <c r="D4875" s="123"/>
    </row>
    <row r="4876">
      <c r="D4876" s="123"/>
    </row>
    <row r="4877">
      <c r="D4877" s="123"/>
    </row>
    <row r="4878">
      <c r="D4878" s="123"/>
    </row>
    <row r="4879">
      <c r="D4879" s="123"/>
    </row>
    <row r="4880">
      <c r="D4880" s="123"/>
    </row>
    <row r="4881">
      <c r="D4881" s="123"/>
    </row>
    <row r="4882">
      <c r="D4882" s="123"/>
    </row>
    <row r="4883">
      <c r="D4883" s="123"/>
    </row>
    <row r="4884">
      <c r="D4884" s="123"/>
    </row>
    <row r="4885">
      <c r="D4885" s="123"/>
    </row>
    <row r="4886">
      <c r="D4886" s="123"/>
    </row>
    <row r="4887">
      <c r="D4887" s="123"/>
    </row>
    <row r="4888">
      <c r="D4888" s="123"/>
    </row>
    <row r="4889">
      <c r="D4889" s="123"/>
    </row>
    <row r="4890">
      <c r="D4890" s="123"/>
    </row>
    <row r="4891">
      <c r="D4891" s="123"/>
    </row>
    <row r="4892">
      <c r="D4892" s="123"/>
    </row>
    <row r="4893">
      <c r="D4893" s="123"/>
    </row>
    <row r="4894">
      <c r="D4894" s="123"/>
    </row>
    <row r="4895">
      <c r="D4895" s="123"/>
    </row>
    <row r="4896">
      <c r="D4896" s="123"/>
    </row>
    <row r="4897">
      <c r="D4897" s="123"/>
    </row>
    <row r="4898">
      <c r="D4898" s="123"/>
    </row>
    <row r="4899">
      <c r="D4899" s="123"/>
    </row>
    <row r="4900">
      <c r="D4900" s="123"/>
    </row>
    <row r="4901">
      <c r="D4901" s="123"/>
    </row>
    <row r="4902">
      <c r="D4902" s="123"/>
    </row>
    <row r="4903">
      <c r="D4903" s="123"/>
    </row>
    <row r="4904">
      <c r="D4904" s="123"/>
    </row>
    <row r="4905">
      <c r="D4905" s="123"/>
    </row>
    <row r="4906">
      <c r="D4906" s="123"/>
    </row>
    <row r="4907">
      <c r="D4907" s="123"/>
    </row>
    <row r="4908">
      <c r="D4908" s="123"/>
    </row>
    <row r="4909">
      <c r="D4909" s="123"/>
    </row>
    <row r="4910">
      <c r="D4910" s="123"/>
    </row>
    <row r="4911">
      <c r="D4911" s="123"/>
    </row>
    <row r="4912">
      <c r="D4912" s="123"/>
    </row>
    <row r="4913">
      <c r="D4913" s="123"/>
    </row>
    <row r="4914">
      <c r="D4914" s="123"/>
    </row>
    <row r="4915">
      <c r="D4915" s="123"/>
    </row>
    <row r="4916">
      <c r="D4916" s="123"/>
    </row>
    <row r="4917">
      <c r="D4917" s="123"/>
    </row>
    <row r="4918">
      <c r="D4918" s="123"/>
    </row>
    <row r="4919">
      <c r="D4919" s="123"/>
    </row>
    <row r="4920">
      <c r="D4920" s="123"/>
    </row>
    <row r="4921">
      <c r="D4921" s="123"/>
    </row>
    <row r="4922">
      <c r="D4922" s="123"/>
    </row>
    <row r="4923">
      <c r="D4923" s="123"/>
    </row>
    <row r="4924">
      <c r="D4924" s="123"/>
    </row>
    <row r="4925">
      <c r="D4925" s="123"/>
    </row>
    <row r="4926">
      <c r="D4926" s="123"/>
    </row>
    <row r="4927">
      <c r="D4927" s="123"/>
    </row>
    <row r="4928">
      <c r="D4928" s="123"/>
    </row>
    <row r="4929">
      <c r="D4929" s="123"/>
    </row>
    <row r="4930">
      <c r="D4930" s="123"/>
    </row>
    <row r="4931">
      <c r="D4931" s="123"/>
    </row>
    <row r="4932">
      <c r="D4932" s="123"/>
    </row>
    <row r="4933">
      <c r="D4933" s="123"/>
    </row>
    <row r="4934">
      <c r="D4934" s="123"/>
    </row>
    <row r="4935">
      <c r="D4935" s="123"/>
    </row>
    <row r="4936">
      <c r="D4936" s="123"/>
    </row>
    <row r="4937">
      <c r="D4937" s="123"/>
    </row>
    <row r="4938">
      <c r="D4938" s="123"/>
    </row>
    <row r="4939">
      <c r="D4939" s="123"/>
    </row>
    <row r="4940">
      <c r="D4940" s="123"/>
    </row>
    <row r="4941">
      <c r="D4941" s="123"/>
    </row>
    <row r="4942">
      <c r="D4942" s="123"/>
    </row>
    <row r="4943">
      <c r="D4943" s="123"/>
    </row>
    <row r="4944">
      <c r="D4944" s="123"/>
    </row>
    <row r="4945">
      <c r="D4945" s="123"/>
    </row>
    <row r="4946">
      <c r="D4946" s="123"/>
    </row>
    <row r="4947">
      <c r="D4947" s="123"/>
    </row>
    <row r="4948">
      <c r="D4948" s="123"/>
    </row>
    <row r="4949">
      <c r="D4949" s="123"/>
    </row>
    <row r="4950">
      <c r="D4950" s="123"/>
    </row>
    <row r="4951">
      <c r="D4951" s="123"/>
    </row>
    <row r="4952">
      <c r="D4952" s="123"/>
    </row>
    <row r="4953">
      <c r="D4953" s="123"/>
    </row>
    <row r="4954">
      <c r="D4954" s="123"/>
    </row>
    <row r="4955">
      <c r="D4955" s="123"/>
    </row>
    <row r="4956">
      <c r="D4956" s="123"/>
    </row>
    <row r="4957">
      <c r="D4957" s="123"/>
    </row>
    <row r="4958">
      <c r="D4958" s="123"/>
    </row>
    <row r="4959">
      <c r="D4959" s="123"/>
    </row>
    <row r="4960">
      <c r="D4960" s="123"/>
    </row>
    <row r="4961">
      <c r="D4961" s="123"/>
    </row>
    <row r="4962">
      <c r="D4962" s="123"/>
    </row>
    <row r="4963">
      <c r="D4963" s="123"/>
    </row>
    <row r="4964">
      <c r="D4964" s="123"/>
    </row>
    <row r="4965">
      <c r="D4965" s="123"/>
    </row>
    <row r="4966">
      <c r="D4966" s="123"/>
    </row>
    <row r="4967">
      <c r="D4967" s="123"/>
    </row>
    <row r="4968">
      <c r="D4968" s="123"/>
    </row>
    <row r="4969">
      <c r="D4969" s="123"/>
    </row>
    <row r="4970">
      <c r="D4970" s="123"/>
    </row>
    <row r="4971">
      <c r="D4971" s="123"/>
    </row>
    <row r="4972">
      <c r="D4972" s="123"/>
    </row>
    <row r="4973">
      <c r="D4973" s="123"/>
    </row>
    <row r="4974">
      <c r="D4974" s="123"/>
    </row>
    <row r="4975">
      <c r="D4975" s="123"/>
    </row>
    <row r="4976">
      <c r="D4976" s="123"/>
    </row>
    <row r="4977">
      <c r="D4977" s="123"/>
    </row>
    <row r="4978">
      <c r="D4978" s="123"/>
    </row>
    <row r="4979">
      <c r="D4979" s="123"/>
    </row>
    <row r="4980">
      <c r="D4980" s="123"/>
    </row>
    <row r="4981">
      <c r="D4981" s="123"/>
    </row>
    <row r="4982">
      <c r="D4982" s="123"/>
    </row>
    <row r="4983">
      <c r="D4983" s="123"/>
    </row>
    <row r="4984">
      <c r="D4984" s="123"/>
    </row>
    <row r="4985">
      <c r="D4985" s="123"/>
    </row>
    <row r="4986">
      <c r="D4986" s="123"/>
    </row>
    <row r="4987">
      <c r="D4987" s="123"/>
    </row>
    <row r="4988">
      <c r="D4988" s="123"/>
    </row>
    <row r="4989">
      <c r="D4989" s="123"/>
    </row>
    <row r="4990">
      <c r="D4990" s="123"/>
    </row>
    <row r="4991">
      <c r="D4991" s="123"/>
    </row>
    <row r="4992">
      <c r="D4992" s="123"/>
    </row>
    <row r="4993">
      <c r="D4993" s="123"/>
    </row>
    <row r="4994">
      <c r="D4994" s="123"/>
    </row>
    <row r="4995">
      <c r="D4995" s="123"/>
    </row>
    <row r="4996">
      <c r="D4996" s="123"/>
    </row>
    <row r="4997">
      <c r="D4997" s="123"/>
    </row>
    <row r="4998">
      <c r="D4998" s="123"/>
    </row>
    <row r="4999">
      <c r="D4999" s="123"/>
    </row>
    <row r="5000">
      <c r="D5000" s="123"/>
    </row>
  </sheetData>
  <sheetProtection sheet="1" formatRows="0" spinCount="100000" saltValue="PFHACNARpxpR9zTMbALumw==" hashValue="MJ6njxi/c41lRBmz15wULMOcW7Ur2cqX5S6b+5q188AmbDi3DYqpi+YC/BilQV2eguH22tHYVFu5DgqHLFbdlQ==" algorithmName="SHA-512"/>
  <mergeCells count="113">
    <mergeCell ref="C162:G162"/>
    <mergeCell ref="C163:G163"/>
    <mergeCell ref="C164:G164"/>
    <mergeCell ref="C165:G165"/>
    <mergeCell ref="C166:G166"/>
    <mergeCell ref="C167:G167"/>
    <mergeCell ref="C168:G168"/>
    <mergeCell ref="C169:G169"/>
    <mergeCell ref="C170:G170"/>
    <mergeCell ref="C171:G171"/>
    <mergeCell ref="C172:G172"/>
    <mergeCell ref="C173:G173"/>
    <mergeCell ref="C174:G174"/>
    <mergeCell ref="C175:G175"/>
    <mergeCell ref="C176:G176"/>
    <mergeCell ref="C177:G177"/>
    <mergeCell ref="C178:G178"/>
    <mergeCell ref="C179:G179"/>
    <mergeCell ref="C180:G180"/>
    <mergeCell ref="C181:G181"/>
    <mergeCell ref="C182:G182"/>
    <mergeCell ref="C183:G183"/>
    <mergeCell ref="C184:G184"/>
    <mergeCell ref="C185:G185"/>
    <mergeCell ref="C186:G186"/>
    <mergeCell ref="C191:G191"/>
    <mergeCell ref="C259:G259"/>
    <mergeCell ref="C261:G261"/>
    <mergeCell ref="C262:G262"/>
    <mergeCell ref="C263:G263"/>
    <mergeCell ref="C264:G264"/>
    <mergeCell ref="A276:G280"/>
    <mergeCell ref="A268:B268"/>
    <mergeCell ref="A275:C275"/>
    <mergeCell ref="C100:G100"/>
    <mergeCell ref="C107:G107"/>
    <mergeCell ref="C108:G108"/>
    <mergeCell ref="C109:G109"/>
    <mergeCell ref="C110:G110"/>
    <mergeCell ref="C111:G111"/>
    <mergeCell ref="C112:G112"/>
    <mergeCell ref="C113:G113"/>
    <mergeCell ref="C114:G114"/>
    <mergeCell ref="C115:G115"/>
    <mergeCell ref="C116:G116"/>
    <mergeCell ref="C117:G117"/>
    <mergeCell ref="C118:G118"/>
    <mergeCell ref="C119:G119"/>
    <mergeCell ref="C120:G120"/>
    <mergeCell ref="C121:G121"/>
    <mergeCell ref="C122:G122"/>
    <mergeCell ref="C123:G123"/>
    <mergeCell ref="C124:G124"/>
    <mergeCell ref="C125:G125"/>
    <mergeCell ref="C101:G101"/>
    <mergeCell ref="C102:G102"/>
    <mergeCell ref="C103:G103"/>
    <mergeCell ref="C104:G104"/>
    <mergeCell ref="C105:G105"/>
    <mergeCell ref="C91:G91"/>
    <mergeCell ref="C94:G94"/>
    <mergeCell ref="C95:G95"/>
    <mergeCell ref="C96:G96"/>
    <mergeCell ref="C97:G97"/>
    <mergeCell ref="C99:G99"/>
    <mergeCell ref="C26:G26"/>
    <mergeCell ref="C32:G32"/>
    <mergeCell ref="C50:G50"/>
    <mergeCell ref="C76:G76"/>
    <mergeCell ref="C78:G78"/>
    <mergeCell ref="C80:G80"/>
    <mergeCell ref="C82:G82"/>
    <mergeCell ref="C84:G84"/>
    <mergeCell ref="C86:G86"/>
    <mergeCell ref="A1:G1"/>
    <mergeCell ref="C2:G2"/>
    <mergeCell ref="C3:G3"/>
    <mergeCell ref="C4:G4"/>
    <mergeCell ref="C87:G87"/>
    <mergeCell ref="C88:G88"/>
    <mergeCell ref="C89:G89"/>
    <mergeCell ref="C90:G90"/>
    <mergeCell ref="C126:G126"/>
    <mergeCell ref="C127:G127"/>
    <mergeCell ref="C128:G128"/>
    <mergeCell ref="C129:G129"/>
    <mergeCell ref="C130:G130"/>
    <mergeCell ref="C131:G131"/>
    <mergeCell ref="C132:G132"/>
    <mergeCell ref="C133:G133"/>
    <mergeCell ref="C134:G134"/>
    <mergeCell ref="C135:G135"/>
    <mergeCell ref="C136:G136"/>
    <mergeCell ref="C137:G137"/>
    <mergeCell ref="C138:G138"/>
    <mergeCell ref="C141:G141"/>
    <mergeCell ref="C142:G142"/>
    <mergeCell ref="C143:G143"/>
    <mergeCell ref="C144:G144"/>
    <mergeCell ref="C146:G146"/>
    <mergeCell ref="C147:G147"/>
    <mergeCell ref="C148:G148"/>
    <mergeCell ref="C149:G149"/>
    <mergeCell ref="C150:G150"/>
    <mergeCell ref="C151:G151"/>
    <mergeCell ref="C153:G153"/>
    <mergeCell ref="C155:G155"/>
    <mergeCell ref="C156:G156"/>
    <mergeCell ref="C157:G157"/>
    <mergeCell ref="C158:G158"/>
    <mergeCell ref="C159:G159"/>
    <mergeCell ref="C160:G160"/>
    <mergeCell ref="C161:G161"/>
  </mergeCells>
  <pageMargins left="0.5902778" right="0.1965278" top="0.7875" bottom="0.7875" header="0.3" footer="0.3"/>
  <pageSetup r:id="rId1" paperSize="9" orientation="portrait"/>
  <headerFooter>
    <oddFooter xml:space="preserve">&amp;RStránka &amp;P z &amp;N&amp;LZpracováno programem BUILDpower S,  © RTS, a.s.</oddFooter>
  </headerFooter>
  <legacyDrawing r:id="rId2"/>
</worksheet>
</file>

<file path=xl/worksheets/sheet6.xml><?xml version="1.0" encoding="utf-8"?>
<worksheet xmlns:r="http://schemas.openxmlformats.org/officeDocument/2006/relationships" xmlns="http://schemas.openxmlformats.org/spreadsheetml/2006/main">
  <sheetPr>
    <outlinePr summaryBelow="0"/>
  </sheetPr>
  <sheetViews>
    <sheetView workbookViewId="0">
      <pane activePane="bottomLeft" state="frozen" topLeftCell="A8" ySplit="7"/>
      <selection pane="bottomLeft" activeCell="A1" sqref="A1:G1"/>
    </sheetView>
  </sheetViews>
  <sheetFormatPr defaultRowHeight="12.75" outlineLevelRow="1"/>
  <cols>
    <col min="1" max="1" width="3.542969" customWidth="1"/>
    <col min="2" max="2" width="12.69141" style="191" customWidth="1"/>
    <col min="3" max="3" width="38.40234" style="191" customWidth="1"/>
    <col min="4" max="4" width="4.972656" customWidth="1"/>
    <col min="5" max="5" width="10.69141" customWidth="1"/>
    <col min="6" max="6" width="9.972656" customWidth="1"/>
    <col min="7" max="7" width="12.83203" customWidth="1"/>
    <col min="8" max="25" hidden="1" customWidth="1"/>
    <col min="29" max="29" hidden="1" customWidth="1"/>
    <col min="31" max="41" hidden="1" customWidth="1"/>
  </cols>
  <sheetData>
    <row r="1" ht="15.75" customHeight="1">
      <c r="A1" s="192" t="s">
        <v>171</v>
      </c>
      <c r="B1" s="192"/>
      <c r="C1" s="192"/>
      <c r="D1" s="192"/>
      <c r="E1" s="192"/>
      <c r="F1" s="192"/>
      <c r="G1" s="192"/>
      <c r="AG1" t="s">
        <v>175</v>
      </c>
    </row>
    <row r="2" ht="24.95" customHeight="1">
      <c r="A2" s="193" t="s">
        <v>172</v>
      </c>
      <c r="B2" s="185" t="s">
        <v>5</v>
      </c>
      <c r="C2" s="185" t="s">
        <v>6</v>
      </c>
      <c r="D2" s="194"/>
      <c r="E2" s="194"/>
      <c r="F2" s="194"/>
      <c r="G2" s="195"/>
      <c r="AG2" t="s">
        <v>176</v>
      </c>
    </row>
    <row r="3" ht="24.95" customHeight="1">
      <c r="A3" s="193" t="s">
        <v>173</v>
      </c>
      <c r="B3" s="185" t="s">
        <v>59</v>
      </c>
      <c r="C3" s="185" t="s">
        <v>60</v>
      </c>
      <c r="D3" s="194"/>
      <c r="E3" s="194"/>
      <c r="F3" s="194"/>
      <c r="G3" s="195"/>
      <c r="AC3" s="191" t="s">
        <v>176</v>
      </c>
      <c r="AG3" t="s">
        <v>177</v>
      </c>
    </row>
    <row r="4" ht="24.95" customHeight="1">
      <c r="A4" s="196" t="s">
        <v>174</v>
      </c>
      <c r="B4" s="197" t="s">
        <v>62</v>
      </c>
      <c r="C4" s="197" t="s">
        <v>63</v>
      </c>
      <c r="D4" s="198"/>
      <c r="E4" s="198"/>
      <c r="F4" s="198"/>
      <c r="G4" s="199"/>
      <c r="AG4" t="s">
        <v>178</v>
      </c>
    </row>
    <row r="5">
      <c r="D5" s="123"/>
    </row>
    <row r="6" ht="38.25">
      <c r="A6" s="200" t="s">
        <v>179</v>
      </c>
      <c r="B6" s="201" t="s">
        <v>180</v>
      </c>
      <c r="C6" s="201" t="s">
        <v>181</v>
      </c>
      <c r="D6" s="202" t="s">
        <v>182</v>
      </c>
      <c r="E6" s="200" t="s">
        <v>183</v>
      </c>
      <c r="F6" s="203" t="s">
        <v>184</v>
      </c>
      <c r="G6" s="200" t="s">
        <v>26</v>
      </c>
      <c r="H6" s="204" t="s">
        <v>185</v>
      </c>
      <c r="I6" s="204" t="s">
        <v>186</v>
      </c>
      <c r="J6" s="204" t="s">
        <v>187</v>
      </c>
      <c r="K6" s="204" t="s">
        <v>188</v>
      </c>
      <c r="L6" s="204" t="s">
        <v>189</v>
      </c>
      <c r="M6" s="204" t="s">
        <v>190</v>
      </c>
      <c r="N6" s="204" t="s">
        <v>191</v>
      </c>
      <c r="O6" s="204" t="s">
        <v>192</v>
      </c>
      <c r="P6" s="204" t="s">
        <v>193</v>
      </c>
      <c r="Q6" s="204" t="s">
        <v>194</v>
      </c>
      <c r="R6" s="204" t="s">
        <v>195</v>
      </c>
      <c r="S6" s="204" t="s">
        <v>196</v>
      </c>
      <c r="T6" s="204" t="s">
        <v>197</v>
      </c>
      <c r="U6" s="204" t="s">
        <v>198</v>
      </c>
      <c r="V6" s="204" t="s">
        <v>199</v>
      </c>
      <c r="W6" s="204" t="s">
        <v>200</v>
      </c>
      <c r="X6" s="204" t="s">
        <v>201</v>
      </c>
      <c r="Y6" s="204" t="s">
        <v>202</v>
      </c>
    </row>
    <row r="7" hidden="1">
      <c r="A7" s="180"/>
      <c r="B7" s="188"/>
      <c r="C7" s="188"/>
      <c r="D7" s="190"/>
      <c r="E7" s="205"/>
      <c r="F7" s="206"/>
      <c r="G7" s="206"/>
      <c r="H7" s="206"/>
      <c r="I7" s="206"/>
      <c r="J7" s="206"/>
      <c r="K7" s="206"/>
      <c r="L7" s="206"/>
      <c r="M7" s="206"/>
      <c r="N7" s="205"/>
      <c r="O7" s="205"/>
      <c r="P7" s="205"/>
      <c r="Q7" s="205"/>
      <c r="R7" s="206"/>
      <c r="S7" s="206"/>
      <c r="T7" s="206"/>
      <c r="U7" s="206"/>
      <c r="V7" s="206"/>
      <c r="W7" s="206"/>
      <c r="X7" s="206"/>
      <c r="Y7" s="206"/>
    </row>
    <row r="8">
      <c r="A8" s="207" t="s">
        <v>203</v>
      </c>
      <c r="B8" s="208" t="s">
        <v>129</v>
      </c>
      <c r="C8" s="209" t="s">
        <v>130</v>
      </c>
      <c r="D8" s="210"/>
      <c r="E8" s="211"/>
      <c r="F8" s="212"/>
      <c r="G8" s="213">
        <f>SUMIF(AG9:AG67,"&lt;&gt;NOR",G9:G67)</f>
        <v>0</v>
      </c>
      <c r="H8" s="214"/>
      <c r="I8" s="214">
        <f>SUM(I9:I67)</f>
        <v>0</v>
      </c>
      <c r="J8" s="214"/>
      <c r="K8" s="214">
        <f>SUM(K9:K67)</f>
        <v>0</v>
      </c>
      <c r="L8" s="214"/>
      <c r="M8" s="214">
        <f>SUM(M9:M67)</f>
        <v>0</v>
      </c>
      <c r="N8" s="215"/>
      <c r="O8" s="215">
        <f>SUM(O9:O67)</f>
        <v>0.23000000000000001</v>
      </c>
      <c r="P8" s="215"/>
      <c r="Q8" s="215">
        <f>SUM(Q9:Q67)</f>
        <v>0</v>
      </c>
      <c r="R8" s="214"/>
      <c r="S8" s="214"/>
      <c r="T8" s="214"/>
      <c r="U8" s="214"/>
      <c r="V8" s="214">
        <f>SUM(V9:V67)</f>
        <v>0</v>
      </c>
      <c r="W8" s="214"/>
      <c r="X8" s="214"/>
      <c r="Y8" s="214"/>
      <c r="AG8" t="s">
        <v>204</v>
      </c>
    </row>
    <row r="9" outlineLevel="1" ht="22.5">
      <c r="A9" s="237">
        <v>1</v>
      </c>
      <c r="B9" s="238" t="s">
        <v>662</v>
      </c>
      <c r="C9" s="239" t="s">
        <v>663</v>
      </c>
      <c r="D9" s="240" t="s">
        <v>280</v>
      </c>
      <c r="E9" s="241">
        <v>6</v>
      </c>
      <c r="F9" s="242"/>
      <c r="G9" s="243">
        <f>ROUND(E9*F9,2)</f>
        <v>0</v>
      </c>
      <c r="H9" s="223"/>
      <c r="I9" s="224">
        <f>ROUND(E9*H9,2)</f>
        <v>0</v>
      </c>
      <c r="J9" s="223"/>
      <c r="K9" s="224">
        <f>ROUND(E9*J9,2)</f>
        <v>0</v>
      </c>
      <c r="L9" s="224">
        <v>21</v>
      </c>
      <c r="M9" s="224">
        <f>G9*(1+L9/100)</f>
        <v>0</v>
      </c>
      <c r="N9" s="225">
        <v>0</v>
      </c>
      <c r="O9" s="225">
        <f>ROUND(E9*N9,2)</f>
        <v>0</v>
      </c>
      <c r="P9" s="225">
        <v>0</v>
      </c>
      <c r="Q9" s="225">
        <f>ROUND(E9*P9,2)</f>
        <v>0</v>
      </c>
      <c r="R9" s="224"/>
      <c r="S9" s="224" t="s">
        <v>208</v>
      </c>
      <c r="T9" s="224" t="s">
        <v>209</v>
      </c>
      <c r="U9" s="224">
        <v>0</v>
      </c>
      <c r="V9" s="224">
        <f>ROUND(E9*U9,2)</f>
        <v>0</v>
      </c>
      <c r="W9" s="224"/>
      <c r="X9" s="224" t="s">
        <v>210</v>
      </c>
      <c r="Y9" s="224" t="s">
        <v>211</v>
      </c>
      <c r="Z9" s="226"/>
      <c r="AA9" s="226"/>
      <c r="AB9" s="226"/>
      <c r="AC9" s="226"/>
      <c r="AD9" s="226"/>
      <c r="AE9" s="226"/>
      <c r="AF9" s="226"/>
      <c r="AG9" s="226" t="s">
        <v>212</v>
      </c>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row>
    <row r="10" outlineLevel="1">
      <c r="A10" s="237">
        <v>2</v>
      </c>
      <c r="B10" s="238" t="s">
        <v>664</v>
      </c>
      <c r="C10" s="239" t="s">
        <v>665</v>
      </c>
      <c r="D10" s="240" t="s">
        <v>666</v>
      </c>
      <c r="E10" s="241">
        <v>6</v>
      </c>
      <c r="F10" s="242"/>
      <c r="G10" s="243">
        <f>ROUND(E10*F10,2)</f>
        <v>0</v>
      </c>
      <c r="H10" s="223"/>
      <c r="I10" s="224">
        <f>ROUND(E10*H10,2)</f>
        <v>0</v>
      </c>
      <c r="J10" s="223"/>
      <c r="K10" s="224">
        <f>ROUND(E10*J10,2)</f>
        <v>0</v>
      </c>
      <c r="L10" s="224">
        <v>21</v>
      </c>
      <c r="M10" s="224">
        <f>G10*(1+L10/100)</f>
        <v>0</v>
      </c>
      <c r="N10" s="225">
        <v>0</v>
      </c>
      <c r="O10" s="225">
        <f>ROUND(E10*N10,2)</f>
        <v>0</v>
      </c>
      <c r="P10" s="225">
        <v>0</v>
      </c>
      <c r="Q10" s="225">
        <f>ROUND(E10*P10,2)</f>
        <v>0</v>
      </c>
      <c r="R10" s="224"/>
      <c r="S10" s="224" t="s">
        <v>208</v>
      </c>
      <c r="T10" s="224" t="s">
        <v>209</v>
      </c>
      <c r="U10" s="224">
        <v>0</v>
      </c>
      <c r="V10" s="224">
        <f>ROUND(E10*U10,2)</f>
        <v>0</v>
      </c>
      <c r="W10" s="224"/>
      <c r="X10" s="224" t="s">
        <v>230</v>
      </c>
      <c r="Y10" s="224" t="s">
        <v>211</v>
      </c>
      <c r="Z10" s="226"/>
      <c r="AA10" s="226"/>
      <c r="AB10" s="226"/>
      <c r="AC10" s="226"/>
      <c r="AD10" s="226"/>
      <c r="AE10" s="226"/>
      <c r="AF10" s="226"/>
      <c r="AG10" s="226" t="s">
        <v>231</v>
      </c>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row>
    <row r="11" outlineLevel="1" ht="22.5">
      <c r="A11" s="237">
        <v>3</v>
      </c>
      <c r="B11" s="238" t="s">
        <v>667</v>
      </c>
      <c r="C11" s="239" t="s">
        <v>668</v>
      </c>
      <c r="D11" s="240" t="s">
        <v>280</v>
      </c>
      <c r="E11" s="241">
        <v>34</v>
      </c>
      <c r="F11" s="242"/>
      <c r="G11" s="243">
        <f>ROUND(E11*F11,2)</f>
        <v>0</v>
      </c>
      <c r="H11" s="223"/>
      <c r="I11" s="224">
        <f>ROUND(E11*H11,2)</f>
        <v>0</v>
      </c>
      <c r="J11" s="223"/>
      <c r="K11" s="224">
        <f>ROUND(E11*J11,2)</f>
        <v>0</v>
      </c>
      <c r="L11" s="224">
        <v>21</v>
      </c>
      <c r="M11" s="224">
        <f>G11*(1+L11/100)</f>
        <v>0</v>
      </c>
      <c r="N11" s="225">
        <v>0</v>
      </c>
      <c r="O11" s="225">
        <f>ROUND(E11*N11,2)</f>
        <v>0</v>
      </c>
      <c r="P11" s="225">
        <v>0</v>
      </c>
      <c r="Q11" s="225">
        <f>ROUND(E11*P11,2)</f>
        <v>0</v>
      </c>
      <c r="R11" s="224"/>
      <c r="S11" s="224" t="s">
        <v>208</v>
      </c>
      <c r="T11" s="224" t="s">
        <v>209</v>
      </c>
      <c r="U11" s="224">
        <v>0</v>
      </c>
      <c r="V11" s="224">
        <f>ROUND(E11*U11,2)</f>
        <v>0</v>
      </c>
      <c r="W11" s="224"/>
      <c r="X11" s="224" t="s">
        <v>230</v>
      </c>
      <c r="Y11" s="224" t="s">
        <v>211</v>
      </c>
      <c r="Z11" s="226"/>
      <c r="AA11" s="226"/>
      <c r="AB11" s="226"/>
      <c r="AC11" s="226"/>
      <c r="AD11" s="226"/>
      <c r="AE11" s="226"/>
      <c r="AF11" s="226"/>
      <c r="AG11" s="226" t="s">
        <v>231</v>
      </c>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row>
    <row r="12" outlineLevel="1" ht="22.5">
      <c r="A12" s="237">
        <v>4</v>
      </c>
      <c r="B12" s="238" t="s">
        <v>669</v>
      </c>
      <c r="C12" s="239" t="s">
        <v>670</v>
      </c>
      <c r="D12" s="240" t="s">
        <v>280</v>
      </c>
      <c r="E12" s="241">
        <v>28</v>
      </c>
      <c r="F12" s="242"/>
      <c r="G12" s="243">
        <f>ROUND(E12*F12,2)</f>
        <v>0</v>
      </c>
      <c r="H12" s="223"/>
      <c r="I12" s="224">
        <f>ROUND(E12*H12,2)</f>
        <v>0</v>
      </c>
      <c r="J12" s="223"/>
      <c r="K12" s="224">
        <f>ROUND(E12*J12,2)</f>
        <v>0</v>
      </c>
      <c r="L12" s="224">
        <v>21</v>
      </c>
      <c r="M12" s="224">
        <f>G12*(1+L12/100)</f>
        <v>0</v>
      </c>
      <c r="N12" s="225">
        <v>0</v>
      </c>
      <c r="O12" s="225">
        <f>ROUND(E12*N12,2)</f>
        <v>0</v>
      </c>
      <c r="P12" s="225">
        <v>0</v>
      </c>
      <c r="Q12" s="225">
        <f>ROUND(E12*P12,2)</f>
        <v>0</v>
      </c>
      <c r="R12" s="224"/>
      <c r="S12" s="224" t="s">
        <v>208</v>
      </c>
      <c r="T12" s="224" t="s">
        <v>209</v>
      </c>
      <c r="U12" s="224">
        <v>0</v>
      </c>
      <c r="V12" s="224">
        <f>ROUND(E12*U12,2)</f>
        <v>0</v>
      </c>
      <c r="W12" s="224"/>
      <c r="X12" s="224" t="s">
        <v>230</v>
      </c>
      <c r="Y12" s="224" t="s">
        <v>211</v>
      </c>
      <c r="Z12" s="226"/>
      <c r="AA12" s="226"/>
      <c r="AB12" s="226"/>
      <c r="AC12" s="226"/>
      <c r="AD12" s="226"/>
      <c r="AE12" s="226"/>
      <c r="AF12" s="226"/>
      <c r="AG12" s="226" t="s">
        <v>231</v>
      </c>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row>
    <row r="13" outlineLevel="1" ht="22.5">
      <c r="A13" s="237">
        <v>5</v>
      </c>
      <c r="B13" s="238" t="s">
        <v>671</v>
      </c>
      <c r="C13" s="239" t="s">
        <v>672</v>
      </c>
      <c r="D13" s="240" t="s">
        <v>280</v>
      </c>
      <c r="E13" s="241">
        <v>16</v>
      </c>
      <c r="F13" s="242"/>
      <c r="G13" s="243">
        <f>ROUND(E13*F13,2)</f>
        <v>0</v>
      </c>
      <c r="H13" s="223"/>
      <c r="I13" s="224">
        <f>ROUND(E13*H13,2)</f>
        <v>0</v>
      </c>
      <c r="J13" s="223"/>
      <c r="K13" s="224">
        <f>ROUND(E13*J13,2)</f>
        <v>0</v>
      </c>
      <c r="L13" s="224">
        <v>21</v>
      </c>
      <c r="M13" s="224">
        <f>G13*(1+L13/100)</f>
        <v>0</v>
      </c>
      <c r="N13" s="225">
        <v>1.0000000000000001E-05</v>
      </c>
      <c r="O13" s="225">
        <f>ROUND(E13*N13,2)</f>
        <v>0</v>
      </c>
      <c r="P13" s="225">
        <v>0</v>
      </c>
      <c r="Q13" s="225">
        <f>ROUND(E13*P13,2)</f>
        <v>0</v>
      </c>
      <c r="R13" s="224"/>
      <c r="S13" s="224" t="s">
        <v>208</v>
      </c>
      <c r="T13" s="224" t="s">
        <v>209</v>
      </c>
      <c r="U13" s="224">
        <v>0</v>
      </c>
      <c r="V13" s="224">
        <f>ROUND(E13*U13,2)</f>
        <v>0</v>
      </c>
      <c r="W13" s="224"/>
      <c r="X13" s="224" t="s">
        <v>230</v>
      </c>
      <c r="Y13" s="224" t="s">
        <v>211</v>
      </c>
      <c r="Z13" s="226"/>
      <c r="AA13" s="226"/>
      <c r="AB13" s="226"/>
      <c r="AC13" s="226"/>
      <c r="AD13" s="226"/>
      <c r="AE13" s="226"/>
      <c r="AF13" s="226"/>
      <c r="AG13" s="226" t="s">
        <v>231</v>
      </c>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row>
    <row r="14" outlineLevel="1" ht="22.5">
      <c r="A14" s="237">
        <v>6</v>
      </c>
      <c r="B14" s="238" t="s">
        <v>673</v>
      </c>
      <c r="C14" s="239" t="s">
        <v>674</v>
      </c>
      <c r="D14" s="240" t="s">
        <v>280</v>
      </c>
      <c r="E14" s="241">
        <v>4</v>
      </c>
      <c r="F14" s="242"/>
      <c r="G14" s="243">
        <f>ROUND(E14*F14,2)</f>
        <v>0</v>
      </c>
      <c r="H14" s="223"/>
      <c r="I14" s="224">
        <f>ROUND(E14*H14,2)</f>
        <v>0</v>
      </c>
      <c r="J14" s="223"/>
      <c r="K14" s="224">
        <f>ROUND(E14*J14,2)</f>
        <v>0</v>
      </c>
      <c r="L14" s="224">
        <v>21</v>
      </c>
      <c r="M14" s="224">
        <f>G14*(1+L14/100)</f>
        <v>0</v>
      </c>
      <c r="N14" s="225">
        <v>0</v>
      </c>
      <c r="O14" s="225">
        <f>ROUND(E14*N14,2)</f>
        <v>0</v>
      </c>
      <c r="P14" s="225">
        <v>0</v>
      </c>
      <c r="Q14" s="225">
        <f>ROUND(E14*P14,2)</f>
        <v>0</v>
      </c>
      <c r="R14" s="224"/>
      <c r="S14" s="224" t="s">
        <v>208</v>
      </c>
      <c r="T14" s="224" t="s">
        <v>209</v>
      </c>
      <c r="U14" s="224">
        <v>0</v>
      </c>
      <c r="V14" s="224">
        <f>ROUND(E14*U14,2)</f>
        <v>0</v>
      </c>
      <c r="W14" s="224"/>
      <c r="X14" s="224" t="s">
        <v>210</v>
      </c>
      <c r="Y14" s="224" t="s">
        <v>211</v>
      </c>
      <c r="Z14" s="226"/>
      <c r="AA14" s="226"/>
      <c r="AB14" s="226"/>
      <c r="AC14" s="226"/>
      <c r="AD14" s="226"/>
      <c r="AE14" s="226"/>
      <c r="AF14" s="226"/>
      <c r="AG14" s="226" t="s">
        <v>212</v>
      </c>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row>
    <row r="15" outlineLevel="1" ht="22.5">
      <c r="A15" s="237">
        <v>7</v>
      </c>
      <c r="B15" s="238" t="s">
        <v>675</v>
      </c>
      <c r="C15" s="239" t="s">
        <v>676</v>
      </c>
      <c r="D15" s="240" t="s">
        <v>280</v>
      </c>
      <c r="E15" s="241">
        <v>4</v>
      </c>
      <c r="F15" s="242"/>
      <c r="G15" s="243">
        <f>ROUND(E15*F15,2)</f>
        <v>0</v>
      </c>
      <c r="H15" s="223"/>
      <c r="I15" s="224">
        <f>ROUND(E15*H15,2)</f>
        <v>0</v>
      </c>
      <c r="J15" s="223"/>
      <c r="K15" s="224">
        <f>ROUND(E15*J15,2)</f>
        <v>0</v>
      </c>
      <c r="L15" s="224">
        <v>21</v>
      </c>
      <c r="M15" s="224">
        <f>G15*(1+L15/100)</f>
        <v>0</v>
      </c>
      <c r="N15" s="225">
        <v>0.0080999999999999996</v>
      </c>
      <c r="O15" s="225">
        <f>ROUND(E15*N15,2)</f>
        <v>0.029999999999999999</v>
      </c>
      <c r="P15" s="225">
        <v>0</v>
      </c>
      <c r="Q15" s="225">
        <f>ROUND(E15*P15,2)</f>
        <v>0</v>
      </c>
      <c r="R15" s="224"/>
      <c r="S15" s="224" t="s">
        <v>208</v>
      </c>
      <c r="T15" s="224" t="s">
        <v>209</v>
      </c>
      <c r="U15" s="224">
        <v>0</v>
      </c>
      <c r="V15" s="224">
        <f>ROUND(E15*U15,2)</f>
        <v>0</v>
      </c>
      <c r="W15" s="224"/>
      <c r="X15" s="224" t="s">
        <v>230</v>
      </c>
      <c r="Y15" s="224" t="s">
        <v>211</v>
      </c>
      <c r="Z15" s="226"/>
      <c r="AA15" s="226"/>
      <c r="AB15" s="226"/>
      <c r="AC15" s="226"/>
      <c r="AD15" s="226"/>
      <c r="AE15" s="226"/>
      <c r="AF15" s="226"/>
      <c r="AG15" s="226" t="s">
        <v>231</v>
      </c>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row>
    <row r="16" outlineLevel="1" ht="22.5">
      <c r="A16" s="237">
        <v>8</v>
      </c>
      <c r="B16" s="238" t="s">
        <v>677</v>
      </c>
      <c r="C16" s="239" t="s">
        <v>678</v>
      </c>
      <c r="D16" s="240" t="s">
        <v>280</v>
      </c>
      <c r="E16" s="241">
        <v>1</v>
      </c>
      <c r="F16" s="242"/>
      <c r="G16" s="243">
        <f>ROUND(E16*F16,2)</f>
        <v>0</v>
      </c>
      <c r="H16" s="223"/>
      <c r="I16" s="224">
        <f>ROUND(E16*H16,2)</f>
        <v>0</v>
      </c>
      <c r="J16" s="223"/>
      <c r="K16" s="224">
        <f>ROUND(E16*J16,2)</f>
        <v>0</v>
      </c>
      <c r="L16" s="224">
        <v>21</v>
      </c>
      <c r="M16" s="224">
        <f>G16*(1+L16/100)</f>
        <v>0</v>
      </c>
      <c r="N16" s="225">
        <v>0</v>
      </c>
      <c r="O16" s="225">
        <f>ROUND(E16*N16,2)</f>
        <v>0</v>
      </c>
      <c r="P16" s="225">
        <v>0</v>
      </c>
      <c r="Q16" s="225">
        <f>ROUND(E16*P16,2)</f>
        <v>0</v>
      </c>
      <c r="R16" s="224"/>
      <c r="S16" s="224" t="s">
        <v>208</v>
      </c>
      <c r="T16" s="224" t="s">
        <v>209</v>
      </c>
      <c r="U16" s="224">
        <v>0</v>
      </c>
      <c r="V16" s="224">
        <f>ROUND(E16*U16,2)</f>
        <v>0</v>
      </c>
      <c r="W16" s="224"/>
      <c r="X16" s="224" t="s">
        <v>210</v>
      </c>
      <c r="Y16" s="224" t="s">
        <v>211</v>
      </c>
      <c r="Z16" s="226"/>
      <c r="AA16" s="226"/>
      <c r="AB16" s="226"/>
      <c r="AC16" s="226"/>
      <c r="AD16" s="226"/>
      <c r="AE16" s="226"/>
      <c r="AF16" s="226"/>
      <c r="AG16" s="226" t="s">
        <v>212</v>
      </c>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6"/>
      <c r="BD16" s="226"/>
      <c r="BE16" s="226"/>
      <c r="BF16" s="226"/>
      <c r="BG16" s="226"/>
      <c r="BH16" s="226"/>
    </row>
    <row r="17" outlineLevel="1">
      <c r="A17" s="237">
        <v>9</v>
      </c>
      <c r="B17" s="238" t="s">
        <v>679</v>
      </c>
      <c r="C17" s="239" t="s">
        <v>680</v>
      </c>
      <c r="D17" s="240" t="s">
        <v>280</v>
      </c>
      <c r="E17" s="241">
        <v>1</v>
      </c>
      <c r="F17" s="242"/>
      <c r="G17" s="243">
        <f>ROUND(E17*F17,2)</f>
        <v>0</v>
      </c>
      <c r="H17" s="223"/>
      <c r="I17" s="224">
        <f>ROUND(E17*H17,2)</f>
        <v>0</v>
      </c>
      <c r="J17" s="223"/>
      <c r="K17" s="224">
        <f>ROUND(E17*J17,2)</f>
        <v>0</v>
      </c>
      <c r="L17" s="224">
        <v>21</v>
      </c>
      <c r="M17" s="224">
        <f>G17*(1+L17/100)</f>
        <v>0</v>
      </c>
      <c r="N17" s="225">
        <v>0.00027999999999999998</v>
      </c>
      <c r="O17" s="225">
        <f>ROUND(E17*N17,2)</f>
        <v>0</v>
      </c>
      <c r="P17" s="225">
        <v>0</v>
      </c>
      <c r="Q17" s="225">
        <f>ROUND(E17*P17,2)</f>
        <v>0</v>
      </c>
      <c r="R17" s="224"/>
      <c r="S17" s="224" t="s">
        <v>208</v>
      </c>
      <c r="T17" s="224" t="s">
        <v>209</v>
      </c>
      <c r="U17" s="224">
        <v>0</v>
      </c>
      <c r="V17" s="224">
        <f>ROUND(E17*U17,2)</f>
        <v>0</v>
      </c>
      <c r="W17" s="224"/>
      <c r="X17" s="224" t="s">
        <v>230</v>
      </c>
      <c r="Y17" s="224" t="s">
        <v>211</v>
      </c>
      <c r="Z17" s="226"/>
      <c r="AA17" s="226"/>
      <c r="AB17" s="226"/>
      <c r="AC17" s="226"/>
      <c r="AD17" s="226"/>
      <c r="AE17" s="226"/>
      <c r="AF17" s="226"/>
      <c r="AG17" s="226" t="s">
        <v>231</v>
      </c>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row>
    <row r="18" outlineLevel="1" ht="22.5">
      <c r="A18" s="237">
        <v>10</v>
      </c>
      <c r="B18" s="238" t="s">
        <v>681</v>
      </c>
      <c r="C18" s="239" t="s">
        <v>678</v>
      </c>
      <c r="D18" s="240" t="s">
        <v>280</v>
      </c>
      <c r="E18" s="241">
        <v>1</v>
      </c>
      <c r="F18" s="242"/>
      <c r="G18" s="243">
        <f>ROUND(E18*F18,2)</f>
        <v>0</v>
      </c>
      <c r="H18" s="223"/>
      <c r="I18" s="224">
        <f>ROUND(E18*H18,2)</f>
        <v>0</v>
      </c>
      <c r="J18" s="223"/>
      <c r="K18" s="224">
        <f>ROUND(E18*J18,2)</f>
        <v>0</v>
      </c>
      <c r="L18" s="224">
        <v>21</v>
      </c>
      <c r="M18" s="224">
        <f>G18*(1+L18/100)</f>
        <v>0</v>
      </c>
      <c r="N18" s="225">
        <v>0</v>
      </c>
      <c r="O18" s="225">
        <f>ROUND(E18*N18,2)</f>
        <v>0</v>
      </c>
      <c r="P18" s="225">
        <v>0</v>
      </c>
      <c r="Q18" s="225">
        <f>ROUND(E18*P18,2)</f>
        <v>0</v>
      </c>
      <c r="R18" s="224"/>
      <c r="S18" s="224" t="s">
        <v>208</v>
      </c>
      <c r="T18" s="224" t="s">
        <v>209</v>
      </c>
      <c r="U18" s="224">
        <v>0</v>
      </c>
      <c r="V18" s="224">
        <f>ROUND(E18*U18,2)</f>
        <v>0</v>
      </c>
      <c r="W18" s="224"/>
      <c r="X18" s="224" t="s">
        <v>210</v>
      </c>
      <c r="Y18" s="224" t="s">
        <v>211</v>
      </c>
      <c r="Z18" s="226"/>
      <c r="AA18" s="226"/>
      <c r="AB18" s="226"/>
      <c r="AC18" s="226"/>
      <c r="AD18" s="226"/>
      <c r="AE18" s="226"/>
      <c r="AF18" s="226"/>
      <c r="AG18" s="226" t="s">
        <v>212</v>
      </c>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row>
    <row r="19" outlineLevel="1">
      <c r="A19" s="237">
        <v>11</v>
      </c>
      <c r="B19" s="238" t="s">
        <v>682</v>
      </c>
      <c r="C19" s="239" t="s">
        <v>683</v>
      </c>
      <c r="D19" s="240" t="s">
        <v>666</v>
      </c>
      <c r="E19" s="241">
        <v>1</v>
      </c>
      <c r="F19" s="242"/>
      <c r="G19" s="243">
        <f>ROUND(E19*F19,2)</f>
        <v>0</v>
      </c>
      <c r="H19" s="223"/>
      <c r="I19" s="224">
        <f>ROUND(E19*H19,2)</f>
        <v>0</v>
      </c>
      <c r="J19" s="223"/>
      <c r="K19" s="224">
        <f>ROUND(E19*J19,2)</f>
        <v>0</v>
      </c>
      <c r="L19" s="224">
        <v>21</v>
      </c>
      <c r="M19" s="224">
        <f>G19*(1+L19/100)</f>
        <v>0</v>
      </c>
      <c r="N19" s="225">
        <v>0</v>
      </c>
      <c r="O19" s="225">
        <f>ROUND(E19*N19,2)</f>
        <v>0</v>
      </c>
      <c r="P19" s="225">
        <v>0</v>
      </c>
      <c r="Q19" s="225">
        <f>ROUND(E19*P19,2)</f>
        <v>0</v>
      </c>
      <c r="R19" s="224"/>
      <c r="S19" s="224" t="s">
        <v>208</v>
      </c>
      <c r="T19" s="224" t="s">
        <v>209</v>
      </c>
      <c r="U19" s="224">
        <v>0</v>
      </c>
      <c r="V19" s="224">
        <f>ROUND(E19*U19,2)</f>
        <v>0</v>
      </c>
      <c r="W19" s="224"/>
      <c r="X19" s="224" t="s">
        <v>230</v>
      </c>
      <c r="Y19" s="224" t="s">
        <v>211</v>
      </c>
      <c r="Z19" s="226"/>
      <c r="AA19" s="226"/>
      <c r="AB19" s="226"/>
      <c r="AC19" s="226"/>
      <c r="AD19" s="226"/>
      <c r="AE19" s="226"/>
      <c r="AF19" s="226"/>
      <c r="AG19" s="226" t="s">
        <v>231</v>
      </c>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row>
    <row r="20" outlineLevel="1" ht="22.5">
      <c r="A20" s="237">
        <v>12</v>
      </c>
      <c r="B20" s="238" t="s">
        <v>684</v>
      </c>
      <c r="C20" s="239" t="s">
        <v>685</v>
      </c>
      <c r="D20" s="240" t="s">
        <v>320</v>
      </c>
      <c r="E20" s="241">
        <v>88</v>
      </c>
      <c r="F20" s="242"/>
      <c r="G20" s="243">
        <f>ROUND(E20*F20,2)</f>
        <v>0</v>
      </c>
      <c r="H20" s="223"/>
      <c r="I20" s="224">
        <f>ROUND(E20*H20,2)</f>
        <v>0</v>
      </c>
      <c r="J20" s="223"/>
      <c r="K20" s="224">
        <f>ROUND(E20*J20,2)</f>
        <v>0</v>
      </c>
      <c r="L20" s="224">
        <v>21</v>
      </c>
      <c r="M20" s="224">
        <f>G20*(1+L20/100)</f>
        <v>0</v>
      </c>
      <c r="N20" s="225">
        <v>0</v>
      </c>
      <c r="O20" s="225">
        <f>ROUND(E20*N20,2)</f>
        <v>0</v>
      </c>
      <c r="P20" s="225">
        <v>0</v>
      </c>
      <c r="Q20" s="225">
        <f>ROUND(E20*P20,2)</f>
        <v>0</v>
      </c>
      <c r="R20" s="224"/>
      <c r="S20" s="224" t="s">
        <v>208</v>
      </c>
      <c r="T20" s="224" t="s">
        <v>209</v>
      </c>
      <c r="U20" s="224">
        <v>0</v>
      </c>
      <c r="V20" s="224">
        <f>ROUND(E20*U20,2)</f>
        <v>0</v>
      </c>
      <c r="W20" s="224"/>
      <c r="X20" s="224" t="s">
        <v>210</v>
      </c>
      <c r="Y20" s="224" t="s">
        <v>211</v>
      </c>
      <c r="Z20" s="226"/>
      <c r="AA20" s="226"/>
      <c r="AB20" s="226"/>
      <c r="AC20" s="226"/>
      <c r="AD20" s="226"/>
      <c r="AE20" s="226"/>
      <c r="AF20" s="226"/>
      <c r="AG20" s="226" t="s">
        <v>212</v>
      </c>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row>
    <row r="21" outlineLevel="1">
      <c r="A21" s="237">
        <v>13</v>
      </c>
      <c r="B21" s="238" t="s">
        <v>686</v>
      </c>
      <c r="C21" s="239" t="s">
        <v>687</v>
      </c>
      <c r="D21" s="240" t="s">
        <v>594</v>
      </c>
      <c r="E21" s="241">
        <v>80.079999999999998</v>
      </c>
      <c r="F21" s="242"/>
      <c r="G21" s="243">
        <f>ROUND(E21*F21,2)</f>
        <v>0</v>
      </c>
      <c r="H21" s="223"/>
      <c r="I21" s="224">
        <f>ROUND(E21*H21,2)</f>
        <v>0</v>
      </c>
      <c r="J21" s="223"/>
      <c r="K21" s="224">
        <f>ROUND(E21*J21,2)</f>
        <v>0</v>
      </c>
      <c r="L21" s="224">
        <v>21</v>
      </c>
      <c r="M21" s="224">
        <f>G21*(1+L21/100)</f>
        <v>0</v>
      </c>
      <c r="N21" s="225">
        <v>0.001</v>
      </c>
      <c r="O21" s="225">
        <f>ROUND(E21*N21,2)</f>
        <v>0.080000000000000002</v>
      </c>
      <c r="P21" s="225">
        <v>0</v>
      </c>
      <c r="Q21" s="225">
        <f>ROUND(E21*P21,2)</f>
        <v>0</v>
      </c>
      <c r="R21" s="224"/>
      <c r="S21" s="224" t="s">
        <v>208</v>
      </c>
      <c r="T21" s="224" t="s">
        <v>209</v>
      </c>
      <c r="U21" s="224">
        <v>0</v>
      </c>
      <c r="V21" s="224">
        <f>ROUND(E21*U21,2)</f>
        <v>0</v>
      </c>
      <c r="W21" s="224"/>
      <c r="X21" s="224" t="s">
        <v>230</v>
      </c>
      <c r="Y21" s="224" t="s">
        <v>211</v>
      </c>
      <c r="Z21" s="226"/>
      <c r="AA21" s="226"/>
      <c r="AB21" s="226"/>
      <c r="AC21" s="226"/>
      <c r="AD21" s="226"/>
      <c r="AE21" s="226"/>
      <c r="AF21" s="226"/>
      <c r="AG21" s="226" t="s">
        <v>231</v>
      </c>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row>
    <row r="22" outlineLevel="1" ht="22.5">
      <c r="A22" s="237">
        <v>14</v>
      </c>
      <c r="B22" s="238" t="s">
        <v>688</v>
      </c>
      <c r="C22" s="239" t="s">
        <v>689</v>
      </c>
      <c r="D22" s="240" t="s">
        <v>320</v>
      </c>
      <c r="E22" s="241">
        <v>30</v>
      </c>
      <c r="F22" s="242"/>
      <c r="G22" s="243">
        <f>ROUND(E22*F22,2)</f>
        <v>0</v>
      </c>
      <c r="H22" s="223"/>
      <c r="I22" s="224">
        <f>ROUND(E22*H22,2)</f>
        <v>0</v>
      </c>
      <c r="J22" s="223"/>
      <c r="K22" s="224">
        <f>ROUND(E22*J22,2)</f>
        <v>0</v>
      </c>
      <c r="L22" s="224">
        <v>21</v>
      </c>
      <c r="M22" s="224">
        <f>G22*(1+L22/100)</f>
        <v>0</v>
      </c>
      <c r="N22" s="225">
        <v>0</v>
      </c>
      <c r="O22" s="225">
        <f>ROUND(E22*N22,2)</f>
        <v>0</v>
      </c>
      <c r="P22" s="225">
        <v>0</v>
      </c>
      <c r="Q22" s="225">
        <f>ROUND(E22*P22,2)</f>
        <v>0</v>
      </c>
      <c r="R22" s="224"/>
      <c r="S22" s="224" t="s">
        <v>208</v>
      </c>
      <c r="T22" s="224" t="s">
        <v>209</v>
      </c>
      <c r="U22" s="224">
        <v>0</v>
      </c>
      <c r="V22" s="224">
        <f>ROUND(E22*U22,2)</f>
        <v>0</v>
      </c>
      <c r="W22" s="224"/>
      <c r="X22" s="224" t="s">
        <v>210</v>
      </c>
      <c r="Y22" s="224" t="s">
        <v>211</v>
      </c>
      <c r="Z22" s="226"/>
      <c r="AA22" s="226"/>
      <c r="AB22" s="226"/>
      <c r="AC22" s="226"/>
      <c r="AD22" s="226"/>
      <c r="AE22" s="226"/>
      <c r="AF22" s="226"/>
      <c r="AG22" s="226" t="s">
        <v>212</v>
      </c>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row>
    <row r="23" outlineLevel="1">
      <c r="A23" s="237">
        <v>15</v>
      </c>
      <c r="B23" s="238" t="s">
        <v>690</v>
      </c>
      <c r="C23" s="239" t="s">
        <v>691</v>
      </c>
      <c r="D23" s="240" t="s">
        <v>594</v>
      </c>
      <c r="E23" s="241">
        <v>19.199999999999999</v>
      </c>
      <c r="F23" s="242"/>
      <c r="G23" s="243">
        <f>ROUND(E23*F23,2)</f>
        <v>0</v>
      </c>
      <c r="H23" s="223"/>
      <c r="I23" s="224">
        <f>ROUND(E23*H23,2)</f>
        <v>0</v>
      </c>
      <c r="J23" s="223"/>
      <c r="K23" s="224">
        <f>ROUND(E23*J23,2)</f>
        <v>0</v>
      </c>
      <c r="L23" s="224">
        <v>21</v>
      </c>
      <c r="M23" s="224">
        <f>G23*(1+L23/100)</f>
        <v>0</v>
      </c>
      <c r="N23" s="225">
        <v>0.001</v>
      </c>
      <c r="O23" s="225">
        <f>ROUND(E23*N23,2)</f>
        <v>0.02</v>
      </c>
      <c r="P23" s="225">
        <v>0</v>
      </c>
      <c r="Q23" s="225">
        <f>ROUND(E23*P23,2)</f>
        <v>0</v>
      </c>
      <c r="R23" s="224"/>
      <c r="S23" s="224" t="s">
        <v>208</v>
      </c>
      <c r="T23" s="224" t="s">
        <v>209</v>
      </c>
      <c r="U23" s="224">
        <v>0</v>
      </c>
      <c r="V23" s="224">
        <f>ROUND(E23*U23,2)</f>
        <v>0</v>
      </c>
      <c r="W23" s="224"/>
      <c r="X23" s="224" t="s">
        <v>230</v>
      </c>
      <c r="Y23" s="224" t="s">
        <v>211</v>
      </c>
      <c r="Z23" s="226"/>
      <c r="AA23" s="226"/>
      <c r="AB23" s="226"/>
      <c r="AC23" s="226"/>
      <c r="AD23" s="226"/>
      <c r="AE23" s="226"/>
      <c r="AF23" s="226"/>
      <c r="AG23" s="226" t="s">
        <v>231</v>
      </c>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row>
    <row r="24" outlineLevel="1" ht="22.5">
      <c r="A24" s="237">
        <v>16</v>
      </c>
      <c r="B24" s="238" t="s">
        <v>692</v>
      </c>
      <c r="C24" s="239" t="s">
        <v>693</v>
      </c>
      <c r="D24" s="240" t="s">
        <v>320</v>
      </c>
      <c r="E24" s="241">
        <v>158</v>
      </c>
      <c r="F24" s="242"/>
      <c r="G24" s="243">
        <f>ROUND(E24*F24,2)</f>
        <v>0</v>
      </c>
      <c r="H24" s="223"/>
      <c r="I24" s="224">
        <f>ROUND(E24*H24,2)</f>
        <v>0</v>
      </c>
      <c r="J24" s="223"/>
      <c r="K24" s="224">
        <f>ROUND(E24*J24,2)</f>
        <v>0</v>
      </c>
      <c r="L24" s="224">
        <v>21</v>
      </c>
      <c r="M24" s="224">
        <f>G24*(1+L24/100)</f>
        <v>0</v>
      </c>
      <c r="N24" s="225">
        <v>0</v>
      </c>
      <c r="O24" s="225">
        <f>ROUND(E24*N24,2)</f>
        <v>0</v>
      </c>
      <c r="P24" s="225">
        <v>0</v>
      </c>
      <c r="Q24" s="225">
        <f>ROUND(E24*P24,2)</f>
        <v>0</v>
      </c>
      <c r="R24" s="224"/>
      <c r="S24" s="224" t="s">
        <v>208</v>
      </c>
      <c r="T24" s="224" t="s">
        <v>209</v>
      </c>
      <c r="U24" s="224">
        <v>0</v>
      </c>
      <c r="V24" s="224">
        <f>ROUND(E24*U24,2)</f>
        <v>0</v>
      </c>
      <c r="W24" s="224"/>
      <c r="X24" s="224" t="s">
        <v>210</v>
      </c>
      <c r="Y24" s="224" t="s">
        <v>211</v>
      </c>
      <c r="Z24" s="226"/>
      <c r="AA24" s="226"/>
      <c r="AB24" s="226"/>
      <c r="AC24" s="226"/>
      <c r="AD24" s="226"/>
      <c r="AE24" s="226"/>
      <c r="AF24" s="226"/>
      <c r="AG24" s="226" t="s">
        <v>212</v>
      </c>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row>
    <row r="25" outlineLevel="1">
      <c r="A25" s="237">
        <v>17</v>
      </c>
      <c r="B25" s="238" t="s">
        <v>694</v>
      </c>
      <c r="C25" s="239" t="s">
        <v>695</v>
      </c>
      <c r="D25" s="240" t="s">
        <v>594</v>
      </c>
      <c r="E25" s="241">
        <v>21.603999999999999</v>
      </c>
      <c r="F25" s="242"/>
      <c r="G25" s="243">
        <f>ROUND(E25*F25,2)</f>
        <v>0</v>
      </c>
      <c r="H25" s="223"/>
      <c r="I25" s="224">
        <f>ROUND(E25*H25,2)</f>
        <v>0</v>
      </c>
      <c r="J25" s="223"/>
      <c r="K25" s="224">
        <f>ROUND(E25*J25,2)</f>
        <v>0</v>
      </c>
      <c r="L25" s="224">
        <v>21</v>
      </c>
      <c r="M25" s="224">
        <f>G25*(1+L25/100)</f>
        <v>0</v>
      </c>
      <c r="N25" s="225">
        <v>0.001</v>
      </c>
      <c r="O25" s="225">
        <f>ROUND(E25*N25,2)</f>
        <v>0.02</v>
      </c>
      <c r="P25" s="225">
        <v>0</v>
      </c>
      <c r="Q25" s="225">
        <f>ROUND(E25*P25,2)</f>
        <v>0</v>
      </c>
      <c r="R25" s="224"/>
      <c r="S25" s="224" t="s">
        <v>208</v>
      </c>
      <c r="T25" s="224" t="s">
        <v>209</v>
      </c>
      <c r="U25" s="224">
        <v>0</v>
      </c>
      <c r="V25" s="224">
        <f>ROUND(E25*U25,2)</f>
        <v>0</v>
      </c>
      <c r="W25" s="224"/>
      <c r="X25" s="224" t="s">
        <v>230</v>
      </c>
      <c r="Y25" s="224" t="s">
        <v>211</v>
      </c>
      <c r="Z25" s="226"/>
      <c r="AA25" s="226"/>
      <c r="AB25" s="226"/>
      <c r="AC25" s="226"/>
      <c r="AD25" s="226"/>
      <c r="AE25" s="226"/>
      <c r="AF25" s="226"/>
      <c r="AG25" s="226" t="s">
        <v>231</v>
      </c>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row>
    <row r="26" outlineLevel="1" ht="22.5">
      <c r="A26" s="237">
        <v>18</v>
      </c>
      <c r="B26" s="238" t="s">
        <v>696</v>
      </c>
      <c r="C26" s="239" t="s">
        <v>697</v>
      </c>
      <c r="D26" s="240" t="s">
        <v>698</v>
      </c>
      <c r="E26" s="241">
        <v>48</v>
      </c>
      <c r="F26" s="242"/>
      <c r="G26" s="243">
        <f>ROUND(E26*F26,2)</f>
        <v>0</v>
      </c>
      <c r="H26" s="223"/>
      <c r="I26" s="224">
        <f>ROUND(E26*H26,2)</f>
        <v>0</v>
      </c>
      <c r="J26" s="223"/>
      <c r="K26" s="224">
        <f>ROUND(E26*J26,2)</f>
        <v>0</v>
      </c>
      <c r="L26" s="224">
        <v>21</v>
      </c>
      <c r="M26" s="224">
        <f>G26*(1+L26/100)</f>
        <v>0</v>
      </c>
      <c r="N26" s="225">
        <v>0</v>
      </c>
      <c r="O26" s="225">
        <f>ROUND(E26*N26,2)</f>
        <v>0</v>
      </c>
      <c r="P26" s="225">
        <v>0</v>
      </c>
      <c r="Q26" s="225">
        <f>ROUND(E26*P26,2)</f>
        <v>0</v>
      </c>
      <c r="R26" s="224"/>
      <c r="S26" s="224" t="s">
        <v>208</v>
      </c>
      <c r="T26" s="224" t="s">
        <v>209</v>
      </c>
      <c r="U26" s="224">
        <v>0</v>
      </c>
      <c r="V26" s="224">
        <f>ROUND(E26*U26,2)</f>
        <v>0</v>
      </c>
      <c r="W26" s="224"/>
      <c r="X26" s="224" t="s">
        <v>230</v>
      </c>
      <c r="Y26" s="224" t="s">
        <v>211</v>
      </c>
      <c r="Z26" s="226"/>
      <c r="AA26" s="226"/>
      <c r="AB26" s="226"/>
      <c r="AC26" s="226"/>
      <c r="AD26" s="226"/>
      <c r="AE26" s="226"/>
      <c r="AF26" s="226"/>
      <c r="AG26" s="226" t="s">
        <v>231</v>
      </c>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row>
    <row r="27" outlineLevel="1" ht="22.5">
      <c r="A27" s="237">
        <v>19</v>
      </c>
      <c r="B27" s="238" t="s">
        <v>699</v>
      </c>
      <c r="C27" s="239" t="s">
        <v>700</v>
      </c>
      <c r="D27" s="240" t="s">
        <v>280</v>
      </c>
      <c r="E27" s="241">
        <v>36</v>
      </c>
      <c r="F27" s="242"/>
      <c r="G27" s="243">
        <f>ROUND(E27*F27,2)</f>
        <v>0</v>
      </c>
      <c r="H27" s="223"/>
      <c r="I27" s="224">
        <f>ROUND(E27*H27,2)</f>
        <v>0</v>
      </c>
      <c r="J27" s="223"/>
      <c r="K27" s="224">
        <f>ROUND(E27*J27,2)</f>
        <v>0</v>
      </c>
      <c r="L27" s="224">
        <v>21</v>
      </c>
      <c r="M27" s="224">
        <f>G27*(1+L27/100)</f>
        <v>0</v>
      </c>
      <c r="N27" s="225">
        <v>0</v>
      </c>
      <c r="O27" s="225">
        <f>ROUND(E27*N27,2)</f>
        <v>0</v>
      </c>
      <c r="P27" s="225">
        <v>0</v>
      </c>
      <c r="Q27" s="225">
        <f>ROUND(E27*P27,2)</f>
        <v>0</v>
      </c>
      <c r="R27" s="224"/>
      <c r="S27" s="224" t="s">
        <v>208</v>
      </c>
      <c r="T27" s="224" t="s">
        <v>209</v>
      </c>
      <c r="U27" s="224">
        <v>0</v>
      </c>
      <c r="V27" s="224">
        <f>ROUND(E27*U27,2)</f>
        <v>0</v>
      </c>
      <c r="W27" s="224"/>
      <c r="X27" s="224" t="s">
        <v>210</v>
      </c>
      <c r="Y27" s="224" t="s">
        <v>211</v>
      </c>
      <c r="Z27" s="226"/>
      <c r="AA27" s="226"/>
      <c r="AB27" s="226"/>
      <c r="AC27" s="226"/>
      <c r="AD27" s="226"/>
      <c r="AE27" s="226"/>
      <c r="AF27" s="226"/>
      <c r="AG27" s="226" t="s">
        <v>212</v>
      </c>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row>
    <row r="28" outlineLevel="1">
      <c r="A28" s="237">
        <v>20</v>
      </c>
      <c r="B28" s="238" t="s">
        <v>701</v>
      </c>
      <c r="C28" s="239" t="s">
        <v>702</v>
      </c>
      <c r="D28" s="240" t="s">
        <v>698</v>
      </c>
      <c r="E28" s="241">
        <v>36</v>
      </c>
      <c r="F28" s="242"/>
      <c r="G28" s="243">
        <f>ROUND(E28*F28,2)</f>
        <v>0</v>
      </c>
      <c r="H28" s="223"/>
      <c r="I28" s="224">
        <f>ROUND(E28*H28,2)</f>
        <v>0</v>
      </c>
      <c r="J28" s="223"/>
      <c r="K28" s="224">
        <f>ROUND(E28*J28,2)</f>
        <v>0</v>
      </c>
      <c r="L28" s="224">
        <v>21</v>
      </c>
      <c r="M28" s="224">
        <f>G28*(1+L28/100)</f>
        <v>0</v>
      </c>
      <c r="N28" s="225">
        <v>0</v>
      </c>
      <c r="O28" s="225">
        <f>ROUND(E28*N28,2)</f>
        <v>0</v>
      </c>
      <c r="P28" s="225">
        <v>0</v>
      </c>
      <c r="Q28" s="225">
        <f>ROUND(E28*P28,2)</f>
        <v>0</v>
      </c>
      <c r="R28" s="224"/>
      <c r="S28" s="224" t="s">
        <v>208</v>
      </c>
      <c r="T28" s="224" t="s">
        <v>209</v>
      </c>
      <c r="U28" s="224">
        <v>0</v>
      </c>
      <c r="V28" s="224">
        <f>ROUND(E28*U28,2)</f>
        <v>0</v>
      </c>
      <c r="W28" s="224"/>
      <c r="X28" s="224" t="s">
        <v>230</v>
      </c>
      <c r="Y28" s="224" t="s">
        <v>211</v>
      </c>
      <c r="Z28" s="226"/>
      <c r="AA28" s="226"/>
      <c r="AB28" s="226"/>
      <c r="AC28" s="226"/>
      <c r="AD28" s="226"/>
      <c r="AE28" s="226"/>
      <c r="AF28" s="226"/>
      <c r="AG28" s="226" t="s">
        <v>231</v>
      </c>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row>
    <row r="29" outlineLevel="1" ht="22.5">
      <c r="A29" s="237">
        <v>21</v>
      </c>
      <c r="B29" s="238" t="s">
        <v>699</v>
      </c>
      <c r="C29" s="239" t="s">
        <v>700</v>
      </c>
      <c r="D29" s="240" t="s">
        <v>280</v>
      </c>
      <c r="E29" s="241">
        <v>40</v>
      </c>
      <c r="F29" s="242"/>
      <c r="G29" s="243">
        <f>ROUND(E29*F29,2)</f>
        <v>0</v>
      </c>
      <c r="H29" s="223"/>
      <c r="I29" s="224">
        <f>ROUND(E29*H29,2)</f>
        <v>0</v>
      </c>
      <c r="J29" s="223"/>
      <c r="K29" s="224">
        <f>ROUND(E29*J29,2)</f>
        <v>0</v>
      </c>
      <c r="L29" s="224">
        <v>21</v>
      </c>
      <c r="M29" s="224">
        <f>G29*(1+L29/100)</f>
        <v>0</v>
      </c>
      <c r="N29" s="225">
        <v>0</v>
      </c>
      <c r="O29" s="225">
        <f>ROUND(E29*N29,2)</f>
        <v>0</v>
      </c>
      <c r="P29" s="225">
        <v>0</v>
      </c>
      <c r="Q29" s="225">
        <f>ROUND(E29*P29,2)</f>
        <v>0</v>
      </c>
      <c r="R29" s="224"/>
      <c r="S29" s="224" t="s">
        <v>208</v>
      </c>
      <c r="T29" s="224" t="s">
        <v>209</v>
      </c>
      <c r="U29" s="224">
        <v>0</v>
      </c>
      <c r="V29" s="224">
        <f>ROUND(E29*U29,2)</f>
        <v>0</v>
      </c>
      <c r="W29" s="224"/>
      <c r="X29" s="224" t="s">
        <v>210</v>
      </c>
      <c r="Y29" s="224" t="s">
        <v>211</v>
      </c>
      <c r="Z29" s="226"/>
      <c r="AA29" s="226"/>
      <c r="AB29" s="226"/>
      <c r="AC29" s="226"/>
      <c r="AD29" s="226"/>
      <c r="AE29" s="226"/>
      <c r="AF29" s="226"/>
      <c r="AG29" s="226" t="s">
        <v>212</v>
      </c>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row>
    <row r="30" outlineLevel="1">
      <c r="A30" s="237">
        <v>22</v>
      </c>
      <c r="B30" s="238" t="s">
        <v>703</v>
      </c>
      <c r="C30" s="239" t="s">
        <v>704</v>
      </c>
      <c r="D30" s="240" t="s">
        <v>280</v>
      </c>
      <c r="E30" s="241">
        <v>40</v>
      </c>
      <c r="F30" s="242"/>
      <c r="G30" s="243">
        <f>ROUND(E30*F30,2)</f>
        <v>0</v>
      </c>
      <c r="H30" s="223"/>
      <c r="I30" s="224">
        <f>ROUND(E30*H30,2)</f>
        <v>0</v>
      </c>
      <c r="J30" s="223"/>
      <c r="K30" s="224">
        <f>ROUND(E30*J30,2)</f>
        <v>0</v>
      </c>
      <c r="L30" s="224">
        <v>21</v>
      </c>
      <c r="M30" s="224">
        <f>G30*(1+L30/100)</f>
        <v>0</v>
      </c>
      <c r="N30" s="225">
        <v>0.00023000000000000001</v>
      </c>
      <c r="O30" s="225">
        <f>ROUND(E30*N30,2)</f>
        <v>0.01</v>
      </c>
      <c r="P30" s="225">
        <v>0</v>
      </c>
      <c r="Q30" s="225">
        <f>ROUND(E30*P30,2)</f>
        <v>0</v>
      </c>
      <c r="R30" s="224"/>
      <c r="S30" s="224" t="s">
        <v>208</v>
      </c>
      <c r="T30" s="224" t="s">
        <v>209</v>
      </c>
      <c r="U30" s="224">
        <v>0</v>
      </c>
      <c r="V30" s="224">
        <f>ROUND(E30*U30,2)</f>
        <v>0</v>
      </c>
      <c r="W30" s="224"/>
      <c r="X30" s="224" t="s">
        <v>230</v>
      </c>
      <c r="Y30" s="224" t="s">
        <v>211</v>
      </c>
      <c r="Z30" s="226"/>
      <c r="AA30" s="226"/>
      <c r="AB30" s="226"/>
      <c r="AC30" s="226"/>
      <c r="AD30" s="226"/>
      <c r="AE30" s="226"/>
      <c r="AF30" s="226"/>
      <c r="AG30" s="226" t="s">
        <v>231</v>
      </c>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row>
    <row r="31" outlineLevel="1" ht="22.5">
      <c r="A31" s="237">
        <v>23</v>
      </c>
      <c r="B31" s="238" t="s">
        <v>705</v>
      </c>
      <c r="C31" s="239" t="s">
        <v>706</v>
      </c>
      <c r="D31" s="240" t="s">
        <v>280</v>
      </c>
      <c r="E31" s="241">
        <v>8</v>
      </c>
      <c r="F31" s="242"/>
      <c r="G31" s="243">
        <f>ROUND(E31*F31,2)</f>
        <v>0</v>
      </c>
      <c r="H31" s="223"/>
      <c r="I31" s="224">
        <f>ROUND(E31*H31,2)</f>
        <v>0</v>
      </c>
      <c r="J31" s="223"/>
      <c r="K31" s="224">
        <f>ROUND(E31*J31,2)</f>
        <v>0</v>
      </c>
      <c r="L31" s="224">
        <v>21</v>
      </c>
      <c r="M31" s="224">
        <f>G31*(1+L31/100)</f>
        <v>0</v>
      </c>
      <c r="N31" s="225">
        <v>0</v>
      </c>
      <c r="O31" s="225">
        <f>ROUND(E31*N31,2)</f>
        <v>0</v>
      </c>
      <c r="P31" s="225">
        <v>0</v>
      </c>
      <c r="Q31" s="225">
        <f>ROUND(E31*P31,2)</f>
        <v>0</v>
      </c>
      <c r="R31" s="224"/>
      <c r="S31" s="224" t="s">
        <v>208</v>
      </c>
      <c r="T31" s="224" t="s">
        <v>209</v>
      </c>
      <c r="U31" s="224">
        <v>0</v>
      </c>
      <c r="V31" s="224">
        <f>ROUND(E31*U31,2)</f>
        <v>0</v>
      </c>
      <c r="W31" s="224"/>
      <c r="X31" s="224" t="s">
        <v>210</v>
      </c>
      <c r="Y31" s="224" t="s">
        <v>211</v>
      </c>
      <c r="Z31" s="226"/>
      <c r="AA31" s="226"/>
      <c r="AB31" s="226"/>
      <c r="AC31" s="226"/>
      <c r="AD31" s="226"/>
      <c r="AE31" s="226"/>
      <c r="AF31" s="226"/>
      <c r="AG31" s="226" t="s">
        <v>212</v>
      </c>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row>
    <row r="32" outlineLevel="1">
      <c r="A32" s="237">
        <v>24</v>
      </c>
      <c r="B32" s="238" t="s">
        <v>707</v>
      </c>
      <c r="C32" s="239" t="s">
        <v>708</v>
      </c>
      <c r="D32" s="240" t="s">
        <v>280</v>
      </c>
      <c r="E32" s="241">
        <v>8</v>
      </c>
      <c r="F32" s="242"/>
      <c r="G32" s="243">
        <f>ROUND(E32*F32,2)</f>
        <v>0</v>
      </c>
      <c r="H32" s="223"/>
      <c r="I32" s="224">
        <f>ROUND(E32*H32,2)</f>
        <v>0</v>
      </c>
      <c r="J32" s="223"/>
      <c r="K32" s="224">
        <f>ROUND(E32*J32,2)</f>
        <v>0</v>
      </c>
      <c r="L32" s="224">
        <v>21</v>
      </c>
      <c r="M32" s="224">
        <f>G32*(1+L32/100)</f>
        <v>0</v>
      </c>
      <c r="N32" s="225">
        <v>0.00016000000000000001</v>
      </c>
      <c r="O32" s="225">
        <f>ROUND(E32*N32,2)</f>
        <v>0</v>
      </c>
      <c r="P32" s="225">
        <v>0</v>
      </c>
      <c r="Q32" s="225">
        <f>ROUND(E32*P32,2)</f>
        <v>0</v>
      </c>
      <c r="R32" s="224"/>
      <c r="S32" s="224" t="s">
        <v>208</v>
      </c>
      <c r="T32" s="224" t="s">
        <v>209</v>
      </c>
      <c r="U32" s="224">
        <v>0</v>
      </c>
      <c r="V32" s="224">
        <f>ROUND(E32*U32,2)</f>
        <v>0</v>
      </c>
      <c r="W32" s="224"/>
      <c r="X32" s="224" t="s">
        <v>230</v>
      </c>
      <c r="Y32" s="224" t="s">
        <v>211</v>
      </c>
      <c r="Z32" s="226"/>
      <c r="AA32" s="226"/>
      <c r="AB32" s="226"/>
      <c r="AC32" s="226"/>
      <c r="AD32" s="226"/>
      <c r="AE32" s="226"/>
      <c r="AF32" s="226"/>
      <c r="AG32" s="226" t="s">
        <v>231</v>
      </c>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row>
    <row r="33" outlineLevel="1" ht="22.5">
      <c r="A33" s="237">
        <v>25</v>
      </c>
      <c r="B33" s="238" t="s">
        <v>705</v>
      </c>
      <c r="C33" s="239" t="s">
        <v>706</v>
      </c>
      <c r="D33" s="240" t="s">
        <v>280</v>
      </c>
      <c r="E33" s="241">
        <v>6</v>
      </c>
      <c r="F33" s="242"/>
      <c r="G33" s="243">
        <f>ROUND(E33*F33,2)</f>
        <v>0</v>
      </c>
      <c r="H33" s="223"/>
      <c r="I33" s="224">
        <f>ROUND(E33*H33,2)</f>
        <v>0</v>
      </c>
      <c r="J33" s="223"/>
      <c r="K33" s="224">
        <f>ROUND(E33*J33,2)</f>
        <v>0</v>
      </c>
      <c r="L33" s="224">
        <v>21</v>
      </c>
      <c r="M33" s="224">
        <f>G33*(1+L33/100)</f>
        <v>0</v>
      </c>
      <c r="N33" s="225">
        <v>0</v>
      </c>
      <c r="O33" s="225">
        <f>ROUND(E33*N33,2)</f>
        <v>0</v>
      </c>
      <c r="P33" s="225">
        <v>0</v>
      </c>
      <c r="Q33" s="225">
        <f>ROUND(E33*P33,2)</f>
        <v>0</v>
      </c>
      <c r="R33" s="224"/>
      <c r="S33" s="224" t="s">
        <v>208</v>
      </c>
      <c r="T33" s="224" t="s">
        <v>209</v>
      </c>
      <c r="U33" s="224">
        <v>0</v>
      </c>
      <c r="V33" s="224">
        <f>ROUND(E33*U33,2)</f>
        <v>0</v>
      </c>
      <c r="W33" s="224"/>
      <c r="X33" s="224" t="s">
        <v>210</v>
      </c>
      <c r="Y33" s="224" t="s">
        <v>211</v>
      </c>
      <c r="Z33" s="226"/>
      <c r="AA33" s="226"/>
      <c r="AB33" s="226"/>
      <c r="AC33" s="226"/>
      <c r="AD33" s="226"/>
      <c r="AE33" s="226"/>
      <c r="AF33" s="226"/>
      <c r="AG33" s="226" t="s">
        <v>212</v>
      </c>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6"/>
      <c r="BD33" s="226"/>
      <c r="BE33" s="226"/>
      <c r="BF33" s="226"/>
      <c r="BG33" s="226"/>
      <c r="BH33" s="226"/>
    </row>
    <row r="34" outlineLevel="1">
      <c r="A34" s="237">
        <v>26</v>
      </c>
      <c r="B34" s="238" t="s">
        <v>709</v>
      </c>
      <c r="C34" s="239" t="s">
        <v>710</v>
      </c>
      <c r="D34" s="240" t="s">
        <v>280</v>
      </c>
      <c r="E34" s="241">
        <v>6</v>
      </c>
      <c r="F34" s="242"/>
      <c r="G34" s="243">
        <f>ROUND(E34*F34,2)</f>
        <v>0</v>
      </c>
      <c r="H34" s="223"/>
      <c r="I34" s="224">
        <f>ROUND(E34*H34,2)</f>
        <v>0</v>
      </c>
      <c r="J34" s="223"/>
      <c r="K34" s="224">
        <f>ROUND(E34*J34,2)</f>
        <v>0</v>
      </c>
      <c r="L34" s="224">
        <v>21</v>
      </c>
      <c r="M34" s="224">
        <f>G34*(1+L34/100)</f>
        <v>0</v>
      </c>
      <c r="N34" s="225">
        <v>0.00016000000000000001</v>
      </c>
      <c r="O34" s="225">
        <f>ROUND(E34*N34,2)</f>
        <v>0</v>
      </c>
      <c r="P34" s="225">
        <v>0</v>
      </c>
      <c r="Q34" s="225">
        <f>ROUND(E34*P34,2)</f>
        <v>0</v>
      </c>
      <c r="R34" s="224"/>
      <c r="S34" s="224" t="s">
        <v>208</v>
      </c>
      <c r="T34" s="224" t="s">
        <v>209</v>
      </c>
      <c r="U34" s="224">
        <v>0</v>
      </c>
      <c r="V34" s="224">
        <f>ROUND(E34*U34,2)</f>
        <v>0</v>
      </c>
      <c r="W34" s="224"/>
      <c r="X34" s="224" t="s">
        <v>230</v>
      </c>
      <c r="Y34" s="224" t="s">
        <v>211</v>
      </c>
      <c r="Z34" s="226"/>
      <c r="AA34" s="226"/>
      <c r="AB34" s="226"/>
      <c r="AC34" s="226"/>
      <c r="AD34" s="226"/>
      <c r="AE34" s="226"/>
      <c r="AF34" s="226"/>
      <c r="AG34" s="226" t="s">
        <v>231</v>
      </c>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6"/>
      <c r="BD34" s="226"/>
      <c r="BE34" s="226"/>
      <c r="BF34" s="226"/>
      <c r="BG34" s="226"/>
      <c r="BH34" s="226"/>
    </row>
    <row r="35" outlineLevel="1" ht="22.5">
      <c r="A35" s="237">
        <v>27</v>
      </c>
      <c r="B35" s="238" t="s">
        <v>705</v>
      </c>
      <c r="C35" s="239" t="s">
        <v>706</v>
      </c>
      <c r="D35" s="240" t="s">
        <v>280</v>
      </c>
      <c r="E35" s="241">
        <v>6</v>
      </c>
      <c r="F35" s="242"/>
      <c r="G35" s="243">
        <f>ROUND(E35*F35,2)</f>
        <v>0</v>
      </c>
      <c r="H35" s="223"/>
      <c r="I35" s="224">
        <f>ROUND(E35*H35,2)</f>
        <v>0</v>
      </c>
      <c r="J35" s="223"/>
      <c r="K35" s="224">
        <f>ROUND(E35*J35,2)</f>
        <v>0</v>
      </c>
      <c r="L35" s="224">
        <v>21</v>
      </c>
      <c r="M35" s="224">
        <f>G35*(1+L35/100)</f>
        <v>0</v>
      </c>
      <c r="N35" s="225">
        <v>0</v>
      </c>
      <c r="O35" s="225">
        <f>ROUND(E35*N35,2)</f>
        <v>0</v>
      </c>
      <c r="P35" s="225">
        <v>0</v>
      </c>
      <c r="Q35" s="225">
        <f>ROUND(E35*P35,2)</f>
        <v>0</v>
      </c>
      <c r="R35" s="224"/>
      <c r="S35" s="224" t="s">
        <v>208</v>
      </c>
      <c r="T35" s="224" t="s">
        <v>209</v>
      </c>
      <c r="U35" s="224">
        <v>0</v>
      </c>
      <c r="V35" s="224">
        <f>ROUND(E35*U35,2)</f>
        <v>0</v>
      </c>
      <c r="W35" s="224"/>
      <c r="X35" s="224" t="s">
        <v>210</v>
      </c>
      <c r="Y35" s="224" t="s">
        <v>211</v>
      </c>
      <c r="Z35" s="226"/>
      <c r="AA35" s="226"/>
      <c r="AB35" s="226"/>
      <c r="AC35" s="226"/>
      <c r="AD35" s="226"/>
      <c r="AE35" s="226"/>
      <c r="AF35" s="226"/>
      <c r="AG35" s="226" t="s">
        <v>212</v>
      </c>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row>
    <row r="36" outlineLevel="1">
      <c r="A36" s="237">
        <v>28</v>
      </c>
      <c r="B36" s="238" t="s">
        <v>711</v>
      </c>
      <c r="C36" s="239" t="s">
        <v>712</v>
      </c>
      <c r="D36" s="240" t="s">
        <v>280</v>
      </c>
      <c r="E36" s="241">
        <v>6</v>
      </c>
      <c r="F36" s="242"/>
      <c r="G36" s="243">
        <f>ROUND(E36*F36,2)</f>
        <v>0</v>
      </c>
      <c r="H36" s="223"/>
      <c r="I36" s="224">
        <f>ROUND(E36*H36,2)</f>
        <v>0</v>
      </c>
      <c r="J36" s="223"/>
      <c r="K36" s="224">
        <f>ROUND(E36*J36,2)</f>
        <v>0</v>
      </c>
      <c r="L36" s="224">
        <v>21</v>
      </c>
      <c r="M36" s="224">
        <f>G36*(1+L36/100)</f>
        <v>0</v>
      </c>
      <c r="N36" s="225">
        <v>0.00020000000000000001</v>
      </c>
      <c r="O36" s="225">
        <f>ROUND(E36*N36,2)</f>
        <v>0</v>
      </c>
      <c r="P36" s="225">
        <v>0</v>
      </c>
      <c r="Q36" s="225">
        <f>ROUND(E36*P36,2)</f>
        <v>0</v>
      </c>
      <c r="R36" s="224"/>
      <c r="S36" s="224" t="s">
        <v>208</v>
      </c>
      <c r="T36" s="224" t="s">
        <v>209</v>
      </c>
      <c r="U36" s="224">
        <v>0</v>
      </c>
      <c r="V36" s="224">
        <f>ROUND(E36*U36,2)</f>
        <v>0</v>
      </c>
      <c r="W36" s="224"/>
      <c r="X36" s="224" t="s">
        <v>230</v>
      </c>
      <c r="Y36" s="224" t="s">
        <v>211</v>
      </c>
      <c r="Z36" s="226"/>
      <c r="AA36" s="226"/>
      <c r="AB36" s="226"/>
      <c r="AC36" s="226"/>
      <c r="AD36" s="226"/>
      <c r="AE36" s="226"/>
      <c r="AF36" s="226"/>
      <c r="AG36" s="226" t="s">
        <v>231</v>
      </c>
      <c r="AH36" s="226"/>
      <c r="AI36" s="226"/>
      <c r="AJ36" s="226"/>
      <c r="AK36" s="226"/>
      <c r="AL36" s="226"/>
      <c r="AM36" s="226"/>
      <c r="AN36" s="226"/>
      <c r="AO36" s="226"/>
      <c r="AP36" s="226"/>
      <c r="AQ36" s="226"/>
      <c r="AR36" s="226"/>
      <c r="AS36" s="226"/>
      <c r="AT36" s="226"/>
      <c r="AU36" s="226"/>
      <c r="AV36" s="226"/>
      <c r="AW36" s="226"/>
      <c r="AX36" s="226"/>
      <c r="AY36" s="226"/>
      <c r="AZ36" s="226"/>
      <c r="BA36" s="226"/>
      <c r="BB36" s="226"/>
      <c r="BC36" s="226"/>
      <c r="BD36" s="226"/>
      <c r="BE36" s="226"/>
      <c r="BF36" s="226"/>
      <c r="BG36" s="226"/>
      <c r="BH36" s="226"/>
    </row>
    <row r="37" outlineLevel="1" ht="22.5">
      <c r="A37" s="237">
        <v>29</v>
      </c>
      <c r="B37" s="238" t="s">
        <v>713</v>
      </c>
      <c r="C37" s="239" t="s">
        <v>706</v>
      </c>
      <c r="D37" s="240" t="s">
        <v>280</v>
      </c>
      <c r="E37" s="241">
        <v>30</v>
      </c>
      <c r="F37" s="242"/>
      <c r="G37" s="243">
        <f>ROUND(E37*F37,2)</f>
        <v>0</v>
      </c>
      <c r="H37" s="223"/>
      <c r="I37" s="224">
        <f>ROUND(E37*H37,2)</f>
        <v>0</v>
      </c>
      <c r="J37" s="223"/>
      <c r="K37" s="224">
        <f>ROUND(E37*J37,2)</f>
        <v>0</v>
      </c>
      <c r="L37" s="224">
        <v>21</v>
      </c>
      <c r="M37" s="224">
        <f>G37*(1+L37/100)</f>
        <v>0</v>
      </c>
      <c r="N37" s="225">
        <v>0</v>
      </c>
      <c r="O37" s="225">
        <f>ROUND(E37*N37,2)</f>
        <v>0</v>
      </c>
      <c r="P37" s="225">
        <v>0</v>
      </c>
      <c r="Q37" s="225">
        <f>ROUND(E37*P37,2)</f>
        <v>0</v>
      </c>
      <c r="R37" s="224"/>
      <c r="S37" s="224" t="s">
        <v>208</v>
      </c>
      <c r="T37" s="224" t="s">
        <v>209</v>
      </c>
      <c r="U37" s="224">
        <v>0</v>
      </c>
      <c r="V37" s="224">
        <f>ROUND(E37*U37,2)</f>
        <v>0</v>
      </c>
      <c r="W37" s="224"/>
      <c r="X37" s="224" t="s">
        <v>210</v>
      </c>
      <c r="Y37" s="224" t="s">
        <v>211</v>
      </c>
      <c r="Z37" s="226"/>
      <c r="AA37" s="226"/>
      <c r="AB37" s="226"/>
      <c r="AC37" s="226"/>
      <c r="AD37" s="226"/>
      <c r="AE37" s="226"/>
      <c r="AF37" s="226"/>
      <c r="AG37" s="226" t="s">
        <v>212</v>
      </c>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6"/>
      <c r="BD37" s="226"/>
      <c r="BE37" s="226"/>
      <c r="BF37" s="226"/>
      <c r="BG37" s="226"/>
      <c r="BH37" s="226"/>
    </row>
    <row r="38" outlineLevel="1" ht="22.5">
      <c r="A38" s="237">
        <v>30</v>
      </c>
      <c r="B38" s="238" t="s">
        <v>714</v>
      </c>
      <c r="C38" s="239" t="s">
        <v>715</v>
      </c>
      <c r="D38" s="240" t="s">
        <v>280</v>
      </c>
      <c r="E38" s="241">
        <v>16</v>
      </c>
      <c r="F38" s="242"/>
      <c r="G38" s="243">
        <f>ROUND(E38*F38,2)</f>
        <v>0</v>
      </c>
      <c r="H38" s="223"/>
      <c r="I38" s="224">
        <f>ROUND(E38*H38,2)</f>
        <v>0</v>
      </c>
      <c r="J38" s="223"/>
      <c r="K38" s="224">
        <f>ROUND(E38*J38,2)</f>
        <v>0</v>
      </c>
      <c r="L38" s="224">
        <v>21</v>
      </c>
      <c r="M38" s="224">
        <f>G38*(1+L38/100)</f>
        <v>0</v>
      </c>
      <c r="N38" s="225">
        <v>0.00025999999999999998</v>
      </c>
      <c r="O38" s="225">
        <f>ROUND(E38*N38,2)</f>
        <v>0</v>
      </c>
      <c r="P38" s="225">
        <v>0</v>
      </c>
      <c r="Q38" s="225">
        <f>ROUND(E38*P38,2)</f>
        <v>0</v>
      </c>
      <c r="R38" s="224"/>
      <c r="S38" s="224" t="s">
        <v>208</v>
      </c>
      <c r="T38" s="224" t="s">
        <v>209</v>
      </c>
      <c r="U38" s="224">
        <v>0</v>
      </c>
      <c r="V38" s="224">
        <f>ROUND(E38*U38,2)</f>
        <v>0</v>
      </c>
      <c r="W38" s="224"/>
      <c r="X38" s="224" t="s">
        <v>230</v>
      </c>
      <c r="Y38" s="224" t="s">
        <v>211</v>
      </c>
      <c r="Z38" s="226"/>
      <c r="AA38" s="226"/>
      <c r="AB38" s="226"/>
      <c r="AC38" s="226"/>
      <c r="AD38" s="226"/>
      <c r="AE38" s="226"/>
      <c r="AF38" s="226"/>
      <c r="AG38" s="226" t="s">
        <v>231</v>
      </c>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6"/>
      <c r="BD38" s="226"/>
      <c r="BE38" s="226"/>
      <c r="BF38" s="226"/>
      <c r="BG38" s="226"/>
      <c r="BH38" s="226"/>
    </row>
    <row r="39" outlineLevel="1" ht="22.5">
      <c r="A39" s="237">
        <v>31</v>
      </c>
      <c r="B39" s="238" t="s">
        <v>716</v>
      </c>
      <c r="C39" s="239" t="s">
        <v>717</v>
      </c>
      <c r="D39" s="240" t="s">
        <v>280</v>
      </c>
      <c r="E39" s="241">
        <v>14</v>
      </c>
      <c r="F39" s="242"/>
      <c r="G39" s="243">
        <f>ROUND(E39*F39,2)</f>
        <v>0</v>
      </c>
      <c r="H39" s="223"/>
      <c r="I39" s="224">
        <f>ROUND(E39*H39,2)</f>
        <v>0</v>
      </c>
      <c r="J39" s="223"/>
      <c r="K39" s="224">
        <f>ROUND(E39*J39,2)</f>
        <v>0</v>
      </c>
      <c r="L39" s="224">
        <v>21</v>
      </c>
      <c r="M39" s="224">
        <f>G39*(1+L39/100)</f>
        <v>0</v>
      </c>
      <c r="N39" s="225">
        <v>0.00069999999999999999</v>
      </c>
      <c r="O39" s="225">
        <f>ROUND(E39*N39,2)</f>
        <v>0.01</v>
      </c>
      <c r="P39" s="225">
        <v>0</v>
      </c>
      <c r="Q39" s="225">
        <f>ROUND(E39*P39,2)</f>
        <v>0</v>
      </c>
      <c r="R39" s="224"/>
      <c r="S39" s="224" t="s">
        <v>208</v>
      </c>
      <c r="T39" s="224" t="s">
        <v>209</v>
      </c>
      <c r="U39" s="224">
        <v>0</v>
      </c>
      <c r="V39" s="224">
        <f>ROUND(E39*U39,2)</f>
        <v>0</v>
      </c>
      <c r="W39" s="224"/>
      <c r="X39" s="224" t="s">
        <v>230</v>
      </c>
      <c r="Y39" s="224" t="s">
        <v>211</v>
      </c>
      <c r="Z39" s="226"/>
      <c r="AA39" s="226"/>
      <c r="AB39" s="226"/>
      <c r="AC39" s="226"/>
      <c r="AD39" s="226"/>
      <c r="AE39" s="226"/>
      <c r="AF39" s="226"/>
      <c r="AG39" s="226" t="s">
        <v>231</v>
      </c>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row>
    <row r="40" outlineLevel="1" ht="22.5">
      <c r="A40" s="237">
        <v>32</v>
      </c>
      <c r="B40" s="238" t="s">
        <v>718</v>
      </c>
      <c r="C40" s="239" t="s">
        <v>719</v>
      </c>
      <c r="D40" s="240" t="s">
        <v>280</v>
      </c>
      <c r="E40" s="241">
        <v>6</v>
      </c>
      <c r="F40" s="242"/>
      <c r="G40" s="243">
        <f>ROUND(E40*F40,2)</f>
        <v>0</v>
      </c>
      <c r="H40" s="223"/>
      <c r="I40" s="224">
        <f>ROUND(E40*H40,2)</f>
        <v>0</v>
      </c>
      <c r="J40" s="223"/>
      <c r="K40" s="224">
        <f>ROUND(E40*J40,2)</f>
        <v>0</v>
      </c>
      <c r="L40" s="224">
        <v>21</v>
      </c>
      <c r="M40" s="224">
        <f>G40*(1+L40/100)</f>
        <v>0</v>
      </c>
      <c r="N40" s="225">
        <v>0</v>
      </c>
      <c r="O40" s="225">
        <f>ROUND(E40*N40,2)</f>
        <v>0</v>
      </c>
      <c r="P40" s="225">
        <v>0</v>
      </c>
      <c r="Q40" s="225">
        <f>ROUND(E40*P40,2)</f>
        <v>0</v>
      </c>
      <c r="R40" s="224"/>
      <c r="S40" s="224" t="s">
        <v>208</v>
      </c>
      <c r="T40" s="224" t="s">
        <v>209</v>
      </c>
      <c r="U40" s="224">
        <v>0</v>
      </c>
      <c r="V40" s="224">
        <f>ROUND(E40*U40,2)</f>
        <v>0</v>
      </c>
      <c r="W40" s="224"/>
      <c r="X40" s="224" t="s">
        <v>210</v>
      </c>
      <c r="Y40" s="224" t="s">
        <v>211</v>
      </c>
      <c r="Z40" s="226"/>
      <c r="AA40" s="226"/>
      <c r="AB40" s="226"/>
      <c r="AC40" s="226"/>
      <c r="AD40" s="226"/>
      <c r="AE40" s="226"/>
      <c r="AF40" s="226"/>
      <c r="AG40" s="226" t="s">
        <v>212</v>
      </c>
      <c r="AH40" s="226"/>
      <c r="AI40" s="226"/>
      <c r="AJ40" s="226"/>
      <c r="AK40" s="226"/>
      <c r="AL40" s="226"/>
      <c r="AM40" s="226"/>
      <c r="AN40" s="226"/>
      <c r="AO40" s="226"/>
      <c r="AP40" s="226"/>
      <c r="AQ40" s="226"/>
      <c r="AR40" s="226"/>
      <c r="AS40" s="226"/>
      <c r="AT40" s="226"/>
      <c r="AU40" s="226"/>
      <c r="AV40" s="226"/>
      <c r="AW40" s="226"/>
      <c r="AX40" s="226"/>
      <c r="AY40" s="226"/>
      <c r="AZ40" s="226"/>
      <c r="BA40" s="226"/>
      <c r="BB40" s="226"/>
      <c r="BC40" s="226"/>
      <c r="BD40" s="226"/>
      <c r="BE40" s="226"/>
      <c r="BF40" s="226"/>
      <c r="BG40" s="226"/>
      <c r="BH40" s="226"/>
    </row>
    <row r="41" outlineLevel="1">
      <c r="A41" s="237">
        <v>33</v>
      </c>
      <c r="B41" s="238" t="s">
        <v>720</v>
      </c>
      <c r="C41" s="239" t="s">
        <v>721</v>
      </c>
      <c r="D41" s="240" t="s">
        <v>280</v>
      </c>
      <c r="E41" s="241">
        <v>6</v>
      </c>
      <c r="F41" s="242"/>
      <c r="G41" s="243">
        <f>ROUND(E41*F41,2)</f>
        <v>0</v>
      </c>
      <c r="H41" s="223"/>
      <c r="I41" s="224">
        <f>ROUND(E41*H41,2)</f>
        <v>0</v>
      </c>
      <c r="J41" s="223"/>
      <c r="K41" s="224">
        <f>ROUND(E41*J41,2)</f>
        <v>0</v>
      </c>
      <c r="L41" s="224">
        <v>21</v>
      </c>
      <c r="M41" s="224">
        <f>G41*(1+L41/100)</f>
        <v>0</v>
      </c>
      <c r="N41" s="225">
        <v>0.00012999999999999999</v>
      </c>
      <c r="O41" s="225">
        <f>ROUND(E41*N41,2)</f>
        <v>0</v>
      </c>
      <c r="P41" s="225">
        <v>0</v>
      </c>
      <c r="Q41" s="225">
        <f>ROUND(E41*P41,2)</f>
        <v>0</v>
      </c>
      <c r="R41" s="224"/>
      <c r="S41" s="224" t="s">
        <v>208</v>
      </c>
      <c r="T41" s="224" t="s">
        <v>209</v>
      </c>
      <c r="U41" s="224">
        <v>0</v>
      </c>
      <c r="V41" s="224">
        <f>ROUND(E41*U41,2)</f>
        <v>0</v>
      </c>
      <c r="W41" s="224"/>
      <c r="X41" s="224" t="s">
        <v>230</v>
      </c>
      <c r="Y41" s="224" t="s">
        <v>211</v>
      </c>
      <c r="Z41" s="226"/>
      <c r="AA41" s="226"/>
      <c r="AB41" s="226"/>
      <c r="AC41" s="226"/>
      <c r="AD41" s="226"/>
      <c r="AE41" s="226"/>
      <c r="AF41" s="226"/>
      <c r="AG41" s="226" t="s">
        <v>231</v>
      </c>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row>
    <row r="42" outlineLevel="1" ht="22.5">
      <c r="A42" s="237">
        <v>34</v>
      </c>
      <c r="B42" s="238" t="s">
        <v>722</v>
      </c>
      <c r="C42" s="239" t="s">
        <v>723</v>
      </c>
      <c r="D42" s="240" t="s">
        <v>280</v>
      </c>
      <c r="E42" s="241">
        <v>4</v>
      </c>
      <c r="F42" s="242"/>
      <c r="G42" s="243">
        <f>ROUND(E42*F42,2)</f>
        <v>0</v>
      </c>
      <c r="H42" s="223"/>
      <c r="I42" s="224">
        <f>ROUND(E42*H42,2)</f>
        <v>0</v>
      </c>
      <c r="J42" s="223"/>
      <c r="K42" s="224">
        <f>ROUND(E42*J42,2)</f>
        <v>0</v>
      </c>
      <c r="L42" s="224">
        <v>21</v>
      </c>
      <c r="M42" s="224">
        <f>G42*(1+L42/100)</f>
        <v>0</v>
      </c>
      <c r="N42" s="225">
        <v>0</v>
      </c>
      <c r="O42" s="225">
        <f>ROUND(E42*N42,2)</f>
        <v>0</v>
      </c>
      <c r="P42" s="225">
        <v>0</v>
      </c>
      <c r="Q42" s="225">
        <f>ROUND(E42*P42,2)</f>
        <v>0</v>
      </c>
      <c r="R42" s="224"/>
      <c r="S42" s="224" t="s">
        <v>208</v>
      </c>
      <c r="T42" s="224" t="s">
        <v>209</v>
      </c>
      <c r="U42" s="224">
        <v>0</v>
      </c>
      <c r="V42" s="224">
        <f>ROUND(E42*U42,2)</f>
        <v>0</v>
      </c>
      <c r="W42" s="224"/>
      <c r="X42" s="224" t="s">
        <v>210</v>
      </c>
      <c r="Y42" s="224" t="s">
        <v>211</v>
      </c>
      <c r="Z42" s="226"/>
      <c r="AA42" s="226"/>
      <c r="AB42" s="226"/>
      <c r="AC42" s="226"/>
      <c r="AD42" s="226"/>
      <c r="AE42" s="226"/>
      <c r="AF42" s="226"/>
      <c r="AG42" s="226" t="s">
        <v>212</v>
      </c>
      <c r="AH42" s="226"/>
      <c r="AI42" s="226"/>
      <c r="AJ42" s="226"/>
      <c r="AK42" s="226"/>
      <c r="AL42" s="226"/>
      <c r="AM42" s="226"/>
      <c r="AN42" s="226"/>
      <c r="AO42" s="226"/>
      <c r="AP42" s="226"/>
      <c r="AQ42" s="226"/>
      <c r="AR42" s="226"/>
      <c r="AS42" s="226"/>
      <c r="AT42" s="226"/>
      <c r="AU42" s="226"/>
      <c r="AV42" s="226"/>
      <c r="AW42" s="226"/>
      <c r="AX42" s="226"/>
      <c r="AY42" s="226"/>
      <c r="AZ42" s="226"/>
      <c r="BA42" s="226"/>
      <c r="BB42" s="226"/>
      <c r="BC42" s="226"/>
      <c r="BD42" s="226"/>
      <c r="BE42" s="226"/>
      <c r="BF42" s="226"/>
      <c r="BG42" s="226"/>
      <c r="BH42" s="226"/>
    </row>
    <row r="43" outlineLevel="1">
      <c r="A43" s="237">
        <v>35</v>
      </c>
      <c r="B43" s="238" t="s">
        <v>724</v>
      </c>
      <c r="C43" s="239" t="s">
        <v>725</v>
      </c>
      <c r="D43" s="240" t="s">
        <v>698</v>
      </c>
      <c r="E43" s="241">
        <v>4</v>
      </c>
      <c r="F43" s="242"/>
      <c r="G43" s="243">
        <f>ROUND(E43*F43,2)</f>
        <v>0</v>
      </c>
      <c r="H43" s="223"/>
      <c r="I43" s="224">
        <f>ROUND(E43*H43,2)</f>
        <v>0</v>
      </c>
      <c r="J43" s="223"/>
      <c r="K43" s="224">
        <f>ROUND(E43*J43,2)</f>
        <v>0</v>
      </c>
      <c r="L43" s="224">
        <v>21</v>
      </c>
      <c r="M43" s="224">
        <f>G43*(1+L43/100)</f>
        <v>0</v>
      </c>
      <c r="N43" s="225">
        <v>0</v>
      </c>
      <c r="O43" s="225">
        <f>ROUND(E43*N43,2)</f>
        <v>0</v>
      </c>
      <c r="P43" s="225">
        <v>0</v>
      </c>
      <c r="Q43" s="225">
        <f>ROUND(E43*P43,2)</f>
        <v>0</v>
      </c>
      <c r="R43" s="224"/>
      <c r="S43" s="224" t="s">
        <v>208</v>
      </c>
      <c r="T43" s="224" t="s">
        <v>209</v>
      </c>
      <c r="U43" s="224">
        <v>0</v>
      </c>
      <c r="V43" s="224">
        <f>ROUND(E43*U43,2)</f>
        <v>0</v>
      </c>
      <c r="W43" s="224"/>
      <c r="X43" s="224" t="s">
        <v>230</v>
      </c>
      <c r="Y43" s="224" t="s">
        <v>211</v>
      </c>
      <c r="Z43" s="226"/>
      <c r="AA43" s="226"/>
      <c r="AB43" s="226"/>
      <c r="AC43" s="226"/>
      <c r="AD43" s="226"/>
      <c r="AE43" s="226"/>
      <c r="AF43" s="226"/>
      <c r="AG43" s="226" t="s">
        <v>231</v>
      </c>
      <c r="AH43" s="226"/>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row>
    <row r="44" outlineLevel="1" ht="22.5">
      <c r="A44" s="237">
        <v>36</v>
      </c>
      <c r="B44" s="238" t="s">
        <v>726</v>
      </c>
      <c r="C44" s="239" t="s">
        <v>727</v>
      </c>
      <c r="D44" s="240" t="s">
        <v>280</v>
      </c>
      <c r="E44" s="241">
        <v>6</v>
      </c>
      <c r="F44" s="242"/>
      <c r="G44" s="243">
        <f>ROUND(E44*F44,2)</f>
        <v>0</v>
      </c>
      <c r="H44" s="223"/>
      <c r="I44" s="224">
        <f>ROUND(E44*H44,2)</f>
        <v>0</v>
      </c>
      <c r="J44" s="223"/>
      <c r="K44" s="224">
        <f>ROUND(E44*J44,2)</f>
        <v>0</v>
      </c>
      <c r="L44" s="224">
        <v>21</v>
      </c>
      <c r="M44" s="224">
        <f>G44*(1+L44/100)</f>
        <v>0</v>
      </c>
      <c r="N44" s="225">
        <v>0</v>
      </c>
      <c r="O44" s="225">
        <f>ROUND(E44*N44,2)</f>
        <v>0</v>
      </c>
      <c r="P44" s="225">
        <v>0</v>
      </c>
      <c r="Q44" s="225">
        <f>ROUND(E44*P44,2)</f>
        <v>0</v>
      </c>
      <c r="R44" s="224"/>
      <c r="S44" s="224" t="s">
        <v>208</v>
      </c>
      <c r="T44" s="224" t="s">
        <v>209</v>
      </c>
      <c r="U44" s="224">
        <v>0</v>
      </c>
      <c r="V44" s="224">
        <f>ROUND(E44*U44,2)</f>
        <v>0</v>
      </c>
      <c r="W44" s="224"/>
      <c r="X44" s="224" t="s">
        <v>210</v>
      </c>
      <c r="Y44" s="224" t="s">
        <v>211</v>
      </c>
      <c r="Z44" s="226"/>
      <c r="AA44" s="226"/>
      <c r="AB44" s="226"/>
      <c r="AC44" s="226"/>
      <c r="AD44" s="226"/>
      <c r="AE44" s="226"/>
      <c r="AF44" s="226"/>
      <c r="AG44" s="226" t="s">
        <v>212</v>
      </c>
      <c r="AH44" s="226"/>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row>
    <row r="45" outlineLevel="1">
      <c r="A45" s="237">
        <v>37</v>
      </c>
      <c r="B45" s="238" t="s">
        <v>728</v>
      </c>
      <c r="C45" s="239" t="s">
        <v>729</v>
      </c>
      <c r="D45" s="240" t="s">
        <v>280</v>
      </c>
      <c r="E45" s="241">
        <v>6</v>
      </c>
      <c r="F45" s="242"/>
      <c r="G45" s="243">
        <f>ROUND(E45*F45,2)</f>
        <v>0</v>
      </c>
      <c r="H45" s="223"/>
      <c r="I45" s="224">
        <f>ROUND(E45*H45,2)</f>
        <v>0</v>
      </c>
      <c r="J45" s="223"/>
      <c r="K45" s="224">
        <f>ROUND(E45*J45,2)</f>
        <v>0</v>
      </c>
      <c r="L45" s="224">
        <v>21</v>
      </c>
      <c r="M45" s="224">
        <f>G45*(1+L45/100)</f>
        <v>0</v>
      </c>
      <c r="N45" s="225">
        <v>0.0041999999999999997</v>
      </c>
      <c r="O45" s="225">
        <f>ROUND(E45*N45,2)</f>
        <v>0.029999999999999999</v>
      </c>
      <c r="P45" s="225">
        <v>0</v>
      </c>
      <c r="Q45" s="225">
        <f>ROUND(E45*P45,2)</f>
        <v>0</v>
      </c>
      <c r="R45" s="224"/>
      <c r="S45" s="224" t="s">
        <v>208</v>
      </c>
      <c r="T45" s="224" t="s">
        <v>209</v>
      </c>
      <c r="U45" s="224">
        <v>0</v>
      </c>
      <c r="V45" s="224">
        <f>ROUND(E45*U45,2)</f>
        <v>0</v>
      </c>
      <c r="W45" s="224"/>
      <c r="X45" s="224" t="s">
        <v>230</v>
      </c>
      <c r="Y45" s="224" t="s">
        <v>211</v>
      </c>
      <c r="Z45" s="226"/>
      <c r="AA45" s="226"/>
      <c r="AB45" s="226"/>
      <c r="AC45" s="226"/>
      <c r="AD45" s="226"/>
      <c r="AE45" s="226"/>
      <c r="AF45" s="226"/>
      <c r="AG45" s="226" t="s">
        <v>231</v>
      </c>
      <c r="AH45" s="226"/>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row>
    <row r="46" outlineLevel="1" ht="22.5">
      <c r="A46" s="237">
        <v>38</v>
      </c>
      <c r="B46" s="238" t="s">
        <v>730</v>
      </c>
      <c r="C46" s="239" t="s">
        <v>731</v>
      </c>
      <c r="D46" s="240" t="s">
        <v>280</v>
      </c>
      <c r="E46" s="241">
        <v>12</v>
      </c>
      <c r="F46" s="242"/>
      <c r="G46" s="243">
        <f>ROUND(E46*F46,2)</f>
        <v>0</v>
      </c>
      <c r="H46" s="223"/>
      <c r="I46" s="224">
        <f>ROUND(E46*H46,2)</f>
        <v>0</v>
      </c>
      <c r="J46" s="223"/>
      <c r="K46" s="224">
        <f>ROUND(E46*J46,2)</f>
        <v>0</v>
      </c>
      <c r="L46" s="224">
        <v>21</v>
      </c>
      <c r="M46" s="224">
        <f>G46*(1+L46/100)</f>
        <v>0</v>
      </c>
      <c r="N46" s="225">
        <v>0.00032000000000000003</v>
      </c>
      <c r="O46" s="225">
        <f>ROUND(E46*N46,2)</f>
        <v>0</v>
      </c>
      <c r="P46" s="225">
        <v>0</v>
      </c>
      <c r="Q46" s="225">
        <f>ROUND(E46*P46,2)</f>
        <v>0</v>
      </c>
      <c r="R46" s="224"/>
      <c r="S46" s="224" t="s">
        <v>208</v>
      </c>
      <c r="T46" s="224" t="s">
        <v>209</v>
      </c>
      <c r="U46" s="224">
        <v>0</v>
      </c>
      <c r="V46" s="224">
        <f>ROUND(E46*U46,2)</f>
        <v>0</v>
      </c>
      <c r="W46" s="224"/>
      <c r="X46" s="224" t="s">
        <v>230</v>
      </c>
      <c r="Y46" s="224" t="s">
        <v>211</v>
      </c>
      <c r="Z46" s="226"/>
      <c r="AA46" s="226"/>
      <c r="AB46" s="226"/>
      <c r="AC46" s="226"/>
      <c r="AD46" s="226"/>
      <c r="AE46" s="226"/>
      <c r="AF46" s="226"/>
      <c r="AG46" s="226" t="s">
        <v>231</v>
      </c>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row>
    <row r="47" outlineLevel="1" ht="22.5">
      <c r="A47" s="237">
        <v>39</v>
      </c>
      <c r="B47" s="238" t="s">
        <v>732</v>
      </c>
      <c r="C47" s="239" t="s">
        <v>733</v>
      </c>
      <c r="D47" s="240" t="s">
        <v>280</v>
      </c>
      <c r="E47" s="241">
        <v>6</v>
      </c>
      <c r="F47" s="242"/>
      <c r="G47" s="243">
        <f>ROUND(E47*F47,2)</f>
        <v>0</v>
      </c>
      <c r="H47" s="223"/>
      <c r="I47" s="224">
        <f>ROUND(E47*H47,2)</f>
        <v>0</v>
      </c>
      <c r="J47" s="223"/>
      <c r="K47" s="224">
        <f>ROUND(E47*J47,2)</f>
        <v>0</v>
      </c>
      <c r="L47" s="224">
        <v>21</v>
      </c>
      <c r="M47" s="224">
        <f>G47*(1+L47/100)</f>
        <v>0</v>
      </c>
      <c r="N47" s="225">
        <v>0</v>
      </c>
      <c r="O47" s="225">
        <f>ROUND(E47*N47,2)</f>
        <v>0</v>
      </c>
      <c r="P47" s="225">
        <v>0</v>
      </c>
      <c r="Q47" s="225">
        <f>ROUND(E47*P47,2)</f>
        <v>0</v>
      </c>
      <c r="R47" s="224"/>
      <c r="S47" s="224" t="s">
        <v>208</v>
      </c>
      <c r="T47" s="224" t="s">
        <v>209</v>
      </c>
      <c r="U47" s="224">
        <v>0</v>
      </c>
      <c r="V47" s="224">
        <f>ROUND(E47*U47,2)</f>
        <v>0</v>
      </c>
      <c r="W47" s="224"/>
      <c r="X47" s="224" t="s">
        <v>210</v>
      </c>
      <c r="Y47" s="224" t="s">
        <v>211</v>
      </c>
      <c r="Z47" s="226"/>
      <c r="AA47" s="226"/>
      <c r="AB47" s="226"/>
      <c r="AC47" s="226"/>
      <c r="AD47" s="226"/>
      <c r="AE47" s="226"/>
      <c r="AF47" s="226"/>
      <c r="AG47" s="226" t="s">
        <v>212</v>
      </c>
      <c r="AH47" s="226"/>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row>
    <row r="48" outlineLevel="1">
      <c r="A48" s="237">
        <v>40</v>
      </c>
      <c r="B48" s="238" t="s">
        <v>734</v>
      </c>
      <c r="C48" s="239" t="s">
        <v>735</v>
      </c>
      <c r="D48" s="240" t="s">
        <v>280</v>
      </c>
      <c r="E48" s="241">
        <v>6</v>
      </c>
      <c r="F48" s="242"/>
      <c r="G48" s="243">
        <f>ROUND(E48*F48,2)</f>
        <v>0</v>
      </c>
      <c r="H48" s="223"/>
      <c r="I48" s="224">
        <f>ROUND(E48*H48,2)</f>
        <v>0</v>
      </c>
      <c r="J48" s="223"/>
      <c r="K48" s="224">
        <f>ROUND(E48*J48,2)</f>
        <v>0</v>
      </c>
      <c r="L48" s="224">
        <v>21</v>
      </c>
      <c r="M48" s="224">
        <f>G48*(1+L48/100)</f>
        <v>0</v>
      </c>
      <c r="N48" s="225">
        <v>0</v>
      </c>
      <c r="O48" s="225">
        <f>ROUND(E48*N48,2)</f>
        <v>0</v>
      </c>
      <c r="P48" s="225">
        <v>0</v>
      </c>
      <c r="Q48" s="225">
        <f>ROUND(E48*P48,2)</f>
        <v>0</v>
      </c>
      <c r="R48" s="224"/>
      <c r="S48" s="224" t="s">
        <v>208</v>
      </c>
      <c r="T48" s="224" t="s">
        <v>209</v>
      </c>
      <c r="U48" s="224">
        <v>0</v>
      </c>
      <c r="V48" s="224">
        <f>ROUND(E48*U48,2)</f>
        <v>0</v>
      </c>
      <c r="W48" s="224"/>
      <c r="X48" s="224" t="s">
        <v>230</v>
      </c>
      <c r="Y48" s="224" t="s">
        <v>211</v>
      </c>
      <c r="Z48" s="226"/>
      <c r="AA48" s="226"/>
      <c r="AB48" s="226"/>
      <c r="AC48" s="226"/>
      <c r="AD48" s="226"/>
      <c r="AE48" s="226"/>
      <c r="AF48" s="226"/>
      <c r="AG48" s="226" t="s">
        <v>231</v>
      </c>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row>
    <row r="49" outlineLevel="1" ht="22.5">
      <c r="A49" s="237">
        <v>41</v>
      </c>
      <c r="B49" s="238" t="s">
        <v>736</v>
      </c>
      <c r="C49" s="239" t="s">
        <v>737</v>
      </c>
      <c r="D49" s="240" t="s">
        <v>320</v>
      </c>
      <c r="E49" s="241">
        <v>45</v>
      </c>
      <c r="F49" s="242"/>
      <c r="G49" s="243">
        <f>ROUND(E49*F49,2)</f>
        <v>0</v>
      </c>
      <c r="H49" s="223"/>
      <c r="I49" s="224">
        <f>ROUND(E49*H49,2)</f>
        <v>0</v>
      </c>
      <c r="J49" s="223"/>
      <c r="K49" s="224">
        <f>ROUND(E49*J49,2)</f>
        <v>0</v>
      </c>
      <c r="L49" s="224">
        <v>21</v>
      </c>
      <c r="M49" s="224">
        <f>G49*(1+L49/100)</f>
        <v>0</v>
      </c>
      <c r="N49" s="225">
        <v>0</v>
      </c>
      <c r="O49" s="225">
        <f>ROUND(E49*N49,2)</f>
        <v>0</v>
      </c>
      <c r="P49" s="225">
        <v>0</v>
      </c>
      <c r="Q49" s="225">
        <f>ROUND(E49*P49,2)</f>
        <v>0</v>
      </c>
      <c r="R49" s="224"/>
      <c r="S49" s="224" t="s">
        <v>208</v>
      </c>
      <c r="T49" s="224" t="s">
        <v>209</v>
      </c>
      <c r="U49" s="224">
        <v>0</v>
      </c>
      <c r="V49" s="224">
        <f>ROUND(E49*U49,2)</f>
        <v>0</v>
      </c>
      <c r="W49" s="224"/>
      <c r="X49" s="224" t="s">
        <v>210</v>
      </c>
      <c r="Y49" s="224" t="s">
        <v>211</v>
      </c>
      <c r="Z49" s="226"/>
      <c r="AA49" s="226"/>
      <c r="AB49" s="226"/>
      <c r="AC49" s="226"/>
      <c r="AD49" s="226"/>
      <c r="AE49" s="226"/>
      <c r="AF49" s="226"/>
      <c r="AG49" s="226" t="s">
        <v>212</v>
      </c>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row>
    <row r="50" outlineLevel="1">
      <c r="A50" s="237">
        <v>42</v>
      </c>
      <c r="B50" s="238" t="s">
        <v>738</v>
      </c>
      <c r="C50" s="239" t="s">
        <v>739</v>
      </c>
      <c r="D50" s="240" t="s">
        <v>320</v>
      </c>
      <c r="E50" s="241">
        <v>45</v>
      </c>
      <c r="F50" s="242"/>
      <c r="G50" s="243">
        <f>ROUND(E50*F50,2)</f>
        <v>0</v>
      </c>
      <c r="H50" s="223"/>
      <c r="I50" s="224">
        <f>ROUND(E50*H50,2)</f>
        <v>0</v>
      </c>
      <c r="J50" s="223"/>
      <c r="K50" s="224">
        <f>ROUND(E50*J50,2)</f>
        <v>0</v>
      </c>
      <c r="L50" s="224">
        <v>21</v>
      </c>
      <c r="M50" s="224">
        <f>G50*(1+L50/100)</f>
        <v>0</v>
      </c>
      <c r="N50" s="225">
        <v>0</v>
      </c>
      <c r="O50" s="225">
        <f>ROUND(E50*N50,2)</f>
        <v>0</v>
      </c>
      <c r="P50" s="225">
        <v>0</v>
      </c>
      <c r="Q50" s="225">
        <f>ROUND(E50*P50,2)</f>
        <v>0</v>
      </c>
      <c r="R50" s="224"/>
      <c r="S50" s="224" t="s">
        <v>208</v>
      </c>
      <c r="T50" s="224" t="s">
        <v>209</v>
      </c>
      <c r="U50" s="224">
        <v>0</v>
      </c>
      <c r="V50" s="224">
        <f>ROUND(E50*U50,2)</f>
        <v>0</v>
      </c>
      <c r="W50" s="224"/>
      <c r="X50" s="224" t="s">
        <v>230</v>
      </c>
      <c r="Y50" s="224" t="s">
        <v>211</v>
      </c>
      <c r="Z50" s="226"/>
      <c r="AA50" s="226"/>
      <c r="AB50" s="226"/>
      <c r="AC50" s="226"/>
      <c r="AD50" s="226"/>
      <c r="AE50" s="226"/>
      <c r="AF50" s="226"/>
      <c r="AG50" s="226" t="s">
        <v>231</v>
      </c>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row>
    <row r="51" outlineLevel="1" ht="22.5">
      <c r="A51" s="237">
        <v>43</v>
      </c>
      <c r="B51" s="238" t="s">
        <v>740</v>
      </c>
      <c r="C51" s="239" t="s">
        <v>737</v>
      </c>
      <c r="D51" s="240" t="s">
        <v>320</v>
      </c>
      <c r="E51" s="241">
        <v>8</v>
      </c>
      <c r="F51" s="242"/>
      <c r="G51" s="243">
        <f>ROUND(E51*F51,2)</f>
        <v>0</v>
      </c>
      <c r="H51" s="223"/>
      <c r="I51" s="224">
        <f>ROUND(E51*H51,2)</f>
        <v>0</v>
      </c>
      <c r="J51" s="223"/>
      <c r="K51" s="224">
        <f>ROUND(E51*J51,2)</f>
        <v>0</v>
      </c>
      <c r="L51" s="224">
        <v>21</v>
      </c>
      <c r="M51" s="224">
        <f>G51*(1+L51/100)</f>
        <v>0</v>
      </c>
      <c r="N51" s="225">
        <v>0</v>
      </c>
      <c r="O51" s="225">
        <f>ROUND(E51*N51,2)</f>
        <v>0</v>
      </c>
      <c r="P51" s="225">
        <v>0</v>
      </c>
      <c r="Q51" s="225">
        <f>ROUND(E51*P51,2)</f>
        <v>0</v>
      </c>
      <c r="R51" s="224"/>
      <c r="S51" s="224" t="s">
        <v>208</v>
      </c>
      <c r="T51" s="224" t="s">
        <v>209</v>
      </c>
      <c r="U51" s="224">
        <v>0</v>
      </c>
      <c r="V51" s="224">
        <f>ROUND(E51*U51,2)</f>
        <v>0</v>
      </c>
      <c r="W51" s="224"/>
      <c r="X51" s="224" t="s">
        <v>210</v>
      </c>
      <c r="Y51" s="224" t="s">
        <v>211</v>
      </c>
      <c r="Z51" s="226"/>
      <c r="AA51" s="226"/>
      <c r="AB51" s="226"/>
      <c r="AC51" s="226"/>
      <c r="AD51" s="226"/>
      <c r="AE51" s="226"/>
      <c r="AF51" s="226"/>
      <c r="AG51" s="226" t="s">
        <v>212</v>
      </c>
      <c r="AH51" s="226"/>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row>
    <row r="52" outlineLevel="1">
      <c r="A52" s="237">
        <v>44</v>
      </c>
      <c r="B52" s="238" t="s">
        <v>741</v>
      </c>
      <c r="C52" s="239" t="s">
        <v>742</v>
      </c>
      <c r="D52" s="240" t="s">
        <v>320</v>
      </c>
      <c r="E52" s="241">
        <v>8</v>
      </c>
      <c r="F52" s="242"/>
      <c r="G52" s="243">
        <f>ROUND(E52*F52,2)</f>
        <v>0</v>
      </c>
      <c r="H52" s="223"/>
      <c r="I52" s="224">
        <f>ROUND(E52*H52,2)</f>
        <v>0</v>
      </c>
      <c r="J52" s="223"/>
      <c r="K52" s="224">
        <f>ROUND(E52*J52,2)</f>
        <v>0</v>
      </c>
      <c r="L52" s="224">
        <v>21</v>
      </c>
      <c r="M52" s="224">
        <f>G52*(1+L52/100)</f>
        <v>0</v>
      </c>
      <c r="N52" s="225">
        <v>0.00027</v>
      </c>
      <c r="O52" s="225">
        <f>ROUND(E52*N52,2)</f>
        <v>0</v>
      </c>
      <c r="P52" s="225">
        <v>0</v>
      </c>
      <c r="Q52" s="225">
        <f>ROUND(E52*P52,2)</f>
        <v>0</v>
      </c>
      <c r="R52" s="224"/>
      <c r="S52" s="224" t="s">
        <v>208</v>
      </c>
      <c r="T52" s="224" t="s">
        <v>209</v>
      </c>
      <c r="U52" s="224">
        <v>0</v>
      </c>
      <c r="V52" s="224">
        <f>ROUND(E52*U52,2)</f>
        <v>0</v>
      </c>
      <c r="W52" s="224"/>
      <c r="X52" s="224" t="s">
        <v>230</v>
      </c>
      <c r="Y52" s="224" t="s">
        <v>211</v>
      </c>
      <c r="Z52" s="226"/>
      <c r="AA52" s="226"/>
      <c r="AB52" s="226"/>
      <c r="AC52" s="226"/>
      <c r="AD52" s="226"/>
      <c r="AE52" s="226"/>
      <c r="AF52" s="226"/>
      <c r="AG52" s="226" t="s">
        <v>231</v>
      </c>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26"/>
      <c r="BD52" s="226"/>
      <c r="BE52" s="226"/>
      <c r="BF52" s="226"/>
      <c r="BG52" s="226"/>
      <c r="BH52" s="226"/>
    </row>
    <row r="53" outlineLevel="1" ht="22.5">
      <c r="A53" s="237">
        <v>45</v>
      </c>
      <c r="B53" s="238" t="s">
        <v>743</v>
      </c>
      <c r="C53" s="239" t="s">
        <v>744</v>
      </c>
      <c r="D53" s="240" t="s">
        <v>320</v>
      </c>
      <c r="E53" s="241">
        <v>15</v>
      </c>
      <c r="F53" s="242"/>
      <c r="G53" s="243">
        <f>ROUND(E53*F53,2)</f>
        <v>0</v>
      </c>
      <c r="H53" s="223"/>
      <c r="I53" s="224">
        <f>ROUND(E53*H53,2)</f>
        <v>0</v>
      </c>
      <c r="J53" s="223"/>
      <c r="K53" s="224">
        <f>ROUND(E53*J53,2)</f>
        <v>0</v>
      </c>
      <c r="L53" s="224">
        <v>21</v>
      </c>
      <c r="M53" s="224">
        <f>G53*(1+L53/100)</f>
        <v>0</v>
      </c>
      <c r="N53" s="225">
        <v>0</v>
      </c>
      <c r="O53" s="225">
        <f>ROUND(E53*N53,2)</f>
        <v>0</v>
      </c>
      <c r="P53" s="225">
        <v>0</v>
      </c>
      <c r="Q53" s="225">
        <f>ROUND(E53*P53,2)</f>
        <v>0</v>
      </c>
      <c r="R53" s="224"/>
      <c r="S53" s="224" t="s">
        <v>208</v>
      </c>
      <c r="T53" s="224" t="s">
        <v>209</v>
      </c>
      <c r="U53" s="224">
        <v>0</v>
      </c>
      <c r="V53" s="224">
        <f>ROUND(E53*U53,2)</f>
        <v>0</v>
      </c>
      <c r="W53" s="224"/>
      <c r="X53" s="224" t="s">
        <v>210</v>
      </c>
      <c r="Y53" s="224" t="s">
        <v>211</v>
      </c>
      <c r="Z53" s="226"/>
      <c r="AA53" s="226"/>
      <c r="AB53" s="226"/>
      <c r="AC53" s="226"/>
      <c r="AD53" s="226"/>
      <c r="AE53" s="226"/>
      <c r="AF53" s="226"/>
      <c r="AG53" s="226" t="s">
        <v>212</v>
      </c>
      <c r="AH53" s="226"/>
      <c r="AI53" s="226"/>
      <c r="AJ53" s="226"/>
      <c r="AK53" s="226"/>
      <c r="AL53" s="226"/>
      <c r="AM53" s="226"/>
      <c r="AN53" s="226"/>
      <c r="AO53" s="226"/>
      <c r="AP53" s="226"/>
      <c r="AQ53" s="226"/>
      <c r="AR53" s="226"/>
      <c r="AS53" s="226"/>
      <c r="AT53" s="226"/>
      <c r="AU53" s="226"/>
      <c r="AV53" s="226"/>
      <c r="AW53" s="226"/>
      <c r="AX53" s="226"/>
      <c r="AY53" s="226"/>
      <c r="AZ53" s="226"/>
      <c r="BA53" s="226"/>
      <c r="BB53" s="226"/>
      <c r="BC53" s="226"/>
      <c r="BD53" s="226"/>
      <c r="BE53" s="226"/>
      <c r="BF53" s="226"/>
      <c r="BG53" s="226"/>
      <c r="BH53" s="226"/>
    </row>
    <row r="54" outlineLevel="1">
      <c r="A54" s="237">
        <v>46</v>
      </c>
      <c r="B54" s="238" t="s">
        <v>745</v>
      </c>
      <c r="C54" s="239" t="s">
        <v>746</v>
      </c>
      <c r="D54" s="240" t="s">
        <v>747</v>
      </c>
      <c r="E54" s="241">
        <v>15</v>
      </c>
      <c r="F54" s="242"/>
      <c r="G54" s="243">
        <f>ROUND(E54*F54,2)</f>
        <v>0</v>
      </c>
      <c r="H54" s="223"/>
      <c r="I54" s="224">
        <f>ROUND(E54*H54,2)</f>
        <v>0</v>
      </c>
      <c r="J54" s="223"/>
      <c r="K54" s="224">
        <f>ROUND(E54*J54,2)</f>
        <v>0</v>
      </c>
      <c r="L54" s="224">
        <v>21</v>
      </c>
      <c r="M54" s="224">
        <f>G54*(1+L54/100)</f>
        <v>0</v>
      </c>
      <c r="N54" s="225">
        <v>0</v>
      </c>
      <c r="O54" s="225">
        <f>ROUND(E54*N54,2)</f>
        <v>0</v>
      </c>
      <c r="P54" s="225">
        <v>0</v>
      </c>
      <c r="Q54" s="225">
        <f>ROUND(E54*P54,2)</f>
        <v>0</v>
      </c>
      <c r="R54" s="224"/>
      <c r="S54" s="224" t="s">
        <v>208</v>
      </c>
      <c r="T54" s="224" t="s">
        <v>209</v>
      </c>
      <c r="U54" s="224">
        <v>0</v>
      </c>
      <c r="V54" s="224">
        <f>ROUND(E54*U54,2)</f>
        <v>0</v>
      </c>
      <c r="W54" s="224"/>
      <c r="X54" s="224" t="s">
        <v>230</v>
      </c>
      <c r="Y54" s="224" t="s">
        <v>211</v>
      </c>
      <c r="Z54" s="226"/>
      <c r="AA54" s="226"/>
      <c r="AB54" s="226"/>
      <c r="AC54" s="226"/>
      <c r="AD54" s="226"/>
      <c r="AE54" s="226"/>
      <c r="AF54" s="226"/>
      <c r="AG54" s="226" t="s">
        <v>231</v>
      </c>
      <c r="AH54" s="226"/>
      <c r="AI54" s="226"/>
      <c r="AJ54" s="226"/>
      <c r="AK54" s="226"/>
      <c r="AL54" s="226"/>
      <c r="AM54" s="226"/>
      <c r="AN54" s="226"/>
      <c r="AO54" s="226"/>
      <c r="AP54" s="226"/>
      <c r="AQ54" s="226"/>
      <c r="AR54" s="226"/>
      <c r="AS54" s="226"/>
      <c r="AT54" s="226"/>
      <c r="AU54" s="226"/>
      <c r="AV54" s="226"/>
      <c r="AW54" s="226"/>
      <c r="AX54" s="226"/>
      <c r="AY54" s="226"/>
      <c r="AZ54" s="226"/>
      <c r="BA54" s="226"/>
      <c r="BB54" s="226"/>
      <c r="BC54" s="226"/>
      <c r="BD54" s="226"/>
      <c r="BE54" s="226"/>
      <c r="BF54" s="226"/>
      <c r="BG54" s="226"/>
      <c r="BH54" s="226"/>
    </row>
    <row r="55" outlineLevel="1" ht="33.75">
      <c r="A55" s="237">
        <v>47</v>
      </c>
      <c r="B55" s="238" t="s">
        <v>748</v>
      </c>
      <c r="C55" s="239" t="s">
        <v>749</v>
      </c>
      <c r="D55" s="240" t="s">
        <v>320</v>
      </c>
      <c r="E55" s="241">
        <v>160</v>
      </c>
      <c r="F55" s="242"/>
      <c r="G55" s="243">
        <f>ROUND(E55*F55,2)</f>
        <v>0</v>
      </c>
      <c r="H55" s="223"/>
      <c r="I55" s="224">
        <f>ROUND(E55*H55,2)</f>
        <v>0</v>
      </c>
      <c r="J55" s="223"/>
      <c r="K55" s="224">
        <f>ROUND(E55*J55,2)</f>
        <v>0</v>
      </c>
      <c r="L55" s="224">
        <v>21</v>
      </c>
      <c r="M55" s="224">
        <f>G55*(1+L55/100)</f>
        <v>0</v>
      </c>
      <c r="N55" s="225">
        <v>0</v>
      </c>
      <c r="O55" s="225">
        <f>ROUND(E55*N55,2)</f>
        <v>0</v>
      </c>
      <c r="P55" s="225">
        <v>0</v>
      </c>
      <c r="Q55" s="225">
        <f>ROUND(E55*P55,2)</f>
        <v>0</v>
      </c>
      <c r="R55" s="224"/>
      <c r="S55" s="224" t="s">
        <v>208</v>
      </c>
      <c r="T55" s="224" t="s">
        <v>209</v>
      </c>
      <c r="U55" s="224">
        <v>0</v>
      </c>
      <c r="V55" s="224">
        <f>ROUND(E55*U55,2)</f>
        <v>0</v>
      </c>
      <c r="W55" s="224"/>
      <c r="X55" s="224" t="s">
        <v>210</v>
      </c>
      <c r="Y55" s="224" t="s">
        <v>211</v>
      </c>
      <c r="Z55" s="226"/>
      <c r="AA55" s="226"/>
      <c r="AB55" s="226"/>
      <c r="AC55" s="226"/>
      <c r="AD55" s="226"/>
      <c r="AE55" s="226"/>
      <c r="AF55" s="226"/>
      <c r="AG55" s="226" t="s">
        <v>212</v>
      </c>
      <c r="AH55" s="226"/>
      <c r="AI55" s="226"/>
      <c r="AJ55" s="226"/>
      <c r="AK55" s="226"/>
      <c r="AL55" s="226"/>
      <c r="AM55" s="226"/>
      <c r="AN55" s="226"/>
      <c r="AO55" s="226"/>
      <c r="AP55" s="226"/>
      <c r="AQ55" s="226"/>
      <c r="AR55" s="226"/>
      <c r="AS55" s="226"/>
      <c r="AT55" s="226"/>
      <c r="AU55" s="226"/>
      <c r="AV55" s="226"/>
      <c r="AW55" s="226"/>
      <c r="AX55" s="226"/>
      <c r="AY55" s="226"/>
      <c r="AZ55" s="226"/>
      <c r="BA55" s="226"/>
      <c r="BB55" s="226"/>
      <c r="BC55" s="226"/>
      <c r="BD55" s="226"/>
      <c r="BE55" s="226"/>
      <c r="BF55" s="226"/>
      <c r="BG55" s="226"/>
      <c r="BH55" s="226"/>
    </row>
    <row r="56" outlineLevel="1">
      <c r="A56" s="237">
        <v>48</v>
      </c>
      <c r="B56" s="238" t="s">
        <v>750</v>
      </c>
      <c r="C56" s="239" t="s">
        <v>751</v>
      </c>
      <c r="D56" s="240" t="s">
        <v>320</v>
      </c>
      <c r="E56" s="241">
        <v>160</v>
      </c>
      <c r="F56" s="242"/>
      <c r="G56" s="243">
        <f>ROUND(E56*F56,2)</f>
        <v>0</v>
      </c>
      <c r="H56" s="223"/>
      <c r="I56" s="224">
        <f>ROUND(E56*H56,2)</f>
        <v>0</v>
      </c>
      <c r="J56" s="223"/>
      <c r="K56" s="224">
        <f>ROUND(E56*J56,2)</f>
        <v>0</v>
      </c>
      <c r="L56" s="224">
        <v>21</v>
      </c>
      <c r="M56" s="224">
        <f>G56*(1+L56/100)</f>
        <v>0</v>
      </c>
      <c r="N56" s="225">
        <v>0.00017000000000000001</v>
      </c>
      <c r="O56" s="225">
        <f>ROUND(E56*N56,2)</f>
        <v>0.029999999999999999</v>
      </c>
      <c r="P56" s="225">
        <v>0</v>
      </c>
      <c r="Q56" s="225">
        <f>ROUND(E56*P56,2)</f>
        <v>0</v>
      </c>
      <c r="R56" s="224"/>
      <c r="S56" s="224" t="s">
        <v>208</v>
      </c>
      <c r="T56" s="224" t="s">
        <v>209</v>
      </c>
      <c r="U56" s="224">
        <v>0</v>
      </c>
      <c r="V56" s="224">
        <f>ROUND(E56*U56,2)</f>
        <v>0</v>
      </c>
      <c r="W56" s="224"/>
      <c r="X56" s="224" t="s">
        <v>230</v>
      </c>
      <c r="Y56" s="224" t="s">
        <v>211</v>
      </c>
      <c r="Z56" s="226"/>
      <c r="AA56" s="226"/>
      <c r="AB56" s="226"/>
      <c r="AC56" s="226"/>
      <c r="AD56" s="226"/>
      <c r="AE56" s="226"/>
      <c r="AF56" s="226"/>
      <c r="AG56" s="226" t="s">
        <v>231</v>
      </c>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row>
    <row r="57" outlineLevel="1" ht="33.75">
      <c r="A57" s="237">
        <v>49</v>
      </c>
      <c r="B57" s="238" t="s">
        <v>752</v>
      </c>
      <c r="C57" s="239" t="s">
        <v>753</v>
      </c>
      <c r="D57" s="240" t="s">
        <v>320</v>
      </c>
      <c r="E57" s="241">
        <v>10</v>
      </c>
      <c r="F57" s="242"/>
      <c r="G57" s="243">
        <f>ROUND(E57*F57,2)</f>
        <v>0</v>
      </c>
      <c r="H57" s="223"/>
      <c r="I57" s="224">
        <f>ROUND(E57*H57,2)</f>
        <v>0</v>
      </c>
      <c r="J57" s="223"/>
      <c r="K57" s="224">
        <f>ROUND(E57*J57,2)</f>
        <v>0</v>
      </c>
      <c r="L57" s="224">
        <v>21</v>
      </c>
      <c r="M57" s="224">
        <f>G57*(1+L57/100)</f>
        <v>0</v>
      </c>
      <c r="N57" s="225">
        <v>0</v>
      </c>
      <c r="O57" s="225">
        <f>ROUND(E57*N57,2)</f>
        <v>0</v>
      </c>
      <c r="P57" s="225">
        <v>0</v>
      </c>
      <c r="Q57" s="225">
        <f>ROUND(E57*P57,2)</f>
        <v>0</v>
      </c>
      <c r="R57" s="224"/>
      <c r="S57" s="224" t="s">
        <v>208</v>
      </c>
      <c r="T57" s="224" t="s">
        <v>209</v>
      </c>
      <c r="U57" s="224">
        <v>0</v>
      </c>
      <c r="V57" s="224">
        <f>ROUND(E57*U57,2)</f>
        <v>0</v>
      </c>
      <c r="W57" s="224"/>
      <c r="X57" s="224" t="s">
        <v>210</v>
      </c>
      <c r="Y57" s="224" t="s">
        <v>211</v>
      </c>
      <c r="Z57" s="226"/>
      <c r="AA57" s="226"/>
      <c r="AB57" s="226"/>
      <c r="AC57" s="226"/>
      <c r="AD57" s="226"/>
      <c r="AE57" s="226"/>
      <c r="AF57" s="226"/>
      <c r="AG57" s="226" t="s">
        <v>212</v>
      </c>
      <c r="AH57" s="226"/>
      <c r="AI57" s="226"/>
      <c r="AJ57" s="226"/>
      <c r="AK57" s="226"/>
      <c r="AL57" s="226"/>
      <c r="AM57" s="226"/>
      <c r="AN57" s="226"/>
      <c r="AO57" s="226"/>
      <c r="AP57" s="226"/>
      <c r="AQ57" s="226"/>
      <c r="AR57" s="226"/>
      <c r="AS57" s="226"/>
      <c r="AT57" s="226"/>
      <c r="AU57" s="226"/>
      <c r="AV57" s="226"/>
      <c r="AW57" s="226"/>
      <c r="AX57" s="226"/>
      <c r="AY57" s="226"/>
      <c r="AZ57" s="226"/>
      <c r="BA57" s="226"/>
      <c r="BB57" s="226"/>
      <c r="BC57" s="226"/>
      <c r="BD57" s="226"/>
      <c r="BE57" s="226"/>
      <c r="BF57" s="226"/>
      <c r="BG57" s="226"/>
      <c r="BH57" s="226"/>
    </row>
    <row r="58" outlineLevel="1">
      <c r="A58" s="237">
        <v>50</v>
      </c>
      <c r="B58" s="238" t="s">
        <v>754</v>
      </c>
      <c r="C58" s="239" t="s">
        <v>755</v>
      </c>
      <c r="D58" s="240" t="s">
        <v>320</v>
      </c>
      <c r="E58" s="241">
        <v>10</v>
      </c>
      <c r="F58" s="242"/>
      <c r="G58" s="243">
        <f>ROUND(E58*F58,2)</f>
        <v>0</v>
      </c>
      <c r="H58" s="223"/>
      <c r="I58" s="224">
        <f>ROUND(E58*H58,2)</f>
        <v>0</v>
      </c>
      <c r="J58" s="223"/>
      <c r="K58" s="224">
        <f>ROUND(E58*J58,2)</f>
        <v>0</v>
      </c>
      <c r="L58" s="224">
        <v>21</v>
      </c>
      <c r="M58" s="224">
        <f>G58*(1+L58/100)</f>
        <v>0</v>
      </c>
      <c r="N58" s="225">
        <v>0.00025000000000000001</v>
      </c>
      <c r="O58" s="225">
        <f>ROUND(E58*N58,2)</f>
        <v>0</v>
      </c>
      <c r="P58" s="225">
        <v>0</v>
      </c>
      <c r="Q58" s="225">
        <f>ROUND(E58*P58,2)</f>
        <v>0</v>
      </c>
      <c r="R58" s="224"/>
      <c r="S58" s="224" t="s">
        <v>208</v>
      </c>
      <c r="T58" s="224" t="s">
        <v>209</v>
      </c>
      <c r="U58" s="224">
        <v>0</v>
      </c>
      <c r="V58" s="224">
        <f>ROUND(E58*U58,2)</f>
        <v>0</v>
      </c>
      <c r="W58" s="224"/>
      <c r="X58" s="224" t="s">
        <v>230</v>
      </c>
      <c r="Y58" s="224" t="s">
        <v>211</v>
      </c>
      <c r="Z58" s="226"/>
      <c r="AA58" s="226"/>
      <c r="AB58" s="226"/>
      <c r="AC58" s="226"/>
      <c r="AD58" s="226"/>
      <c r="AE58" s="226"/>
      <c r="AF58" s="226"/>
      <c r="AG58" s="226" t="s">
        <v>231</v>
      </c>
      <c r="AH58" s="226"/>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6"/>
      <c r="BH58" s="226"/>
    </row>
    <row r="59" outlineLevel="1">
      <c r="A59" s="237">
        <v>51</v>
      </c>
      <c r="B59" s="238" t="s">
        <v>756</v>
      </c>
      <c r="C59" s="239" t="s">
        <v>757</v>
      </c>
      <c r="D59" s="240" t="s">
        <v>320</v>
      </c>
      <c r="E59" s="241">
        <v>15</v>
      </c>
      <c r="F59" s="242"/>
      <c r="G59" s="243">
        <f>ROUND(E59*F59,2)</f>
        <v>0</v>
      </c>
      <c r="H59" s="223"/>
      <c r="I59" s="224">
        <f>ROUND(E59*H59,2)</f>
        <v>0</v>
      </c>
      <c r="J59" s="223"/>
      <c r="K59" s="224">
        <f>ROUND(E59*J59,2)</f>
        <v>0</v>
      </c>
      <c r="L59" s="224">
        <v>21</v>
      </c>
      <c r="M59" s="224">
        <f>G59*(1+L59/100)</f>
        <v>0</v>
      </c>
      <c r="N59" s="225">
        <v>6.9999999999999994E-05</v>
      </c>
      <c r="O59" s="225">
        <f>ROUND(E59*N59,2)</f>
        <v>0</v>
      </c>
      <c r="P59" s="225">
        <v>0</v>
      </c>
      <c r="Q59" s="225">
        <f>ROUND(E59*P59,2)</f>
        <v>0</v>
      </c>
      <c r="R59" s="224"/>
      <c r="S59" s="224" t="s">
        <v>208</v>
      </c>
      <c r="T59" s="224" t="s">
        <v>209</v>
      </c>
      <c r="U59" s="224">
        <v>0</v>
      </c>
      <c r="V59" s="224">
        <f>ROUND(E59*U59,2)</f>
        <v>0</v>
      </c>
      <c r="W59" s="224"/>
      <c r="X59" s="224" t="s">
        <v>210</v>
      </c>
      <c r="Y59" s="224" t="s">
        <v>211</v>
      </c>
      <c r="Z59" s="226"/>
      <c r="AA59" s="226"/>
      <c r="AB59" s="226"/>
      <c r="AC59" s="226"/>
      <c r="AD59" s="226"/>
      <c r="AE59" s="226"/>
      <c r="AF59" s="226"/>
      <c r="AG59" s="226" t="s">
        <v>212</v>
      </c>
      <c r="AH59" s="226"/>
      <c r="AI59" s="226"/>
      <c r="AJ59" s="226"/>
      <c r="AK59" s="226"/>
      <c r="AL59" s="226"/>
      <c r="AM59" s="226"/>
      <c r="AN59" s="226"/>
      <c r="AO59" s="226"/>
      <c r="AP59" s="226"/>
      <c r="AQ59" s="226"/>
      <c r="AR59" s="226"/>
      <c r="AS59" s="226"/>
      <c r="AT59" s="226"/>
      <c r="AU59" s="226"/>
      <c r="AV59" s="226"/>
      <c r="AW59" s="226"/>
      <c r="AX59" s="226"/>
      <c r="AY59" s="226"/>
      <c r="AZ59" s="226"/>
      <c r="BA59" s="226"/>
      <c r="BB59" s="226"/>
      <c r="BC59" s="226"/>
      <c r="BD59" s="226"/>
      <c r="BE59" s="226"/>
      <c r="BF59" s="226"/>
      <c r="BG59" s="226"/>
      <c r="BH59" s="226"/>
    </row>
    <row r="60" outlineLevel="1" ht="22.5">
      <c r="A60" s="237">
        <v>52</v>
      </c>
      <c r="B60" s="238" t="s">
        <v>758</v>
      </c>
      <c r="C60" s="239" t="s">
        <v>759</v>
      </c>
      <c r="D60" s="240" t="s">
        <v>747</v>
      </c>
      <c r="E60" s="241">
        <v>15</v>
      </c>
      <c r="F60" s="242"/>
      <c r="G60" s="243">
        <f>ROUND(E60*F60,2)</f>
        <v>0</v>
      </c>
      <c r="H60" s="223"/>
      <c r="I60" s="224">
        <f>ROUND(E60*H60,2)</f>
        <v>0</v>
      </c>
      <c r="J60" s="223"/>
      <c r="K60" s="224">
        <f>ROUND(E60*J60,2)</f>
        <v>0</v>
      </c>
      <c r="L60" s="224">
        <v>21</v>
      </c>
      <c r="M60" s="224">
        <f>G60*(1+L60/100)</f>
        <v>0</v>
      </c>
      <c r="N60" s="225">
        <v>0</v>
      </c>
      <c r="O60" s="225">
        <f>ROUND(E60*N60,2)</f>
        <v>0</v>
      </c>
      <c r="P60" s="225">
        <v>0</v>
      </c>
      <c r="Q60" s="225">
        <f>ROUND(E60*P60,2)</f>
        <v>0</v>
      </c>
      <c r="R60" s="224"/>
      <c r="S60" s="224" t="s">
        <v>208</v>
      </c>
      <c r="T60" s="224" t="s">
        <v>209</v>
      </c>
      <c r="U60" s="224">
        <v>0</v>
      </c>
      <c r="V60" s="224">
        <f>ROUND(E60*U60,2)</f>
        <v>0</v>
      </c>
      <c r="W60" s="224"/>
      <c r="X60" s="224" t="s">
        <v>230</v>
      </c>
      <c r="Y60" s="224" t="s">
        <v>211</v>
      </c>
      <c r="Z60" s="226"/>
      <c r="AA60" s="226"/>
      <c r="AB60" s="226"/>
      <c r="AC60" s="226"/>
      <c r="AD60" s="226"/>
      <c r="AE60" s="226"/>
      <c r="AF60" s="226"/>
      <c r="AG60" s="226" t="s">
        <v>231</v>
      </c>
      <c r="AH60" s="226"/>
      <c r="AI60" s="226"/>
      <c r="AJ60" s="226"/>
      <c r="AK60" s="226"/>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row>
    <row r="61" outlineLevel="1" ht="22.5">
      <c r="A61" s="237">
        <v>53</v>
      </c>
      <c r="B61" s="238" t="s">
        <v>760</v>
      </c>
      <c r="C61" s="239" t="s">
        <v>761</v>
      </c>
      <c r="D61" s="240" t="s">
        <v>320</v>
      </c>
      <c r="E61" s="241">
        <v>64</v>
      </c>
      <c r="F61" s="242"/>
      <c r="G61" s="243">
        <f>ROUND(E61*F61,2)</f>
        <v>0</v>
      </c>
      <c r="H61" s="223"/>
      <c r="I61" s="224">
        <f>ROUND(E61*H61,2)</f>
        <v>0</v>
      </c>
      <c r="J61" s="223"/>
      <c r="K61" s="224">
        <f>ROUND(E61*J61,2)</f>
        <v>0</v>
      </c>
      <c r="L61" s="224">
        <v>21</v>
      </c>
      <c r="M61" s="224">
        <f>G61*(1+L61/100)</f>
        <v>0</v>
      </c>
      <c r="N61" s="225">
        <v>0</v>
      </c>
      <c r="O61" s="225">
        <f>ROUND(E61*N61,2)</f>
        <v>0</v>
      </c>
      <c r="P61" s="225">
        <v>0</v>
      </c>
      <c r="Q61" s="225">
        <f>ROUND(E61*P61,2)</f>
        <v>0</v>
      </c>
      <c r="R61" s="224"/>
      <c r="S61" s="224" t="s">
        <v>208</v>
      </c>
      <c r="T61" s="224" t="s">
        <v>209</v>
      </c>
      <c r="U61" s="224">
        <v>0</v>
      </c>
      <c r="V61" s="224">
        <f>ROUND(E61*U61,2)</f>
        <v>0</v>
      </c>
      <c r="W61" s="224"/>
      <c r="X61" s="224" t="s">
        <v>210</v>
      </c>
      <c r="Y61" s="224" t="s">
        <v>211</v>
      </c>
      <c r="Z61" s="226"/>
      <c r="AA61" s="226"/>
      <c r="AB61" s="226"/>
      <c r="AC61" s="226"/>
      <c r="AD61" s="226"/>
      <c r="AE61" s="226"/>
      <c r="AF61" s="226"/>
      <c r="AG61" s="226" t="s">
        <v>212</v>
      </c>
      <c r="AH61" s="226"/>
      <c r="AI61" s="226"/>
      <c r="AJ61" s="226"/>
      <c r="AK61" s="226"/>
      <c r="AL61" s="226"/>
      <c r="AM61" s="226"/>
      <c r="AN61" s="226"/>
      <c r="AO61" s="226"/>
      <c r="AP61" s="226"/>
      <c r="AQ61" s="226"/>
      <c r="AR61" s="226"/>
      <c r="AS61" s="226"/>
      <c r="AT61" s="226"/>
      <c r="AU61" s="226"/>
      <c r="AV61" s="226"/>
      <c r="AW61" s="226"/>
      <c r="AX61" s="226"/>
      <c r="AY61" s="226"/>
      <c r="AZ61" s="226"/>
      <c r="BA61" s="226"/>
      <c r="BB61" s="226"/>
      <c r="BC61" s="226"/>
      <c r="BD61" s="226"/>
      <c r="BE61" s="226"/>
      <c r="BF61" s="226"/>
      <c r="BG61" s="226"/>
      <c r="BH61" s="226"/>
    </row>
    <row r="62" outlineLevel="1" ht="22.5">
      <c r="A62" s="237">
        <v>54</v>
      </c>
      <c r="B62" s="238" t="s">
        <v>762</v>
      </c>
      <c r="C62" s="239" t="s">
        <v>763</v>
      </c>
      <c r="D62" s="240" t="s">
        <v>666</v>
      </c>
      <c r="E62" s="241">
        <v>64</v>
      </c>
      <c r="F62" s="242"/>
      <c r="G62" s="243">
        <f>ROUND(E62*F62,2)</f>
        <v>0</v>
      </c>
      <c r="H62" s="223"/>
      <c r="I62" s="224">
        <f>ROUND(E62*H62,2)</f>
        <v>0</v>
      </c>
      <c r="J62" s="223"/>
      <c r="K62" s="224">
        <f>ROUND(E62*J62,2)</f>
        <v>0</v>
      </c>
      <c r="L62" s="224">
        <v>21</v>
      </c>
      <c r="M62" s="224">
        <f>G62*(1+L62/100)</f>
        <v>0</v>
      </c>
      <c r="N62" s="225">
        <v>0</v>
      </c>
      <c r="O62" s="225">
        <f>ROUND(E62*N62,2)</f>
        <v>0</v>
      </c>
      <c r="P62" s="225">
        <v>0</v>
      </c>
      <c r="Q62" s="225">
        <f>ROUND(E62*P62,2)</f>
        <v>0</v>
      </c>
      <c r="R62" s="224"/>
      <c r="S62" s="224" t="s">
        <v>208</v>
      </c>
      <c r="T62" s="224" t="s">
        <v>209</v>
      </c>
      <c r="U62" s="224">
        <v>0</v>
      </c>
      <c r="V62" s="224">
        <f>ROUND(E62*U62,2)</f>
        <v>0</v>
      </c>
      <c r="W62" s="224"/>
      <c r="X62" s="224" t="s">
        <v>230</v>
      </c>
      <c r="Y62" s="224" t="s">
        <v>211</v>
      </c>
      <c r="Z62" s="226"/>
      <c r="AA62" s="226"/>
      <c r="AB62" s="226"/>
      <c r="AC62" s="226"/>
      <c r="AD62" s="226"/>
      <c r="AE62" s="226"/>
      <c r="AF62" s="226"/>
      <c r="AG62" s="226" t="s">
        <v>231</v>
      </c>
      <c r="AH62" s="226"/>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row>
    <row r="63" outlineLevel="1">
      <c r="A63" s="237">
        <v>55</v>
      </c>
      <c r="B63" s="238" t="s">
        <v>764</v>
      </c>
      <c r="C63" s="239" t="s">
        <v>765</v>
      </c>
      <c r="D63" s="240" t="s">
        <v>36</v>
      </c>
      <c r="E63" s="241">
        <v>920.99199999999996</v>
      </c>
      <c r="F63" s="242"/>
      <c r="G63" s="243">
        <f>ROUND(E63*F63,2)</f>
        <v>0</v>
      </c>
      <c r="H63" s="223"/>
      <c r="I63" s="224">
        <f>ROUND(E63*H63,2)</f>
        <v>0</v>
      </c>
      <c r="J63" s="223"/>
      <c r="K63" s="224">
        <f>ROUND(E63*J63,2)</f>
        <v>0</v>
      </c>
      <c r="L63" s="224">
        <v>21</v>
      </c>
      <c r="M63" s="224">
        <f>G63*(1+L63/100)</f>
        <v>0</v>
      </c>
      <c r="N63" s="225">
        <v>0</v>
      </c>
      <c r="O63" s="225">
        <f>ROUND(E63*N63,2)</f>
        <v>0</v>
      </c>
      <c r="P63" s="225">
        <v>0</v>
      </c>
      <c r="Q63" s="225">
        <f>ROUND(E63*P63,2)</f>
        <v>0</v>
      </c>
      <c r="R63" s="224"/>
      <c r="S63" s="224" t="s">
        <v>208</v>
      </c>
      <c r="T63" s="224" t="s">
        <v>209</v>
      </c>
      <c r="U63" s="224">
        <v>0</v>
      </c>
      <c r="V63" s="224">
        <f>ROUND(E63*U63,2)</f>
        <v>0</v>
      </c>
      <c r="W63" s="224"/>
      <c r="X63" s="224" t="s">
        <v>210</v>
      </c>
      <c r="Y63" s="224" t="s">
        <v>211</v>
      </c>
      <c r="Z63" s="226"/>
      <c r="AA63" s="226"/>
      <c r="AB63" s="226"/>
      <c r="AC63" s="226"/>
      <c r="AD63" s="226"/>
      <c r="AE63" s="226"/>
      <c r="AF63" s="226"/>
      <c r="AG63" s="226" t="s">
        <v>212</v>
      </c>
      <c r="AH63" s="226"/>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row>
    <row r="64" outlineLevel="1">
      <c r="A64" s="237">
        <v>56</v>
      </c>
      <c r="B64" s="238" t="s">
        <v>766</v>
      </c>
      <c r="C64" s="239" t="s">
        <v>767</v>
      </c>
      <c r="D64" s="240" t="s">
        <v>36</v>
      </c>
      <c r="E64" s="241">
        <v>920.99199999999996</v>
      </c>
      <c r="F64" s="242"/>
      <c r="G64" s="243">
        <f>ROUND(E64*F64,2)</f>
        <v>0</v>
      </c>
      <c r="H64" s="223"/>
      <c r="I64" s="224">
        <f>ROUND(E64*H64,2)</f>
        <v>0</v>
      </c>
      <c r="J64" s="223"/>
      <c r="K64" s="224">
        <f>ROUND(E64*J64,2)</f>
        <v>0</v>
      </c>
      <c r="L64" s="224">
        <v>21</v>
      </c>
      <c r="M64" s="224">
        <f>G64*(1+L64/100)</f>
        <v>0</v>
      </c>
      <c r="N64" s="225">
        <v>0</v>
      </c>
      <c r="O64" s="225">
        <f>ROUND(E64*N64,2)</f>
        <v>0</v>
      </c>
      <c r="P64" s="225">
        <v>0</v>
      </c>
      <c r="Q64" s="225">
        <f>ROUND(E64*P64,2)</f>
        <v>0</v>
      </c>
      <c r="R64" s="224"/>
      <c r="S64" s="224" t="s">
        <v>208</v>
      </c>
      <c r="T64" s="224" t="s">
        <v>209</v>
      </c>
      <c r="U64" s="224">
        <v>0</v>
      </c>
      <c r="V64" s="224">
        <f>ROUND(E64*U64,2)</f>
        <v>0</v>
      </c>
      <c r="W64" s="224"/>
      <c r="X64" s="224" t="s">
        <v>210</v>
      </c>
      <c r="Y64" s="224" t="s">
        <v>211</v>
      </c>
      <c r="Z64" s="226"/>
      <c r="AA64" s="226"/>
      <c r="AB64" s="226"/>
      <c r="AC64" s="226"/>
      <c r="AD64" s="226"/>
      <c r="AE64" s="226"/>
      <c r="AF64" s="226"/>
      <c r="AG64" s="226" t="s">
        <v>212</v>
      </c>
      <c r="AH64" s="226"/>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row>
    <row r="65" outlineLevel="1">
      <c r="A65" s="237">
        <v>57</v>
      </c>
      <c r="B65" s="238" t="s">
        <v>768</v>
      </c>
      <c r="C65" s="239" t="s">
        <v>769</v>
      </c>
      <c r="D65" s="240" t="s">
        <v>36</v>
      </c>
      <c r="E65" s="241">
        <v>920.99199999999996</v>
      </c>
      <c r="F65" s="242"/>
      <c r="G65" s="243">
        <f>ROUND(E65*F65,2)</f>
        <v>0</v>
      </c>
      <c r="H65" s="223"/>
      <c r="I65" s="224">
        <f>ROUND(E65*H65,2)</f>
        <v>0</v>
      </c>
      <c r="J65" s="223"/>
      <c r="K65" s="224">
        <f>ROUND(E65*J65,2)</f>
        <v>0</v>
      </c>
      <c r="L65" s="224">
        <v>21</v>
      </c>
      <c r="M65" s="224">
        <f>G65*(1+L65/100)</f>
        <v>0</v>
      </c>
      <c r="N65" s="225">
        <v>0</v>
      </c>
      <c r="O65" s="225">
        <f>ROUND(E65*N65,2)</f>
        <v>0</v>
      </c>
      <c r="P65" s="225">
        <v>0</v>
      </c>
      <c r="Q65" s="225">
        <f>ROUND(E65*P65,2)</f>
        <v>0</v>
      </c>
      <c r="R65" s="224"/>
      <c r="S65" s="224" t="s">
        <v>208</v>
      </c>
      <c r="T65" s="224" t="s">
        <v>209</v>
      </c>
      <c r="U65" s="224">
        <v>0</v>
      </c>
      <c r="V65" s="224">
        <f>ROUND(E65*U65,2)</f>
        <v>0</v>
      </c>
      <c r="W65" s="224"/>
      <c r="X65" s="224" t="s">
        <v>210</v>
      </c>
      <c r="Y65" s="224" t="s">
        <v>211</v>
      </c>
      <c r="Z65" s="226"/>
      <c r="AA65" s="226"/>
      <c r="AB65" s="226"/>
      <c r="AC65" s="226"/>
      <c r="AD65" s="226"/>
      <c r="AE65" s="226"/>
      <c r="AF65" s="226"/>
      <c r="AG65" s="226" t="s">
        <v>212</v>
      </c>
      <c r="AH65" s="226"/>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row>
    <row r="66" outlineLevel="1">
      <c r="A66" s="237">
        <v>58</v>
      </c>
      <c r="B66" s="238" t="s">
        <v>770</v>
      </c>
      <c r="C66" s="239" t="s">
        <v>771</v>
      </c>
      <c r="D66" s="240" t="s">
        <v>36</v>
      </c>
      <c r="E66" s="241">
        <v>867.495</v>
      </c>
      <c r="F66" s="242"/>
      <c r="G66" s="243">
        <f>ROUND(E66*F66,2)</f>
        <v>0</v>
      </c>
      <c r="H66" s="223"/>
      <c r="I66" s="224">
        <f>ROUND(E66*H66,2)</f>
        <v>0</v>
      </c>
      <c r="J66" s="223"/>
      <c r="K66" s="224">
        <f>ROUND(E66*J66,2)</f>
        <v>0</v>
      </c>
      <c r="L66" s="224">
        <v>21</v>
      </c>
      <c r="M66" s="224">
        <f>G66*(1+L66/100)</f>
        <v>0</v>
      </c>
      <c r="N66" s="225">
        <v>0</v>
      </c>
      <c r="O66" s="225">
        <f>ROUND(E66*N66,2)</f>
        <v>0</v>
      </c>
      <c r="P66" s="225">
        <v>0</v>
      </c>
      <c r="Q66" s="225">
        <f>ROUND(E66*P66,2)</f>
        <v>0</v>
      </c>
      <c r="R66" s="224"/>
      <c r="S66" s="224" t="s">
        <v>208</v>
      </c>
      <c r="T66" s="224" t="s">
        <v>209</v>
      </c>
      <c r="U66" s="224">
        <v>0</v>
      </c>
      <c r="V66" s="224">
        <f>ROUND(E66*U66,2)</f>
        <v>0</v>
      </c>
      <c r="W66" s="224"/>
      <c r="X66" s="224" t="s">
        <v>210</v>
      </c>
      <c r="Y66" s="224" t="s">
        <v>211</v>
      </c>
      <c r="Z66" s="226"/>
      <c r="AA66" s="226"/>
      <c r="AB66" s="226"/>
      <c r="AC66" s="226"/>
      <c r="AD66" s="226"/>
      <c r="AE66" s="226"/>
      <c r="AF66" s="226"/>
      <c r="AG66" s="226" t="s">
        <v>212</v>
      </c>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row>
    <row r="67" outlineLevel="1">
      <c r="A67" s="237">
        <v>59</v>
      </c>
      <c r="B67" s="238" t="s">
        <v>772</v>
      </c>
      <c r="C67" s="239" t="s">
        <v>773</v>
      </c>
      <c r="D67" s="240" t="s">
        <v>594</v>
      </c>
      <c r="E67" s="241">
        <v>1</v>
      </c>
      <c r="F67" s="242"/>
      <c r="G67" s="243">
        <f>ROUND(E67*F67,2)</f>
        <v>0</v>
      </c>
      <c r="H67" s="223"/>
      <c r="I67" s="224">
        <f>ROUND(E67*H67,2)</f>
        <v>0</v>
      </c>
      <c r="J67" s="223"/>
      <c r="K67" s="224">
        <f>ROUND(E67*J67,2)</f>
        <v>0</v>
      </c>
      <c r="L67" s="224">
        <v>21</v>
      </c>
      <c r="M67" s="224">
        <f>G67*(1+L67/100)</f>
        <v>0</v>
      </c>
      <c r="N67" s="225">
        <v>0.001</v>
      </c>
      <c r="O67" s="225">
        <f>ROUND(E67*N67,2)</f>
        <v>0</v>
      </c>
      <c r="P67" s="225">
        <v>0</v>
      </c>
      <c r="Q67" s="225">
        <f>ROUND(E67*P67,2)</f>
        <v>0</v>
      </c>
      <c r="R67" s="224"/>
      <c r="S67" s="224" t="s">
        <v>208</v>
      </c>
      <c r="T67" s="224" t="s">
        <v>209</v>
      </c>
      <c r="U67" s="224">
        <v>0</v>
      </c>
      <c r="V67" s="224">
        <f>ROUND(E67*U67,2)</f>
        <v>0</v>
      </c>
      <c r="W67" s="224"/>
      <c r="X67" s="224" t="s">
        <v>230</v>
      </c>
      <c r="Y67" s="224" t="s">
        <v>211</v>
      </c>
      <c r="Z67" s="226"/>
      <c r="AA67" s="226"/>
      <c r="AB67" s="226"/>
      <c r="AC67" s="226"/>
      <c r="AD67" s="226"/>
      <c r="AE67" s="226"/>
      <c r="AF67" s="226"/>
      <c r="AG67" s="226" t="s">
        <v>231</v>
      </c>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row>
    <row r="68">
      <c r="A68" s="207" t="s">
        <v>203</v>
      </c>
      <c r="B68" s="208" t="s">
        <v>133</v>
      </c>
      <c r="C68" s="209" t="s">
        <v>134</v>
      </c>
      <c r="D68" s="210"/>
      <c r="E68" s="211"/>
      <c r="F68" s="212"/>
      <c r="G68" s="213">
        <f>SUMIF(AG69:AG70,"&lt;&gt;NOR",G69:G70)</f>
        <v>0</v>
      </c>
      <c r="H68" s="214"/>
      <c r="I68" s="214">
        <f>SUM(I69:I70)</f>
        <v>0</v>
      </c>
      <c r="J68" s="214"/>
      <c r="K68" s="214">
        <f>SUM(K69:K70)</f>
        <v>0</v>
      </c>
      <c r="L68" s="214"/>
      <c r="M68" s="214">
        <f>SUM(M69:M70)</f>
        <v>0</v>
      </c>
      <c r="N68" s="215"/>
      <c r="O68" s="215">
        <f>SUM(O69:O70)</f>
        <v>0</v>
      </c>
      <c r="P68" s="215"/>
      <c r="Q68" s="215">
        <f>SUM(Q69:Q70)</f>
        <v>0</v>
      </c>
      <c r="R68" s="214"/>
      <c r="S68" s="214"/>
      <c r="T68" s="214"/>
      <c r="U68" s="214"/>
      <c r="V68" s="214">
        <f>SUM(V69:V70)</f>
        <v>0</v>
      </c>
      <c r="W68" s="214"/>
      <c r="X68" s="214"/>
      <c r="Y68" s="214"/>
      <c r="AG68" t="s">
        <v>204</v>
      </c>
    </row>
    <row r="69" outlineLevel="1" ht="22.5">
      <c r="A69" s="237">
        <v>60</v>
      </c>
      <c r="B69" s="238" t="s">
        <v>774</v>
      </c>
      <c r="C69" s="239" t="s">
        <v>775</v>
      </c>
      <c r="D69" s="240" t="s">
        <v>280</v>
      </c>
      <c r="E69" s="241">
        <v>2</v>
      </c>
      <c r="F69" s="242"/>
      <c r="G69" s="243">
        <f>ROUND(E69*F69,2)</f>
        <v>0</v>
      </c>
      <c r="H69" s="223"/>
      <c r="I69" s="224">
        <f>ROUND(E69*H69,2)</f>
        <v>0</v>
      </c>
      <c r="J69" s="223"/>
      <c r="K69" s="224">
        <f>ROUND(E69*J69,2)</f>
        <v>0</v>
      </c>
      <c r="L69" s="224">
        <v>21</v>
      </c>
      <c r="M69" s="224">
        <f>G69*(1+L69/100)</f>
        <v>0</v>
      </c>
      <c r="N69" s="225">
        <v>0</v>
      </c>
      <c r="O69" s="225">
        <f>ROUND(E69*N69,2)</f>
        <v>0</v>
      </c>
      <c r="P69" s="225">
        <v>0</v>
      </c>
      <c r="Q69" s="225">
        <f>ROUND(E69*P69,2)</f>
        <v>0</v>
      </c>
      <c r="R69" s="224"/>
      <c r="S69" s="224" t="s">
        <v>208</v>
      </c>
      <c r="T69" s="224" t="s">
        <v>209</v>
      </c>
      <c r="U69" s="224">
        <v>0</v>
      </c>
      <c r="V69" s="224">
        <f>ROUND(E69*U69,2)</f>
        <v>0</v>
      </c>
      <c r="W69" s="224"/>
      <c r="X69" s="224" t="s">
        <v>210</v>
      </c>
      <c r="Y69" s="224" t="s">
        <v>211</v>
      </c>
      <c r="Z69" s="226"/>
      <c r="AA69" s="226"/>
      <c r="AB69" s="226"/>
      <c r="AC69" s="226"/>
      <c r="AD69" s="226"/>
      <c r="AE69" s="226"/>
      <c r="AF69" s="226"/>
      <c r="AG69" s="226" t="s">
        <v>212</v>
      </c>
      <c r="AH69" s="226"/>
      <c r="AI69" s="226"/>
      <c r="AJ69" s="226"/>
      <c r="AK69" s="226"/>
      <c r="AL69" s="226"/>
      <c r="AM69" s="226"/>
      <c r="AN69" s="226"/>
      <c r="AO69" s="226"/>
      <c r="AP69" s="226"/>
      <c r="AQ69" s="226"/>
      <c r="AR69" s="226"/>
      <c r="AS69" s="226"/>
      <c r="AT69" s="226"/>
      <c r="AU69" s="226"/>
      <c r="AV69" s="226"/>
      <c r="AW69" s="226"/>
      <c r="AX69" s="226"/>
      <c r="AY69" s="226"/>
      <c r="AZ69" s="226"/>
      <c r="BA69" s="226"/>
      <c r="BB69" s="226"/>
      <c r="BC69" s="226"/>
      <c r="BD69" s="226"/>
      <c r="BE69" s="226"/>
      <c r="BF69" s="226"/>
      <c r="BG69" s="226"/>
      <c r="BH69" s="226"/>
    </row>
    <row r="70" outlineLevel="1" ht="22.5">
      <c r="A70" s="237">
        <v>61</v>
      </c>
      <c r="B70" s="238" t="s">
        <v>776</v>
      </c>
      <c r="C70" s="239" t="s">
        <v>777</v>
      </c>
      <c r="D70" s="240" t="s">
        <v>280</v>
      </c>
      <c r="E70" s="241">
        <v>2</v>
      </c>
      <c r="F70" s="242"/>
      <c r="G70" s="243">
        <f>ROUND(E70*F70,2)</f>
        <v>0</v>
      </c>
      <c r="H70" s="223"/>
      <c r="I70" s="224">
        <f>ROUND(E70*H70,2)</f>
        <v>0</v>
      </c>
      <c r="J70" s="223"/>
      <c r="K70" s="224">
        <f>ROUND(E70*J70,2)</f>
        <v>0</v>
      </c>
      <c r="L70" s="224">
        <v>21</v>
      </c>
      <c r="M70" s="224">
        <f>G70*(1+L70/100)</f>
        <v>0</v>
      </c>
      <c r="N70" s="225">
        <v>0</v>
      </c>
      <c r="O70" s="225">
        <f>ROUND(E70*N70,2)</f>
        <v>0</v>
      </c>
      <c r="P70" s="225">
        <v>0</v>
      </c>
      <c r="Q70" s="225">
        <f>ROUND(E70*P70,2)</f>
        <v>0</v>
      </c>
      <c r="R70" s="224"/>
      <c r="S70" s="224" t="s">
        <v>208</v>
      </c>
      <c r="T70" s="224" t="s">
        <v>209</v>
      </c>
      <c r="U70" s="224">
        <v>0</v>
      </c>
      <c r="V70" s="224">
        <f>ROUND(E70*U70,2)</f>
        <v>0</v>
      </c>
      <c r="W70" s="224"/>
      <c r="X70" s="224" t="s">
        <v>210</v>
      </c>
      <c r="Y70" s="224" t="s">
        <v>211</v>
      </c>
      <c r="Z70" s="226"/>
      <c r="AA70" s="226"/>
      <c r="AB70" s="226"/>
      <c r="AC70" s="226"/>
      <c r="AD70" s="226"/>
      <c r="AE70" s="226"/>
      <c r="AF70" s="226"/>
      <c r="AG70" s="226" t="s">
        <v>212</v>
      </c>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row>
    <row r="71">
      <c r="A71" s="207" t="s">
        <v>203</v>
      </c>
      <c r="B71" s="208" t="s">
        <v>137</v>
      </c>
      <c r="C71" s="209" t="s">
        <v>138</v>
      </c>
      <c r="D71" s="210"/>
      <c r="E71" s="211"/>
      <c r="F71" s="212"/>
      <c r="G71" s="213">
        <f>SUMIF(AG72:AG76,"&lt;&gt;NOR",G72:G76)</f>
        <v>0</v>
      </c>
      <c r="H71" s="214"/>
      <c r="I71" s="214">
        <f>SUM(I72:I76)</f>
        <v>0</v>
      </c>
      <c r="J71" s="214"/>
      <c r="K71" s="214">
        <f>SUM(K72:K76)</f>
        <v>0</v>
      </c>
      <c r="L71" s="214"/>
      <c r="M71" s="214">
        <f>SUM(M72:M76)</f>
        <v>0</v>
      </c>
      <c r="N71" s="215"/>
      <c r="O71" s="215">
        <f>SUM(O72:O76)</f>
        <v>0</v>
      </c>
      <c r="P71" s="215"/>
      <c r="Q71" s="215">
        <f>SUM(Q72:Q76)</f>
        <v>0</v>
      </c>
      <c r="R71" s="214"/>
      <c r="S71" s="214"/>
      <c r="T71" s="214"/>
      <c r="U71" s="214"/>
      <c r="V71" s="214">
        <f>SUM(V72:V76)</f>
        <v>0</v>
      </c>
      <c r="W71" s="214"/>
      <c r="X71" s="214"/>
      <c r="Y71" s="214"/>
      <c r="AG71" t="s">
        <v>204</v>
      </c>
    </row>
    <row r="72" outlineLevel="1" ht="22.5">
      <c r="A72" s="237">
        <v>62</v>
      </c>
      <c r="B72" s="238" t="s">
        <v>778</v>
      </c>
      <c r="C72" s="239" t="s">
        <v>779</v>
      </c>
      <c r="D72" s="240" t="s">
        <v>780</v>
      </c>
      <c r="E72" s="241">
        <v>0.050000000000000003</v>
      </c>
      <c r="F72" s="242"/>
      <c r="G72" s="243">
        <f>ROUND(E72*F72,2)</f>
        <v>0</v>
      </c>
      <c r="H72" s="223"/>
      <c r="I72" s="224">
        <f>ROUND(E72*H72,2)</f>
        <v>0</v>
      </c>
      <c r="J72" s="223"/>
      <c r="K72" s="224">
        <f>ROUND(E72*J72,2)</f>
        <v>0</v>
      </c>
      <c r="L72" s="224">
        <v>21</v>
      </c>
      <c r="M72" s="224">
        <f>G72*(1+L72/100)</f>
        <v>0</v>
      </c>
      <c r="N72" s="225">
        <v>0.0099000000000000008</v>
      </c>
      <c r="O72" s="225">
        <f>ROUND(E72*N72,2)</f>
        <v>0</v>
      </c>
      <c r="P72" s="225">
        <v>0</v>
      </c>
      <c r="Q72" s="225">
        <f>ROUND(E72*P72,2)</f>
        <v>0</v>
      </c>
      <c r="R72" s="224"/>
      <c r="S72" s="224" t="s">
        <v>208</v>
      </c>
      <c r="T72" s="224" t="s">
        <v>209</v>
      </c>
      <c r="U72" s="224">
        <v>0</v>
      </c>
      <c r="V72" s="224">
        <f>ROUND(E72*U72,2)</f>
        <v>0</v>
      </c>
      <c r="W72" s="224"/>
      <c r="X72" s="224" t="s">
        <v>210</v>
      </c>
      <c r="Y72" s="224" t="s">
        <v>211</v>
      </c>
      <c r="Z72" s="226"/>
      <c r="AA72" s="226"/>
      <c r="AB72" s="226"/>
      <c r="AC72" s="226"/>
      <c r="AD72" s="226"/>
      <c r="AE72" s="226"/>
      <c r="AF72" s="226"/>
      <c r="AG72" s="226" t="s">
        <v>212</v>
      </c>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row>
    <row r="73" outlineLevel="1" ht="22.5">
      <c r="A73" s="237">
        <v>63</v>
      </c>
      <c r="B73" s="238" t="s">
        <v>781</v>
      </c>
      <c r="C73" s="239" t="s">
        <v>782</v>
      </c>
      <c r="D73" s="240" t="s">
        <v>280</v>
      </c>
      <c r="E73" s="241">
        <v>36</v>
      </c>
      <c r="F73" s="242"/>
      <c r="G73" s="243">
        <f>ROUND(E73*F73,2)</f>
        <v>0</v>
      </c>
      <c r="H73" s="223"/>
      <c r="I73" s="224">
        <f>ROUND(E73*H73,2)</f>
        <v>0</v>
      </c>
      <c r="J73" s="223"/>
      <c r="K73" s="224">
        <f>ROUND(E73*J73,2)</f>
        <v>0</v>
      </c>
      <c r="L73" s="224">
        <v>21</v>
      </c>
      <c r="M73" s="224">
        <f>G73*(1+L73/100)</f>
        <v>0</v>
      </c>
      <c r="N73" s="225">
        <v>0</v>
      </c>
      <c r="O73" s="225">
        <f>ROUND(E73*N73,2)</f>
        <v>0</v>
      </c>
      <c r="P73" s="225">
        <v>0</v>
      </c>
      <c r="Q73" s="225">
        <f>ROUND(E73*P73,2)</f>
        <v>0</v>
      </c>
      <c r="R73" s="224"/>
      <c r="S73" s="224" t="s">
        <v>208</v>
      </c>
      <c r="T73" s="224" t="s">
        <v>209</v>
      </c>
      <c r="U73" s="224">
        <v>0</v>
      </c>
      <c r="V73" s="224">
        <f>ROUND(E73*U73,2)</f>
        <v>0</v>
      </c>
      <c r="W73" s="224"/>
      <c r="X73" s="224" t="s">
        <v>210</v>
      </c>
      <c r="Y73" s="224" t="s">
        <v>211</v>
      </c>
      <c r="Z73" s="226"/>
      <c r="AA73" s="226"/>
      <c r="AB73" s="226"/>
      <c r="AC73" s="226"/>
      <c r="AD73" s="226"/>
      <c r="AE73" s="226"/>
      <c r="AF73" s="226"/>
      <c r="AG73" s="226" t="s">
        <v>212</v>
      </c>
      <c r="AH73" s="226"/>
      <c r="AI73" s="226"/>
      <c r="AJ73" s="226"/>
      <c r="AK73" s="226"/>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row>
    <row r="74" outlineLevel="1">
      <c r="A74" s="237">
        <v>64</v>
      </c>
      <c r="B74" s="238" t="s">
        <v>783</v>
      </c>
      <c r="C74" s="239" t="s">
        <v>784</v>
      </c>
      <c r="D74" s="240" t="s">
        <v>785</v>
      </c>
      <c r="E74" s="241">
        <v>0.035999999999999997</v>
      </c>
      <c r="F74" s="242"/>
      <c r="G74" s="243">
        <f>ROUND(E74*F74,2)</f>
        <v>0</v>
      </c>
      <c r="H74" s="223"/>
      <c r="I74" s="224">
        <f>ROUND(E74*H74,2)</f>
        <v>0</v>
      </c>
      <c r="J74" s="223"/>
      <c r="K74" s="224">
        <f>ROUND(E74*J74,2)</f>
        <v>0</v>
      </c>
      <c r="L74" s="224">
        <v>21</v>
      </c>
      <c r="M74" s="224">
        <f>G74*(1+L74/100)</f>
        <v>0</v>
      </c>
      <c r="N74" s="225">
        <v>0.0016000000000000001</v>
      </c>
      <c r="O74" s="225">
        <f>ROUND(E74*N74,2)</f>
        <v>0</v>
      </c>
      <c r="P74" s="225">
        <v>0</v>
      </c>
      <c r="Q74" s="225">
        <f>ROUND(E74*P74,2)</f>
        <v>0</v>
      </c>
      <c r="R74" s="224"/>
      <c r="S74" s="224" t="s">
        <v>208</v>
      </c>
      <c r="T74" s="224" t="s">
        <v>209</v>
      </c>
      <c r="U74" s="224">
        <v>0</v>
      </c>
      <c r="V74" s="224">
        <f>ROUND(E74*U74,2)</f>
        <v>0</v>
      </c>
      <c r="W74" s="224"/>
      <c r="X74" s="224" t="s">
        <v>230</v>
      </c>
      <c r="Y74" s="224" t="s">
        <v>211</v>
      </c>
      <c r="Z74" s="226"/>
      <c r="AA74" s="226"/>
      <c r="AB74" s="226"/>
      <c r="AC74" s="226"/>
      <c r="AD74" s="226"/>
      <c r="AE74" s="226"/>
      <c r="AF74" s="226"/>
      <c r="AG74" s="226" t="s">
        <v>231</v>
      </c>
      <c r="AH74" s="226"/>
      <c r="AI74" s="226"/>
      <c r="AJ74" s="226"/>
      <c r="AK74" s="226"/>
      <c r="AL74" s="226"/>
      <c r="AM74" s="226"/>
      <c r="AN74" s="226"/>
      <c r="AO74" s="226"/>
      <c r="AP74" s="226"/>
      <c r="AQ74" s="226"/>
      <c r="AR74" s="226"/>
      <c r="AS74" s="226"/>
      <c r="AT74" s="226"/>
      <c r="AU74" s="226"/>
      <c r="AV74" s="226"/>
      <c r="AW74" s="226"/>
      <c r="AX74" s="226"/>
      <c r="AY74" s="226"/>
      <c r="AZ74" s="226"/>
      <c r="BA74" s="226"/>
      <c r="BB74" s="226"/>
      <c r="BC74" s="226"/>
      <c r="BD74" s="226"/>
      <c r="BE74" s="226"/>
      <c r="BF74" s="226"/>
      <c r="BG74" s="226"/>
      <c r="BH74" s="226"/>
    </row>
    <row r="75" outlineLevel="1" ht="22.5">
      <c r="A75" s="237">
        <v>65</v>
      </c>
      <c r="B75" s="238" t="s">
        <v>786</v>
      </c>
      <c r="C75" s="239" t="s">
        <v>787</v>
      </c>
      <c r="D75" s="240" t="s">
        <v>280</v>
      </c>
      <c r="E75" s="241">
        <v>8</v>
      </c>
      <c r="F75" s="242"/>
      <c r="G75" s="243">
        <f>ROUND(E75*F75,2)</f>
        <v>0</v>
      </c>
      <c r="H75" s="223"/>
      <c r="I75" s="224">
        <f>ROUND(E75*H75,2)</f>
        <v>0</v>
      </c>
      <c r="J75" s="223"/>
      <c r="K75" s="224">
        <f>ROUND(E75*J75,2)</f>
        <v>0</v>
      </c>
      <c r="L75" s="224">
        <v>21</v>
      </c>
      <c r="M75" s="224">
        <f>G75*(1+L75/100)</f>
        <v>0</v>
      </c>
      <c r="N75" s="225">
        <v>1.0000000000000001E-05</v>
      </c>
      <c r="O75" s="225">
        <f>ROUND(E75*N75,2)</f>
        <v>0</v>
      </c>
      <c r="P75" s="225">
        <v>0</v>
      </c>
      <c r="Q75" s="225">
        <f>ROUND(E75*P75,2)</f>
        <v>0</v>
      </c>
      <c r="R75" s="224"/>
      <c r="S75" s="224" t="s">
        <v>208</v>
      </c>
      <c r="T75" s="224" t="s">
        <v>209</v>
      </c>
      <c r="U75" s="224">
        <v>0</v>
      </c>
      <c r="V75" s="224">
        <f>ROUND(E75*U75,2)</f>
        <v>0</v>
      </c>
      <c r="W75" s="224"/>
      <c r="X75" s="224" t="s">
        <v>210</v>
      </c>
      <c r="Y75" s="224" t="s">
        <v>211</v>
      </c>
      <c r="Z75" s="226"/>
      <c r="AA75" s="226"/>
      <c r="AB75" s="226"/>
      <c r="AC75" s="226"/>
      <c r="AD75" s="226"/>
      <c r="AE75" s="226"/>
      <c r="AF75" s="226"/>
      <c r="AG75" s="226" t="s">
        <v>212</v>
      </c>
      <c r="AH75" s="226"/>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row>
    <row r="76" outlineLevel="1">
      <c r="A76" s="237">
        <v>66</v>
      </c>
      <c r="B76" s="238" t="s">
        <v>788</v>
      </c>
      <c r="C76" s="239" t="s">
        <v>789</v>
      </c>
      <c r="D76" s="240" t="s">
        <v>785</v>
      </c>
      <c r="E76" s="241">
        <v>0.0080000000000000002</v>
      </c>
      <c r="F76" s="242"/>
      <c r="G76" s="243">
        <f>ROUND(E76*F76,2)</f>
        <v>0</v>
      </c>
      <c r="H76" s="223"/>
      <c r="I76" s="224">
        <f>ROUND(E76*H76,2)</f>
        <v>0</v>
      </c>
      <c r="J76" s="223"/>
      <c r="K76" s="224">
        <f>ROUND(E76*J76,2)</f>
        <v>0</v>
      </c>
      <c r="L76" s="224">
        <v>21</v>
      </c>
      <c r="M76" s="224">
        <f>G76*(1+L76/100)</f>
        <v>0</v>
      </c>
      <c r="N76" s="225">
        <v>0.0027000000000000001</v>
      </c>
      <c r="O76" s="225">
        <f>ROUND(E76*N76,2)</f>
        <v>0</v>
      </c>
      <c r="P76" s="225">
        <v>0</v>
      </c>
      <c r="Q76" s="225">
        <f>ROUND(E76*P76,2)</f>
        <v>0</v>
      </c>
      <c r="R76" s="224"/>
      <c r="S76" s="224" t="s">
        <v>208</v>
      </c>
      <c r="T76" s="224" t="s">
        <v>209</v>
      </c>
      <c r="U76" s="224">
        <v>0</v>
      </c>
      <c r="V76" s="224">
        <f>ROUND(E76*U76,2)</f>
        <v>0</v>
      </c>
      <c r="W76" s="224"/>
      <c r="X76" s="224" t="s">
        <v>230</v>
      </c>
      <c r="Y76" s="224" t="s">
        <v>211</v>
      </c>
      <c r="Z76" s="226"/>
      <c r="AA76" s="226"/>
      <c r="AB76" s="226"/>
      <c r="AC76" s="226"/>
      <c r="AD76" s="226"/>
      <c r="AE76" s="226"/>
      <c r="AF76" s="226"/>
      <c r="AG76" s="226" t="s">
        <v>231</v>
      </c>
      <c r="AH76" s="226"/>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row>
    <row r="77">
      <c r="A77" s="207" t="s">
        <v>203</v>
      </c>
      <c r="B77" s="208" t="s">
        <v>149</v>
      </c>
      <c r="C77" s="209" t="s">
        <v>150</v>
      </c>
      <c r="D77" s="210"/>
      <c r="E77" s="211"/>
      <c r="F77" s="212"/>
      <c r="G77" s="213">
        <f>SUMIF(AG78,"&lt;&gt;NOR",G78)</f>
        <v>0</v>
      </c>
      <c r="H77" s="214"/>
      <c r="I77" s="214">
        <f>SUM(I78)</f>
        <v>0</v>
      </c>
      <c r="J77" s="214"/>
      <c r="K77" s="214">
        <f>SUM(K78)</f>
        <v>0</v>
      </c>
      <c r="L77" s="214"/>
      <c r="M77" s="214">
        <f>SUM(M78)</f>
        <v>0</v>
      </c>
      <c r="N77" s="215"/>
      <c r="O77" s="215">
        <f>SUM(O78)</f>
        <v>0</v>
      </c>
      <c r="P77" s="215"/>
      <c r="Q77" s="215">
        <f>SUM(Q78)</f>
        <v>0</v>
      </c>
      <c r="R77" s="214"/>
      <c r="S77" s="214"/>
      <c r="T77" s="214"/>
      <c r="U77" s="214"/>
      <c r="V77" s="214">
        <f>SUM(V78)</f>
        <v>0</v>
      </c>
      <c r="W77" s="214"/>
      <c r="X77" s="214"/>
      <c r="Y77" s="214"/>
      <c r="AG77" t="s">
        <v>204</v>
      </c>
    </row>
    <row r="78" outlineLevel="1" ht="22.5">
      <c r="A78" s="237">
        <v>67</v>
      </c>
      <c r="B78" s="238" t="s">
        <v>790</v>
      </c>
      <c r="C78" s="239" t="s">
        <v>791</v>
      </c>
      <c r="D78" s="240" t="s">
        <v>792</v>
      </c>
      <c r="E78" s="241">
        <v>8</v>
      </c>
      <c r="F78" s="242"/>
      <c r="G78" s="243">
        <f>ROUND(E78*F78,2)</f>
        <v>0</v>
      </c>
      <c r="H78" s="223"/>
      <c r="I78" s="224">
        <f>ROUND(E78*H78,2)</f>
        <v>0</v>
      </c>
      <c r="J78" s="223"/>
      <c r="K78" s="224">
        <f>ROUND(E78*J78,2)</f>
        <v>0</v>
      </c>
      <c r="L78" s="224">
        <v>21</v>
      </c>
      <c r="M78" s="224">
        <f>G78*(1+L78/100)</f>
        <v>0</v>
      </c>
      <c r="N78" s="225">
        <v>0</v>
      </c>
      <c r="O78" s="225">
        <f>ROUND(E78*N78,2)</f>
        <v>0</v>
      </c>
      <c r="P78" s="225">
        <v>0</v>
      </c>
      <c r="Q78" s="225">
        <f>ROUND(E78*P78,2)</f>
        <v>0</v>
      </c>
      <c r="R78" s="224"/>
      <c r="S78" s="224" t="s">
        <v>208</v>
      </c>
      <c r="T78" s="224" t="s">
        <v>209</v>
      </c>
      <c r="U78" s="224">
        <v>0</v>
      </c>
      <c r="V78" s="224">
        <f>ROUND(E78*U78,2)</f>
        <v>0</v>
      </c>
      <c r="W78" s="224"/>
      <c r="X78" s="224" t="s">
        <v>210</v>
      </c>
      <c r="Y78" s="224" t="s">
        <v>211</v>
      </c>
      <c r="Z78" s="226"/>
      <c r="AA78" s="226"/>
      <c r="AB78" s="226"/>
      <c r="AC78" s="226"/>
      <c r="AD78" s="226"/>
      <c r="AE78" s="226"/>
      <c r="AF78" s="226"/>
      <c r="AG78" s="226" t="s">
        <v>212</v>
      </c>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row>
    <row r="79">
      <c r="A79" s="207" t="s">
        <v>203</v>
      </c>
      <c r="B79" s="208" t="s">
        <v>153</v>
      </c>
      <c r="C79" s="209" t="s">
        <v>154</v>
      </c>
      <c r="D79" s="210"/>
      <c r="E79" s="211"/>
      <c r="F79" s="212"/>
      <c r="G79" s="213">
        <f>SUMIF(AG80:AG88,"&lt;&gt;NOR",G80:G88)</f>
        <v>0</v>
      </c>
      <c r="H79" s="214"/>
      <c r="I79" s="214">
        <f>SUM(I80:I88)</f>
        <v>0</v>
      </c>
      <c r="J79" s="214"/>
      <c r="K79" s="214">
        <f>SUM(K80:K88)</f>
        <v>0</v>
      </c>
      <c r="L79" s="214"/>
      <c r="M79" s="214">
        <f>SUM(M80:M88)</f>
        <v>0</v>
      </c>
      <c r="N79" s="215"/>
      <c r="O79" s="215">
        <f>SUM(O80:O88)</f>
        <v>0.080000000000000002</v>
      </c>
      <c r="P79" s="215"/>
      <c r="Q79" s="215">
        <f>SUM(Q80:Q88)</f>
        <v>0</v>
      </c>
      <c r="R79" s="214"/>
      <c r="S79" s="214"/>
      <c r="T79" s="214"/>
      <c r="U79" s="214"/>
      <c r="V79" s="214">
        <f>SUM(V80:V88)</f>
        <v>0</v>
      </c>
      <c r="W79" s="214"/>
      <c r="X79" s="214"/>
      <c r="Y79" s="214"/>
      <c r="AG79" t="s">
        <v>204</v>
      </c>
    </row>
    <row r="80" outlineLevel="1" ht="22.5">
      <c r="A80" s="237">
        <v>68</v>
      </c>
      <c r="B80" s="238" t="s">
        <v>793</v>
      </c>
      <c r="C80" s="239" t="s">
        <v>794</v>
      </c>
      <c r="D80" s="240" t="s">
        <v>320</v>
      </c>
      <c r="E80" s="241">
        <v>85</v>
      </c>
      <c r="F80" s="242"/>
      <c r="G80" s="243">
        <f>ROUND(E80*F80,2)</f>
        <v>0</v>
      </c>
      <c r="H80" s="223"/>
      <c r="I80" s="224">
        <f>ROUND(E80*H80,2)</f>
        <v>0</v>
      </c>
      <c r="J80" s="223"/>
      <c r="K80" s="224">
        <f>ROUND(E80*J80,2)</f>
        <v>0</v>
      </c>
      <c r="L80" s="224">
        <v>21</v>
      </c>
      <c r="M80" s="224">
        <f>G80*(1+L80/100)</f>
        <v>0</v>
      </c>
      <c r="N80" s="225">
        <v>0</v>
      </c>
      <c r="O80" s="225">
        <f>ROUND(E80*N80,2)</f>
        <v>0</v>
      </c>
      <c r="P80" s="225">
        <v>0</v>
      </c>
      <c r="Q80" s="225">
        <f>ROUND(E80*P80,2)</f>
        <v>0</v>
      </c>
      <c r="R80" s="224"/>
      <c r="S80" s="224" t="s">
        <v>208</v>
      </c>
      <c r="T80" s="224" t="s">
        <v>209</v>
      </c>
      <c r="U80" s="224">
        <v>0</v>
      </c>
      <c r="V80" s="224">
        <f>ROUND(E80*U80,2)</f>
        <v>0</v>
      </c>
      <c r="W80" s="224"/>
      <c r="X80" s="224" t="s">
        <v>210</v>
      </c>
      <c r="Y80" s="224" t="s">
        <v>211</v>
      </c>
      <c r="Z80" s="226"/>
      <c r="AA80" s="226"/>
      <c r="AB80" s="226"/>
      <c r="AC80" s="226"/>
      <c r="AD80" s="226"/>
      <c r="AE80" s="226"/>
      <c r="AF80" s="226"/>
      <c r="AG80" s="226" t="s">
        <v>321</v>
      </c>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row>
    <row r="81" outlineLevel="1" ht="22.5">
      <c r="A81" s="237">
        <v>69</v>
      </c>
      <c r="B81" s="238" t="s">
        <v>795</v>
      </c>
      <c r="C81" s="239" t="s">
        <v>796</v>
      </c>
      <c r="D81" s="240" t="s">
        <v>320</v>
      </c>
      <c r="E81" s="241">
        <v>85</v>
      </c>
      <c r="F81" s="242"/>
      <c r="G81" s="243">
        <f>ROUND(E81*F81,2)</f>
        <v>0</v>
      </c>
      <c r="H81" s="223"/>
      <c r="I81" s="224">
        <f>ROUND(E81*H81,2)</f>
        <v>0</v>
      </c>
      <c r="J81" s="223"/>
      <c r="K81" s="224">
        <f>ROUND(E81*J81,2)</f>
        <v>0</v>
      </c>
      <c r="L81" s="224">
        <v>21</v>
      </c>
      <c r="M81" s="224">
        <f>G81*(1+L81/100)</f>
        <v>0</v>
      </c>
      <c r="N81" s="225">
        <v>0.00089999999999999998</v>
      </c>
      <c r="O81" s="225">
        <f>ROUND(E81*N81,2)</f>
        <v>0.080000000000000002</v>
      </c>
      <c r="P81" s="225">
        <v>0</v>
      </c>
      <c r="Q81" s="225">
        <f>ROUND(E81*P81,2)</f>
        <v>0</v>
      </c>
      <c r="R81" s="224"/>
      <c r="S81" s="224" t="s">
        <v>208</v>
      </c>
      <c r="T81" s="224" t="s">
        <v>209</v>
      </c>
      <c r="U81" s="224">
        <v>0</v>
      </c>
      <c r="V81" s="224">
        <f>ROUND(E81*U81,2)</f>
        <v>0</v>
      </c>
      <c r="W81" s="224"/>
      <c r="X81" s="224" t="s">
        <v>230</v>
      </c>
      <c r="Y81" s="224" t="s">
        <v>211</v>
      </c>
      <c r="Z81" s="226"/>
      <c r="AA81" s="226"/>
      <c r="AB81" s="226"/>
      <c r="AC81" s="226"/>
      <c r="AD81" s="226"/>
      <c r="AE81" s="226"/>
      <c r="AF81" s="226"/>
      <c r="AG81" s="226" t="s">
        <v>231</v>
      </c>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row>
    <row r="82" outlineLevel="1">
      <c r="A82" s="237">
        <v>70</v>
      </c>
      <c r="B82" s="238" t="s">
        <v>797</v>
      </c>
      <c r="C82" s="239" t="s">
        <v>798</v>
      </c>
      <c r="D82" s="240" t="s">
        <v>698</v>
      </c>
      <c r="E82" s="241">
        <v>50</v>
      </c>
      <c r="F82" s="242"/>
      <c r="G82" s="243">
        <f>ROUND(E82*F82,2)</f>
        <v>0</v>
      </c>
      <c r="H82" s="223"/>
      <c r="I82" s="224">
        <f>ROUND(E82*H82,2)</f>
        <v>0</v>
      </c>
      <c r="J82" s="223"/>
      <c r="K82" s="224">
        <f>ROUND(E82*J82,2)</f>
        <v>0</v>
      </c>
      <c r="L82" s="224">
        <v>21</v>
      </c>
      <c r="M82" s="224">
        <f>G82*(1+L82/100)</f>
        <v>0</v>
      </c>
      <c r="N82" s="225">
        <v>4.0000000000000003E-05</v>
      </c>
      <c r="O82" s="225">
        <f>ROUND(E82*N82,2)</f>
        <v>0</v>
      </c>
      <c r="P82" s="225">
        <v>0</v>
      </c>
      <c r="Q82" s="225">
        <f>ROUND(E82*P82,2)</f>
        <v>0</v>
      </c>
      <c r="R82" s="224"/>
      <c r="S82" s="224" t="s">
        <v>208</v>
      </c>
      <c r="T82" s="224" t="s">
        <v>209</v>
      </c>
      <c r="U82" s="224">
        <v>0</v>
      </c>
      <c r="V82" s="224">
        <f>ROUND(E82*U82,2)</f>
        <v>0</v>
      </c>
      <c r="W82" s="224"/>
      <c r="X82" s="224" t="s">
        <v>230</v>
      </c>
      <c r="Y82" s="224" t="s">
        <v>211</v>
      </c>
      <c r="Z82" s="226"/>
      <c r="AA82" s="226"/>
      <c r="AB82" s="226"/>
      <c r="AC82" s="226"/>
      <c r="AD82" s="226"/>
      <c r="AE82" s="226"/>
      <c r="AF82" s="226"/>
      <c r="AG82" s="226" t="s">
        <v>231</v>
      </c>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row>
    <row r="83" outlineLevel="1" ht="22.5">
      <c r="A83" s="237">
        <v>71</v>
      </c>
      <c r="B83" s="238" t="s">
        <v>799</v>
      </c>
      <c r="C83" s="239" t="s">
        <v>800</v>
      </c>
      <c r="D83" s="240" t="s">
        <v>280</v>
      </c>
      <c r="E83" s="241">
        <v>65</v>
      </c>
      <c r="F83" s="242"/>
      <c r="G83" s="243">
        <f>ROUND(E83*F83,2)</f>
        <v>0</v>
      </c>
      <c r="H83" s="223"/>
      <c r="I83" s="224">
        <f>ROUND(E83*H83,2)</f>
        <v>0</v>
      </c>
      <c r="J83" s="223"/>
      <c r="K83" s="224">
        <f>ROUND(E83*J83,2)</f>
        <v>0</v>
      </c>
      <c r="L83" s="224">
        <v>21</v>
      </c>
      <c r="M83" s="224">
        <f>G83*(1+L83/100)</f>
        <v>0</v>
      </c>
      <c r="N83" s="225">
        <v>0</v>
      </c>
      <c r="O83" s="225">
        <f>ROUND(E83*N83,2)</f>
        <v>0</v>
      </c>
      <c r="P83" s="225">
        <v>0</v>
      </c>
      <c r="Q83" s="225">
        <f>ROUND(E83*P83,2)</f>
        <v>0</v>
      </c>
      <c r="R83" s="224"/>
      <c r="S83" s="224" t="s">
        <v>208</v>
      </c>
      <c r="T83" s="224" t="s">
        <v>209</v>
      </c>
      <c r="U83" s="224">
        <v>0</v>
      </c>
      <c r="V83" s="224">
        <f>ROUND(E83*U83,2)</f>
        <v>0</v>
      </c>
      <c r="W83" s="224"/>
      <c r="X83" s="224" t="s">
        <v>210</v>
      </c>
      <c r="Y83" s="224" t="s">
        <v>211</v>
      </c>
      <c r="Z83" s="226"/>
      <c r="AA83" s="226"/>
      <c r="AB83" s="226"/>
      <c r="AC83" s="226"/>
      <c r="AD83" s="226"/>
      <c r="AE83" s="226"/>
      <c r="AF83" s="226"/>
      <c r="AG83" s="226" t="s">
        <v>321</v>
      </c>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row>
    <row r="84" outlineLevel="1" ht="22.5">
      <c r="A84" s="237">
        <v>72</v>
      </c>
      <c r="B84" s="238" t="s">
        <v>801</v>
      </c>
      <c r="C84" s="239" t="s">
        <v>802</v>
      </c>
      <c r="D84" s="240" t="s">
        <v>280</v>
      </c>
      <c r="E84" s="241">
        <v>10</v>
      </c>
      <c r="F84" s="242"/>
      <c r="G84" s="243">
        <f>ROUND(E84*F84,2)</f>
        <v>0</v>
      </c>
      <c r="H84" s="223"/>
      <c r="I84" s="224">
        <f>ROUND(E84*H84,2)</f>
        <v>0</v>
      </c>
      <c r="J84" s="223"/>
      <c r="K84" s="224">
        <f>ROUND(E84*J84,2)</f>
        <v>0</v>
      </c>
      <c r="L84" s="224">
        <v>21</v>
      </c>
      <c r="M84" s="224">
        <f>G84*(1+L84/100)</f>
        <v>0</v>
      </c>
      <c r="N84" s="225">
        <v>0</v>
      </c>
      <c r="O84" s="225">
        <f>ROUND(E84*N84,2)</f>
        <v>0</v>
      </c>
      <c r="P84" s="225">
        <v>0</v>
      </c>
      <c r="Q84" s="225">
        <f>ROUND(E84*P84,2)</f>
        <v>0</v>
      </c>
      <c r="R84" s="224"/>
      <c r="S84" s="224" t="s">
        <v>208</v>
      </c>
      <c r="T84" s="224" t="s">
        <v>209</v>
      </c>
      <c r="U84" s="224">
        <v>0</v>
      </c>
      <c r="V84" s="224">
        <f>ROUND(E84*U84,2)</f>
        <v>0</v>
      </c>
      <c r="W84" s="224"/>
      <c r="X84" s="224" t="s">
        <v>210</v>
      </c>
      <c r="Y84" s="224" t="s">
        <v>211</v>
      </c>
      <c r="Z84" s="226"/>
      <c r="AA84" s="226"/>
      <c r="AB84" s="226"/>
      <c r="AC84" s="226"/>
      <c r="AD84" s="226"/>
      <c r="AE84" s="226"/>
      <c r="AF84" s="226"/>
      <c r="AG84" s="226" t="s">
        <v>321</v>
      </c>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row>
    <row r="85" outlineLevel="1" ht="22.5">
      <c r="A85" s="237">
        <v>73</v>
      </c>
      <c r="B85" s="238" t="s">
        <v>803</v>
      </c>
      <c r="C85" s="239" t="s">
        <v>804</v>
      </c>
      <c r="D85" s="240" t="s">
        <v>280</v>
      </c>
      <c r="E85" s="241">
        <v>6</v>
      </c>
      <c r="F85" s="242"/>
      <c r="G85" s="243">
        <f>ROUND(E85*F85,2)</f>
        <v>0</v>
      </c>
      <c r="H85" s="223"/>
      <c r="I85" s="224">
        <f>ROUND(E85*H85,2)</f>
        <v>0</v>
      </c>
      <c r="J85" s="223"/>
      <c r="K85" s="224">
        <f>ROUND(E85*J85,2)</f>
        <v>0</v>
      </c>
      <c r="L85" s="224">
        <v>21</v>
      </c>
      <c r="M85" s="224">
        <f>G85*(1+L85/100)</f>
        <v>0</v>
      </c>
      <c r="N85" s="225">
        <v>0</v>
      </c>
      <c r="O85" s="225">
        <f>ROUND(E85*N85,2)</f>
        <v>0</v>
      </c>
      <c r="P85" s="225">
        <v>0</v>
      </c>
      <c r="Q85" s="225">
        <f>ROUND(E85*P85,2)</f>
        <v>0</v>
      </c>
      <c r="R85" s="224"/>
      <c r="S85" s="224" t="s">
        <v>208</v>
      </c>
      <c r="T85" s="224" t="s">
        <v>209</v>
      </c>
      <c r="U85" s="224">
        <v>0</v>
      </c>
      <c r="V85" s="224">
        <f>ROUND(E85*U85,2)</f>
        <v>0</v>
      </c>
      <c r="W85" s="224"/>
      <c r="X85" s="224" t="s">
        <v>210</v>
      </c>
      <c r="Y85" s="224" t="s">
        <v>211</v>
      </c>
      <c r="Z85" s="226"/>
      <c r="AA85" s="226"/>
      <c r="AB85" s="226"/>
      <c r="AC85" s="226"/>
      <c r="AD85" s="226"/>
      <c r="AE85" s="226"/>
      <c r="AF85" s="226"/>
      <c r="AG85" s="226" t="s">
        <v>321</v>
      </c>
      <c r="AH85" s="226"/>
      <c r="AI85" s="226"/>
      <c r="AJ85" s="226"/>
      <c r="AK85" s="226"/>
      <c r="AL85" s="226"/>
      <c r="AM85" s="226"/>
      <c r="AN85" s="226"/>
      <c r="AO85" s="226"/>
      <c r="AP85" s="226"/>
      <c r="AQ85" s="226"/>
      <c r="AR85" s="226"/>
      <c r="AS85" s="226"/>
      <c r="AT85" s="226"/>
      <c r="AU85" s="226"/>
      <c r="AV85" s="226"/>
      <c r="AW85" s="226"/>
      <c r="AX85" s="226"/>
      <c r="AY85" s="226"/>
      <c r="AZ85" s="226"/>
      <c r="BA85" s="226"/>
      <c r="BB85" s="226"/>
      <c r="BC85" s="226"/>
      <c r="BD85" s="226"/>
      <c r="BE85" s="226"/>
      <c r="BF85" s="226"/>
      <c r="BG85" s="226"/>
      <c r="BH85" s="226"/>
    </row>
    <row r="86" outlineLevel="1" ht="33.75">
      <c r="A86" s="237">
        <v>74</v>
      </c>
      <c r="B86" s="238" t="s">
        <v>805</v>
      </c>
      <c r="C86" s="239" t="s">
        <v>806</v>
      </c>
      <c r="D86" s="240" t="s">
        <v>666</v>
      </c>
      <c r="E86" s="241">
        <v>6</v>
      </c>
      <c r="F86" s="242"/>
      <c r="G86" s="243">
        <f>ROUND(E86*F86,2)</f>
        <v>0</v>
      </c>
      <c r="H86" s="223"/>
      <c r="I86" s="224">
        <f>ROUND(E86*H86,2)</f>
        <v>0</v>
      </c>
      <c r="J86" s="223"/>
      <c r="K86" s="224">
        <f>ROUND(E86*J86,2)</f>
        <v>0</v>
      </c>
      <c r="L86" s="224">
        <v>21</v>
      </c>
      <c r="M86" s="224">
        <f>G86*(1+L86/100)</f>
        <v>0</v>
      </c>
      <c r="N86" s="225">
        <v>0</v>
      </c>
      <c r="O86" s="225">
        <f>ROUND(E86*N86,2)</f>
        <v>0</v>
      </c>
      <c r="P86" s="225">
        <v>0</v>
      </c>
      <c r="Q86" s="225">
        <f>ROUND(E86*P86,2)</f>
        <v>0</v>
      </c>
      <c r="R86" s="224"/>
      <c r="S86" s="224" t="s">
        <v>208</v>
      </c>
      <c r="T86" s="224" t="s">
        <v>209</v>
      </c>
      <c r="U86" s="224">
        <v>0</v>
      </c>
      <c r="V86" s="224">
        <f>ROUND(E86*U86,2)</f>
        <v>0</v>
      </c>
      <c r="W86" s="224"/>
      <c r="X86" s="224" t="s">
        <v>230</v>
      </c>
      <c r="Y86" s="224" t="s">
        <v>211</v>
      </c>
      <c r="Z86" s="226"/>
      <c r="AA86" s="226"/>
      <c r="AB86" s="226"/>
      <c r="AC86" s="226"/>
      <c r="AD86" s="226"/>
      <c r="AE86" s="226"/>
      <c r="AF86" s="226"/>
      <c r="AG86" s="226" t="s">
        <v>231</v>
      </c>
      <c r="AH86" s="226"/>
      <c r="AI86" s="226"/>
      <c r="AJ86" s="226"/>
      <c r="AK86" s="226"/>
      <c r="AL86" s="226"/>
      <c r="AM86" s="226"/>
      <c r="AN86" s="226"/>
      <c r="AO86" s="226"/>
      <c r="AP86" s="226"/>
      <c r="AQ86" s="226"/>
      <c r="AR86" s="226"/>
      <c r="AS86" s="226"/>
      <c r="AT86" s="226"/>
      <c r="AU86" s="226"/>
      <c r="AV86" s="226"/>
      <c r="AW86" s="226"/>
      <c r="AX86" s="226"/>
      <c r="AY86" s="226"/>
      <c r="AZ86" s="226"/>
      <c r="BA86" s="226"/>
      <c r="BB86" s="226"/>
      <c r="BC86" s="226"/>
      <c r="BD86" s="226"/>
      <c r="BE86" s="226"/>
      <c r="BF86" s="226"/>
      <c r="BG86" s="226"/>
      <c r="BH86" s="226"/>
    </row>
    <row r="87" outlineLevel="1" ht="22.5">
      <c r="A87" s="237">
        <v>75</v>
      </c>
      <c r="B87" s="238" t="s">
        <v>807</v>
      </c>
      <c r="C87" s="239" t="s">
        <v>808</v>
      </c>
      <c r="D87" s="240" t="s">
        <v>280</v>
      </c>
      <c r="E87" s="241">
        <v>1</v>
      </c>
      <c r="F87" s="242"/>
      <c r="G87" s="243">
        <f>ROUND(E87*F87,2)</f>
        <v>0</v>
      </c>
      <c r="H87" s="223"/>
      <c r="I87" s="224">
        <f>ROUND(E87*H87,2)</f>
        <v>0</v>
      </c>
      <c r="J87" s="223"/>
      <c r="K87" s="224">
        <f>ROUND(E87*J87,2)</f>
        <v>0</v>
      </c>
      <c r="L87" s="224">
        <v>21</v>
      </c>
      <c r="M87" s="224">
        <f>G87*(1+L87/100)</f>
        <v>0</v>
      </c>
      <c r="N87" s="225">
        <v>0</v>
      </c>
      <c r="O87" s="225">
        <f>ROUND(E87*N87,2)</f>
        <v>0</v>
      </c>
      <c r="P87" s="225">
        <v>0</v>
      </c>
      <c r="Q87" s="225">
        <f>ROUND(E87*P87,2)</f>
        <v>0</v>
      </c>
      <c r="R87" s="224"/>
      <c r="S87" s="224" t="s">
        <v>208</v>
      </c>
      <c r="T87" s="224" t="s">
        <v>209</v>
      </c>
      <c r="U87" s="224">
        <v>0</v>
      </c>
      <c r="V87" s="224">
        <f>ROUND(E87*U87,2)</f>
        <v>0</v>
      </c>
      <c r="W87" s="224"/>
      <c r="X87" s="224" t="s">
        <v>210</v>
      </c>
      <c r="Y87" s="224" t="s">
        <v>211</v>
      </c>
      <c r="Z87" s="226"/>
      <c r="AA87" s="226"/>
      <c r="AB87" s="226"/>
      <c r="AC87" s="226"/>
      <c r="AD87" s="226"/>
      <c r="AE87" s="226"/>
      <c r="AF87" s="226"/>
      <c r="AG87" s="226" t="s">
        <v>321</v>
      </c>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row>
    <row r="88" outlineLevel="1">
      <c r="A88" s="237">
        <v>76</v>
      </c>
      <c r="B88" s="238" t="s">
        <v>809</v>
      </c>
      <c r="C88" s="239" t="s">
        <v>810</v>
      </c>
      <c r="D88" s="240" t="s">
        <v>280</v>
      </c>
      <c r="E88" s="241">
        <v>1</v>
      </c>
      <c r="F88" s="242"/>
      <c r="G88" s="243">
        <f>ROUND(E88*F88,2)</f>
        <v>0</v>
      </c>
      <c r="H88" s="223"/>
      <c r="I88" s="224">
        <f>ROUND(E88*H88,2)</f>
        <v>0</v>
      </c>
      <c r="J88" s="223"/>
      <c r="K88" s="224">
        <f>ROUND(E88*J88,2)</f>
        <v>0</v>
      </c>
      <c r="L88" s="224">
        <v>21</v>
      </c>
      <c r="M88" s="224">
        <f>G88*(1+L88/100)</f>
        <v>0</v>
      </c>
      <c r="N88" s="225">
        <v>0</v>
      </c>
      <c r="O88" s="225">
        <f>ROUND(E88*N88,2)</f>
        <v>0</v>
      </c>
      <c r="P88" s="225">
        <v>0</v>
      </c>
      <c r="Q88" s="225">
        <f>ROUND(E88*P88,2)</f>
        <v>0</v>
      </c>
      <c r="R88" s="224"/>
      <c r="S88" s="224" t="s">
        <v>208</v>
      </c>
      <c r="T88" s="224" t="s">
        <v>209</v>
      </c>
      <c r="U88" s="224">
        <v>0</v>
      </c>
      <c r="V88" s="224">
        <f>ROUND(E88*U88,2)</f>
        <v>0</v>
      </c>
      <c r="W88" s="224"/>
      <c r="X88" s="224" t="s">
        <v>210</v>
      </c>
      <c r="Y88" s="224" t="s">
        <v>211</v>
      </c>
      <c r="Z88" s="226"/>
      <c r="AA88" s="226"/>
      <c r="AB88" s="226"/>
      <c r="AC88" s="226"/>
      <c r="AD88" s="226"/>
      <c r="AE88" s="226"/>
      <c r="AF88" s="226"/>
      <c r="AG88" s="226" t="s">
        <v>321</v>
      </c>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row>
    <row r="89">
      <c r="A89" s="207" t="s">
        <v>203</v>
      </c>
      <c r="B89" s="208" t="s">
        <v>155</v>
      </c>
      <c r="C89" s="209" t="s">
        <v>156</v>
      </c>
      <c r="D89" s="210"/>
      <c r="E89" s="211"/>
      <c r="F89" s="212"/>
      <c r="G89" s="213">
        <f>SUMIF(AG90:AG91,"&lt;&gt;NOR",G90:G91)</f>
        <v>0</v>
      </c>
      <c r="H89" s="214"/>
      <c r="I89" s="214">
        <f>SUM(I90:I91)</f>
        <v>0</v>
      </c>
      <c r="J89" s="214"/>
      <c r="K89" s="214">
        <f>SUM(K90:K91)</f>
        <v>0</v>
      </c>
      <c r="L89" s="214"/>
      <c r="M89" s="214">
        <f>SUM(M90:M91)</f>
        <v>0</v>
      </c>
      <c r="N89" s="215"/>
      <c r="O89" s="215">
        <f>SUM(O90:O91)</f>
        <v>0</v>
      </c>
      <c r="P89" s="215"/>
      <c r="Q89" s="215">
        <f>SUM(Q90:Q91)</f>
        <v>0</v>
      </c>
      <c r="R89" s="214"/>
      <c r="S89" s="214"/>
      <c r="T89" s="214"/>
      <c r="U89" s="214"/>
      <c r="V89" s="214">
        <f>SUM(V90:V91)</f>
        <v>0</v>
      </c>
      <c r="W89" s="214"/>
      <c r="X89" s="214"/>
      <c r="Y89" s="214"/>
      <c r="AG89" t="s">
        <v>204</v>
      </c>
    </row>
    <row r="90" outlineLevel="1" ht="22.5">
      <c r="A90" s="237">
        <v>77</v>
      </c>
      <c r="B90" s="238" t="s">
        <v>811</v>
      </c>
      <c r="C90" s="239" t="s">
        <v>812</v>
      </c>
      <c r="D90" s="240" t="s">
        <v>280</v>
      </c>
      <c r="E90" s="241">
        <v>1</v>
      </c>
      <c r="F90" s="242"/>
      <c r="G90" s="243">
        <f>ROUND(E90*F90,2)</f>
        <v>0</v>
      </c>
      <c r="H90" s="223"/>
      <c r="I90" s="224">
        <f>ROUND(E90*H90,2)</f>
        <v>0</v>
      </c>
      <c r="J90" s="223"/>
      <c r="K90" s="224">
        <f>ROUND(E90*J90,2)</f>
        <v>0</v>
      </c>
      <c r="L90" s="224">
        <v>21</v>
      </c>
      <c r="M90" s="224">
        <f>G90*(1+L90/100)</f>
        <v>0</v>
      </c>
      <c r="N90" s="225">
        <v>0</v>
      </c>
      <c r="O90" s="225">
        <f>ROUND(E90*N90,2)</f>
        <v>0</v>
      </c>
      <c r="P90" s="225">
        <v>0</v>
      </c>
      <c r="Q90" s="225">
        <f>ROUND(E90*P90,2)</f>
        <v>0</v>
      </c>
      <c r="R90" s="224"/>
      <c r="S90" s="224" t="s">
        <v>208</v>
      </c>
      <c r="T90" s="224" t="s">
        <v>209</v>
      </c>
      <c r="U90" s="224">
        <v>0</v>
      </c>
      <c r="V90" s="224">
        <f>ROUND(E90*U90,2)</f>
        <v>0</v>
      </c>
      <c r="W90" s="224"/>
      <c r="X90" s="224" t="s">
        <v>210</v>
      </c>
      <c r="Y90" s="224" t="s">
        <v>211</v>
      </c>
      <c r="Z90" s="226"/>
      <c r="AA90" s="226"/>
      <c r="AB90" s="226"/>
      <c r="AC90" s="226"/>
      <c r="AD90" s="226"/>
      <c r="AE90" s="226"/>
      <c r="AF90" s="226"/>
      <c r="AG90" s="226" t="s">
        <v>321</v>
      </c>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6"/>
      <c r="BH90" s="226"/>
    </row>
    <row r="91" outlineLevel="1" ht="22.5">
      <c r="A91" s="237">
        <v>78</v>
      </c>
      <c r="B91" s="238" t="s">
        <v>813</v>
      </c>
      <c r="C91" s="239" t="s">
        <v>814</v>
      </c>
      <c r="D91" s="240" t="s">
        <v>666</v>
      </c>
      <c r="E91" s="241">
        <v>1</v>
      </c>
      <c r="F91" s="242"/>
      <c r="G91" s="243">
        <f>ROUND(E91*F91,2)</f>
        <v>0</v>
      </c>
      <c r="H91" s="223"/>
      <c r="I91" s="224">
        <f>ROUND(E91*H91,2)</f>
        <v>0</v>
      </c>
      <c r="J91" s="223"/>
      <c r="K91" s="224">
        <f>ROUND(E91*J91,2)</f>
        <v>0</v>
      </c>
      <c r="L91" s="224">
        <v>21</v>
      </c>
      <c r="M91" s="224">
        <f>G91*(1+L91/100)</f>
        <v>0</v>
      </c>
      <c r="N91" s="225">
        <v>0</v>
      </c>
      <c r="O91" s="225">
        <f>ROUND(E91*N91,2)</f>
        <v>0</v>
      </c>
      <c r="P91" s="225">
        <v>0</v>
      </c>
      <c r="Q91" s="225">
        <f>ROUND(E91*P91,2)</f>
        <v>0</v>
      </c>
      <c r="R91" s="224"/>
      <c r="S91" s="224" t="s">
        <v>208</v>
      </c>
      <c r="T91" s="224" t="s">
        <v>209</v>
      </c>
      <c r="U91" s="224">
        <v>0</v>
      </c>
      <c r="V91" s="224">
        <f>ROUND(E91*U91,2)</f>
        <v>0</v>
      </c>
      <c r="W91" s="224"/>
      <c r="X91" s="224" t="s">
        <v>230</v>
      </c>
      <c r="Y91" s="224" t="s">
        <v>211</v>
      </c>
      <c r="Z91" s="226"/>
      <c r="AA91" s="226"/>
      <c r="AB91" s="226"/>
      <c r="AC91" s="226"/>
      <c r="AD91" s="226"/>
      <c r="AE91" s="226"/>
      <c r="AF91" s="226"/>
      <c r="AG91" s="226" t="s">
        <v>231</v>
      </c>
      <c r="AH91" s="226"/>
      <c r="AI91" s="226"/>
      <c r="AJ91" s="226"/>
      <c r="AK91" s="226"/>
      <c r="AL91" s="226"/>
      <c r="AM91" s="226"/>
      <c r="AN91" s="226"/>
      <c r="AO91" s="226"/>
      <c r="AP91" s="226"/>
      <c r="AQ91" s="226"/>
      <c r="AR91" s="226"/>
      <c r="AS91" s="226"/>
      <c r="AT91" s="226"/>
      <c r="AU91" s="226"/>
      <c r="AV91" s="226"/>
      <c r="AW91" s="226"/>
      <c r="AX91" s="226"/>
      <c r="AY91" s="226"/>
      <c r="AZ91" s="226"/>
      <c r="BA91" s="226"/>
      <c r="BB91" s="226"/>
      <c r="BC91" s="226"/>
      <c r="BD91" s="226"/>
      <c r="BE91" s="226"/>
      <c r="BF91" s="226"/>
      <c r="BG91" s="226"/>
      <c r="BH91" s="226"/>
    </row>
    <row r="92">
      <c r="A92" s="207" t="s">
        <v>203</v>
      </c>
      <c r="B92" s="208" t="s">
        <v>157</v>
      </c>
      <c r="C92" s="209" t="s">
        <v>158</v>
      </c>
      <c r="D92" s="210"/>
      <c r="E92" s="211"/>
      <c r="F92" s="212"/>
      <c r="G92" s="213">
        <f>SUMIF(AG93:AG100,"&lt;&gt;NOR",G93:G100)</f>
        <v>0</v>
      </c>
      <c r="H92" s="214"/>
      <c r="I92" s="214">
        <f>SUM(I93:I100)</f>
        <v>0</v>
      </c>
      <c r="J92" s="214"/>
      <c r="K92" s="214">
        <f>SUM(K93:K100)</f>
        <v>0</v>
      </c>
      <c r="L92" s="214"/>
      <c r="M92" s="214">
        <f>SUM(M93:M100)</f>
        <v>0</v>
      </c>
      <c r="N92" s="215"/>
      <c r="O92" s="215">
        <f>SUM(O93:O100)</f>
        <v>0</v>
      </c>
      <c r="P92" s="215"/>
      <c r="Q92" s="215">
        <f>SUM(Q93:Q100)</f>
        <v>0</v>
      </c>
      <c r="R92" s="214"/>
      <c r="S92" s="214"/>
      <c r="T92" s="214"/>
      <c r="U92" s="214"/>
      <c r="V92" s="214">
        <f>SUM(V93:V100)</f>
        <v>0</v>
      </c>
      <c r="W92" s="214"/>
      <c r="X92" s="214"/>
      <c r="Y92" s="214"/>
      <c r="AG92" t="s">
        <v>204</v>
      </c>
    </row>
    <row r="93" outlineLevel="1" ht="22.5">
      <c r="A93" s="237">
        <v>79</v>
      </c>
      <c r="B93" s="238" t="s">
        <v>815</v>
      </c>
      <c r="C93" s="239" t="s">
        <v>816</v>
      </c>
      <c r="D93" s="240" t="s">
        <v>320</v>
      </c>
      <c r="E93" s="241">
        <v>15</v>
      </c>
      <c r="F93" s="242"/>
      <c r="G93" s="243">
        <f>ROUND(E93*F93,2)</f>
        <v>0</v>
      </c>
      <c r="H93" s="223"/>
      <c r="I93" s="224">
        <f>ROUND(E93*H93,2)</f>
        <v>0</v>
      </c>
      <c r="J93" s="223"/>
      <c r="K93" s="224">
        <f>ROUND(E93*J93,2)</f>
        <v>0</v>
      </c>
      <c r="L93" s="224">
        <v>21</v>
      </c>
      <c r="M93" s="224">
        <f>G93*(1+L93/100)</f>
        <v>0</v>
      </c>
      <c r="N93" s="225">
        <v>0</v>
      </c>
      <c r="O93" s="225">
        <f>ROUND(E93*N93,2)</f>
        <v>0</v>
      </c>
      <c r="P93" s="225">
        <v>0</v>
      </c>
      <c r="Q93" s="225">
        <f>ROUND(E93*P93,2)</f>
        <v>0</v>
      </c>
      <c r="R93" s="224"/>
      <c r="S93" s="224" t="s">
        <v>208</v>
      </c>
      <c r="T93" s="224" t="s">
        <v>209</v>
      </c>
      <c r="U93" s="224">
        <v>0</v>
      </c>
      <c r="V93" s="224">
        <f>ROUND(E93*U93,2)</f>
        <v>0</v>
      </c>
      <c r="W93" s="224"/>
      <c r="X93" s="224" t="s">
        <v>210</v>
      </c>
      <c r="Y93" s="224" t="s">
        <v>211</v>
      </c>
      <c r="Z93" s="226"/>
      <c r="AA93" s="226"/>
      <c r="AB93" s="226"/>
      <c r="AC93" s="226"/>
      <c r="AD93" s="226"/>
      <c r="AE93" s="226"/>
      <c r="AF93" s="226"/>
      <c r="AG93" s="226" t="s">
        <v>321</v>
      </c>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row>
    <row r="94" outlineLevel="1">
      <c r="A94" s="237">
        <v>80</v>
      </c>
      <c r="B94" s="238" t="s">
        <v>817</v>
      </c>
      <c r="C94" s="239" t="s">
        <v>818</v>
      </c>
      <c r="D94" s="240" t="s">
        <v>320</v>
      </c>
      <c r="E94" s="241">
        <v>15</v>
      </c>
      <c r="F94" s="242"/>
      <c r="G94" s="243">
        <f>ROUND(E94*F94,2)</f>
        <v>0</v>
      </c>
      <c r="H94" s="223"/>
      <c r="I94" s="224">
        <f>ROUND(E94*H94,2)</f>
        <v>0</v>
      </c>
      <c r="J94" s="223"/>
      <c r="K94" s="224">
        <f>ROUND(E94*J94,2)</f>
        <v>0</v>
      </c>
      <c r="L94" s="224">
        <v>21</v>
      </c>
      <c r="M94" s="224">
        <f>G94*(1+L94/100)</f>
        <v>0</v>
      </c>
      <c r="N94" s="225">
        <v>0.00025999999999999998</v>
      </c>
      <c r="O94" s="225">
        <f>ROUND(E94*N94,2)</f>
        <v>0</v>
      </c>
      <c r="P94" s="225">
        <v>0</v>
      </c>
      <c r="Q94" s="225">
        <f>ROUND(E94*P94,2)</f>
        <v>0</v>
      </c>
      <c r="R94" s="224"/>
      <c r="S94" s="224" t="s">
        <v>208</v>
      </c>
      <c r="T94" s="224" t="s">
        <v>209</v>
      </c>
      <c r="U94" s="224">
        <v>0</v>
      </c>
      <c r="V94" s="224">
        <f>ROUND(E94*U94,2)</f>
        <v>0</v>
      </c>
      <c r="W94" s="224"/>
      <c r="X94" s="224" t="s">
        <v>230</v>
      </c>
      <c r="Y94" s="224" t="s">
        <v>211</v>
      </c>
      <c r="Z94" s="226"/>
      <c r="AA94" s="226"/>
      <c r="AB94" s="226"/>
      <c r="AC94" s="226"/>
      <c r="AD94" s="226"/>
      <c r="AE94" s="226"/>
      <c r="AF94" s="226"/>
      <c r="AG94" s="226" t="s">
        <v>231</v>
      </c>
      <c r="AH94" s="226"/>
      <c r="AI94" s="226"/>
      <c r="AJ94" s="226"/>
      <c r="AK94" s="226"/>
      <c r="AL94" s="226"/>
      <c r="AM94" s="226"/>
      <c r="AN94" s="226"/>
      <c r="AO94" s="226"/>
      <c r="AP94" s="226"/>
      <c r="AQ94" s="226"/>
      <c r="AR94" s="226"/>
      <c r="AS94" s="226"/>
      <c r="AT94" s="226"/>
      <c r="AU94" s="226"/>
      <c r="AV94" s="226"/>
      <c r="AW94" s="226"/>
      <c r="AX94" s="226"/>
      <c r="AY94" s="226"/>
      <c r="AZ94" s="226"/>
      <c r="BA94" s="226"/>
      <c r="BB94" s="226"/>
      <c r="BC94" s="226"/>
      <c r="BD94" s="226"/>
      <c r="BE94" s="226"/>
      <c r="BF94" s="226"/>
      <c r="BG94" s="226"/>
      <c r="BH94" s="226"/>
    </row>
    <row r="95" outlineLevel="1" ht="22.5">
      <c r="A95" s="237">
        <v>81</v>
      </c>
      <c r="B95" s="238" t="s">
        <v>819</v>
      </c>
      <c r="C95" s="239" t="s">
        <v>820</v>
      </c>
      <c r="D95" s="240" t="s">
        <v>320</v>
      </c>
      <c r="E95" s="241">
        <v>10</v>
      </c>
      <c r="F95" s="242"/>
      <c r="G95" s="243">
        <f>ROUND(E95*F95,2)</f>
        <v>0</v>
      </c>
      <c r="H95" s="223"/>
      <c r="I95" s="224">
        <f>ROUND(E95*H95,2)</f>
        <v>0</v>
      </c>
      <c r="J95" s="223"/>
      <c r="K95" s="224">
        <f>ROUND(E95*J95,2)</f>
        <v>0</v>
      </c>
      <c r="L95" s="224">
        <v>21</v>
      </c>
      <c r="M95" s="224">
        <f>G95*(1+L95/100)</f>
        <v>0</v>
      </c>
      <c r="N95" s="225">
        <v>0</v>
      </c>
      <c r="O95" s="225">
        <f>ROUND(E95*N95,2)</f>
        <v>0</v>
      </c>
      <c r="P95" s="225">
        <v>0</v>
      </c>
      <c r="Q95" s="225">
        <f>ROUND(E95*P95,2)</f>
        <v>0</v>
      </c>
      <c r="R95" s="224"/>
      <c r="S95" s="224" t="s">
        <v>208</v>
      </c>
      <c r="T95" s="224" t="s">
        <v>209</v>
      </c>
      <c r="U95" s="224">
        <v>0</v>
      </c>
      <c r="V95" s="224">
        <f>ROUND(E95*U95,2)</f>
        <v>0</v>
      </c>
      <c r="W95" s="224"/>
      <c r="X95" s="224" t="s">
        <v>210</v>
      </c>
      <c r="Y95" s="224" t="s">
        <v>211</v>
      </c>
      <c r="Z95" s="226"/>
      <c r="AA95" s="226"/>
      <c r="AB95" s="226"/>
      <c r="AC95" s="226"/>
      <c r="AD95" s="226"/>
      <c r="AE95" s="226"/>
      <c r="AF95" s="226"/>
      <c r="AG95" s="226" t="s">
        <v>321</v>
      </c>
      <c r="AH95" s="226"/>
      <c r="AI95" s="226"/>
      <c r="AJ95" s="226"/>
      <c r="AK95" s="226"/>
      <c r="AL95" s="226"/>
      <c r="AM95" s="226"/>
      <c r="AN95" s="226"/>
      <c r="AO95" s="226"/>
      <c r="AP95" s="226"/>
      <c r="AQ95" s="226"/>
      <c r="AR95" s="226"/>
      <c r="AS95" s="226"/>
      <c r="AT95" s="226"/>
      <c r="AU95" s="226"/>
      <c r="AV95" s="226"/>
      <c r="AW95" s="226"/>
      <c r="AX95" s="226"/>
      <c r="AY95" s="226"/>
      <c r="AZ95" s="226"/>
      <c r="BA95" s="226"/>
      <c r="BB95" s="226"/>
      <c r="BC95" s="226"/>
      <c r="BD95" s="226"/>
      <c r="BE95" s="226"/>
      <c r="BF95" s="226"/>
      <c r="BG95" s="226"/>
      <c r="BH95" s="226"/>
    </row>
    <row r="96" outlineLevel="1">
      <c r="A96" s="237">
        <v>82</v>
      </c>
      <c r="B96" s="238" t="s">
        <v>821</v>
      </c>
      <c r="C96" s="239" t="s">
        <v>822</v>
      </c>
      <c r="D96" s="240" t="s">
        <v>747</v>
      </c>
      <c r="E96" s="241">
        <v>10</v>
      </c>
      <c r="F96" s="242"/>
      <c r="G96" s="243">
        <f>ROUND(E96*F96,2)</f>
        <v>0</v>
      </c>
      <c r="H96" s="223"/>
      <c r="I96" s="224">
        <f>ROUND(E96*H96,2)</f>
        <v>0</v>
      </c>
      <c r="J96" s="223"/>
      <c r="K96" s="224">
        <f>ROUND(E96*J96,2)</f>
        <v>0</v>
      </c>
      <c r="L96" s="224">
        <v>21</v>
      </c>
      <c r="M96" s="224">
        <f>G96*(1+L96/100)</f>
        <v>0</v>
      </c>
      <c r="N96" s="225">
        <v>0</v>
      </c>
      <c r="O96" s="225">
        <f>ROUND(E96*N96,2)</f>
        <v>0</v>
      </c>
      <c r="P96" s="225">
        <v>0</v>
      </c>
      <c r="Q96" s="225">
        <f>ROUND(E96*P96,2)</f>
        <v>0</v>
      </c>
      <c r="R96" s="224"/>
      <c r="S96" s="224" t="s">
        <v>208</v>
      </c>
      <c r="T96" s="224" t="s">
        <v>209</v>
      </c>
      <c r="U96" s="224">
        <v>0</v>
      </c>
      <c r="V96" s="224">
        <f>ROUND(E96*U96,2)</f>
        <v>0</v>
      </c>
      <c r="W96" s="224"/>
      <c r="X96" s="224" t="s">
        <v>230</v>
      </c>
      <c r="Y96" s="224" t="s">
        <v>211</v>
      </c>
      <c r="Z96" s="226"/>
      <c r="AA96" s="226"/>
      <c r="AB96" s="226"/>
      <c r="AC96" s="226"/>
      <c r="AD96" s="226"/>
      <c r="AE96" s="226"/>
      <c r="AF96" s="226"/>
      <c r="AG96" s="226" t="s">
        <v>231</v>
      </c>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row>
    <row r="97" outlineLevel="1" ht="22.5">
      <c r="A97" s="237">
        <v>83</v>
      </c>
      <c r="B97" s="238" t="s">
        <v>823</v>
      </c>
      <c r="C97" s="239" t="s">
        <v>824</v>
      </c>
      <c r="D97" s="240" t="s">
        <v>280</v>
      </c>
      <c r="E97" s="241">
        <v>1</v>
      </c>
      <c r="F97" s="242"/>
      <c r="G97" s="243">
        <f>ROUND(E97*F97,2)</f>
        <v>0</v>
      </c>
      <c r="H97" s="223"/>
      <c r="I97" s="224">
        <f>ROUND(E97*H97,2)</f>
        <v>0</v>
      </c>
      <c r="J97" s="223"/>
      <c r="K97" s="224">
        <f>ROUND(E97*J97,2)</f>
        <v>0</v>
      </c>
      <c r="L97" s="224">
        <v>21</v>
      </c>
      <c r="M97" s="224">
        <f>G97*(1+L97/100)</f>
        <v>0</v>
      </c>
      <c r="N97" s="225">
        <v>0</v>
      </c>
      <c r="O97" s="225">
        <f>ROUND(E97*N97,2)</f>
        <v>0</v>
      </c>
      <c r="P97" s="225">
        <v>0</v>
      </c>
      <c r="Q97" s="225">
        <f>ROUND(E97*P97,2)</f>
        <v>0</v>
      </c>
      <c r="R97" s="224"/>
      <c r="S97" s="224" t="s">
        <v>208</v>
      </c>
      <c r="T97" s="224" t="s">
        <v>209</v>
      </c>
      <c r="U97" s="224">
        <v>0</v>
      </c>
      <c r="V97" s="224">
        <f>ROUND(E97*U97,2)</f>
        <v>0</v>
      </c>
      <c r="W97" s="224"/>
      <c r="X97" s="224" t="s">
        <v>210</v>
      </c>
      <c r="Y97" s="224" t="s">
        <v>211</v>
      </c>
      <c r="Z97" s="226"/>
      <c r="AA97" s="226"/>
      <c r="AB97" s="226"/>
      <c r="AC97" s="226"/>
      <c r="AD97" s="226"/>
      <c r="AE97" s="226"/>
      <c r="AF97" s="226"/>
      <c r="AG97" s="226" t="s">
        <v>321</v>
      </c>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row>
    <row r="98" outlineLevel="1">
      <c r="A98" s="237">
        <v>84</v>
      </c>
      <c r="B98" s="238" t="s">
        <v>825</v>
      </c>
      <c r="C98" s="239" t="s">
        <v>826</v>
      </c>
      <c r="D98" s="240" t="s">
        <v>666</v>
      </c>
      <c r="E98" s="241">
        <v>1</v>
      </c>
      <c r="F98" s="242"/>
      <c r="G98" s="243">
        <f>ROUND(E98*F98,2)</f>
        <v>0</v>
      </c>
      <c r="H98" s="223"/>
      <c r="I98" s="224">
        <f>ROUND(E98*H98,2)</f>
        <v>0</v>
      </c>
      <c r="J98" s="223"/>
      <c r="K98" s="224">
        <f>ROUND(E98*J98,2)</f>
        <v>0</v>
      </c>
      <c r="L98" s="224">
        <v>21</v>
      </c>
      <c r="M98" s="224">
        <f>G98*(1+L98/100)</f>
        <v>0</v>
      </c>
      <c r="N98" s="225">
        <v>0</v>
      </c>
      <c r="O98" s="225">
        <f>ROUND(E98*N98,2)</f>
        <v>0</v>
      </c>
      <c r="P98" s="225">
        <v>0</v>
      </c>
      <c r="Q98" s="225">
        <f>ROUND(E98*P98,2)</f>
        <v>0</v>
      </c>
      <c r="R98" s="224"/>
      <c r="S98" s="224" t="s">
        <v>208</v>
      </c>
      <c r="T98" s="224" t="s">
        <v>209</v>
      </c>
      <c r="U98" s="224">
        <v>0</v>
      </c>
      <c r="V98" s="224">
        <f>ROUND(E98*U98,2)</f>
        <v>0</v>
      </c>
      <c r="W98" s="224"/>
      <c r="X98" s="224" t="s">
        <v>230</v>
      </c>
      <c r="Y98" s="224" t="s">
        <v>211</v>
      </c>
      <c r="Z98" s="226"/>
      <c r="AA98" s="226"/>
      <c r="AB98" s="226"/>
      <c r="AC98" s="226"/>
      <c r="AD98" s="226"/>
      <c r="AE98" s="226"/>
      <c r="AF98" s="226"/>
      <c r="AG98" s="226" t="s">
        <v>231</v>
      </c>
      <c r="AH98" s="226"/>
      <c r="AI98" s="226"/>
      <c r="AJ98" s="226"/>
      <c r="AK98" s="226"/>
      <c r="AL98" s="226"/>
      <c r="AM98" s="226"/>
      <c r="AN98" s="226"/>
      <c r="AO98" s="226"/>
      <c r="AP98" s="226"/>
      <c r="AQ98" s="226"/>
      <c r="AR98" s="226"/>
      <c r="AS98" s="226"/>
      <c r="AT98" s="226"/>
      <c r="AU98" s="226"/>
      <c r="AV98" s="226"/>
      <c r="AW98" s="226"/>
      <c r="AX98" s="226"/>
      <c r="AY98" s="226"/>
      <c r="AZ98" s="226"/>
      <c r="BA98" s="226"/>
      <c r="BB98" s="226"/>
      <c r="BC98" s="226"/>
      <c r="BD98" s="226"/>
      <c r="BE98" s="226"/>
      <c r="BF98" s="226"/>
      <c r="BG98" s="226"/>
      <c r="BH98" s="226"/>
    </row>
    <row r="99" outlineLevel="1">
      <c r="A99" s="237">
        <v>85</v>
      </c>
      <c r="B99" s="238" t="s">
        <v>827</v>
      </c>
      <c r="C99" s="239" t="s">
        <v>828</v>
      </c>
      <c r="D99" s="240" t="s">
        <v>280</v>
      </c>
      <c r="E99" s="241">
        <v>10</v>
      </c>
      <c r="F99" s="242"/>
      <c r="G99" s="243">
        <f>ROUND(E99*F99,2)</f>
        <v>0</v>
      </c>
      <c r="H99" s="223"/>
      <c r="I99" s="224">
        <f>ROUND(E99*H99,2)</f>
        <v>0</v>
      </c>
      <c r="J99" s="223"/>
      <c r="K99" s="224">
        <f>ROUND(E99*J99,2)</f>
        <v>0</v>
      </c>
      <c r="L99" s="224">
        <v>21</v>
      </c>
      <c r="M99" s="224">
        <f>G99*(1+L99/100)</f>
        <v>0</v>
      </c>
      <c r="N99" s="225">
        <v>0</v>
      </c>
      <c r="O99" s="225">
        <f>ROUND(E99*N99,2)</f>
        <v>0</v>
      </c>
      <c r="P99" s="225">
        <v>0</v>
      </c>
      <c r="Q99" s="225">
        <f>ROUND(E99*P99,2)</f>
        <v>0</v>
      </c>
      <c r="R99" s="224"/>
      <c r="S99" s="224" t="s">
        <v>208</v>
      </c>
      <c r="T99" s="224" t="s">
        <v>209</v>
      </c>
      <c r="U99" s="224">
        <v>0</v>
      </c>
      <c r="V99" s="224">
        <f>ROUND(E99*U99,2)</f>
        <v>0</v>
      </c>
      <c r="W99" s="224"/>
      <c r="X99" s="224" t="s">
        <v>210</v>
      </c>
      <c r="Y99" s="224" t="s">
        <v>211</v>
      </c>
      <c r="Z99" s="226"/>
      <c r="AA99" s="226"/>
      <c r="AB99" s="226"/>
      <c r="AC99" s="226"/>
      <c r="AD99" s="226"/>
      <c r="AE99" s="226"/>
      <c r="AF99" s="226"/>
      <c r="AG99" s="226" t="s">
        <v>321</v>
      </c>
      <c r="AH99" s="226"/>
      <c r="AI99" s="226"/>
      <c r="AJ99" s="226"/>
      <c r="AK99" s="226"/>
      <c r="AL99" s="226"/>
      <c r="AM99" s="226"/>
      <c r="AN99" s="226"/>
      <c r="AO99" s="226"/>
      <c r="AP99" s="226"/>
      <c r="AQ99" s="226"/>
      <c r="AR99" s="226"/>
      <c r="AS99" s="226"/>
      <c r="AT99" s="226"/>
      <c r="AU99" s="226"/>
      <c r="AV99" s="226"/>
      <c r="AW99" s="226"/>
      <c r="AX99" s="226"/>
      <c r="AY99" s="226"/>
      <c r="AZ99" s="226"/>
      <c r="BA99" s="226"/>
      <c r="BB99" s="226"/>
      <c r="BC99" s="226"/>
      <c r="BD99" s="226"/>
      <c r="BE99" s="226"/>
      <c r="BF99" s="226"/>
      <c r="BG99" s="226"/>
      <c r="BH99" s="226"/>
    </row>
    <row r="100" outlineLevel="1">
      <c r="A100" s="237">
        <v>86</v>
      </c>
      <c r="B100" s="238" t="s">
        <v>829</v>
      </c>
      <c r="C100" s="239" t="s">
        <v>830</v>
      </c>
      <c r="D100" s="240" t="s">
        <v>280</v>
      </c>
      <c r="E100" s="241">
        <v>1</v>
      </c>
      <c r="F100" s="242"/>
      <c r="G100" s="243">
        <f>ROUND(E100*F100,2)</f>
        <v>0</v>
      </c>
      <c r="H100" s="223"/>
      <c r="I100" s="224">
        <f>ROUND(E100*H100,2)</f>
        <v>0</v>
      </c>
      <c r="J100" s="223"/>
      <c r="K100" s="224">
        <f>ROUND(E100*J100,2)</f>
        <v>0</v>
      </c>
      <c r="L100" s="224">
        <v>21</v>
      </c>
      <c r="M100" s="224">
        <f>G100*(1+L100/100)</f>
        <v>0</v>
      </c>
      <c r="N100" s="225">
        <v>0</v>
      </c>
      <c r="O100" s="225">
        <f>ROUND(E100*N100,2)</f>
        <v>0</v>
      </c>
      <c r="P100" s="225">
        <v>0</v>
      </c>
      <c r="Q100" s="225">
        <f>ROUND(E100*P100,2)</f>
        <v>0</v>
      </c>
      <c r="R100" s="224"/>
      <c r="S100" s="224" t="s">
        <v>208</v>
      </c>
      <c r="T100" s="224" t="s">
        <v>209</v>
      </c>
      <c r="U100" s="224">
        <v>0</v>
      </c>
      <c r="V100" s="224">
        <f>ROUND(E100*U100,2)</f>
        <v>0</v>
      </c>
      <c r="W100" s="224"/>
      <c r="X100" s="224" t="s">
        <v>210</v>
      </c>
      <c r="Y100" s="224" t="s">
        <v>211</v>
      </c>
      <c r="Z100" s="226"/>
      <c r="AA100" s="226"/>
      <c r="AB100" s="226"/>
      <c r="AC100" s="226"/>
      <c r="AD100" s="226"/>
      <c r="AE100" s="226"/>
      <c r="AF100" s="226"/>
      <c r="AG100" s="226" t="s">
        <v>321</v>
      </c>
      <c r="AH100" s="226"/>
      <c r="AI100" s="226"/>
      <c r="AJ100" s="226"/>
      <c r="AK100" s="226"/>
      <c r="AL100" s="226"/>
      <c r="AM100" s="226"/>
      <c r="AN100" s="226"/>
      <c r="AO100" s="226"/>
      <c r="AP100" s="226"/>
      <c r="AQ100" s="226"/>
      <c r="AR100" s="226"/>
      <c r="AS100" s="226"/>
      <c r="AT100" s="226"/>
      <c r="AU100" s="226"/>
      <c r="AV100" s="226"/>
      <c r="AW100" s="226"/>
      <c r="AX100" s="226"/>
      <c r="AY100" s="226"/>
      <c r="AZ100" s="226"/>
      <c r="BA100" s="226"/>
      <c r="BB100" s="226"/>
      <c r="BC100" s="226"/>
      <c r="BD100" s="226"/>
      <c r="BE100" s="226"/>
      <c r="BF100" s="226"/>
      <c r="BG100" s="226"/>
      <c r="BH100" s="226"/>
    </row>
    <row r="101" ht="25.5">
      <c r="A101" s="207" t="s">
        <v>203</v>
      </c>
      <c r="B101" s="208" t="s">
        <v>159</v>
      </c>
      <c r="C101" s="209" t="s">
        <v>160</v>
      </c>
      <c r="D101" s="210"/>
      <c r="E101" s="211"/>
      <c r="F101" s="212"/>
      <c r="G101" s="213">
        <f>SUMIF(AG102:AG103,"&lt;&gt;NOR",G102:G103)</f>
        <v>0</v>
      </c>
      <c r="H101" s="214"/>
      <c r="I101" s="214">
        <f>SUM(I102:I103)</f>
        <v>0</v>
      </c>
      <c r="J101" s="214"/>
      <c r="K101" s="214">
        <f>SUM(K102:K103)</f>
        <v>0</v>
      </c>
      <c r="L101" s="214"/>
      <c r="M101" s="214">
        <f>SUM(M102:M103)</f>
        <v>0</v>
      </c>
      <c r="N101" s="215"/>
      <c r="O101" s="215">
        <f>SUM(O102:O103)</f>
        <v>0</v>
      </c>
      <c r="P101" s="215"/>
      <c r="Q101" s="215">
        <f>SUM(Q102:Q103)</f>
        <v>0</v>
      </c>
      <c r="R101" s="214"/>
      <c r="S101" s="214"/>
      <c r="T101" s="214"/>
      <c r="U101" s="214"/>
      <c r="V101" s="214">
        <f>SUM(V102:V103)</f>
        <v>0</v>
      </c>
      <c r="W101" s="214"/>
      <c r="X101" s="214"/>
      <c r="Y101" s="214"/>
      <c r="AG101" t="s">
        <v>204</v>
      </c>
    </row>
    <row r="102" outlineLevel="1" ht="22.5">
      <c r="A102" s="237">
        <v>87</v>
      </c>
      <c r="B102" s="238" t="s">
        <v>831</v>
      </c>
      <c r="C102" s="239" t="s">
        <v>832</v>
      </c>
      <c r="D102" s="240" t="s">
        <v>280</v>
      </c>
      <c r="E102" s="241">
        <v>1</v>
      </c>
      <c r="F102" s="242"/>
      <c r="G102" s="243">
        <f>ROUND(E102*F102,2)</f>
        <v>0</v>
      </c>
      <c r="H102" s="223"/>
      <c r="I102" s="224">
        <f>ROUND(E102*H102,2)</f>
        <v>0</v>
      </c>
      <c r="J102" s="223"/>
      <c r="K102" s="224">
        <f>ROUND(E102*J102,2)</f>
        <v>0</v>
      </c>
      <c r="L102" s="224">
        <v>21</v>
      </c>
      <c r="M102" s="224">
        <f>G102*(1+L102/100)</f>
        <v>0</v>
      </c>
      <c r="N102" s="225">
        <v>0</v>
      </c>
      <c r="O102" s="225">
        <f>ROUND(E102*N102,2)</f>
        <v>0</v>
      </c>
      <c r="P102" s="225">
        <v>0</v>
      </c>
      <c r="Q102" s="225">
        <f>ROUND(E102*P102,2)</f>
        <v>0</v>
      </c>
      <c r="R102" s="224"/>
      <c r="S102" s="224" t="s">
        <v>208</v>
      </c>
      <c r="T102" s="224" t="s">
        <v>209</v>
      </c>
      <c r="U102" s="224">
        <v>0</v>
      </c>
      <c r="V102" s="224">
        <f>ROUND(E102*U102,2)</f>
        <v>0</v>
      </c>
      <c r="W102" s="224"/>
      <c r="X102" s="224" t="s">
        <v>210</v>
      </c>
      <c r="Y102" s="224" t="s">
        <v>211</v>
      </c>
      <c r="Z102" s="226"/>
      <c r="AA102" s="226"/>
      <c r="AB102" s="226"/>
      <c r="AC102" s="226"/>
      <c r="AD102" s="226"/>
      <c r="AE102" s="226"/>
      <c r="AF102" s="226"/>
      <c r="AG102" s="226" t="s">
        <v>321</v>
      </c>
      <c r="AH102" s="226"/>
      <c r="AI102" s="226"/>
      <c r="AJ102" s="226"/>
      <c r="AK102" s="226"/>
      <c r="AL102" s="226"/>
      <c r="AM102" s="226"/>
      <c r="AN102" s="226"/>
      <c r="AO102" s="226"/>
      <c r="AP102" s="226"/>
      <c r="AQ102" s="226"/>
      <c r="AR102" s="226"/>
      <c r="AS102" s="226"/>
      <c r="AT102" s="226"/>
      <c r="AU102" s="226"/>
      <c r="AV102" s="226"/>
      <c r="AW102" s="226"/>
      <c r="AX102" s="226"/>
      <c r="AY102" s="226"/>
      <c r="AZ102" s="226"/>
      <c r="BA102" s="226"/>
      <c r="BB102" s="226"/>
      <c r="BC102" s="226"/>
      <c r="BD102" s="226"/>
      <c r="BE102" s="226"/>
      <c r="BF102" s="226"/>
      <c r="BG102" s="226"/>
      <c r="BH102" s="226"/>
    </row>
    <row r="103" outlineLevel="1" ht="22.5">
      <c r="A103" s="216">
        <v>88</v>
      </c>
      <c r="B103" s="217" t="s">
        <v>833</v>
      </c>
      <c r="C103" s="218" t="s">
        <v>834</v>
      </c>
      <c r="D103" s="219" t="s">
        <v>698</v>
      </c>
      <c r="E103" s="220">
        <v>1</v>
      </c>
      <c r="F103" s="221"/>
      <c r="G103" s="222">
        <f>ROUND(E103*F103,2)</f>
        <v>0</v>
      </c>
      <c r="H103" s="223"/>
      <c r="I103" s="224">
        <f>ROUND(E103*H103,2)</f>
        <v>0</v>
      </c>
      <c r="J103" s="223"/>
      <c r="K103" s="224">
        <f>ROUND(E103*J103,2)</f>
        <v>0</v>
      </c>
      <c r="L103" s="224">
        <v>21</v>
      </c>
      <c r="M103" s="224">
        <f>G103*(1+L103/100)</f>
        <v>0</v>
      </c>
      <c r="N103" s="225">
        <v>0</v>
      </c>
      <c r="O103" s="225">
        <f>ROUND(E103*N103,2)</f>
        <v>0</v>
      </c>
      <c r="P103" s="225">
        <v>0</v>
      </c>
      <c r="Q103" s="225">
        <f>ROUND(E103*P103,2)</f>
        <v>0</v>
      </c>
      <c r="R103" s="224"/>
      <c r="S103" s="224" t="s">
        <v>208</v>
      </c>
      <c r="T103" s="224" t="s">
        <v>209</v>
      </c>
      <c r="U103" s="224">
        <v>0</v>
      </c>
      <c r="V103" s="224">
        <f>ROUND(E103*U103,2)</f>
        <v>0</v>
      </c>
      <c r="W103" s="224"/>
      <c r="X103" s="224" t="s">
        <v>230</v>
      </c>
      <c r="Y103" s="224" t="s">
        <v>211</v>
      </c>
      <c r="Z103" s="226"/>
      <c r="AA103" s="226"/>
      <c r="AB103" s="226"/>
      <c r="AC103" s="226"/>
      <c r="AD103" s="226"/>
      <c r="AE103" s="226"/>
      <c r="AF103" s="226"/>
      <c r="AG103" s="226" t="s">
        <v>231</v>
      </c>
      <c r="AH103" s="226"/>
      <c r="AI103" s="226"/>
      <c r="AJ103" s="226"/>
      <c r="AK103" s="226"/>
      <c r="AL103" s="226"/>
      <c r="AM103" s="226"/>
      <c r="AN103" s="226"/>
      <c r="AO103" s="226"/>
      <c r="AP103" s="226"/>
      <c r="AQ103" s="226"/>
      <c r="AR103" s="226"/>
      <c r="AS103" s="226"/>
      <c r="AT103" s="226"/>
      <c r="AU103" s="226"/>
      <c r="AV103" s="226"/>
      <c r="AW103" s="226"/>
      <c r="AX103" s="226"/>
      <c r="AY103" s="226"/>
      <c r="AZ103" s="226"/>
      <c r="BA103" s="226"/>
      <c r="BB103" s="226"/>
      <c r="BC103" s="226"/>
      <c r="BD103" s="226"/>
      <c r="BE103" s="226"/>
      <c r="BF103" s="226"/>
      <c r="BG103" s="226"/>
      <c r="BH103" s="226"/>
    </row>
    <row r="104">
      <c r="A104" s="180"/>
      <c r="B104" s="188"/>
      <c r="C104" s="244"/>
      <c r="D104" s="190"/>
      <c r="E104" s="180"/>
      <c r="F104" s="180"/>
      <c r="G104" s="180"/>
      <c r="H104" s="180"/>
      <c r="I104" s="180"/>
      <c r="J104" s="180"/>
      <c r="K104" s="180"/>
      <c r="L104" s="180"/>
      <c r="M104" s="180"/>
      <c r="N104" s="180"/>
      <c r="O104" s="180"/>
      <c r="P104" s="180"/>
      <c r="Q104" s="180"/>
      <c r="R104" s="180"/>
      <c r="S104" s="180"/>
      <c r="T104" s="180"/>
      <c r="U104" s="180"/>
      <c r="V104" s="180"/>
      <c r="W104" s="180"/>
      <c r="X104" s="180"/>
      <c r="Y104" s="180"/>
      <c r="AE104">
        <v>12</v>
      </c>
      <c r="AF104">
        <v>21</v>
      </c>
      <c r="AG104" t="s">
        <v>189</v>
      </c>
    </row>
    <row r="105">
      <c r="A105" s="245"/>
      <c r="B105" s="246" t="s">
        <v>26</v>
      </c>
      <c r="C105" s="247"/>
      <c r="D105" s="248"/>
      <c r="E105" s="249"/>
      <c r="F105" s="249"/>
      <c r="G105" s="250">
        <f>G8+G68+G71+G77+G79+G89+G92+G101</f>
        <v>0</v>
      </c>
      <c r="H105" s="180"/>
      <c r="I105" s="180"/>
      <c r="J105" s="180"/>
      <c r="K105" s="180"/>
      <c r="L105" s="180"/>
      <c r="M105" s="180"/>
      <c r="N105" s="180"/>
      <c r="O105" s="180"/>
      <c r="P105" s="180"/>
      <c r="Q105" s="180"/>
      <c r="R105" s="180"/>
      <c r="S105" s="180"/>
      <c r="T105" s="180"/>
      <c r="U105" s="180"/>
      <c r="V105" s="180"/>
      <c r="W105" s="180"/>
      <c r="X105" s="180"/>
      <c r="Y105" s="180"/>
      <c r="AE105">
        <f>SUMIF(L7:L103,AE104,G7:G103)</f>
        <v>0</v>
      </c>
      <c r="AF105">
        <f>SUMIF(L7:L103,AF104,G7:G103)</f>
        <v>0</v>
      </c>
      <c r="AG105" t="s">
        <v>389</v>
      </c>
    </row>
    <row r="106">
      <c r="A106" s="275" t="s">
        <v>654</v>
      </c>
      <c r="B106" s="275"/>
      <c r="C106" s="244"/>
      <c r="D106" s="190"/>
      <c r="E106" s="180"/>
      <c r="F106" s="180"/>
      <c r="G106" s="180"/>
      <c r="H106" s="180"/>
      <c r="I106" s="180"/>
      <c r="J106" s="180"/>
      <c r="K106" s="180"/>
      <c r="L106" s="180"/>
      <c r="M106" s="180"/>
      <c r="N106" s="180"/>
      <c r="O106" s="180"/>
      <c r="P106" s="180"/>
      <c r="Q106" s="180"/>
      <c r="R106" s="180"/>
      <c r="S106" s="180"/>
      <c r="T106" s="180"/>
      <c r="U106" s="180"/>
      <c r="V106" s="180"/>
      <c r="W106" s="180"/>
      <c r="X106" s="180"/>
      <c r="Y106" s="180"/>
    </row>
    <row r="107">
      <c r="A107" s="180"/>
      <c r="B107" s="188" t="s">
        <v>655</v>
      </c>
      <c r="C107" s="244" t="s">
        <v>656</v>
      </c>
      <c r="D107" s="190"/>
      <c r="E107" s="180"/>
      <c r="F107" s="180"/>
      <c r="G107" s="180"/>
      <c r="H107" s="180"/>
      <c r="I107" s="180"/>
      <c r="J107" s="180"/>
      <c r="K107" s="180"/>
      <c r="L107" s="180"/>
      <c r="M107" s="180"/>
      <c r="N107" s="180"/>
      <c r="O107" s="180"/>
      <c r="P107" s="180"/>
      <c r="Q107" s="180"/>
      <c r="R107" s="180"/>
      <c r="S107" s="180"/>
      <c r="T107" s="180"/>
      <c r="U107" s="180"/>
      <c r="V107" s="180"/>
      <c r="W107" s="180"/>
      <c r="X107" s="180"/>
      <c r="Y107" s="180"/>
      <c r="AG107" t="s">
        <v>657</v>
      </c>
    </row>
    <row r="108" ht="25.5">
      <c r="A108" s="180"/>
      <c r="B108" s="188" t="s">
        <v>658</v>
      </c>
      <c r="C108" s="244" t="s">
        <v>659</v>
      </c>
      <c r="D108" s="190"/>
      <c r="E108" s="180"/>
      <c r="F108" s="180"/>
      <c r="G108" s="180"/>
      <c r="H108" s="180"/>
      <c r="I108" s="180"/>
      <c r="J108" s="180"/>
      <c r="K108" s="180"/>
      <c r="L108" s="180"/>
      <c r="M108" s="180"/>
      <c r="N108" s="180"/>
      <c r="O108" s="180"/>
      <c r="P108" s="180"/>
      <c r="Q108" s="180"/>
      <c r="R108" s="180"/>
      <c r="S108" s="180"/>
      <c r="T108" s="180"/>
      <c r="U108" s="180"/>
      <c r="V108" s="180"/>
      <c r="W108" s="180"/>
      <c r="X108" s="180"/>
      <c r="Y108" s="180"/>
      <c r="AG108" t="s">
        <v>660</v>
      </c>
    </row>
    <row r="109">
      <c r="A109" s="180"/>
      <c r="B109" s="188"/>
      <c r="C109" s="244" t="s">
        <v>505</v>
      </c>
      <c r="D109" s="190"/>
      <c r="E109" s="180"/>
      <c r="F109" s="180"/>
      <c r="G109" s="180"/>
      <c r="H109" s="180"/>
      <c r="I109" s="180"/>
      <c r="J109" s="180"/>
      <c r="K109" s="180"/>
      <c r="L109" s="180"/>
      <c r="M109" s="180"/>
      <c r="N109" s="180"/>
      <c r="O109" s="180"/>
      <c r="P109" s="180"/>
      <c r="Q109" s="180"/>
      <c r="R109" s="180"/>
      <c r="S109" s="180"/>
      <c r="T109" s="180"/>
      <c r="U109" s="180"/>
      <c r="V109" s="180"/>
      <c r="W109" s="180"/>
      <c r="X109" s="180"/>
      <c r="Y109" s="180"/>
      <c r="AG109" t="s">
        <v>661</v>
      </c>
    </row>
    <row r="110">
      <c r="A110" s="180"/>
      <c r="B110" s="188"/>
      <c r="C110" s="244"/>
      <c r="D110" s="190"/>
      <c r="E110" s="180"/>
      <c r="F110" s="180"/>
      <c r="G110" s="180"/>
      <c r="H110" s="180"/>
      <c r="I110" s="180"/>
      <c r="J110" s="180"/>
      <c r="K110" s="180"/>
      <c r="L110" s="180"/>
      <c r="M110" s="180"/>
      <c r="N110" s="180"/>
      <c r="O110" s="180"/>
      <c r="P110" s="180"/>
      <c r="Q110" s="180"/>
      <c r="R110" s="180"/>
      <c r="S110" s="180"/>
      <c r="T110" s="180"/>
      <c r="U110" s="180"/>
      <c r="V110" s="180"/>
      <c r="W110" s="180"/>
      <c r="X110" s="180"/>
      <c r="Y110" s="180"/>
    </row>
    <row r="111">
      <c r="A111" s="180"/>
      <c r="B111" s="188"/>
      <c r="C111" s="244"/>
      <c r="D111" s="190"/>
      <c r="E111" s="180"/>
      <c r="F111" s="180"/>
      <c r="G111" s="180"/>
      <c r="H111" s="180"/>
      <c r="I111" s="180"/>
      <c r="J111" s="180"/>
      <c r="K111" s="180"/>
      <c r="L111" s="180"/>
      <c r="M111" s="180"/>
      <c r="N111" s="180"/>
      <c r="O111" s="180"/>
      <c r="P111" s="180"/>
      <c r="Q111" s="180"/>
      <c r="R111" s="180"/>
      <c r="S111" s="180"/>
      <c r="T111" s="180"/>
      <c r="U111" s="180"/>
      <c r="V111" s="180"/>
      <c r="W111" s="180"/>
      <c r="X111" s="180"/>
      <c r="Y111" s="180"/>
    </row>
    <row r="112">
      <c r="A112" s="180"/>
      <c r="B112" s="188"/>
      <c r="C112" s="244"/>
      <c r="D112" s="190"/>
      <c r="E112" s="180"/>
      <c r="F112" s="180"/>
      <c r="G112" s="180"/>
      <c r="H112" s="180"/>
      <c r="I112" s="180"/>
      <c r="J112" s="180"/>
      <c r="K112" s="180"/>
      <c r="L112" s="180"/>
      <c r="M112" s="180"/>
      <c r="N112" s="180"/>
      <c r="O112" s="180"/>
      <c r="P112" s="180"/>
      <c r="Q112" s="180"/>
      <c r="R112" s="180"/>
      <c r="S112" s="180"/>
      <c r="T112" s="180"/>
      <c r="U112" s="180"/>
      <c r="V112" s="180"/>
      <c r="W112" s="180"/>
      <c r="X112" s="180"/>
      <c r="Y112" s="180"/>
    </row>
    <row r="113">
      <c r="A113" s="180" t="s">
        <v>390</v>
      </c>
      <c r="B113" s="180"/>
      <c r="C113" s="251"/>
      <c r="D113" s="190"/>
      <c r="E113" s="180"/>
      <c r="F113" s="180"/>
      <c r="G113" s="180"/>
      <c r="H113" s="180"/>
      <c r="I113" s="180"/>
      <c r="J113" s="180"/>
      <c r="K113" s="180"/>
      <c r="L113" s="180"/>
      <c r="M113" s="180"/>
      <c r="N113" s="180"/>
      <c r="O113" s="180"/>
      <c r="P113" s="180"/>
      <c r="Q113" s="180"/>
      <c r="R113" s="180"/>
      <c r="S113" s="180"/>
      <c r="T113" s="180"/>
      <c r="U113" s="180"/>
      <c r="V113" s="180"/>
      <c r="W113" s="180"/>
      <c r="X113" s="180"/>
      <c r="Y113" s="180"/>
    </row>
    <row r="114">
      <c r="A114" s="252"/>
      <c r="B114" s="253"/>
      <c r="C114" s="254"/>
      <c r="D114" s="253"/>
      <c r="E114" s="253"/>
      <c r="F114" s="253"/>
      <c r="G114" s="255"/>
      <c r="H114" s="180"/>
      <c r="I114" s="180"/>
      <c r="J114" s="180"/>
      <c r="K114" s="180"/>
      <c r="L114" s="180"/>
      <c r="M114" s="180"/>
      <c r="N114" s="180"/>
      <c r="O114" s="180"/>
      <c r="P114" s="180"/>
      <c r="Q114" s="180"/>
      <c r="R114" s="180"/>
      <c r="S114" s="180"/>
      <c r="T114" s="180"/>
      <c r="U114" s="180"/>
      <c r="V114" s="180"/>
      <c r="W114" s="180"/>
      <c r="X114" s="180"/>
      <c r="Y114" s="180"/>
      <c r="AG114" t="s">
        <v>391</v>
      </c>
    </row>
    <row r="115">
      <c r="A115" s="256"/>
      <c r="B115" s="257"/>
      <c r="C115" s="258"/>
      <c r="D115" s="257"/>
      <c r="E115" s="257"/>
      <c r="F115" s="257"/>
      <c r="G115" s="259"/>
      <c r="H115" s="180"/>
      <c r="I115" s="180"/>
      <c r="J115" s="180"/>
      <c r="K115" s="180"/>
      <c r="L115" s="180"/>
      <c r="M115" s="180"/>
      <c r="N115" s="180"/>
      <c r="O115" s="180"/>
      <c r="P115" s="180"/>
      <c r="Q115" s="180"/>
      <c r="R115" s="180"/>
      <c r="S115" s="180"/>
      <c r="T115" s="180"/>
      <c r="U115" s="180"/>
      <c r="V115" s="180"/>
      <c r="W115" s="180"/>
      <c r="X115" s="180"/>
      <c r="Y115" s="180"/>
    </row>
    <row r="116">
      <c r="A116" s="256"/>
      <c r="B116" s="257"/>
      <c r="C116" s="258"/>
      <c r="D116" s="257"/>
      <c r="E116" s="257"/>
      <c r="F116" s="257"/>
      <c r="G116" s="259"/>
      <c r="H116" s="180"/>
      <c r="I116" s="180"/>
      <c r="J116" s="180"/>
      <c r="K116" s="180"/>
      <c r="L116" s="180"/>
      <c r="M116" s="180"/>
      <c r="N116" s="180"/>
      <c r="O116" s="180"/>
      <c r="P116" s="180"/>
      <c r="Q116" s="180"/>
      <c r="R116" s="180"/>
      <c r="S116" s="180"/>
      <c r="T116" s="180"/>
      <c r="U116" s="180"/>
      <c r="V116" s="180"/>
      <c r="W116" s="180"/>
      <c r="X116" s="180"/>
      <c r="Y116" s="180"/>
    </row>
    <row r="117">
      <c r="A117" s="256"/>
      <c r="B117" s="257"/>
      <c r="C117" s="258"/>
      <c r="D117" s="257"/>
      <c r="E117" s="257"/>
      <c r="F117" s="257"/>
      <c r="G117" s="259"/>
      <c r="H117" s="180"/>
      <c r="I117" s="180"/>
      <c r="J117" s="180"/>
      <c r="K117" s="180"/>
      <c r="L117" s="180"/>
      <c r="M117" s="180"/>
      <c r="N117" s="180"/>
      <c r="O117" s="180"/>
      <c r="P117" s="180"/>
      <c r="Q117" s="180"/>
      <c r="R117" s="180"/>
      <c r="S117" s="180"/>
      <c r="T117" s="180"/>
      <c r="U117" s="180"/>
      <c r="V117" s="180"/>
      <c r="W117" s="180"/>
      <c r="X117" s="180"/>
      <c r="Y117" s="180"/>
    </row>
    <row r="118">
      <c r="A118" s="260"/>
      <c r="B118" s="261"/>
      <c r="C118" s="262"/>
      <c r="D118" s="261"/>
      <c r="E118" s="261"/>
      <c r="F118" s="261"/>
      <c r="G118" s="263"/>
      <c r="H118" s="180"/>
      <c r="I118" s="180"/>
      <c r="J118" s="180"/>
      <c r="K118" s="180"/>
      <c r="L118" s="180"/>
      <c r="M118" s="180"/>
      <c r="N118" s="180"/>
      <c r="O118" s="180"/>
      <c r="P118" s="180"/>
      <c r="Q118" s="180"/>
      <c r="R118" s="180"/>
      <c r="S118" s="180"/>
      <c r="T118" s="180"/>
      <c r="U118" s="180"/>
      <c r="V118" s="180"/>
      <c r="W118" s="180"/>
      <c r="X118" s="180"/>
      <c r="Y118" s="180"/>
    </row>
    <row r="119">
      <c r="A119" s="180"/>
      <c r="B119" s="188"/>
      <c r="C119" s="244"/>
      <c r="D119" s="190"/>
      <c r="E119" s="180"/>
      <c r="F119" s="180"/>
      <c r="G119" s="180"/>
      <c r="H119" s="180"/>
      <c r="I119" s="180"/>
      <c r="J119" s="180"/>
      <c r="K119" s="180"/>
      <c r="L119" s="180"/>
      <c r="M119" s="180"/>
      <c r="N119" s="180"/>
      <c r="O119" s="180"/>
      <c r="P119" s="180"/>
      <c r="Q119" s="180"/>
      <c r="R119" s="180"/>
      <c r="S119" s="180"/>
      <c r="T119" s="180"/>
      <c r="U119" s="180"/>
      <c r="V119" s="180"/>
      <c r="W119" s="180"/>
      <c r="X119" s="180"/>
      <c r="Y119" s="180"/>
    </row>
    <row r="120">
      <c r="C120" s="264"/>
      <c r="D120" s="123"/>
      <c r="AG120" t="s">
        <v>392</v>
      </c>
    </row>
    <row r="121">
      <c r="D121" s="123"/>
    </row>
    <row r="122">
      <c r="D122" s="123"/>
    </row>
    <row r="123">
      <c r="D123" s="123"/>
    </row>
    <row r="124">
      <c r="D124" s="123"/>
    </row>
    <row r="125">
      <c r="D125" s="123"/>
    </row>
    <row r="126">
      <c r="D126" s="123"/>
    </row>
    <row r="127">
      <c r="D127" s="123"/>
    </row>
    <row r="128">
      <c r="D128" s="123"/>
    </row>
    <row r="129">
      <c r="D129" s="123"/>
    </row>
    <row r="130">
      <c r="D130" s="123"/>
    </row>
    <row r="131">
      <c r="D131" s="123"/>
    </row>
    <row r="132">
      <c r="D132" s="123"/>
    </row>
    <row r="133">
      <c r="D133" s="123"/>
    </row>
    <row r="134">
      <c r="D134" s="123"/>
    </row>
    <row r="135">
      <c r="D135" s="123"/>
    </row>
    <row r="136">
      <c r="D136" s="123"/>
    </row>
    <row r="137">
      <c r="D137" s="123"/>
    </row>
    <row r="138">
      <c r="D138" s="123"/>
    </row>
    <row r="139">
      <c r="D139" s="123"/>
    </row>
    <row r="140">
      <c r="D140" s="123"/>
    </row>
    <row r="141">
      <c r="D141" s="123"/>
    </row>
    <row r="142">
      <c r="D142" s="123"/>
    </row>
    <row r="143">
      <c r="D143" s="123"/>
    </row>
    <row r="144">
      <c r="D144" s="123"/>
    </row>
    <row r="145">
      <c r="D145" s="123"/>
    </row>
    <row r="146">
      <c r="D146" s="123"/>
    </row>
    <row r="147">
      <c r="D147" s="123"/>
    </row>
    <row r="148">
      <c r="D148" s="123"/>
    </row>
    <row r="149">
      <c r="D149" s="123"/>
    </row>
    <row r="150">
      <c r="D150" s="123"/>
    </row>
    <row r="151">
      <c r="D151" s="123"/>
    </row>
    <row r="152">
      <c r="D152" s="123"/>
    </row>
    <row r="153">
      <c r="D153" s="123"/>
    </row>
    <row r="154">
      <c r="D154" s="123"/>
    </row>
    <row r="155">
      <c r="D155" s="123"/>
    </row>
    <row r="156">
      <c r="D156" s="123"/>
    </row>
    <row r="157">
      <c r="D157" s="123"/>
    </row>
    <row r="158">
      <c r="D158" s="123"/>
    </row>
    <row r="159">
      <c r="D159" s="123"/>
    </row>
    <row r="160">
      <c r="D160" s="123"/>
    </row>
    <row r="161">
      <c r="D161" s="123"/>
    </row>
    <row r="162">
      <c r="D162" s="123"/>
    </row>
    <row r="163">
      <c r="D163" s="123"/>
    </row>
    <row r="164">
      <c r="D164" s="123"/>
    </row>
    <row r="165">
      <c r="D165" s="123"/>
    </row>
    <row r="166">
      <c r="D166" s="123"/>
    </row>
    <row r="167">
      <c r="D167" s="123"/>
    </row>
    <row r="168">
      <c r="D168" s="123"/>
    </row>
    <row r="169">
      <c r="D169" s="123"/>
    </row>
    <row r="170">
      <c r="D170" s="123"/>
    </row>
    <row r="171">
      <c r="D171" s="123"/>
    </row>
    <row r="172">
      <c r="D172" s="123"/>
    </row>
    <row r="173">
      <c r="D173" s="123"/>
    </row>
    <row r="174">
      <c r="D174" s="123"/>
    </row>
    <row r="175">
      <c r="D175" s="123"/>
    </row>
    <row r="176">
      <c r="D176" s="123"/>
    </row>
    <row r="177">
      <c r="D177" s="123"/>
    </row>
    <row r="178">
      <c r="D178" s="123"/>
    </row>
    <row r="179">
      <c r="D179" s="123"/>
    </row>
    <row r="180">
      <c r="D180" s="123"/>
    </row>
    <row r="181">
      <c r="D181" s="123"/>
    </row>
    <row r="182">
      <c r="D182" s="123"/>
    </row>
    <row r="183">
      <c r="D183" s="123"/>
    </row>
    <row r="184">
      <c r="D184" s="123"/>
    </row>
    <row r="185">
      <c r="D185" s="123"/>
    </row>
    <row r="186">
      <c r="D186" s="123"/>
    </row>
    <row r="187">
      <c r="D187" s="123"/>
    </row>
    <row r="188">
      <c r="D188" s="123"/>
    </row>
    <row r="189">
      <c r="D189" s="123"/>
    </row>
    <row r="190">
      <c r="D190" s="123"/>
    </row>
    <row r="191">
      <c r="D191" s="123"/>
    </row>
    <row r="192">
      <c r="D192" s="123"/>
    </row>
    <row r="193">
      <c r="D193" s="123"/>
    </row>
    <row r="194">
      <c r="D194" s="123"/>
    </row>
    <row r="195">
      <c r="D195" s="123"/>
    </row>
    <row r="196">
      <c r="D196" s="123"/>
    </row>
    <row r="197">
      <c r="D197" s="123"/>
    </row>
    <row r="198">
      <c r="D198" s="123"/>
    </row>
    <row r="199">
      <c r="D199" s="123"/>
    </row>
    <row r="200">
      <c r="D200" s="123"/>
    </row>
    <row r="201">
      <c r="D201" s="123"/>
    </row>
    <row r="202">
      <c r="D202" s="123"/>
    </row>
    <row r="203">
      <c r="D203" s="123"/>
    </row>
    <row r="204">
      <c r="D204" s="123"/>
    </row>
    <row r="205">
      <c r="D205" s="123"/>
    </row>
    <row r="206">
      <c r="D206" s="123"/>
    </row>
    <row r="207">
      <c r="D207" s="123"/>
    </row>
    <row r="208">
      <c r="D208" s="123"/>
    </row>
    <row r="209">
      <c r="D209" s="123"/>
    </row>
    <row r="210">
      <c r="D210" s="123"/>
    </row>
    <row r="211">
      <c r="D211" s="123"/>
    </row>
    <row r="212">
      <c r="D212" s="123"/>
    </row>
    <row r="213">
      <c r="D213" s="123"/>
    </row>
    <row r="214">
      <c r="D214" s="123"/>
    </row>
    <row r="215">
      <c r="D215" s="123"/>
    </row>
    <row r="216">
      <c r="D216" s="123"/>
    </row>
    <row r="217">
      <c r="D217" s="123"/>
    </row>
    <row r="218">
      <c r="D218" s="123"/>
    </row>
    <row r="219">
      <c r="D219" s="123"/>
    </row>
    <row r="220">
      <c r="D220" s="123"/>
    </row>
    <row r="221">
      <c r="D221" s="123"/>
    </row>
    <row r="222">
      <c r="D222" s="123"/>
    </row>
    <row r="223">
      <c r="D223" s="123"/>
    </row>
    <row r="224">
      <c r="D224" s="123"/>
    </row>
    <row r="225">
      <c r="D225" s="123"/>
    </row>
    <row r="226">
      <c r="D226" s="123"/>
    </row>
    <row r="227">
      <c r="D227" s="123"/>
    </row>
    <row r="228">
      <c r="D228" s="123"/>
    </row>
    <row r="229">
      <c r="D229" s="123"/>
    </row>
    <row r="230">
      <c r="D230" s="123"/>
    </row>
    <row r="231">
      <c r="D231" s="123"/>
    </row>
    <row r="232">
      <c r="D232" s="123"/>
    </row>
    <row r="233">
      <c r="D233" s="123"/>
    </row>
    <row r="234">
      <c r="D234" s="123"/>
    </row>
    <row r="235">
      <c r="D235" s="123"/>
    </row>
    <row r="236">
      <c r="D236" s="123"/>
    </row>
    <row r="237">
      <c r="D237" s="123"/>
    </row>
    <row r="238">
      <c r="D238" s="123"/>
    </row>
    <row r="239">
      <c r="D239" s="123"/>
    </row>
    <row r="240">
      <c r="D240" s="123"/>
    </row>
    <row r="241">
      <c r="D241" s="123"/>
    </row>
    <row r="242">
      <c r="D242" s="123"/>
    </row>
    <row r="243">
      <c r="D243" s="123"/>
    </row>
    <row r="244">
      <c r="D244" s="123"/>
    </row>
    <row r="245">
      <c r="D245" s="123"/>
    </row>
    <row r="246">
      <c r="D246" s="123"/>
    </row>
    <row r="247">
      <c r="D247" s="123"/>
    </row>
    <row r="248">
      <c r="D248" s="123"/>
    </row>
    <row r="249">
      <c r="D249" s="123"/>
    </row>
    <row r="250">
      <c r="D250" s="123"/>
    </row>
    <row r="251">
      <c r="D251" s="123"/>
    </row>
    <row r="252">
      <c r="D252" s="123"/>
    </row>
    <row r="253">
      <c r="D253" s="123"/>
    </row>
    <row r="254">
      <c r="D254" s="123"/>
    </row>
    <row r="255">
      <c r="D255" s="123"/>
    </row>
    <row r="256">
      <c r="D256" s="123"/>
    </row>
    <row r="257">
      <c r="D257" s="123"/>
    </row>
    <row r="258">
      <c r="D258" s="123"/>
    </row>
    <row r="259">
      <c r="D259" s="123"/>
    </row>
    <row r="260">
      <c r="D260" s="123"/>
    </row>
    <row r="261">
      <c r="D261" s="123"/>
    </row>
    <row r="262">
      <c r="D262" s="123"/>
    </row>
    <row r="263">
      <c r="D263" s="123"/>
    </row>
    <row r="264">
      <c r="D264" s="123"/>
    </row>
    <row r="265">
      <c r="D265" s="123"/>
    </row>
    <row r="266">
      <c r="D266" s="123"/>
    </row>
    <row r="267">
      <c r="D267" s="123"/>
    </row>
    <row r="268">
      <c r="D268" s="123"/>
    </row>
    <row r="269">
      <c r="D269" s="123"/>
    </row>
    <row r="270">
      <c r="D270" s="123"/>
    </row>
    <row r="271">
      <c r="D271" s="123"/>
    </row>
    <row r="272">
      <c r="D272" s="123"/>
    </row>
    <row r="273">
      <c r="D273" s="123"/>
    </row>
    <row r="274">
      <c r="D274" s="123"/>
    </row>
    <row r="275">
      <c r="D275" s="123"/>
    </row>
    <row r="276">
      <c r="D276" s="123"/>
    </row>
    <row r="277">
      <c r="D277" s="123"/>
    </row>
    <row r="278">
      <c r="D278" s="123"/>
    </row>
    <row r="279">
      <c r="D279" s="123"/>
    </row>
    <row r="280">
      <c r="D280" s="123"/>
    </row>
    <row r="281">
      <c r="D281" s="123"/>
    </row>
    <row r="282">
      <c r="D282" s="123"/>
    </row>
    <row r="283">
      <c r="D283" s="123"/>
    </row>
    <row r="284">
      <c r="D284" s="123"/>
    </row>
    <row r="285">
      <c r="D285" s="123"/>
    </row>
    <row r="286">
      <c r="D286" s="123"/>
    </row>
    <row r="287">
      <c r="D287" s="123"/>
    </row>
    <row r="288">
      <c r="D288" s="123"/>
    </row>
    <row r="289">
      <c r="D289" s="123"/>
    </row>
    <row r="290">
      <c r="D290" s="123"/>
    </row>
    <row r="291">
      <c r="D291" s="123"/>
    </row>
    <row r="292">
      <c r="D292" s="123"/>
    </row>
    <row r="293">
      <c r="D293" s="123"/>
    </row>
    <row r="294">
      <c r="D294" s="123"/>
    </row>
    <row r="295">
      <c r="D295" s="123"/>
    </row>
    <row r="296">
      <c r="D296" s="123"/>
    </row>
    <row r="297">
      <c r="D297" s="123"/>
    </row>
    <row r="298">
      <c r="D298" s="123"/>
    </row>
    <row r="299">
      <c r="D299" s="123"/>
    </row>
    <row r="300">
      <c r="D300" s="123"/>
    </row>
    <row r="301">
      <c r="D301" s="123"/>
    </row>
    <row r="302">
      <c r="D302" s="123"/>
    </row>
    <row r="303">
      <c r="D303" s="123"/>
    </row>
    <row r="304">
      <c r="D304" s="123"/>
    </row>
    <row r="305">
      <c r="D305" s="123"/>
    </row>
    <row r="306">
      <c r="D306" s="123"/>
    </row>
    <row r="307">
      <c r="D307" s="123"/>
    </row>
    <row r="308">
      <c r="D308" s="123"/>
    </row>
    <row r="309">
      <c r="D309" s="123"/>
    </row>
    <row r="310">
      <c r="D310" s="123"/>
    </row>
    <row r="311">
      <c r="D311" s="123"/>
    </row>
    <row r="312">
      <c r="D312" s="123"/>
    </row>
    <row r="313">
      <c r="D313" s="123"/>
    </row>
    <row r="314">
      <c r="D314" s="123"/>
    </row>
    <row r="315">
      <c r="D315" s="123"/>
    </row>
    <row r="316">
      <c r="D316" s="123"/>
    </row>
    <row r="317">
      <c r="D317" s="123"/>
    </row>
    <row r="318">
      <c r="D318" s="123"/>
    </row>
    <row r="319">
      <c r="D319" s="123"/>
    </row>
    <row r="320">
      <c r="D320" s="123"/>
    </row>
    <row r="321">
      <c r="D321" s="123"/>
    </row>
    <row r="322">
      <c r="D322" s="123"/>
    </row>
    <row r="323">
      <c r="D323" s="123"/>
    </row>
    <row r="324">
      <c r="D324" s="123"/>
    </row>
    <row r="325">
      <c r="D325" s="123"/>
    </row>
    <row r="326">
      <c r="D326" s="123"/>
    </row>
    <row r="327">
      <c r="D327" s="123"/>
    </row>
    <row r="328">
      <c r="D328" s="123"/>
    </row>
    <row r="329">
      <c r="D329" s="123"/>
    </row>
    <row r="330">
      <c r="D330" s="123"/>
    </row>
    <row r="331">
      <c r="D331" s="123"/>
    </row>
    <row r="332">
      <c r="D332" s="123"/>
    </row>
    <row r="333">
      <c r="D333" s="123"/>
    </row>
    <row r="334">
      <c r="D334" s="123"/>
    </row>
    <row r="335">
      <c r="D335" s="123"/>
    </row>
    <row r="336">
      <c r="D336" s="123"/>
    </row>
    <row r="337">
      <c r="D337" s="123"/>
    </row>
    <row r="338">
      <c r="D338" s="123"/>
    </row>
    <row r="339">
      <c r="D339" s="123"/>
    </row>
    <row r="340">
      <c r="D340" s="123"/>
    </row>
    <row r="341">
      <c r="D341" s="123"/>
    </row>
    <row r="342">
      <c r="D342" s="123"/>
    </row>
    <row r="343">
      <c r="D343" s="123"/>
    </row>
    <row r="344">
      <c r="D344" s="123"/>
    </row>
    <row r="345">
      <c r="D345" s="123"/>
    </row>
    <row r="346">
      <c r="D346" s="123"/>
    </row>
    <row r="347">
      <c r="D347" s="123"/>
    </row>
    <row r="348">
      <c r="D348" s="123"/>
    </row>
    <row r="349">
      <c r="D349" s="123"/>
    </row>
    <row r="350">
      <c r="D350" s="123"/>
    </row>
    <row r="351">
      <c r="D351" s="123"/>
    </row>
    <row r="352">
      <c r="D352" s="123"/>
    </row>
    <row r="353">
      <c r="D353" s="123"/>
    </row>
    <row r="354">
      <c r="D354" s="123"/>
    </row>
    <row r="355">
      <c r="D355" s="123"/>
    </row>
    <row r="356">
      <c r="D356" s="123"/>
    </row>
    <row r="357">
      <c r="D357" s="123"/>
    </row>
    <row r="358">
      <c r="D358" s="123"/>
    </row>
    <row r="359">
      <c r="D359" s="123"/>
    </row>
    <row r="360">
      <c r="D360" s="123"/>
    </row>
    <row r="361">
      <c r="D361" s="123"/>
    </row>
    <row r="362">
      <c r="D362" s="123"/>
    </row>
    <row r="363">
      <c r="D363" s="123"/>
    </row>
    <row r="364">
      <c r="D364" s="123"/>
    </row>
    <row r="365">
      <c r="D365" s="123"/>
    </row>
    <row r="366">
      <c r="D366" s="123"/>
    </row>
    <row r="367">
      <c r="D367" s="123"/>
    </row>
    <row r="368">
      <c r="D368" s="123"/>
    </row>
    <row r="369">
      <c r="D369" s="123"/>
    </row>
    <row r="370">
      <c r="D370" s="123"/>
    </row>
    <row r="371">
      <c r="D371" s="123"/>
    </row>
    <row r="372">
      <c r="D372" s="123"/>
    </row>
    <row r="373">
      <c r="D373" s="123"/>
    </row>
    <row r="374">
      <c r="D374" s="123"/>
    </row>
    <row r="375">
      <c r="D375" s="123"/>
    </row>
    <row r="376">
      <c r="D376" s="123"/>
    </row>
    <row r="377">
      <c r="D377" s="123"/>
    </row>
    <row r="378">
      <c r="D378" s="123"/>
    </row>
    <row r="379">
      <c r="D379" s="123"/>
    </row>
    <row r="380">
      <c r="D380" s="123"/>
    </row>
    <row r="381">
      <c r="D381" s="123"/>
    </row>
    <row r="382">
      <c r="D382" s="123"/>
    </row>
    <row r="383">
      <c r="D383" s="123"/>
    </row>
    <row r="384">
      <c r="D384" s="123"/>
    </row>
    <row r="385">
      <c r="D385" s="123"/>
    </row>
    <row r="386">
      <c r="D386" s="123"/>
    </row>
    <row r="387">
      <c r="D387" s="123"/>
    </row>
    <row r="388">
      <c r="D388" s="123"/>
    </row>
    <row r="389">
      <c r="D389" s="123"/>
    </row>
    <row r="390">
      <c r="D390" s="123"/>
    </row>
    <row r="391">
      <c r="D391" s="123"/>
    </row>
    <row r="392">
      <c r="D392" s="123"/>
    </row>
    <row r="393">
      <c r="D393" s="123"/>
    </row>
    <row r="394">
      <c r="D394" s="123"/>
    </row>
    <row r="395">
      <c r="D395" s="123"/>
    </row>
    <row r="396">
      <c r="D396" s="123"/>
    </row>
    <row r="397">
      <c r="D397" s="123"/>
    </row>
    <row r="398">
      <c r="D398" s="123"/>
    </row>
    <row r="399">
      <c r="D399" s="123"/>
    </row>
    <row r="400">
      <c r="D400" s="123"/>
    </row>
    <row r="401">
      <c r="D401" s="123"/>
    </row>
    <row r="402">
      <c r="D402" s="123"/>
    </row>
    <row r="403">
      <c r="D403" s="123"/>
    </row>
    <row r="404">
      <c r="D404" s="123"/>
    </row>
    <row r="405">
      <c r="D405" s="123"/>
    </row>
    <row r="406">
      <c r="D406" s="123"/>
    </row>
    <row r="407">
      <c r="D407" s="123"/>
    </row>
    <row r="408">
      <c r="D408" s="123"/>
    </row>
    <row r="409">
      <c r="D409" s="123"/>
    </row>
    <row r="410">
      <c r="D410" s="123"/>
    </row>
    <row r="411">
      <c r="D411" s="123"/>
    </row>
    <row r="412">
      <c r="D412" s="123"/>
    </row>
    <row r="413">
      <c r="D413" s="123"/>
    </row>
    <row r="414">
      <c r="D414" s="123"/>
    </row>
    <row r="415">
      <c r="D415" s="123"/>
    </row>
    <row r="416">
      <c r="D416" s="123"/>
    </row>
    <row r="417">
      <c r="D417" s="123"/>
    </row>
    <row r="418">
      <c r="D418" s="123"/>
    </row>
    <row r="419">
      <c r="D419" s="123"/>
    </row>
    <row r="420">
      <c r="D420" s="123"/>
    </row>
    <row r="421">
      <c r="D421" s="123"/>
    </row>
    <row r="422">
      <c r="D422" s="123"/>
    </row>
    <row r="423">
      <c r="D423" s="123"/>
    </row>
    <row r="424">
      <c r="D424" s="123"/>
    </row>
    <row r="425">
      <c r="D425" s="123"/>
    </row>
    <row r="426">
      <c r="D426" s="123"/>
    </row>
    <row r="427">
      <c r="D427" s="123"/>
    </row>
    <row r="428">
      <c r="D428" s="123"/>
    </row>
    <row r="429">
      <c r="D429" s="123"/>
    </row>
    <row r="430">
      <c r="D430" s="123"/>
    </row>
    <row r="431">
      <c r="D431" s="123"/>
    </row>
    <row r="432">
      <c r="D432" s="123"/>
    </row>
    <row r="433">
      <c r="D433" s="123"/>
    </row>
    <row r="434">
      <c r="D434" s="123"/>
    </row>
    <row r="435">
      <c r="D435" s="123"/>
    </row>
    <row r="436">
      <c r="D436" s="123"/>
    </row>
    <row r="437">
      <c r="D437" s="123"/>
    </row>
    <row r="438">
      <c r="D438" s="123"/>
    </row>
    <row r="439">
      <c r="D439" s="123"/>
    </row>
    <row r="440">
      <c r="D440" s="123"/>
    </row>
    <row r="441">
      <c r="D441" s="123"/>
    </row>
    <row r="442">
      <c r="D442" s="123"/>
    </row>
    <row r="443">
      <c r="D443" s="123"/>
    </row>
    <row r="444">
      <c r="D444" s="123"/>
    </row>
    <row r="445">
      <c r="D445" s="123"/>
    </row>
    <row r="446">
      <c r="D446" s="123"/>
    </row>
    <row r="447">
      <c r="D447" s="123"/>
    </row>
    <row r="448">
      <c r="D448" s="123"/>
    </row>
    <row r="449">
      <c r="D449" s="123"/>
    </row>
    <row r="450">
      <c r="D450" s="123"/>
    </row>
    <row r="451">
      <c r="D451" s="123"/>
    </row>
    <row r="452">
      <c r="D452" s="123"/>
    </row>
    <row r="453">
      <c r="D453" s="123"/>
    </row>
    <row r="454">
      <c r="D454" s="123"/>
    </row>
    <row r="455">
      <c r="D455" s="123"/>
    </row>
    <row r="456">
      <c r="D456" s="123"/>
    </row>
    <row r="457">
      <c r="D457" s="123"/>
    </row>
    <row r="458">
      <c r="D458" s="123"/>
    </row>
    <row r="459">
      <c r="D459" s="123"/>
    </row>
    <row r="460">
      <c r="D460" s="123"/>
    </row>
    <row r="461">
      <c r="D461" s="123"/>
    </row>
    <row r="462">
      <c r="D462" s="123"/>
    </row>
    <row r="463">
      <c r="D463" s="123"/>
    </row>
    <row r="464">
      <c r="D464" s="123"/>
    </row>
    <row r="465">
      <c r="D465" s="123"/>
    </row>
    <row r="466">
      <c r="D466" s="123"/>
    </row>
    <row r="467">
      <c r="D467" s="123"/>
    </row>
    <row r="468">
      <c r="D468" s="123"/>
    </row>
    <row r="469">
      <c r="D469" s="123"/>
    </row>
    <row r="470">
      <c r="D470" s="123"/>
    </row>
    <row r="471">
      <c r="D471" s="123"/>
    </row>
    <row r="472">
      <c r="D472" s="123"/>
    </row>
    <row r="473">
      <c r="D473" s="123"/>
    </row>
    <row r="474">
      <c r="D474" s="123"/>
    </row>
    <row r="475">
      <c r="D475" s="123"/>
    </row>
    <row r="476">
      <c r="D476" s="123"/>
    </row>
    <row r="477">
      <c r="D477" s="123"/>
    </row>
    <row r="478">
      <c r="D478" s="123"/>
    </row>
    <row r="479">
      <c r="D479" s="123"/>
    </row>
    <row r="480">
      <c r="D480" s="123"/>
    </row>
    <row r="481">
      <c r="D481" s="123"/>
    </row>
    <row r="482">
      <c r="D482" s="123"/>
    </row>
    <row r="483">
      <c r="D483" s="123"/>
    </row>
    <row r="484">
      <c r="D484" s="123"/>
    </row>
    <row r="485">
      <c r="D485" s="123"/>
    </row>
    <row r="486">
      <c r="D486" s="123"/>
    </row>
    <row r="487">
      <c r="D487" s="123"/>
    </row>
    <row r="488">
      <c r="D488" s="123"/>
    </row>
    <row r="489">
      <c r="D489" s="123"/>
    </row>
    <row r="490">
      <c r="D490" s="123"/>
    </row>
    <row r="491">
      <c r="D491" s="123"/>
    </row>
    <row r="492">
      <c r="D492" s="123"/>
    </row>
    <row r="493">
      <c r="D493" s="123"/>
    </row>
    <row r="494">
      <c r="D494" s="123"/>
    </row>
    <row r="495">
      <c r="D495" s="123"/>
    </row>
    <row r="496">
      <c r="D496" s="123"/>
    </row>
    <row r="497">
      <c r="D497" s="123"/>
    </row>
    <row r="498">
      <c r="D498" s="123"/>
    </row>
    <row r="499">
      <c r="D499" s="123"/>
    </row>
    <row r="500">
      <c r="D500" s="123"/>
    </row>
    <row r="501">
      <c r="D501" s="123"/>
    </row>
    <row r="502">
      <c r="D502" s="123"/>
    </row>
    <row r="503">
      <c r="D503" s="123"/>
    </row>
    <row r="504">
      <c r="D504" s="123"/>
    </row>
    <row r="505">
      <c r="D505" s="123"/>
    </row>
    <row r="506">
      <c r="D506" s="123"/>
    </row>
    <row r="507">
      <c r="D507" s="123"/>
    </row>
    <row r="508">
      <c r="D508" s="123"/>
    </row>
    <row r="509">
      <c r="D509" s="123"/>
    </row>
    <row r="510">
      <c r="D510" s="123"/>
    </row>
    <row r="511">
      <c r="D511" s="123"/>
    </row>
    <row r="512">
      <c r="D512" s="123"/>
    </row>
    <row r="513">
      <c r="D513" s="123"/>
    </row>
    <row r="514">
      <c r="D514" s="123"/>
    </row>
    <row r="515">
      <c r="D515" s="123"/>
    </row>
    <row r="516">
      <c r="D516" s="123"/>
    </row>
    <row r="517">
      <c r="D517" s="123"/>
    </row>
    <row r="518">
      <c r="D518" s="123"/>
    </row>
    <row r="519">
      <c r="D519" s="123"/>
    </row>
    <row r="520">
      <c r="D520" s="123"/>
    </row>
    <row r="521">
      <c r="D521" s="123"/>
    </row>
    <row r="522">
      <c r="D522" s="123"/>
    </row>
    <row r="523">
      <c r="D523" s="123"/>
    </row>
    <row r="524">
      <c r="D524" s="123"/>
    </row>
    <row r="525">
      <c r="D525" s="123"/>
    </row>
    <row r="526">
      <c r="D526" s="123"/>
    </row>
    <row r="527">
      <c r="D527" s="123"/>
    </row>
    <row r="528">
      <c r="D528" s="123"/>
    </row>
    <row r="529">
      <c r="D529" s="123"/>
    </row>
    <row r="530">
      <c r="D530" s="123"/>
    </row>
    <row r="531">
      <c r="D531" s="123"/>
    </row>
    <row r="532">
      <c r="D532" s="123"/>
    </row>
    <row r="533">
      <c r="D533" s="123"/>
    </row>
    <row r="534">
      <c r="D534" s="123"/>
    </row>
    <row r="535">
      <c r="D535" s="123"/>
    </row>
    <row r="536">
      <c r="D536" s="123"/>
    </row>
    <row r="537">
      <c r="D537" s="123"/>
    </row>
    <row r="538">
      <c r="D538" s="123"/>
    </row>
    <row r="539">
      <c r="D539" s="123"/>
    </row>
    <row r="540">
      <c r="D540" s="123"/>
    </row>
    <row r="541">
      <c r="D541" s="123"/>
    </row>
    <row r="542">
      <c r="D542" s="123"/>
    </row>
    <row r="543">
      <c r="D543" s="123"/>
    </row>
    <row r="544">
      <c r="D544" s="123"/>
    </row>
    <row r="545">
      <c r="D545" s="123"/>
    </row>
    <row r="546">
      <c r="D546" s="123"/>
    </row>
    <row r="547">
      <c r="D547" s="123"/>
    </row>
    <row r="548">
      <c r="D548" s="123"/>
    </row>
    <row r="549">
      <c r="D549" s="123"/>
    </row>
    <row r="550">
      <c r="D550" s="123"/>
    </row>
    <row r="551">
      <c r="D551" s="123"/>
    </row>
    <row r="552">
      <c r="D552" s="123"/>
    </row>
    <row r="553">
      <c r="D553" s="123"/>
    </row>
    <row r="554">
      <c r="D554" s="123"/>
    </row>
    <row r="555">
      <c r="D555" s="123"/>
    </row>
    <row r="556">
      <c r="D556" s="123"/>
    </row>
    <row r="557">
      <c r="D557" s="123"/>
    </row>
    <row r="558">
      <c r="D558" s="123"/>
    </row>
    <row r="559">
      <c r="D559" s="123"/>
    </row>
    <row r="560">
      <c r="D560" s="123"/>
    </row>
    <row r="561">
      <c r="D561" s="123"/>
    </row>
    <row r="562">
      <c r="D562" s="123"/>
    </row>
    <row r="563">
      <c r="D563" s="123"/>
    </row>
    <row r="564">
      <c r="D564" s="123"/>
    </row>
    <row r="565">
      <c r="D565" s="123"/>
    </row>
    <row r="566">
      <c r="D566" s="123"/>
    </row>
    <row r="567">
      <c r="D567" s="123"/>
    </row>
    <row r="568">
      <c r="D568" s="123"/>
    </row>
    <row r="569">
      <c r="D569" s="123"/>
    </row>
    <row r="570">
      <c r="D570" s="123"/>
    </row>
    <row r="571">
      <c r="D571" s="123"/>
    </row>
    <row r="572">
      <c r="D572" s="123"/>
    </row>
    <row r="573">
      <c r="D573" s="123"/>
    </row>
    <row r="574">
      <c r="D574" s="123"/>
    </row>
    <row r="575">
      <c r="D575" s="123"/>
    </row>
    <row r="576">
      <c r="D576" s="123"/>
    </row>
    <row r="577">
      <c r="D577" s="123"/>
    </row>
    <row r="578">
      <c r="D578" s="123"/>
    </row>
    <row r="579">
      <c r="D579" s="123"/>
    </row>
    <row r="580">
      <c r="D580" s="123"/>
    </row>
    <row r="581">
      <c r="D581" s="123"/>
    </row>
    <row r="582">
      <c r="D582" s="123"/>
    </row>
    <row r="583">
      <c r="D583" s="123"/>
    </row>
    <row r="584">
      <c r="D584" s="123"/>
    </row>
    <row r="585">
      <c r="D585" s="123"/>
    </row>
    <row r="586">
      <c r="D586" s="123"/>
    </row>
    <row r="587">
      <c r="D587" s="123"/>
    </row>
    <row r="588">
      <c r="D588" s="123"/>
    </row>
    <row r="589">
      <c r="D589" s="123"/>
    </row>
    <row r="590">
      <c r="D590" s="123"/>
    </row>
    <row r="591">
      <c r="D591" s="123"/>
    </row>
    <row r="592">
      <c r="D592" s="123"/>
    </row>
    <row r="593">
      <c r="D593" s="123"/>
    </row>
    <row r="594">
      <c r="D594" s="123"/>
    </row>
    <row r="595">
      <c r="D595" s="123"/>
    </row>
    <row r="596">
      <c r="D596" s="123"/>
    </row>
    <row r="597">
      <c r="D597" s="123"/>
    </row>
    <row r="598">
      <c r="D598" s="123"/>
    </row>
    <row r="599">
      <c r="D599" s="123"/>
    </row>
    <row r="600">
      <c r="D600" s="123"/>
    </row>
    <row r="601">
      <c r="D601" s="123"/>
    </row>
    <row r="602">
      <c r="D602" s="123"/>
    </row>
    <row r="603">
      <c r="D603" s="123"/>
    </row>
    <row r="604">
      <c r="D604" s="123"/>
    </row>
    <row r="605">
      <c r="D605" s="123"/>
    </row>
    <row r="606">
      <c r="D606" s="123"/>
    </row>
    <row r="607">
      <c r="D607" s="123"/>
    </row>
    <row r="608">
      <c r="D608" s="123"/>
    </row>
    <row r="609">
      <c r="D609" s="123"/>
    </row>
    <row r="610">
      <c r="D610" s="123"/>
    </row>
    <row r="611">
      <c r="D611" s="123"/>
    </row>
    <row r="612">
      <c r="D612" s="123"/>
    </row>
    <row r="613">
      <c r="D613" s="123"/>
    </row>
    <row r="614">
      <c r="D614" s="123"/>
    </row>
    <row r="615">
      <c r="D615" s="123"/>
    </row>
    <row r="616">
      <c r="D616" s="123"/>
    </row>
    <row r="617">
      <c r="D617" s="123"/>
    </row>
    <row r="618">
      <c r="D618" s="123"/>
    </row>
    <row r="619">
      <c r="D619" s="123"/>
    </row>
    <row r="620">
      <c r="D620" s="123"/>
    </row>
    <row r="621">
      <c r="D621" s="123"/>
    </row>
    <row r="622">
      <c r="D622" s="123"/>
    </row>
    <row r="623">
      <c r="D623" s="123"/>
    </row>
    <row r="624">
      <c r="D624" s="123"/>
    </row>
    <row r="625">
      <c r="D625" s="123"/>
    </row>
    <row r="626">
      <c r="D626" s="123"/>
    </row>
    <row r="627">
      <c r="D627" s="123"/>
    </row>
    <row r="628">
      <c r="D628" s="123"/>
    </row>
    <row r="629">
      <c r="D629" s="123"/>
    </row>
    <row r="630">
      <c r="D630" s="123"/>
    </row>
    <row r="631">
      <c r="D631" s="123"/>
    </row>
    <row r="632">
      <c r="D632" s="123"/>
    </row>
    <row r="633">
      <c r="D633" s="123"/>
    </row>
    <row r="634">
      <c r="D634" s="123"/>
    </row>
    <row r="635">
      <c r="D635" s="123"/>
    </row>
    <row r="636">
      <c r="D636" s="123"/>
    </row>
    <row r="637">
      <c r="D637" s="123"/>
    </row>
    <row r="638">
      <c r="D638" s="123"/>
    </row>
    <row r="639">
      <c r="D639" s="123"/>
    </row>
    <row r="640">
      <c r="D640" s="123"/>
    </row>
    <row r="641">
      <c r="D641" s="123"/>
    </row>
    <row r="642">
      <c r="D642" s="123"/>
    </row>
    <row r="643">
      <c r="D643" s="123"/>
    </row>
    <row r="644">
      <c r="D644" s="123"/>
    </row>
    <row r="645">
      <c r="D645" s="123"/>
    </row>
    <row r="646">
      <c r="D646" s="123"/>
    </row>
    <row r="647">
      <c r="D647" s="123"/>
    </row>
    <row r="648">
      <c r="D648" s="123"/>
    </row>
    <row r="649">
      <c r="D649" s="123"/>
    </row>
    <row r="650">
      <c r="D650" s="123"/>
    </row>
    <row r="651">
      <c r="D651" s="123"/>
    </row>
    <row r="652">
      <c r="D652" s="123"/>
    </row>
    <row r="653">
      <c r="D653" s="123"/>
    </row>
    <row r="654">
      <c r="D654" s="123"/>
    </row>
    <row r="655">
      <c r="D655" s="123"/>
    </row>
    <row r="656">
      <c r="D656" s="123"/>
    </row>
    <row r="657">
      <c r="D657" s="123"/>
    </row>
    <row r="658">
      <c r="D658" s="123"/>
    </row>
    <row r="659">
      <c r="D659" s="123"/>
    </row>
    <row r="660">
      <c r="D660" s="123"/>
    </row>
    <row r="661">
      <c r="D661" s="123"/>
    </row>
    <row r="662">
      <c r="D662" s="123"/>
    </row>
    <row r="663">
      <c r="D663" s="123"/>
    </row>
    <row r="664">
      <c r="D664" s="123"/>
    </row>
    <row r="665">
      <c r="D665" s="123"/>
    </row>
    <row r="666">
      <c r="D666" s="123"/>
    </row>
    <row r="667">
      <c r="D667" s="123"/>
    </row>
    <row r="668">
      <c r="D668" s="123"/>
    </row>
    <row r="669">
      <c r="D669" s="123"/>
    </row>
    <row r="670">
      <c r="D670" s="123"/>
    </row>
    <row r="671">
      <c r="D671" s="123"/>
    </row>
    <row r="672">
      <c r="D672" s="123"/>
    </row>
    <row r="673">
      <c r="D673" s="123"/>
    </row>
    <row r="674">
      <c r="D674" s="123"/>
    </row>
    <row r="675">
      <c r="D675" s="123"/>
    </row>
    <row r="676">
      <c r="D676" s="123"/>
    </row>
    <row r="677">
      <c r="D677" s="123"/>
    </row>
    <row r="678">
      <c r="D678" s="123"/>
    </row>
    <row r="679">
      <c r="D679" s="123"/>
    </row>
    <row r="680">
      <c r="D680" s="123"/>
    </row>
    <row r="681">
      <c r="D681" s="123"/>
    </row>
    <row r="682">
      <c r="D682" s="123"/>
    </row>
    <row r="683">
      <c r="D683" s="123"/>
    </row>
    <row r="684">
      <c r="D684" s="123"/>
    </row>
    <row r="685">
      <c r="D685" s="123"/>
    </row>
    <row r="686">
      <c r="D686" s="123"/>
    </row>
    <row r="687">
      <c r="D687" s="123"/>
    </row>
    <row r="688">
      <c r="D688" s="123"/>
    </row>
    <row r="689">
      <c r="D689" s="123"/>
    </row>
    <row r="690">
      <c r="D690" s="123"/>
    </row>
    <row r="691">
      <c r="D691" s="123"/>
    </row>
    <row r="692">
      <c r="D692" s="123"/>
    </row>
    <row r="693">
      <c r="D693" s="123"/>
    </row>
    <row r="694">
      <c r="D694" s="123"/>
    </row>
    <row r="695">
      <c r="D695" s="123"/>
    </row>
    <row r="696">
      <c r="D696" s="123"/>
    </row>
    <row r="697">
      <c r="D697" s="123"/>
    </row>
    <row r="698">
      <c r="D698" s="123"/>
    </row>
    <row r="699">
      <c r="D699" s="123"/>
    </row>
    <row r="700">
      <c r="D700" s="123"/>
    </row>
    <row r="701">
      <c r="D701" s="123"/>
    </row>
    <row r="702">
      <c r="D702" s="123"/>
    </row>
    <row r="703">
      <c r="D703" s="123"/>
    </row>
    <row r="704">
      <c r="D704" s="123"/>
    </row>
    <row r="705">
      <c r="D705" s="123"/>
    </row>
    <row r="706">
      <c r="D706" s="123"/>
    </row>
    <row r="707">
      <c r="D707" s="123"/>
    </row>
    <row r="708">
      <c r="D708" s="123"/>
    </row>
    <row r="709">
      <c r="D709" s="123"/>
    </row>
    <row r="710">
      <c r="D710" s="123"/>
    </row>
    <row r="711">
      <c r="D711" s="123"/>
    </row>
    <row r="712">
      <c r="D712" s="123"/>
    </row>
    <row r="713">
      <c r="D713" s="123"/>
    </row>
    <row r="714">
      <c r="D714" s="123"/>
    </row>
    <row r="715">
      <c r="D715" s="123"/>
    </row>
    <row r="716">
      <c r="D716" s="123"/>
    </row>
    <row r="717">
      <c r="D717" s="123"/>
    </row>
    <row r="718">
      <c r="D718" s="123"/>
    </row>
    <row r="719">
      <c r="D719" s="123"/>
    </row>
    <row r="720">
      <c r="D720" s="123"/>
    </row>
    <row r="721">
      <c r="D721" s="123"/>
    </row>
    <row r="722">
      <c r="D722" s="123"/>
    </row>
    <row r="723">
      <c r="D723" s="123"/>
    </row>
    <row r="724">
      <c r="D724" s="123"/>
    </row>
    <row r="725">
      <c r="D725" s="123"/>
    </row>
    <row r="726">
      <c r="D726" s="123"/>
    </row>
    <row r="727">
      <c r="D727" s="123"/>
    </row>
    <row r="728">
      <c r="D728" s="123"/>
    </row>
    <row r="729">
      <c r="D729" s="123"/>
    </row>
    <row r="730">
      <c r="D730" s="123"/>
    </row>
    <row r="731">
      <c r="D731" s="123"/>
    </row>
    <row r="732">
      <c r="D732" s="123"/>
    </row>
    <row r="733">
      <c r="D733" s="123"/>
    </row>
    <row r="734">
      <c r="D734" s="123"/>
    </row>
    <row r="735">
      <c r="D735" s="123"/>
    </row>
    <row r="736">
      <c r="D736" s="123"/>
    </row>
    <row r="737">
      <c r="D737" s="123"/>
    </row>
    <row r="738">
      <c r="D738" s="123"/>
    </row>
    <row r="739">
      <c r="D739" s="123"/>
    </row>
    <row r="740">
      <c r="D740" s="123"/>
    </row>
    <row r="741">
      <c r="D741" s="123"/>
    </row>
    <row r="742">
      <c r="D742" s="123"/>
    </row>
    <row r="743">
      <c r="D743" s="123"/>
    </row>
    <row r="744">
      <c r="D744" s="123"/>
    </row>
    <row r="745">
      <c r="D745" s="123"/>
    </row>
    <row r="746">
      <c r="D746" s="123"/>
    </row>
    <row r="747">
      <c r="D747" s="123"/>
    </row>
    <row r="748">
      <c r="D748" s="123"/>
    </row>
    <row r="749">
      <c r="D749" s="123"/>
    </row>
    <row r="750">
      <c r="D750" s="123"/>
    </row>
    <row r="751">
      <c r="D751" s="123"/>
    </row>
    <row r="752">
      <c r="D752" s="123"/>
    </row>
    <row r="753">
      <c r="D753" s="123"/>
    </row>
    <row r="754">
      <c r="D754" s="123"/>
    </row>
    <row r="755">
      <c r="D755" s="123"/>
    </row>
    <row r="756">
      <c r="D756" s="123"/>
    </row>
    <row r="757">
      <c r="D757" s="123"/>
    </row>
    <row r="758">
      <c r="D758" s="123"/>
    </row>
    <row r="759">
      <c r="D759" s="123"/>
    </row>
    <row r="760">
      <c r="D760" s="123"/>
    </row>
    <row r="761">
      <c r="D761" s="123"/>
    </row>
    <row r="762">
      <c r="D762" s="123"/>
    </row>
    <row r="763">
      <c r="D763" s="123"/>
    </row>
    <row r="764">
      <c r="D764" s="123"/>
    </row>
    <row r="765">
      <c r="D765" s="123"/>
    </row>
    <row r="766">
      <c r="D766" s="123"/>
    </row>
    <row r="767">
      <c r="D767" s="123"/>
    </row>
    <row r="768">
      <c r="D768" s="123"/>
    </row>
    <row r="769">
      <c r="D769" s="123"/>
    </row>
    <row r="770">
      <c r="D770" s="123"/>
    </row>
    <row r="771">
      <c r="D771" s="123"/>
    </row>
    <row r="772">
      <c r="D772" s="123"/>
    </row>
    <row r="773">
      <c r="D773" s="123"/>
    </row>
    <row r="774">
      <c r="D774" s="123"/>
    </row>
    <row r="775">
      <c r="D775" s="123"/>
    </row>
    <row r="776">
      <c r="D776" s="123"/>
    </row>
    <row r="777">
      <c r="D777" s="123"/>
    </row>
    <row r="778">
      <c r="D778" s="123"/>
    </row>
    <row r="779">
      <c r="D779" s="123"/>
    </row>
    <row r="780">
      <c r="D780" s="123"/>
    </row>
    <row r="781">
      <c r="D781" s="123"/>
    </row>
    <row r="782">
      <c r="D782" s="123"/>
    </row>
    <row r="783">
      <c r="D783" s="123"/>
    </row>
    <row r="784">
      <c r="D784" s="123"/>
    </row>
    <row r="785">
      <c r="D785" s="123"/>
    </row>
    <row r="786">
      <c r="D786" s="123"/>
    </row>
    <row r="787">
      <c r="D787" s="123"/>
    </row>
    <row r="788">
      <c r="D788" s="123"/>
    </row>
    <row r="789">
      <c r="D789" s="123"/>
    </row>
    <row r="790">
      <c r="D790" s="123"/>
    </row>
    <row r="791">
      <c r="D791" s="123"/>
    </row>
    <row r="792">
      <c r="D792" s="123"/>
    </row>
    <row r="793">
      <c r="D793" s="123"/>
    </row>
    <row r="794">
      <c r="D794" s="123"/>
    </row>
    <row r="795">
      <c r="D795" s="123"/>
    </row>
    <row r="796">
      <c r="D796" s="123"/>
    </row>
    <row r="797">
      <c r="D797" s="123"/>
    </row>
    <row r="798">
      <c r="D798" s="123"/>
    </row>
    <row r="799">
      <c r="D799" s="123"/>
    </row>
    <row r="800">
      <c r="D800" s="123"/>
    </row>
    <row r="801">
      <c r="D801" s="123"/>
    </row>
    <row r="802">
      <c r="D802" s="123"/>
    </row>
    <row r="803">
      <c r="D803" s="123"/>
    </row>
    <row r="804">
      <c r="D804" s="123"/>
    </row>
    <row r="805">
      <c r="D805" s="123"/>
    </row>
    <row r="806">
      <c r="D806" s="123"/>
    </row>
    <row r="807">
      <c r="D807" s="123"/>
    </row>
    <row r="808">
      <c r="D808" s="123"/>
    </row>
    <row r="809">
      <c r="D809" s="123"/>
    </row>
    <row r="810">
      <c r="D810" s="123"/>
    </row>
    <row r="811">
      <c r="D811" s="123"/>
    </row>
    <row r="812">
      <c r="D812" s="123"/>
    </row>
    <row r="813">
      <c r="D813" s="123"/>
    </row>
    <row r="814">
      <c r="D814" s="123"/>
    </row>
    <row r="815">
      <c r="D815" s="123"/>
    </row>
    <row r="816">
      <c r="D816" s="123"/>
    </row>
    <row r="817">
      <c r="D817" s="123"/>
    </row>
    <row r="818">
      <c r="D818" s="123"/>
    </row>
    <row r="819">
      <c r="D819" s="123"/>
    </row>
    <row r="820">
      <c r="D820" s="123"/>
    </row>
    <row r="821">
      <c r="D821" s="123"/>
    </row>
    <row r="822">
      <c r="D822" s="123"/>
    </row>
    <row r="823">
      <c r="D823" s="123"/>
    </row>
    <row r="824">
      <c r="D824" s="123"/>
    </row>
    <row r="825">
      <c r="D825" s="123"/>
    </row>
    <row r="826">
      <c r="D826" s="123"/>
    </row>
    <row r="827">
      <c r="D827" s="123"/>
    </row>
    <row r="828">
      <c r="D828" s="123"/>
    </row>
    <row r="829">
      <c r="D829" s="123"/>
    </row>
    <row r="830">
      <c r="D830" s="123"/>
    </row>
    <row r="831">
      <c r="D831" s="123"/>
    </row>
    <row r="832">
      <c r="D832" s="123"/>
    </row>
    <row r="833">
      <c r="D833" s="123"/>
    </row>
    <row r="834">
      <c r="D834" s="123"/>
    </row>
    <row r="835">
      <c r="D835" s="123"/>
    </row>
    <row r="836">
      <c r="D836" s="123"/>
    </row>
    <row r="837">
      <c r="D837" s="123"/>
    </row>
    <row r="838">
      <c r="D838" s="123"/>
    </row>
    <row r="839">
      <c r="D839" s="123"/>
    </row>
    <row r="840">
      <c r="D840" s="123"/>
    </row>
    <row r="841">
      <c r="D841" s="123"/>
    </row>
    <row r="842">
      <c r="D842" s="123"/>
    </row>
    <row r="843">
      <c r="D843" s="123"/>
    </row>
    <row r="844">
      <c r="D844" s="123"/>
    </row>
    <row r="845">
      <c r="D845" s="123"/>
    </row>
    <row r="846">
      <c r="D846" s="123"/>
    </row>
    <row r="847">
      <c r="D847" s="123"/>
    </row>
    <row r="848">
      <c r="D848" s="123"/>
    </row>
    <row r="849">
      <c r="D849" s="123"/>
    </row>
    <row r="850">
      <c r="D850" s="123"/>
    </row>
    <row r="851">
      <c r="D851" s="123"/>
    </row>
    <row r="852">
      <c r="D852" s="123"/>
    </row>
    <row r="853">
      <c r="D853" s="123"/>
    </row>
    <row r="854">
      <c r="D854" s="123"/>
    </row>
    <row r="855">
      <c r="D855" s="123"/>
    </row>
    <row r="856">
      <c r="D856" s="123"/>
    </row>
    <row r="857">
      <c r="D857" s="123"/>
    </row>
    <row r="858">
      <c r="D858" s="123"/>
    </row>
    <row r="859">
      <c r="D859" s="123"/>
    </row>
    <row r="860">
      <c r="D860" s="123"/>
    </row>
    <row r="861">
      <c r="D861" s="123"/>
    </row>
    <row r="862">
      <c r="D862" s="123"/>
    </row>
    <row r="863">
      <c r="D863" s="123"/>
    </row>
    <row r="864">
      <c r="D864" s="123"/>
    </row>
    <row r="865">
      <c r="D865" s="123"/>
    </row>
    <row r="866">
      <c r="D866" s="123"/>
    </row>
    <row r="867">
      <c r="D867" s="123"/>
    </row>
    <row r="868">
      <c r="D868" s="123"/>
    </row>
    <row r="869">
      <c r="D869" s="123"/>
    </row>
    <row r="870">
      <c r="D870" s="123"/>
    </row>
    <row r="871">
      <c r="D871" s="123"/>
    </row>
    <row r="872">
      <c r="D872" s="123"/>
    </row>
    <row r="873">
      <c r="D873" s="123"/>
    </row>
    <row r="874">
      <c r="D874" s="123"/>
    </row>
    <row r="875">
      <c r="D875" s="123"/>
    </row>
    <row r="876">
      <c r="D876" s="123"/>
    </row>
    <row r="877">
      <c r="D877" s="123"/>
    </row>
    <row r="878">
      <c r="D878" s="123"/>
    </row>
    <row r="879">
      <c r="D879" s="123"/>
    </row>
    <row r="880">
      <c r="D880" s="123"/>
    </row>
    <row r="881">
      <c r="D881" s="123"/>
    </row>
    <row r="882">
      <c r="D882" s="123"/>
    </row>
    <row r="883">
      <c r="D883" s="123"/>
    </row>
    <row r="884">
      <c r="D884" s="123"/>
    </row>
    <row r="885">
      <c r="D885" s="123"/>
    </row>
    <row r="886">
      <c r="D886" s="123"/>
    </row>
    <row r="887">
      <c r="D887" s="123"/>
    </row>
    <row r="888">
      <c r="D888" s="123"/>
    </row>
    <row r="889">
      <c r="D889" s="123"/>
    </row>
    <row r="890">
      <c r="D890" s="123"/>
    </row>
    <row r="891">
      <c r="D891" s="123"/>
    </row>
    <row r="892">
      <c r="D892" s="123"/>
    </row>
    <row r="893">
      <c r="D893" s="123"/>
    </row>
    <row r="894">
      <c r="D894" s="123"/>
    </row>
    <row r="895">
      <c r="D895" s="123"/>
    </row>
    <row r="896">
      <c r="D896" s="123"/>
    </row>
    <row r="897">
      <c r="D897" s="123"/>
    </row>
    <row r="898">
      <c r="D898" s="123"/>
    </row>
    <row r="899">
      <c r="D899" s="123"/>
    </row>
    <row r="900">
      <c r="D900" s="123"/>
    </row>
    <row r="901">
      <c r="D901" s="123"/>
    </row>
    <row r="902">
      <c r="D902" s="123"/>
    </row>
    <row r="903">
      <c r="D903" s="123"/>
    </row>
    <row r="904">
      <c r="D904" s="123"/>
    </row>
    <row r="905">
      <c r="D905" s="123"/>
    </row>
    <row r="906">
      <c r="D906" s="123"/>
    </row>
    <row r="907">
      <c r="D907" s="123"/>
    </row>
    <row r="908">
      <c r="D908" s="123"/>
    </row>
    <row r="909">
      <c r="D909" s="123"/>
    </row>
    <row r="910">
      <c r="D910" s="123"/>
    </row>
    <row r="911">
      <c r="D911" s="123"/>
    </row>
    <row r="912">
      <c r="D912" s="123"/>
    </row>
    <row r="913">
      <c r="D913" s="123"/>
    </row>
    <row r="914">
      <c r="D914" s="123"/>
    </row>
    <row r="915">
      <c r="D915" s="123"/>
    </row>
    <row r="916">
      <c r="D916" s="123"/>
    </row>
    <row r="917">
      <c r="D917" s="123"/>
    </row>
    <row r="918">
      <c r="D918" s="123"/>
    </row>
    <row r="919">
      <c r="D919" s="123"/>
    </row>
    <row r="920">
      <c r="D920" s="123"/>
    </row>
    <row r="921">
      <c r="D921" s="123"/>
    </row>
    <row r="922">
      <c r="D922" s="123"/>
    </row>
    <row r="923">
      <c r="D923" s="123"/>
    </row>
    <row r="924">
      <c r="D924" s="123"/>
    </row>
    <row r="925">
      <c r="D925" s="123"/>
    </row>
    <row r="926">
      <c r="D926" s="123"/>
    </row>
    <row r="927">
      <c r="D927" s="123"/>
    </row>
    <row r="928">
      <c r="D928" s="123"/>
    </row>
    <row r="929">
      <c r="D929" s="123"/>
    </row>
    <row r="930">
      <c r="D930" s="123"/>
    </row>
    <row r="931">
      <c r="D931" s="123"/>
    </row>
    <row r="932">
      <c r="D932" s="123"/>
    </row>
    <row r="933">
      <c r="D933" s="123"/>
    </row>
    <row r="934">
      <c r="D934" s="123"/>
    </row>
    <row r="935">
      <c r="D935" s="123"/>
    </row>
    <row r="936">
      <c r="D936" s="123"/>
    </row>
    <row r="937">
      <c r="D937" s="123"/>
    </row>
    <row r="938">
      <c r="D938" s="123"/>
    </row>
    <row r="939">
      <c r="D939" s="123"/>
    </row>
    <row r="940">
      <c r="D940" s="123"/>
    </row>
    <row r="941">
      <c r="D941" s="123"/>
    </row>
    <row r="942">
      <c r="D942" s="123"/>
    </row>
    <row r="943">
      <c r="D943" s="123"/>
    </row>
    <row r="944">
      <c r="D944" s="123"/>
    </row>
    <row r="945">
      <c r="D945" s="123"/>
    </row>
    <row r="946">
      <c r="D946" s="123"/>
    </row>
    <row r="947">
      <c r="D947" s="123"/>
    </row>
    <row r="948">
      <c r="D948" s="123"/>
    </row>
    <row r="949">
      <c r="D949" s="123"/>
    </row>
    <row r="950">
      <c r="D950" s="123"/>
    </row>
    <row r="951">
      <c r="D951" s="123"/>
    </row>
    <row r="952">
      <c r="D952" s="123"/>
    </row>
    <row r="953">
      <c r="D953" s="123"/>
    </row>
    <row r="954">
      <c r="D954" s="123"/>
    </row>
    <row r="955">
      <c r="D955" s="123"/>
    </row>
    <row r="956">
      <c r="D956" s="123"/>
    </row>
    <row r="957">
      <c r="D957" s="123"/>
    </row>
    <row r="958">
      <c r="D958" s="123"/>
    </row>
    <row r="959">
      <c r="D959" s="123"/>
    </row>
    <row r="960">
      <c r="D960" s="123"/>
    </row>
    <row r="961">
      <c r="D961" s="123"/>
    </row>
    <row r="962">
      <c r="D962" s="123"/>
    </row>
    <row r="963">
      <c r="D963" s="123"/>
    </row>
    <row r="964">
      <c r="D964" s="123"/>
    </row>
    <row r="965">
      <c r="D965" s="123"/>
    </row>
    <row r="966">
      <c r="D966" s="123"/>
    </row>
    <row r="967">
      <c r="D967" s="123"/>
    </row>
    <row r="968">
      <c r="D968" s="123"/>
    </row>
    <row r="969">
      <c r="D969" s="123"/>
    </row>
    <row r="970">
      <c r="D970" s="123"/>
    </row>
    <row r="971">
      <c r="D971" s="123"/>
    </row>
    <row r="972">
      <c r="D972" s="123"/>
    </row>
    <row r="973">
      <c r="D973" s="123"/>
    </row>
    <row r="974">
      <c r="D974" s="123"/>
    </row>
    <row r="975">
      <c r="D975" s="123"/>
    </row>
    <row r="976">
      <c r="D976" s="123"/>
    </row>
    <row r="977">
      <c r="D977" s="123"/>
    </row>
    <row r="978">
      <c r="D978" s="123"/>
    </row>
    <row r="979">
      <c r="D979" s="123"/>
    </row>
    <row r="980">
      <c r="D980" s="123"/>
    </row>
    <row r="981">
      <c r="D981" s="123"/>
    </row>
    <row r="982">
      <c r="D982" s="123"/>
    </row>
    <row r="983">
      <c r="D983" s="123"/>
    </row>
    <row r="984">
      <c r="D984" s="123"/>
    </row>
    <row r="985">
      <c r="D985" s="123"/>
    </row>
    <row r="986">
      <c r="D986" s="123"/>
    </row>
    <row r="987">
      <c r="D987" s="123"/>
    </row>
    <row r="988">
      <c r="D988" s="123"/>
    </row>
    <row r="989">
      <c r="D989" s="123"/>
    </row>
    <row r="990">
      <c r="D990" s="123"/>
    </row>
    <row r="991">
      <c r="D991" s="123"/>
    </row>
    <row r="992">
      <c r="D992" s="123"/>
    </row>
    <row r="993">
      <c r="D993" s="123"/>
    </row>
    <row r="994">
      <c r="D994" s="123"/>
    </row>
    <row r="995">
      <c r="D995" s="123"/>
    </row>
    <row r="996">
      <c r="D996" s="123"/>
    </row>
    <row r="997">
      <c r="D997" s="123"/>
    </row>
    <row r="998">
      <c r="D998" s="123"/>
    </row>
    <row r="999">
      <c r="D999" s="123"/>
    </row>
    <row r="1000">
      <c r="D1000" s="123"/>
    </row>
    <row r="1001">
      <c r="D1001" s="123"/>
    </row>
    <row r="1002">
      <c r="D1002" s="123"/>
    </row>
    <row r="1003">
      <c r="D1003" s="123"/>
    </row>
    <row r="1004">
      <c r="D1004" s="123"/>
    </row>
    <row r="1005">
      <c r="D1005" s="123"/>
    </row>
    <row r="1006">
      <c r="D1006" s="123"/>
    </row>
    <row r="1007">
      <c r="D1007" s="123"/>
    </row>
    <row r="1008">
      <c r="D1008" s="123"/>
    </row>
    <row r="1009">
      <c r="D1009" s="123"/>
    </row>
    <row r="1010">
      <c r="D1010" s="123"/>
    </row>
    <row r="1011">
      <c r="D1011" s="123"/>
    </row>
    <row r="1012">
      <c r="D1012" s="123"/>
    </row>
    <row r="1013">
      <c r="D1013" s="123"/>
    </row>
    <row r="1014">
      <c r="D1014" s="123"/>
    </row>
    <row r="1015">
      <c r="D1015" s="123"/>
    </row>
    <row r="1016">
      <c r="D1016" s="123"/>
    </row>
    <row r="1017">
      <c r="D1017" s="123"/>
    </row>
    <row r="1018">
      <c r="D1018" s="123"/>
    </row>
    <row r="1019">
      <c r="D1019" s="123"/>
    </row>
    <row r="1020">
      <c r="D1020" s="123"/>
    </row>
    <row r="1021">
      <c r="D1021" s="123"/>
    </row>
    <row r="1022">
      <c r="D1022" s="123"/>
    </row>
    <row r="1023">
      <c r="D1023" s="123"/>
    </row>
    <row r="1024">
      <c r="D1024" s="123"/>
    </row>
    <row r="1025">
      <c r="D1025" s="123"/>
    </row>
    <row r="1026">
      <c r="D1026" s="123"/>
    </row>
    <row r="1027">
      <c r="D1027" s="123"/>
    </row>
    <row r="1028">
      <c r="D1028" s="123"/>
    </row>
    <row r="1029">
      <c r="D1029" s="123"/>
    </row>
    <row r="1030">
      <c r="D1030" s="123"/>
    </row>
    <row r="1031">
      <c r="D1031" s="123"/>
    </row>
    <row r="1032">
      <c r="D1032" s="123"/>
    </row>
    <row r="1033">
      <c r="D1033" s="123"/>
    </row>
    <row r="1034">
      <c r="D1034" s="123"/>
    </row>
    <row r="1035">
      <c r="D1035" s="123"/>
    </row>
    <row r="1036">
      <c r="D1036" s="123"/>
    </row>
    <row r="1037">
      <c r="D1037" s="123"/>
    </row>
    <row r="1038">
      <c r="D1038" s="123"/>
    </row>
    <row r="1039">
      <c r="D1039" s="123"/>
    </row>
    <row r="1040">
      <c r="D1040" s="123"/>
    </row>
    <row r="1041">
      <c r="D1041" s="123"/>
    </row>
    <row r="1042">
      <c r="D1042" s="123"/>
    </row>
    <row r="1043">
      <c r="D1043" s="123"/>
    </row>
    <row r="1044">
      <c r="D1044" s="123"/>
    </row>
    <row r="1045">
      <c r="D1045" s="123"/>
    </row>
    <row r="1046">
      <c r="D1046" s="123"/>
    </row>
    <row r="1047">
      <c r="D1047" s="123"/>
    </row>
    <row r="1048">
      <c r="D1048" s="123"/>
    </row>
    <row r="1049">
      <c r="D1049" s="123"/>
    </row>
    <row r="1050">
      <c r="D1050" s="123"/>
    </row>
    <row r="1051">
      <c r="D1051" s="123"/>
    </row>
    <row r="1052">
      <c r="D1052" s="123"/>
    </row>
    <row r="1053">
      <c r="D1053" s="123"/>
    </row>
    <row r="1054">
      <c r="D1054" s="123"/>
    </row>
    <row r="1055">
      <c r="D1055" s="123"/>
    </row>
    <row r="1056">
      <c r="D1056" s="123"/>
    </row>
    <row r="1057">
      <c r="D1057" s="123"/>
    </row>
    <row r="1058">
      <c r="D1058" s="123"/>
    </row>
    <row r="1059">
      <c r="D1059" s="123"/>
    </row>
    <row r="1060">
      <c r="D1060" s="123"/>
    </row>
    <row r="1061">
      <c r="D1061" s="123"/>
    </row>
    <row r="1062">
      <c r="D1062" s="123"/>
    </row>
    <row r="1063">
      <c r="D1063" s="123"/>
    </row>
    <row r="1064">
      <c r="D1064" s="123"/>
    </row>
    <row r="1065">
      <c r="D1065" s="123"/>
    </row>
    <row r="1066">
      <c r="D1066" s="123"/>
    </row>
    <row r="1067">
      <c r="D1067" s="123"/>
    </row>
    <row r="1068">
      <c r="D1068" s="123"/>
    </row>
    <row r="1069">
      <c r="D1069" s="123"/>
    </row>
    <row r="1070">
      <c r="D1070" s="123"/>
    </row>
    <row r="1071">
      <c r="D1071" s="123"/>
    </row>
    <row r="1072">
      <c r="D1072" s="123"/>
    </row>
    <row r="1073">
      <c r="D1073" s="123"/>
    </row>
    <row r="1074">
      <c r="D1074" s="123"/>
    </row>
    <row r="1075">
      <c r="D1075" s="123"/>
    </row>
    <row r="1076">
      <c r="D1076" s="123"/>
    </row>
    <row r="1077">
      <c r="D1077" s="123"/>
    </row>
    <row r="1078">
      <c r="D1078" s="123"/>
    </row>
    <row r="1079">
      <c r="D1079" s="123"/>
    </row>
    <row r="1080">
      <c r="D1080" s="123"/>
    </row>
    <row r="1081">
      <c r="D1081" s="123"/>
    </row>
    <row r="1082">
      <c r="D1082" s="123"/>
    </row>
    <row r="1083">
      <c r="D1083" s="123"/>
    </row>
    <row r="1084">
      <c r="D1084" s="123"/>
    </row>
    <row r="1085">
      <c r="D1085" s="123"/>
    </row>
    <row r="1086">
      <c r="D1086" s="123"/>
    </row>
    <row r="1087">
      <c r="D1087" s="123"/>
    </row>
    <row r="1088">
      <c r="D1088" s="123"/>
    </row>
    <row r="1089">
      <c r="D1089" s="123"/>
    </row>
    <row r="1090">
      <c r="D1090" s="123"/>
    </row>
    <row r="1091">
      <c r="D1091" s="123"/>
    </row>
    <row r="1092">
      <c r="D1092" s="123"/>
    </row>
    <row r="1093">
      <c r="D1093" s="123"/>
    </row>
    <row r="1094">
      <c r="D1094" s="123"/>
    </row>
    <row r="1095">
      <c r="D1095" s="123"/>
    </row>
    <row r="1096">
      <c r="D1096" s="123"/>
    </row>
    <row r="1097">
      <c r="D1097" s="123"/>
    </row>
    <row r="1098">
      <c r="D1098" s="123"/>
    </row>
    <row r="1099">
      <c r="D1099" s="123"/>
    </row>
    <row r="1100">
      <c r="D1100" s="123"/>
    </row>
    <row r="1101">
      <c r="D1101" s="123"/>
    </row>
    <row r="1102">
      <c r="D1102" s="123"/>
    </row>
    <row r="1103">
      <c r="D1103" s="123"/>
    </row>
    <row r="1104">
      <c r="D1104" s="123"/>
    </row>
    <row r="1105">
      <c r="D1105" s="123"/>
    </row>
    <row r="1106">
      <c r="D1106" s="123"/>
    </row>
    <row r="1107">
      <c r="D1107" s="123"/>
    </row>
    <row r="1108">
      <c r="D1108" s="123"/>
    </row>
    <row r="1109">
      <c r="D1109" s="123"/>
    </row>
    <row r="1110">
      <c r="D1110" s="123"/>
    </row>
    <row r="1111">
      <c r="D1111" s="123"/>
    </row>
    <row r="1112">
      <c r="D1112" s="123"/>
    </row>
    <row r="1113">
      <c r="D1113" s="123"/>
    </row>
    <row r="1114">
      <c r="D1114" s="123"/>
    </row>
    <row r="1115">
      <c r="D1115" s="123"/>
    </row>
    <row r="1116">
      <c r="D1116" s="123"/>
    </row>
    <row r="1117">
      <c r="D1117" s="123"/>
    </row>
    <row r="1118">
      <c r="D1118" s="123"/>
    </row>
    <row r="1119">
      <c r="D1119" s="123"/>
    </row>
    <row r="1120">
      <c r="D1120" s="123"/>
    </row>
    <row r="1121">
      <c r="D1121" s="123"/>
    </row>
    <row r="1122">
      <c r="D1122" s="123"/>
    </row>
    <row r="1123">
      <c r="D1123" s="123"/>
    </row>
    <row r="1124">
      <c r="D1124" s="123"/>
    </row>
    <row r="1125">
      <c r="D1125" s="123"/>
    </row>
    <row r="1126">
      <c r="D1126" s="123"/>
    </row>
    <row r="1127">
      <c r="D1127" s="123"/>
    </row>
    <row r="1128">
      <c r="D1128" s="123"/>
    </row>
    <row r="1129">
      <c r="D1129" s="123"/>
    </row>
    <row r="1130">
      <c r="D1130" s="123"/>
    </row>
    <row r="1131">
      <c r="D1131" s="123"/>
    </row>
    <row r="1132">
      <c r="D1132" s="123"/>
    </row>
    <row r="1133">
      <c r="D1133" s="123"/>
    </row>
    <row r="1134">
      <c r="D1134" s="123"/>
    </row>
    <row r="1135">
      <c r="D1135" s="123"/>
    </row>
    <row r="1136">
      <c r="D1136" s="123"/>
    </row>
    <row r="1137">
      <c r="D1137" s="123"/>
    </row>
    <row r="1138">
      <c r="D1138" s="123"/>
    </row>
    <row r="1139">
      <c r="D1139" s="123"/>
    </row>
    <row r="1140">
      <c r="D1140" s="123"/>
    </row>
    <row r="1141">
      <c r="D1141" s="123"/>
    </row>
    <row r="1142">
      <c r="D1142" s="123"/>
    </row>
    <row r="1143">
      <c r="D1143" s="123"/>
    </row>
    <row r="1144">
      <c r="D1144" s="123"/>
    </row>
    <row r="1145">
      <c r="D1145" s="123"/>
    </row>
    <row r="1146">
      <c r="D1146" s="123"/>
    </row>
    <row r="1147">
      <c r="D1147" s="123"/>
    </row>
    <row r="1148">
      <c r="D1148" s="123"/>
    </row>
    <row r="1149">
      <c r="D1149" s="123"/>
    </row>
    <row r="1150">
      <c r="D1150" s="123"/>
    </row>
    <row r="1151">
      <c r="D1151" s="123"/>
    </row>
    <row r="1152">
      <c r="D1152" s="123"/>
    </row>
    <row r="1153">
      <c r="D1153" s="123"/>
    </row>
    <row r="1154">
      <c r="D1154" s="123"/>
    </row>
    <row r="1155">
      <c r="D1155" s="123"/>
    </row>
    <row r="1156">
      <c r="D1156" s="123"/>
    </row>
    <row r="1157">
      <c r="D1157" s="123"/>
    </row>
    <row r="1158">
      <c r="D1158" s="123"/>
    </row>
    <row r="1159">
      <c r="D1159" s="123"/>
    </row>
    <row r="1160">
      <c r="D1160" s="123"/>
    </row>
    <row r="1161">
      <c r="D1161" s="123"/>
    </row>
    <row r="1162">
      <c r="D1162" s="123"/>
    </row>
    <row r="1163">
      <c r="D1163" s="123"/>
    </row>
    <row r="1164">
      <c r="D1164" s="123"/>
    </row>
    <row r="1165">
      <c r="D1165" s="123"/>
    </row>
    <row r="1166">
      <c r="D1166" s="123"/>
    </row>
    <row r="1167">
      <c r="D1167" s="123"/>
    </row>
    <row r="1168">
      <c r="D1168" s="123"/>
    </row>
    <row r="1169">
      <c r="D1169" s="123"/>
    </row>
    <row r="1170">
      <c r="D1170" s="123"/>
    </row>
    <row r="1171">
      <c r="D1171" s="123"/>
    </row>
    <row r="1172">
      <c r="D1172" s="123"/>
    </row>
    <row r="1173">
      <c r="D1173" s="123"/>
    </row>
    <row r="1174">
      <c r="D1174" s="123"/>
    </row>
    <row r="1175">
      <c r="D1175" s="123"/>
    </row>
    <row r="1176">
      <c r="D1176" s="123"/>
    </row>
    <row r="1177">
      <c r="D1177" s="123"/>
    </row>
    <row r="1178">
      <c r="D1178" s="123"/>
    </row>
    <row r="1179">
      <c r="D1179" s="123"/>
    </row>
    <row r="1180">
      <c r="D1180" s="123"/>
    </row>
    <row r="1181">
      <c r="D1181" s="123"/>
    </row>
    <row r="1182">
      <c r="D1182" s="123"/>
    </row>
    <row r="1183">
      <c r="D1183" s="123"/>
    </row>
    <row r="1184">
      <c r="D1184" s="123"/>
    </row>
    <row r="1185">
      <c r="D1185" s="123"/>
    </row>
    <row r="1186">
      <c r="D1186" s="123"/>
    </row>
    <row r="1187">
      <c r="D1187" s="123"/>
    </row>
    <row r="1188">
      <c r="D1188" s="123"/>
    </row>
    <row r="1189">
      <c r="D1189" s="123"/>
    </row>
    <row r="1190">
      <c r="D1190" s="123"/>
    </row>
    <row r="1191">
      <c r="D1191" s="123"/>
    </row>
    <row r="1192">
      <c r="D1192" s="123"/>
    </row>
    <row r="1193">
      <c r="D1193" s="123"/>
    </row>
    <row r="1194">
      <c r="D1194" s="123"/>
    </row>
    <row r="1195">
      <c r="D1195" s="123"/>
    </row>
    <row r="1196">
      <c r="D1196" s="123"/>
    </row>
    <row r="1197">
      <c r="D1197" s="123"/>
    </row>
    <row r="1198">
      <c r="D1198" s="123"/>
    </row>
    <row r="1199">
      <c r="D1199" s="123"/>
    </row>
    <row r="1200">
      <c r="D1200" s="123"/>
    </row>
    <row r="1201">
      <c r="D1201" s="123"/>
    </row>
    <row r="1202">
      <c r="D1202" s="123"/>
    </row>
    <row r="1203">
      <c r="D1203" s="123"/>
    </row>
    <row r="1204">
      <c r="D1204" s="123"/>
    </row>
    <row r="1205">
      <c r="D1205" s="123"/>
    </row>
    <row r="1206">
      <c r="D1206" s="123"/>
    </row>
    <row r="1207">
      <c r="D1207" s="123"/>
    </row>
    <row r="1208">
      <c r="D1208" s="123"/>
    </row>
    <row r="1209">
      <c r="D1209" s="123"/>
    </row>
    <row r="1210">
      <c r="D1210" s="123"/>
    </row>
    <row r="1211">
      <c r="D1211" s="123"/>
    </row>
    <row r="1212">
      <c r="D1212" s="123"/>
    </row>
    <row r="1213">
      <c r="D1213" s="123"/>
    </row>
    <row r="1214">
      <c r="D1214" s="123"/>
    </row>
    <row r="1215">
      <c r="D1215" s="123"/>
    </row>
    <row r="1216">
      <c r="D1216" s="123"/>
    </row>
    <row r="1217">
      <c r="D1217" s="123"/>
    </row>
    <row r="1218">
      <c r="D1218" s="123"/>
    </row>
    <row r="1219">
      <c r="D1219" s="123"/>
    </row>
    <row r="1220">
      <c r="D1220" s="123"/>
    </row>
    <row r="1221">
      <c r="D1221" s="123"/>
    </row>
    <row r="1222">
      <c r="D1222" s="123"/>
    </row>
    <row r="1223">
      <c r="D1223" s="123"/>
    </row>
    <row r="1224">
      <c r="D1224" s="123"/>
    </row>
    <row r="1225">
      <c r="D1225" s="123"/>
    </row>
    <row r="1226">
      <c r="D1226" s="123"/>
    </row>
    <row r="1227">
      <c r="D1227" s="123"/>
    </row>
    <row r="1228">
      <c r="D1228" s="123"/>
    </row>
    <row r="1229">
      <c r="D1229" s="123"/>
    </row>
    <row r="1230">
      <c r="D1230" s="123"/>
    </row>
    <row r="1231">
      <c r="D1231" s="123"/>
    </row>
    <row r="1232">
      <c r="D1232" s="123"/>
    </row>
    <row r="1233">
      <c r="D1233" s="123"/>
    </row>
    <row r="1234">
      <c r="D1234" s="123"/>
    </row>
    <row r="1235">
      <c r="D1235" s="123"/>
    </row>
    <row r="1236">
      <c r="D1236" s="123"/>
    </row>
    <row r="1237">
      <c r="D1237" s="123"/>
    </row>
    <row r="1238">
      <c r="D1238" s="123"/>
    </row>
    <row r="1239">
      <c r="D1239" s="123"/>
    </row>
    <row r="1240">
      <c r="D1240" s="123"/>
    </row>
    <row r="1241">
      <c r="D1241" s="123"/>
    </row>
    <row r="1242">
      <c r="D1242" s="123"/>
    </row>
    <row r="1243">
      <c r="D1243" s="123"/>
    </row>
    <row r="1244">
      <c r="D1244" s="123"/>
    </row>
    <row r="1245">
      <c r="D1245" s="123"/>
    </row>
    <row r="1246">
      <c r="D1246" s="123"/>
    </row>
    <row r="1247">
      <c r="D1247" s="123"/>
    </row>
    <row r="1248">
      <c r="D1248" s="123"/>
    </row>
    <row r="1249">
      <c r="D1249" s="123"/>
    </row>
    <row r="1250">
      <c r="D1250" s="123"/>
    </row>
    <row r="1251">
      <c r="D1251" s="123"/>
    </row>
    <row r="1252">
      <c r="D1252" s="123"/>
    </row>
    <row r="1253">
      <c r="D1253" s="123"/>
    </row>
    <row r="1254">
      <c r="D1254" s="123"/>
    </row>
    <row r="1255">
      <c r="D1255" s="123"/>
    </row>
    <row r="1256">
      <c r="D1256" s="123"/>
    </row>
    <row r="1257">
      <c r="D1257" s="123"/>
    </row>
    <row r="1258">
      <c r="D1258" s="123"/>
    </row>
    <row r="1259">
      <c r="D1259" s="123"/>
    </row>
    <row r="1260">
      <c r="D1260" s="123"/>
    </row>
    <row r="1261">
      <c r="D1261" s="123"/>
    </row>
    <row r="1262">
      <c r="D1262" s="123"/>
    </row>
    <row r="1263">
      <c r="D1263" s="123"/>
    </row>
    <row r="1264">
      <c r="D1264" s="123"/>
    </row>
    <row r="1265">
      <c r="D1265" s="123"/>
    </row>
    <row r="1266">
      <c r="D1266" s="123"/>
    </row>
    <row r="1267">
      <c r="D1267" s="123"/>
    </row>
    <row r="1268">
      <c r="D1268" s="123"/>
    </row>
    <row r="1269">
      <c r="D1269" s="123"/>
    </row>
    <row r="1270">
      <c r="D1270" s="123"/>
    </row>
    <row r="1271">
      <c r="D1271" s="123"/>
    </row>
    <row r="1272">
      <c r="D1272" s="123"/>
    </row>
    <row r="1273">
      <c r="D1273" s="123"/>
    </row>
    <row r="1274">
      <c r="D1274" s="123"/>
    </row>
    <row r="1275">
      <c r="D1275" s="123"/>
    </row>
    <row r="1276">
      <c r="D1276" s="123"/>
    </row>
    <row r="1277">
      <c r="D1277" s="123"/>
    </row>
    <row r="1278">
      <c r="D1278" s="123"/>
    </row>
    <row r="1279">
      <c r="D1279" s="123"/>
    </row>
    <row r="1280">
      <c r="D1280" s="123"/>
    </row>
    <row r="1281">
      <c r="D1281" s="123"/>
    </row>
    <row r="1282">
      <c r="D1282" s="123"/>
    </row>
    <row r="1283">
      <c r="D1283" s="123"/>
    </row>
    <row r="1284">
      <c r="D1284" s="123"/>
    </row>
    <row r="1285">
      <c r="D1285" s="123"/>
    </row>
    <row r="1286">
      <c r="D1286" s="123"/>
    </row>
    <row r="1287">
      <c r="D1287" s="123"/>
    </row>
    <row r="1288">
      <c r="D1288" s="123"/>
    </row>
    <row r="1289">
      <c r="D1289" s="123"/>
    </row>
    <row r="1290">
      <c r="D1290" s="123"/>
    </row>
    <row r="1291">
      <c r="D1291" s="123"/>
    </row>
    <row r="1292">
      <c r="D1292" s="123"/>
    </row>
    <row r="1293">
      <c r="D1293" s="123"/>
    </row>
    <row r="1294">
      <c r="D1294" s="123"/>
    </row>
    <row r="1295">
      <c r="D1295" s="123"/>
    </row>
    <row r="1296">
      <c r="D1296" s="123"/>
    </row>
    <row r="1297">
      <c r="D1297" s="123"/>
    </row>
    <row r="1298">
      <c r="D1298" s="123"/>
    </row>
    <row r="1299">
      <c r="D1299" s="123"/>
    </row>
    <row r="1300">
      <c r="D1300" s="123"/>
    </row>
    <row r="1301">
      <c r="D1301" s="123"/>
    </row>
    <row r="1302">
      <c r="D1302" s="123"/>
    </row>
    <row r="1303">
      <c r="D1303" s="123"/>
    </row>
    <row r="1304">
      <c r="D1304" s="123"/>
    </row>
    <row r="1305">
      <c r="D1305" s="123"/>
    </row>
    <row r="1306">
      <c r="D1306" s="123"/>
    </row>
    <row r="1307">
      <c r="D1307" s="123"/>
    </row>
    <row r="1308">
      <c r="D1308" s="123"/>
    </row>
    <row r="1309">
      <c r="D1309" s="123"/>
    </row>
    <row r="1310">
      <c r="D1310" s="123"/>
    </row>
    <row r="1311">
      <c r="D1311" s="123"/>
    </row>
    <row r="1312">
      <c r="D1312" s="123"/>
    </row>
    <row r="1313">
      <c r="D1313" s="123"/>
    </row>
    <row r="1314">
      <c r="D1314" s="123"/>
    </row>
    <row r="1315">
      <c r="D1315" s="123"/>
    </row>
    <row r="1316">
      <c r="D1316" s="123"/>
    </row>
    <row r="1317">
      <c r="D1317" s="123"/>
    </row>
    <row r="1318">
      <c r="D1318" s="123"/>
    </row>
    <row r="1319">
      <c r="D1319" s="123"/>
    </row>
    <row r="1320">
      <c r="D1320" s="123"/>
    </row>
    <row r="1321">
      <c r="D1321" s="123"/>
    </row>
    <row r="1322">
      <c r="D1322" s="123"/>
    </row>
    <row r="1323">
      <c r="D1323" s="123"/>
    </row>
    <row r="1324">
      <c r="D1324" s="123"/>
    </row>
    <row r="1325">
      <c r="D1325" s="123"/>
    </row>
    <row r="1326">
      <c r="D1326" s="123"/>
    </row>
    <row r="1327">
      <c r="D1327" s="123"/>
    </row>
    <row r="1328">
      <c r="D1328" s="123"/>
    </row>
    <row r="1329">
      <c r="D1329" s="123"/>
    </row>
    <row r="1330">
      <c r="D1330" s="123"/>
    </row>
    <row r="1331">
      <c r="D1331" s="123"/>
    </row>
    <row r="1332">
      <c r="D1332" s="123"/>
    </row>
    <row r="1333">
      <c r="D1333" s="123"/>
    </row>
    <row r="1334">
      <c r="D1334" s="123"/>
    </row>
    <row r="1335">
      <c r="D1335" s="123"/>
    </row>
    <row r="1336">
      <c r="D1336" s="123"/>
    </row>
    <row r="1337">
      <c r="D1337" s="123"/>
    </row>
    <row r="1338">
      <c r="D1338" s="123"/>
    </row>
    <row r="1339">
      <c r="D1339" s="123"/>
    </row>
    <row r="1340">
      <c r="D1340" s="123"/>
    </row>
    <row r="1341">
      <c r="D1341" s="123"/>
    </row>
    <row r="1342">
      <c r="D1342" s="123"/>
    </row>
    <row r="1343">
      <c r="D1343" s="123"/>
    </row>
    <row r="1344">
      <c r="D1344" s="123"/>
    </row>
    <row r="1345">
      <c r="D1345" s="123"/>
    </row>
    <row r="1346">
      <c r="D1346" s="123"/>
    </row>
    <row r="1347">
      <c r="D1347" s="123"/>
    </row>
    <row r="1348">
      <c r="D1348" s="123"/>
    </row>
    <row r="1349">
      <c r="D1349" s="123"/>
    </row>
    <row r="1350">
      <c r="D1350" s="123"/>
    </row>
    <row r="1351">
      <c r="D1351" s="123"/>
    </row>
    <row r="1352">
      <c r="D1352" s="123"/>
    </row>
    <row r="1353">
      <c r="D1353" s="123"/>
    </row>
    <row r="1354">
      <c r="D1354" s="123"/>
    </row>
    <row r="1355">
      <c r="D1355" s="123"/>
    </row>
    <row r="1356">
      <c r="D1356" s="123"/>
    </row>
    <row r="1357">
      <c r="D1357" s="123"/>
    </row>
    <row r="1358">
      <c r="D1358" s="123"/>
    </row>
    <row r="1359">
      <c r="D1359" s="123"/>
    </row>
    <row r="1360">
      <c r="D1360" s="123"/>
    </row>
    <row r="1361">
      <c r="D1361" s="123"/>
    </row>
    <row r="1362">
      <c r="D1362" s="123"/>
    </row>
    <row r="1363">
      <c r="D1363" s="123"/>
    </row>
    <row r="1364">
      <c r="D1364" s="123"/>
    </row>
    <row r="1365">
      <c r="D1365" s="123"/>
    </row>
    <row r="1366">
      <c r="D1366" s="123"/>
    </row>
    <row r="1367">
      <c r="D1367" s="123"/>
    </row>
    <row r="1368">
      <c r="D1368" s="123"/>
    </row>
    <row r="1369">
      <c r="D1369" s="123"/>
    </row>
    <row r="1370">
      <c r="D1370" s="123"/>
    </row>
    <row r="1371">
      <c r="D1371" s="123"/>
    </row>
    <row r="1372">
      <c r="D1372" s="123"/>
    </row>
    <row r="1373">
      <c r="D1373" s="123"/>
    </row>
    <row r="1374">
      <c r="D1374" s="123"/>
    </row>
    <row r="1375">
      <c r="D1375" s="123"/>
    </row>
    <row r="1376">
      <c r="D1376" s="123"/>
    </row>
    <row r="1377">
      <c r="D1377" s="123"/>
    </row>
    <row r="1378">
      <c r="D1378" s="123"/>
    </row>
    <row r="1379">
      <c r="D1379" s="123"/>
    </row>
    <row r="1380">
      <c r="D1380" s="123"/>
    </row>
    <row r="1381">
      <c r="D1381" s="123"/>
    </row>
    <row r="1382">
      <c r="D1382" s="123"/>
    </row>
    <row r="1383">
      <c r="D1383" s="123"/>
    </row>
    <row r="1384">
      <c r="D1384" s="123"/>
    </row>
    <row r="1385">
      <c r="D1385" s="123"/>
    </row>
    <row r="1386">
      <c r="D1386" s="123"/>
    </row>
    <row r="1387">
      <c r="D1387" s="123"/>
    </row>
    <row r="1388">
      <c r="D1388" s="123"/>
    </row>
    <row r="1389">
      <c r="D1389" s="123"/>
    </row>
    <row r="1390">
      <c r="D1390" s="123"/>
    </row>
    <row r="1391">
      <c r="D1391" s="123"/>
    </row>
    <row r="1392">
      <c r="D1392" s="123"/>
    </row>
    <row r="1393">
      <c r="D1393" s="123"/>
    </row>
    <row r="1394">
      <c r="D1394" s="123"/>
    </row>
    <row r="1395">
      <c r="D1395" s="123"/>
    </row>
    <row r="1396">
      <c r="D1396" s="123"/>
    </row>
    <row r="1397">
      <c r="D1397" s="123"/>
    </row>
    <row r="1398">
      <c r="D1398" s="123"/>
    </row>
    <row r="1399">
      <c r="D1399" s="123"/>
    </row>
    <row r="1400">
      <c r="D1400" s="123"/>
    </row>
    <row r="1401">
      <c r="D1401" s="123"/>
    </row>
    <row r="1402">
      <c r="D1402" s="123"/>
    </row>
    <row r="1403">
      <c r="D1403" s="123"/>
    </row>
    <row r="1404">
      <c r="D1404" s="123"/>
    </row>
    <row r="1405">
      <c r="D1405" s="123"/>
    </row>
    <row r="1406">
      <c r="D1406" s="123"/>
    </row>
    <row r="1407">
      <c r="D1407" s="123"/>
    </row>
    <row r="1408">
      <c r="D1408" s="123"/>
    </row>
    <row r="1409">
      <c r="D1409" s="123"/>
    </row>
    <row r="1410">
      <c r="D1410" s="123"/>
    </row>
    <row r="1411">
      <c r="D1411" s="123"/>
    </row>
    <row r="1412">
      <c r="D1412" s="123"/>
    </row>
    <row r="1413">
      <c r="D1413" s="123"/>
    </row>
    <row r="1414">
      <c r="D1414" s="123"/>
    </row>
    <row r="1415">
      <c r="D1415" s="123"/>
    </row>
    <row r="1416">
      <c r="D1416" s="123"/>
    </row>
    <row r="1417">
      <c r="D1417" s="123"/>
    </row>
    <row r="1418">
      <c r="D1418" s="123"/>
    </row>
    <row r="1419">
      <c r="D1419" s="123"/>
    </row>
    <row r="1420">
      <c r="D1420" s="123"/>
    </row>
    <row r="1421">
      <c r="D1421" s="123"/>
    </row>
    <row r="1422">
      <c r="D1422" s="123"/>
    </row>
    <row r="1423">
      <c r="D1423" s="123"/>
    </row>
    <row r="1424">
      <c r="D1424" s="123"/>
    </row>
    <row r="1425">
      <c r="D1425" s="123"/>
    </row>
    <row r="1426">
      <c r="D1426" s="123"/>
    </row>
    <row r="1427">
      <c r="D1427" s="123"/>
    </row>
    <row r="1428">
      <c r="D1428" s="123"/>
    </row>
    <row r="1429">
      <c r="D1429" s="123"/>
    </row>
    <row r="1430">
      <c r="D1430" s="123"/>
    </row>
    <row r="1431">
      <c r="D1431" s="123"/>
    </row>
    <row r="1432">
      <c r="D1432" s="123"/>
    </row>
    <row r="1433">
      <c r="D1433" s="123"/>
    </row>
    <row r="1434">
      <c r="D1434" s="123"/>
    </row>
    <row r="1435">
      <c r="D1435" s="123"/>
    </row>
    <row r="1436">
      <c r="D1436" s="123"/>
    </row>
    <row r="1437">
      <c r="D1437" s="123"/>
    </row>
    <row r="1438">
      <c r="D1438" s="123"/>
    </row>
    <row r="1439">
      <c r="D1439" s="123"/>
    </row>
    <row r="1440">
      <c r="D1440" s="123"/>
    </row>
    <row r="1441">
      <c r="D1441" s="123"/>
    </row>
    <row r="1442">
      <c r="D1442" s="123"/>
    </row>
    <row r="1443">
      <c r="D1443" s="123"/>
    </row>
    <row r="1444">
      <c r="D1444" s="123"/>
    </row>
    <row r="1445">
      <c r="D1445" s="123"/>
    </row>
    <row r="1446">
      <c r="D1446" s="123"/>
    </row>
    <row r="1447">
      <c r="D1447" s="123"/>
    </row>
    <row r="1448">
      <c r="D1448" s="123"/>
    </row>
    <row r="1449">
      <c r="D1449" s="123"/>
    </row>
    <row r="1450">
      <c r="D1450" s="123"/>
    </row>
    <row r="1451">
      <c r="D1451" s="123"/>
    </row>
    <row r="1452">
      <c r="D1452" s="123"/>
    </row>
    <row r="1453">
      <c r="D1453" s="123"/>
    </row>
    <row r="1454">
      <c r="D1454" s="123"/>
    </row>
    <row r="1455">
      <c r="D1455" s="123"/>
    </row>
    <row r="1456">
      <c r="D1456" s="123"/>
    </row>
    <row r="1457">
      <c r="D1457" s="123"/>
    </row>
    <row r="1458">
      <c r="D1458" s="123"/>
    </row>
    <row r="1459">
      <c r="D1459" s="123"/>
    </row>
    <row r="1460">
      <c r="D1460" s="123"/>
    </row>
    <row r="1461">
      <c r="D1461" s="123"/>
    </row>
    <row r="1462">
      <c r="D1462" s="123"/>
    </row>
    <row r="1463">
      <c r="D1463" s="123"/>
    </row>
    <row r="1464">
      <c r="D1464" s="123"/>
    </row>
    <row r="1465">
      <c r="D1465" s="123"/>
    </row>
    <row r="1466">
      <c r="D1466" s="123"/>
    </row>
    <row r="1467">
      <c r="D1467" s="123"/>
    </row>
    <row r="1468">
      <c r="D1468" s="123"/>
    </row>
    <row r="1469">
      <c r="D1469" s="123"/>
    </row>
    <row r="1470">
      <c r="D1470" s="123"/>
    </row>
    <row r="1471">
      <c r="D1471" s="123"/>
    </row>
    <row r="1472">
      <c r="D1472" s="123"/>
    </row>
    <row r="1473">
      <c r="D1473" s="123"/>
    </row>
    <row r="1474">
      <c r="D1474" s="123"/>
    </row>
    <row r="1475">
      <c r="D1475" s="123"/>
    </row>
    <row r="1476">
      <c r="D1476" s="123"/>
    </row>
    <row r="1477">
      <c r="D1477" s="123"/>
    </row>
    <row r="1478">
      <c r="D1478" s="123"/>
    </row>
    <row r="1479">
      <c r="D1479" s="123"/>
    </row>
    <row r="1480">
      <c r="D1480" s="123"/>
    </row>
    <row r="1481">
      <c r="D1481" s="123"/>
    </row>
    <row r="1482">
      <c r="D1482" s="123"/>
    </row>
    <row r="1483">
      <c r="D1483" s="123"/>
    </row>
    <row r="1484">
      <c r="D1484" s="123"/>
    </row>
    <row r="1485">
      <c r="D1485" s="123"/>
    </row>
    <row r="1486">
      <c r="D1486" s="123"/>
    </row>
    <row r="1487">
      <c r="D1487" s="123"/>
    </row>
    <row r="1488">
      <c r="D1488" s="123"/>
    </row>
    <row r="1489">
      <c r="D1489" s="123"/>
    </row>
    <row r="1490">
      <c r="D1490" s="123"/>
    </row>
    <row r="1491">
      <c r="D1491" s="123"/>
    </row>
    <row r="1492">
      <c r="D1492" s="123"/>
    </row>
    <row r="1493">
      <c r="D1493" s="123"/>
    </row>
    <row r="1494">
      <c r="D1494" s="123"/>
    </row>
    <row r="1495">
      <c r="D1495" s="123"/>
    </row>
    <row r="1496">
      <c r="D1496" s="123"/>
    </row>
    <row r="1497">
      <c r="D1497" s="123"/>
    </row>
    <row r="1498">
      <c r="D1498" s="123"/>
    </row>
    <row r="1499">
      <c r="D1499" s="123"/>
    </row>
    <row r="1500">
      <c r="D1500" s="123"/>
    </row>
    <row r="1501">
      <c r="D1501" s="123"/>
    </row>
    <row r="1502">
      <c r="D1502" s="123"/>
    </row>
    <row r="1503">
      <c r="D1503" s="123"/>
    </row>
    <row r="1504">
      <c r="D1504" s="123"/>
    </row>
    <row r="1505">
      <c r="D1505" s="123"/>
    </row>
    <row r="1506">
      <c r="D1506" s="123"/>
    </row>
    <row r="1507">
      <c r="D1507" s="123"/>
    </row>
    <row r="1508">
      <c r="D1508" s="123"/>
    </row>
    <row r="1509">
      <c r="D1509" s="123"/>
    </row>
    <row r="1510">
      <c r="D1510" s="123"/>
    </row>
    <row r="1511">
      <c r="D1511" s="123"/>
    </row>
    <row r="1512">
      <c r="D1512" s="123"/>
    </row>
    <row r="1513">
      <c r="D1513" s="123"/>
    </row>
    <row r="1514">
      <c r="D1514" s="123"/>
    </row>
    <row r="1515">
      <c r="D1515" s="123"/>
    </row>
    <row r="1516">
      <c r="D1516" s="123"/>
    </row>
    <row r="1517">
      <c r="D1517" s="123"/>
    </row>
    <row r="1518">
      <c r="D1518" s="123"/>
    </row>
    <row r="1519">
      <c r="D1519" s="123"/>
    </row>
    <row r="1520">
      <c r="D1520" s="123"/>
    </row>
    <row r="1521">
      <c r="D1521" s="123"/>
    </row>
    <row r="1522">
      <c r="D1522" s="123"/>
    </row>
    <row r="1523">
      <c r="D1523" s="123"/>
    </row>
    <row r="1524">
      <c r="D1524" s="123"/>
    </row>
    <row r="1525">
      <c r="D1525" s="123"/>
    </row>
    <row r="1526">
      <c r="D1526" s="123"/>
    </row>
    <row r="1527">
      <c r="D1527" s="123"/>
    </row>
    <row r="1528">
      <c r="D1528" s="123"/>
    </row>
    <row r="1529">
      <c r="D1529" s="123"/>
    </row>
    <row r="1530">
      <c r="D1530" s="123"/>
    </row>
    <row r="1531">
      <c r="D1531" s="123"/>
    </row>
    <row r="1532">
      <c r="D1532" s="123"/>
    </row>
    <row r="1533">
      <c r="D1533" s="123"/>
    </row>
    <row r="1534">
      <c r="D1534" s="123"/>
    </row>
    <row r="1535">
      <c r="D1535" s="123"/>
    </row>
    <row r="1536">
      <c r="D1536" s="123"/>
    </row>
    <row r="1537">
      <c r="D1537" s="123"/>
    </row>
    <row r="1538">
      <c r="D1538" s="123"/>
    </row>
    <row r="1539">
      <c r="D1539" s="123"/>
    </row>
    <row r="1540">
      <c r="D1540" s="123"/>
    </row>
    <row r="1541">
      <c r="D1541" s="123"/>
    </row>
    <row r="1542">
      <c r="D1542" s="123"/>
    </row>
    <row r="1543">
      <c r="D1543" s="123"/>
    </row>
    <row r="1544">
      <c r="D1544" s="123"/>
    </row>
    <row r="1545">
      <c r="D1545" s="123"/>
    </row>
    <row r="1546">
      <c r="D1546" s="123"/>
    </row>
    <row r="1547">
      <c r="D1547" s="123"/>
    </row>
    <row r="1548">
      <c r="D1548" s="123"/>
    </row>
    <row r="1549">
      <c r="D1549" s="123"/>
    </row>
    <row r="1550">
      <c r="D1550" s="123"/>
    </row>
    <row r="1551">
      <c r="D1551" s="123"/>
    </row>
    <row r="1552">
      <c r="D1552" s="123"/>
    </row>
    <row r="1553">
      <c r="D1553" s="123"/>
    </row>
    <row r="1554">
      <c r="D1554" s="123"/>
    </row>
    <row r="1555">
      <c r="D1555" s="123"/>
    </row>
    <row r="1556">
      <c r="D1556" s="123"/>
    </row>
    <row r="1557">
      <c r="D1557" s="123"/>
    </row>
    <row r="1558">
      <c r="D1558" s="123"/>
    </row>
    <row r="1559">
      <c r="D1559" s="123"/>
    </row>
    <row r="1560">
      <c r="D1560" s="123"/>
    </row>
    <row r="1561">
      <c r="D1561" s="123"/>
    </row>
    <row r="1562">
      <c r="D1562" s="123"/>
    </row>
    <row r="1563">
      <c r="D1563" s="123"/>
    </row>
    <row r="1564">
      <c r="D1564" s="123"/>
    </row>
    <row r="1565">
      <c r="D1565" s="123"/>
    </row>
    <row r="1566">
      <c r="D1566" s="123"/>
    </row>
    <row r="1567">
      <c r="D1567" s="123"/>
    </row>
    <row r="1568">
      <c r="D1568" s="123"/>
    </row>
    <row r="1569">
      <c r="D1569" s="123"/>
    </row>
    <row r="1570">
      <c r="D1570" s="123"/>
    </row>
    <row r="1571">
      <c r="D1571" s="123"/>
    </row>
    <row r="1572">
      <c r="D1572" s="123"/>
    </row>
    <row r="1573">
      <c r="D1573" s="123"/>
    </row>
    <row r="1574">
      <c r="D1574" s="123"/>
    </row>
    <row r="1575">
      <c r="D1575" s="123"/>
    </row>
    <row r="1576">
      <c r="D1576" s="123"/>
    </row>
    <row r="1577">
      <c r="D1577" s="123"/>
    </row>
    <row r="1578">
      <c r="D1578" s="123"/>
    </row>
    <row r="1579">
      <c r="D1579" s="123"/>
    </row>
    <row r="1580">
      <c r="D1580" s="123"/>
    </row>
    <row r="1581">
      <c r="D1581" s="123"/>
    </row>
    <row r="1582">
      <c r="D1582" s="123"/>
    </row>
    <row r="1583">
      <c r="D1583" s="123"/>
    </row>
    <row r="1584">
      <c r="D1584" s="123"/>
    </row>
    <row r="1585">
      <c r="D1585" s="123"/>
    </row>
    <row r="1586">
      <c r="D1586" s="123"/>
    </row>
    <row r="1587">
      <c r="D1587" s="123"/>
    </row>
    <row r="1588">
      <c r="D1588" s="123"/>
    </row>
    <row r="1589">
      <c r="D1589" s="123"/>
    </row>
    <row r="1590">
      <c r="D1590" s="123"/>
    </row>
    <row r="1591">
      <c r="D1591" s="123"/>
    </row>
    <row r="1592">
      <c r="D1592" s="123"/>
    </row>
    <row r="1593">
      <c r="D1593" s="123"/>
    </row>
    <row r="1594">
      <c r="D1594" s="123"/>
    </row>
    <row r="1595">
      <c r="D1595" s="123"/>
    </row>
    <row r="1596">
      <c r="D1596" s="123"/>
    </row>
    <row r="1597">
      <c r="D1597" s="123"/>
    </row>
    <row r="1598">
      <c r="D1598" s="123"/>
    </row>
    <row r="1599">
      <c r="D1599" s="123"/>
    </row>
    <row r="1600">
      <c r="D1600" s="123"/>
    </row>
    <row r="1601">
      <c r="D1601" s="123"/>
    </row>
    <row r="1602">
      <c r="D1602" s="123"/>
    </row>
    <row r="1603">
      <c r="D1603" s="123"/>
    </row>
    <row r="1604">
      <c r="D1604" s="123"/>
    </row>
    <row r="1605">
      <c r="D1605" s="123"/>
    </row>
    <row r="1606">
      <c r="D1606" s="123"/>
    </row>
    <row r="1607">
      <c r="D1607" s="123"/>
    </row>
    <row r="1608">
      <c r="D1608" s="123"/>
    </row>
    <row r="1609">
      <c r="D1609" s="123"/>
    </row>
    <row r="1610">
      <c r="D1610" s="123"/>
    </row>
    <row r="1611">
      <c r="D1611" s="123"/>
    </row>
    <row r="1612">
      <c r="D1612" s="123"/>
    </row>
    <row r="1613">
      <c r="D1613" s="123"/>
    </row>
    <row r="1614">
      <c r="D1614" s="123"/>
    </row>
    <row r="1615">
      <c r="D1615" s="123"/>
    </row>
    <row r="1616">
      <c r="D1616" s="123"/>
    </row>
    <row r="1617">
      <c r="D1617" s="123"/>
    </row>
    <row r="1618">
      <c r="D1618" s="123"/>
    </row>
    <row r="1619">
      <c r="D1619" s="123"/>
    </row>
    <row r="1620">
      <c r="D1620" s="123"/>
    </row>
    <row r="1621">
      <c r="D1621" s="123"/>
    </row>
    <row r="1622">
      <c r="D1622" s="123"/>
    </row>
    <row r="1623">
      <c r="D1623" s="123"/>
    </row>
    <row r="1624">
      <c r="D1624" s="123"/>
    </row>
    <row r="1625">
      <c r="D1625" s="123"/>
    </row>
    <row r="1626">
      <c r="D1626" s="123"/>
    </row>
    <row r="1627">
      <c r="D1627" s="123"/>
    </row>
    <row r="1628">
      <c r="D1628" s="123"/>
    </row>
    <row r="1629">
      <c r="D1629" s="123"/>
    </row>
    <row r="1630">
      <c r="D1630" s="123"/>
    </row>
    <row r="1631">
      <c r="D1631" s="123"/>
    </row>
    <row r="1632">
      <c r="D1632" s="123"/>
    </row>
    <row r="1633">
      <c r="D1633" s="123"/>
    </row>
    <row r="1634">
      <c r="D1634" s="123"/>
    </row>
    <row r="1635">
      <c r="D1635" s="123"/>
    </row>
    <row r="1636">
      <c r="D1636" s="123"/>
    </row>
    <row r="1637">
      <c r="D1637" s="123"/>
    </row>
    <row r="1638">
      <c r="D1638" s="123"/>
    </row>
    <row r="1639">
      <c r="D1639" s="123"/>
    </row>
    <row r="1640">
      <c r="D1640" s="123"/>
    </row>
    <row r="1641">
      <c r="D1641" s="123"/>
    </row>
    <row r="1642">
      <c r="D1642" s="123"/>
    </row>
    <row r="1643">
      <c r="D1643" s="123"/>
    </row>
    <row r="1644">
      <c r="D1644" s="123"/>
    </row>
    <row r="1645">
      <c r="D1645" s="123"/>
    </row>
    <row r="1646">
      <c r="D1646" s="123"/>
    </row>
    <row r="1647">
      <c r="D1647" s="123"/>
    </row>
    <row r="1648">
      <c r="D1648" s="123"/>
    </row>
    <row r="1649">
      <c r="D1649" s="123"/>
    </row>
    <row r="1650">
      <c r="D1650" s="123"/>
    </row>
    <row r="1651">
      <c r="D1651" s="123"/>
    </row>
    <row r="1652">
      <c r="D1652" s="123"/>
    </row>
    <row r="1653">
      <c r="D1653" s="123"/>
    </row>
    <row r="1654">
      <c r="D1654" s="123"/>
    </row>
    <row r="1655">
      <c r="D1655" s="123"/>
    </row>
    <row r="1656">
      <c r="D1656" s="123"/>
    </row>
    <row r="1657">
      <c r="D1657" s="123"/>
    </row>
    <row r="1658">
      <c r="D1658" s="123"/>
    </row>
    <row r="1659">
      <c r="D1659" s="123"/>
    </row>
    <row r="1660">
      <c r="D1660" s="123"/>
    </row>
    <row r="1661">
      <c r="D1661" s="123"/>
    </row>
    <row r="1662">
      <c r="D1662" s="123"/>
    </row>
    <row r="1663">
      <c r="D1663" s="123"/>
    </row>
    <row r="1664">
      <c r="D1664" s="123"/>
    </row>
    <row r="1665">
      <c r="D1665" s="123"/>
    </row>
    <row r="1666">
      <c r="D1666" s="123"/>
    </row>
    <row r="1667">
      <c r="D1667" s="123"/>
    </row>
    <row r="1668">
      <c r="D1668" s="123"/>
    </row>
    <row r="1669">
      <c r="D1669" s="123"/>
    </row>
    <row r="1670">
      <c r="D1670" s="123"/>
    </row>
    <row r="1671">
      <c r="D1671" s="123"/>
    </row>
    <row r="1672">
      <c r="D1672" s="123"/>
    </row>
    <row r="1673">
      <c r="D1673" s="123"/>
    </row>
    <row r="1674">
      <c r="D1674" s="123"/>
    </row>
    <row r="1675">
      <c r="D1675" s="123"/>
    </row>
    <row r="1676">
      <c r="D1676" s="123"/>
    </row>
    <row r="1677">
      <c r="D1677" s="123"/>
    </row>
    <row r="1678">
      <c r="D1678" s="123"/>
    </row>
    <row r="1679">
      <c r="D1679" s="123"/>
    </row>
    <row r="1680">
      <c r="D1680" s="123"/>
    </row>
    <row r="1681">
      <c r="D1681" s="123"/>
    </row>
    <row r="1682">
      <c r="D1682" s="123"/>
    </row>
    <row r="1683">
      <c r="D1683" s="123"/>
    </row>
    <row r="1684">
      <c r="D1684" s="123"/>
    </row>
    <row r="1685">
      <c r="D1685" s="123"/>
    </row>
    <row r="1686">
      <c r="D1686" s="123"/>
    </row>
    <row r="1687">
      <c r="D1687" s="123"/>
    </row>
    <row r="1688">
      <c r="D1688" s="123"/>
    </row>
    <row r="1689">
      <c r="D1689" s="123"/>
    </row>
    <row r="1690">
      <c r="D1690" s="123"/>
    </row>
    <row r="1691">
      <c r="D1691" s="123"/>
    </row>
    <row r="1692">
      <c r="D1692" s="123"/>
    </row>
    <row r="1693">
      <c r="D1693" s="123"/>
    </row>
    <row r="1694">
      <c r="D1694" s="123"/>
    </row>
    <row r="1695">
      <c r="D1695" s="123"/>
    </row>
    <row r="1696">
      <c r="D1696" s="123"/>
    </row>
    <row r="1697">
      <c r="D1697" s="123"/>
    </row>
    <row r="1698">
      <c r="D1698" s="123"/>
    </row>
    <row r="1699">
      <c r="D1699" s="123"/>
    </row>
    <row r="1700">
      <c r="D1700" s="123"/>
    </row>
    <row r="1701">
      <c r="D1701" s="123"/>
    </row>
    <row r="1702">
      <c r="D1702" s="123"/>
    </row>
    <row r="1703">
      <c r="D1703" s="123"/>
    </row>
    <row r="1704">
      <c r="D1704" s="123"/>
    </row>
    <row r="1705">
      <c r="D1705" s="123"/>
    </row>
    <row r="1706">
      <c r="D1706" s="123"/>
    </row>
    <row r="1707">
      <c r="D1707" s="123"/>
    </row>
    <row r="1708">
      <c r="D1708" s="123"/>
    </row>
    <row r="1709">
      <c r="D1709" s="123"/>
    </row>
    <row r="1710">
      <c r="D1710" s="123"/>
    </row>
    <row r="1711">
      <c r="D1711" s="123"/>
    </row>
    <row r="1712">
      <c r="D1712" s="123"/>
    </row>
    <row r="1713">
      <c r="D1713" s="123"/>
    </row>
    <row r="1714">
      <c r="D1714" s="123"/>
    </row>
    <row r="1715">
      <c r="D1715" s="123"/>
    </row>
    <row r="1716">
      <c r="D1716" s="123"/>
    </row>
    <row r="1717">
      <c r="D1717" s="123"/>
    </row>
    <row r="1718">
      <c r="D1718" s="123"/>
    </row>
    <row r="1719">
      <c r="D1719" s="123"/>
    </row>
    <row r="1720">
      <c r="D1720" s="123"/>
    </row>
    <row r="1721">
      <c r="D1721" s="123"/>
    </row>
    <row r="1722">
      <c r="D1722" s="123"/>
    </row>
    <row r="1723">
      <c r="D1723" s="123"/>
    </row>
    <row r="1724">
      <c r="D1724" s="123"/>
    </row>
    <row r="1725">
      <c r="D1725" s="123"/>
    </row>
    <row r="1726">
      <c r="D1726" s="123"/>
    </row>
    <row r="1727">
      <c r="D1727" s="123"/>
    </row>
    <row r="1728">
      <c r="D1728" s="123"/>
    </row>
    <row r="1729">
      <c r="D1729" s="123"/>
    </row>
    <row r="1730">
      <c r="D1730" s="123"/>
    </row>
    <row r="1731">
      <c r="D1731" s="123"/>
    </row>
    <row r="1732">
      <c r="D1732" s="123"/>
    </row>
    <row r="1733">
      <c r="D1733" s="123"/>
    </row>
    <row r="1734">
      <c r="D1734" s="123"/>
    </row>
    <row r="1735">
      <c r="D1735" s="123"/>
    </row>
    <row r="1736">
      <c r="D1736" s="123"/>
    </row>
    <row r="1737">
      <c r="D1737" s="123"/>
    </row>
    <row r="1738">
      <c r="D1738" s="123"/>
    </row>
    <row r="1739">
      <c r="D1739" s="123"/>
    </row>
    <row r="1740">
      <c r="D1740" s="123"/>
    </row>
    <row r="1741">
      <c r="D1741" s="123"/>
    </row>
    <row r="1742">
      <c r="D1742" s="123"/>
    </row>
    <row r="1743">
      <c r="D1743" s="123"/>
    </row>
    <row r="1744">
      <c r="D1744" s="123"/>
    </row>
    <row r="1745">
      <c r="D1745" s="123"/>
    </row>
    <row r="1746">
      <c r="D1746" s="123"/>
    </row>
    <row r="1747">
      <c r="D1747" s="123"/>
    </row>
    <row r="1748">
      <c r="D1748" s="123"/>
    </row>
    <row r="1749">
      <c r="D1749" s="123"/>
    </row>
    <row r="1750">
      <c r="D1750" s="123"/>
    </row>
    <row r="1751">
      <c r="D1751" s="123"/>
    </row>
    <row r="1752">
      <c r="D1752" s="123"/>
    </row>
    <row r="1753">
      <c r="D1753" s="123"/>
    </row>
    <row r="1754">
      <c r="D1754" s="123"/>
    </row>
    <row r="1755">
      <c r="D1755" s="123"/>
    </row>
    <row r="1756">
      <c r="D1756" s="123"/>
    </row>
    <row r="1757">
      <c r="D1757" s="123"/>
    </row>
    <row r="1758">
      <c r="D1758" s="123"/>
    </row>
    <row r="1759">
      <c r="D1759" s="123"/>
    </row>
    <row r="1760">
      <c r="D1760" s="123"/>
    </row>
    <row r="1761">
      <c r="D1761" s="123"/>
    </row>
    <row r="1762">
      <c r="D1762" s="123"/>
    </row>
    <row r="1763">
      <c r="D1763" s="123"/>
    </row>
    <row r="1764">
      <c r="D1764" s="123"/>
    </row>
    <row r="1765">
      <c r="D1765" s="123"/>
    </row>
    <row r="1766">
      <c r="D1766" s="123"/>
    </row>
    <row r="1767">
      <c r="D1767" s="123"/>
    </row>
    <row r="1768">
      <c r="D1768" s="123"/>
    </row>
    <row r="1769">
      <c r="D1769" s="123"/>
    </row>
    <row r="1770">
      <c r="D1770" s="123"/>
    </row>
    <row r="1771">
      <c r="D1771" s="123"/>
    </row>
    <row r="1772">
      <c r="D1772" s="123"/>
    </row>
    <row r="1773">
      <c r="D1773" s="123"/>
    </row>
    <row r="1774">
      <c r="D1774" s="123"/>
    </row>
    <row r="1775">
      <c r="D1775" s="123"/>
    </row>
    <row r="1776">
      <c r="D1776" s="123"/>
    </row>
    <row r="1777">
      <c r="D1777" s="123"/>
    </row>
    <row r="1778">
      <c r="D1778" s="123"/>
    </row>
    <row r="1779">
      <c r="D1779" s="123"/>
    </row>
    <row r="1780">
      <c r="D1780" s="123"/>
    </row>
    <row r="1781">
      <c r="D1781" s="123"/>
    </row>
    <row r="1782">
      <c r="D1782" s="123"/>
    </row>
    <row r="1783">
      <c r="D1783" s="123"/>
    </row>
    <row r="1784">
      <c r="D1784" s="123"/>
    </row>
    <row r="1785">
      <c r="D1785" s="123"/>
    </row>
    <row r="1786">
      <c r="D1786" s="123"/>
    </row>
    <row r="1787">
      <c r="D1787" s="123"/>
    </row>
    <row r="1788">
      <c r="D1788" s="123"/>
    </row>
    <row r="1789">
      <c r="D1789" s="123"/>
    </row>
    <row r="1790">
      <c r="D1790" s="123"/>
    </row>
    <row r="1791">
      <c r="D1791" s="123"/>
    </row>
    <row r="1792">
      <c r="D1792" s="123"/>
    </row>
    <row r="1793">
      <c r="D1793" s="123"/>
    </row>
    <row r="1794">
      <c r="D1794" s="123"/>
    </row>
    <row r="1795">
      <c r="D1795" s="123"/>
    </row>
    <row r="1796">
      <c r="D1796" s="123"/>
    </row>
    <row r="1797">
      <c r="D1797" s="123"/>
    </row>
    <row r="1798">
      <c r="D1798" s="123"/>
    </row>
    <row r="1799">
      <c r="D1799" s="123"/>
    </row>
    <row r="1800">
      <c r="D1800" s="123"/>
    </row>
    <row r="1801">
      <c r="D1801" s="123"/>
    </row>
    <row r="1802">
      <c r="D1802" s="123"/>
    </row>
    <row r="1803">
      <c r="D1803" s="123"/>
    </row>
    <row r="1804">
      <c r="D1804" s="123"/>
    </row>
    <row r="1805">
      <c r="D1805" s="123"/>
    </row>
    <row r="1806">
      <c r="D1806" s="123"/>
    </row>
    <row r="1807">
      <c r="D1807" s="123"/>
    </row>
    <row r="1808">
      <c r="D1808" s="123"/>
    </row>
    <row r="1809">
      <c r="D1809" s="123"/>
    </row>
    <row r="1810">
      <c r="D1810" s="123"/>
    </row>
    <row r="1811">
      <c r="D1811" s="123"/>
    </row>
    <row r="1812">
      <c r="D1812" s="123"/>
    </row>
    <row r="1813">
      <c r="D1813" s="123"/>
    </row>
    <row r="1814">
      <c r="D1814" s="123"/>
    </row>
    <row r="1815">
      <c r="D1815" s="123"/>
    </row>
    <row r="1816">
      <c r="D1816" s="123"/>
    </row>
    <row r="1817">
      <c r="D1817" s="123"/>
    </row>
    <row r="1818">
      <c r="D1818" s="123"/>
    </row>
    <row r="1819">
      <c r="D1819" s="123"/>
    </row>
    <row r="1820">
      <c r="D1820" s="123"/>
    </row>
    <row r="1821">
      <c r="D1821" s="123"/>
    </row>
    <row r="1822">
      <c r="D1822" s="123"/>
    </row>
    <row r="1823">
      <c r="D1823" s="123"/>
    </row>
    <row r="1824">
      <c r="D1824" s="123"/>
    </row>
    <row r="1825">
      <c r="D1825" s="123"/>
    </row>
    <row r="1826">
      <c r="D1826" s="123"/>
    </row>
    <row r="1827">
      <c r="D1827" s="123"/>
    </row>
    <row r="1828">
      <c r="D1828" s="123"/>
    </row>
    <row r="1829">
      <c r="D1829" s="123"/>
    </row>
    <row r="1830">
      <c r="D1830" s="123"/>
    </row>
    <row r="1831">
      <c r="D1831" s="123"/>
    </row>
    <row r="1832">
      <c r="D1832" s="123"/>
    </row>
    <row r="1833">
      <c r="D1833" s="123"/>
    </row>
    <row r="1834">
      <c r="D1834" s="123"/>
    </row>
    <row r="1835">
      <c r="D1835" s="123"/>
    </row>
    <row r="1836">
      <c r="D1836" s="123"/>
    </row>
    <row r="1837">
      <c r="D1837" s="123"/>
    </row>
    <row r="1838">
      <c r="D1838" s="123"/>
    </row>
    <row r="1839">
      <c r="D1839" s="123"/>
    </row>
    <row r="1840">
      <c r="D1840" s="123"/>
    </row>
    <row r="1841">
      <c r="D1841" s="123"/>
    </row>
    <row r="1842">
      <c r="D1842" s="123"/>
    </row>
    <row r="1843">
      <c r="D1843" s="123"/>
    </row>
    <row r="1844">
      <c r="D1844" s="123"/>
    </row>
    <row r="1845">
      <c r="D1845" s="123"/>
    </row>
    <row r="1846">
      <c r="D1846" s="123"/>
    </row>
    <row r="1847">
      <c r="D1847" s="123"/>
    </row>
    <row r="1848">
      <c r="D1848" s="123"/>
    </row>
    <row r="1849">
      <c r="D1849" s="123"/>
    </row>
    <row r="1850">
      <c r="D1850" s="123"/>
    </row>
    <row r="1851">
      <c r="D1851" s="123"/>
    </row>
    <row r="1852">
      <c r="D1852" s="123"/>
    </row>
    <row r="1853">
      <c r="D1853" s="123"/>
    </row>
    <row r="1854">
      <c r="D1854" s="123"/>
    </row>
    <row r="1855">
      <c r="D1855" s="123"/>
    </row>
    <row r="1856">
      <c r="D1856" s="123"/>
    </row>
    <row r="1857">
      <c r="D1857" s="123"/>
    </row>
    <row r="1858">
      <c r="D1858" s="123"/>
    </row>
    <row r="1859">
      <c r="D1859" s="123"/>
    </row>
    <row r="1860">
      <c r="D1860" s="123"/>
    </row>
    <row r="1861">
      <c r="D1861" s="123"/>
    </row>
    <row r="1862">
      <c r="D1862" s="123"/>
    </row>
    <row r="1863">
      <c r="D1863" s="123"/>
    </row>
    <row r="1864">
      <c r="D1864" s="123"/>
    </row>
    <row r="1865">
      <c r="D1865" s="123"/>
    </row>
    <row r="1866">
      <c r="D1866" s="123"/>
    </row>
    <row r="1867">
      <c r="D1867" s="123"/>
    </row>
    <row r="1868">
      <c r="D1868" s="123"/>
    </row>
    <row r="1869">
      <c r="D1869" s="123"/>
    </row>
    <row r="1870">
      <c r="D1870" s="123"/>
    </row>
    <row r="1871">
      <c r="D1871" s="123"/>
    </row>
    <row r="1872">
      <c r="D1872" s="123"/>
    </row>
    <row r="1873">
      <c r="D1873" s="123"/>
    </row>
    <row r="1874">
      <c r="D1874" s="123"/>
    </row>
    <row r="1875">
      <c r="D1875" s="123"/>
    </row>
    <row r="1876">
      <c r="D1876" s="123"/>
    </row>
    <row r="1877">
      <c r="D1877" s="123"/>
    </row>
    <row r="1878">
      <c r="D1878" s="123"/>
    </row>
    <row r="1879">
      <c r="D1879" s="123"/>
    </row>
    <row r="1880">
      <c r="D1880" s="123"/>
    </row>
    <row r="1881">
      <c r="D1881" s="123"/>
    </row>
    <row r="1882">
      <c r="D1882" s="123"/>
    </row>
    <row r="1883">
      <c r="D1883" s="123"/>
    </row>
    <row r="1884">
      <c r="D1884" s="123"/>
    </row>
    <row r="1885">
      <c r="D1885" s="123"/>
    </row>
    <row r="1886">
      <c r="D1886" s="123"/>
    </row>
    <row r="1887">
      <c r="D1887" s="123"/>
    </row>
    <row r="1888">
      <c r="D1888" s="123"/>
    </row>
    <row r="1889">
      <c r="D1889" s="123"/>
    </row>
    <row r="1890">
      <c r="D1890" s="123"/>
    </row>
    <row r="1891">
      <c r="D1891" s="123"/>
    </row>
    <row r="1892">
      <c r="D1892" s="123"/>
    </row>
    <row r="1893">
      <c r="D1893" s="123"/>
    </row>
    <row r="1894">
      <c r="D1894" s="123"/>
    </row>
    <row r="1895">
      <c r="D1895" s="123"/>
    </row>
    <row r="1896">
      <c r="D1896" s="123"/>
    </row>
    <row r="1897">
      <c r="D1897" s="123"/>
    </row>
    <row r="1898">
      <c r="D1898" s="123"/>
    </row>
    <row r="1899">
      <c r="D1899" s="123"/>
    </row>
    <row r="1900">
      <c r="D1900" s="123"/>
    </row>
    <row r="1901">
      <c r="D1901" s="123"/>
    </row>
    <row r="1902">
      <c r="D1902" s="123"/>
    </row>
    <row r="1903">
      <c r="D1903" s="123"/>
    </row>
    <row r="1904">
      <c r="D1904" s="123"/>
    </row>
    <row r="1905">
      <c r="D1905" s="123"/>
    </row>
    <row r="1906">
      <c r="D1906" s="123"/>
    </row>
    <row r="1907">
      <c r="D1907" s="123"/>
    </row>
    <row r="1908">
      <c r="D1908" s="123"/>
    </row>
    <row r="1909">
      <c r="D1909" s="123"/>
    </row>
    <row r="1910">
      <c r="D1910" s="123"/>
    </row>
    <row r="1911">
      <c r="D1911" s="123"/>
    </row>
    <row r="1912">
      <c r="D1912" s="123"/>
    </row>
    <row r="1913">
      <c r="D1913" s="123"/>
    </row>
    <row r="1914">
      <c r="D1914" s="123"/>
    </row>
    <row r="1915">
      <c r="D1915" s="123"/>
    </row>
    <row r="1916">
      <c r="D1916" s="123"/>
    </row>
    <row r="1917">
      <c r="D1917" s="123"/>
    </row>
    <row r="1918">
      <c r="D1918" s="123"/>
    </row>
    <row r="1919">
      <c r="D1919" s="123"/>
    </row>
    <row r="1920">
      <c r="D1920" s="123"/>
    </row>
    <row r="1921">
      <c r="D1921" s="123"/>
    </row>
    <row r="1922">
      <c r="D1922" s="123"/>
    </row>
    <row r="1923">
      <c r="D1923" s="123"/>
    </row>
    <row r="1924">
      <c r="D1924" s="123"/>
    </row>
    <row r="1925">
      <c r="D1925" s="123"/>
    </row>
    <row r="1926">
      <c r="D1926" s="123"/>
    </row>
    <row r="1927">
      <c r="D1927" s="123"/>
    </row>
    <row r="1928">
      <c r="D1928" s="123"/>
    </row>
    <row r="1929">
      <c r="D1929" s="123"/>
    </row>
    <row r="1930">
      <c r="D1930" s="123"/>
    </row>
    <row r="1931">
      <c r="D1931" s="123"/>
    </row>
    <row r="1932">
      <c r="D1932" s="123"/>
    </row>
    <row r="1933">
      <c r="D1933" s="123"/>
    </row>
    <row r="1934">
      <c r="D1934" s="123"/>
    </row>
    <row r="1935">
      <c r="D1935" s="123"/>
    </row>
    <row r="1936">
      <c r="D1936" s="123"/>
    </row>
    <row r="1937">
      <c r="D1937" s="123"/>
    </row>
    <row r="1938">
      <c r="D1938" s="123"/>
    </row>
    <row r="1939">
      <c r="D1939" s="123"/>
    </row>
    <row r="1940">
      <c r="D1940" s="123"/>
    </row>
    <row r="1941">
      <c r="D1941" s="123"/>
    </row>
    <row r="1942">
      <c r="D1942" s="123"/>
    </row>
    <row r="1943">
      <c r="D1943" s="123"/>
    </row>
    <row r="1944">
      <c r="D1944" s="123"/>
    </row>
    <row r="1945">
      <c r="D1945" s="123"/>
    </row>
    <row r="1946">
      <c r="D1946" s="123"/>
    </row>
    <row r="1947">
      <c r="D1947" s="123"/>
    </row>
    <row r="1948">
      <c r="D1948" s="123"/>
    </row>
    <row r="1949">
      <c r="D1949" s="123"/>
    </row>
    <row r="1950">
      <c r="D1950" s="123"/>
    </row>
    <row r="1951">
      <c r="D1951" s="123"/>
    </row>
    <row r="1952">
      <c r="D1952" s="123"/>
    </row>
    <row r="1953">
      <c r="D1953" s="123"/>
    </row>
    <row r="1954">
      <c r="D1954" s="123"/>
    </row>
    <row r="1955">
      <c r="D1955" s="123"/>
    </row>
    <row r="1956">
      <c r="D1956" s="123"/>
    </row>
    <row r="1957">
      <c r="D1957" s="123"/>
    </row>
    <row r="1958">
      <c r="D1958" s="123"/>
    </row>
    <row r="1959">
      <c r="D1959" s="123"/>
    </row>
    <row r="1960">
      <c r="D1960" s="123"/>
    </row>
    <row r="1961">
      <c r="D1961" s="123"/>
    </row>
    <row r="1962">
      <c r="D1962" s="123"/>
    </row>
    <row r="1963">
      <c r="D1963" s="123"/>
    </row>
    <row r="1964">
      <c r="D1964" s="123"/>
    </row>
    <row r="1965">
      <c r="D1965" s="123"/>
    </row>
    <row r="1966">
      <c r="D1966" s="123"/>
    </row>
    <row r="1967">
      <c r="D1967" s="123"/>
    </row>
    <row r="1968">
      <c r="D1968" s="123"/>
    </row>
    <row r="1969">
      <c r="D1969" s="123"/>
    </row>
    <row r="1970">
      <c r="D1970" s="123"/>
    </row>
    <row r="1971">
      <c r="D1971" s="123"/>
    </row>
    <row r="1972">
      <c r="D1972" s="123"/>
    </row>
    <row r="1973">
      <c r="D1973" s="123"/>
    </row>
    <row r="1974">
      <c r="D1974" s="123"/>
    </row>
    <row r="1975">
      <c r="D1975" s="123"/>
    </row>
    <row r="1976">
      <c r="D1976" s="123"/>
    </row>
    <row r="1977">
      <c r="D1977" s="123"/>
    </row>
    <row r="1978">
      <c r="D1978" s="123"/>
    </row>
    <row r="1979">
      <c r="D1979" s="123"/>
    </row>
    <row r="1980">
      <c r="D1980" s="123"/>
    </row>
    <row r="1981">
      <c r="D1981" s="123"/>
    </row>
    <row r="1982">
      <c r="D1982" s="123"/>
    </row>
    <row r="1983">
      <c r="D1983" s="123"/>
    </row>
    <row r="1984">
      <c r="D1984" s="123"/>
    </row>
    <row r="1985">
      <c r="D1985" s="123"/>
    </row>
    <row r="1986">
      <c r="D1986" s="123"/>
    </row>
    <row r="1987">
      <c r="D1987" s="123"/>
    </row>
    <row r="1988">
      <c r="D1988" s="123"/>
    </row>
    <row r="1989">
      <c r="D1989" s="123"/>
    </row>
    <row r="1990">
      <c r="D1990" s="123"/>
    </row>
    <row r="1991">
      <c r="D1991" s="123"/>
    </row>
    <row r="1992">
      <c r="D1992" s="123"/>
    </row>
    <row r="1993">
      <c r="D1993" s="123"/>
    </row>
    <row r="1994">
      <c r="D1994" s="123"/>
    </row>
    <row r="1995">
      <c r="D1995" s="123"/>
    </row>
    <row r="1996">
      <c r="D1996" s="123"/>
    </row>
    <row r="1997">
      <c r="D1997" s="123"/>
    </row>
    <row r="1998">
      <c r="D1998" s="123"/>
    </row>
    <row r="1999">
      <c r="D1999" s="123"/>
    </row>
    <row r="2000">
      <c r="D2000" s="123"/>
    </row>
    <row r="2001">
      <c r="D2001" s="123"/>
    </row>
    <row r="2002">
      <c r="D2002" s="123"/>
    </row>
    <row r="2003">
      <c r="D2003" s="123"/>
    </row>
    <row r="2004">
      <c r="D2004" s="123"/>
    </row>
    <row r="2005">
      <c r="D2005" s="123"/>
    </row>
    <row r="2006">
      <c r="D2006" s="123"/>
    </row>
    <row r="2007">
      <c r="D2007" s="123"/>
    </row>
    <row r="2008">
      <c r="D2008" s="123"/>
    </row>
    <row r="2009">
      <c r="D2009" s="123"/>
    </row>
    <row r="2010">
      <c r="D2010" s="123"/>
    </row>
    <row r="2011">
      <c r="D2011" s="123"/>
    </row>
    <row r="2012">
      <c r="D2012" s="123"/>
    </row>
    <row r="2013">
      <c r="D2013" s="123"/>
    </row>
    <row r="2014">
      <c r="D2014" s="123"/>
    </row>
    <row r="2015">
      <c r="D2015" s="123"/>
    </row>
    <row r="2016">
      <c r="D2016" s="123"/>
    </row>
    <row r="2017">
      <c r="D2017" s="123"/>
    </row>
    <row r="2018">
      <c r="D2018" s="123"/>
    </row>
    <row r="2019">
      <c r="D2019" s="123"/>
    </row>
    <row r="2020">
      <c r="D2020" s="123"/>
    </row>
    <row r="2021">
      <c r="D2021" s="123"/>
    </row>
    <row r="2022">
      <c r="D2022" s="123"/>
    </row>
    <row r="2023">
      <c r="D2023" s="123"/>
    </row>
    <row r="2024">
      <c r="D2024" s="123"/>
    </row>
    <row r="2025">
      <c r="D2025" s="123"/>
    </row>
    <row r="2026">
      <c r="D2026" s="123"/>
    </row>
    <row r="2027">
      <c r="D2027" s="123"/>
    </row>
    <row r="2028">
      <c r="D2028" s="123"/>
    </row>
    <row r="2029">
      <c r="D2029" s="123"/>
    </row>
    <row r="2030">
      <c r="D2030" s="123"/>
    </row>
    <row r="2031">
      <c r="D2031" s="123"/>
    </row>
    <row r="2032">
      <c r="D2032" s="123"/>
    </row>
    <row r="2033">
      <c r="D2033" s="123"/>
    </row>
    <row r="2034">
      <c r="D2034" s="123"/>
    </row>
    <row r="2035">
      <c r="D2035" s="123"/>
    </row>
    <row r="2036">
      <c r="D2036" s="123"/>
    </row>
    <row r="2037">
      <c r="D2037" s="123"/>
    </row>
    <row r="2038">
      <c r="D2038" s="123"/>
    </row>
    <row r="2039">
      <c r="D2039" s="123"/>
    </row>
    <row r="2040">
      <c r="D2040" s="123"/>
    </row>
    <row r="2041">
      <c r="D2041" s="123"/>
    </row>
    <row r="2042">
      <c r="D2042" s="123"/>
    </row>
    <row r="2043">
      <c r="D2043" s="123"/>
    </row>
    <row r="2044">
      <c r="D2044" s="123"/>
    </row>
    <row r="2045">
      <c r="D2045" s="123"/>
    </row>
    <row r="2046">
      <c r="D2046" s="123"/>
    </row>
    <row r="2047">
      <c r="D2047" s="123"/>
    </row>
    <row r="2048">
      <c r="D2048" s="123"/>
    </row>
    <row r="2049">
      <c r="D2049" s="123"/>
    </row>
    <row r="2050">
      <c r="D2050" s="123"/>
    </row>
    <row r="2051">
      <c r="D2051" s="123"/>
    </row>
    <row r="2052">
      <c r="D2052" s="123"/>
    </row>
    <row r="2053">
      <c r="D2053" s="123"/>
    </row>
    <row r="2054">
      <c r="D2054" s="123"/>
    </row>
    <row r="2055">
      <c r="D2055" s="123"/>
    </row>
    <row r="2056">
      <c r="D2056" s="123"/>
    </row>
    <row r="2057">
      <c r="D2057" s="123"/>
    </row>
    <row r="2058">
      <c r="D2058" s="123"/>
    </row>
    <row r="2059">
      <c r="D2059" s="123"/>
    </row>
    <row r="2060">
      <c r="D2060" s="123"/>
    </row>
    <row r="2061">
      <c r="D2061" s="123"/>
    </row>
    <row r="2062">
      <c r="D2062" s="123"/>
    </row>
    <row r="2063">
      <c r="D2063" s="123"/>
    </row>
    <row r="2064">
      <c r="D2064" s="123"/>
    </row>
    <row r="2065">
      <c r="D2065" s="123"/>
    </row>
    <row r="2066">
      <c r="D2066" s="123"/>
    </row>
    <row r="2067">
      <c r="D2067" s="123"/>
    </row>
    <row r="2068">
      <c r="D2068" s="123"/>
    </row>
    <row r="2069">
      <c r="D2069" s="123"/>
    </row>
    <row r="2070">
      <c r="D2070" s="123"/>
    </row>
    <row r="2071">
      <c r="D2071" s="123"/>
    </row>
    <row r="2072">
      <c r="D2072" s="123"/>
    </row>
    <row r="2073">
      <c r="D2073" s="123"/>
    </row>
    <row r="2074">
      <c r="D2074" s="123"/>
    </row>
    <row r="2075">
      <c r="D2075" s="123"/>
    </row>
    <row r="2076">
      <c r="D2076" s="123"/>
    </row>
    <row r="2077">
      <c r="D2077" s="123"/>
    </row>
    <row r="2078">
      <c r="D2078" s="123"/>
    </row>
    <row r="2079">
      <c r="D2079" s="123"/>
    </row>
    <row r="2080">
      <c r="D2080" s="123"/>
    </row>
    <row r="2081">
      <c r="D2081" s="123"/>
    </row>
    <row r="2082">
      <c r="D2082" s="123"/>
    </row>
    <row r="2083">
      <c r="D2083" s="123"/>
    </row>
    <row r="2084">
      <c r="D2084" s="123"/>
    </row>
    <row r="2085">
      <c r="D2085" s="123"/>
    </row>
    <row r="2086">
      <c r="D2086" s="123"/>
    </row>
    <row r="2087">
      <c r="D2087" s="123"/>
    </row>
    <row r="2088">
      <c r="D2088" s="123"/>
    </row>
    <row r="2089">
      <c r="D2089" s="123"/>
    </row>
    <row r="2090">
      <c r="D2090" s="123"/>
    </row>
    <row r="2091">
      <c r="D2091" s="123"/>
    </row>
    <row r="2092">
      <c r="D2092" s="123"/>
    </row>
    <row r="2093">
      <c r="D2093" s="123"/>
    </row>
    <row r="2094">
      <c r="D2094" s="123"/>
    </row>
    <row r="2095">
      <c r="D2095" s="123"/>
    </row>
    <row r="2096">
      <c r="D2096" s="123"/>
    </row>
    <row r="2097">
      <c r="D2097" s="123"/>
    </row>
    <row r="2098">
      <c r="D2098" s="123"/>
    </row>
    <row r="2099">
      <c r="D2099" s="123"/>
    </row>
    <row r="2100">
      <c r="D2100" s="123"/>
    </row>
    <row r="2101">
      <c r="D2101" s="123"/>
    </row>
    <row r="2102">
      <c r="D2102" s="123"/>
    </row>
    <row r="2103">
      <c r="D2103" s="123"/>
    </row>
    <row r="2104">
      <c r="D2104" s="123"/>
    </row>
    <row r="2105">
      <c r="D2105" s="123"/>
    </row>
    <row r="2106">
      <c r="D2106" s="123"/>
    </row>
    <row r="2107">
      <c r="D2107" s="123"/>
    </row>
    <row r="2108">
      <c r="D2108" s="123"/>
    </row>
    <row r="2109">
      <c r="D2109" s="123"/>
    </row>
    <row r="2110">
      <c r="D2110" s="123"/>
    </row>
    <row r="2111">
      <c r="D2111" s="123"/>
    </row>
    <row r="2112">
      <c r="D2112" s="123"/>
    </row>
    <row r="2113">
      <c r="D2113" s="123"/>
    </row>
    <row r="2114">
      <c r="D2114" s="123"/>
    </row>
    <row r="2115">
      <c r="D2115" s="123"/>
    </row>
    <row r="2116">
      <c r="D2116" s="123"/>
    </row>
    <row r="2117">
      <c r="D2117" s="123"/>
    </row>
    <row r="2118">
      <c r="D2118" s="123"/>
    </row>
    <row r="2119">
      <c r="D2119" s="123"/>
    </row>
    <row r="2120">
      <c r="D2120" s="123"/>
    </row>
    <row r="2121">
      <c r="D2121" s="123"/>
    </row>
    <row r="2122">
      <c r="D2122" s="123"/>
    </row>
    <row r="2123">
      <c r="D2123" s="123"/>
    </row>
    <row r="2124">
      <c r="D2124" s="123"/>
    </row>
    <row r="2125">
      <c r="D2125" s="123"/>
    </row>
    <row r="2126">
      <c r="D2126" s="123"/>
    </row>
    <row r="2127">
      <c r="D2127" s="123"/>
    </row>
    <row r="2128">
      <c r="D2128" s="123"/>
    </row>
    <row r="2129">
      <c r="D2129" s="123"/>
    </row>
    <row r="2130">
      <c r="D2130" s="123"/>
    </row>
    <row r="2131">
      <c r="D2131" s="123"/>
    </row>
    <row r="2132">
      <c r="D2132" s="123"/>
    </row>
    <row r="2133">
      <c r="D2133" s="123"/>
    </row>
    <row r="2134">
      <c r="D2134" s="123"/>
    </row>
    <row r="2135">
      <c r="D2135" s="123"/>
    </row>
    <row r="2136">
      <c r="D2136" s="123"/>
    </row>
    <row r="2137">
      <c r="D2137" s="123"/>
    </row>
    <row r="2138">
      <c r="D2138" s="123"/>
    </row>
    <row r="2139">
      <c r="D2139" s="123"/>
    </row>
    <row r="2140">
      <c r="D2140" s="123"/>
    </row>
    <row r="2141">
      <c r="D2141" s="123"/>
    </row>
    <row r="2142">
      <c r="D2142" s="123"/>
    </row>
    <row r="2143">
      <c r="D2143" s="123"/>
    </row>
    <row r="2144">
      <c r="D2144" s="123"/>
    </row>
    <row r="2145">
      <c r="D2145" s="123"/>
    </row>
    <row r="2146">
      <c r="D2146" s="123"/>
    </row>
    <row r="2147">
      <c r="D2147" s="123"/>
    </row>
    <row r="2148">
      <c r="D2148" s="123"/>
    </row>
    <row r="2149">
      <c r="D2149" s="123"/>
    </row>
    <row r="2150">
      <c r="D2150" s="123"/>
    </row>
    <row r="2151">
      <c r="D2151" s="123"/>
    </row>
    <row r="2152">
      <c r="D2152" s="123"/>
    </row>
    <row r="2153">
      <c r="D2153" s="123"/>
    </row>
    <row r="2154">
      <c r="D2154" s="123"/>
    </row>
    <row r="2155">
      <c r="D2155" s="123"/>
    </row>
    <row r="2156">
      <c r="D2156" s="123"/>
    </row>
    <row r="2157">
      <c r="D2157" s="123"/>
    </row>
    <row r="2158">
      <c r="D2158" s="123"/>
    </row>
    <row r="2159">
      <c r="D2159" s="123"/>
    </row>
    <row r="2160">
      <c r="D2160" s="123"/>
    </row>
    <row r="2161">
      <c r="D2161" s="123"/>
    </row>
    <row r="2162">
      <c r="D2162" s="123"/>
    </row>
    <row r="2163">
      <c r="D2163" s="123"/>
    </row>
    <row r="2164">
      <c r="D2164" s="123"/>
    </row>
    <row r="2165">
      <c r="D2165" s="123"/>
    </row>
    <row r="2166">
      <c r="D2166" s="123"/>
    </row>
    <row r="2167">
      <c r="D2167" s="123"/>
    </row>
    <row r="2168">
      <c r="D2168" s="123"/>
    </row>
    <row r="2169">
      <c r="D2169" s="123"/>
    </row>
    <row r="2170">
      <c r="D2170" s="123"/>
    </row>
    <row r="2171">
      <c r="D2171" s="123"/>
    </row>
    <row r="2172">
      <c r="D2172" s="123"/>
    </row>
    <row r="2173">
      <c r="D2173" s="123"/>
    </row>
    <row r="2174">
      <c r="D2174" s="123"/>
    </row>
    <row r="2175">
      <c r="D2175" s="123"/>
    </row>
    <row r="2176">
      <c r="D2176" s="123"/>
    </row>
    <row r="2177">
      <c r="D2177" s="123"/>
    </row>
    <row r="2178">
      <c r="D2178" s="123"/>
    </row>
    <row r="2179">
      <c r="D2179" s="123"/>
    </row>
    <row r="2180">
      <c r="D2180" s="123"/>
    </row>
    <row r="2181">
      <c r="D2181" s="123"/>
    </row>
    <row r="2182">
      <c r="D2182" s="123"/>
    </row>
    <row r="2183">
      <c r="D2183" s="123"/>
    </row>
    <row r="2184">
      <c r="D2184" s="123"/>
    </row>
    <row r="2185">
      <c r="D2185" s="123"/>
    </row>
    <row r="2186">
      <c r="D2186" s="123"/>
    </row>
    <row r="2187">
      <c r="D2187" s="123"/>
    </row>
    <row r="2188">
      <c r="D2188" s="123"/>
    </row>
    <row r="2189">
      <c r="D2189" s="123"/>
    </row>
    <row r="2190">
      <c r="D2190" s="123"/>
    </row>
    <row r="2191">
      <c r="D2191" s="123"/>
    </row>
    <row r="2192">
      <c r="D2192" s="123"/>
    </row>
    <row r="2193">
      <c r="D2193" s="123"/>
    </row>
    <row r="2194">
      <c r="D2194" s="123"/>
    </row>
    <row r="2195">
      <c r="D2195" s="123"/>
    </row>
    <row r="2196">
      <c r="D2196" s="123"/>
    </row>
    <row r="2197">
      <c r="D2197" s="123"/>
    </row>
    <row r="2198">
      <c r="D2198" s="123"/>
    </row>
    <row r="2199">
      <c r="D2199" s="123"/>
    </row>
    <row r="2200">
      <c r="D2200" s="123"/>
    </row>
    <row r="2201">
      <c r="D2201" s="123"/>
    </row>
    <row r="2202">
      <c r="D2202" s="123"/>
    </row>
    <row r="2203">
      <c r="D2203" s="123"/>
    </row>
    <row r="2204">
      <c r="D2204" s="123"/>
    </row>
    <row r="2205">
      <c r="D2205" s="123"/>
    </row>
    <row r="2206">
      <c r="D2206" s="123"/>
    </row>
    <row r="2207">
      <c r="D2207" s="123"/>
    </row>
    <row r="2208">
      <c r="D2208" s="123"/>
    </row>
    <row r="2209">
      <c r="D2209" s="123"/>
    </row>
    <row r="2210">
      <c r="D2210" s="123"/>
    </row>
    <row r="2211">
      <c r="D2211" s="123"/>
    </row>
    <row r="2212">
      <c r="D2212" s="123"/>
    </row>
    <row r="2213">
      <c r="D2213" s="123"/>
    </row>
    <row r="2214">
      <c r="D2214" s="123"/>
    </row>
    <row r="2215">
      <c r="D2215" s="123"/>
    </row>
    <row r="2216">
      <c r="D2216" s="123"/>
    </row>
    <row r="2217">
      <c r="D2217" s="123"/>
    </row>
    <row r="2218">
      <c r="D2218" s="123"/>
    </row>
    <row r="2219">
      <c r="D2219" s="123"/>
    </row>
    <row r="2220">
      <c r="D2220" s="123"/>
    </row>
    <row r="2221">
      <c r="D2221" s="123"/>
    </row>
    <row r="2222">
      <c r="D2222" s="123"/>
    </row>
    <row r="2223">
      <c r="D2223" s="123"/>
    </row>
    <row r="2224">
      <c r="D2224" s="123"/>
    </row>
    <row r="2225">
      <c r="D2225" s="123"/>
    </row>
    <row r="2226">
      <c r="D2226" s="123"/>
    </row>
    <row r="2227">
      <c r="D2227" s="123"/>
    </row>
    <row r="2228">
      <c r="D2228" s="123"/>
    </row>
    <row r="2229">
      <c r="D2229" s="123"/>
    </row>
    <row r="2230">
      <c r="D2230" s="123"/>
    </row>
    <row r="2231">
      <c r="D2231" s="123"/>
    </row>
    <row r="2232">
      <c r="D2232" s="123"/>
    </row>
    <row r="2233">
      <c r="D2233" s="123"/>
    </row>
    <row r="2234">
      <c r="D2234" s="123"/>
    </row>
    <row r="2235">
      <c r="D2235" s="123"/>
    </row>
    <row r="2236">
      <c r="D2236" s="123"/>
    </row>
    <row r="2237">
      <c r="D2237" s="123"/>
    </row>
    <row r="2238">
      <c r="D2238" s="123"/>
    </row>
    <row r="2239">
      <c r="D2239" s="123"/>
    </row>
    <row r="2240">
      <c r="D2240" s="123"/>
    </row>
    <row r="2241">
      <c r="D2241" s="123"/>
    </row>
    <row r="2242">
      <c r="D2242" s="123"/>
    </row>
    <row r="2243">
      <c r="D2243" s="123"/>
    </row>
    <row r="2244">
      <c r="D2244" s="123"/>
    </row>
    <row r="2245">
      <c r="D2245" s="123"/>
    </row>
    <row r="2246">
      <c r="D2246" s="123"/>
    </row>
    <row r="2247">
      <c r="D2247" s="123"/>
    </row>
    <row r="2248">
      <c r="D2248" s="123"/>
    </row>
    <row r="2249">
      <c r="D2249" s="123"/>
    </row>
    <row r="2250">
      <c r="D2250" s="123"/>
    </row>
    <row r="2251">
      <c r="D2251" s="123"/>
    </row>
    <row r="2252">
      <c r="D2252" s="123"/>
    </row>
    <row r="2253">
      <c r="D2253" s="123"/>
    </row>
    <row r="2254">
      <c r="D2254" s="123"/>
    </row>
    <row r="2255">
      <c r="D2255" s="123"/>
    </row>
    <row r="2256">
      <c r="D2256" s="123"/>
    </row>
    <row r="2257">
      <c r="D2257" s="123"/>
    </row>
    <row r="2258">
      <c r="D2258" s="123"/>
    </row>
    <row r="2259">
      <c r="D2259" s="123"/>
    </row>
    <row r="2260">
      <c r="D2260" s="123"/>
    </row>
    <row r="2261">
      <c r="D2261" s="123"/>
    </row>
    <row r="2262">
      <c r="D2262" s="123"/>
    </row>
    <row r="2263">
      <c r="D2263" s="123"/>
    </row>
    <row r="2264">
      <c r="D2264" s="123"/>
    </row>
    <row r="2265">
      <c r="D2265" s="123"/>
    </row>
    <row r="2266">
      <c r="D2266" s="123"/>
    </row>
    <row r="2267">
      <c r="D2267" s="123"/>
    </row>
    <row r="2268">
      <c r="D2268" s="123"/>
    </row>
    <row r="2269">
      <c r="D2269" s="123"/>
    </row>
    <row r="2270">
      <c r="D2270" s="123"/>
    </row>
    <row r="2271">
      <c r="D2271" s="123"/>
    </row>
    <row r="2272">
      <c r="D2272" s="123"/>
    </row>
    <row r="2273">
      <c r="D2273" s="123"/>
    </row>
    <row r="2274">
      <c r="D2274" s="123"/>
    </row>
    <row r="2275">
      <c r="D2275" s="123"/>
    </row>
    <row r="2276">
      <c r="D2276" s="123"/>
    </row>
    <row r="2277">
      <c r="D2277" s="123"/>
    </row>
    <row r="2278">
      <c r="D2278" s="123"/>
    </row>
    <row r="2279">
      <c r="D2279" s="123"/>
    </row>
    <row r="2280">
      <c r="D2280" s="123"/>
    </row>
    <row r="2281">
      <c r="D2281" s="123"/>
    </row>
    <row r="2282">
      <c r="D2282" s="123"/>
    </row>
    <row r="2283">
      <c r="D2283" s="123"/>
    </row>
    <row r="2284">
      <c r="D2284" s="123"/>
    </row>
    <row r="2285">
      <c r="D2285" s="123"/>
    </row>
    <row r="2286">
      <c r="D2286" s="123"/>
    </row>
    <row r="2287">
      <c r="D2287" s="123"/>
    </row>
    <row r="2288">
      <c r="D2288" s="123"/>
    </row>
    <row r="2289">
      <c r="D2289" s="123"/>
    </row>
    <row r="2290">
      <c r="D2290" s="123"/>
    </row>
    <row r="2291">
      <c r="D2291" s="123"/>
    </row>
    <row r="2292">
      <c r="D2292" s="123"/>
    </row>
    <row r="2293">
      <c r="D2293" s="123"/>
    </row>
    <row r="2294">
      <c r="D2294" s="123"/>
    </row>
    <row r="2295">
      <c r="D2295" s="123"/>
    </row>
    <row r="2296">
      <c r="D2296" s="123"/>
    </row>
    <row r="2297">
      <c r="D2297" s="123"/>
    </row>
    <row r="2298">
      <c r="D2298" s="123"/>
    </row>
    <row r="2299">
      <c r="D2299" s="123"/>
    </row>
    <row r="2300">
      <c r="D2300" s="123"/>
    </row>
    <row r="2301">
      <c r="D2301" s="123"/>
    </row>
    <row r="2302">
      <c r="D2302" s="123"/>
    </row>
    <row r="2303">
      <c r="D2303" s="123"/>
    </row>
    <row r="2304">
      <c r="D2304" s="123"/>
    </row>
    <row r="2305">
      <c r="D2305" s="123"/>
    </row>
    <row r="2306">
      <c r="D2306" s="123"/>
    </row>
    <row r="2307">
      <c r="D2307" s="123"/>
    </row>
    <row r="2308">
      <c r="D2308" s="123"/>
    </row>
    <row r="2309">
      <c r="D2309" s="123"/>
    </row>
    <row r="2310">
      <c r="D2310" s="123"/>
    </row>
    <row r="2311">
      <c r="D2311" s="123"/>
    </row>
    <row r="2312">
      <c r="D2312" s="123"/>
    </row>
    <row r="2313">
      <c r="D2313" s="123"/>
    </row>
    <row r="2314">
      <c r="D2314" s="123"/>
    </row>
    <row r="2315">
      <c r="D2315" s="123"/>
    </row>
    <row r="2316">
      <c r="D2316" s="123"/>
    </row>
    <row r="2317">
      <c r="D2317" s="123"/>
    </row>
    <row r="2318">
      <c r="D2318" s="123"/>
    </row>
    <row r="2319">
      <c r="D2319" s="123"/>
    </row>
    <row r="2320">
      <c r="D2320" s="123"/>
    </row>
    <row r="2321">
      <c r="D2321" s="123"/>
    </row>
    <row r="2322">
      <c r="D2322" s="123"/>
    </row>
    <row r="2323">
      <c r="D2323" s="123"/>
    </row>
    <row r="2324">
      <c r="D2324" s="123"/>
    </row>
    <row r="2325">
      <c r="D2325" s="123"/>
    </row>
    <row r="2326">
      <c r="D2326" s="123"/>
    </row>
    <row r="2327">
      <c r="D2327" s="123"/>
    </row>
    <row r="2328">
      <c r="D2328" s="123"/>
    </row>
    <row r="2329">
      <c r="D2329" s="123"/>
    </row>
    <row r="2330">
      <c r="D2330" s="123"/>
    </row>
    <row r="2331">
      <c r="D2331" s="123"/>
    </row>
    <row r="2332">
      <c r="D2332" s="123"/>
    </row>
    <row r="2333">
      <c r="D2333" s="123"/>
    </row>
    <row r="2334">
      <c r="D2334" s="123"/>
    </row>
    <row r="2335">
      <c r="D2335" s="123"/>
    </row>
    <row r="2336">
      <c r="D2336" s="123"/>
    </row>
    <row r="2337">
      <c r="D2337" s="123"/>
    </row>
    <row r="2338">
      <c r="D2338" s="123"/>
    </row>
    <row r="2339">
      <c r="D2339" s="123"/>
    </row>
    <row r="2340">
      <c r="D2340" s="123"/>
    </row>
    <row r="2341">
      <c r="D2341" s="123"/>
    </row>
    <row r="2342">
      <c r="D2342" s="123"/>
    </row>
    <row r="2343">
      <c r="D2343" s="123"/>
    </row>
    <row r="2344">
      <c r="D2344" s="123"/>
    </row>
    <row r="2345">
      <c r="D2345" s="123"/>
    </row>
    <row r="2346">
      <c r="D2346" s="123"/>
    </row>
    <row r="2347">
      <c r="D2347" s="123"/>
    </row>
    <row r="2348">
      <c r="D2348" s="123"/>
    </row>
    <row r="2349">
      <c r="D2349" s="123"/>
    </row>
    <row r="2350">
      <c r="D2350" s="123"/>
    </row>
    <row r="2351">
      <c r="D2351" s="123"/>
    </row>
    <row r="2352">
      <c r="D2352" s="123"/>
    </row>
    <row r="2353">
      <c r="D2353" s="123"/>
    </row>
    <row r="2354">
      <c r="D2354" s="123"/>
    </row>
    <row r="2355">
      <c r="D2355" s="123"/>
    </row>
    <row r="2356">
      <c r="D2356" s="123"/>
    </row>
    <row r="2357">
      <c r="D2357" s="123"/>
    </row>
    <row r="2358">
      <c r="D2358" s="123"/>
    </row>
    <row r="2359">
      <c r="D2359" s="123"/>
    </row>
    <row r="2360">
      <c r="D2360" s="123"/>
    </row>
    <row r="2361">
      <c r="D2361" s="123"/>
    </row>
    <row r="2362">
      <c r="D2362" s="123"/>
    </row>
    <row r="2363">
      <c r="D2363" s="123"/>
    </row>
    <row r="2364">
      <c r="D2364" s="123"/>
    </row>
    <row r="2365">
      <c r="D2365" s="123"/>
    </row>
    <row r="2366">
      <c r="D2366" s="123"/>
    </row>
    <row r="2367">
      <c r="D2367" s="123"/>
    </row>
    <row r="2368">
      <c r="D2368" s="123"/>
    </row>
    <row r="2369">
      <c r="D2369" s="123"/>
    </row>
    <row r="2370">
      <c r="D2370" s="123"/>
    </row>
    <row r="2371">
      <c r="D2371" s="123"/>
    </row>
    <row r="2372">
      <c r="D2372" s="123"/>
    </row>
    <row r="2373">
      <c r="D2373" s="123"/>
    </row>
    <row r="2374">
      <c r="D2374" s="123"/>
    </row>
    <row r="2375">
      <c r="D2375" s="123"/>
    </row>
    <row r="2376">
      <c r="D2376" s="123"/>
    </row>
    <row r="2377">
      <c r="D2377" s="123"/>
    </row>
    <row r="2378">
      <c r="D2378" s="123"/>
    </row>
    <row r="2379">
      <c r="D2379" s="123"/>
    </row>
    <row r="2380">
      <c r="D2380" s="123"/>
    </row>
    <row r="2381">
      <c r="D2381" s="123"/>
    </row>
    <row r="2382">
      <c r="D2382" s="123"/>
    </row>
    <row r="2383">
      <c r="D2383" s="123"/>
    </row>
    <row r="2384">
      <c r="D2384" s="123"/>
    </row>
    <row r="2385">
      <c r="D2385" s="123"/>
    </row>
    <row r="2386">
      <c r="D2386" s="123"/>
    </row>
    <row r="2387">
      <c r="D2387" s="123"/>
    </row>
    <row r="2388">
      <c r="D2388" s="123"/>
    </row>
    <row r="2389">
      <c r="D2389" s="123"/>
    </row>
    <row r="2390">
      <c r="D2390" s="123"/>
    </row>
    <row r="2391">
      <c r="D2391" s="123"/>
    </row>
    <row r="2392">
      <c r="D2392" s="123"/>
    </row>
    <row r="2393">
      <c r="D2393" s="123"/>
    </row>
    <row r="2394">
      <c r="D2394" s="123"/>
    </row>
    <row r="2395">
      <c r="D2395" s="123"/>
    </row>
    <row r="2396">
      <c r="D2396" s="123"/>
    </row>
    <row r="2397">
      <c r="D2397" s="123"/>
    </row>
    <row r="2398">
      <c r="D2398" s="123"/>
    </row>
    <row r="2399">
      <c r="D2399" s="123"/>
    </row>
    <row r="2400">
      <c r="D2400" s="123"/>
    </row>
    <row r="2401">
      <c r="D2401" s="123"/>
    </row>
    <row r="2402">
      <c r="D2402" s="123"/>
    </row>
    <row r="2403">
      <c r="D2403" s="123"/>
    </row>
    <row r="2404">
      <c r="D2404" s="123"/>
    </row>
    <row r="2405">
      <c r="D2405" s="123"/>
    </row>
    <row r="2406">
      <c r="D2406" s="123"/>
    </row>
    <row r="2407">
      <c r="D2407" s="123"/>
    </row>
    <row r="2408">
      <c r="D2408" s="123"/>
    </row>
    <row r="2409">
      <c r="D2409" s="123"/>
    </row>
    <row r="2410">
      <c r="D2410" s="123"/>
    </row>
    <row r="2411">
      <c r="D2411" s="123"/>
    </row>
    <row r="2412">
      <c r="D2412" s="123"/>
    </row>
    <row r="2413">
      <c r="D2413" s="123"/>
    </row>
    <row r="2414">
      <c r="D2414" s="123"/>
    </row>
    <row r="2415">
      <c r="D2415" s="123"/>
    </row>
    <row r="2416">
      <c r="D2416" s="123"/>
    </row>
    <row r="2417">
      <c r="D2417" s="123"/>
    </row>
    <row r="2418">
      <c r="D2418" s="123"/>
    </row>
    <row r="2419">
      <c r="D2419" s="123"/>
    </row>
    <row r="2420">
      <c r="D2420" s="123"/>
    </row>
    <row r="2421">
      <c r="D2421" s="123"/>
    </row>
    <row r="2422">
      <c r="D2422" s="123"/>
    </row>
    <row r="2423">
      <c r="D2423" s="123"/>
    </row>
    <row r="2424">
      <c r="D2424" s="123"/>
    </row>
    <row r="2425">
      <c r="D2425" s="123"/>
    </row>
    <row r="2426">
      <c r="D2426" s="123"/>
    </row>
    <row r="2427">
      <c r="D2427" s="123"/>
    </row>
    <row r="2428">
      <c r="D2428" s="123"/>
    </row>
    <row r="2429">
      <c r="D2429" s="123"/>
    </row>
    <row r="2430">
      <c r="D2430" s="123"/>
    </row>
    <row r="2431">
      <c r="D2431" s="123"/>
    </row>
    <row r="2432">
      <c r="D2432" s="123"/>
    </row>
    <row r="2433">
      <c r="D2433" s="123"/>
    </row>
    <row r="2434">
      <c r="D2434" s="123"/>
    </row>
    <row r="2435">
      <c r="D2435" s="123"/>
    </row>
    <row r="2436">
      <c r="D2436" s="123"/>
    </row>
    <row r="2437">
      <c r="D2437" s="123"/>
    </row>
    <row r="2438">
      <c r="D2438" s="123"/>
    </row>
    <row r="2439">
      <c r="D2439" s="123"/>
    </row>
    <row r="2440">
      <c r="D2440" s="123"/>
    </row>
    <row r="2441">
      <c r="D2441" s="123"/>
    </row>
    <row r="2442">
      <c r="D2442" s="123"/>
    </row>
    <row r="2443">
      <c r="D2443" s="123"/>
    </row>
    <row r="2444">
      <c r="D2444" s="123"/>
    </row>
    <row r="2445">
      <c r="D2445" s="123"/>
    </row>
    <row r="2446">
      <c r="D2446" s="123"/>
    </row>
    <row r="2447">
      <c r="D2447" s="123"/>
    </row>
    <row r="2448">
      <c r="D2448" s="123"/>
    </row>
    <row r="2449">
      <c r="D2449" s="123"/>
    </row>
    <row r="2450">
      <c r="D2450" s="123"/>
    </row>
    <row r="2451">
      <c r="D2451" s="123"/>
    </row>
    <row r="2452">
      <c r="D2452" s="123"/>
    </row>
    <row r="2453">
      <c r="D2453" s="123"/>
    </row>
    <row r="2454">
      <c r="D2454" s="123"/>
    </row>
    <row r="2455">
      <c r="D2455" s="123"/>
    </row>
    <row r="2456">
      <c r="D2456" s="123"/>
    </row>
    <row r="2457">
      <c r="D2457" s="123"/>
    </row>
    <row r="2458">
      <c r="D2458" s="123"/>
    </row>
    <row r="2459">
      <c r="D2459" s="123"/>
    </row>
    <row r="2460">
      <c r="D2460" s="123"/>
    </row>
    <row r="2461">
      <c r="D2461" s="123"/>
    </row>
    <row r="2462">
      <c r="D2462" s="123"/>
    </row>
    <row r="2463">
      <c r="D2463" s="123"/>
    </row>
    <row r="2464">
      <c r="D2464" s="123"/>
    </row>
    <row r="2465">
      <c r="D2465" s="123"/>
    </row>
    <row r="2466">
      <c r="D2466" s="123"/>
    </row>
    <row r="2467">
      <c r="D2467" s="123"/>
    </row>
    <row r="2468">
      <c r="D2468" s="123"/>
    </row>
    <row r="2469">
      <c r="D2469" s="123"/>
    </row>
    <row r="2470">
      <c r="D2470" s="123"/>
    </row>
    <row r="2471">
      <c r="D2471" s="123"/>
    </row>
    <row r="2472">
      <c r="D2472" s="123"/>
    </row>
    <row r="2473">
      <c r="D2473" s="123"/>
    </row>
    <row r="2474">
      <c r="D2474" s="123"/>
    </row>
    <row r="2475">
      <c r="D2475" s="123"/>
    </row>
    <row r="2476">
      <c r="D2476" s="123"/>
    </row>
    <row r="2477">
      <c r="D2477" s="123"/>
    </row>
    <row r="2478">
      <c r="D2478" s="123"/>
    </row>
    <row r="2479">
      <c r="D2479" s="123"/>
    </row>
    <row r="2480">
      <c r="D2480" s="123"/>
    </row>
    <row r="2481">
      <c r="D2481" s="123"/>
    </row>
    <row r="2482">
      <c r="D2482" s="123"/>
    </row>
    <row r="2483">
      <c r="D2483" s="123"/>
    </row>
    <row r="2484">
      <c r="D2484" s="123"/>
    </row>
    <row r="2485">
      <c r="D2485" s="123"/>
    </row>
    <row r="2486">
      <c r="D2486" s="123"/>
    </row>
    <row r="2487">
      <c r="D2487" s="123"/>
    </row>
    <row r="2488">
      <c r="D2488" s="123"/>
    </row>
    <row r="2489">
      <c r="D2489" s="123"/>
    </row>
    <row r="2490">
      <c r="D2490" s="123"/>
    </row>
    <row r="2491">
      <c r="D2491" s="123"/>
    </row>
    <row r="2492">
      <c r="D2492" s="123"/>
    </row>
    <row r="2493">
      <c r="D2493" s="123"/>
    </row>
    <row r="2494">
      <c r="D2494" s="123"/>
    </row>
    <row r="2495">
      <c r="D2495" s="123"/>
    </row>
    <row r="2496">
      <c r="D2496" s="123"/>
    </row>
    <row r="2497">
      <c r="D2497" s="123"/>
    </row>
    <row r="2498">
      <c r="D2498" s="123"/>
    </row>
    <row r="2499">
      <c r="D2499" s="123"/>
    </row>
    <row r="2500">
      <c r="D2500" s="123"/>
    </row>
    <row r="2501">
      <c r="D2501" s="123"/>
    </row>
    <row r="2502">
      <c r="D2502" s="123"/>
    </row>
    <row r="2503">
      <c r="D2503" s="123"/>
    </row>
    <row r="2504">
      <c r="D2504" s="123"/>
    </row>
    <row r="2505">
      <c r="D2505" s="123"/>
    </row>
    <row r="2506">
      <c r="D2506" s="123"/>
    </row>
    <row r="2507">
      <c r="D2507" s="123"/>
    </row>
    <row r="2508">
      <c r="D2508" s="123"/>
    </row>
    <row r="2509">
      <c r="D2509" s="123"/>
    </row>
    <row r="2510">
      <c r="D2510" s="123"/>
    </row>
    <row r="2511">
      <c r="D2511" s="123"/>
    </row>
    <row r="2512">
      <c r="D2512" s="123"/>
    </row>
    <row r="2513">
      <c r="D2513" s="123"/>
    </row>
    <row r="2514">
      <c r="D2514" s="123"/>
    </row>
    <row r="2515">
      <c r="D2515" s="123"/>
    </row>
    <row r="2516">
      <c r="D2516" s="123"/>
    </row>
    <row r="2517">
      <c r="D2517" s="123"/>
    </row>
    <row r="2518">
      <c r="D2518" s="123"/>
    </row>
    <row r="2519">
      <c r="D2519" s="123"/>
    </row>
    <row r="2520">
      <c r="D2520" s="123"/>
    </row>
    <row r="2521">
      <c r="D2521" s="123"/>
    </row>
    <row r="2522">
      <c r="D2522" s="123"/>
    </row>
    <row r="2523">
      <c r="D2523" s="123"/>
    </row>
    <row r="2524">
      <c r="D2524" s="123"/>
    </row>
    <row r="2525">
      <c r="D2525" s="123"/>
    </row>
    <row r="2526">
      <c r="D2526" s="123"/>
    </row>
    <row r="2527">
      <c r="D2527" s="123"/>
    </row>
    <row r="2528">
      <c r="D2528" s="123"/>
    </row>
    <row r="2529">
      <c r="D2529" s="123"/>
    </row>
    <row r="2530">
      <c r="D2530" s="123"/>
    </row>
    <row r="2531">
      <c r="D2531" s="123"/>
    </row>
    <row r="2532">
      <c r="D2532" s="123"/>
    </row>
    <row r="2533">
      <c r="D2533" s="123"/>
    </row>
    <row r="2534">
      <c r="D2534" s="123"/>
    </row>
    <row r="2535">
      <c r="D2535" s="123"/>
    </row>
    <row r="2536">
      <c r="D2536" s="123"/>
    </row>
    <row r="2537">
      <c r="D2537" s="123"/>
    </row>
    <row r="2538">
      <c r="D2538" s="123"/>
    </row>
    <row r="2539">
      <c r="D2539" s="123"/>
    </row>
    <row r="2540">
      <c r="D2540" s="123"/>
    </row>
    <row r="2541">
      <c r="D2541" s="123"/>
    </row>
    <row r="2542">
      <c r="D2542" s="123"/>
    </row>
    <row r="2543">
      <c r="D2543" s="123"/>
    </row>
    <row r="2544">
      <c r="D2544" s="123"/>
    </row>
    <row r="2545">
      <c r="D2545" s="123"/>
    </row>
    <row r="2546">
      <c r="D2546" s="123"/>
    </row>
    <row r="2547">
      <c r="D2547" s="123"/>
    </row>
    <row r="2548">
      <c r="D2548" s="123"/>
    </row>
    <row r="2549">
      <c r="D2549" s="123"/>
    </row>
    <row r="2550">
      <c r="D2550" s="123"/>
    </row>
    <row r="2551">
      <c r="D2551" s="123"/>
    </row>
    <row r="2552">
      <c r="D2552" s="123"/>
    </row>
    <row r="2553">
      <c r="D2553" s="123"/>
    </row>
    <row r="2554">
      <c r="D2554" s="123"/>
    </row>
    <row r="2555">
      <c r="D2555" s="123"/>
    </row>
    <row r="2556">
      <c r="D2556" s="123"/>
    </row>
    <row r="2557">
      <c r="D2557" s="123"/>
    </row>
    <row r="2558">
      <c r="D2558" s="123"/>
    </row>
    <row r="2559">
      <c r="D2559" s="123"/>
    </row>
    <row r="2560">
      <c r="D2560" s="123"/>
    </row>
    <row r="2561">
      <c r="D2561" s="123"/>
    </row>
    <row r="2562">
      <c r="D2562" s="123"/>
    </row>
    <row r="2563">
      <c r="D2563" s="123"/>
    </row>
    <row r="2564">
      <c r="D2564" s="123"/>
    </row>
    <row r="2565">
      <c r="D2565" s="123"/>
    </row>
    <row r="2566">
      <c r="D2566" s="123"/>
    </row>
    <row r="2567">
      <c r="D2567" s="123"/>
    </row>
    <row r="2568">
      <c r="D2568" s="123"/>
    </row>
    <row r="2569">
      <c r="D2569" s="123"/>
    </row>
    <row r="2570">
      <c r="D2570" s="123"/>
    </row>
    <row r="2571">
      <c r="D2571" s="123"/>
    </row>
    <row r="2572">
      <c r="D2572" s="123"/>
    </row>
    <row r="2573">
      <c r="D2573" s="123"/>
    </row>
    <row r="2574">
      <c r="D2574" s="123"/>
    </row>
    <row r="2575">
      <c r="D2575" s="123"/>
    </row>
    <row r="2576">
      <c r="D2576" s="123"/>
    </row>
    <row r="2577">
      <c r="D2577" s="123"/>
    </row>
    <row r="2578">
      <c r="D2578" s="123"/>
    </row>
    <row r="2579">
      <c r="D2579" s="123"/>
    </row>
    <row r="2580">
      <c r="D2580" s="123"/>
    </row>
    <row r="2581">
      <c r="D2581" s="123"/>
    </row>
    <row r="2582">
      <c r="D2582" s="123"/>
    </row>
    <row r="2583">
      <c r="D2583" s="123"/>
    </row>
    <row r="2584">
      <c r="D2584" s="123"/>
    </row>
    <row r="2585">
      <c r="D2585" s="123"/>
    </row>
    <row r="2586">
      <c r="D2586" s="123"/>
    </row>
    <row r="2587">
      <c r="D2587" s="123"/>
    </row>
    <row r="2588">
      <c r="D2588" s="123"/>
    </row>
    <row r="2589">
      <c r="D2589" s="123"/>
    </row>
    <row r="2590">
      <c r="D2590" s="123"/>
    </row>
    <row r="2591">
      <c r="D2591" s="123"/>
    </row>
    <row r="2592">
      <c r="D2592" s="123"/>
    </row>
    <row r="2593">
      <c r="D2593" s="123"/>
    </row>
    <row r="2594">
      <c r="D2594" s="123"/>
    </row>
    <row r="2595">
      <c r="D2595" s="123"/>
    </row>
    <row r="2596">
      <c r="D2596" s="123"/>
    </row>
    <row r="2597">
      <c r="D2597" s="123"/>
    </row>
    <row r="2598">
      <c r="D2598" s="123"/>
    </row>
    <row r="2599">
      <c r="D2599" s="123"/>
    </row>
    <row r="2600">
      <c r="D2600" s="123"/>
    </row>
    <row r="2601">
      <c r="D2601" s="123"/>
    </row>
    <row r="2602">
      <c r="D2602" s="123"/>
    </row>
    <row r="2603">
      <c r="D2603" s="123"/>
    </row>
    <row r="2604">
      <c r="D2604" s="123"/>
    </row>
    <row r="2605">
      <c r="D2605" s="123"/>
    </row>
    <row r="2606">
      <c r="D2606" s="123"/>
    </row>
    <row r="2607">
      <c r="D2607" s="123"/>
    </row>
    <row r="2608">
      <c r="D2608" s="123"/>
    </row>
    <row r="2609">
      <c r="D2609" s="123"/>
    </row>
    <row r="2610">
      <c r="D2610" s="123"/>
    </row>
    <row r="2611">
      <c r="D2611" s="123"/>
    </row>
    <row r="2612">
      <c r="D2612" s="123"/>
    </row>
    <row r="2613">
      <c r="D2613" s="123"/>
    </row>
    <row r="2614">
      <c r="D2614" s="123"/>
    </row>
    <row r="2615">
      <c r="D2615" s="123"/>
    </row>
    <row r="2616">
      <c r="D2616" s="123"/>
    </row>
    <row r="2617">
      <c r="D2617" s="123"/>
    </row>
    <row r="2618">
      <c r="D2618" s="123"/>
    </row>
    <row r="2619">
      <c r="D2619" s="123"/>
    </row>
    <row r="2620">
      <c r="D2620" s="123"/>
    </row>
    <row r="2621">
      <c r="D2621" s="123"/>
    </row>
    <row r="2622">
      <c r="D2622" s="123"/>
    </row>
    <row r="2623">
      <c r="D2623" s="123"/>
    </row>
    <row r="2624">
      <c r="D2624" s="123"/>
    </row>
    <row r="2625">
      <c r="D2625" s="123"/>
    </row>
    <row r="2626">
      <c r="D2626" s="123"/>
    </row>
    <row r="2627">
      <c r="D2627" s="123"/>
    </row>
    <row r="2628">
      <c r="D2628" s="123"/>
    </row>
    <row r="2629">
      <c r="D2629" s="123"/>
    </row>
    <row r="2630">
      <c r="D2630" s="123"/>
    </row>
    <row r="2631">
      <c r="D2631" s="123"/>
    </row>
    <row r="2632">
      <c r="D2632" s="123"/>
    </row>
    <row r="2633">
      <c r="D2633" s="123"/>
    </row>
    <row r="2634">
      <c r="D2634" s="123"/>
    </row>
    <row r="2635">
      <c r="D2635" s="123"/>
    </row>
    <row r="2636">
      <c r="D2636" s="123"/>
    </row>
    <row r="2637">
      <c r="D2637" s="123"/>
    </row>
    <row r="2638">
      <c r="D2638" s="123"/>
    </row>
    <row r="2639">
      <c r="D2639" s="123"/>
    </row>
    <row r="2640">
      <c r="D2640" s="123"/>
    </row>
    <row r="2641">
      <c r="D2641" s="123"/>
    </row>
    <row r="2642">
      <c r="D2642" s="123"/>
    </row>
    <row r="2643">
      <c r="D2643" s="123"/>
    </row>
    <row r="2644">
      <c r="D2644" s="123"/>
    </row>
    <row r="2645">
      <c r="D2645" s="123"/>
    </row>
    <row r="2646">
      <c r="D2646" s="123"/>
    </row>
    <row r="2647">
      <c r="D2647" s="123"/>
    </row>
    <row r="2648">
      <c r="D2648" s="123"/>
    </row>
    <row r="2649">
      <c r="D2649" s="123"/>
    </row>
    <row r="2650">
      <c r="D2650" s="123"/>
    </row>
    <row r="2651">
      <c r="D2651" s="123"/>
    </row>
    <row r="2652">
      <c r="D2652" s="123"/>
    </row>
    <row r="2653">
      <c r="D2653" s="123"/>
    </row>
    <row r="2654">
      <c r="D2654" s="123"/>
    </row>
    <row r="2655">
      <c r="D2655" s="123"/>
    </row>
    <row r="2656">
      <c r="D2656" s="123"/>
    </row>
    <row r="2657">
      <c r="D2657" s="123"/>
    </row>
    <row r="2658">
      <c r="D2658" s="123"/>
    </row>
    <row r="2659">
      <c r="D2659" s="123"/>
    </row>
    <row r="2660">
      <c r="D2660" s="123"/>
    </row>
    <row r="2661">
      <c r="D2661" s="123"/>
    </row>
    <row r="2662">
      <c r="D2662" s="123"/>
    </row>
    <row r="2663">
      <c r="D2663" s="123"/>
    </row>
    <row r="2664">
      <c r="D2664" s="123"/>
    </row>
    <row r="2665">
      <c r="D2665" s="123"/>
    </row>
    <row r="2666">
      <c r="D2666" s="123"/>
    </row>
    <row r="2667">
      <c r="D2667" s="123"/>
    </row>
    <row r="2668">
      <c r="D2668" s="123"/>
    </row>
    <row r="2669">
      <c r="D2669" s="123"/>
    </row>
    <row r="2670">
      <c r="D2670" s="123"/>
    </row>
    <row r="2671">
      <c r="D2671" s="123"/>
    </row>
    <row r="2672">
      <c r="D2672" s="123"/>
    </row>
    <row r="2673">
      <c r="D2673" s="123"/>
    </row>
    <row r="2674">
      <c r="D2674" s="123"/>
    </row>
    <row r="2675">
      <c r="D2675" s="123"/>
    </row>
    <row r="2676">
      <c r="D2676" s="123"/>
    </row>
    <row r="2677">
      <c r="D2677" s="123"/>
    </row>
    <row r="2678">
      <c r="D2678" s="123"/>
    </row>
    <row r="2679">
      <c r="D2679" s="123"/>
    </row>
    <row r="2680">
      <c r="D2680" s="123"/>
    </row>
    <row r="2681">
      <c r="D2681" s="123"/>
    </row>
    <row r="2682">
      <c r="D2682" s="123"/>
    </row>
    <row r="2683">
      <c r="D2683" s="123"/>
    </row>
    <row r="2684">
      <c r="D2684" s="123"/>
    </row>
    <row r="2685">
      <c r="D2685" s="123"/>
    </row>
    <row r="2686">
      <c r="D2686" s="123"/>
    </row>
    <row r="2687">
      <c r="D2687" s="123"/>
    </row>
    <row r="2688">
      <c r="D2688" s="123"/>
    </row>
    <row r="2689">
      <c r="D2689" s="123"/>
    </row>
    <row r="2690">
      <c r="D2690" s="123"/>
    </row>
    <row r="2691">
      <c r="D2691" s="123"/>
    </row>
    <row r="2692">
      <c r="D2692" s="123"/>
    </row>
    <row r="2693">
      <c r="D2693" s="123"/>
    </row>
    <row r="2694">
      <c r="D2694" s="123"/>
    </row>
    <row r="2695">
      <c r="D2695" s="123"/>
    </row>
    <row r="2696">
      <c r="D2696" s="123"/>
    </row>
    <row r="2697">
      <c r="D2697" s="123"/>
    </row>
    <row r="2698">
      <c r="D2698" s="123"/>
    </row>
    <row r="2699">
      <c r="D2699" s="123"/>
    </row>
    <row r="2700">
      <c r="D2700" s="123"/>
    </row>
    <row r="2701">
      <c r="D2701" s="123"/>
    </row>
    <row r="2702">
      <c r="D2702" s="123"/>
    </row>
    <row r="2703">
      <c r="D2703" s="123"/>
    </row>
    <row r="2704">
      <c r="D2704" s="123"/>
    </row>
    <row r="2705">
      <c r="D2705" s="123"/>
    </row>
    <row r="2706">
      <c r="D2706" s="123"/>
    </row>
    <row r="2707">
      <c r="D2707" s="123"/>
    </row>
    <row r="2708">
      <c r="D2708" s="123"/>
    </row>
    <row r="2709">
      <c r="D2709" s="123"/>
    </row>
    <row r="2710">
      <c r="D2710" s="123"/>
    </row>
    <row r="2711">
      <c r="D2711" s="123"/>
    </row>
    <row r="2712">
      <c r="D2712" s="123"/>
    </row>
    <row r="2713">
      <c r="D2713" s="123"/>
    </row>
    <row r="2714">
      <c r="D2714" s="123"/>
    </row>
    <row r="2715">
      <c r="D2715" s="123"/>
    </row>
    <row r="2716">
      <c r="D2716" s="123"/>
    </row>
    <row r="2717">
      <c r="D2717" s="123"/>
    </row>
    <row r="2718">
      <c r="D2718" s="123"/>
    </row>
    <row r="2719">
      <c r="D2719" s="123"/>
    </row>
    <row r="2720">
      <c r="D2720" s="123"/>
    </row>
    <row r="2721">
      <c r="D2721" s="123"/>
    </row>
    <row r="2722">
      <c r="D2722" s="123"/>
    </row>
    <row r="2723">
      <c r="D2723" s="123"/>
    </row>
    <row r="2724">
      <c r="D2724" s="123"/>
    </row>
    <row r="2725">
      <c r="D2725" s="123"/>
    </row>
    <row r="2726">
      <c r="D2726" s="123"/>
    </row>
    <row r="2727">
      <c r="D2727" s="123"/>
    </row>
    <row r="2728">
      <c r="D2728" s="123"/>
    </row>
    <row r="2729">
      <c r="D2729" s="123"/>
    </row>
    <row r="2730">
      <c r="D2730" s="123"/>
    </row>
    <row r="2731">
      <c r="D2731" s="123"/>
    </row>
    <row r="2732">
      <c r="D2732" s="123"/>
    </row>
    <row r="2733">
      <c r="D2733" s="123"/>
    </row>
    <row r="2734">
      <c r="D2734" s="123"/>
    </row>
    <row r="2735">
      <c r="D2735" s="123"/>
    </row>
    <row r="2736">
      <c r="D2736" s="123"/>
    </row>
    <row r="2737">
      <c r="D2737" s="123"/>
    </row>
    <row r="2738">
      <c r="D2738" s="123"/>
    </row>
    <row r="2739">
      <c r="D2739" s="123"/>
    </row>
    <row r="2740">
      <c r="D2740" s="123"/>
    </row>
    <row r="2741">
      <c r="D2741" s="123"/>
    </row>
    <row r="2742">
      <c r="D2742" s="123"/>
    </row>
    <row r="2743">
      <c r="D2743" s="123"/>
    </row>
    <row r="2744">
      <c r="D2744" s="123"/>
    </row>
    <row r="2745">
      <c r="D2745" s="123"/>
    </row>
    <row r="2746">
      <c r="D2746" s="123"/>
    </row>
    <row r="2747">
      <c r="D2747" s="123"/>
    </row>
    <row r="2748">
      <c r="D2748" s="123"/>
    </row>
    <row r="2749">
      <c r="D2749" s="123"/>
    </row>
    <row r="2750">
      <c r="D2750" s="123"/>
    </row>
    <row r="2751">
      <c r="D2751" s="123"/>
    </row>
    <row r="2752">
      <c r="D2752" s="123"/>
    </row>
    <row r="2753">
      <c r="D2753" s="123"/>
    </row>
    <row r="2754">
      <c r="D2754" s="123"/>
    </row>
    <row r="2755">
      <c r="D2755" s="123"/>
    </row>
    <row r="2756">
      <c r="D2756" s="123"/>
    </row>
    <row r="2757">
      <c r="D2757" s="123"/>
    </row>
    <row r="2758">
      <c r="D2758" s="123"/>
    </row>
    <row r="2759">
      <c r="D2759" s="123"/>
    </row>
    <row r="2760">
      <c r="D2760" s="123"/>
    </row>
    <row r="2761">
      <c r="D2761" s="123"/>
    </row>
    <row r="2762">
      <c r="D2762" s="123"/>
    </row>
    <row r="2763">
      <c r="D2763" s="123"/>
    </row>
    <row r="2764">
      <c r="D2764" s="123"/>
    </row>
    <row r="2765">
      <c r="D2765" s="123"/>
    </row>
    <row r="2766">
      <c r="D2766" s="123"/>
    </row>
    <row r="2767">
      <c r="D2767" s="123"/>
    </row>
    <row r="2768">
      <c r="D2768" s="123"/>
    </row>
    <row r="2769">
      <c r="D2769" s="123"/>
    </row>
    <row r="2770">
      <c r="D2770" s="123"/>
    </row>
    <row r="2771">
      <c r="D2771" s="123"/>
    </row>
    <row r="2772">
      <c r="D2772" s="123"/>
    </row>
    <row r="2773">
      <c r="D2773" s="123"/>
    </row>
    <row r="2774">
      <c r="D2774" s="123"/>
    </row>
    <row r="2775">
      <c r="D2775" s="123"/>
    </row>
    <row r="2776">
      <c r="D2776" s="123"/>
    </row>
    <row r="2777">
      <c r="D2777" s="123"/>
    </row>
    <row r="2778">
      <c r="D2778" s="123"/>
    </row>
    <row r="2779">
      <c r="D2779" s="123"/>
    </row>
    <row r="2780">
      <c r="D2780" s="123"/>
    </row>
    <row r="2781">
      <c r="D2781" s="123"/>
    </row>
    <row r="2782">
      <c r="D2782" s="123"/>
    </row>
    <row r="2783">
      <c r="D2783" s="123"/>
    </row>
    <row r="2784">
      <c r="D2784" s="123"/>
    </row>
    <row r="2785">
      <c r="D2785" s="123"/>
    </row>
    <row r="2786">
      <c r="D2786" s="123"/>
    </row>
    <row r="2787">
      <c r="D2787" s="123"/>
    </row>
    <row r="2788">
      <c r="D2788" s="123"/>
    </row>
    <row r="2789">
      <c r="D2789" s="123"/>
    </row>
    <row r="2790">
      <c r="D2790" s="123"/>
    </row>
    <row r="2791">
      <c r="D2791" s="123"/>
    </row>
    <row r="2792">
      <c r="D2792" s="123"/>
    </row>
    <row r="2793">
      <c r="D2793" s="123"/>
    </row>
    <row r="2794">
      <c r="D2794" s="123"/>
    </row>
    <row r="2795">
      <c r="D2795" s="123"/>
    </row>
    <row r="2796">
      <c r="D2796" s="123"/>
    </row>
    <row r="2797">
      <c r="D2797" s="123"/>
    </row>
    <row r="2798">
      <c r="D2798" s="123"/>
    </row>
    <row r="2799">
      <c r="D2799" s="123"/>
    </row>
    <row r="2800">
      <c r="D2800" s="123"/>
    </row>
    <row r="2801">
      <c r="D2801" s="123"/>
    </row>
    <row r="2802">
      <c r="D2802" s="123"/>
    </row>
    <row r="2803">
      <c r="D2803" s="123"/>
    </row>
    <row r="2804">
      <c r="D2804" s="123"/>
    </row>
    <row r="2805">
      <c r="D2805" s="123"/>
    </row>
    <row r="2806">
      <c r="D2806" s="123"/>
    </row>
    <row r="2807">
      <c r="D2807" s="123"/>
    </row>
    <row r="2808">
      <c r="D2808" s="123"/>
    </row>
    <row r="2809">
      <c r="D2809" s="123"/>
    </row>
    <row r="2810">
      <c r="D2810" s="123"/>
    </row>
    <row r="2811">
      <c r="D2811" s="123"/>
    </row>
    <row r="2812">
      <c r="D2812" s="123"/>
    </row>
    <row r="2813">
      <c r="D2813" s="123"/>
    </row>
    <row r="2814">
      <c r="D2814" s="123"/>
    </row>
    <row r="2815">
      <c r="D2815" s="123"/>
    </row>
    <row r="2816">
      <c r="D2816" s="123"/>
    </row>
    <row r="2817">
      <c r="D2817" s="123"/>
    </row>
    <row r="2818">
      <c r="D2818" s="123"/>
    </row>
    <row r="2819">
      <c r="D2819" s="123"/>
    </row>
    <row r="2820">
      <c r="D2820" s="123"/>
    </row>
    <row r="2821">
      <c r="D2821" s="123"/>
    </row>
    <row r="2822">
      <c r="D2822" s="123"/>
    </row>
    <row r="2823">
      <c r="D2823" s="123"/>
    </row>
    <row r="2824">
      <c r="D2824" s="123"/>
    </row>
    <row r="2825">
      <c r="D2825" s="123"/>
    </row>
    <row r="2826">
      <c r="D2826" s="123"/>
    </row>
    <row r="2827">
      <c r="D2827" s="123"/>
    </row>
    <row r="2828">
      <c r="D2828" s="123"/>
    </row>
    <row r="2829">
      <c r="D2829" s="123"/>
    </row>
    <row r="2830">
      <c r="D2830" s="123"/>
    </row>
    <row r="2831">
      <c r="D2831" s="123"/>
    </row>
    <row r="2832">
      <c r="D2832" s="123"/>
    </row>
    <row r="2833">
      <c r="D2833" s="123"/>
    </row>
    <row r="2834">
      <c r="D2834" s="123"/>
    </row>
    <row r="2835">
      <c r="D2835" s="123"/>
    </row>
    <row r="2836">
      <c r="D2836" s="123"/>
    </row>
    <row r="2837">
      <c r="D2837" s="123"/>
    </row>
    <row r="2838">
      <c r="D2838" s="123"/>
    </row>
    <row r="2839">
      <c r="D2839" s="123"/>
    </row>
    <row r="2840">
      <c r="D2840" s="123"/>
    </row>
    <row r="2841">
      <c r="D2841" s="123"/>
    </row>
    <row r="2842">
      <c r="D2842" s="123"/>
    </row>
    <row r="2843">
      <c r="D2843" s="123"/>
    </row>
    <row r="2844">
      <c r="D2844" s="123"/>
    </row>
    <row r="2845">
      <c r="D2845" s="123"/>
    </row>
    <row r="2846">
      <c r="D2846" s="123"/>
    </row>
    <row r="2847">
      <c r="D2847" s="123"/>
    </row>
    <row r="2848">
      <c r="D2848" s="123"/>
    </row>
    <row r="2849">
      <c r="D2849" s="123"/>
    </row>
    <row r="2850">
      <c r="D2850" s="123"/>
    </row>
    <row r="2851">
      <c r="D2851" s="123"/>
    </row>
    <row r="2852">
      <c r="D2852" s="123"/>
    </row>
    <row r="2853">
      <c r="D2853" s="123"/>
    </row>
    <row r="2854">
      <c r="D2854" s="123"/>
    </row>
    <row r="2855">
      <c r="D2855" s="123"/>
    </row>
    <row r="2856">
      <c r="D2856" s="123"/>
    </row>
    <row r="2857">
      <c r="D2857" s="123"/>
    </row>
    <row r="2858">
      <c r="D2858" s="123"/>
    </row>
    <row r="2859">
      <c r="D2859" s="123"/>
    </row>
    <row r="2860">
      <c r="D2860" s="123"/>
    </row>
    <row r="2861">
      <c r="D2861" s="123"/>
    </row>
    <row r="2862">
      <c r="D2862" s="123"/>
    </row>
    <row r="2863">
      <c r="D2863" s="123"/>
    </row>
    <row r="2864">
      <c r="D2864" s="123"/>
    </row>
    <row r="2865">
      <c r="D2865" s="123"/>
    </row>
    <row r="2866">
      <c r="D2866" s="123"/>
    </row>
    <row r="2867">
      <c r="D2867" s="123"/>
    </row>
    <row r="2868">
      <c r="D2868" s="123"/>
    </row>
    <row r="2869">
      <c r="D2869" s="123"/>
    </row>
    <row r="2870">
      <c r="D2870" s="123"/>
    </row>
    <row r="2871">
      <c r="D2871" s="123"/>
    </row>
    <row r="2872">
      <c r="D2872" s="123"/>
    </row>
    <row r="2873">
      <c r="D2873" s="123"/>
    </row>
    <row r="2874">
      <c r="D2874" s="123"/>
    </row>
    <row r="2875">
      <c r="D2875" s="123"/>
    </row>
    <row r="2876">
      <c r="D2876" s="123"/>
    </row>
    <row r="2877">
      <c r="D2877" s="123"/>
    </row>
    <row r="2878">
      <c r="D2878" s="123"/>
    </row>
    <row r="2879">
      <c r="D2879" s="123"/>
    </row>
    <row r="2880">
      <c r="D2880" s="123"/>
    </row>
    <row r="2881">
      <c r="D2881" s="123"/>
    </row>
    <row r="2882">
      <c r="D2882" s="123"/>
    </row>
    <row r="2883">
      <c r="D2883" s="123"/>
    </row>
    <row r="2884">
      <c r="D2884" s="123"/>
    </row>
    <row r="2885">
      <c r="D2885" s="123"/>
    </row>
    <row r="2886">
      <c r="D2886" s="123"/>
    </row>
    <row r="2887">
      <c r="D2887" s="123"/>
    </row>
    <row r="2888">
      <c r="D2888" s="123"/>
    </row>
    <row r="2889">
      <c r="D2889" s="123"/>
    </row>
    <row r="2890">
      <c r="D2890" s="123"/>
    </row>
    <row r="2891">
      <c r="D2891" s="123"/>
    </row>
    <row r="2892">
      <c r="D2892" s="123"/>
    </row>
    <row r="2893">
      <c r="D2893" s="123"/>
    </row>
    <row r="2894">
      <c r="D2894" s="123"/>
    </row>
    <row r="2895">
      <c r="D2895" s="123"/>
    </row>
    <row r="2896">
      <c r="D2896" s="123"/>
    </row>
    <row r="2897">
      <c r="D2897" s="123"/>
    </row>
    <row r="2898">
      <c r="D2898" s="123"/>
    </row>
    <row r="2899">
      <c r="D2899" s="123"/>
    </row>
    <row r="2900">
      <c r="D2900" s="123"/>
    </row>
    <row r="2901">
      <c r="D2901" s="123"/>
    </row>
    <row r="2902">
      <c r="D2902" s="123"/>
    </row>
    <row r="2903">
      <c r="D2903" s="123"/>
    </row>
    <row r="2904">
      <c r="D2904" s="123"/>
    </row>
    <row r="2905">
      <c r="D2905" s="123"/>
    </row>
    <row r="2906">
      <c r="D2906" s="123"/>
    </row>
    <row r="2907">
      <c r="D2907" s="123"/>
    </row>
    <row r="2908">
      <c r="D2908" s="123"/>
    </row>
    <row r="2909">
      <c r="D2909" s="123"/>
    </row>
    <row r="2910">
      <c r="D2910" s="123"/>
    </row>
    <row r="2911">
      <c r="D2911" s="123"/>
    </row>
    <row r="2912">
      <c r="D2912" s="123"/>
    </row>
    <row r="2913">
      <c r="D2913" s="123"/>
    </row>
    <row r="2914">
      <c r="D2914" s="123"/>
    </row>
    <row r="2915">
      <c r="D2915" s="123"/>
    </row>
    <row r="2916">
      <c r="D2916" s="123"/>
    </row>
    <row r="2917">
      <c r="D2917" s="123"/>
    </row>
    <row r="2918">
      <c r="D2918" s="123"/>
    </row>
    <row r="2919">
      <c r="D2919" s="123"/>
    </row>
    <row r="2920">
      <c r="D2920" s="123"/>
    </row>
    <row r="2921">
      <c r="D2921" s="123"/>
    </row>
    <row r="2922">
      <c r="D2922" s="123"/>
    </row>
    <row r="2923">
      <c r="D2923" s="123"/>
    </row>
    <row r="2924">
      <c r="D2924" s="123"/>
    </row>
    <row r="2925">
      <c r="D2925" s="123"/>
    </row>
    <row r="2926">
      <c r="D2926" s="123"/>
    </row>
    <row r="2927">
      <c r="D2927" s="123"/>
    </row>
    <row r="2928">
      <c r="D2928" s="123"/>
    </row>
    <row r="2929">
      <c r="D2929" s="123"/>
    </row>
    <row r="2930">
      <c r="D2930" s="123"/>
    </row>
    <row r="2931">
      <c r="D2931" s="123"/>
    </row>
    <row r="2932">
      <c r="D2932" s="123"/>
    </row>
    <row r="2933">
      <c r="D2933" s="123"/>
    </row>
    <row r="2934">
      <c r="D2934" s="123"/>
    </row>
    <row r="2935">
      <c r="D2935" s="123"/>
    </row>
    <row r="2936">
      <c r="D2936" s="123"/>
    </row>
    <row r="2937">
      <c r="D2937" s="123"/>
    </row>
    <row r="2938">
      <c r="D2938" s="123"/>
    </row>
    <row r="2939">
      <c r="D2939" s="123"/>
    </row>
    <row r="2940">
      <c r="D2940" s="123"/>
    </row>
    <row r="2941">
      <c r="D2941" s="123"/>
    </row>
    <row r="2942">
      <c r="D2942" s="123"/>
    </row>
    <row r="2943">
      <c r="D2943" s="123"/>
    </row>
    <row r="2944">
      <c r="D2944" s="123"/>
    </row>
    <row r="2945">
      <c r="D2945" s="123"/>
    </row>
    <row r="2946">
      <c r="D2946" s="123"/>
    </row>
    <row r="2947">
      <c r="D2947" s="123"/>
    </row>
    <row r="2948">
      <c r="D2948" s="123"/>
    </row>
    <row r="2949">
      <c r="D2949" s="123"/>
    </row>
    <row r="2950">
      <c r="D2950" s="123"/>
    </row>
    <row r="2951">
      <c r="D2951" s="123"/>
    </row>
    <row r="2952">
      <c r="D2952" s="123"/>
    </row>
    <row r="2953">
      <c r="D2953" s="123"/>
    </row>
    <row r="2954">
      <c r="D2954" s="123"/>
    </row>
    <row r="2955">
      <c r="D2955" s="123"/>
    </row>
    <row r="2956">
      <c r="D2956" s="123"/>
    </row>
    <row r="2957">
      <c r="D2957" s="123"/>
    </row>
    <row r="2958">
      <c r="D2958" s="123"/>
    </row>
    <row r="2959">
      <c r="D2959" s="123"/>
    </row>
    <row r="2960">
      <c r="D2960" s="123"/>
    </row>
    <row r="2961">
      <c r="D2961" s="123"/>
    </row>
    <row r="2962">
      <c r="D2962" s="123"/>
    </row>
    <row r="2963">
      <c r="D2963" s="123"/>
    </row>
    <row r="2964">
      <c r="D2964" s="123"/>
    </row>
    <row r="2965">
      <c r="D2965" s="123"/>
    </row>
    <row r="2966">
      <c r="D2966" s="123"/>
    </row>
    <row r="2967">
      <c r="D2967" s="123"/>
    </row>
    <row r="2968">
      <c r="D2968" s="123"/>
    </row>
    <row r="2969">
      <c r="D2969" s="123"/>
    </row>
    <row r="2970">
      <c r="D2970" s="123"/>
    </row>
    <row r="2971">
      <c r="D2971" s="123"/>
    </row>
    <row r="2972">
      <c r="D2972" s="123"/>
    </row>
    <row r="2973">
      <c r="D2973" s="123"/>
    </row>
    <row r="2974">
      <c r="D2974" s="123"/>
    </row>
    <row r="2975">
      <c r="D2975" s="123"/>
    </row>
    <row r="2976">
      <c r="D2976" s="123"/>
    </row>
    <row r="2977">
      <c r="D2977" s="123"/>
    </row>
    <row r="2978">
      <c r="D2978" s="123"/>
    </row>
    <row r="2979">
      <c r="D2979" s="123"/>
    </row>
    <row r="2980">
      <c r="D2980" s="123"/>
    </row>
    <row r="2981">
      <c r="D2981" s="123"/>
    </row>
    <row r="2982">
      <c r="D2982" s="123"/>
    </row>
    <row r="2983">
      <c r="D2983" s="123"/>
    </row>
    <row r="2984">
      <c r="D2984" s="123"/>
    </row>
    <row r="2985">
      <c r="D2985" s="123"/>
    </row>
    <row r="2986">
      <c r="D2986" s="123"/>
    </row>
    <row r="2987">
      <c r="D2987" s="123"/>
    </row>
    <row r="2988">
      <c r="D2988" s="123"/>
    </row>
    <row r="2989">
      <c r="D2989" s="123"/>
    </row>
    <row r="2990">
      <c r="D2990" s="123"/>
    </row>
    <row r="2991">
      <c r="D2991" s="123"/>
    </row>
    <row r="2992">
      <c r="D2992" s="123"/>
    </row>
    <row r="2993">
      <c r="D2993" s="123"/>
    </row>
    <row r="2994">
      <c r="D2994" s="123"/>
    </row>
    <row r="2995">
      <c r="D2995" s="123"/>
    </row>
    <row r="2996">
      <c r="D2996" s="123"/>
    </row>
    <row r="2997">
      <c r="D2997" s="123"/>
    </row>
    <row r="2998">
      <c r="D2998" s="123"/>
    </row>
    <row r="2999">
      <c r="D2999" s="123"/>
    </row>
    <row r="3000">
      <c r="D3000" s="123"/>
    </row>
    <row r="3001">
      <c r="D3001" s="123"/>
    </row>
    <row r="3002">
      <c r="D3002" s="123"/>
    </row>
    <row r="3003">
      <c r="D3003" s="123"/>
    </row>
    <row r="3004">
      <c r="D3004" s="123"/>
    </row>
    <row r="3005">
      <c r="D3005" s="123"/>
    </row>
    <row r="3006">
      <c r="D3006" s="123"/>
    </row>
    <row r="3007">
      <c r="D3007" s="123"/>
    </row>
    <row r="3008">
      <c r="D3008" s="123"/>
    </row>
    <row r="3009">
      <c r="D3009" s="123"/>
    </row>
    <row r="3010">
      <c r="D3010" s="123"/>
    </row>
    <row r="3011">
      <c r="D3011" s="123"/>
    </row>
    <row r="3012">
      <c r="D3012" s="123"/>
    </row>
    <row r="3013">
      <c r="D3013" s="123"/>
    </row>
    <row r="3014">
      <c r="D3014" s="123"/>
    </row>
    <row r="3015">
      <c r="D3015" s="123"/>
    </row>
    <row r="3016">
      <c r="D3016" s="123"/>
    </row>
    <row r="3017">
      <c r="D3017" s="123"/>
    </row>
    <row r="3018">
      <c r="D3018" s="123"/>
    </row>
    <row r="3019">
      <c r="D3019" s="123"/>
    </row>
    <row r="3020">
      <c r="D3020" s="123"/>
    </row>
    <row r="3021">
      <c r="D3021" s="123"/>
    </row>
    <row r="3022">
      <c r="D3022" s="123"/>
    </row>
    <row r="3023">
      <c r="D3023" s="123"/>
    </row>
    <row r="3024">
      <c r="D3024" s="123"/>
    </row>
    <row r="3025">
      <c r="D3025" s="123"/>
    </row>
    <row r="3026">
      <c r="D3026" s="123"/>
    </row>
    <row r="3027">
      <c r="D3027" s="123"/>
    </row>
    <row r="3028">
      <c r="D3028" s="123"/>
    </row>
    <row r="3029">
      <c r="D3029" s="123"/>
    </row>
    <row r="3030">
      <c r="D3030" s="123"/>
    </row>
    <row r="3031">
      <c r="D3031" s="123"/>
    </row>
    <row r="3032">
      <c r="D3032" s="123"/>
    </row>
    <row r="3033">
      <c r="D3033" s="123"/>
    </row>
    <row r="3034">
      <c r="D3034" s="123"/>
    </row>
    <row r="3035">
      <c r="D3035" s="123"/>
    </row>
    <row r="3036">
      <c r="D3036" s="123"/>
    </row>
    <row r="3037">
      <c r="D3037" s="123"/>
    </row>
    <row r="3038">
      <c r="D3038" s="123"/>
    </row>
    <row r="3039">
      <c r="D3039" s="123"/>
    </row>
    <row r="3040">
      <c r="D3040" s="123"/>
    </row>
    <row r="3041">
      <c r="D3041" s="123"/>
    </row>
    <row r="3042">
      <c r="D3042" s="123"/>
    </row>
    <row r="3043">
      <c r="D3043" s="123"/>
    </row>
    <row r="3044">
      <c r="D3044" s="123"/>
    </row>
    <row r="3045">
      <c r="D3045" s="123"/>
    </row>
    <row r="3046">
      <c r="D3046" s="123"/>
    </row>
    <row r="3047">
      <c r="D3047" s="123"/>
    </row>
    <row r="3048">
      <c r="D3048" s="123"/>
    </row>
    <row r="3049">
      <c r="D3049" s="123"/>
    </row>
    <row r="3050">
      <c r="D3050" s="123"/>
    </row>
    <row r="3051">
      <c r="D3051" s="123"/>
    </row>
    <row r="3052">
      <c r="D3052" s="123"/>
    </row>
    <row r="3053">
      <c r="D3053" s="123"/>
    </row>
    <row r="3054">
      <c r="D3054" s="123"/>
    </row>
    <row r="3055">
      <c r="D3055" s="123"/>
    </row>
    <row r="3056">
      <c r="D3056" s="123"/>
    </row>
    <row r="3057">
      <c r="D3057" s="123"/>
    </row>
    <row r="3058">
      <c r="D3058" s="123"/>
    </row>
    <row r="3059">
      <c r="D3059" s="123"/>
    </row>
    <row r="3060">
      <c r="D3060" s="123"/>
    </row>
    <row r="3061">
      <c r="D3061" s="123"/>
    </row>
    <row r="3062">
      <c r="D3062" s="123"/>
    </row>
    <row r="3063">
      <c r="D3063" s="123"/>
    </row>
    <row r="3064">
      <c r="D3064" s="123"/>
    </row>
    <row r="3065">
      <c r="D3065" s="123"/>
    </row>
    <row r="3066">
      <c r="D3066" s="123"/>
    </row>
    <row r="3067">
      <c r="D3067" s="123"/>
    </row>
    <row r="3068">
      <c r="D3068" s="123"/>
    </row>
    <row r="3069">
      <c r="D3069" s="123"/>
    </row>
    <row r="3070">
      <c r="D3070" s="123"/>
    </row>
    <row r="3071">
      <c r="D3071" s="123"/>
    </row>
    <row r="3072">
      <c r="D3072" s="123"/>
    </row>
    <row r="3073">
      <c r="D3073" s="123"/>
    </row>
    <row r="3074">
      <c r="D3074" s="123"/>
    </row>
    <row r="3075">
      <c r="D3075" s="123"/>
    </row>
    <row r="3076">
      <c r="D3076" s="123"/>
    </row>
    <row r="3077">
      <c r="D3077" s="123"/>
    </row>
    <row r="3078">
      <c r="D3078" s="123"/>
    </row>
    <row r="3079">
      <c r="D3079" s="123"/>
    </row>
    <row r="3080">
      <c r="D3080" s="123"/>
    </row>
    <row r="3081">
      <c r="D3081" s="123"/>
    </row>
    <row r="3082">
      <c r="D3082" s="123"/>
    </row>
    <row r="3083">
      <c r="D3083" s="123"/>
    </row>
    <row r="3084">
      <c r="D3084" s="123"/>
    </row>
    <row r="3085">
      <c r="D3085" s="123"/>
    </row>
    <row r="3086">
      <c r="D3086" s="123"/>
    </row>
    <row r="3087">
      <c r="D3087" s="123"/>
    </row>
    <row r="3088">
      <c r="D3088" s="123"/>
    </row>
    <row r="3089">
      <c r="D3089" s="123"/>
    </row>
    <row r="3090">
      <c r="D3090" s="123"/>
    </row>
    <row r="3091">
      <c r="D3091" s="123"/>
    </row>
    <row r="3092">
      <c r="D3092" s="123"/>
    </row>
    <row r="3093">
      <c r="D3093" s="123"/>
    </row>
    <row r="3094">
      <c r="D3094" s="123"/>
    </row>
    <row r="3095">
      <c r="D3095" s="123"/>
    </row>
    <row r="3096">
      <c r="D3096" s="123"/>
    </row>
    <row r="3097">
      <c r="D3097" s="123"/>
    </row>
    <row r="3098">
      <c r="D3098" s="123"/>
    </row>
    <row r="3099">
      <c r="D3099" s="123"/>
    </row>
    <row r="3100">
      <c r="D3100" s="123"/>
    </row>
    <row r="3101">
      <c r="D3101" s="123"/>
    </row>
    <row r="3102">
      <c r="D3102" s="123"/>
    </row>
    <row r="3103">
      <c r="D3103" s="123"/>
    </row>
    <row r="3104">
      <c r="D3104" s="123"/>
    </row>
    <row r="3105">
      <c r="D3105" s="123"/>
    </row>
    <row r="3106">
      <c r="D3106" s="123"/>
    </row>
    <row r="3107">
      <c r="D3107" s="123"/>
    </row>
    <row r="3108">
      <c r="D3108" s="123"/>
    </row>
    <row r="3109">
      <c r="D3109" s="123"/>
    </row>
    <row r="3110">
      <c r="D3110" s="123"/>
    </row>
    <row r="3111">
      <c r="D3111" s="123"/>
    </row>
    <row r="3112">
      <c r="D3112" s="123"/>
    </row>
    <row r="3113">
      <c r="D3113" s="123"/>
    </row>
    <row r="3114">
      <c r="D3114" s="123"/>
    </row>
    <row r="3115">
      <c r="D3115" s="123"/>
    </row>
    <row r="3116">
      <c r="D3116" s="123"/>
    </row>
    <row r="3117">
      <c r="D3117" s="123"/>
    </row>
    <row r="3118">
      <c r="D3118" s="123"/>
    </row>
    <row r="3119">
      <c r="D3119" s="123"/>
    </row>
    <row r="3120">
      <c r="D3120" s="123"/>
    </row>
    <row r="3121">
      <c r="D3121" s="123"/>
    </row>
    <row r="3122">
      <c r="D3122" s="123"/>
    </row>
    <row r="3123">
      <c r="D3123" s="123"/>
    </row>
    <row r="3124">
      <c r="D3124" s="123"/>
    </row>
    <row r="3125">
      <c r="D3125" s="123"/>
    </row>
    <row r="3126">
      <c r="D3126" s="123"/>
    </row>
    <row r="3127">
      <c r="D3127" s="123"/>
    </row>
    <row r="3128">
      <c r="D3128" s="123"/>
    </row>
    <row r="3129">
      <c r="D3129" s="123"/>
    </row>
    <row r="3130">
      <c r="D3130" s="123"/>
    </row>
    <row r="3131">
      <c r="D3131" s="123"/>
    </row>
    <row r="3132">
      <c r="D3132" s="123"/>
    </row>
    <row r="3133">
      <c r="D3133" s="123"/>
    </row>
    <row r="3134">
      <c r="D3134" s="123"/>
    </row>
    <row r="3135">
      <c r="D3135" s="123"/>
    </row>
    <row r="3136">
      <c r="D3136" s="123"/>
    </row>
    <row r="3137">
      <c r="D3137" s="123"/>
    </row>
    <row r="3138">
      <c r="D3138" s="123"/>
    </row>
    <row r="3139">
      <c r="D3139" s="123"/>
    </row>
    <row r="3140">
      <c r="D3140" s="123"/>
    </row>
    <row r="3141">
      <c r="D3141" s="123"/>
    </row>
    <row r="3142">
      <c r="D3142" s="123"/>
    </row>
    <row r="3143">
      <c r="D3143" s="123"/>
    </row>
    <row r="3144">
      <c r="D3144" s="123"/>
    </row>
    <row r="3145">
      <c r="D3145" s="123"/>
    </row>
    <row r="3146">
      <c r="D3146" s="123"/>
    </row>
    <row r="3147">
      <c r="D3147" s="123"/>
    </row>
    <row r="3148">
      <c r="D3148" s="123"/>
    </row>
    <row r="3149">
      <c r="D3149" s="123"/>
    </row>
    <row r="3150">
      <c r="D3150" s="123"/>
    </row>
    <row r="3151">
      <c r="D3151" s="123"/>
    </row>
    <row r="3152">
      <c r="D3152" s="123"/>
    </row>
    <row r="3153">
      <c r="D3153" s="123"/>
    </row>
    <row r="3154">
      <c r="D3154" s="123"/>
    </row>
    <row r="3155">
      <c r="D3155" s="123"/>
    </row>
    <row r="3156">
      <c r="D3156" s="123"/>
    </row>
    <row r="3157">
      <c r="D3157" s="123"/>
    </row>
    <row r="3158">
      <c r="D3158" s="123"/>
    </row>
    <row r="3159">
      <c r="D3159" s="123"/>
    </row>
    <row r="3160">
      <c r="D3160" s="123"/>
    </row>
    <row r="3161">
      <c r="D3161" s="123"/>
    </row>
    <row r="3162">
      <c r="D3162" s="123"/>
    </row>
    <row r="3163">
      <c r="D3163" s="123"/>
    </row>
    <row r="3164">
      <c r="D3164" s="123"/>
    </row>
    <row r="3165">
      <c r="D3165" s="123"/>
    </row>
    <row r="3166">
      <c r="D3166" s="123"/>
    </row>
    <row r="3167">
      <c r="D3167" s="123"/>
    </row>
    <row r="3168">
      <c r="D3168" s="123"/>
    </row>
    <row r="3169">
      <c r="D3169" s="123"/>
    </row>
    <row r="3170">
      <c r="D3170" s="123"/>
    </row>
    <row r="3171">
      <c r="D3171" s="123"/>
    </row>
    <row r="3172">
      <c r="D3172" s="123"/>
    </row>
    <row r="3173">
      <c r="D3173" s="123"/>
    </row>
    <row r="3174">
      <c r="D3174" s="123"/>
    </row>
    <row r="3175">
      <c r="D3175" s="123"/>
    </row>
    <row r="3176">
      <c r="D3176" s="123"/>
    </row>
    <row r="3177">
      <c r="D3177" s="123"/>
    </row>
    <row r="3178">
      <c r="D3178" s="123"/>
    </row>
    <row r="3179">
      <c r="D3179" s="123"/>
    </row>
    <row r="3180">
      <c r="D3180" s="123"/>
    </row>
    <row r="3181">
      <c r="D3181" s="123"/>
    </row>
    <row r="3182">
      <c r="D3182" s="123"/>
    </row>
    <row r="3183">
      <c r="D3183" s="123"/>
    </row>
    <row r="3184">
      <c r="D3184" s="123"/>
    </row>
    <row r="3185">
      <c r="D3185" s="123"/>
    </row>
    <row r="3186">
      <c r="D3186" s="123"/>
    </row>
    <row r="3187">
      <c r="D3187" s="123"/>
    </row>
    <row r="3188">
      <c r="D3188" s="123"/>
    </row>
    <row r="3189">
      <c r="D3189" s="123"/>
    </row>
    <row r="3190">
      <c r="D3190" s="123"/>
    </row>
    <row r="3191">
      <c r="D3191" s="123"/>
    </row>
    <row r="3192">
      <c r="D3192" s="123"/>
    </row>
    <row r="3193">
      <c r="D3193" s="123"/>
    </row>
    <row r="3194">
      <c r="D3194" s="123"/>
    </row>
    <row r="3195">
      <c r="D3195" s="123"/>
    </row>
    <row r="3196">
      <c r="D3196" s="123"/>
    </row>
    <row r="3197">
      <c r="D3197" s="123"/>
    </row>
    <row r="3198">
      <c r="D3198" s="123"/>
    </row>
    <row r="3199">
      <c r="D3199" s="123"/>
    </row>
    <row r="3200">
      <c r="D3200" s="123"/>
    </row>
    <row r="3201">
      <c r="D3201" s="123"/>
    </row>
    <row r="3202">
      <c r="D3202" s="123"/>
    </row>
    <row r="3203">
      <c r="D3203" s="123"/>
    </row>
    <row r="3204">
      <c r="D3204" s="123"/>
    </row>
    <row r="3205">
      <c r="D3205" s="123"/>
    </row>
    <row r="3206">
      <c r="D3206" s="123"/>
    </row>
    <row r="3207">
      <c r="D3207" s="123"/>
    </row>
    <row r="3208">
      <c r="D3208" s="123"/>
    </row>
    <row r="3209">
      <c r="D3209" s="123"/>
    </row>
    <row r="3210">
      <c r="D3210" s="123"/>
    </row>
    <row r="3211">
      <c r="D3211" s="123"/>
    </row>
    <row r="3212">
      <c r="D3212" s="123"/>
    </row>
    <row r="3213">
      <c r="D3213" s="123"/>
    </row>
    <row r="3214">
      <c r="D3214" s="123"/>
    </row>
    <row r="3215">
      <c r="D3215" s="123"/>
    </row>
    <row r="3216">
      <c r="D3216" s="123"/>
    </row>
    <row r="3217">
      <c r="D3217" s="123"/>
    </row>
    <row r="3218">
      <c r="D3218" s="123"/>
    </row>
    <row r="3219">
      <c r="D3219" s="123"/>
    </row>
    <row r="3220">
      <c r="D3220" s="123"/>
    </row>
    <row r="3221">
      <c r="D3221" s="123"/>
    </row>
    <row r="3222">
      <c r="D3222" s="123"/>
    </row>
    <row r="3223">
      <c r="D3223" s="123"/>
    </row>
    <row r="3224">
      <c r="D3224" s="123"/>
    </row>
    <row r="3225">
      <c r="D3225" s="123"/>
    </row>
    <row r="3226">
      <c r="D3226" s="123"/>
    </row>
    <row r="3227">
      <c r="D3227" s="123"/>
    </row>
    <row r="3228">
      <c r="D3228" s="123"/>
    </row>
    <row r="3229">
      <c r="D3229" s="123"/>
    </row>
    <row r="3230">
      <c r="D3230" s="123"/>
    </row>
    <row r="3231">
      <c r="D3231" s="123"/>
    </row>
    <row r="3232">
      <c r="D3232" s="123"/>
    </row>
    <row r="3233">
      <c r="D3233" s="123"/>
    </row>
    <row r="3234">
      <c r="D3234" s="123"/>
    </row>
    <row r="3235">
      <c r="D3235" s="123"/>
    </row>
    <row r="3236">
      <c r="D3236" s="123"/>
    </row>
    <row r="3237">
      <c r="D3237" s="123"/>
    </row>
    <row r="3238">
      <c r="D3238" s="123"/>
    </row>
    <row r="3239">
      <c r="D3239" s="123"/>
    </row>
    <row r="3240">
      <c r="D3240" s="123"/>
    </row>
    <row r="3241">
      <c r="D3241" s="123"/>
    </row>
    <row r="3242">
      <c r="D3242" s="123"/>
    </row>
    <row r="3243">
      <c r="D3243" s="123"/>
    </row>
    <row r="3244">
      <c r="D3244" s="123"/>
    </row>
    <row r="3245">
      <c r="D3245" s="123"/>
    </row>
    <row r="3246">
      <c r="D3246" s="123"/>
    </row>
    <row r="3247">
      <c r="D3247" s="123"/>
    </row>
    <row r="3248">
      <c r="D3248" s="123"/>
    </row>
    <row r="3249">
      <c r="D3249" s="123"/>
    </row>
    <row r="3250">
      <c r="D3250" s="123"/>
    </row>
    <row r="3251">
      <c r="D3251" s="123"/>
    </row>
    <row r="3252">
      <c r="D3252" s="123"/>
    </row>
    <row r="3253">
      <c r="D3253" s="123"/>
    </row>
    <row r="3254">
      <c r="D3254" s="123"/>
    </row>
    <row r="3255">
      <c r="D3255" s="123"/>
    </row>
    <row r="3256">
      <c r="D3256" s="123"/>
    </row>
    <row r="3257">
      <c r="D3257" s="123"/>
    </row>
    <row r="3258">
      <c r="D3258" s="123"/>
    </row>
    <row r="3259">
      <c r="D3259" s="123"/>
    </row>
    <row r="3260">
      <c r="D3260" s="123"/>
    </row>
    <row r="3261">
      <c r="D3261" s="123"/>
    </row>
    <row r="3262">
      <c r="D3262" s="123"/>
    </row>
    <row r="3263">
      <c r="D3263" s="123"/>
    </row>
    <row r="3264">
      <c r="D3264" s="123"/>
    </row>
    <row r="3265">
      <c r="D3265" s="123"/>
    </row>
    <row r="3266">
      <c r="D3266" s="123"/>
    </row>
    <row r="3267">
      <c r="D3267" s="123"/>
    </row>
    <row r="3268">
      <c r="D3268" s="123"/>
    </row>
    <row r="3269">
      <c r="D3269" s="123"/>
    </row>
    <row r="3270">
      <c r="D3270" s="123"/>
    </row>
    <row r="3271">
      <c r="D3271" s="123"/>
    </row>
    <row r="3272">
      <c r="D3272" s="123"/>
    </row>
    <row r="3273">
      <c r="D3273" s="123"/>
    </row>
    <row r="3274">
      <c r="D3274" s="123"/>
    </row>
    <row r="3275">
      <c r="D3275" s="123"/>
    </row>
    <row r="3276">
      <c r="D3276" s="123"/>
    </row>
    <row r="3277">
      <c r="D3277" s="123"/>
    </row>
    <row r="3278">
      <c r="D3278" s="123"/>
    </row>
    <row r="3279">
      <c r="D3279" s="123"/>
    </row>
    <row r="3280">
      <c r="D3280" s="123"/>
    </row>
    <row r="3281">
      <c r="D3281" s="123"/>
    </row>
    <row r="3282">
      <c r="D3282" s="123"/>
    </row>
    <row r="3283">
      <c r="D3283" s="123"/>
    </row>
    <row r="3284">
      <c r="D3284" s="123"/>
    </row>
    <row r="3285">
      <c r="D3285" s="123"/>
    </row>
    <row r="3286">
      <c r="D3286" s="123"/>
    </row>
    <row r="3287">
      <c r="D3287" s="123"/>
    </row>
    <row r="3288">
      <c r="D3288" s="123"/>
    </row>
    <row r="3289">
      <c r="D3289" s="123"/>
    </row>
    <row r="3290">
      <c r="D3290" s="123"/>
    </row>
    <row r="3291">
      <c r="D3291" s="123"/>
    </row>
    <row r="3292">
      <c r="D3292" s="123"/>
    </row>
    <row r="3293">
      <c r="D3293" s="123"/>
    </row>
    <row r="3294">
      <c r="D3294" s="123"/>
    </row>
    <row r="3295">
      <c r="D3295" s="123"/>
    </row>
    <row r="3296">
      <c r="D3296" s="123"/>
    </row>
    <row r="3297">
      <c r="D3297" s="123"/>
    </row>
    <row r="3298">
      <c r="D3298" s="123"/>
    </row>
    <row r="3299">
      <c r="D3299" s="123"/>
    </row>
    <row r="3300">
      <c r="D3300" s="123"/>
    </row>
    <row r="3301">
      <c r="D3301" s="123"/>
    </row>
    <row r="3302">
      <c r="D3302" s="123"/>
    </row>
    <row r="3303">
      <c r="D3303" s="123"/>
    </row>
    <row r="3304">
      <c r="D3304" s="123"/>
    </row>
    <row r="3305">
      <c r="D3305" s="123"/>
    </row>
    <row r="3306">
      <c r="D3306" s="123"/>
    </row>
    <row r="3307">
      <c r="D3307" s="123"/>
    </row>
    <row r="3308">
      <c r="D3308" s="123"/>
    </row>
    <row r="3309">
      <c r="D3309" s="123"/>
    </row>
    <row r="3310">
      <c r="D3310" s="123"/>
    </row>
    <row r="3311">
      <c r="D3311" s="123"/>
    </row>
    <row r="3312">
      <c r="D3312" s="123"/>
    </row>
    <row r="3313">
      <c r="D3313" s="123"/>
    </row>
    <row r="3314">
      <c r="D3314" s="123"/>
    </row>
    <row r="3315">
      <c r="D3315" s="123"/>
    </row>
    <row r="3316">
      <c r="D3316" s="123"/>
    </row>
    <row r="3317">
      <c r="D3317" s="123"/>
    </row>
    <row r="3318">
      <c r="D3318" s="123"/>
    </row>
    <row r="3319">
      <c r="D3319" s="123"/>
    </row>
    <row r="3320">
      <c r="D3320" s="123"/>
    </row>
    <row r="3321">
      <c r="D3321" s="123"/>
    </row>
    <row r="3322">
      <c r="D3322" s="123"/>
    </row>
    <row r="3323">
      <c r="D3323" s="123"/>
    </row>
    <row r="3324">
      <c r="D3324" s="123"/>
    </row>
    <row r="3325">
      <c r="D3325" s="123"/>
    </row>
    <row r="3326">
      <c r="D3326" s="123"/>
    </row>
    <row r="3327">
      <c r="D3327" s="123"/>
    </row>
    <row r="3328">
      <c r="D3328" s="123"/>
    </row>
    <row r="3329">
      <c r="D3329" s="123"/>
    </row>
    <row r="3330">
      <c r="D3330" s="123"/>
    </row>
    <row r="3331">
      <c r="D3331" s="123"/>
    </row>
    <row r="3332">
      <c r="D3332" s="123"/>
    </row>
    <row r="3333">
      <c r="D3333" s="123"/>
    </row>
    <row r="3334">
      <c r="D3334" s="123"/>
    </row>
    <row r="3335">
      <c r="D3335" s="123"/>
    </row>
    <row r="3336">
      <c r="D3336" s="123"/>
    </row>
    <row r="3337">
      <c r="D3337" s="123"/>
    </row>
    <row r="3338">
      <c r="D3338" s="123"/>
    </row>
    <row r="3339">
      <c r="D3339" s="123"/>
    </row>
    <row r="3340">
      <c r="D3340" s="123"/>
    </row>
    <row r="3341">
      <c r="D3341" s="123"/>
    </row>
    <row r="3342">
      <c r="D3342" s="123"/>
    </row>
    <row r="3343">
      <c r="D3343" s="123"/>
    </row>
    <row r="3344">
      <c r="D3344" s="123"/>
    </row>
    <row r="3345">
      <c r="D3345" s="123"/>
    </row>
    <row r="3346">
      <c r="D3346" s="123"/>
    </row>
    <row r="3347">
      <c r="D3347" s="123"/>
    </row>
    <row r="3348">
      <c r="D3348" s="123"/>
    </row>
    <row r="3349">
      <c r="D3349" s="123"/>
    </row>
    <row r="3350">
      <c r="D3350" s="123"/>
    </row>
    <row r="3351">
      <c r="D3351" s="123"/>
    </row>
    <row r="3352">
      <c r="D3352" s="123"/>
    </row>
    <row r="3353">
      <c r="D3353" s="123"/>
    </row>
    <row r="3354">
      <c r="D3354" s="123"/>
    </row>
    <row r="3355">
      <c r="D3355" s="123"/>
    </row>
    <row r="3356">
      <c r="D3356" s="123"/>
    </row>
    <row r="3357">
      <c r="D3357" s="123"/>
    </row>
    <row r="3358">
      <c r="D3358" s="123"/>
    </row>
    <row r="3359">
      <c r="D3359" s="123"/>
    </row>
    <row r="3360">
      <c r="D3360" s="123"/>
    </row>
    <row r="3361">
      <c r="D3361" s="123"/>
    </row>
    <row r="3362">
      <c r="D3362" s="123"/>
    </row>
    <row r="3363">
      <c r="D3363" s="123"/>
    </row>
    <row r="3364">
      <c r="D3364" s="123"/>
    </row>
    <row r="3365">
      <c r="D3365" s="123"/>
    </row>
    <row r="3366">
      <c r="D3366" s="123"/>
    </row>
    <row r="3367">
      <c r="D3367" s="123"/>
    </row>
    <row r="3368">
      <c r="D3368" s="123"/>
    </row>
    <row r="3369">
      <c r="D3369" s="123"/>
    </row>
    <row r="3370">
      <c r="D3370" s="123"/>
    </row>
    <row r="3371">
      <c r="D3371" s="123"/>
    </row>
    <row r="3372">
      <c r="D3372" s="123"/>
    </row>
    <row r="3373">
      <c r="D3373" s="123"/>
    </row>
    <row r="3374">
      <c r="D3374" s="123"/>
    </row>
    <row r="3375">
      <c r="D3375" s="123"/>
    </row>
    <row r="3376">
      <c r="D3376" s="123"/>
    </row>
    <row r="3377">
      <c r="D3377" s="123"/>
    </row>
    <row r="3378">
      <c r="D3378" s="123"/>
    </row>
    <row r="3379">
      <c r="D3379" s="123"/>
    </row>
    <row r="3380">
      <c r="D3380" s="123"/>
    </row>
    <row r="3381">
      <c r="D3381" s="123"/>
    </row>
    <row r="3382">
      <c r="D3382" s="123"/>
    </row>
    <row r="3383">
      <c r="D3383" s="123"/>
    </row>
    <row r="3384">
      <c r="D3384" s="123"/>
    </row>
    <row r="3385">
      <c r="D3385" s="123"/>
    </row>
    <row r="3386">
      <c r="D3386" s="123"/>
    </row>
    <row r="3387">
      <c r="D3387" s="123"/>
    </row>
    <row r="3388">
      <c r="D3388" s="123"/>
    </row>
    <row r="3389">
      <c r="D3389" s="123"/>
    </row>
    <row r="3390">
      <c r="D3390" s="123"/>
    </row>
    <row r="3391">
      <c r="D3391" s="123"/>
    </row>
    <row r="3392">
      <c r="D3392" s="123"/>
    </row>
    <row r="3393">
      <c r="D3393" s="123"/>
    </row>
    <row r="3394">
      <c r="D3394" s="123"/>
    </row>
    <row r="3395">
      <c r="D3395" s="123"/>
    </row>
    <row r="3396">
      <c r="D3396" s="123"/>
    </row>
    <row r="3397">
      <c r="D3397" s="123"/>
    </row>
    <row r="3398">
      <c r="D3398" s="123"/>
    </row>
    <row r="3399">
      <c r="D3399" s="123"/>
    </row>
    <row r="3400">
      <c r="D3400" s="123"/>
    </row>
    <row r="3401">
      <c r="D3401" s="123"/>
    </row>
    <row r="3402">
      <c r="D3402" s="123"/>
    </row>
    <row r="3403">
      <c r="D3403" s="123"/>
    </row>
    <row r="3404">
      <c r="D3404" s="123"/>
    </row>
    <row r="3405">
      <c r="D3405" s="123"/>
    </row>
    <row r="3406">
      <c r="D3406" s="123"/>
    </row>
    <row r="3407">
      <c r="D3407" s="123"/>
    </row>
    <row r="3408">
      <c r="D3408" s="123"/>
    </row>
    <row r="3409">
      <c r="D3409" s="123"/>
    </row>
    <row r="3410">
      <c r="D3410" s="123"/>
    </row>
    <row r="3411">
      <c r="D3411" s="123"/>
    </row>
    <row r="3412">
      <c r="D3412" s="123"/>
    </row>
    <row r="3413">
      <c r="D3413" s="123"/>
    </row>
    <row r="3414">
      <c r="D3414" s="123"/>
    </row>
    <row r="3415">
      <c r="D3415" s="123"/>
    </row>
    <row r="3416">
      <c r="D3416" s="123"/>
    </row>
    <row r="3417">
      <c r="D3417" s="123"/>
    </row>
    <row r="3418">
      <c r="D3418" s="123"/>
    </row>
    <row r="3419">
      <c r="D3419" s="123"/>
    </row>
    <row r="3420">
      <c r="D3420" s="123"/>
    </row>
    <row r="3421">
      <c r="D3421" s="123"/>
    </row>
    <row r="3422">
      <c r="D3422" s="123"/>
    </row>
    <row r="3423">
      <c r="D3423" s="123"/>
    </row>
    <row r="3424">
      <c r="D3424" s="123"/>
    </row>
    <row r="3425">
      <c r="D3425" s="123"/>
    </row>
    <row r="3426">
      <c r="D3426" s="123"/>
    </row>
    <row r="3427">
      <c r="D3427" s="123"/>
    </row>
    <row r="3428">
      <c r="D3428" s="123"/>
    </row>
    <row r="3429">
      <c r="D3429" s="123"/>
    </row>
    <row r="3430">
      <c r="D3430" s="123"/>
    </row>
    <row r="3431">
      <c r="D3431" s="123"/>
    </row>
    <row r="3432">
      <c r="D3432" s="123"/>
    </row>
    <row r="3433">
      <c r="D3433" s="123"/>
    </row>
    <row r="3434">
      <c r="D3434" s="123"/>
    </row>
    <row r="3435">
      <c r="D3435" s="123"/>
    </row>
    <row r="3436">
      <c r="D3436" s="123"/>
    </row>
    <row r="3437">
      <c r="D3437" s="123"/>
    </row>
    <row r="3438">
      <c r="D3438" s="123"/>
    </row>
    <row r="3439">
      <c r="D3439" s="123"/>
    </row>
    <row r="3440">
      <c r="D3440" s="123"/>
    </row>
    <row r="3441">
      <c r="D3441" s="123"/>
    </row>
    <row r="3442">
      <c r="D3442" s="123"/>
    </row>
    <row r="3443">
      <c r="D3443" s="123"/>
    </row>
    <row r="3444">
      <c r="D3444" s="123"/>
    </row>
    <row r="3445">
      <c r="D3445" s="123"/>
    </row>
    <row r="3446">
      <c r="D3446" s="123"/>
    </row>
    <row r="3447">
      <c r="D3447" s="123"/>
    </row>
    <row r="3448">
      <c r="D3448" s="123"/>
    </row>
    <row r="3449">
      <c r="D3449" s="123"/>
    </row>
    <row r="3450">
      <c r="D3450" s="123"/>
    </row>
    <row r="3451">
      <c r="D3451" s="123"/>
    </row>
    <row r="3452">
      <c r="D3452" s="123"/>
    </row>
    <row r="3453">
      <c r="D3453" s="123"/>
    </row>
    <row r="3454">
      <c r="D3454" s="123"/>
    </row>
    <row r="3455">
      <c r="D3455" s="123"/>
    </row>
    <row r="3456">
      <c r="D3456" s="123"/>
    </row>
    <row r="3457">
      <c r="D3457" s="123"/>
    </row>
    <row r="3458">
      <c r="D3458" s="123"/>
    </row>
    <row r="3459">
      <c r="D3459" s="123"/>
    </row>
    <row r="3460">
      <c r="D3460" s="123"/>
    </row>
    <row r="3461">
      <c r="D3461" s="123"/>
    </row>
    <row r="3462">
      <c r="D3462" s="123"/>
    </row>
    <row r="3463">
      <c r="D3463" s="123"/>
    </row>
    <row r="3464">
      <c r="D3464" s="123"/>
    </row>
    <row r="3465">
      <c r="D3465" s="123"/>
    </row>
    <row r="3466">
      <c r="D3466" s="123"/>
    </row>
    <row r="3467">
      <c r="D3467" s="123"/>
    </row>
    <row r="3468">
      <c r="D3468" s="123"/>
    </row>
    <row r="3469">
      <c r="D3469" s="123"/>
    </row>
    <row r="3470">
      <c r="D3470" s="123"/>
    </row>
    <row r="3471">
      <c r="D3471" s="123"/>
    </row>
    <row r="3472">
      <c r="D3472" s="123"/>
    </row>
    <row r="3473">
      <c r="D3473" s="123"/>
    </row>
    <row r="3474">
      <c r="D3474" s="123"/>
    </row>
    <row r="3475">
      <c r="D3475" s="123"/>
    </row>
    <row r="3476">
      <c r="D3476" s="123"/>
    </row>
    <row r="3477">
      <c r="D3477" s="123"/>
    </row>
    <row r="3478">
      <c r="D3478" s="123"/>
    </row>
    <row r="3479">
      <c r="D3479" s="123"/>
    </row>
    <row r="3480">
      <c r="D3480" s="123"/>
    </row>
    <row r="3481">
      <c r="D3481" s="123"/>
    </row>
    <row r="3482">
      <c r="D3482" s="123"/>
    </row>
    <row r="3483">
      <c r="D3483" s="123"/>
    </row>
    <row r="3484">
      <c r="D3484" s="123"/>
    </row>
    <row r="3485">
      <c r="D3485" s="123"/>
    </row>
    <row r="3486">
      <c r="D3486" s="123"/>
    </row>
    <row r="3487">
      <c r="D3487" s="123"/>
    </row>
    <row r="3488">
      <c r="D3488" s="123"/>
    </row>
    <row r="3489">
      <c r="D3489" s="123"/>
    </row>
    <row r="3490">
      <c r="D3490" s="123"/>
    </row>
    <row r="3491">
      <c r="D3491" s="123"/>
    </row>
    <row r="3492">
      <c r="D3492" s="123"/>
    </row>
    <row r="3493">
      <c r="D3493" s="123"/>
    </row>
    <row r="3494">
      <c r="D3494" s="123"/>
    </row>
    <row r="3495">
      <c r="D3495" s="123"/>
    </row>
    <row r="3496">
      <c r="D3496" s="123"/>
    </row>
    <row r="3497">
      <c r="D3497" s="123"/>
    </row>
    <row r="3498">
      <c r="D3498" s="123"/>
    </row>
    <row r="3499">
      <c r="D3499" s="123"/>
    </row>
    <row r="3500">
      <c r="D3500" s="123"/>
    </row>
    <row r="3501">
      <c r="D3501" s="123"/>
    </row>
    <row r="3502">
      <c r="D3502" s="123"/>
    </row>
    <row r="3503">
      <c r="D3503" s="123"/>
    </row>
    <row r="3504">
      <c r="D3504" s="123"/>
    </row>
    <row r="3505">
      <c r="D3505" s="123"/>
    </row>
    <row r="3506">
      <c r="D3506" s="123"/>
    </row>
    <row r="3507">
      <c r="D3507" s="123"/>
    </row>
    <row r="3508">
      <c r="D3508" s="123"/>
    </row>
    <row r="3509">
      <c r="D3509" s="123"/>
    </row>
    <row r="3510">
      <c r="D3510" s="123"/>
    </row>
    <row r="3511">
      <c r="D3511" s="123"/>
    </row>
    <row r="3512">
      <c r="D3512" s="123"/>
    </row>
    <row r="3513">
      <c r="D3513" s="123"/>
    </row>
    <row r="3514">
      <c r="D3514" s="123"/>
    </row>
    <row r="3515">
      <c r="D3515" s="123"/>
    </row>
    <row r="3516">
      <c r="D3516" s="123"/>
    </row>
    <row r="3517">
      <c r="D3517" s="123"/>
    </row>
    <row r="3518">
      <c r="D3518" s="123"/>
    </row>
    <row r="3519">
      <c r="D3519" s="123"/>
    </row>
    <row r="3520">
      <c r="D3520" s="123"/>
    </row>
    <row r="3521">
      <c r="D3521" s="123"/>
    </row>
    <row r="3522">
      <c r="D3522" s="123"/>
    </row>
    <row r="3523">
      <c r="D3523" s="123"/>
    </row>
    <row r="3524">
      <c r="D3524" s="123"/>
    </row>
    <row r="3525">
      <c r="D3525" s="123"/>
    </row>
    <row r="3526">
      <c r="D3526" s="123"/>
    </row>
    <row r="3527">
      <c r="D3527" s="123"/>
    </row>
    <row r="3528">
      <c r="D3528" s="123"/>
    </row>
    <row r="3529">
      <c r="D3529" s="123"/>
    </row>
    <row r="3530">
      <c r="D3530" s="123"/>
    </row>
    <row r="3531">
      <c r="D3531" s="123"/>
    </row>
    <row r="3532">
      <c r="D3532" s="123"/>
    </row>
    <row r="3533">
      <c r="D3533" s="123"/>
    </row>
    <row r="3534">
      <c r="D3534" s="123"/>
    </row>
    <row r="3535">
      <c r="D3535" s="123"/>
    </row>
    <row r="3536">
      <c r="D3536" s="123"/>
    </row>
    <row r="3537">
      <c r="D3537" s="123"/>
    </row>
    <row r="3538">
      <c r="D3538" s="123"/>
    </row>
    <row r="3539">
      <c r="D3539" s="123"/>
    </row>
    <row r="3540">
      <c r="D3540" s="123"/>
    </row>
    <row r="3541">
      <c r="D3541" s="123"/>
    </row>
    <row r="3542">
      <c r="D3542" s="123"/>
    </row>
    <row r="3543">
      <c r="D3543" s="123"/>
    </row>
    <row r="3544">
      <c r="D3544" s="123"/>
    </row>
    <row r="3545">
      <c r="D3545" s="123"/>
    </row>
    <row r="3546">
      <c r="D3546" s="123"/>
    </row>
    <row r="3547">
      <c r="D3547" s="123"/>
    </row>
    <row r="3548">
      <c r="D3548" s="123"/>
    </row>
    <row r="3549">
      <c r="D3549" s="123"/>
    </row>
    <row r="3550">
      <c r="D3550" s="123"/>
    </row>
    <row r="3551">
      <c r="D3551" s="123"/>
    </row>
    <row r="3552">
      <c r="D3552" s="123"/>
    </row>
    <row r="3553">
      <c r="D3553" s="123"/>
    </row>
    <row r="3554">
      <c r="D3554" s="123"/>
    </row>
    <row r="3555">
      <c r="D3555" s="123"/>
    </row>
    <row r="3556">
      <c r="D3556" s="123"/>
    </row>
    <row r="3557">
      <c r="D3557" s="123"/>
    </row>
    <row r="3558">
      <c r="D3558" s="123"/>
    </row>
    <row r="3559">
      <c r="D3559" s="123"/>
    </row>
    <row r="3560">
      <c r="D3560" s="123"/>
    </row>
    <row r="3561">
      <c r="D3561" s="123"/>
    </row>
    <row r="3562">
      <c r="D3562" s="123"/>
    </row>
    <row r="3563">
      <c r="D3563" s="123"/>
    </row>
    <row r="3564">
      <c r="D3564" s="123"/>
    </row>
    <row r="3565">
      <c r="D3565" s="123"/>
    </row>
    <row r="3566">
      <c r="D3566" s="123"/>
    </row>
    <row r="3567">
      <c r="D3567" s="123"/>
    </row>
    <row r="3568">
      <c r="D3568" s="123"/>
    </row>
    <row r="3569">
      <c r="D3569" s="123"/>
    </row>
    <row r="3570">
      <c r="D3570" s="123"/>
    </row>
    <row r="3571">
      <c r="D3571" s="123"/>
    </row>
    <row r="3572">
      <c r="D3572" s="123"/>
    </row>
    <row r="3573">
      <c r="D3573" s="123"/>
    </row>
    <row r="3574">
      <c r="D3574" s="123"/>
    </row>
    <row r="3575">
      <c r="D3575" s="123"/>
    </row>
    <row r="3576">
      <c r="D3576" s="123"/>
    </row>
    <row r="3577">
      <c r="D3577" s="123"/>
    </row>
    <row r="3578">
      <c r="D3578" s="123"/>
    </row>
    <row r="3579">
      <c r="D3579" s="123"/>
    </row>
    <row r="3580">
      <c r="D3580" s="123"/>
    </row>
    <row r="3581">
      <c r="D3581" s="123"/>
    </row>
    <row r="3582">
      <c r="D3582" s="123"/>
    </row>
    <row r="3583">
      <c r="D3583" s="123"/>
    </row>
    <row r="3584">
      <c r="D3584" s="123"/>
    </row>
    <row r="3585">
      <c r="D3585" s="123"/>
    </row>
    <row r="3586">
      <c r="D3586" s="123"/>
    </row>
    <row r="3587">
      <c r="D3587" s="123"/>
    </row>
    <row r="3588">
      <c r="D3588" s="123"/>
    </row>
    <row r="3589">
      <c r="D3589" s="123"/>
    </row>
    <row r="3590">
      <c r="D3590" s="123"/>
    </row>
    <row r="3591">
      <c r="D3591" s="123"/>
    </row>
    <row r="3592">
      <c r="D3592" s="123"/>
    </row>
    <row r="3593">
      <c r="D3593" s="123"/>
    </row>
    <row r="3594">
      <c r="D3594" s="123"/>
    </row>
    <row r="3595">
      <c r="D3595" s="123"/>
    </row>
    <row r="3596">
      <c r="D3596" s="123"/>
    </row>
    <row r="3597">
      <c r="D3597" s="123"/>
    </row>
    <row r="3598">
      <c r="D3598" s="123"/>
    </row>
    <row r="3599">
      <c r="D3599" s="123"/>
    </row>
    <row r="3600">
      <c r="D3600" s="123"/>
    </row>
    <row r="3601">
      <c r="D3601" s="123"/>
    </row>
    <row r="3602">
      <c r="D3602" s="123"/>
    </row>
    <row r="3603">
      <c r="D3603" s="123"/>
    </row>
    <row r="3604">
      <c r="D3604" s="123"/>
    </row>
    <row r="3605">
      <c r="D3605" s="123"/>
    </row>
    <row r="3606">
      <c r="D3606" s="123"/>
    </row>
    <row r="3607">
      <c r="D3607" s="123"/>
    </row>
    <row r="3608">
      <c r="D3608" s="123"/>
    </row>
    <row r="3609">
      <c r="D3609" s="123"/>
    </row>
    <row r="3610">
      <c r="D3610" s="123"/>
    </row>
    <row r="3611">
      <c r="D3611" s="123"/>
    </row>
    <row r="3612">
      <c r="D3612" s="123"/>
    </row>
    <row r="3613">
      <c r="D3613" s="123"/>
    </row>
    <row r="3614">
      <c r="D3614" s="123"/>
    </row>
    <row r="3615">
      <c r="D3615" s="123"/>
    </row>
    <row r="3616">
      <c r="D3616" s="123"/>
    </row>
    <row r="3617">
      <c r="D3617" s="123"/>
    </row>
    <row r="3618">
      <c r="D3618" s="123"/>
    </row>
    <row r="3619">
      <c r="D3619" s="123"/>
    </row>
    <row r="3620">
      <c r="D3620" s="123"/>
    </row>
    <row r="3621">
      <c r="D3621" s="123"/>
    </row>
    <row r="3622">
      <c r="D3622" s="123"/>
    </row>
    <row r="3623">
      <c r="D3623" s="123"/>
    </row>
    <row r="3624">
      <c r="D3624" s="123"/>
    </row>
    <row r="3625">
      <c r="D3625" s="123"/>
    </row>
    <row r="3626">
      <c r="D3626" s="123"/>
    </row>
    <row r="3627">
      <c r="D3627" s="123"/>
    </row>
    <row r="3628">
      <c r="D3628" s="123"/>
    </row>
    <row r="3629">
      <c r="D3629" s="123"/>
    </row>
    <row r="3630">
      <c r="D3630" s="123"/>
    </row>
    <row r="3631">
      <c r="D3631" s="123"/>
    </row>
    <row r="3632">
      <c r="D3632" s="123"/>
    </row>
    <row r="3633">
      <c r="D3633" s="123"/>
    </row>
    <row r="3634">
      <c r="D3634" s="123"/>
    </row>
    <row r="3635">
      <c r="D3635" s="123"/>
    </row>
    <row r="3636">
      <c r="D3636" s="123"/>
    </row>
    <row r="3637">
      <c r="D3637" s="123"/>
    </row>
    <row r="3638">
      <c r="D3638" s="123"/>
    </row>
    <row r="3639">
      <c r="D3639" s="123"/>
    </row>
    <row r="3640">
      <c r="D3640" s="123"/>
    </row>
    <row r="3641">
      <c r="D3641" s="123"/>
    </row>
    <row r="3642">
      <c r="D3642" s="123"/>
    </row>
    <row r="3643">
      <c r="D3643" s="123"/>
    </row>
    <row r="3644">
      <c r="D3644" s="123"/>
    </row>
    <row r="3645">
      <c r="D3645" s="123"/>
    </row>
    <row r="3646">
      <c r="D3646" s="123"/>
    </row>
    <row r="3647">
      <c r="D3647" s="123"/>
    </row>
    <row r="3648">
      <c r="D3648" s="123"/>
    </row>
    <row r="3649">
      <c r="D3649" s="123"/>
    </row>
    <row r="3650">
      <c r="D3650" s="123"/>
    </row>
    <row r="3651">
      <c r="D3651" s="123"/>
    </row>
    <row r="3652">
      <c r="D3652" s="123"/>
    </row>
    <row r="3653">
      <c r="D3653" s="123"/>
    </row>
    <row r="3654">
      <c r="D3654" s="123"/>
    </row>
    <row r="3655">
      <c r="D3655" s="123"/>
    </row>
    <row r="3656">
      <c r="D3656" s="123"/>
    </row>
    <row r="3657">
      <c r="D3657" s="123"/>
    </row>
    <row r="3658">
      <c r="D3658" s="123"/>
    </row>
    <row r="3659">
      <c r="D3659" s="123"/>
    </row>
    <row r="3660">
      <c r="D3660" s="123"/>
    </row>
    <row r="3661">
      <c r="D3661" s="123"/>
    </row>
    <row r="3662">
      <c r="D3662" s="123"/>
    </row>
    <row r="3663">
      <c r="D3663" s="123"/>
    </row>
    <row r="3664">
      <c r="D3664" s="123"/>
    </row>
    <row r="3665">
      <c r="D3665" s="123"/>
    </row>
    <row r="3666">
      <c r="D3666" s="123"/>
    </row>
    <row r="3667">
      <c r="D3667" s="123"/>
    </row>
    <row r="3668">
      <c r="D3668" s="123"/>
    </row>
    <row r="3669">
      <c r="D3669" s="123"/>
    </row>
    <row r="3670">
      <c r="D3670" s="123"/>
    </row>
    <row r="3671">
      <c r="D3671" s="123"/>
    </row>
    <row r="3672">
      <c r="D3672" s="123"/>
    </row>
    <row r="3673">
      <c r="D3673" s="123"/>
    </row>
    <row r="3674">
      <c r="D3674" s="123"/>
    </row>
    <row r="3675">
      <c r="D3675" s="123"/>
    </row>
    <row r="3676">
      <c r="D3676" s="123"/>
    </row>
    <row r="3677">
      <c r="D3677" s="123"/>
    </row>
    <row r="3678">
      <c r="D3678" s="123"/>
    </row>
    <row r="3679">
      <c r="D3679" s="123"/>
    </row>
    <row r="3680">
      <c r="D3680" s="123"/>
    </row>
    <row r="3681">
      <c r="D3681" s="123"/>
    </row>
    <row r="3682">
      <c r="D3682" s="123"/>
    </row>
    <row r="3683">
      <c r="D3683" s="123"/>
    </row>
    <row r="3684">
      <c r="D3684" s="123"/>
    </row>
    <row r="3685">
      <c r="D3685" s="123"/>
    </row>
    <row r="3686">
      <c r="D3686" s="123"/>
    </row>
    <row r="3687">
      <c r="D3687" s="123"/>
    </row>
    <row r="3688">
      <c r="D3688" s="123"/>
    </row>
    <row r="3689">
      <c r="D3689" s="123"/>
    </row>
    <row r="3690">
      <c r="D3690" s="123"/>
    </row>
    <row r="3691">
      <c r="D3691" s="123"/>
    </row>
    <row r="3692">
      <c r="D3692" s="123"/>
    </row>
    <row r="3693">
      <c r="D3693" s="123"/>
    </row>
    <row r="3694">
      <c r="D3694" s="123"/>
    </row>
    <row r="3695">
      <c r="D3695" s="123"/>
    </row>
    <row r="3696">
      <c r="D3696" s="123"/>
    </row>
    <row r="3697">
      <c r="D3697" s="123"/>
    </row>
    <row r="3698">
      <c r="D3698" s="123"/>
    </row>
    <row r="3699">
      <c r="D3699" s="123"/>
    </row>
    <row r="3700">
      <c r="D3700" s="123"/>
    </row>
    <row r="3701">
      <c r="D3701" s="123"/>
    </row>
    <row r="3702">
      <c r="D3702" s="123"/>
    </row>
    <row r="3703">
      <c r="D3703" s="123"/>
    </row>
    <row r="3704">
      <c r="D3704" s="123"/>
    </row>
    <row r="3705">
      <c r="D3705" s="123"/>
    </row>
    <row r="3706">
      <c r="D3706" s="123"/>
    </row>
    <row r="3707">
      <c r="D3707" s="123"/>
    </row>
    <row r="3708">
      <c r="D3708" s="123"/>
    </row>
    <row r="3709">
      <c r="D3709" s="123"/>
    </row>
    <row r="3710">
      <c r="D3710" s="123"/>
    </row>
    <row r="3711">
      <c r="D3711" s="123"/>
    </row>
    <row r="3712">
      <c r="D3712" s="123"/>
    </row>
    <row r="3713">
      <c r="D3713" s="123"/>
    </row>
    <row r="3714">
      <c r="D3714" s="123"/>
    </row>
    <row r="3715">
      <c r="D3715" s="123"/>
    </row>
    <row r="3716">
      <c r="D3716" s="123"/>
    </row>
    <row r="3717">
      <c r="D3717" s="123"/>
    </row>
    <row r="3718">
      <c r="D3718" s="123"/>
    </row>
    <row r="3719">
      <c r="D3719" s="123"/>
    </row>
    <row r="3720">
      <c r="D3720" s="123"/>
    </row>
    <row r="3721">
      <c r="D3721" s="123"/>
    </row>
    <row r="3722">
      <c r="D3722" s="123"/>
    </row>
    <row r="3723">
      <c r="D3723" s="123"/>
    </row>
    <row r="3724">
      <c r="D3724" s="123"/>
    </row>
    <row r="3725">
      <c r="D3725" s="123"/>
    </row>
    <row r="3726">
      <c r="D3726" s="123"/>
    </row>
    <row r="3727">
      <c r="D3727" s="123"/>
    </row>
    <row r="3728">
      <c r="D3728" s="123"/>
    </row>
    <row r="3729">
      <c r="D3729" s="123"/>
    </row>
    <row r="3730">
      <c r="D3730" s="123"/>
    </row>
    <row r="3731">
      <c r="D3731" s="123"/>
    </row>
    <row r="3732">
      <c r="D3732" s="123"/>
    </row>
    <row r="3733">
      <c r="D3733" s="123"/>
    </row>
    <row r="3734">
      <c r="D3734" s="123"/>
    </row>
    <row r="3735">
      <c r="D3735" s="123"/>
    </row>
    <row r="3736">
      <c r="D3736" s="123"/>
    </row>
    <row r="3737">
      <c r="D3737" s="123"/>
    </row>
    <row r="3738">
      <c r="D3738" s="123"/>
    </row>
    <row r="3739">
      <c r="D3739" s="123"/>
    </row>
    <row r="3740">
      <c r="D3740" s="123"/>
    </row>
    <row r="3741">
      <c r="D3741" s="123"/>
    </row>
    <row r="3742">
      <c r="D3742" s="123"/>
    </row>
    <row r="3743">
      <c r="D3743" s="123"/>
    </row>
    <row r="3744">
      <c r="D3744" s="123"/>
    </row>
    <row r="3745">
      <c r="D3745" s="123"/>
    </row>
    <row r="3746">
      <c r="D3746" s="123"/>
    </row>
    <row r="3747">
      <c r="D3747" s="123"/>
    </row>
    <row r="3748">
      <c r="D3748" s="123"/>
    </row>
    <row r="3749">
      <c r="D3749" s="123"/>
    </row>
    <row r="3750">
      <c r="D3750" s="123"/>
    </row>
    <row r="3751">
      <c r="D3751" s="123"/>
    </row>
    <row r="3752">
      <c r="D3752" s="123"/>
    </row>
    <row r="3753">
      <c r="D3753" s="123"/>
    </row>
    <row r="3754">
      <c r="D3754" s="123"/>
    </row>
    <row r="3755">
      <c r="D3755" s="123"/>
    </row>
    <row r="3756">
      <c r="D3756" s="123"/>
    </row>
    <row r="3757">
      <c r="D3757" s="123"/>
    </row>
    <row r="3758">
      <c r="D3758" s="123"/>
    </row>
    <row r="3759">
      <c r="D3759" s="123"/>
    </row>
    <row r="3760">
      <c r="D3760" s="123"/>
    </row>
    <row r="3761">
      <c r="D3761" s="123"/>
    </row>
    <row r="3762">
      <c r="D3762" s="123"/>
    </row>
    <row r="3763">
      <c r="D3763" s="123"/>
    </row>
    <row r="3764">
      <c r="D3764" s="123"/>
    </row>
    <row r="3765">
      <c r="D3765" s="123"/>
    </row>
    <row r="3766">
      <c r="D3766" s="123"/>
    </row>
    <row r="3767">
      <c r="D3767" s="123"/>
    </row>
    <row r="3768">
      <c r="D3768" s="123"/>
    </row>
    <row r="3769">
      <c r="D3769" s="123"/>
    </row>
    <row r="3770">
      <c r="D3770" s="123"/>
    </row>
    <row r="3771">
      <c r="D3771" s="123"/>
    </row>
    <row r="3772">
      <c r="D3772" s="123"/>
    </row>
    <row r="3773">
      <c r="D3773" s="123"/>
    </row>
    <row r="3774">
      <c r="D3774" s="123"/>
    </row>
    <row r="3775">
      <c r="D3775" s="123"/>
    </row>
    <row r="3776">
      <c r="D3776" s="123"/>
    </row>
    <row r="3777">
      <c r="D3777" s="123"/>
    </row>
    <row r="3778">
      <c r="D3778" s="123"/>
    </row>
    <row r="3779">
      <c r="D3779" s="123"/>
    </row>
    <row r="3780">
      <c r="D3780" s="123"/>
    </row>
    <row r="3781">
      <c r="D3781" s="123"/>
    </row>
    <row r="3782">
      <c r="D3782" s="123"/>
    </row>
    <row r="3783">
      <c r="D3783" s="123"/>
    </row>
    <row r="3784">
      <c r="D3784" s="123"/>
    </row>
    <row r="3785">
      <c r="D3785" s="123"/>
    </row>
    <row r="3786">
      <c r="D3786" s="123"/>
    </row>
    <row r="3787">
      <c r="D3787" s="123"/>
    </row>
    <row r="3788">
      <c r="D3788" s="123"/>
    </row>
    <row r="3789">
      <c r="D3789" s="123"/>
    </row>
    <row r="3790">
      <c r="D3790" s="123"/>
    </row>
    <row r="3791">
      <c r="D3791" s="123"/>
    </row>
    <row r="3792">
      <c r="D3792" s="123"/>
    </row>
    <row r="3793">
      <c r="D3793" s="123"/>
    </row>
    <row r="3794">
      <c r="D3794" s="123"/>
    </row>
    <row r="3795">
      <c r="D3795" s="123"/>
    </row>
    <row r="3796">
      <c r="D3796" s="123"/>
    </row>
    <row r="3797">
      <c r="D3797" s="123"/>
    </row>
    <row r="3798">
      <c r="D3798" s="123"/>
    </row>
    <row r="3799">
      <c r="D3799" s="123"/>
    </row>
    <row r="3800">
      <c r="D3800" s="123"/>
    </row>
    <row r="3801">
      <c r="D3801" s="123"/>
    </row>
    <row r="3802">
      <c r="D3802" s="123"/>
    </row>
    <row r="3803">
      <c r="D3803" s="123"/>
    </row>
    <row r="3804">
      <c r="D3804" s="123"/>
    </row>
    <row r="3805">
      <c r="D3805" s="123"/>
    </row>
    <row r="3806">
      <c r="D3806" s="123"/>
    </row>
    <row r="3807">
      <c r="D3807" s="123"/>
    </row>
    <row r="3808">
      <c r="D3808" s="123"/>
    </row>
    <row r="3809">
      <c r="D3809" s="123"/>
    </row>
    <row r="3810">
      <c r="D3810" s="123"/>
    </row>
    <row r="3811">
      <c r="D3811" s="123"/>
    </row>
    <row r="3812">
      <c r="D3812" s="123"/>
    </row>
    <row r="3813">
      <c r="D3813" s="123"/>
    </row>
    <row r="3814">
      <c r="D3814" s="123"/>
    </row>
    <row r="3815">
      <c r="D3815" s="123"/>
    </row>
    <row r="3816">
      <c r="D3816" s="123"/>
    </row>
    <row r="3817">
      <c r="D3817" s="123"/>
    </row>
    <row r="3818">
      <c r="D3818" s="123"/>
    </row>
    <row r="3819">
      <c r="D3819" s="123"/>
    </row>
    <row r="3820">
      <c r="D3820" s="123"/>
    </row>
    <row r="3821">
      <c r="D3821" s="123"/>
    </row>
    <row r="3822">
      <c r="D3822" s="123"/>
    </row>
    <row r="3823">
      <c r="D3823" s="123"/>
    </row>
    <row r="3824">
      <c r="D3824" s="123"/>
    </row>
    <row r="3825">
      <c r="D3825" s="123"/>
    </row>
    <row r="3826">
      <c r="D3826" s="123"/>
    </row>
    <row r="3827">
      <c r="D3827" s="123"/>
    </row>
    <row r="3828">
      <c r="D3828" s="123"/>
    </row>
    <row r="3829">
      <c r="D3829" s="123"/>
    </row>
    <row r="3830">
      <c r="D3830" s="123"/>
    </row>
    <row r="3831">
      <c r="D3831" s="123"/>
    </row>
    <row r="3832">
      <c r="D3832" s="123"/>
    </row>
    <row r="3833">
      <c r="D3833" s="123"/>
    </row>
    <row r="3834">
      <c r="D3834" s="123"/>
    </row>
    <row r="3835">
      <c r="D3835" s="123"/>
    </row>
    <row r="3836">
      <c r="D3836" s="123"/>
    </row>
    <row r="3837">
      <c r="D3837" s="123"/>
    </row>
    <row r="3838">
      <c r="D3838" s="123"/>
    </row>
    <row r="3839">
      <c r="D3839" s="123"/>
    </row>
    <row r="3840">
      <c r="D3840" s="123"/>
    </row>
    <row r="3841">
      <c r="D3841" s="123"/>
    </row>
    <row r="3842">
      <c r="D3842" s="123"/>
    </row>
    <row r="3843">
      <c r="D3843" s="123"/>
    </row>
    <row r="3844">
      <c r="D3844" s="123"/>
    </row>
    <row r="3845">
      <c r="D3845" s="123"/>
    </row>
    <row r="3846">
      <c r="D3846" s="123"/>
    </row>
    <row r="3847">
      <c r="D3847" s="123"/>
    </row>
    <row r="3848">
      <c r="D3848" s="123"/>
    </row>
    <row r="3849">
      <c r="D3849" s="123"/>
    </row>
    <row r="3850">
      <c r="D3850" s="123"/>
    </row>
    <row r="3851">
      <c r="D3851" s="123"/>
    </row>
    <row r="3852">
      <c r="D3852" s="123"/>
    </row>
    <row r="3853">
      <c r="D3853" s="123"/>
    </row>
    <row r="3854">
      <c r="D3854" s="123"/>
    </row>
    <row r="3855">
      <c r="D3855" s="123"/>
    </row>
    <row r="3856">
      <c r="D3856" s="123"/>
    </row>
    <row r="3857">
      <c r="D3857" s="123"/>
    </row>
    <row r="3858">
      <c r="D3858" s="123"/>
    </row>
    <row r="3859">
      <c r="D3859" s="123"/>
    </row>
    <row r="3860">
      <c r="D3860" s="123"/>
    </row>
    <row r="3861">
      <c r="D3861" s="123"/>
    </row>
    <row r="3862">
      <c r="D3862" s="123"/>
    </row>
    <row r="3863">
      <c r="D3863" s="123"/>
    </row>
    <row r="3864">
      <c r="D3864" s="123"/>
    </row>
    <row r="3865">
      <c r="D3865" s="123"/>
    </row>
    <row r="3866">
      <c r="D3866" s="123"/>
    </row>
    <row r="3867">
      <c r="D3867" s="123"/>
    </row>
    <row r="3868">
      <c r="D3868" s="123"/>
    </row>
    <row r="3869">
      <c r="D3869" s="123"/>
    </row>
    <row r="3870">
      <c r="D3870" s="123"/>
    </row>
    <row r="3871">
      <c r="D3871" s="123"/>
    </row>
    <row r="3872">
      <c r="D3872" s="123"/>
    </row>
    <row r="3873">
      <c r="D3873" s="123"/>
    </row>
    <row r="3874">
      <c r="D3874" s="123"/>
    </row>
    <row r="3875">
      <c r="D3875" s="123"/>
    </row>
    <row r="3876">
      <c r="D3876" s="123"/>
    </row>
    <row r="3877">
      <c r="D3877" s="123"/>
    </row>
    <row r="3878">
      <c r="D3878" s="123"/>
    </row>
    <row r="3879">
      <c r="D3879" s="123"/>
    </row>
    <row r="3880">
      <c r="D3880" s="123"/>
    </row>
    <row r="3881">
      <c r="D3881" s="123"/>
    </row>
    <row r="3882">
      <c r="D3882" s="123"/>
    </row>
    <row r="3883">
      <c r="D3883" s="123"/>
    </row>
    <row r="3884">
      <c r="D3884" s="123"/>
    </row>
    <row r="3885">
      <c r="D3885" s="123"/>
    </row>
    <row r="3886">
      <c r="D3886" s="123"/>
    </row>
    <row r="3887">
      <c r="D3887" s="123"/>
    </row>
    <row r="3888">
      <c r="D3888" s="123"/>
    </row>
    <row r="3889">
      <c r="D3889" s="123"/>
    </row>
    <row r="3890">
      <c r="D3890" s="123"/>
    </row>
    <row r="3891">
      <c r="D3891" s="123"/>
    </row>
    <row r="3892">
      <c r="D3892" s="123"/>
    </row>
    <row r="3893">
      <c r="D3893" s="123"/>
    </row>
    <row r="3894">
      <c r="D3894" s="123"/>
    </row>
    <row r="3895">
      <c r="D3895" s="123"/>
    </row>
    <row r="3896">
      <c r="D3896" s="123"/>
    </row>
    <row r="3897">
      <c r="D3897" s="123"/>
    </row>
    <row r="3898">
      <c r="D3898" s="123"/>
    </row>
    <row r="3899">
      <c r="D3899" s="123"/>
    </row>
    <row r="3900">
      <c r="D3900" s="123"/>
    </row>
    <row r="3901">
      <c r="D3901" s="123"/>
    </row>
    <row r="3902">
      <c r="D3902" s="123"/>
    </row>
    <row r="3903">
      <c r="D3903" s="123"/>
    </row>
    <row r="3904">
      <c r="D3904" s="123"/>
    </row>
    <row r="3905">
      <c r="D3905" s="123"/>
    </row>
    <row r="3906">
      <c r="D3906" s="123"/>
    </row>
    <row r="3907">
      <c r="D3907" s="123"/>
    </row>
    <row r="3908">
      <c r="D3908" s="123"/>
    </row>
    <row r="3909">
      <c r="D3909" s="123"/>
    </row>
    <row r="3910">
      <c r="D3910" s="123"/>
    </row>
    <row r="3911">
      <c r="D3911" s="123"/>
    </row>
    <row r="3912">
      <c r="D3912" s="123"/>
    </row>
    <row r="3913">
      <c r="D3913" s="123"/>
    </row>
    <row r="3914">
      <c r="D3914" s="123"/>
    </row>
    <row r="3915">
      <c r="D3915" s="123"/>
    </row>
    <row r="3916">
      <c r="D3916" s="123"/>
    </row>
    <row r="3917">
      <c r="D3917" s="123"/>
    </row>
    <row r="3918">
      <c r="D3918" s="123"/>
    </row>
    <row r="3919">
      <c r="D3919" s="123"/>
    </row>
    <row r="3920">
      <c r="D3920" s="123"/>
    </row>
    <row r="3921">
      <c r="D3921" s="123"/>
    </row>
    <row r="3922">
      <c r="D3922" s="123"/>
    </row>
    <row r="3923">
      <c r="D3923" s="123"/>
    </row>
    <row r="3924">
      <c r="D3924" s="123"/>
    </row>
    <row r="3925">
      <c r="D3925" s="123"/>
    </row>
    <row r="3926">
      <c r="D3926" s="123"/>
    </row>
    <row r="3927">
      <c r="D3927" s="123"/>
    </row>
    <row r="3928">
      <c r="D3928" s="123"/>
    </row>
    <row r="3929">
      <c r="D3929" s="123"/>
    </row>
    <row r="3930">
      <c r="D3930" s="123"/>
    </row>
    <row r="3931">
      <c r="D3931" s="123"/>
    </row>
    <row r="3932">
      <c r="D3932" s="123"/>
    </row>
    <row r="3933">
      <c r="D3933" s="123"/>
    </row>
    <row r="3934">
      <c r="D3934" s="123"/>
    </row>
    <row r="3935">
      <c r="D3935" s="123"/>
    </row>
    <row r="3936">
      <c r="D3936" s="123"/>
    </row>
    <row r="3937">
      <c r="D3937" s="123"/>
    </row>
    <row r="3938">
      <c r="D3938" s="123"/>
    </row>
    <row r="3939">
      <c r="D3939" s="123"/>
    </row>
    <row r="3940">
      <c r="D3940" s="123"/>
    </row>
    <row r="3941">
      <c r="D3941" s="123"/>
    </row>
    <row r="3942">
      <c r="D3942" s="123"/>
    </row>
    <row r="3943">
      <c r="D3943" s="123"/>
    </row>
    <row r="3944">
      <c r="D3944" s="123"/>
    </row>
    <row r="3945">
      <c r="D3945" s="123"/>
    </row>
    <row r="3946">
      <c r="D3946" s="123"/>
    </row>
    <row r="3947">
      <c r="D3947" s="123"/>
    </row>
    <row r="3948">
      <c r="D3948" s="123"/>
    </row>
    <row r="3949">
      <c r="D3949" s="123"/>
    </row>
    <row r="3950">
      <c r="D3950" s="123"/>
    </row>
    <row r="3951">
      <c r="D3951" s="123"/>
    </row>
    <row r="3952">
      <c r="D3952" s="123"/>
    </row>
    <row r="3953">
      <c r="D3953" s="123"/>
    </row>
    <row r="3954">
      <c r="D3954" s="123"/>
    </row>
    <row r="3955">
      <c r="D3955" s="123"/>
    </row>
    <row r="3956">
      <c r="D3956" s="123"/>
    </row>
    <row r="3957">
      <c r="D3957" s="123"/>
    </row>
    <row r="3958">
      <c r="D3958" s="123"/>
    </row>
    <row r="3959">
      <c r="D3959" s="123"/>
    </row>
    <row r="3960">
      <c r="D3960" s="123"/>
    </row>
    <row r="3961">
      <c r="D3961" s="123"/>
    </row>
    <row r="3962">
      <c r="D3962" s="123"/>
    </row>
    <row r="3963">
      <c r="D3963" s="123"/>
    </row>
    <row r="3964">
      <c r="D3964" s="123"/>
    </row>
    <row r="3965">
      <c r="D3965" s="123"/>
    </row>
    <row r="3966">
      <c r="D3966" s="123"/>
    </row>
    <row r="3967">
      <c r="D3967" s="123"/>
    </row>
    <row r="3968">
      <c r="D3968" s="123"/>
    </row>
    <row r="3969">
      <c r="D3969" s="123"/>
    </row>
    <row r="3970">
      <c r="D3970" s="123"/>
    </row>
    <row r="3971">
      <c r="D3971" s="123"/>
    </row>
    <row r="3972">
      <c r="D3972" s="123"/>
    </row>
    <row r="3973">
      <c r="D3973" s="123"/>
    </row>
    <row r="3974">
      <c r="D3974" s="123"/>
    </row>
    <row r="3975">
      <c r="D3975" s="123"/>
    </row>
    <row r="3976">
      <c r="D3976" s="123"/>
    </row>
    <row r="3977">
      <c r="D3977" s="123"/>
    </row>
    <row r="3978">
      <c r="D3978" s="123"/>
    </row>
    <row r="3979">
      <c r="D3979" s="123"/>
    </row>
    <row r="3980">
      <c r="D3980" s="123"/>
    </row>
    <row r="3981">
      <c r="D3981" s="123"/>
    </row>
    <row r="3982">
      <c r="D3982" s="123"/>
    </row>
    <row r="3983">
      <c r="D3983" s="123"/>
    </row>
    <row r="3984">
      <c r="D3984" s="123"/>
    </row>
    <row r="3985">
      <c r="D3985" s="123"/>
    </row>
    <row r="3986">
      <c r="D3986" s="123"/>
    </row>
    <row r="3987">
      <c r="D3987" s="123"/>
    </row>
    <row r="3988">
      <c r="D3988" s="123"/>
    </row>
    <row r="3989">
      <c r="D3989" s="123"/>
    </row>
    <row r="3990">
      <c r="D3990" s="123"/>
    </row>
    <row r="3991">
      <c r="D3991" s="123"/>
    </row>
    <row r="3992">
      <c r="D3992" s="123"/>
    </row>
    <row r="3993">
      <c r="D3993" s="123"/>
    </row>
    <row r="3994">
      <c r="D3994" s="123"/>
    </row>
    <row r="3995">
      <c r="D3995" s="123"/>
    </row>
    <row r="3996">
      <c r="D3996" s="123"/>
    </row>
    <row r="3997">
      <c r="D3997" s="123"/>
    </row>
    <row r="3998">
      <c r="D3998" s="123"/>
    </row>
    <row r="3999">
      <c r="D3999" s="123"/>
    </row>
    <row r="4000">
      <c r="D4000" s="123"/>
    </row>
    <row r="4001">
      <c r="D4001" s="123"/>
    </row>
    <row r="4002">
      <c r="D4002" s="123"/>
    </row>
    <row r="4003">
      <c r="D4003" s="123"/>
    </row>
    <row r="4004">
      <c r="D4004" s="123"/>
    </row>
    <row r="4005">
      <c r="D4005" s="123"/>
    </row>
    <row r="4006">
      <c r="D4006" s="123"/>
    </row>
    <row r="4007">
      <c r="D4007" s="123"/>
    </row>
    <row r="4008">
      <c r="D4008" s="123"/>
    </row>
    <row r="4009">
      <c r="D4009" s="123"/>
    </row>
    <row r="4010">
      <c r="D4010" s="123"/>
    </row>
    <row r="4011">
      <c r="D4011" s="123"/>
    </row>
    <row r="4012">
      <c r="D4012" s="123"/>
    </row>
    <row r="4013">
      <c r="D4013" s="123"/>
    </row>
    <row r="4014">
      <c r="D4014" s="123"/>
    </row>
    <row r="4015">
      <c r="D4015" s="123"/>
    </row>
    <row r="4016">
      <c r="D4016" s="123"/>
    </row>
    <row r="4017">
      <c r="D4017" s="123"/>
    </row>
    <row r="4018">
      <c r="D4018" s="123"/>
    </row>
    <row r="4019">
      <c r="D4019" s="123"/>
    </row>
    <row r="4020">
      <c r="D4020" s="123"/>
    </row>
    <row r="4021">
      <c r="D4021" s="123"/>
    </row>
    <row r="4022">
      <c r="D4022" s="123"/>
    </row>
    <row r="4023">
      <c r="D4023" s="123"/>
    </row>
    <row r="4024">
      <c r="D4024" s="123"/>
    </row>
    <row r="4025">
      <c r="D4025" s="123"/>
    </row>
    <row r="4026">
      <c r="D4026" s="123"/>
    </row>
    <row r="4027">
      <c r="D4027" s="123"/>
    </row>
    <row r="4028">
      <c r="D4028" s="123"/>
    </row>
    <row r="4029">
      <c r="D4029" s="123"/>
    </row>
    <row r="4030">
      <c r="D4030" s="123"/>
    </row>
    <row r="4031">
      <c r="D4031" s="123"/>
    </row>
    <row r="4032">
      <c r="D4032" s="123"/>
    </row>
    <row r="4033">
      <c r="D4033" s="123"/>
    </row>
    <row r="4034">
      <c r="D4034" s="123"/>
    </row>
    <row r="4035">
      <c r="D4035" s="123"/>
    </row>
    <row r="4036">
      <c r="D4036" s="123"/>
    </row>
    <row r="4037">
      <c r="D4037" s="123"/>
    </row>
    <row r="4038">
      <c r="D4038" s="123"/>
    </row>
    <row r="4039">
      <c r="D4039" s="123"/>
    </row>
    <row r="4040">
      <c r="D4040" s="123"/>
    </row>
    <row r="4041">
      <c r="D4041" s="123"/>
    </row>
    <row r="4042">
      <c r="D4042" s="123"/>
    </row>
    <row r="4043">
      <c r="D4043" s="123"/>
    </row>
    <row r="4044">
      <c r="D4044" s="123"/>
    </row>
    <row r="4045">
      <c r="D4045" s="123"/>
    </row>
    <row r="4046">
      <c r="D4046" s="123"/>
    </row>
    <row r="4047">
      <c r="D4047" s="123"/>
    </row>
    <row r="4048">
      <c r="D4048" s="123"/>
    </row>
    <row r="4049">
      <c r="D4049" s="123"/>
    </row>
    <row r="4050">
      <c r="D4050" s="123"/>
    </row>
    <row r="4051">
      <c r="D4051" s="123"/>
    </row>
    <row r="4052">
      <c r="D4052" s="123"/>
    </row>
    <row r="4053">
      <c r="D4053" s="123"/>
    </row>
    <row r="4054">
      <c r="D4054" s="123"/>
    </row>
    <row r="4055">
      <c r="D4055" s="123"/>
    </row>
    <row r="4056">
      <c r="D4056" s="123"/>
    </row>
    <row r="4057">
      <c r="D4057" s="123"/>
    </row>
    <row r="4058">
      <c r="D4058" s="123"/>
    </row>
    <row r="4059">
      <c r="D4059" s="123"/>
    </row>
    <row r="4060">
      <c r="D4060" s="123"/>
    </row>
    <row r="4061">
      <c r="D4061" s="123"/>
    </row>
    <row r="4062">
      <c r="D4062" s="123"/>
    </row>
    <row r="4063">
      <c r="D4063" s="123"/>
    </row>
    <row r="4064">
      <c r="D4064" s="123"/>
    </row>
    <row r="4065">
      <c r="D4065" s="123"/>
    </row>
    <row r="4066">
      <c r="D4066" s="123"/>
    </row>
    <row r="4067">
      <c r="D4067" s="123"/>
    </row>
    <row r="4068">
      <c r="D4068" s="123"/>
    </row>
    <row r="4069">
      <c r="D4069" s="123"/>
    </row>
    <row r="4070">
      <c r="D4070" s="123"/>
    </row>
    <row r="4071">
      <c r="D4071" s="123"/>
    </row>
    <row r="4072">
      <c r="D4072" s="123"/>
    </row>
    <row r="4073">
      <c r="D4073" s="123"/>
    </row>
    <row r="4074">
      <c r="D4074" s="123"/>
    </row>
    <row r="4075">
      <c r="D4075" s="123"/>
    </row>
    <row r="4076">
      <c r="D4076" s="123"/>
    </row>
    <row r="4077">
      <c r="D4077" s="123"/>
    </row>
    <row r="4078">
      <c r="D4078" s="123"/>
    </row>
    <row r="4079">
      <c r="D4079" s="123"/>
    </row>
    <row r="4080">
      <c r="D4080" s="123"/>
    </row>
    <row r="4081">
      <c r="D4081" s="123"/>
    </row>
    <row r="4082">
      <c r="D4082" s="123"/>
    </row>
    <row r="4083">
      <c r="D4083" s="123"/>
    </row>
    <row r="4084">
      <c r="D4084" s="123"/>
    </row>
    <row r="4085">
      <c r="D4085" s="123"/>
    </row>
    <row r="4086">
      <c r="D4086" s="123"/>
    </row>
    <row r="4087">
      <c r="D4087" s="123"/>
    </row>
    <row r="4088">
      <c r="D4088" s="123"/>
    </row>
    <row r="4089">
      <c r="D4089" s="123"/>
    </row>
    <row r="4090">
      <c r="D4090" s="123"/>
    </row>
    <row r="4091">
      <c r="D4091" s="123"/>
    </row>
    <row r="4092">
      <c r="D4092" s="123"/>
    </row>
    <row r="4093">
      <c r="D4093" s="123"/>
    </row>
    <row r="4094">
      <c r="D4094" s="123"/>
    </row>
    <row r="4095">
      <c r="D4095" s="123"/>
    </row>
    <row r="4096">
      <c r="D4096" s="123"/>
    </row>
    <row r="4097">
      <c r="D4097" s="123"/>
    </row>
    <row r="4098">
      <c r="D4098" s="123"/>
    </row>
    <row r="4099">
      <c r="D4099" s="123"/>
    </row>
    <row r="4100">
      <c r="D4100" s="123"/>
    </row>
    <row r="4101">
      <c r="D4101" s="123"/>
    </row>
    <row r="4102">
      <c r="D4102" s="123"/>
    </row>
    <row r="4103">
      <c r="D4103" s="123"/>
    </row>
    <row r="4104">
      <c r="D4104" s="123"/>
    </row>
    <row r="4105">
      <c r="D4105" s="123"/>
    </row>
    <row r="4106">
      <c r="D4106" s="123"/>
    </row>
    <row r="4107">
      <c r="D4107" s="123"/>
    </row>
    <row r="4108">
      <c r="D4108" s="123"/>
    </row>
    <row r="4109">
      <c r="D4109" s="123"/>
    </row>
    <row r="4110">
      <c r="D4110" s="123"/>
    </row>
    <row r="4111">
      <c r="D4111" s="123"/>
    </row>
    <row r="4112">
      <c r="D4112" s="123"/>
    </row>
    <row r="4113">
      <c r="D4113" s="123"/>
    </row>
    <row r="4114">
      <c r="D4114" s="123"/>
    </row>
    <row r="4115">
      <c r="D4115" s="123"/>
    </row>
    <row r="4116">
      <c r="D4116" s="123"/>
    </row>
    <row r="4117">
      <c r="D4117" s="123"/>
    </row>
    <row r="4118">
      <c r="D4118" s="123"/>
    </row>
    <row r="4119">
      <c r="D4119" s="123"/>
    </row>
    <row r="4120">
      <c r="D4120" s="123"/>
    </row>
    <row r="4121">
      <c r="D4121" s="123"/>
    </row>
    <row r="4122">
      <c r="D4122" s="123"/>
    </row>
    <row r="4123">
      <c r="D4123" s="123"/>
    </row>
    <row r="4124">
      <c r="D4124" s="123"/>
    </row>
    <row r="4125">
      <c r="D4125" s="123"/>
    </row>
    <row r="4126">
      <c r="D4126" s="123"/>
    </row>
    <row r="4127">
      <c r="D4127" s="123"/>
    </row>
    <row r="4128">
      <c r="D4128" s="123"/>
    </row>
    <row r="4129">
      <c r="D4129" s="123"/>
    </row>
    <row r="4130">
      <c r="D4130" s="123"/>
    </row>
    <row r="4131">
      <c r="D4131" s="123"/>
    </row>
    <row r="4132">
      <c r="D4132" s="123"/>
    </row>
    <row r="4133">
      <c r="D4133" s="123"/>
    </row>
    <row r="4134">
      <c r="D4134" s="123"/>
    </row>
    <row r="4135">
      <c r="D4135" s="123"/>
    </row>
    <row r="4136">
      <c r="D4136" s="123"/>
    </row>
    <row r="4137">
      <c r="D4137" s="123"/>
    </row>
    <row r="4138">
      <c r="D4138" s="123"/>
    </row>
    <row r="4139">
      <c r="D4139" s="123"/>
    </row>
    <row r="4140">
      <c r="D4140" s="123"/>
    </row>
    <row r="4141">
      <c r="D4141" s="123"/>
    </row>
    <row r="4142">
      <c r="D4142" s="123"/>
    </row>
    <row r="4143">
      <c r="D4143" s="123"/>
    </row>
    <row r="4144">
      <c r="D4144" s="123"/>
    </row>
    <row r="4145">
      <c r="D4145" s="123"/>
    </row>
    <row r="4146">
      <c r="D4146" s="123"/>
    </row>
    <row r="4147">
      <c r="D4147" s="123"/>
    </row>
    <row r="4148">
      <c r="D4148" s="123"/>
    </row>
    <row r="4149">
      <c r="D4149" s="123"/>
    </row>
    <row r="4150">
      <c r="D4150" s="123"/>
    </row>
    <row r="4151">
      <c r="D4151" s="123"/>
    </row>
    <row r="4152">
      <c r="D4152" s="123"/>
    </row>
    <row r="4153">
      <c r="D4153" s="123"/>
    </row>
    <row r="4154">
      <c r="D4154" s="123"/>
    </row>
    <row r="4155">
      <c r="D4155" s="123"/>
    </row>
    <row r="4156">
      <c r="D4156" s="123"/>
    </row>
    <row r="4157">
      <c r="D4157" s="123"/>
    </row>
    <row r="4158">
      <c r="D4158" s="123"/>
    </row>
    <row r="4159">
      <c r="D4159" s="123"/>
    </row>
    <row r="4160">
      <c r="D4160" s="123"/>
    </row>
    <row r="4161">
      <c r="D4161" s="123"/>
    </row>
    <row r="4162">
      <c r="D4162" s="123"/>
    </row>
    <row r="4163">
      <c r="D4163" s="123"/>
    </row>
    <row r="4164">
      <c r="D4164" s="123"/>
    </row>
    <row r="4165">
      <c r="D4165" s="123"/>
    </row>
    <row r="4166">
      <c r="D4166" s="123"/>
    </row>
    <row r="4167">
      <c r="D4167" s="123"/>
    </row>
    <row r="4168">
      <c r="D4168" s="123"/>
    </row>
    <row r="4169">
      <c r="D4169" s="123"/>
    </row>
    <row r="4170">
      <c r="D4170" s="123"/>
    </row>
    <row r="4171">
      <c r="D4171" s="123"/>
    </row>
    <row r="4172">
      <c r="D4172" s="123"/>
    </row>
    <row r="4173">
      <c r="D4173" s="123"/>
    </row>
    <row r="4174">
      <c r="D4174" s="123"/>
    </row>
    <row r="4175">
      <c r="D4175" s="123"/>
    </row>
    <row r="4176">
      <c r="D4176" s="123"/>
    </row>
    <row r="4177">
      <c r="D4177" s="123"/>
    </row>
    <row r="4178">
      <c r="D4178" s="123"/>
    </row>
    <row r="4179">
      <c r="D4179" s="123"/>
    </row>
    <row r="4180">
      <c r="D4180" s="123"/>
    </row>
    <row r="4181">
      <c r="D4181" s="123"/>
    </row>
    <row r="4182">
      <c r="D4182" s="123"/>
    </row>
    <row r="4183">
      <c r="D4183" s="123"/>
    </row>
    <row r="4184">
      <c r="D4184" s="123"/>
    </row>
    <row r="4185">
      <c r="D4185" s="123"/>
    </row>
    <row r="4186">
      <c r="D4186" s="123"/>
    </row>
    <row r="4187">
      <c r="D4187" s="123"/>
    </row>
    <row r="4188">
      <c r="D4188" s="123"/>
    </row>
    <row r="4189">
      <c r="D4189" s="123"/>
    </row>
    <row r="4190">
      <c r="D4190" s="123"/>
    </row>
    <row r="4191">
      <c r="D4191" s="123"/>
    </row>
    <row r="4192">
      <c r="D4192" s="123"/>
    </row>
    <row r="4193">
      <c r="D4193" s="123"/>
    </row>
    <row r="4194">
      <c r="D4194" s="123"/>
    </row>
    <row r="4195">
      <c r="D4195" s="123"/>
    </row>
    <row r="4196">
      <c r="D4196" s="123"/>
    </row>
    <row r="4197">
      <c r="D4197" s="123"/>
    </row>
    <row r="4198">
      <c r="D4198" s="123"/>
    </row>
    <row r="4199">
      <c r="D4199" s="123"/>
    </row>
    <row r="4200">
      <c r="D4200" s="123"/>
    </row>
    <row r="4201">
      <c r="D4201" s="123"/>
    </row>
    <row r="4202">
      <c r="D4202" s="123"/>
    </row>
    <row r="4203">
      <c r="D4203" s="123"/>
    </row>
    <row r="4204">
      <c r="D4204" s="123"/>
    </row>
    <row r="4205">
      <c r="D4205" s="123"/>
    </row>
    <row r="4206">
      <c r="D4206" s="123"/>
    </row>
    <row r="4207">
      <c r="D4207" s="123"/>
    </row>
    <row r="4208">
      <c r="D4208" s="123"/>
    </row>
    <row r="4209">
      <c r="D4209" s="123"/>
    </row>
    <row r="4210">
      <c r="D4210" s="123"/>
    </row>
    <row r="4211">
      <c r="D4211" s="123"/>
    </row>
    <row r="4212">
      <c r="D4212" s="123"/>
    </row>
    <row r="4213">
      <c r="D4213" s="123"/>
    </row>
    <row r="4214">
      <c r="D4214" s="123"/>
    </row>
    <row r="4215">
      <c r="D4215" s="123"/>
    </row>
    <row r="4216">
      <c r="D4216" s="123"/>
    </row>
    <row r="4217">
      <c r="D4217" s="123"/>
    </row>
    <row r="4218">
      <c r="D4218" s="123"/>
    </row>
    <row r="4219">
      <c r="D4219" s="123"/>
    </row>
    <row r="4220">
      <c r="D4220" s="123"/>
    </row>
    <row r="4221">
      <c r="D4221" s="123"/>
    </row>
    <row r="4222">
      <c r="D4222" s="123"/>
    </row>
    <row r="4223">
      <c r="D4223" s="123"/>
    </row>
    <row r="4224">
      <c r="D4224" s="123"/>
    </row>
    <row r="4225">
      <c r="D4225" s="123"/>
    </row>
    <row r="4226">
      <c r="D4226" s="123"/>
    </row>
    <row r="4227">
      <c r="D4227" s="123"/>
    </row>
    <row r="4228">
      <c r="D4228" s="123"/>
    </row>
    <row r="4229">
      <c r="D4229" s="123"/>
    </row>
    <row r="4230">
      <c r="D4230" s="123"/>
    </row>
    <row r="4231">
      <c r="D4231" s="123"/>
    </row>
    <row r="4232">
      <c r="D4232" s="123"/>
    </row>
    <row r="4233">
      <c r="D4233" s="123"/>
    </row>
    <row r="4234">
      <c r="D4234" s="123"/>
    </row>
    <row r="4235">
      <c r="D4235" s="123"/>
    </row>
    <row r="4236">
      <c r="D4236" s="123"/>
    </row>
    <row r="4237">
      <c r="D4237" s="123"/>
    </row>
    <row r="4238">
      <c r="D4238" s="123"/>
    </row>
    <row r="4239">
      <c r="D4239" s="123"/>
    </row>
    <row r="4240">
      <c r="D4240" s="123"/>
    </row>
    <row r="4241">
      <c r="D4241" s="123"/>
    </row>
    <row r="4242">
      <c r="D4242" s="123"/>
    </row>
    <row r="4243">
      <c r="D4243" s="123"/>
    </row>
    <row r="4244">
      <c r="D4244" s="123"/>
    </row>
    <row r="4245">
      <c r="D4245" s="123"/>
    </row>
    <row r="4246">
      <c r="D4246" s="123"/>
    </row>
    <row r="4247">
      <c r="D4247" s="123"/>
    </row>
    <row r="4248">
      <c r="D4248" s="123"/>
    </row>
    <row r="4249">
      <c r="D4249" s="123"/>
    </row>
    <row r="4250">
      <c r="D4250" s="123"/>
    </row>
    <row r="4251">
      <c r="D4251" s="123"/>
    </row>
    <row r="4252">
      <c r="D4252" s="123"/>
    </row>
    <row r="4253">
      <c r="D4253" s="123"/>
    </row>
    <row r="4254">
      <c r="D4254" s="123"/>
    </row>
    <row r="4255">
      <c r="D4255" s="123"/>
    </row>
    <row r="4256">
      <c r="D4256" s="123"/>
    </row>
    <row r="4257">
      <c r="D4257" s="123"/>
    </row>
    <row r="4258">
      <c r="D4258" s="123"/>
    </row>
    <row r="4259">
      <c r="D4259" s="123"/>
    </row>
    <row r="4260">
      <c r="D4260" s="123"/>
    </row>
    <row r="4261">
      <c r="D4261" s="123"/>
    </row>
    <row r="4262">
      <c r="D4262" s="123"/>
    </row>
    <row r="4263">
      <c r="D4263" s="123"/>
    </row>
    <row r="4264">
      <c r="D4264" s="123"/>
    </row>
    <row r="4265">
      <c r="D4265" s="123"/>
    </row>
    <row r="4266">
      <c r="D4266" s="123"/>
    </row>
    <row r="4267">
      <c r="D4267" s="123"/>
    </row>
    <row r="4268">
      <c r="D4268" s="123"/>
    </row>
    <row r="4269">
      <c r="D4269" s="123"/>
    </row>
    <row r="4270">
      <c r="D4270" s="123"/>
    </row>
    <row r="4271">
      <c r="D4271" s="123"/>
    </row>
    <row r="4272">
      <c r="D4272" s="123"/>
    </row>
    <row r="4273">
      <c r="D4273" s="123"/>
    </row>
    <row r="4274">
      <c r="D4274" s="123"/>
    </row>
    <row r="4275">
      <c r="D4275" s="123"/>
    </row>
    <row r="4276">
      <c r="D4276" s="123"/>
    </row>
    <row r="4277">
      <c r="D4277" s="123"/>
    </row>
    <row r="4278">
      <c r="D4278" s="123"/>
    </row>
    <row r="4279">
      <c r="D4279" s="123"/>
    </row>
    <row r="4280">
      <c r="D4280" s="123"/>
    </row>
    <row r="4281">
      <c r="D4281" s="123"/>
    </row>
    <row r="4282">
      <c r="D4282" s="123"/>
    </row>
    <row r="4283">
      <c r="D4283" s="123"/>
    </row>
    <row r="4284">
      <c r="D4284" s="123"/>
    </row>
    <row r="4285">
      <c r="D4285" s="123"/>
    </row>
    <row r="4286">
      <c r="D4286" s="123"/>
    </row>
    <row r="4287">
      <c r="D4287" s="123"/>
    </row>
    <row r="4288">
      <c r="D4288" s="123"/>
    </row>
    <row r="4289">
      <c r="D4289" s="123"/>
    </row>
    <row r="4290">
      <c r="D4290" s="123"/>
    </row>
    <row r="4291">
      <c r="D4291" s="123"/>
    </row>
    <row r="4292">
      <c r="D4292" s="123"/>
    </row>
    <row r="4293">
      <c r="D4293" s="123"/>
    </row>
    <row r="4294">
      <c r="D4294" s="123"/>
    </row>
    <row r="4295">
      <c r="D4295" s="123"/>
    </row>
    <row r="4296">
      <c r="D4296" s="123"/>
    </row>
    <row r="4297">
      <c r="D4297" s="123"/>
    </row>
    <row r="4298">
      <c r="D4298" s="123"/>
    </row>
    <row r="4299">
      <c r="D4299" s="123"/>
    </row>
    <row r="4300">
      <c r="D4300" s="123"/>
    </row>
    <row r="4301">
      <c r="D4301" s="123"/>
    </row>
    <row r="4302">
      <c r="D4302" s="123"/>
    </row>
    <row r="4303">
      <c r="D4303" s="123"/>
    </row>
    <row r="4304">
      <c r="D4304" s="123"/>
    </row>
    <row r="4305">
      <c r="D4305" s="123"/>
    </row>
    <row r="4306">
      <c r="D4306" s="123"/>
    </row>
    <row r="4307">
      <c r="D4307" s="123"/>
    </row>
    <row r="4308">
      <c r="D4308" s="123"/>
    </row>
    <row r="4309">
      <c r="D4309" s="123"/>
    </row>
    <row r="4310">
      <c r="D4310" s="123"/>
    </row>
    <row r="4311">
      <c r="D4311" s="123"/>
    </row>
    <row r="4312">
      <c r="D4312" s="123"/>
    </row>
    <row r="4313">
      <c r="D4313" s="123"/>
    </row>
    <row r="4314">
      <c r="D4314" s="123"/>
    </row>
    <row r="4315">
      <c r="D4315" s="123"/>
    </row>
    <row r="4316">
      <c r="D4316" s="123"/>
    </row>
    <row r="4317">
      <c r="D4317" s="123"/>
    </row>
    <row r="4318">
      <c r="D4318" s="123"/>
    </row>
    <row r="4319">
      <c r="D4319" s="123"/>
    </row>
    <row r="4320">
      <c r="D4320" s="123"/>
    </row>
    <row r="4321">
      <c r="D4321" s="123"/>
    </row>
    <row r="4322">
      <c r="D4322" s="123"/>
    </row>
    <row r="4323">
      <c r="D4323" s="123"/>
    </row>
    <row r="4324">
      <c r="D4324" s="123"/>
    </row>
    <row r="4325">
      <c r="D4325" s="123"/>
    </row>
    <row r="4326">
      <c r="D4326" s="123"/>
    </row>
    <row r="4327">
      <c r="D4327" s="123"/>
    </row>
    <row r="4328">
      <c r="D4328" s="123"/>
    </row>
    <row r="4329">
      <c r="D4329" s="123"/>
    </row>
    <row r="4330">
      <c r="D4330" s="123"/>
    </row>
    <row r="4331">
      <c r="D4331" s="123"/>
    </row>
    <row r="4332">
      <c r="D4332" s="123"/>
    </row>
    <row r="4333">
      <c r="D4333" s="123"/>
    </row>
    <row r="4334">
      <c r="D4334" s="123"/>
    </row>
    <row r="4335">
      <c r="D4335" s="123"/>
    </row>
    <row r="4336">
      <c r="D4336" s="123"/>
    </row>
    <row r="4337">
      <c r="D4337" s="123"/>
    </row>
    <row r="4338">
      <c r="D4338" s="123"/>
    </row>
    <row r="4339">
      <c r="D4339" s="123"/>
    </row>
    <row r="4340">
      <c r="D4340" s="123"/>
    </row>
    <row r="4341">
      <c r="D4341" s="123"/>
    </row>
    <row r="4342">
      <c r="D4342" s="123"/>
    </row>
    <row r="4343">
      <c r="D4343" s="123"/>
    </row>
    <row r="4344">
      <c r="D4344" s="123"/>
    </row>
    <row r="4345">
      <c r="D4345" s="123"/>
    </row>
    <row r="4346">
      <c r="D4346" s="123"/>
    </row>
    <row r="4347">
      <c r="D4347" s="123"/>
    </row>
    <row r="4348">
      <c r="D4348" s="123"/>
    </row>
    <row r="4349">
      <c r="D4349" s="123"/>
    </row>
    <row r="4350">
      <c r="D4350" s="123"/>
    </row>
    <row r="4351">
      <c r="D4351" s="123"/>
    </row>
    <row r="4352">
      <c r="D4352" s="123"/>
    </row>
    <row r="4353">
      <c r="D4353" s="123"/>
    </row>
    <row r="4354">
      <c r="D4354" s="123"/>
    </row>
    <row r="4355">
      <c r="D4355" s="123"/>
    </row>
    <row r="4356">
      <c r="D4356" s="123"/>
    </row>
    <row r="4357">
      <c r="D4357" s="123"/>
    </row>
    <row r="4358">
      <c r="D4358" s="123"/>
    </row>
    <row r="4359">
      <c r="D4359" s="123"/>
    </row>
    <row r="4360">
      <c r="D4360" s="123"/>
    </row>
    <row r="4361">
      <c r="D4361" s="123"/>
    </row>
    <row r="4362">
      <c r="D4362" s="123"/>
    </row>
    <row r="4363">
      <c r="D4363" s="123"/>
    </row>
    <row r="4364">
      <c r="D4364" s="123"/>
    </row>
    <row r="4365">
      <c r="D4365" s="123"/>
    </row>
    <row r="4366">
      <c r="D4366" s="123"/>
    </row>
    <row r="4367">
      <c r="D4367" s="123"/>
    </row>
    <row r="4368">
      <c r="D4368" s="123"/>
    </row>
    <row r="4369">
      <c r="D4369" s="123"/>
    </row>
    <row r="4370">
      <c r="D4370" s="123"/>
    </row>
    <row r="4371">
      <c r="D4371" s="123"/>
    </row>
    <row r="4372">
      <c r="D4372" s="123"/>
    </row>
    <row r="4373">
      <c r="D4373" s="123"/>
    </row>
    <row r="4374">
      <c r="D4374" s="123"/>
    </row>
    <row r="4375">
      <c r="D4375" s="123"/>
    </row>
    <row r="4376">
      <c r="D4376" s="123"/>
    </row>
    <row r="4377">
      <c r="D4377" s="123"/>
    </row>
    <row r="4378">
      <c r="D4378" s="123"/>
    </row>
    <row r="4379">
      <c r="D4379" s="123"/>
    </row>
    <row r="4380">
      <c r="D4380" s="123"/>
    </row>
    <row r="4381">
      <c r="D4381" s="123"/>
    </row>
    <row r="4382">
      <c r="D4382" s="123"/>
    </row>
    <row r="4383">
      <c r="D4383" s="123"/>
    </row>
    <row r="4384">
      <c r="D4384" s="123"/>
    </row>
    <row r="4385">
      <c r="D4385" s="123"/>
    </row>
    <row r="4386">
      <c r="D4386" s="123"/>
    </row>
    <row r="4387">
      <c r="D4387" s="123"/>
    </row>
    <row r="4388">
      <c r="D4388" s="123"/>
    </row>
    <row r="4389">
      <c r="D4389" s="123"/>
    </row>
    <row r="4390">
      <c r="D4390" s="123"/>
    </row>
    <row r="4391">
      <c r="D4391" s="123"/>
    </row>
    <row r="4392">
      <c r="D4392" s="123"/>
    </row>
    <row r="4393">
      <c r="D4393" s="123"/>
    </row>
    <row r="4394">
      <c r="D4394" s="123"/>
    </row>
    <row r="4395">
      <c r="D4395" s="123"/>
    </row>
    <row r="4396">
      <c r="D4396" s="123"/>
    </row>
    <row r="4397">
      <c r="D4397" s="123"/>
    </row>
    <row r="4398">
      <c r="D4398" s="123"/>
    </row>
    <row r="4399">
      <c r="D4399" s="123"/>
    </row>
    <row r="4400">
      <c r="D4400" s="123"/>
    </row>
    <row r="4401">
      <c r="D4401" s="123"/>
    </row>
    <row r="4402">
      <c r="D4402" s="123"/>
    </row>
    <row r="4403">
      <c r="D4403" s="123"/>
    </row>
    <row r="4404">
      <c r="D4404" s="123"/>
    </row>
    <row r="4405">
      <c r="D4405" s="123"/>
    </row>
    <row r="4406">
      <c r="D4406" s="123"/>
    </row>
    <row r="4407">
      <c r="D4407" s="123"/>
    </row>
    <row r="4408">
      <c r="D4408" s="123"/>
    </row>
    <row r="4409">
      <c r="D4409" s="123"/>
    </row>
    <row r="4410">
      <c r="D4410" s="123"/>
    </row>
    <row r="4411">
      <c r="D4411" s="123"/>
    </row>
    <row r="4412">
      <c r="D4412" s="123"/>
    </row>
    <row r="4413">
      <c r="D4413" s="123"/>
    </row>
    <row r="4414">
      <c r="D4414" s="123"/>
    </row>
    <row r="4415">
      <c r="D4415" s="123"/>
    </row>
    <row r="4416">
      <c r="D4416" s="123"/>
    </row>
    <row r="4417">
      <c r="D4417" s="123"/>
    </row>
    <row r="4418">
      <c r="D4418" s="123"/>
    </row>
    <row r="4419">
      <c r="D4419" s="123"/>
    </row>
    <row r="4420">
      <c r="D4420" s="123"/>
    </row>
    <row r="4421">
      <c r="D4421" s="123"/>
    </row>
    <row r="4422">
      <c r="D4422" s="123"/>
    </row>
    <row r="4423">
      <c r="D4423" s="123"/>
    </row>
    <row r="4424">
      <c r="D4424" s="123"/>
    </row>
    <row r="4425">
      <c r="D4425" s="123"/>
    </row>
    <row r="4426">
      <c r="D4426" s="123"/>
    </row>
    <row r="4427">
      <c r="D4427" s="123"/>
    </row>
    <row r="4428">
      <c r="D4428" s="123"/>
    </row>
    <row r="4429">
      <c r="D4429" s="123"/>
    </row>
    <row r="4430">
      <c r="D4430" s="123"/>
    </row>
    <row r="4431">
      <c r="D4431" s="123"/>
    </row>
    <row r="4432">
      <c r="D4432" s="123"/>
    </row>
    <row r="4433">
      <c r="D4433" s="123"/>
    </row>
    <row r="4434">
      <c r="D4434" s="123"/>
    </row>
    <row r="4435">
      <c r="D4435" s="123"/>
    </row>
    <row r="4436">
      <c r="D4436" s="123"/>
    </row>
    <row r="4437">
      <c r="D4437" s="123"/>
    </row>
    <row r="4438">
      <c r="D4438" s="123"/>
    </row>
    <row r="4439">
      <c r="D4439" s="123"/>
    </row>
    <row r="4440">
      <c r="D4440" s="123"/>
    </row>
    <row r="4441">
      <c r="D4441" s="123"/>
    </row>
    <row r="4442">
      <c r="D4442" s="123"/>
    </row>
    <row r="4443">
      <c r="D4443" s="123"/>
    </row>
    <row r="4444">
      <c r="D4444" s="123"/>
    </row>
    <row r="4445">
      <c r="D4445" s="123"/>
    </row>
    <row r="4446">
      <c r="D4446" s="123"/>
    </row>
    <row r="4447">
      <c r="D4447" s="123"/>
    </row>
    <row r="4448">
      <c r="D4448" s="123"/>
    </row>
    <row r="4449">
      <c r="D4449" s="123"/>
    </row>
    <row r="4450">
      <c r="D4450" s="123"/>
    </row>
    <row r="4451">
      <c r="D4451" s="123"/>
    </row>
    <row r="4452">
      <c r="D4452" s="123"/>
    </row>
    <row r="4453">
      <c r="D4453" s="123"/>
    </row>
    <row r="4454">
      <c r="D4454" s="123"/>
    </row>
    <row r="4455">
      <c r="D4455" s="123"/>
    </row>
    <row r="4456">
      <c r="D4456" s="123"/>
    </row>
    <row r="4457">
      <c r="D4457" s="123"/>
    </row>
    <row r="4458">
      <c r="D4458" s="123"/>
    </row>
    <row r="4459">
      <c r="D4459" s="123"/>
    </row>
    <row r="4460">
      <c r="D4460" s="123"/>
    </row>
    <row r="4461">
      <c r="D4461" s="123"/>
    </row>
    <row r="4462">
      <c r="D4462" s="123"/>
    </row>
    <row r="4463">
      <c r="D4463" s="123"/>
    </row>
    <row r="4464">
      <c r="D4464" s="123"/>
    </row>
    <row r="4465">
      <c r="D4465" s="123"/>
    </row>
    <row r="4466">
      <c r="D4466" s="123"/>
    </row>
    <row r="4467">
      <c r="D4467" s="123"/>
    </row>
    <row r="4468">
      <c r="D4468" s="123"/>
    </row>
    <row r="4469">
      <c r="D4469" s="123"/>
    </row>
    <row r="4470">
      <c r="D4470" s="123"/>
    </row>
    <row r="4471">
      <c r="D4471" s="123"/>
    </row>
    <row r="4472">
      <c r="D4472" s="123"/>
    </row>
    <row r="4473">
      <c r="D4473" s="123"/>
    </row>
    <row r="4474">
      <c r="D4474" s="123"/>
    </row>
    <row r="4475">
      <c r="D4475" s="123"/>
    </row>
    <row r="4476">
      <c r="D4476" s="123"/>
    </row>
    <row r="4477">
      <c r="D4477" s="123"/>
    </row>
    <row r="4478">
      <c r="D4478" s="123"/>
    </row>
    <row r="4479">
      <c r="D4479" s="123"/>
    </row>
    <row r="4480">
      <c r="D4480" s="123"/>
    </row>
    <row r="4481">
      <c r="D4481" s="123"/>
    </row>
    <row r="4482">
      <c r="D4482" s="123"/>
    </row>
    <row r="4483">
      <c r="D4483" s="123"/>
    </row>
    <row r="4484">
      <c r="D4484" s="123"/>
    </row>
    <row r="4485">
      <c r="D4485" s="123"/>
    </row>
    <row r="4486">
      <c r="D4486" s="123"/>
    </row>
    <row r="4487">
      <c r="D4487" s="123"/>
    </row>
    <row r="4488">
      <c r="D4488" s="123"/>
    </row>
    <row r="4489">
      <c r="D4489" s="123"/>
    </row>
    <row r="4490">
      <c r="D4490" s="123"/>
    </row>
    <row r="4491">
      <c r="D4491" s="123"/>
    </row>
    <row r="4492">
      <c r="D4492" s="123"/>
    </row>
    <row r="4493">
      <c r="D4493" s="123"/>
    </row>
    <row r="4494">
      <c r="D4494" s="123"/>
    </row>
    <row r="4495">
      <c r="D4495" s="123"/>
    </row>
    <row r="4496">
      <c r="D4496" s="123"/>
    </row>
    <row r="4497">
      <c r="D4497" s="123"/>
    </row>
    <row r="4498">
      <c r="D4498" s="123"/>
    </row>
    <row r="4499">
      <c r="D4499" s="123"/>
    </row>
    <row r="4500">
      <c r="D4500" s="123"/>
    </row>
    <row r="4501">
      <c r="D4501" s="123"/>
    </row>
    <row r="4502">
      <c r="D4502" s="123"/>
    </row>
    <row r="4503">
      <c r="D4503" s="123"/>
    </row>
    <row r="4504">
      <c r="D4504" s="123"/>
    </row>
    <row r="4505">
      <c r="D4505" s="123"/>
    </row>
    <row r="4506">
      <c r="D4506" s="123"/>
    </row>
    <row r="4507">
      <c r="D4507" s="123"/>
    </row>
    <row r="4508">
      <c r="D4508" s="123"/>
    </row>
    <row r="4509">
      <c r="D4509" s="123"/>
    </row>
    <row r="4510">
      <c r="D4510" s="123"/>
    </row>
    <row r="4511">
      <c r="D4511" s="123"/>
    </row>
    <row r="4512">
      <c r="D4512" s="123"/>
    </row>
    <row r="4513">
      <c r="D4513" s="123"/>
    </row>
    <row r="4514">
      <c r="D4514" s="123"/>
    </row>
    <row r="4515">
      <c r="D4515" s="123"/>
    </row>
    <row r="4516">
      <c r="D4516" s="123"/>
    </row>
    <row r="4517">
      <c r="D4517" s="123"/>
    </row>
    <row r="4518">
      <c r="D4518" s="123"/>
    </row>
    <row r="4519">
      <c r="D4519" s="123"/>
    </row>
    <row r="4520">
      <c r="D4520" s="123"/>
    </row>
    <row r="4521">
      <c r="D4521" s="123"/>
    </row>
    <row r="4522">
      <c r="D4522" s="123"/>
    </row>
    <row r="4523">
      <c r="D4523" s="123"/>
    </row>
    <row r="4524">
      <c r="D4524" s="123"/>
    </row>
    <row r="4525">
      <c r="D4525" s="123"/>
    </row>
    <row r="4526">
      <c r="D4526" s="123"/>
    </row>
    <row r="4527">
      <c r="D4527" s="123"/>
    </row>
    <row r="4528">
      <c r="D4528" s="123"/>
    </row>
    <row r="4529">
      <c r="D4529" s="123"/>
    </row>
    <row r="4530">
      <c r="D4530" s="123"/>
    </row>
    <row r="4531">
      <c r="D4531" s="123"/>
    </row>
    <row r="4532">
      <c r="D4532" s="123"/>
    </row>
    <row r="4533">
      <c r="D4533" s="123"/>
    </row>
    <row r="4534">
      <c r="D4534" s="123"/>
    </row>
    <row r="4535">
      <c r="D4535" s="123"/>
    </row>
    <row r="4536">
      <c r="D4536" s="123"/>
    </row>
    <row r="4537">
      <c r="D4537" s="123"/>
    </row>
    <row r="4538">
      <c r="D4538" s="123"/>
    </row>
    <row r="4539">
      <c r="D4539" s="123"/>
    </row>
    <row r="4540">
      <c r="D4540" s="123"/>
    </row>
    <row r="4541">
      <c r="D4541" s="123"/>
    </row>
    <row r="4542">
      <c r="D4542" s="123"/>
    </row>
    <row r="4543">
      <c r="D4543" s="123"/>
    </row>
    <row r="4544">
      <c r="D4544" s="123"/>
    </row>
    <row r="4545">
      <c r="D4545" s="123"/>
    </row>
    <row r="4546">
      <c r="D4546" s="123"/>
    </row>
    <row r="4547">
      <c r="D4547" s="123"/>
    </row>
    <row r="4548">
      <c r="D4548" s="123"/>
    </row>
    <row r="4549">
      <c r="D4549" s="123"/>
    </row>
    <row r="4550">
      <c r="D4550" s="123"/>
    </row>
    <row r="4551">
      <c r="D4551" s="123"/>
    </row>
    <row r="4552">
      <c r="D4552" s="123"/>
    </row>
    <row r="4553">
      <c r="D4553" s="123"/>
    </row>
    <row r="4554">
      <c r="D4554" s="123"/>
    </row>
    <row r="4555">
      <c r="D4555" s="123"/>
    </row>
    <row r="4556">
      <c r="D4556" s="123"/>
    </row>
    <row r="4557">
      <c r="D4557" s="123"/>
    </row>
    <row r="4558">
      <c r="D4558" s="123"/>
    </row>
    <row r="4559">
      <c r="D4559" s="123"/>
    </row>
    <row r="4560">
      <c r="D4560" s="123"/>
    </row>
    <row r="4561">
      <c r="D4561" s="123"/>
    </row>
    <row r="4562">
      <c r="D4562" s="123"/>
    </row>
    <row r="4563">
      <c r="D4563" s="123"/>
    </row>
    <row r="4564">
      <c r="D4564" s="123"/>
    </row>
    <row r="4565">
      <c r="D4565" s="123"/>
    </row>
    <row r="4566">
      <c r="D4566" s="123"/>
    </row>
    <row r="4567">
      <c r="D4567" s="123"/>
    </row>
    <row r="4568">
      <c r="D4568" s="123"/>
    </row>
    <row r="4569">
      <c r="D4569" s="123"/>
    </row>
    <row r="4570">
      <c r="D4570" s="123"/>
    </row>
    <row r="4571">
      <c r="D4571" s="123"/>
    </row>
    <row r="4572">
      <c r="D4572" s="123"/>
    </row>
    <row r="4573">
      <c r="D4573" s="123"/>
    </row>
    <row r="4574">
      <c r="D4574" s="123"/>
    </row>
    <row r="4575">
      <c r="D4575" s="123"/>
    </row>
    <row r="4576">
      <c r="D4576" s="123"/>
    </row>
    <row r="4577">
      <c r="D4577" s="123"/>
    </row>
    <row r="4578">
      <c r="D4578" s="123"/>
    </row>
    <row r="4579">
      <c r="D4579" s="123"/>
    </row>
    <row r="4580">
      <c r="D4580" s="123"/>
    </row>
    <row r="4581">
      <c r="D4581" s="123"/>
    </row>
    <row r="4582">
      <c r="D4582" s="123"/>
    </row>
    <row r="4583">
      <c r="D4583" s="123"/>
    </row>
    <row r="4584">
      <c r="D4584" s="123"/>
    </row>
    <row r="4585">
      <c r="D4585" s="123"/>
    </row>
    <row r="4586">
      <c r="D4586" s="123"/>
    </row>
    <row r="4587">
      <c r="D4587" s="123"/>
    </row>
    <row r="4588">
      <c r="D4588" s="123"/>
    </row>
    <row r="4589">
      <c r="D4589" s="123"/>
    </row>
    <row r="4590">
      <c r="D4590" s="123"/>
    </row>
    <row r="4591">
      <c r="D4591" s="123"/>
    </row>
    <row r="4592">
      <c r="D4592" s="123"/>
    </row>
    <row r="4593">
      <c r="D4593" s="123"/>
    </row>
    <row r="4594">
      <c r="D4594" s="123"/>
    </row>
    <row r="4595">
      <c r="D4595" s="123"/>
    </row>
    <row r="4596">
      <c r="D4596" s="123"/>
    </row>
    <row r="4597">
      <c r="D4597" s="123"/>
    </row>
    <row r="4598">
      <c r="D4598" s="123"/>
    </row>
    <row r="4599">
      <c r="D4599" s="123"/>
    </row>
    <row r="4600">
      <c r="D4600" s="123"/>
    </row>
    <row r="4601">
      <c r="D4601" s="123"/>
    </row>
    <row r="4602">
      <c r="D4602" s="123"/>
    </row>
    <row r="4603">
      <c r="D4603" s="123"/>
    </row>
    <row r="4604">
      <c r="D4604" s="123"/>
    </row>
    <row r="4605">
      <c r="D4605" s="123"/>
    </row>
    <row r="4606">
      <c r="D4606" s="123"/>
    </row>
    <row r="4607">
      <c r="D4607" s="123"/>
    </row>
    <row r="4608">
      <c r="D4608" s="123"/>
    </row>
    <row r="4609">
      <c r="D4609" s="123"/>
    </row>
    <row r="4610">
      <c r="D4610" s="123"/>
    </row>
    <row r="4611">
      <c r="D4611" s="123"/>
    </row>
    <row r="4612">
      <c r="D4612" s="123"/>
    </row>
    <row r="4613">
      <c r="D4613" s="123"/>
    </row>
    <row r="4614">
      <c r="D4614" s="123"/>
    </row>
    <row r="4615">
      <c r="D4615" s="123"/>
    </row>
    <row r="4616">
      <c r="D4616" s="123"/>
    </row>
    <row r="4617">
      <c r="D4617" s="123"/>
    </row>
    <row r="4618">
      <c r="D4618" s="123"/>
    </row>
    <row r="4619">
      <c r="D4619" s="123"/>
    </row>
    <row r="4620">
      <c r="D4620" s="123"/>
    </row>
    <row r="4621">
      <c r="D4621" s="123"/>
    </row>
    <row r="4622">
      <c r="D4622" s="123"/>
    </row>
    <row r="4623">
      <c r="D4623" s="123"/>
    </row>
    <row r="4624">
      <c r="D4624" s="123"/>
    </row>
    <row r="4625">
      <c r="D4625" s="123"/>
    </row>
    <row r="4626">
      <c r="D4626" s="123"/>
    </row>
    <row r="4627">
      <c r="D4627" s="123"/>
    </row>
    <row r="4628">
      <c r="D4628" s="123"/>
    </row>
    <row r="4629">
      <c r="D4629" s="123"/>
    </row>
    <row r="4630">
      <c r="D4630" s="123"/>
    </row>
    <row r="4631">
      <c r="D4631" s="123"/>
    </row>
    <row r="4632">
      <c r="D4632" s="123"/>
    </row>
    <row r="4633">
      <c r="D4633" s="123"/>
    </row>
    <row r="4634">
      <c r="D4634" s="123"/>
    </row>
    <row r="4635">
      <c r="D4635" s="123"/>
    </row>
    <row r="4636">
      <c r="D4636" s="123"/>
    </row>
    <row r="4637">
      <c r="D4637" s="123"/>
    </row>
    <row r="4638">
      <c r="D4638" s="123"/>
    </row>
    <row r="4639">
      <c r="D4639" s="123"/>
    </row>
    <row r="4640">
      <c r="D4640" s="123"/>
    </row>
    <row r="4641">
      <c r="D4641" s="123"/>
    </row>
    <row r="4642">
      <c r="D4642" s="123"/>
    </row>
    <row r="4643">
      <c r="D4643" s="123"/>
    </row>
    <row r="4644">
      <c r="D4644" s="123"/>
    </row>
    <row r="4645">
      <c r="D4645" s="123"/>
    </row>
    <row r="4646">
      <c r="D4646" s="123"/>
    </row>
    <row r="4647">
      <c r="D4647" s="123"/>
    </row>
    <row r="4648">
      <c r="D4648" s="123"/>
    </row>
    <row r="4649">
      <c r="D4649" s="123"/>
    </row>
    <row r="4650">
      <c r="D4650" s="123"/>
    </row>
    <row r="4651">
      <c r="D4651" s="123"/>
    </row>
    <row r="4652">
      <c r="D4652" s="123"/>
    </row>
    <row r="4653">
      <c r="D4653" s="123"/>
    </row>
    <row r="4654">
      <c r="D4654" s="123"/>
    </row>
    <row r="4655">
      <c r="D4655" s="123"/>
    </row>
    <row r="4656">
      <c r="D4656" s="123"/>
    </row>
    <row r="4657">
      <c r="D4657" s="123"/>
    </row>
    <row r="4658">
      <c r="D4658" s="123"/>
    </row>
    <row r="4659">
      <c r="D4659" s="123"/>
    </row>
    <row r="4660">
      <c r="D4660" s="123"/>
    </row>
    <row r="4661">
      <c r="D4661" s="123"/>
    </row>
    <row r="4662">
      <c r="D4662" s="123"/>
    </row>
    <row r="4663">
      <c r="D4663" s="123"/>
    </row>
    <row r="4664">
      <c r="D4664" s="123"/>
    </row>
    <row r="4665">
      <c r="D4665" s="123"/>
    </row>
    <row r="4666">
      <c r="D4666" s="123"/>
    </row>
    <row r="4667">
      <c r="D4667" s="123"/>
    </row>
    <row r="4668">
      <c r="D4668" s="123"/>
    </row>
    <row r="4669">
      <c r="D4669" s="123"/>
    </row>
    <row r="4670">
      <c r="D4670" s="123"/>
    </row>
    <row r="4671">
      <c r="D4671" s="123"/>
    </row>
    <row r="4672">
      <c r="D4672" s="123"/>
    </row>
    <row r="4673">
      <c r="D4673" s="123"/>
    </row>
    <row r="4674">
      <c r="D4674" s="123"/>
    </row>
    <row r="4675">
      <c r="D4675" s="123"/>
    </row>
    <row r="4676">
      <c r="D4676" s="123"/>
    </row>
    <row r="4677">
      <c r="D4677" s="123"/>
    </row>
    <row r="4678">
      <c r="D4678" s="123"/>
    </row>
    <row r="4679">
      <c r="D4679" s="123"/>
    </row>
    <row r="4680">
      <c r="D4680" s="123"/>
    </row>
    <row r="4681">
      <c r="D4681" s="123"/>
    </row>
    <row r="4682">
      <c r="D4682" s="123"/>
    </row>
    <row r="4683">
      <c r="D4683" s="123"/>
    </row>
    <row r="4684">
      <c r="D4684" s="123"/>
    </row>
    <row r="4685">
      <c r="D4685" s="123"/>
    </row>
    <row r="4686">
      <c r="D4686" s="123"/>
    </row>
    <row r="4687">
      <c r="D4687" s="123"/>
    </row>
    <row r="4688">
      <c r="D4688" s="123"/>
    </row>
    <row r="4689">
      <c r="D4689" s="123"/>
    </row>
    <row r="4690">
      <c r="D4690" s="123"/>
    </row>
    <row r="4691">
      <c r="D4691" s="123"/>
    </row>
    <row r="4692">
      <c r="D4692" s="123"/>
    </row>
    <row r="4693">
      <c r="D4693" s="123"/>
    </row>
    <row r="4694">
      <c r="D4694" s="123"/>
    </row>
    <row r="4695">
      <c r="D4695" s="123"/>
    </row>
    <row r="4696">
      <c r="D4696" s="123"/>
    </row>
    <row r="4697">
      <c r="D4697" s="123"/>
    </row>
    <row r="4698">
      <c r="D4698" s="123"/>
    </row>
    <row r="4699">
      <c r="D4699" s="123"/>
    </row>
    <row r="4700">
      <c r="D4700" s="123"/>
    </row>
    <row r="4701">
      <c r="D4701" s="123"/>
    </row>
    <row r="4702">
      <c r="D4702" s="123"/>
    </row>
    <row r="4703">
      <c r="D4703" s="123"/>
    </row>
    <row r="4704">
      <c r="D4704" s="123"/>
    </row>
    <row r="4705">
      <c r="D4705" s="123"/>
    </row>
    <row r="4706">
      <c r="D4706" s="123"/>
    </row>
    <row r="4707">
      <c r="D4707" s="123"/>
    </row>
    <row r="4708">
      <c r="D4708" s="123"/>
    </row>
    <row r="4709">
      <c r="D4709" s="123"/>
    </row>
    <row r="4710">
      <c r="D4710" s="123"/>
    </row>
    <row r="4711">
      <c r="D4711" s="123"/>
    </row>
    <row r="4712">
      <c r="D4712" s="123"/>
    </row>
    <row r="4713">
      <c r="D4713" s="123"/>
    </row>
    <row r="4714">
      <c r="D4714" s="123"/>
    </row>
    <row r="4715">
      <c r="D4715" s="123"/>
    </row>
    <row r="4716">
      <c r="D4716" s="123"/>
    </row>
    <row r="4717">
      <c r="D4717" s="123"/>
    </row>
    <row r="4718">
      <c r="D4718" s="123"/>
    </row>
    <row r="4719">
      <c r="D4719" s="123"/>
    </row>
    <row r="4720">
      <c r="D4720" s="123"/>
    </row>
    <row r="4721">
      <c r="D4721" s="123"/>
    </row>
    <row r="4722">
      <c r="D4722" s="123"/>
    </row>
    <row r="4723">
      <c r="D4723" s="123"/>
    </row>
    <row r="4724">
      <c r="D4724" s="123"/>
    </row>
    <row r="4725">
      <c r="D4725" s="123"/>
    </row>
    <row r="4726">
      <c r="D4726" s="123"/>
    </row>
    <row r="4727">
      <c r="D4727" s="123"/>
    </row>
    <row r="4728">
      <c r="D4728" s="123"/>
    </row>
    <row r="4729">
      <c r="D4729" s="123"/>
    </row>
    <row r="4730">
      <c r="D4730" s="123"/>
    </row>
    <row r="4731">
      <c r="D4731" s="123"/>
    </row>
    <row r="4732">
      <c r="D4732" s="123"/>
    </row>
    <row r="4733">
      <c r="D4733" s="123"/>
    </row>
    <row r="4734">
      <c r="D4734" s="123"/>
    </row>
    <row r="4735">
      <c r="D4735" s="123"/>
    </row>
    <row r="4736">
      <c r="D4736" s="123"/>
    </row>
    <row r="4737">
      <c r="D4737" s="123"/>
    </row>
    <row r="4738">
      <c r="D4738" s="123"/>
    </row>
    <row r="4739">
      <c r="D4739" s="123"/>
    </row>
    <row r="4740">
      <c r="D4740" s="123"/>
    </row>
    <row r="4741">
      <c r="D4741" s="123"/>
    </row>
    <row r="4742">
      <c r="D4742" s="123"/>
    </row>
    <row r="4743">
      <c r="D4743" s="123"/>
    </row>
    <row r="4744">
      <c r="D4744" s="123"/>
    </row>
    <row r="4745">
      <c r="D4745" s="123"/>
    </row>
    <row r="4746">
      <c r="D4746" s="123"/>
    </row>
    <row r="4747">
      <c r="D4747" s="123"/>
    </row>
    <row r="4748">
      <c r="D4748" s="123"/>
    </row>
    <row r="4749">
      <c r="D4749" s="123"/>
    </row>
    <row r="4750">
      <c r="D4750" s="123"/>
    </row>
    <row r="4751">
      <c r="D4751" s="123"/>
    </row>
    <row r="4752">
      <c r="D4752" s="123"/>
    </row>
    <row r="4753">
      <c r="D4753" s="123"/>
    </row>
    <row r="4754">
      <c r="D4754" s="123"/>
    </row>
    <row r="4755">
      <c r="D4755" s="123"/>
    </row>
    <row r="4756">
      <c r="D4756" s="123"/>
    </row>
    <row r="4757">
      <c r="D4757" s="123"/>
    </row>
    <row r="4758">
      <c r="D4758" s="123"/>
    </row>
    <row r="4759">
      <c r="D4759" s="123"/>
    </row>
    <row r="4760">
      <c r="D4760" s="123"/>
    </row>
    <row r="4761">
      <c r="D4761" s="123"/>
    </row>
    <row r="4762">
      <c r="D4762" s="123"/>
    </row>
    <row r="4763">
      <c r="D4763" s="123"/>
    </row>
    <row r="4764">
      <c r="D4764" s="123"/>
    </row>
    <row r="4765">
      <c r="D4765" s="123"/>
    </row>
    <row r="4766">
      <c r="D4766" s="123"/>
    </row>
    <row r="4767">
      <c r="D4767" s="123"/>
    </row>
    <row r="4768">
      <c r="D4768" s="123"/>
    </row>
    <row r="4769">
      <c r="D4769" s="123"/>
    </row>
    <row r="4770">
      <c r="D4770" s="123"/>
    </row>
    <row r="4771">
      <c r="D4771" s="123"/>
    </row>
    <row r="4772">
      <c r="D4772" s="123"/>
    </row>
    <row r="4773">
      <c r="D4773" s="123"/>
    </row>
    <row r="4774">
      <c r="D4774" s="123"/>
    </row>
    <row r="4775">
      <c r="D4775" s="123"/>
    </row>
    <row r="4776">
      <c r="D4776" s="123"/>
    </row>
    <row r="4777">
      <c r="D4777" s="123"/>
    </row>
    <row r="4778">
      <c r="D4778" s="123"/>
    </row>
    <row r="4779">
      <c r="D4779" s="123"/>
    </row>
    <row r="4780">
      <c r="D4780" s="123"/>
    </row>
    <row r="4781">
      <c r="D4781" s="123"/>
    </row>
    <row r="4782">
      <c r="D4782" s="123"/>
    </row>
    <row r="4783">
      <c r="D4783" s="123"/>
    </row>
    <row r="4784">
      <c r="D4784" s="123"/>
    </row>
    <row r="4785">
      <c r="D4785" s="123"/>
    </row>
    <row r="4786">
      <c r="D4786" s="123"/>
    </row>
    <row r="4787">
      <c r="D4787" s="123"/>
    </row>
    <row r="4788">
      <c r="D4788" s="123"/>
    </row>
    <row r="4789">
      <c r="D4789" s="123"/>
    </row>
    <row r="4790">
      <c r="D4790" s="123"/>
    </row>
    <row r="4791">
      <c r="D4791" s="123"/>
    </row>
    <row r="4792">
      <c r="D4792" s="123"/>
    </row>
    <row r="4793">
      <c r="D4793" s="123"/>
    </row>
    <row r="4794">
      <c r="D4794" s="123"/>
    </row>
    <row r="4795">
      <c r="D4795" s="123"/>
    </row>
    <row r="4796">
      <c r="D4796" s="123"/>
    </row>
    <row r="4797">
      <c r="D4797" s="123"/>
    </row>
    <row r="4798">
      <c r="D4798" s="123"/>
    </row>
    <row r="4799">
      <c r="D4799" s="123"/>
    </row>
    <row r="4800">
      <c r="D4800" s="123"/>
    </row>
    <row r="4801">
      <c r="D4801" s="123"/>
    </row>
    <row r="4802">
      <c r="D4802" s="123"/>
    </row>
    <row r="4803">
      <c r="D4803" s="123"/>
    </row>
    <row r="4804">
      <c r="D4804" s="123"/>
    </row>
    <row r="4805">
      <c r="D4805" s="123"/>
    </row>
    <row r="4806">
      <c r="D4806" s="123"/>
    </row>
    <row r="4807">
      <c r="D4807" s="123"/>
    </row>
    <row r="4808">
      <c r="D4808" s="123"/>
    </row>
    <row r="4809">
      <c r="D4809" s="123"/>
    </row>
    <row r="4810">
      <c r="D4810" s="123"/>
    </row>
    <row r="4811">
      <c r="D4811" s="123"/>
    </row>
    <row r="4812">
      <c r="D4812" s="123"/>
    </row>
    <row r="4813">
      <c r="D4813" s="123"/>
    </row>
    <row r="4814">
      <c r="D4814" s="123"/>
    </row>
    <row r="4815">
      <c r="D4815" s="123"/>
    </row>
    <row r="4816">
      <c r="D4816" s="123"/>
    </row>
    <row r="4817">
      <c r="D4817" s="123"/>
    </row>
    <row r="4818">
      <c r="D4818" s="123"/>
    </row>
    <row r="4819">
      <c r="D4819" s="123"/>
    </row>
    <row r="4820">
      <c r="D4820" s="123"/>
    </row>
    <row r="4821">
      <c r="D4821" s="123"/>
    </row>
    <row r="4822">
      <c r="D4822" s="123"/>
    </row>
    <row r="4823">
      <c r="D4823" s="123"/>
    </row>
    <row r="4824">
      <c r="D4824" s="123"/>
    </row>
    <row r="4825">
      <c r="D4825" s="123"/>
    </row>
    <row r="4826">
      <c r="D4826" s="123"/>
    </row>
    <row r="4827">
      <c r="D4827" s="123"/>
    </row>
    <row r="4828">
      <c r="D4828" s="123"/>
    </row>
    <row r="4829">
      <c r="D4829" s="123"/>
    </row>
    <row r="4830">
      <c r="D4830" s="123"/>
    </row>
    <row r="4831">
      <c r="D4831" s="123"/>
    </row>
    <row r="4832">
      <c r="D4832" s="123"/>
    </row>
    <row r="4833">
      <c r="D4833" s="123"/>
    </row>
    <row r="4834">
      <c r="D4834" s="123"/>
    </row>
    <row r="4835">
      <c r="D4835" s="123"/>
    </row>
    <row r="4836">
      <c r="D4836" s="123"/>
    </row>
    <row r="4837">
      <c r="D4837" s="123"/>
    </row>
    <row r="4838">
      <c r="D4838" s="123"/>
    </row>
    <row r="4839">
      <c r="D4839" s="123"/>
    </row>
    <row r="4840">
      <c r="D4840" s="123"/>
    </row>
    <row r="4841">
      <c r="D4841" s="123"/>
    </row>
    <row r="4842">
      <c r="D4842" s="123"/>
    </row>
    <row r="4843">
      <c r="D4843" s="123"/>
    </row>
    <row r="4844">
      <c r="D4844" s="123"/>
    </row>
    <row r="4845">
      <c r="D4845" s="123"/>
    </row>
    <row r="4846">
      <c r="D4846" s="123"/>
    </row>
    <row r="4847">
      <c r="D4847" s="123"/>
    </row>
    <row r="4848">
      <c r="D4848" s="123"/>
    </row>
    <row r="4849">
      <c r="D4849" s="123"/>
    </row>
    <row r="4850">
      <c r="D4850" s="123"/>
    </row>
    <row r="4851">
      <c r="D4851" s="123"/>
    </row>
    <row r="4852">
      <c r="D4852" s="123"/>
    </row>
    <row r="4853">
      <c r="D4853" s="123"/>
    </row>
    <row r="4854">
      <c r="D4854" s="123"/>
    </row>
    <row r="4855">
      <c r="D4855" s="123"/>
    </row>
    <row r="4856">
      <c r="D4856" s="123"/>
    </row>
    <row r="4857">
      <c r="D4857" s="123"/>
    </row>
    <row r="4858">
      <c r="D4858" s="123"/>
    </row>
    <row r="4859">
      <c r="D4859" s="123"/>
    </row>
    <row r="4860">
      <c r="D4860" s="123"/>
    </row>
    <row r="4861">
      <c r="D4861" s="123"/>
    </row>
    <row r="4862">
      <c r="D4862" s="123"/>
    </row>
    <row r="4863">
      <c r="D4863" s="123"/>
    </row>
    <row r="4864">
      <c r="D4864" s="123"/>
    </row>
    <row r="4865">
      <c r="D4865" s="123"/>
    </row>
    <row r="4866">
      <c r="D4866" s="123"/>
    </row>
    <row r="4867">
      <c r="D4867" s="123"/>
    </row>
    <row r="4868">
      <c r="D4868" s="123"/>
    </row>
    <row r="4869">
      <c r="D4869" s="123"/>
    </row>
    <row r="4870">
      <c r="D4870" s="123"/>
    </row>
    <row r="4871">
      <c r="D4871" s="123"/>
    </row>
    <row r="4872">
      <c r="D4872" s="123"/>
    </row>
    <row r="4873">
      <c r="D4873" s="123"/>
    </row>
    <row r="4874">
      <c r="D4874" s="123"/>
    </row>
    <row r="4875">
      <c r="D4875" s="123"/>
    </row>
    <row r="4876">
      <c r="D4876" s="123"/>
    </row>
    <row r="4877">
      <c r="D4877" s="123"/>
    </row>
    <row r="4878">
      <c r="D4878" s="123"/>
    </row>
    <row r="4879">
      <c r="D4879" s="123"/>
    </row>
    <row r="4880">
      <c r="D4880" s="123"/>
    </row>
    <row r="4881">
      <c r="D4881" s="123"/>
    </row>
    <row r="4882">
      <c r="D4882" s="123"/>
    </row>
    <row r="4883">
      <c r="D4883" s="123"/>
    </row>
    <row r="4884">
      <c r="D4884" s="123"/>
    </row>
    <row r="4885">
      <c r="D4885" s="123"/>
    </row>
    <row r="4886">
      <c r="D4886" s="123"/>
    </row>
    <row r="4887">
      <c r="D4887" s="123"/>
    </row>
    <row r="4888">
      <c r="D4888" s="123"/>
    </row>
    <row r="4889">
      <c r="D4889" s="123"/>
    </row>
    <row r="4890">
      <c r="D4890" s="123"/>
    </row>
    <row r="4891">
      <c r="D4891" s="123"/>
    </row>
    <row r="4892">
      <c r="D4892" s="123"/>
    </row>
    <row r="4893">
      <c r="D4893" s="123"/>
    </row>
    <row r="4894">
      <c r="D4894" s="123"/>
    </row>
    <row r="4895">
      <c r="D4895" s="123"/>
    </row>
    <row r="4896">
      <c r="D4896" s="123"/>
    </row>
    <row r="4897">
      <c r="D4897" s="123"/>
    </row>
    <row r="4898">
      <c r="D4898" s="123"/>
    </row>
    <row r="4899">
      <c r="D4899" s="123"/>
    </row>
    <row r="4900">
      <c r="D4900" s="123"/>
    </row>
    <row r="4901">
      <c r="D4901" s="123"/>
    </row>
    <row r="4902">
      <c r="D4902" s="123"/>
    </row>
    <row r="4903">
      <c r="D4903" s="123"/>
    </row>
    <row r="4904">
      <c r="D4904" s="123"/>
    </row>
    <row r="4905">
      <c r="D4905" s="123"/>
    </row>
    <row r="4906">
      <c r="D4906" s="123"/>
    </row>
    <row r="4907">
      <c r="D4907" s="123"/>
    </row>
    <row r="4908">
      <c r="D4908" s="123"/>
    </row>
    <row r="4909">
      <c r="D4909" s="123"/>
    </row>
    <row r="4910">
      <c r="D4910" s="123"/>
    </row>
    <row r="4911">
      <c r="D4911" s="123"/>
    </row>
    <row r="4912">
      <c r="D4912" s="123"/>
    </row>
    <row r="4913">
      <c r="D4913" s="123"/>
    </row>
    <row r="4914">
      <c r="D4914" s="123"/>
    </row>
    <row r="4915">
      <c r="D4915" s="123"/>
    </row>
    <row r="4916">
      <c r="D4916" s="123"/>
    </row>
    <row r="4917">
      <c r="D4917" s="123"/>
    </row>
    <row r="4918">
      <c r="D4918" s="123"/>
    </row>
    <row r="4919">
      <c r="D4919" s="123"/>
    </row>
    <row r="4920">
      <c r="D4920" s="123"/>
    </row>
    <row r="4921">
      <c r="D4921" s="123"/>
    </row>
    <row r="4922">
      <c r="D4922" s="123"/>
    </row>
    <row r="4923">
      <c r="D4923" s="123"/>
    </row>
    <row r="4924">
      <c r="D4924" s="123"/>
    </row>
    <row r="4925">
      <c r="D4925" s="123"/>
    </row>
    <row r="4926">
      <c r="D4926" s="123"/>
    </row>
    <row r="4927">
      <c r="D4927" s="123"/>
    </row>
    <row r="4928">
      <c r="D4928" s="123"/>
    </row>
    <row r="4929">
      <c r="D4929" s="123"/>
    </row>
    <row r="4930">
      <c r="D4930" s="123"/>
    </row>
    <row r="4931">
      <c r="D4931" s="123"/>
    </row>
    <row r="4932">
      <c r="D4932" s="123"/>
    </row>
    <row r="4933">
      <c r="D4933" s="123"/>
    </row>
    <row r="4934">
      <c r="D4934" s="123"/>
    </row>
    <row r="4935">
      <c r="D4935" s="123"/>
    </row>
    <row r="4936">
      <c r="D4936" s="123"/>
    </row>
    <row r="4937">
      <c r="D4937" s="123"/>
    </row>
    <row r="4938">
      <c r="D4938" s="123"/>
    </row>
    <row r="4939">
      <c r="D4939" s="123"/>
    </row>
    <row r="4940">
      <c r="D4940" s="123"/>
    </row>
    <row r="4941">
      <c r="D4941" s="123"/>
    </row>
    <row r="4942">
      <c r="D4942" s="123"/>
    </row>
    <row r="4943">
      <c r="D4943" s="123"/>
    </row>
    <row r="4944">
      <c r="D4944" s="123"/>
    </row>
    <row r="4945">
      <c r="D4945" s="123"/>
    </row>
    <row r="4946">
      <c r="D4946" s="123"/>
    </row>
    <row r="4947">
      <c r="D4947" s="123"/>
    </row>
    <row r="4948">
      <c r="D4948" s="123"/>
    </row>
    <row r="4949">
      <c r="D4949" s="123"/>
    </row>
    <row r="4950">
      <c r="D4950" s="123"/>
    </row>
    <row r="4951">
      <c r="D4951" s="123"/>
    </row>
    <row r="4952">
      <c r="D4952" s="123"/>
    </row>
    <row r="4953">
      <c r="D4953" s="123"/>
    </row>
    <row r="4954">
      <c r="D4954" s="123"/>
    </row>
    <row r="4955">
      <c r="D4955" s="123"/>
    </row>
    <row r="4956">
      <c r="D4956" s="123"/>
    </row>
    <row r="4957">
      <c r="D4957" s="123"/>
    </row>
    <row r="4958">
      <c r="D4958" s="123"/>
    </row>
    <row r="4959">
      <c r="D4959" s="123"/>
    </row>
    <row r="4960">
      <c r="D4960" s="123"/>
    </row>
    <row r="4961">
      <c r="D4961" s="123"/>
    </row>
    <row r="4962">
      <c r="D4962" s="123"/>
    </row>
    <row r="4963">
      <c r="D4963" s="123"/>
    </row>
    <row r="4964">
      <c r="D4964" s="123"/>
    </row>
    <row r="4965">
      <c r="D4965" s="123"/>
    </row>
    <row r="4966">
      <c r="D4966" s="123"/>
    </row>
    <row r="4967">
      <c r="D4967" s="123"/>
    </row>
    <row r="4968">
      <c r="D4968" s="123"/>
    </row>
    <row r="4969">
      <c r="D4969" s="123"/>
    </row>
    <row r="4970">
      <c r="D4970" s="123"/>
    </row>
    <row r="4971">
      <c r="D4971" s="123"/>
    </row>
    <row r="4972">
      <c r="D4972" s="123"/>
    </row>
    <row r="4973">
      <c r="D4973" s="123"/>
    </row>
    <row r="4974">
      <c r="D4974" s="123"/>
    </row>
    <row r="4975">
      <c r="D4975" s="123"/>
    </row>
    <row r="4976">
      <c r="D4976" s="123"/>
    </row>
    <row r="4977">
      <c r="D4977" s="123"/>
    </row>
    <row r="4978">
      <c r="D4978" s="123"/>
    </row>
    <row r="4979">
      <c r="D4979" s="123"/>
    </row>
    <row r="4980">
      <c r="D4980" s="123"/>
    </row>
    <row r="4981">
      <c r="D4981" s="123"/>
    </row>
    <row r="4982">
      <c r="D4982" s="123"/>
    </row>
    <row r="4983">
      <c r="D4983" s="123"/>
    </row>
    <row r="4984">
      <c r="D4984" s="123"/>
    </row>
    <row r="4985">
      <c r="D4985" s="123"/>
    </row>
    <row r="4986">
      <c r="D4986" s="123"/>
    </row>
    <row r="4987">
      <c r="D4987" s="123"/>
    </row>
    <row r="4988">
      <c r="D4988" s="123"/>
    </row>
    <row r="4989">
      <c r="D4989" s="123"/>
    </row>
    <row r="4990">
      <c r="D4990" s="123"/>
    </row>
    <row r="4991">
      <c r="D4991" s="123"/>
    </row>
    <row r="4992">
      <c r="D4992" s="123"/>
    </row>
    <row r="4993">
      <c r="D4993" s="123"/>
    </row>
    <row r="4994">
      <c r="D4994" s="123"/>
    </row>
    <row r="4995">
      <c r="D4995" s="123"/>
    </row>
    <row r="4996">
      <c r="D4996" s="123"/>
    </row>
    <row r="4997">
      <c r="D4997" s="123"/>
    </row>
    <row r="4998">
      <c r="D4998" s="123"/>
    </row>
    <row r="4999">
      <c r="D4999" s="123"/>
    </row>
    <row r="5000">
      <c r="D5000" s="123"/>
    </row>
  </sheetData>
  <sheetProtection sheet="1" formatRows="0" spinCount="100000" saltValue="QXgKGBQW4dWcwh6xt1PHqw==" hashValue="Q6+YkimLkW3sJMfFKVtq0yOb7IXTMj74bDrucjtJa2W7rQZfG1PdyTuvkVfh9wCjmHfm6AvpdZJqJR2gZyYJsw==" algorithmName="SHA-512"/>
  <mergeCells count="7">
    <mergeCell ref="A114:G118"/>
    <mergeCell ref="A1:G1"/>
    <mergeCell ref="C2:G2"/>
    <mergeCell ref="C3:G3"/>
    <mergeCell ref="C4:G4"/>
    <mergeCell ref="A106:B106"/>
    <mergeCell ref="A113:C113"/>
  </mergeCells>
  <pageMargins left="0.5902778" right="0.1965278" top="0.7875" bottom="0.7875" header="0.3" footer="0.3"/>
  <pageSetup r:id="rId1" paperSize="9" orientation="portrait"/>
  <headerFooter>
    <oddFooter xml:space="preserve">&amp;RStránka &amp;P z &amp;N&amp;LZpracováno programem BUILDpower S,  © RTS, a.s.</oddFooter>
  </headerFooter>
  <legacyDrawing r:id="rId2"/>
</worksheet>
</file>

<file path=xl/worksheets/sheet7.xml><?xml version="1.0" encoding="utf-8"?>
<worksheet xmlns:r="http://schemas.openxmlformats.org/officeDocument/2006/relationships" xmlns="http://schemas.openxmlformats.org/spreadsheetml/2006/main">
  <sheetPr>
    <outlinePr summaryBelow="0"/>
  </sheetPr>
  <sheetViews>
    <sheetView workbookViewId="0">
      <pane activePane="bottomLeft" state="frozen" topLeftCell="A8" ySplit="7"/>
      <selection pane="bottomLeft" activeCell="A1" sqref="A1:G1"/>
    </sheetView>
  </sheetViews>
  <sheetFormatPr defaultRowHeight="12.75" outlineLevelRow="3"/>
  <cols>
    <col min="1" max="1" width="3.542969" customWidth="1"/>
    <col min="2" max="2" width="12.69141" style="191" customWidth="1"/>
    <col min="3" max="3" width="38.40234" style="191" customWidth="1"/>
    <col min="4" max="4" width="4.972656" customWidth="1"/>
    <col min="5" max="5" width="10.69141" customWidth="1"/>
    <col min="6" max="6" width="9.972656" customWidth="1"/>
    <col min="7" max="7" width="12.83203" customWidth="1"/>
    <col min="8" max="25" hidden="1" customWidth="1"/>
    <col min="29" max="29" hidden="1" customWidth="1"/>
    <col min="31" max="41" hidden="1" customWidth="1"/>
    <col min="53" max="53" width="73.83203" customWidth="1"/>
  </cols>
  <sheetData>
    <row r="1" ht="15.75" customHeight="1">
      <c r="A1" s="192" t="s">
        <v>171</v>
      </c>
      <c r="B1" s="192"/>
      <c r="C1" s="192"/>
      <c r="D1" s="192"/>
      <c r="E1" s="192"/>
      <c r="F1" s="192"/>
      <c r="G1" s="192"/>
      <c r="AG1" t="s">
        <v>175</v>
      </c>
    </row>
    <row r="2" ht="24.95" customHeight="1">
      <c r="A2" s="193" t="s">
        <v>172</v>
      </c>
      <c r="B2" s="185" t="s">
        <v>5</v>
      </c>
      <c r="C2" s="185" t="s">
        <v>6</v>
      </c>
      <c r="D2" s="194"/>
      <c r="E2" s="194"/>
      <c r="F2" s="194"/>
      <c r="G2" s="195"/>
      <c r="AG2" t="s">
        <v>176</v>
      </c>
    </row>
    <row r="3" ht="24.95" customHeight="1">
      <c r="A3" s="193" t="s">
        <v>173</v>
      </c>
      <c r="B3" s="185" t="s">
        <v>64</v>
      </c>
      <c r="C3" s="185" t="s">
        <v>65</v>
      </c>
      <c r="D3" s="194"/>
      <c r="E3" s="194"/>
      <c r="F3" s="194"/>
      <c r="G3" s="195"/>
      <c r="AC3" s="191" t="s">
        <v>835</v>
      </c>
      <c r="AG3" t="s">
        <v>177</v>
      </c>
    </row>
    <row r="4" ht="24.95" customHeight="1">
      <c r="A4" s="196" t="s">
        <v>174</v>
      </c>
      <c r="B4" s="197" t="s">
        <v>57</v>
      </c>
      <c r="C4" s="197" t="s">
        <v>66</v>
      </c>
      <c r="D4" s="198"/>
      <c r="E4" s="198"/>
      <c r="F4" s="198"/>
      <c r="G4" s="199"/>
      <c r="AG4" t="s">
        <v>178</v>
      </c>
    </row>
    <row r="5">
      <c r="D5" s="123"/>
    </row>
    <row r="6" ht="38.25">
      <c r="A6" s="200" t="s">
        <v>179</v>
      </c>
      <c r="B6" s="201" t="s">
        <v>180</v>
      </c>
      <c r="C6" s="201" t="s">
        <v>181</v>
      </c>
      <c r="D6" s="202" t="s">
        <v>182</v>
      </c>
      <c r="E6" s="200" t="s">
        <v>183</v>
      </c>
      <c r="F6" s="203" t="s">
        <v>184</v>
      </c>
      <c r="G6" s="200" t="s">
        <v>26</v>
      </c>
      <c r="H6" s="204" t="s">
        <v>185</v>
      </c>
      <c r="I6" s="204" t="s">
        <v>186</v>
      </c>
      <c r="J6" s="204" t="s">
        <v>187</v>
      </c>
      <c r="K6" s="204" t="s">
        <v>188</v>
      </c>
      <c r="L6" s="204" t="s">
        <v>189</v>
      </c>
      <c r="M6" s="204" t="s">
        <v>190</v>
      </c>
      <c r="N6" s="204" t="s">
        <v>191</v>
      </c>
      <c r="O6" s="204" t="s">
        <v>192</v>
      </c>
      <c r="P6" s="204" t="s">
        <v>193</v>
      </c>
      <c r="Q6" s="204" t="s">
        <v>194</v>
      </c>
      <c r="R6" s="204" t="s">
        <v>195</v>
      </c>
      <c r="S6" s="204" t="s">
        <v>196</v>
      </c>
      <c r="T6" s="204" t="s">
        <v>197</v>
      </c>
      <c r="U6" s="204" t="s">
        <v>198</v>
      </c>
      <c r="V6" s="204" t="s">
        <v>199</v>
      </c>
      <c r="W6" s="204" t="s">
        <v>200</v>
      </c>
      <c r="X6" s="204" t="s">
        <v>201</v>
      </c>
      <c r="Y6" s="204" t="s">
        <v>202</v>
      </c>
    </row>
    <row r="7" hidden="1">
      <c r="A7" s="180"/>
      <c r="B7" s="188"/>
      <c r="C7" s="188"/>
      <c r="D7" s="190"/>
      <c r="E7" s="205"/>
      <c r="F7" s="206"/>
      <c r="G7" s="206"/>
      <c r="H7" s="206"/>
      <c r="I7" s="206"/>
      <c r="J7" s="206"/>
      <c r="K7" s="206"/>
      <c r="L7" s="206"/>
      <c r="M7" s="206"/>
      <c r="N7" s="205"/>
      <c r="O7" s="205"/>
      <c r="P7" s="205"/>
      <c r="Q7" s="205"/>
      <c r="R7" s="206"/>
      <c r="S7" s="206"/>
      <c r="T7" s="206"/>
      <c r="U7" s="206"/>
      <c r="V7" s="206"/>
      <c r="W7" s="206"/>
      <c r="X7" s="206"/>
      <c r="Y7" s="206"/>
    </row>
    <row r="8">
      <c r="A8" s="207" t="s">
        <v>203</v>
      </c>
      <c r="B8" s="208" t="s">
        <v>30</v>
      </c>
      <c r="C8" s="209" t="s">
        <v>31</v>
      </c>
      <c r="D8" s="210"/>
      <c r="E8" s="211"/>
      <c r="F8" s="212"/>
      <c r="G8" s="213">
        <f>SUMIF(AG9:AG17,"&lt;&gt;NOR",G9:G17)</f>
        <v>0</v>
      </c>
      <c r="H8" s="214"/>
      <c r="I8" s="214">
        <f>SUM(I9:I17)</f>
        <v>0</v>
      </c>
      <c r="J8" s="214"/>
      <c r="K8" s="214">
        <f>SUM(K9:K17)</f>
        <v>0</v>
      </c>
      <c r="L8" s="214"/>
      <c r="M8" s="214">
        <f>SUM(M9:M17)</f>
        <v>0</v>
      </c>
      <c r="N8" s="215"/>
      <c r="O8" s="215">
        <f>SUM(O9:O17)</f>
        <v>0</v>
      </c>
      <c r="P8" s="215"/>
      <c r="Q8" s="215">
        <f>SUM(Q9:Q17)</f>
        <v>0</v>
      </c>
      <c r="R8" s="214"/>
      <c r="S8" s="214"/>
      <c r="T8" s="214"/>
      <c r="U8" s="214"/>
      <c r="V8" s="214">
        <f>SUM(V9:V17)</f>
        <v>0</v>
      </c>
      <c r="W8" s="214"/>
      <c r="X8" s="214"/>
      <c r="Y8" s="214"/>
      <c r="AG8" t="s">
        <v>204</v>
      </c>
    </row>
    <row r="9" outlineLevel="1">
      <c r="A9" s="237">
        <v>1</v>
      </c>
      <c r="B9" s="238" t="s">
        <v>836</v>
      </c>
      <c r="C9" s="239" t="s">
        <v>837</v>
      </c>
      <c r="D9" s="240" t="s">
        <v>838</v>
      </c>
      <c r="E9" s="241">
        <v>1</v>
      </c>
      <c r="F9" s="242"/>
      <c r="G9" s="243">
        <f>ROUND(E9*F9,2)</f>
        <v>0</v>
      </c>
      <c r="H9" s="223"/>
      <c r="I9" s="224">
        <f>ROUND(E9*H9,2)</f>
        <v>0</v>
      </c>
      <c r="J9" s="223"/>
      <c r="K9" s="224">
        <f>ROUND(E9*J9,2)</f>
        <v>0</v>
      </c>
      <c r="L9" s="224">
        <v>21</v>
      </c>
      <c r="M9" s="224">
        <f>G9*(1+L9/100)</f>
        <v>0</v>
      </c>
      <c r="N9" s="225">
        <v>0</v>
      </c>
      <c r="O9" s="225">
        <f>ROUND(E9*N9,2)</f>
        <v>0</v>
      </c>
      <c r="P9" s="225">
        <v>0</v>
      </c>
      <c r="Q9" s="225">
        <f>ROUND(E9*P9,2)</f>
        <v>0</v>
      </c>
      <c r="R9" s="224"/>
      <c r="S9" s="224" t="s">
        <v>395</v>
      </c>
      <c r="T9" s="224" t="s">
        <v>209</v>
      </c>
      <c r="U9" s="224">
        <v>0</v>
      </c>
      <c r="V9" s="224">
        <f>ROUND(E9*U9,2)</f>
        <v>0</v>
      </c>
      <c r="W9" s="224"/>
      <c r="X9" s="224" t="s">
        <v>66</v>
      </c>
      <c r="Y9" s="224" t="s">
        <v>211</v>
      </c>
      <c r="Z9" s="226"/>
      <c r="AA9" s="226"/>
      <c r="AB9" s="226"/>
      <c r="AC9" s="226"/>
      <c r="AD9" s="226"/>
      <c r="AE9" s="226"/>
      <c r="AF9" s="226"/>
      <c r="AG9" s="226" t="s">
        <v>839</v>
      </c>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row>
    <row r="10" outlineLevel="1">
      <c r="A10" s="216">
        <v>2</v>
      </c>
      <c r="B10" s="217" t="s">
        <v>840</v>
      </c>
      <c r="C10" s="218" t="s">
        <v>841</v>
      </c>
      <c r="D10" s="219" t="s">
        <v>842</v>
      </c>
      <c r="E10" s="220">
        <v>4</v>
      </c>
      <c r="F10" s="221"/>
      <c r="G10" s="222">
        <f>ROUND(E10*F10,2)</f>
        <v>0</v>
      </c>
      <c r="H10" s="223"/>
      <c r="I10" s="224">
        <f>ROUND(E10*H10,2)</f>
        <v>0</v>
      </c>
      <c r="J10" s="223"/>
      <c r="K10" s="224">
        <f>ROUND(E10*J10,2)</f>
        <v>0</v>
      </c>
      <c r="L10" s="224">
        <v>21</v>
      </c>
      <c r="M10" s="224">
        <f>G10*(1+L10/100)</f>
        <v>0</v>
      </c>
      <c r="N10" s="225">
        <v>0</v>
      </c>
      <c r="O10" s="225">
        <f>ROUND(E10*N10,2)</f>
        <v>0</v>
      </c>
      <c r="P10" s="225">
        <v>0</v>
      </c>
      <c r="Q10" s="225">
        <f>ROUND(E10*P10,2)</f>
        <v>0</v>
      </c>
      <c r="R10" s="224"/>
      <c r="S10" s="224" t="s">
        <v>395</v>
      </c>
      <c r="T10" s="224" t="s">
        <v>209</v>
      </c>
      <c r="U10" s="224">
        <v>0</v>
      </c>
      <c r="V10" s="224">
        <f>ROUND(E10*U10,2)</f>
        <v>0</v>
      </c>
      <c r="W10" s="224"/>
      <c r="X10" s="224" t="s">
        <v>66</v>
      </c>
      <c r="Y10" s="224" t="s">
        <v>211</v>
      </c>
      <c r="Z10" s="226"/>
      <c r="AA10" s="226"/>
      <c r="AB10" s="226"/>
      <c r="AC10" s="226"/>
      <c r="AD10" s="226"/>
      <c r="AE10" s="226"/>
      <c r="AF10" s="226"/>
      <c r="AG10" s="226" t="s">
        <v>843</v>
      </c>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row>
    <row r="11" outlineLevel="2">
      <c r="A11" s="227"/>
      <c r="B11" s="228"/>
      <c r="C11" s="229" t="s">
        <v>844</v>
      </c>
      <c r="D11" s="230"/>
      <c r="E11" s="230"/>
      <c r="F11" s="230"/>
      <c r="G11" s="230"/>
      <c r="H11" s="224"/>
      <c r="I11" s="224"/>
      <c r="J11" s="224"/>
      <c r="K11" s="224"/>
      <c r="L11" s="224"/>
      <c r="M11" s="224"/>
      <c r="N11" s="225"/>
      <c r="O11" s="225"/>
      <c r="P11" s="225"/>
      <c r="Q11" s="225"/>
      <c r="R11" s="224"/>
      <c r="S11" s="224"/>
      <c r="T11" s="224"/>
      <c r="U11" s="224"/>
      <c r="V11" s="224"/>
      <c r="W11" s="224"/>
      <c r="X11" s="224"/>
      <c r="Y11" s="224"/>
      <c r="Z11" s="226"/>
      <c r="AA11" s="226"/>
      <c r="AB11" s="226"/>
      <c r="AC11" s="226"/>
      <c r="AD11" s="226"/>
      <c r="AE11" s="226"/>
      <c r="AF11" s="226"/>
      <c r="AG11" s="226" t="s">
        <v>214</v>
      </c>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row>
    <row r="12" outlineLevel="3" ht="22.5">
      <c r="A12" s="227"/>
      <c r="B12" s="228"/>
      <c r="C12" s="231" t="s">
        <v>845</v>
      </c>
      <c r="D12" s="232"/>
      <c r="E12" s="232"/>
      <c r="F12" s="232"/>
      <c r="G12" s="232"/>
      <c r="H12" s="224"/>
      <c r="I12" s="224"/>
      <c r="J12" s="224"/>
      <c r="K12" s="224"/>
      <c r="L12" s="224"/>
      <c r="M12" s="224"/>
      <c r="N12" s="225"/>
      <c r="O12" s="225"/>
      <c r="P12" s="225"/>
      <c r="Q12" s="225"/>
      <c r="R12" s="224"/>
      <c r="S12" s="224"/>
      <c r="T12" s="224"/>
      <c r="U12" s="224"/>
      <c r="V12" s="224"/>
      <c r="W12" s="224"/>
      <c r="X12" s="224"/>
      <c r="Y12" s="224"/>
      <c r="Z12" s="226"/>
      <c r="AA12" s="226"/>
      <c r="AB12" s="226"/>
      <c r="AC12" s="226"/>
      <c r="AD12" s="226"/>
      <c r="AE12" s="226"/>
      <c r="AF12" s="226"/>
      <c r="AG12" s="226" t="s">
        <v>214</v>
      </c>
      <c r="AH12" s="226"/>
      <c r="AI12" s="226"/>
      <c r="AJ12" s="226"/>
      <c r="AK12" s="226"/>
      <c r="AL12" s="226"/>
      <c r="AM12" s="226"/>
      <c r="AN12" s="226"/>
      <c r="AO12" s="226"/>
      <c r="AP12" s="226"/>
      <c r="AQ12" s="226"/>
      <c r="AR12" s="226"/>
      <c r="AS12" s="226"/>
      <c r="AT12" s="226"/>
      <c r="AU12" s="226"/>
      <c r="AV12" s="226"/>
      <c r="AW12" s="226"/>
      <c r="AX12" s="226"/>
      <c r="AY12" s="226"/>
      <c r="AZ12" s="226"/>
      <c r="BA12" s="236" t="str">
        <f>C12</f>
        <v>Zřízení a provoz staveništních elektrorozvodů vč.podružného měření s dodatečným vyúčtováním bude sjednáno s nájemcem areálů</v>
      </c>
      <c r="BB12" s="226"/>
      <c r="BC12" s="226"/>
      <c r="BD12" s="226"/>
      <c r="BE12" s="226"/>
      <c r="BF12" s="226"/>
      <c r="BG12" s="226"/>
      <c r="BH12" s="226"/>
    </row>
    <row r="13" outlineLevel="3">
      <c r="A13" s="227"/>
      <c r="B13" s="228"/>
      <c r="C13" s="231" t="s">
        <v>846</v>
      </c>
      <c r="D13" s="232"/>
      <c r="E13" s="232"/>
      <c r="F13" s="232"/>
      <c r="G13" s="232"/>
      <c r="H13" s="224"/>
      <c r="I13" s="224"/>
      <c r="J13" s="224"/>
      <c r="K13" s="224"/>
      <c r="L13" s="224"/>
      <c r="M13" s="224"/>
      <c r="N13" s="225"/>
      <c r="O13" s="225"/>
      <c r="P13" s="225"/>
      <c r="Q13" s="225"/>
      <c r="R13" s="224"/>
      <c r="S13" s="224"/>
      <c r="T13" s="224"/>
      <c r="U13" s="224"/>
      <c r="V13" s="224"/>
      <c r="W13" s="224"/>
      <c r="X13" s="224"/>
      <c r="Y13" s="224"/>
      <c r="Z13" s="226"/>
      <c r="AA13" s="226"/>
      <c r="AB13" s="226"/>
      <c r="AC13" s="226"/>
      <c r="AD13" s="226"/>
      <c r="AE13" s="226"/>
      <c r="AF13" s="226"/>
      <c r="AG13" s="226" t="s">
        <v>214</v>
      </c>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row>
    <row r="14" outlineLevel="1">
      <c r="A14" s="216">
        <v>3</v>
      </c>
      <c r="B14" s="217" t="s">
        <v>847</v>
      </c>
      <c r="C14" s="218" t="s">
        <v>848</v>
      </c>
      <c r="D14" s="219" t="s">
        <v>838</v>
      </c>
      <c r="E14" s="220">
        <v>1</v>
      </c>
      <c r="F14" s="221"/>
      <c r="G14" s="222">
        <f>ROUND(E14*F14,2)</f>
        <v>0</v>
      </c>
      <c r="H14" s="223"/>
      <c r="I14" s="224">
        <f>ROUND(E14*H14,2)</f>
        <v>0</v>
      </c>
      <c r="J14" s="223"/>
      <c r="K14" s="224">
        <f>ROUND(E14*J14,2)</f>
        <v>0</v>
      </c>
      <c r="L14" s="224">
        <v>21</v>
      </c>
      <c r="M14" s="224">
        <f>G14*(1+L14/100)</f>
        <v>0</v>
      </c>
      <c r="N14" s="225">
        <v>0</v>
      </c>
      <c r="O14" s="225">
        <f>ROUND(E14*N14,2)</f>
        <v>0</v>
      </c>
      <c r="P14" s="225">
        <v>0</v>
      </c>
      <c r="Q14" s="225">
        <f>ROUND(E14*P14,2)</f>
        <v>0</v>
      </c>
      <c r="R14" s="224"/>
      <c r="S14" s="224" t="s">
        <v>395</v>
      </c>
      <c r="T14" s="224" t="s">
        <v>209</v>
      </c>
      <c r="U14" s="224">
        <v>0</v>
      </c>
      <c r="V14" s="224">
        <f>ROUND(E14*U14,2)</f>
        <v>0</v>
      </c>
      <c r="W14" s="224"/>
      <c r="X14" s="224" t="s">
        <v>66</v>
      </c>
      <c r="Y14" s="224" t="s">
        <v>211</v>
      </c>
      <c r="Z14" s="226"/>
      <c r="AA14" s="226"/>
      <c r="AB14" s="226"/>
      <c r="AC14" s="226"/>
      <c r="AD14" s="226"/>
      <c r="AE14" s="226"/>
      <c r="AF14" s="226"/>
      <c r="AG14" s="226" t="s">
        <v>843</v>
      </c>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row>
    <row r="15" outlineLevel="2">
      <c r="A15" s="227"/>
      <c r="B15" s="228"/>
      <c r="C15" s="229" t="s">
        <v>844</v>
      </c>
      <c r="D15" s="230"/>
      <c r="E15" s="230"/>
      <c r="F15" s="230"/>
      <c r="G15" s="230"/>
      <c r="H15" s="224"/>
      <c r="I15" s="224"/>
      <c r="J15" s="224"/>
      <c r="K15" s="224"/>
      <c r="L15" s="224"/>
      <c r="M15" s="224"/>
      <c r="N15" s="225"/>
      <c r="O15" s="225"/>
      <c r="P15" s="225"/>
      <c r="Q15" s="225"/>
      <c r="R15" s="224"/>
      <c r="S15" s="224"/>
      <c r="T15" s="224"/>
      <c r="U15" s="224"/>
      <c r="V15" s="224"/>
      <c r="W15" s="224"/>
      <c r="X15" s="224"/>
      <c r="Y15" s="224"/>
      <c r="Z15" s="226"/>
      <c r="AA15" s="226"/>
      <c r="AB15" s="226"/>
      <c r="AC15" s="226"/>
      <c r="AD15" s="226"/>
      <c r="AE15" s="226"/>
      <c r="AF15" s="226"/>
      <c r="AG15" s="226" t="s">
        <v>214</v>
      </c>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row>
    <row r="16" outlineLevel="3" ht="22.5">
      <c r="A16" s="227"/>
      <c r="B16" s="228"/>
      <c r="C16" s="231" t="s">
        <v>845</v>
      </c>
      <c r="D16" s="232"/>
      <c r="E16" s="232"/>
      <c r="F16" s="232"/>
      <c r="G16" s="232"/>
      <c r="H16" s="224"/>
      <c r="I16" s="224"/>
      <c r="J16" s="224"/>
      <c r="K16" s="224"/>
      <c r="L16" s="224"/>
      <c r="M16" s="224"/>
      <c r="N16" s="225"/>
      <c r="O16" s="225"/>
      <c r="P16" s="225"/>
      <c r="Q16" s="225"/>
      <c r="R16" s="224"/>
      <c r="S16" s="224"/>
      <c r="T16" s="224"/>
      <c r="U16" s="224"/>
      <c r="V16" s="224"/>
      <c r="W16" s="224"/>
      <c r="X16" s="224"/>
      <c r="Y16" s="224"/>
      <c r="Z16" s="226"/>
      <c r="AA16" s="226"/>
      <c r="AB16" s="226"/>
      <c r="AC16" s="226"/>
      <c r="AD16" s="226"/>
      <c r="AE16" s="226"/>
      <c r="AF16" s="226"/>
      <c r="AG16" s="226" t="s">
        <v>214</v>
      </c>
      <c r="AH16" s="226"/>
      <c r="AI16" s="226"/>
      <c r="AJ16" s="226"/>
      <c r="AK16" s="226"/>
      <c r="AL16" s="226"/>
      <c r="AM16" s="226"/>
      <c r="AN16" s="226"/>
      <c r="AO16" s="226"/>
      <c r="AP16" s="226"/>
      <c r="AQ16" s="226"/>
      <c r="AR16" s="226"/>
      <c r="AS16" s="226"/>
      <c r="AT16" s="226"/>
      <c r="AU16" s="226"/>
      <c r="AV16" s="226"/>
      <c r="AW16" s="226"/>
      <c r="AX16" s="226"/>
      <c r="AY16" s="226"/>
      <c r="AZ16" s="226"/>
      <c r="BA16" s="236" t="str">
        <f>C16</f>
        <v>Zřízení a provoz staveništních elektrorozvodů vč.podružného měření s dodatečným vyúčtováním bude sjednáno s nájemcem areálů</v>
      </c>
      <c r="BB16" s="226"/>
      <c r="BC16" s="226"/>
      <c r="BD16" s="226"/>
      <c r="BE16" s="226"/>
      <c r="BF16" s="226"/>
      <c r="BG16" s="226"/>
      <c r="BH16" s="226"/>
    </row>
    <row r="17" outlineLevel="3">
      <c r="A17" s="227"/>
      <c r="B17" s="228"/>
      <c r="C17" s="231" t="s">
        <v>846</v>
      </c>
      <c r="D17" s="232"/>
      <c r="E17" s="232"/>
      <c r="F17" s="232"/>
      <c r="G17" s="232"/>
      <c r="H17" s="224"/>
      <c r="I17" s="224"/>
      <c r="J17" s="224"/>
      <c r="K17" s="224"/>
      <c r="L17" s="224"/>
      <c r="M17" s="224"/>
      <c r="N17" s="225"/>
      <c r="O17" s="225"/>
      <c r="P17" s="225"/>
      <c r="Q17" s="225"/>
      <c r="R17" s="224"/>
      <c r="S17" s="224"/>
      <c r="T17" s="224"/>
      <c r="U17" s="224"/>
      <c r="V17" s="224"/>
      <c r="W17" s="224"/>
      <c r="X17" s="224"/>
      <c r="Y17" s="224"/>
      <c r="Z17" s="226"/>
      <c r="AA17" s="226"/>
      <c r="AB17" s="226"/>
      <c r="AC17" s="226"/>
      <c r="AD17" s="226"/>
      <c r="AE17" s="226"/>
      <c r="AF17" s="226"/>
      <c r="AG17" s="226" t="s">
        <v>214</v>
      </c>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row>
    <row r="18">
      <c r="A18" s="207" t="s">
        <v>203</v>
      </c>
      <c r="B18" s="208" t="s">
        <v>32</v>
      </c>
      <c r="C18" s="209" t="s">
        <v>33</v>
      </c>
      <c r="D18" s="210"/>
      <c r="E18" s="211"/>
      <c r="F18" s="212"/>
      <c r="G18" s="213">
        <f>SUMIF(AG19:AG34,"&lt;&gt;NOR",G19:G34)</f>
        <v>0</v>
      </c>
      <c r="H18" s="214"/>
      <c r="I18" s="214">
        <f>SUM(I19:I34)</f>
        <v>0</v>
      </c>
      <c r="J18" s="214"/>
      <c r="K18" s="214">
        <f>SUM(K19:K34)</f>
        <v>0</v>
      </c>
      <c r="L18" s="214"/>
      <c r="M18" s="214">
        <f>SUM(M19:M34)</f>
        <v>0</v>
      </c>
      <c r="N18" s="215"/>
      <c r="O18" s="215">
        <f>SUM(O19:O34)</f>
        <v>0</v>
      </c>
      <c r="P18" s="215"/>
      <c r="Q18" s="215">
        <f>SUM(Q19:Q34)</f>
        <v>0</v>
      </c>
      <c r="R18" s="214"/>
      <c r="S18" s="214"/>
      <c r="T18" s="214"/>
      <c r="U18" s="214"/>
      <c r="V18" s="214">
        <f>SUM(V19:V34)</f>
        <v>0</v>
      </c>
      <c r="W18" s="214"/>
      <c r="X18" s="214"/>
      <c r="Y18" s="214"/>
      <c r="AG18" t="s">
        <v>204</v>
      </c>
    </row>
    <row r="19" outlineLevel="1">
      <c r="A19" s="216">
        <v>4</v>
      </c>
      <c r="B19" s="217" t="s">
        <v>849</v>
      </c>
      <c r="C19" s="218" t="s">
        <v>850</v>
      </c>
      <c r="D19" s="219" t="s">
        <v>838</v>
      </c>
      <c r="E19" s="220">
        <v>1</v>
      </c>
      <c r="F19" s="221"/>
      <c r="G19" s="222">
        <f>ROUND(E19*F19,2)</f>
        <v>0</v>
      </c>
      <c r="H19" s="223"/>
      <c r="I19" s="224">
        <f>ROUND(E19*H19,2)</f>
        <v>0</v>
      </c>
      <c r="J19" s="223"/>
      <c r="K19" s="224">
        <f>ROUND(E19*J19,2)</f>
        <v>0</v>
      </c>
      <c r="L19" s="224">
        <v>21</v>
      </c>
      <c r="M19" s="224">
        <f>G19*(1+L19/100)</f>
        <v>0</v>
      </c>
      <c r="N19" s="225">
        <v>0</v>
      </c>
      <c r="O19" s="225">
        <f>ROUND(E19*N19,2)</f>
        <v>0</v>
      </c>
      <c r="P19" s="225">
        <v>0</v>
      </c>
      <c r="Q19" s="225">
        <f>ROUND(E19*P19,2)</f>
        <v>0</v>
      </c>
      <c r="R19" s="224"/>
      <c r="S19" s="224" t="s">
        <v>395</v>
      </c>
      <c r="T19" s="224" t="s">
        <v>209</v>
      </c>
      <c r="U19" s="224">
        <v>0</v>
      </c>
      <c r="V19" s="224">
        <f>ROUND(E19*U19,2)</f>
        <v>0</v>
      </c>
      <c r="W19" s="224"/>
      <c r="X19" s="224" t="s">
        <v>66</v>
      </c>
      <c r="Y19" s="224" t="s">
        <v>211</v>
      </c>
      <c r="Z19" s="226"/>
      <c r="AA19" s="226"/>
      <c r="AB19" s="226"/>
      <c r="AC19" s="226"/>
      <c r="AD19" s="226"/>
      <c r="AE19" s="226"/>
      <c r="AF19" s="226"/>
      <c r="AG19" s="226" t="s">
        <v>843</v>
      </c>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row>
    <row r="20" outlineLevel="2" ht="33.75">
      <c r="A20" s="227"/>
      <c r="B20" s="228"/>
      <c r="C20" s="229" t="s">
        <v>851</v>
      </c>
      <c r="D20" s="230"/>
      <c r="E20" s="230"/>
      <c r="F20" s="230"/>
      <c r="G20" s="230"/>
      <c r="H20" s="224"/>
      <c r="I20" s="224"/>
      <c r="J20" s="224"/>
      <c r="K20" s="224"/>
      <c r="L20" s="224"/>
      <c r="M20" s="224"/>
      <c r="N20" s="225"/>
      <c r="O20" s="225"/>
      <c r="P20" s="225"/>
      <c r="Q20" s="225"/>
      <c r="R20" s="224"/>
      <c r="S20" s="224"/>
      <c r="T20" s="224"/>
      <c r="U20" s="224"/>
      <c r="V20" s="224"/>
      <c r="W20" s="224"/>
      <c r="X20" s="224"/>
      <c r="Y20" s="224"/>
      <c r="Z20" s="226"/>
      <c r="AA20" s="226"/>
      <c r="AB20" s="226"/>
      <c r="AC20" s="226"/>
      <c r="AD20" s="226"/>
      <c r="AE20" s="226"/>
      <c r="AF20" s="226"/>
      <c r="AG20" s="226" t="s">
        <v>214</v>
      </c>
      <c r="AH20" s="226"/>
      <c r="AI20" s="226"/>
      <c r="AJ20" s="226"/>
      <c r="AK20" s="226"/>
      <c r="AL20" s="226"/>
      <c r="AM20" s="226"/>
      <c r="AN20" s="226"/>
      <c r="AO20" s="226"/>
      <c r="AP20" s="226"/>
      <c r="AQ20" s="226"/>
      <c r="AR20" s="226"/>
      <c r="AS20" s="226"/>
      <c r="AT20" s="226"/>
      <c r="AU20" s="226"/>
      <c r="AV20" s="226"/>
      <c r="AW20" s="226"/>
      <c r="AX20" s="226"/>
      <c r="AY20" s="226"/>
      <c r="AZ20" s="226"/>
      <c r="BA20" s="236" t="str">
        <f>C20</f>
        <v>Náklady na přezkoumání podkladů objednatele o stavu inženýrských sítí probíhajících staveništěm nebo dotčenými stavbou i mimo území staveniště, kontrola vytýčení jejich skutečné trasy a provedení ochranných opatření pro zabezpečení stávajících inženýrských sítí.</v>
      </c>
      <c r="BB20" s="226"/>
      <c r="BC20" s="226"/>
      <c r="BD20" s="226"/>
      <c r="BE20" s="226"/>
      <c r="BF20" s="226"/>
      <c r="BG20" s="226"/>
      <c r="BH20" s="226"/>
    </row>
    <row r="21" outlineLevel="1">
      <c r="A21" s="216">
        <v>5</v>
      </c>
      <c r="B21" s="217" t="s">
        <v>852</v>
      </c>
      <c r="C21" s="218" t="s">
        <v>853</v>
      </c>
      <c r="D21" s="219" t="s">
        <v>838</v>
      </c>
      <c r="E21" s="220">
        <v>1</v>
      </c>
      <c r="F21" s="221"/>
      <c r="G21" s="222">
        <f>ROUND(E21*F21,2)</f>
        <v>0</v>
      </c>
      <c r="H21" s="223"/>
      <c r="I21" s="224">
        <f>ROUND(E21*H21,2)</f>
        <v>0</v>
      </c>
      <c r="J21" s="223"/>
      <c r="K21" s="224">
        <f>ROUND(E21*J21,2)</f>
        <v>0</v>
      </c>
      <c r="L21" s="224">
        <v>21</v>
      </c>
      <c r="M21" s="224">
        <f>G21*(1+L21/100)</f>
        <v>0</v>
      </c>
      <c r="N21" s="225">
        <v>0</v>
      </c>
      <c r="O21" s="225">
        <f>ROUND(E21*N21,2)</f>
        <v>0</v>
      </c>
      <c r="P21" s="225">
        <v>0</v>
      </c>
      <c r="Q21" s="225">
        <f>ROUND(E21*P21,2)</f>
        <v>0</v>
      </c>
      <c r="R21" s="224"/>
      <c r="S21" s="224" t="s">
        <v>395</v>
      </c>
      <c r="T21" s="224" t="s">
        <v>209</v>
      </c>
      <c r="U21" s="224">
        <v>0</v>
      </c>
      <c r="V21" s="224">
        <f>ROUND(E21*U21,2)</f>
        <v>0</v>
      </c>
      <c r="W21" s="224"/>
      <c r="X21" s="224" t="s">
        <v>66</v>
      </c>
      <c r="Y21" s="224" t="s">
        <v>211</v>
      </c>
      <c r="Z21" s="226"/>
      <c r="AA21" s="226"/>
      <c r="AB21" s="226"/>
      <c r="AC21" s="226"/>
      <c r="AD21" s="226"/>
      <c r="AE21" s="226"/>
      <c r="AF21" s="226"/>
      <c r="AG21" s="226" t="s">
        <v>843</v>
      </c>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row>
    <row r="22" outlineLevel="2" ht="33.75">
      <c r="A22" s="227"/>
      <c r="B22" s="228"/>
      <c r="C22" s="229" t="s">
        <v>854</v>
      </c>
      <c r="D22" s="230"/>
      <c r="E22" s="230"/>
      <c r="F22" s="230"/>
      <c r="G22" s="230"/>
      <c r="H22" s="224"/>
      <c r="I22" s="224"/>
      <c r="J22" s="224"/>
      <c r="K22" s="224"/>
      <c r="L22" s="224"/>
      <c r="M22" s="224"/>
      <c r="N22" s="225"/>
      <c r="O22" s="225"/>
      <c r="P22" s="225"/>
      <c r="Q22" s="225"/>
      <c r="R22" s="224"/>
      <c r="S22" s="224"/>
      <c r="T22" s="224"/>
      <c r="U22" s="224"/>
      <c r="V22" s="224"/>
      <c r="W22" s="224"/>
      <c r="X22" s="224"/>
      <c r="Y22" s="224"/>
      <c r="Z22" s="226"/>
      <c r="AA22" s="226"/>
      <c r="AB22" s="226"/>
      <c r="AC22" s="226"/>
      <c r="AD22" s="226"/>
      <c r="AE22" s="226"/>
      <c r="AF22" s="226"/>
      <c r="AG22" s="226" t="s">
        <v>214</v>
      </c>
      <c r="AH22" s="226"/>
      <c r="AI22" s="226"/>
      <c r="AJ22" s="226"/>
      <c r="AK22" s="226"/>
      <c r="AL22" s="226"/>
      <c r="AM22" s="226"/>
      <c r="AN22" s="226"/>
      <c r="AO22" s="226"/>
      <c r="AP22" s="226"/>
      <c r="AQ22" s="226"/>
      <c r="AR22" s="226"/>
      <c r="AS22" s="226"/>
      <c r="AT22" s="226"/>
      <c r="AU22" s="226"/>
      <c r="AV22" s="226"/>
      <c r="AW22" s="226"/>
      <c r="AX22" s="226"/>
      <c r="AY22" s="226"/>
      <c r="AZ22" s="226"/>
      <c r="BA22" s="236" t="str">
        <f>C22</f>
        <v>Náklady na vyhotovení návrhu dočasného dopravního značení, jeho projednání s dotčenými orgány a organizacemi, dodání dopravních značek a světelné signalizace, jejich rozmístění a přemísťování a jejich údržba v průběhu výstavby včetně následného odstranění po ukončení stavebních prací.</v>
      </c>
      <c r="BB22" s="226"/>
      <c r="BC22" s="226"/>
      <c r="BD22" s="226"/>
      <c r="BE22" s="226"/>
      <c r="BF22" s="226"/>
      <c r="BG22" s="226"/>
      <c r="BH22" s="226"/>
    </row>
    <row r="23" outlineLevel="1">
      <c r="A23" s="216">
        <v>6</v>
      </c>
      <c r="B23" s="217" t="s">
        <v>855</v>
      </c>
      <c r="C23" s="218" t="s">
        <v>856</v>
      </c>
      <c r="D23" s="219" t="s">
        <v>838</v>
      </c>
      <c r="E23" s="220">
        <v>1</v>
      </c>
      <c r="F23" s="221"/>
      <c r="G23" s="222">
        <f>ROUND(E23*F23,2)</f>
        <v>0</v>
      </c>
      <c r="H23" s="223"/>
      <c r="I23" s="224">
        <f>ROUND(E23*H23,2)</f>
        <v>0</v>
      </c>
      <c r="J23" s="223"/>
      <c r="K23" s="224">
        <f>ROUND(E23*J23,2)</f>
        <v>0</v>
      </c>
      <c r="L23" s="224">
        <v>21</v>
      </c>
      <c r="M23" s="224">
        <f>G23*(1+L23/100)</f>
        <v>0</v>
      </c>
      <c r="N23" s="225">
        <v>0</v>
      </c>
      <c r="O23" s="225">
        <f>ROUND(E23*N23,2)</f>
        <v>0</v>
      </c>
      <c r="P23" s="225">
        <v>0</v>
      </c>
      <c r="Q23" s="225">
        <f>ROUND(E23*P23,2)</f>
        <v>0</v>
      </c>
      <c r="R23" s="224"/>
      <c r="S23" s="224" t="s">
        <v>395</v>
      </c>
      <c r="T23" s="224" t="s">
        <v>209</v>
      </c>
      <c r="U23" s="224">
        <v>0</v>
      </c>
      <c r="V23" s="224">
        <f>ROUND(E23*U23,2)</f>
        <v>0</v>
      </c>
      <c r="W23" s="224"/>
      <c r="X23" s="224" t="s">
        <v>66</v>
      </c>
      <c r="Y23" s="224" t="s">
        <v>211</v>
      </c>
      <c r="Z23" s="226"/>
      <c r="AA23" s="226"/>
      <c r="AB23" s="226"/>
      <c r="AC23" s="226"/>
      <c r="AD23" s="226"/>
      <c r="AE23" s="226"/>
      <c r="AF23" s="226"/>
      <c r="AG23" s="226" t="s">
        <v>857</v>
      </c>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row>
    <row r="24" outlineLevel="2" ht="22.5">
      <c r="A24" s="227"/>
      <c r="B24" s="228"/>
      <c r="C24" s="229" t="s">
        <v>858</v>
      </c>
      <c r="D24" s="230"/>
      <c r="E24" s="230"/>
      <c r="F24" s="230"/>
      <c r="G24" s="230"/>
      <c r="H24" s="224"/>
      <c r="I24" s="224"/>
      <c r="J24" s="224"/>
      <c r="K24" s="224"/>
      <c r="L24" s="224"/>
      <c r="M24" s="224"/>
      <c r="N24" s="225"/>
      <c r="O24" s="225"/>
      <c r="P24" s="225"/>
      <c r="Q24" s="225"/>
      <c r="R24" s="224"/>
      <c r="S24" s="224"/>
      <c r="T24" s="224"/>
      <c r="U24" s="224"/>
      <c r="V24" s="224"/>
      <c r="W24" s="224"/>
      <c r="X24" s="224"/>
      <c r="Y24" s="224"/>
      <c r="Z24" s="226"/>
      <c r="AA24" s="226"/>
      <c r="AB24" s="226"/>
      <c r="AC24" s="226"/>
      <c r="AD24" s="226"/>
      <c r="AE24" s="226"/>
      <c r="AF24" s="226"/>
      <c r="AG24" s="226" t="s">
        <v>214</v>
      </c>
      <c r="AH24" s="226"/>
      <c r="AI24" s="226"/>
      <c r="AJ24" s="226"/>
      <c r="AK24" s="226"/>
      <c r="AL24" s="226"/>
      <c r="AM24" s="226"/>
      <c r="AN24" s="226"/>
      <c r="AO24" s="226"/>
      <c r="AP24" s="226"/>
      <c r="AQ24" s="226"/>
      <c r="AR24" s="226"/>
      <c r="AS24" s="226"/>
      <c r="AT24" s="226"/>
      <c r="AU24" s="226"/>
      <c r="AV24" s="226"/>
      <c r="AW24" s="226"/>
      <c r="AX24" s="226"/>
      <c r="AY24" s="226"/>
      <c r="AZ24" s="226"/>
      <c r="BA24" s="236" t="str">
        <f>C24</f>
        <v>Náklady na vyhotovení dokumentace skutečného provedení stavby a její předání objednateli v požadované formě a požadovaném počtu.</v>
      </c>
      <c r="BB24" s="226"/>
      <c r="BC24" s="226"/>
      <c r="BD24" s="226"/>
      <c r="BE24" s="226"/>
      <c r="BF24" s="226"/>
      <c r="BG24" s="226"/>
      <c r="BH24" s="226"/>
    </row>
    <row r="25" outlineLevel="1">
      <c r="A25" s="216">
        <v>7</v>
      </c>
      <c r="B25" s="217" t="s">
        <v>859</v>
      </c>
      <c r="C25" s="218" t="s">
        <v>860</v>
      </c>
      <c r="D25" s="219" t="s">
        <v>838</v>
      </c>
      <c r="E25" s="220">
        <v>1</v>
      </c>
      <c r="F25" s="221"/>
      <c r="G25" s="222">
        <f>ROUND(E25*F25,2)</f>
        <v>0</v>
      </c>
      <c r="H25" s="223"/>
      <c r="I25" s="224">
        <f>ROUND(E25*H25,2)</f>
        <v>0</v>
      </c>
      <c r="J25" s="223"/>
      <c r="K25" s="224">
        <f>ROUND(E25*J25,2)</f>
        <v>0</v>
      </c>
      <c r="L25" s="224">
        <v>21</v>
      </c>
      <c r="M25" s="224">
        <f>G25*(1+L25/100)</f>
        <v>0</v>
      </c>
      <c r="N25" s="225">
        <v>0</v>
      </c>
      <c r="O25" s="225">
        <f>ROUND(E25*N25,2)</f>
        <v>0</v>
      </c>
      <c r="P25" s="225">
        <v>0</v>
      </c>
      <c r="Q25" s="225">
        <f>ROUND(E25*P25,2)</f>
        <v>0</v>
      </c>
      <c r="R25" s="224"/>
      <c r="S25" s="224" t="s">
        <v>395</v>
      </c>
      <c r="T25" s="224" t="s">
        <v>209</v>
      </c>
      <c r="U25" s="224">
        <v>0</v>
      </c>
      <c r="V25" s="224">
        <f>ROUND(E25*U25,2)</f>
        <v>0</v>
      </c>
      <c r="W25" s="224"/>
      <c r="X25" s="224" t="s">
        <v>66</v>
      </c>
      <c r="Y25" s="224" t="s">
        <v>211</v>
      </c>
      <c r="Z25" s="226"/>
      <c r="AA25" s="226"/>
      <c r="AB25" s="226"/>
      <c r="AC25" s="226"/>
      <c r="AD25" s="226"/>
      <c r="AE25" s="226"/>
      <c r="AF25" s="226"/>
      <c r="AG25" s="226" t="s">
        <v>843</v>
      </c>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row>
    <row r="26" outlineLevel="2" ht="22.5">
      <c r="A26" s="227"/>
      <c r="B26" s="228"/>
      <c r="C26" s="229" t="s">
        <v>861</v>
      </c>
      <c r="D26" s="230"/>
      <c r="E26" s="230"/>
      <c r="F26" s="230"/>
      <c r="G26" s="230"/>
      <c r="H26" s="224"/>
      <c r="I26" s="224"/>
      <c r="J26" s="224"/>
      <c r="K26" s="224"/>
      <c r="L26" s="224"/>
      <c r="M26" s="224"/>
      <c r="N26" s="225"/>
      <c r="O26" s="225"/>
      <c r="P26" s="225"/>
      <c r="Q26" s="225"/>
      <c r="R26" s="224"/>
      <c r="S26" s="224"/>
      <c r="T26" s="224"/>
      <c r="U26" s="224"/>
      <c r="V26" s="224"/>
      <c r="W26" s="224"/>
      <c r="X26" s="224"/>
      <c r="Y26" s="224"/>
      <c r="Z26" s="226"/>
      <c r="AA26" s="226"/>
      <c r="AB26" s="226"/>
      <c r="AC26" s="226"/>
      <c r="AD26" s="226"/>
      <c r="AE26" s="226"/>
      <c r="AF26" s="226"/>
      <c r="AG26" s="226" t="s">
        <v>214</v>
      </c>
      <c r="AH26" s="226"/>
      <c r="AI26" s="226"/>
      <c r="AJ26" s="226"/>
      <c r="AK26" s="226"/>
      <c r="AL26" s="226"/>
      <c r="AM26" s="226"/>
      <c r="AN26" s="226"/>
      <c r="AO26" s="226"/>
      <c r="AP26" s="226"/>
      <c r="AQ26" s="226"/>
      <c r="AR26" s="226"/>
      <c r="AS26" s="226"/>
      <c r="AT26" s="226"/>
      <c r="AU26" s="226"/>
      <c r="AV26" s="226"/>
      <c r="AW26" s="226"/>
      <c r="AX26" s="226"/>
      <c r="AY26" s="226"/>
      <c r="AZ26" s="226"/>
      <c r="BA26" s="236" t="str">
        <f>C26</f>
        <v>Náklady na provedení skutečného zaměření stavby v rozsahu nezbytném pro zápis změny do katastru nemovitostí.</v>
      </c>
      <c r="BB26" s="226"/>
      <c r="BC26" s="226"/>
      <c r="BD26" s="226"/>
      <c r="BE26" s="226"/>
      <c r="BF26" s="226"/>
      <c r="BG26" s="226"/>
      <c r="BH26" s="226"/>
    </row>
    <row r="27" outlineLevel="3" ht="45">
      <c r="A27" s="227"/>
      <c r="B27" s="228"/>
      <c r="C27" s="231" t="s">
        <v>862</v>
      </c>
      <c r="D27" s="232"/>
      <c r="E27" s="232"/>
      <c r="F27" s="232"/>
      <c r="G27" s="232"/>
      <c r="H27" s="224"/>
      <c r="I27" s="224"/>
      <c r="J27" s="224"/>
      <c r="K27" s="224"/>
      <c r="L27" s="224"/>
      <c r="M27" s="224"/>
      <c r="N27" s="225"/>
      <c r="O27" s="225"/>
      <c r="P27" s="225"/>
      <c r="Q27" s="225"/>
      <c r="R27" s="224"/>
      <c r="S27" s="224"/>
      <c r="T27" s="224"/>
      <c r="U27" s="224"/>
      <c r="V27" s="224"/>
      <c r="W27" s="224"/>
      <c r="X27" s="224"/>
      <c r="Y27" s="224"/>
      <c r="Z27" s="226"/>
      <c r="AA27" s="226"/>
      <c r="AB27" s="226"/>
      <c r="AC27" s="226"/>
      <c r="AD27" s="226"/>
      <c r="AE27" s="226"/>
      <c r="AF27" s="226"/>
      <c r="AG27" s="226" t="s">
        <v>214</v>
      </c>
      <c r="AH27" s="226"/>
      <c r="AI27" s="226"/>
      <c r="AJ27" s="226"/>
      <c r="AK27" s="226"/>
      <c r="AL27" s="226"/>
      <c r="AM27" s="226"/>
      <c r="AN27" s="226"/>
      <c r="AO27" s="226"/>
      <c r="AP27" s="226"/>
      <c r="AQ27" s="226"/>
      <c r="AR27" s="226"/>
      <c r="AS27" s="226"/>
      <c r="AT27" s="226"/>
      <c r="AU27" s="226"/>
      <c r="AV27" s="226"/>
      <c r="AW27" s="226"/>
      <c r="AX27" s="226"/>
      <c r="AY27" s="226"/>
      <c r="AZ27" s="226"/>
      <c r="BA27" s="236" t="str">
        <f>C27</f>
        <v>Přípravu podkladů, určení pevného měřického bodu pro mapování 1:500, technická nivelace, zaměření a zpracování mapy M1:500, digitální model terénu pro měřítko 1:500, předání zaměření skutečného stavu potřebných dat v tzv. jednotném výměnném formátu (JVF - dle specifik Vyhlášky o DTM 393/2020 Sb. Vyhláška o digitální technické mapě kraje.</v>
      </c>
      <c r="BB27" s="226"/>
      <c r="BC27" s="226"/>
      <c r="BD27" s="226"/>
      <c r="BE27" s="226"/>
      <c r="BF27" s="226"/>
      <c r="BG27" s="226"/>
      <c r="BH27" s="226"/>
    </row>
    <row r="28" outlineLevel="3">
      <c r="A28" s="227"/>
      <c r="B28" s="228"/>
      <c r="C28" s="231" t="s">
        <v>863</v>
      </c>
      <c r="D28" s="232"/>
      <c r="E28" s="232"/>
      <c r="F28" s="232"/>
      <c r="G28" s="232"/>
      <c r="H28" s="224"/>
      <c r="I28" s="224"/>
      <c r="J28" s="224"/>
      <c r="K28" s="224"/>
      <c r="L28" s="224"/>
      <c r="M28" s="224"/>
      <c r="N28" s="225"/>
      <c r="O28" s="225"/>
      <c r="P28" s="225"/>
      <c r="Q28" s="225"/>
      <c r="R28" s="224"/>
      <c r="S28" s="224"/>
      <c r="T28" s="224"/>
      <c r="U28" s="224"/>
      <c r="V28" s="224"/>
      <c r="W28" s="224"/>
      <c r="X28" s="224"/>
      <c r="Y28" s="224"/>
      <c r="Z28" s="226"/>
      <c r="AA28" s="226"/>
      <c r="AB28" s="226"/>
      <c r="AC28" s="226"/>
      <c r="AD28" s="226"/>
      <c r="AE28" s="226"/>
      <c r="AF28" s="226"/>
      <c r="AG28" s="226" t="s">
        <v>214</v>
      </c>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row>
    <row r="29" outlineLevel="1">
      <c r="A29" s="237">
        <v>8</v>
      </c>
      <c r="B29" s="238" t="s">
        <v>864</v>
      </c>
      <c r="C29" s="239" t="s">
        <v>865</v>
      </c>
      <c r="D29" s="240" t="s">
        <v>838</v>
      </c>
      <c r="E29" s="241">
        <v>1</v>
      </c>
      <c r="F29" s="242"/>
      <c r="G29" s="243">
        <f>ROUND(E29*F29,2)</f>
        <v>0</v>
      </c>
      <c r="H29" s="223"/>
      <c r="I29" s="224">
        <f>ROUND(E29*H29,2)</f>
        <v>0</v>
      </c>
      <c r="J29" s="223"/>
      <c r="K29" s="224">
        <f>ROUND(E29*J29,2)</f>
        <v>0</v>
      </c>
      <c r="L29" s="224">
        <v>21</v>
      </c>
      <c r="M29" s="224">
        <f>G29*(1+L29/100)</f>
        <v>0</v>
      </c>
      <c r="N29" s="225">
        <v>0</v>
      </c>
      <c r="O29" s="225">
        <f>ROUND(E29*N29,2)</f>
        <v>0</v>
      </c>
      <c r="P29" s="225">
        <v>0</v>
      </c>
      <c r="Q29" s="225">
        <f>ROUND(E29*P29,2)</f>
        <v>0</v>
      </c>
      <c r="R29" s="224"/>
      <c r="S29" s="224" t="s">
        <v>208</v>
      </c>
      <c r="T29" s="224" t="s">
        <v>209</v>
      </c>
      <c r="U29" s="224">
        <v>0</v>
      </c>
      <c r="V29" s="224">
        <f>ROUND(E29*U29,2)</f>
        <v>0</v>
      </c>
      <c r="W29" s="224"/>
      <c r="X29" s="224" t="s">
        <v>66</v>
      </c>
      <c r="Y29" s="224" t="s">
        <v>211</v>
      </c>
      <c r="Z29" s="226"/>
      <c r="AA29" s="226"/>
      <c r="AB29" s="226"/>
      <c r="AC29" s="226"/>
      <c r="AD29" s="226"/>
      <c r="AE29" s="226"/>
      <c r="AF29" s="226"/>
      <c r="AG29" s="226" t="s">
        <v>843</v>
      </c>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row>
    <row r="30" outlineLevel="1" ht="22.5">
      <c r="A30" s="237">
        <v>9</v>
      </c>
      <c r="B30" s="238" t="s">
        <v>866</v>
      </c>
      <c r="C30" s="239" t="s">
        <v>867</v>
      </c>
      <c r="D30" s="240" t="s">
        <v>838</v>
      </c>
      <c r="E30" s="241">
        <v>1</v>
      </c>
      <c r="F30" s="242"/>
      <c r="G30" s="243">
        <f>ROUND(E30*F30,2)</f>
        <v>0</v>
      </c>
      <c r="H30" s="223"/>
      <c r="I30" s="224">
        <f>ROUND(E30*H30,2)</f>
        <v>0</v>
      </c>
      <c r="J30" s="223"/>
      <c r="K30" s="224">
        <f>ROUND(E30*J30,2)</f>
        <v>0</v>
      </c>
      <c r="L30" s="224">
        <v>21</v>
      </c>
      <c r="M30" s="224">
        <f>G30*(1+L30/100)</f>
        <v>0</v>
      </c>
      <c r="N30" s="225">
        <v>0</v>
      </c>
      <c r="O30" s="225">
        <f>ROUND(E30*N30,2)</f>
        <v>0</v>
      </c>
      <c r="P30" s="225">
        <v>0</v>
      </c>
      <c r="Q30" s="225">
        <f>ROUND(E30*P30,2)</f>
        <v>0</v>
      </c>
      <c r="R30" s="224"/>
      <c r="S30" s="224" t="s">
        <v>208</v>
      </c>
      <c r="T30" s="224" t="s">
        <v>209</v>
      </c>
      <c r="U30" s="224">
        <v>0</v>
      </c>
      <c r="V30" s="224">
        <f>ROUND(E30*U30,2)</f>
        <v>0</v>
      </c>
      <c r="W30" s="224"/>
      <c r="X30" s="224" t="s">
        <v>66</v>
      </c>
      <c r="Y30" s="224" t="s">
        <v>211</v>
      </c>
      <c r="Z30" s="226"/>
      <c r="AA30" s="226"/>
      <c r="AB30" s="226"/>
      <c r="AC30" s="226"/>
      <c r="AD30" s="226"/>
      <c r="AE30" s="226"/>
      <c r="AF30" s="226"/>
      <c r="AG30" s="226" t="s">
        <v>843</v>
      </c>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row>
    <row r="31" outlineLevel="1" ht="22.5">
      <c r="A31" s="237">
        <v>10</v>
      </c>
      <c r="B31" s="238" t="s">
        <v>868</v>
      </c>
      <c r="C31" s="239" t="s">
        <v>869</v>
      </c>
      <c r="D31" s="240" t="s">
        <v>838</v>
      </c>
      <c r="E31" s="241">
        <v>1</v>
      </c>
      <c r="F31" s="242"/>
      <c r="G31" s="243">
        <f>ROUND(E31*F31,2)</f>
        <v>0</v>
      </c>
      <c r="H31" s="223"/>
      <c r="I31" s="224">
        <f>ROUND(E31*H31,2)</f>
        <v>0</v>
      </c>
      <c r="J31" s="223"/>
      <c r="K31" s="224">
        <f>ROUND(E31*J31,2)</f>
        <v>0</v>
      </c>
      <c r="L31" s="224">
        <v>21</v>
      </c>
      <c r="M31" s="224">
        <f>G31*(1+L31/100)</f>
        <v>0</v>
      </c>
      <c r="N31" s="225">
        <v>0</v>
      </c>
      <c r="O31" s="225">
        <f>ROUND(E31*N31,2)</f>
        <v>0</v>
      </c>
      <c r="P31" s="225">
        <v>0</v>
      </c>
      <c r="Q31" s="225">
        <f>ROUND(E31*P31,2)</f>
        <v>0</v>
      </c>
      <c r="R31" s="224"/>
      <c r="S31" s="224" t="s">
        <v>208</v>
      </c>
      <c r="T31" s="224" t="s">
        <v>209</v>
      </c>
      <c r="U31" s="224">
        <v>0</v>
      </c>
      <c r="V31" s="224">
        <f>ROUND(E31*U31,2)</f>
        <v>0</v>
      </c>
      <c r="W31" s="224"/>
      <c r="X31" s="224" t="s">
        <v>66</v>
      </c>
      <c r="Y31" s="224" t="s">
        <v>211</v>
      </c>
      <c r="Z31" s="226"/>
      <c r="AA31" s="226"/>
      <c r="AB31" s="226"/>
      <c r="AC31" s="226"/>
      <c r="AD31" s="226"/>
      <c r="AE31" s="226"/>
      <c r="AF31" s="226"/>
      <c r="AG31" s="226" t="s">
        <v>843</v>
      </c>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row>
    <row r="32" outlineLevel="1" ht="22.5">
      <c r="A32" s="237">
        <v>11</v>
      </c>
      <c r="B32" s="238" t="s">
        <v>870</v>
      </c>
      <c r="C32" s="239" t="s">
        <v>871</v>
      </c>
      <c r="D32" s="240" t="s">
        <v>838</v>
      </c>
      <c r="E32" s="241">
        <v>1</v>
      </c>
      <c r="F32" s="242"/>
      <c r="G32" s="243">
        <f>ROUND(E32*F32,2)</f>
        <v>0</v>
      </c>
      <c r="H32" s="223"/>
      <c r="I32" s="224">
        <f>ROUND(E32*H32,2)</f>
        <v>0</v>
      </c>
      <c r="J32" s="223"/>
      <c r="K32" s="224">
        <f>ROUND(E32*J32,2)</f>
        <v>0</v>
      </c>
      <c r="L32" s="224">
        <v>21</v>
      </c>
      <c r="M32" s="224">
        <f>G32*(1+L32/100)</f>
        <v>0</v>
      </c>
      <c r="N32" s="225">
        <v>0</v>
      </c>
      <c r="O32" s="225">
        <f>ROUND(E32*N32,2)</f>
        <v>0</v>
      </c>
      <c r="P32" s="225">
        <v>0</v>
      </c>
      <c r="Q32" s="225">
        <f>ROUND(E32*P32,2)</f>
        <v>0</v>
      </c>
      <c r="R32" s="224"/>
      <c r="S32" s="224" t="s">
        <v>208</v>
      </c>
      <c r="T32" s="224" t="s">
        <v>209</v>
      </c>
      <c r="U32" s="224">
        <v>0</v>
      </c>
      <c r="V32" s="224">
        <f>ROUND(E32*U32,2)</f>
        <v>0</v>
      </c>
      <c r="W32" s="224"/>
      <c r="X32" s="224" t="s">
        <v>66</v>
      </c>
      <c r="Y32" s="224" t="s">
        <v>211</v>
      </c>
      <c r="Z32" s="226"/>
      <c r="AA32" s="226"/>
      <c r="AB32" s="226"/>
      <c r="AC32" s="226"/>
      <c r="AD32" s="226"/>
      <c r="AE32" s="226"/>
      <c r="AF32" s="226"/>
      <c r="AG32" s="226" t="s">
        <v>843</v>
      </c>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row>
    <row r="33" outlineLevel="1" ht="22.5">
      <c r="A33" s="216">
        <v>12</v>
      </c>
      <c r="B33" s="217" t="s">
        <v>872</v>
      </c>
      <c r="C33" s="218" t="s">
        <v>873</v>
      </c>
      <c r="D33" s="219" t="s">
        <v>838</v>
      </c>
      <c r="E33" s="220">
        <v>1</v>
      </c>
      <c r="F33" s="221"/>
      <c r="G33" s="222">
        <f>ROUND(E33*F33,2)</f>
        <v>0</v>
      </c>
      <c r="H33" s="223"/>
      <c r="I33" s="224">
        <f>ROUND(E33*H33,2)</f>
        <v>0</v>
      </c>
      <c r="J33" s="223"/>
      <c r="K33" s="224">
        <f>ROUND(E33*J33,2)</f>
        <v>0</v>
      </c>
      <c r="L33" s="224">
        <v>21</v>
      </c>
      <c r="M33" s="224">
        <f>G33*(1+L33/100)</f>
        <v>0</v>
      </c>
      <c r="N33" s="225">
        <v>0</v>
      </c>
      <c r="O33" s="225">
        <f>ROUND(E33*N33,2)</f>
        <v>0</v>
      </c>
      <c r="P33" s="225">
        <v>0</v>
      </c>
      <c r="Q33" s="225">
        <f>ROUND(E33*P33,2)</f>
        <v>0</v>
      </c>
      <c r="R33" s="224"/>
      <c r="S33" s="224" t="s">
        <v>208</v>
      </c>
      <c r="T33" s="224" t="s">
        <v>209</v>
      </c>
      <c r="U33" s="224">
        <v>0</v>
      </c>
      <c r="V33" s="224">
        <f>ROUND(E33*U33,2)</f>
        <v>0</v>
      </c>
      <c r="W33" s="224"/>
      <c r="X33" s="224" t="s">
        <v>66</v>
      </c>
      <c r="Y33" s="224" t="s">
        <v>211</v>
      </c>
      <c r="Z33" s="226"/>
      <c r="AA33" s="226"/>
      <c r="AB33" s="226"/>
      <c r="AC33" s="226"/>
      <c r="AD33" s="226"/>
      <c r="AE33" s="226"/>
      <c r="AF33" s="226"/>
      <c r="AG33" s="226" t="s">
        <v>843</v>
      </c>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6"/>
      <c r="BD33" s="226"/>
      <c r="BE33" s="226"/>
      <c r="BF33" s="226"/>
      <c r="BG33" s="226"/>
      <c r="BH33" s="226"/>
    </row>
    <row r="34" outlineLevel="2" ht="22.5">
      <c r="A34" s="227"/>
      <c r="B34" s="228"/>
      <c r="C34" s="229" t="s">
        <v>874</v>
      </c>
      <c r="D34" s="230"/>
      <c r="E34" s="230"/>
      <c r="F34" s="230"/>
      <c r="G34" s="230"/>
      <c r="H34" s="224"/>
      <c r="I34" s="224"/>
      <c r="J34" s="224"/>
      <c r="K34" s="224"/>
      <c r="L34" s="224"/>
      <c r="M34" s="224"/>
      <c r="N34" s="225"/>
      <c r="O34" s="225"/>
      <c r="P34" s="225"/>
      <c r="Q34" s="225"/>
      <c r="R34" s="224"/>
      <c r="S34" s="224"/>
      <c r="T34" s="224"/>
      <c r="U34" s="224"/>
      <c r="V34" s="224"/>
      <c r="W34" s="224"/>
      <c r="X34" s="224"/>
      <c r="Y34" s="224"/>
      <c r="Z34" s="226"/>
      <c r="AA34" s="226"/>
      <c r="AB34" s="226"/>
      <c r="AC34" s="226"/>
      <c r="AD34" s="226"/>
      <c r="AE34" s="226"/>
      <c r="AF34" s="226"/>
      <c r="AG34" s="226" t="s">
        <v>214</v>
      </c>
      <c r="AH34" s="226"/>
      <c r="AI34" s="226"/>
      <c r="AJ34" s="226"/>
      <c r="AK34" s="226"/>
      <c r="AL34" s="226"/>
      <c r="AM34" s="226"/>
      <c r="AN34" s="226"/>
      <c r="AO34" s="226"/>
      <c r="AP34" s="226"/>
      <c r="AQ34" s="226"/>
      <c r="AR34" s="226"/>
      <c r="AS34" s="226"/>
      <c r="AT34" s="226"/>
      <c r="AU34" s="226"/>
      <c r="AV34" s="226"/>
      <c r="AW34" s="226"/>
      <c r="AX34" s="226"/>
      <c r="AY34" s="226"/>
      <c r="AZ34" s="226"/>
      <c r="BA34" s="236" t="str">
        <f>C34</f>
        <v>"V areálu probíhá demolice a následná výstavba nové haly na sůl…dále uvést info o investorovi/zhotoviteli a termíny + bezpečnostní značky.:</v>
      </c>
      <c r="BB34" s="226"/>
      <c r="BC34" s="226"/>
      <c r="BD34" s="226"/>
      <c r="BE34" s="226"/>
      <c r="BF34" s="226"/>
      <c r="BG34" s="226"/>
      <c r="BH34" s="226"/>
    </row>
    <row r="35">
      <c r="A35" s="180"/>
      <c r="B35" s="188"/>
      <c r="C35" s="244"/>
      <c r="D35" s="190"/>
      <c r="E35" s="180"/>
      <c r="F35" s="180"/>
      <c r="G35" s="180"/>
      <c r="H35" s="180"/>
      <c r="I35" s="180"/>
      <c r="J35" s="180"/>
      <c r="K35" s="180"/>
      <c r="L35" s="180"/>
      <c r="M35" s="180"/>
      <c r="N35" s="180"/>
      <c r="O35" s="180"/>
      <c r="P35" s="180"/>
      <c r="Q35" s="180"/>
      <c r="R35" s="180"/>
      <c r="S35" s="180"/>
      <c r="T35" s="180"/>
      <c r="U35" s="180"/>
      <c r="V35" s="180"/>
      <c r="W35" s="180"/>
      <c r="X35" s="180"/>
      <c r="Y35" s="180"/>
      <c r="AE35">
        <v>12</v>
      </c>
      <c r="AF35">
        <v>21</v>
      </c>
      <c r="AG35" t="s">
        <v>189</v>
      </c>
    </row>
    <row r="36">
      <c r="A36" s="245"/>
      <c r="B36" s="246" t="s">
        <v>26</v>
      </c>
      <c r="C36" s="247"/>
      <c r="D36" s="248"/>
      <c r="E36" s="249"/>
      <c r="F36" s="249"/>
      <c r="G36" s="250">
        <f>G8+G18</f>
        <v>0</v>
      </c>
      <c r="H36" s="180"/>
      <c r="I36" s="180"/>
      <c r="J36" s="180"/>
      <c r="K36" s="180"/>
      <c r="L36" s="180"/>
      <c r="M36" s="180"/>
      <c r="N36" s="180"/>
      <c r="O36" s="180"/>
      <c r="P36" s="180"/>
      <c r="Q36" s="180"/>
      <c r="R36" s="180"/>
      <c r="S36" s="180"/>
      <c r="T36" s="180"/>
      <c r="U36" s="180"/>
      <c r="V36" s="180"/>
      <c r="W36" s="180"/>
      <c r="X36" s="180"/>
      <c r="Y36" s="180"/>
      <c r="AE36">
        <f>SUMIF(L7:L34,AE35,G7:G34)</f>
        <v>0</v>
      </c>
      <c r="AF36">
        <f>SUMIF(L7:L34,AF35,G7:G34)</f>
        <v>0</v>
      </c>
      <c r="AG36" t="s">
        <v>389</v>
      </c>
    </row>
    <row r="37">
      <c r="A37" s="180"/>
      <c r="B37" s="188"/>
      <c r="C37" s="244"/>
      <c r="D37" s="190"/>
      <c r="E37" s="180"/>
      <c r="F37" s="180"/>
      <c r="G37" s="180"/>
      <c r="H37" s="180"/>
      <c r="I37" s="180"/>
      <c r="J37" s="180"/>
      <c r="K37" s="180"/>
      <c r="L37" s="180"/>
      <c r="M37" s="180"/>
      <c r="N37" s="180"/>
      <c r="O37" s="180"/>
      <c r="P37" s="180"/>
      <c r="Q37" s="180"/>
      <c r="R37" s="180"/>
      <c r="S37" s="180"/>
      <c r="T37" s="180"/>
      <c r="U37" s="180"/>
      <c r="V37" s="180"/>
      <c r="W37" s="180"/>
      <c r="X37" s="180"/>
      <c r="Y37" s="180"/>
    </row>
    <row r="38">
      <c r="A38" s="180"/>
      <c r="B38" s="188"/>
      <c r="C38" s="244"/>
      <c r="D38" s="190"/>
      <c r="E38" s="180"/>
      <c r="F38" s="180"/>
      <c r="G38" s="180"/>
      <c r="H38" s="180"/>
      <c r="I38" s="180"/>
      <c r="J38" s="180"/>
      <c r="K38" s="180"/>
      <c r="L38" s="180"/>
      <c r="M38" s="180"/>
      <c r="N38" s="180"/>
      <c r="O38" s="180"/>
      <c r="P38" s="180"/>
      <c r="Q38" s="180"/>
      <c r="R38" s="180"/>
      <c r="S38" s="180"/>
      <c r="T38" s="180"/>
      <c r="U38" s="180"/>
      <c r="V38" s="180"/>
      <c r="W38" s="180"/>
      <c r="X38" s="180"/>
      <c r="Y38" s="180"/>
    </row>
    <row r="39">
      <c r="A39" s="180" t="s">
        <v>390</v>
      </c>
      <c r="B39" s="180"/>
      <c r="C39" s="251"/>
      <c r="D39" s="190"/>
      <c r="E39" s="180"/>
      <c r="F39" s="180"/>
      <c r="G39" s="180"/>
      <c r="H39" s="180"/>
      <c r="I39" s="180"/>
      <c r="J39" s="180"/>
      <c r="K39" s="180"/>
      <c r="L39" s="180"/>
      <c r="M39" s="180"/>
      <c r="N39" s="180"/>
      <c r="O39" s="180"/>
      <c r="P39" s="180"/>
      <c r="Q39" s="180"/>
      <c r="R39" s="180"/>
      <c r="S39" s="180"/>
      <c r="T39" s="180"/>
      <c r="U39" s="180"/>
      <c r="V39" s="180"/>
      <c r="W39" s="180"/>
      <c r="X39" s="180"/>
      <c r="Y39" s="180"/>
    </row>
    <row r="40">
      <c r="A40" s="252"/>
      <c r="B40" s="253"/>
      <c r="C40" s="254"/>
      <c r="D40" s="253"/>
      <c r="E40" s="253"/>
      <c r="F40" s="253"/>
      <c r="G40" s="255"/>
      <c r="H40" s="180"/>
      <c r="I40" s="180"/>
      <c r="J40" s="180"/>
      <c r="K40" s="180"/>
      <c r="L40" s="180"/>
      <c r="M40" s="180"/>
      <c r="N40" s="180"/>
      <c r="O40" s="180"/>
      <c r="P40" s="180"/>
      <c r="Q40" s="180"/>
      <c r="R40" s="180"/>
      <c r="S40" s="180"/>
      <c r="T40" s="180"/>
      <c r="U40" s="180"/>
      <c r="V40" s="180"/>
      <c r="W40" s="180"/>
      <c r="X40" s="180"/>
      <c r="Y40" s="180"/>
      <c r="AG40" t="s">
        <v>391</v>
      </c>
    </row>
    <row r="41">
      <c r="A41" s="256"/>
      <c r="B41" s="257"/>
      <c r="C41" s="258"/>
      <c r="D41" s="257"/>
      <c r="E41" s="257"/>
      <c r="F41" s="257"/>
      <c r="G41" s="259"/>
      <c r="H41" s="180"/>
      <c r="I41" s="180"/>
      <c r="J41" s="180"/>
      <c r="K41" s="180"/>
      <c r="L41" s="180"/>
      <c r="M41" s="180"/>
      <c r="N41" s="180"/>
      <c r="O41" s="180"/>
      <c r="P41" s="180"/>
      <c r="Q41" s="180"/>
      <c r="R41" s="180"/>
      <c r="S41" s="180"/>
      <c r="T41" s="180"/>
      <c r="U41" s="180"/>
      <c r="V41" s="180"/>
      <c r="W41" s="180"/>
      <c r="X41" s="180"/>
      <c r="Y41" s="180"/>
    </row>
    <row r="42">
      <c r="A42" s="256"/>
      <c r="B42" s="257"/>
      <c r="C42" s="258"/>
      <c r="D42" s="257"/>
      <c r="E42" s="257"/>
      <c r="F42" s="257"/>
      <c r="G42" s="259"/>
      <c r="H42" s="180"/>
      <c r="I42" s="180"/>
      <c r="J42" s="180"/>
      <c r="K42" s="180"/>
      <c r="L42" s="180"/>
      <c r="M42" s="180"/>
      <c r="N42" s="180"/>
      <c r="O42" s="180"/>
      <c r="P42" s="180"/>
      <c r="Q42" s="180"/>
      <c r="R42" s="180"/>
      <c r="S42" s="180"/>
      <c r="T42" s="180"/>
      <c r="U42" s="180"/>
      <c r="V42" s="180"/>
      <c r="W42" s="180"/>
      <c r="X42" s="180"/>
      <c r="Y42" s="180"/>
    </row>
    <row r="43">
      <c r="A43" s="256"/>
      <c r="B43" s="257"/>
      <c r="C43" s="258"/>
      <c r="D43" s="257"/>
      <c r="E43" s="257"/>
      <c r="F43" s="257"/>
      <c r="G43" s="259"/>
      <c r="H43" s="180"/>
      <c r="I43" s="180"/>
      <c r="J43" s="180"/>
      <c r="K43" s="180"/>
      <c r="L43" s="180"/>
      <c r="M43" s="180"/>
      <c r="N43" s="180"/>
      <c r="O43" s="180"/>
      <c r="P43" s="180"/>
      <c r="Q43" s="180"/>
      <c r="R43" s="180"/>
      <c r="S43" s="180"/>
      <c r="T43" s="180"/>
      <c r="U43" s="180"/>
      <c r="V43" s="180"/>
      <c r="W43" s="180"/>
      <c r="X43" s="180"/>
      <c r="Y43" s="180"/>
    </row>
    <row r="44">
      <c r="A44" s="260"/>
      <c r="B44" s="261"/>
      <c r="C44" s="262"/>
      <c r="D44" s="261"/>
      <c r="E44" s="261"/>
      <c r="F44" s="261"/>
      <c r="G44" s="263"/>
      <c r="H44" s="180"/>
      <c r="I44" s="180"/>
      <c r="J44" s="180"/>
      <c r="K44" s="180"/>
      <c r="L44" s="180"/>
      <c r="M44" s="180"/>
      <c r="N44" s="180"/>
      <c r="O44" s="180"/>
      <c r="P44" s="180"/>
      <c r="Q44" s="180"/>
      <c r="R44" s="180"/>
      <c r="S44" s="180"/>
      <c r="T44" s="180"/>
      <c r="U44" s="180"/>
      <c r="V44" s="180"/>
      <c r="W44" s="180"/>
      <c r="X44" s="180"/>
      <c r="Y44" s="180"/>
    </row>
    <row r="45">
      <c r="A45" s="180"/>
      <c r="B45" s="188"/>
      <c r="C45" s="244"/>
      <c r="D45" s="190"/>
      <c r="E45" s="180"/>
      <c r="F45" s="180"/>
      <c r="G45" s="180"/>
      <c r="H45" s="180"/>
      <c r="I45" s="180"/>
      <c r="J45" s="180"/>
      <c r="K45" s="180"/>
      <c r="L45" s="180"/>
      <c r="M45" s="180"/>
      <c r="N45" s="180"/>
      <c r="O45" s="180"/>
      <c r="P45" s="180"/>
      <c r="Q45" s="180"/>
      <c r="R45" s="180"/>
      <c r="S45" s="180"/>
      <c r="T45" s="180"/>
      <c r="U45" s="180"/>
      <c r="V45" s="180"/>
      <c r="W45" s="180"/>
      <c r="X45" s="180"/>
      <c r="Y45" s="180"/>
    </row>
    <row r="46">
      <c r="C46" s="264"/>
      <c r="D46" s="123"/>
      <c r="AG46" t="s">
        <v>392</v>
      </c>
    </row>
    <row r="47">
      <c r="D47" s="123"/>
    </row>
    <row r="48">
      <c r="D48" s="123"/>
    </row>
    <row r="49">
      <c r="D49" s="123"/>
    </row>
    <row r="50">
      <c r="D50" s="123"/>
    </row>
    <row r="51">
      <c r="D51" s="123"/>
    </row>
    <row r="52">
      <c r="D52" s="123"/>
    </row>
    <row r="53">
      <c r="D53" s="123"/>
    </row>
    <row r="54">
      <c r="D54" s="123"/>
    </row>
    <row r="55">
      <c r="D55" s="123"/>
    </row>
    <row r="56">
      <c r="D56" s="123"/>
    </row>
    <row r="57">
      <c r="D57" s="123"/>
    </row>
    <row r="58">
      <c r="D58" s="123"/>
    </row>
    <row r="59">
      <c r="D59" s="123"/>
    </row>
    <row r="60">
      <c r="D60" s="123"/>
    </row>
    <row r="61">
      <c r="D61" s="123"/>
    </row>
    <row r="62">
      <c r="D62" s="123"/>
    </row>
    <row r="63">
      <c r="D63" s="123"/>
    </row>
    <row r="64">
      <c r="D64" s="123"/>
    </row>
    <row r="65">
      <c r="D65" s="123"/>
    </row>
    <row r="66">
      <c r="D66" s="123"/>
    </row>
    <row r="67">
      <c r="D67" s="123"/>
    </row>
    <row r="68">
      <c r="D68" s="123"/>
    </row>
    <row r="69">
      <c r="D69" s="123"/>
    </row>
    <row r="70">
      <c r="D70" s="123"/>
    </row>
    <row r="71">
      <c r="D71" s="123"/>
    </row>
    <row r="72">
      <c r="D72" s="123"/>
    </row>
    <row r="73">
      <c r="D73" s="123"/>
    </row>
    <row r="74">
      <c r="D74" s="123"/>
    </row>
    <row r="75">
      <c r="D75" s="123"/>
    </row>
    <row r="76">
      <c r="D76" s="123"/>
    </row>
    <row r="77">
      <c r="D77" s="123"/>
    </row>
    <row r="78">
      <c r="D78" s="123"/>
    </row>
    <row r="79">
      <c r="D79" s="123"/>
    </row>
    <row r="80">
      <c r="D80" s="123"/>
    </row>
    <row r="81">
      <c r="D81" s="123"/>
    </row>
    <row r="82">
      <c r="D82" s="123"/>
    </row>
    <row r="83">
      <c r="D83" s="123"/>
    </row>
    <row r="84">
      <c r="D84" s="123"/>
    </row>
    <row r="85">
      <c r="D85" s="123"/>
    </row>
    <row r="86">
      <c r="D86" s="123"/>
    </row>
    <row r="87">
      <c r="D87" s="123"/>
    </row>
    <row r="88">
      <c r="D88" s="123"/>
    </row>
    <row r="89">
      <c r="D89" s="123"/>
    </row>
    <row r="90">
      <c r="D90" s="123"/>
    </row>
    <row r="91">
      <c r="D91" s="123"/>
    </row>
    <row r="92">
      <c r="D92" s="123"/>
    </row>
    <row r="93">
      <c r="D93" s="123"/>
    </row>
    <row r="94">
      <c r="D94" s="123"/>
    </row>
    <row r="95">
      <c r="D95" s="123"/>
    </row>
    <row r="96">
      <c r="D96" s="123"/>
    </row>
    <row r="97">
      <c r="D97" s="123"/>
    </row>
    <row r="98">
      <c r="D98" s="123"/>
    </row>
    <row r="99">
      <c r="D99" s="123"/>
    </row>
    <row r="100">
      <c r="D100" s="123"/>
    </row>
    <row r="101">
      <c r="D101" s="123"/>
    </row>
    <row r="102">
      <c r="D102" s="123"/>
    </row>
    <row r="103">
      <c r="D103" s="123"/>
    </row>
    <row r="104">
      <c r="D104" s="123"/>
    </row>
    <row r="105">
      <c r="D105" s="123"/>
    </row>
    <row r="106">
      <c r="D106" s="123"/>
    </row>
    <row r="107">
      <c r="D107" s="123"/>
    </row>
    <row r="108">
      <c r="D108" s="123"/>
    </row>
    <row r="109">
      <c r="D109" s="123"/>
    </row>
    <row r="110">
      <c r="D110" s="123"/>
    </row>
    <row r="111">
      <c r="D111" s="123"/>
    </row>
    <row r="112">
      <c r="D112" s="123"/>
    </row>
    <row r="113">
      <c r="D113" s="123"/>
    </row>
    <row r="114">
      <c r="D114" s="123"/>
    </row>
    <row r="115">
      <c r="D115" s="123"/>
    </row>
    <row r="116">
      <c r="D116" s="123"/>
    </row>
    <row r="117">
      <c r="D117" s="123"/>
    </row>
    <row r="118">
      <c r="D118" s="123"/>
    </row>
    <row r="119">
      <c r="D119" s="123"/>
    </row>
    <row r="120">
      <c r="D120" s="123"/>
    </row>
    <row r="121">
      <c r="D121" s="123"/>
    </row>
    <row r="122">
      <c r="D122" s="123"/>
    </row>
    <row r="123">
      <c r="D123" s="123"/>
    </row>
    <row r="124">
      <c r="D124" s="123"/>
    </row>
    <row r="125">
      <c r="D125" s="123"/>
    </row>
    <row r="126">
      <c r="D126" s="123"/>
    </row>
    <row r="127">
      <c r="D127" s="123"/>
    </row>
    <row r="128">
      <c r="D128" s="123"/>
    </row>
    <row r="129">
      <c r="D129" s="123"/>
    </row>
    <row r="130">
      <c r="D130" s="123"/>
    </row>
    <row r="131">
      <c r="D131" s="123"/>
    </row>
    <row r="132">
      <c r="D132" s="123"/>
    </row>
    <row r="133">
      <c r="D133" s="123"/>
    </row>
    <row r="134">
      <c r="D134" s="123"/>
    </row>
    <row r="135">
      <c r="D135" s="123"/>
    </row>
    <row r="136">
      <c r="D136" s="123"/>
    </row>
    <row r="137">
      <c r="D137" s="123"/>
    </row>
    <row r="138">
      <c r="D138" s="123"/>
    </row>
    <row r="139">
      <c r="D139" s="123"/>
    </row>
    <row r="140">
      <c r="D140" s="123"/>
    </row>
    <row r="141">
      <c r="D141" s="123"/>
    </row>
    <row r="142">
      <c r="D142" s="123"/>
    </row>
    <row r="143">
      <c r="D143" s="123"/>
    </row>
    <row r="144">
      <c r="D144" s="123"/>
    </row>
    <row r="145">
      <c r="D145" s="123"/>
    </row>
    <row r="146">
      <c r="D146" s="123"/>
    </row>
    <row r="147">
      <c r="D147" s="123"/>
    </row>
    <row r="148">
      <c r="D148" s="123"/>
    </row>
    <row r="149">
      <c r="D149" s="123"/>
    </row>
    <row r="150">
      <c r="D150" s="123"/>
    </row>
    <row r="151">
      <c r="D151" s="123"/>
    </row>
    <row r="152">
      <c r="D152" s="123"/>
    </row>
    <row r="153">
      <c r="D153" s="123"/>
    </row>
    <row r="154">
      <c r="D154" s="123"/>
    </row>
    <row r="155">
      <c r="D155" s="123"/>
    </row>
    <row r="156">
      <c r="D156" s="123"/>
    </row>
    <row r="157">
      <c r="D157" s="123"/>
    </row>
    <row r="158">
      <c r="D158" s="123"/>
    </row>
    <row r="159">
      <c r="D159" s="123"/>
    </row>
    <row r="160">
      <c r="D160" s="123"/>
    </row>
    <row r="161">
      <c r="D161" s="123"/>
    </row>
    <row r="162">
      <c r="D162" s="123"/>
    </row>
    <row r="163">
      <c r="D163" s="123"/>
    </row>
    <row r="164">
      <c r="D164" s="123"/>
    </row>
    <row r="165">
      <c r="D165" s="123"/>
    </row>
    <row r="166">
      <c r="D166" s="123"/>
    </row>
    <row r="167">
      <c r="D167" s="123"/>
    </row>
    <row r="168">
      <c r="D168" s="123"/>
    </row>
    <row r="169">
      <c r="D169" s="123"/>
    </row>
    <row r="170">
      <c r="D170" s="123"/>
    </row>
    <row r="171">
      <c r="D171" s="123"/>
    </row>
    <row r="172">
      <c r="D172" s="123"/>
    </row>
    <row r="173">
      <c r="D173" s="123"/>
    </row>
    <row r="174">
      <c r="D174" s="123"/>
    </row>
    <row r="175">
      <c r="D175" s="123"/>
    </row>
    <row r="176">
      <c r="D176" s="123"/>
    </row>
    <row r="177">
      <c r="D177" s="123"/>
    </row>
    <row r="178">
      <c r="D178" s="123"/>
    </row>
    <row r="179">
      <c r="D179" s="123"/>
    </row>
    <row r="180">
      <c r="D180" s="123"/>
    </row>
    <row r="181">
      <c r="D181" s="123"/>
    </row>
    <row r="182">
      <c r="D182" s="123"/>
    </row>
    <row r="183">
      <c r="D183" s="123"/>
    </row>
    <row r="184">
      <c r="D184" s="123"/>
    </row>
    <row r="185">
      <c r="D185" s="123"/>
    </row>
    <row r="186">
      <c r="D186" s="123"/>
    </row>
    <row r="187">
      <c r="D187" s="123"/>
    </row>
    <row r="188">
      <c r="D188" s="123"/>
    </row>
    <row r="189">
      <c r="D189" s="123"/>
    </row>
    <row r="190">
      <c r="D190" s="123"/>
    </row>
    <row r="191">
      <c r="D191" s="123"/>
    </row>
    <row r="192">
      <c r="D192" s="123"/>
    </row>
    <row r="193">
      <c r="D193" s="123"/>
    </row>
    <row r="194">
      <c r="D194" s="123"/>
    </row>
    <row r="195">
      <c r="D195" s="123"/>
    </row>
    <row r="196">
      <c r="D196" s="123"/>
    </row>
    <row r="197">
      <c r="D197" s="123"/>
    </row>
    <row r="198">
      <c r="D198" s="123"/>
    </row>
    <row r="199">
      <c r="D199" s="123"/>
    </row>
    <row r="200">
      <c r="D200" s="123"/>
    </row>
    <row r="201">
      <c r="D201" s="123"/>
    </row>
    <row r="202">
      <c r="D202" s="123"/>
    </row>
    <row r="203">
      <c r="D203" s="123"/>
    </row>
    <row r="204">
      <c r="D204" s="123"/>
    </row>
    <row r="205">
      <c r="D205" s="123"/>
    </row>
    <row r="206">
      <c r="D206" s="123"/>
    </row>
    <row r="207">
      <c r="D207" s="123"/>
    </row>
    <row r="208">
      <c r="D208" s="123"/>
    </row>
    <row r="209">
      <c r="D209" s="123"/>
    </row>
    <row r="210">
      <c r="D210" s="123"/>
    </row>
    <row r="211">
      <c r="D211" s="123"/>
    </row>
    <row r="212">
      <c r="D212" s="123"/>
    </row>
    <row r="213">
      <c r="D213" s="123"/>
    </row>
    <row r="214">
      <c r="D214" s="123"/>
    </row>
    <row r="215">
      <c r="D215" s="123"/>
    </row>
    <row r="216">
      <c r="D216" s="123"/>
    </row>
    <row r="217">
      <c r="D217" s="123"/>
    </row>
    <row r="218">
      <c r="D218" s="123"/>
    </row>
    <row r="219">
      <c r="D219" s="123"/>
    </row>
    <row r="220">
      <c r="D220" s="123"/>
    </row>
    <row r="221">
      <c r="D221" s="123"/>
    </row>
    <row r="222">
      <c r="D222" s="123"/>
    </row>
    <row r="223">
      <c r="D223" s="123"/>
    </row>
    <row r="224">
      <c r="D224" s="123"/>
    </row>
    <row r="225">
      <c r="D225" s="123"/>
    </row>
    <row r="226">
      <c r="D226" s="123"/>
    </row>
    <row r="227">
      <c r="D227" s="123"/>
    </row>
    <row r="228">
      <c r="D228" s="123"/>
    </row>
    <row r="229">
      <c r="D229" s="123"/>
    </row>
    <row r="230">
      <c r="D230" s="123"/>
    </row>
    <row r="231">
      <c r="D231" s="123"/>
    </row>
    <row r="232">
      <c r="D232" s="123"/>
    </row>
    <row r="233">
      <c r="D233" s="123"/>
    </row>
    <row r="234">
      <c r="D234" s="123"/>
    </row>
    <row r="235">
      <c r="D235" s="123"/>
    </row>
    <row r="236">
      <c r="D236" s="123"/>
    </row>
    <row r="237">
      <c r="D237" s="123"/>
    </row>
    <row r="238">
      <c r="D238" s="123"/>
    </row>
    <row r="239">
      <c r="D239" s="123"/>
    </row>
    <row r="240">
      <c r="D240" s="123"/>
    </row>
    <row r="241">
      <c r="D241" s="123"/>
    </row>
    <row r="242">
      <c r="D242" s="123"/>
    </row>
    <row r="243">
      <c r="D243" s="123"/>
    </row>
    <row r="244">
      <c r="D244" s="123"/>
    </row>
    <row r="245">
      <c r="D245" s="123"/>
    </row>
    <row r="246">
      <c r="D246" s="123"/>
    </row>
    <row r="247">
      <c r="D247" s="123"/>
    </row>
    <row r="248">
      <c r="D248" s="123"/>
    </row>
    <row r="249">
      <c r="D249" s="123"/>
    </row>
    <row r="250">
      <c r="D250" s="123"/>
    </row>
    <row r="251">
      <c r="D251" s="123"/>
    </row>
    <row r="252">
      <c r="D252" s="123"/>
    </row>
    <row r="253">
      <c r="D253" s="123"/>
    </row>
    <row r="254">
      <c r="D254" s="123"/>
    </row>
    <row r="255">
      <c r="D255" s="123"/>
    </row>
    <row r="256">
      <c r="D256" s="123"/>
    </row>
    <row r="257">
      <c r="D257" s="123"/>
    </row>
    <row r="258">
      <c r="D258" s="123"/>
    </row>
    <row r="259">
      <c r="D259" s="123"/>
    </row>
    <row r="260">
      <c r="D260" s="123"/>
    </row>
    <row r="261">
      <c r="D261" s="123"/>
    </row>
    <row r="262">
      <c r="D262" s="123"/>
    </row>
    <row r="263">
      <c r="D263" s="123"/>
    </row>
    <row r="264">
      <c r="D264" s="123"/>
    </row>
    <row r="265">
      <c r="D265" s="123"/>
    </row>
    <row r="266">
      <c r="D266" s="123"/>
    </row>
    <row r="267">
      <c r="D267" s="123"/>
    </row>
    <row r="268">
      <c r="D268" s="123"/>
    </row>
    <row r="269">
      <c r="D269" s="123"/>
    </row>
    <row r="270">
      <c r="D270" s="123"/>
    </row>
    <row r="271">
      <c r="D271" s="123"/>
    </row>
    <row r="272">
      <c r="D272" s="123"/>
    </row>
    <row r="273">
      <c r="D273" s="123"/>
    </row>
    <row r="274">
      <c r="D274" s="123"/>
    </row>
    <row r="275">
      <c r="D275" s="123"/>
    </row>
    <row r="276">
      <c r="D276" s="123"/>
    </row>
    <row r="277">
      <c r="D277" s="123"/>
    </row>
    <row r="278">
      <c r="D278" s="123"/>
    </row>
    <row r="279">
      <c r="D279" s="123"/>
    </row>
    <row r="280">
      <c r="D280" s="123"/>
    </row>
    <row r="281">
      <c r="D281" s="123"/>
    </row>
    <row r="282">
      <c r="D282" s="123"/>
    </row>
    <row r="283">
      <c r="D283" s="123"/>
    </row>
    <row r="284">
      <c r="D284" s="123"/>
    </row>
    <row r="285">
      <c r="D285" s="123"/>
    </row>
    <row r="286">
      <c r="D286" s="123"/>
    </row>
    <row r="287">
      <c r="D287" s="123"/>
    </row>
    <row r="288">
      <c r="D288" s="123"/>
    </row>
    <row r="289">
      <c r="D289" s="123"/>
    </row>
    <row r="290">
      <c r="D290" s="123"/>
    </row>
    <row r="291">
      <c r="D291" s="123"/>
    </row>
    <row r="292">
      <c r="D292" s="123"/>
    </row>
    <row r="293">
      <c r="D293" s="123"/>
    </row>
    <row r="294">
      <c r="D294" s="123"/>
    </row>
    <row r="295">
      <c r="D295" s="123"/>
    </row>
    <row r="296">
      <c r="D296" s="123"/>
    </row>
    <row r="297">
      <c r="D297" s="123"/>
    </row>
    <row r="298">
      <c r="D298" s="123"/>
    </row>
    <row r="299">
      <c r="D299" s="123"/>
    </row>
    <row r="300">
      <c r="D300" s="123"/>
    </row>
    <row r="301">
      <c r="D301" s="123"/>
    </row>
    <row r="302">
      <c r="D302" s="123"/>
    </row>
    <row r="303">
      <c r="D303" s="123"/>
    </row>
    <row r="304">
      <c r="D304" s="123"/>
    </row>
    <row r="305">
      <c r="D305" s="123"/>
    </row>
    <row r="306">
      <c r="D306" s="123"/>
    </row>
    <row r="307">
      <c r="D307" s="123"/>
    </row>
    <row r="308">
      <c r="D308" s="123"/>
    </row>
    <row r="309">
      <c r="D309" s="123"/>
    </row>
    <row r="310">
      <c r="D310" s="123"/>
    </row>
    <row r="311">
      <c r="D311" s="123"/>
    </row>
    <row r="312">
      <c r="D312" s="123"/>
    </row>
    <row r="313">
      <c r="D313" s="123"/>
    </row>
    <row r="314">
      <c r="D314" s="123"/>
    </row>
    <row r="315">
      <c r="D315" s="123"/>
    </row>
    <row r="316">
      <c r="D316" s="123"/>
    </row>
    <row r="317">
      <c r="D317" s="123"/>
    </row>
    <row r="318">
      <c r="D318" s="123"/>
    </row>
    <row r="319">
      <c r="D319" s="123"/>
    </row>
    <row r="320">
      <c r="D320" s="123"/>
    </row>
    <row r="321">
      <c r="D321" s="123"/>
    </row>
    <row r="322">
      <c r="D322" s="123"/>
    </row>
    <row r="323">
      <c r="D323" s="123"/>
    </row>
    <row r="324">
      <c r="D324" s="123"/>
    </row>
    <row r="325">
      <c r="D325" s="123"/>
    </row>
    <row r="326">
      <c r="D326" s="123"/>
    </row>
    <row r="327">
      <c r="D327" s="123"/>
    </row>
    <row r="328">
      <c r="D328" s="123"/>
    </row>
    <row r="329">
      <c r="D329" s="123"/>
    </row>
    <row r="330">
      <c r="D330" s="123"/>
    </row>
    <row r="331">
      <c r="D331" s="123"/>
    </row>
    <row r="332">
      <c r="D332" s="123"/>
    </row>
    <row r="333">
      <c r="D333" s="123"/>
    </row>
    <row r="334">
      <c r="D334" s="123"/>
    </row>
    <row r="335">
      <c r="D335" s="123"/>
    </row>
    <row r="336">
      <c r="D336" s="123"/>
    </row>
    <row r="337">
      <c r="D337" s="123"/>
    </row>
    <row r="338">
      <c r="D338" s="123"/>
    </row>
    <row r="339">
      <c r="D339" s="123"/>
    </row>
    <row r="340">
      <c r="D340" s="123"/>
    </row>
    <row r="341">
      <c r="D341" s="123"/>
    </row>
    <row r="342">
      <c r="D342" s="123"/>
    </row>
    <row r="343">
      <c r="D343" s="123"/>
    </row>
    <row r="344">
      <c r="D344" s="123"/>
    </row>
    <row r="345">
      <c r="D345" s="123"/>
    </row>
    <row r="346">
      <c r="D346" s="123"/>
    </row>
    <row r="347">
      <c r="D347" s="123"/>
    </row>
    <row r="348">
      <c r="D348" s="123"/>
    </row>
    <row r="349">
      <c r="D349" s="123"/>
    </row>
    <row r="350">
      <c r="D350" s="123"/>
    </row>
    <row r="351">
      <c r="D351" s="123"/>
    </row>
    <row r="352">
      <c r="D352" s="123"/>
    </row>
    <row r="353">
      <c r="D353" s="123"/>
    </row>
    <row r="354">
      <c r="D354" s="123"/>
    </row>
    <row r="355">
      <c r="D355" s="123"/>
    </row>
    <row r="356">
      <c r="D356" s="123"/>
    </row>
    <row r="357">
      <c r="D357" s="123"/>
    </row>
    <row r="358">
      <c r="D358" s="123"/>
    </row>
    <row r="359">
      <c r="D359" s="123"/>
    </row>
    <row r="360">
      <c r="D360" s="123"/>
    </row>
    <row r="361">
      <c r="D361" s="123"/>
    </row>
    <row r="362">
      <c r="D362" s="123"/>
    </row>
    <row r="363">
      <c r="D363" s="123"/>
    </row>
    <row r="364">
      <c r="D364" s="123"/>
    </row>
    <row r="365">
      <c r="D365" s="123"/>
    </row>
    <row r="366">
      <c r="D366" s="123"/>
    </row>
    <row r="367">
      <c r="D367" s="123"/>
    </row>
    <row r="368">
      <c r="D368" s="123"/>
    </row>
    <row r="369">
      <c r="D369" s="123"/>
    </row>
    <row r="370">
      <c r="D370" s="123"/>
    </row>
    <row r="371">
      <c r="D371" s="123"/>
    </row>
    <row r="372">
      <c r="D372" s="123"/>
    </row>
    <row r="373">
      <c r="D373" s="123"/>
    </row>
    <row r="374">
      <c r="D374" s="123"/>
    </row>
    <row r="375">
      <c r="D375" s="123"/>
    </row>
    <row r="376">
      <c r="D376" s="123"/>
    </row>
    <row r="377">
      <c r="D377" s="123"/>
    </row>
    <row r="378">
      <c r="D378" s="123"/>
    </row>
    <row r="379">
      <c r="D379" s="123"/>
    </row>
    <row r="380">
      <c r="D380" s="123"/>
    </row>
    <row r="381">
      <c r="D381" s="123"/>
    </row>
    <row r="382">
      <c r="D382" s="123"/>
    </row>
    <row r="383">
      <c r="D383" s="123"/>
    </row>
    <row r="384">
      <c r="D384" s="123"/>
    </row>
    <row r="385">
      <c r="D385" s="123"/>
    </row>
    <row r="386">
      <c r="D386" s="123"/>
    </row>
    <row r="387">
      <c r="D387" s="123"/>
    </row>
    <row r="388">
      <c r="D388" s="123"/>
    </row>
    <row r="389">
      <c r="D389" s="123"/>
    </row>
    <row r="390">
      <c r="D390" s="123"/>
    </row>
    <row r="391">
      <c r="D391" s="123"/>
    </row>
    <row r="392">
      <c r="D392" s="123"/>
    </row>
    <row r="393">
      <c r="D393" s="123"/>
    </row>
    <row r="394">
      <c r="D394" s="123"/>
    </row>
    <row r="395">
      <c r="D395" s="123"/>
    </row>
    <row r="396">
      <c r="D396" s="123"/>
    </row>
    <row r="397">
      <c r="D397" s="123"/>
    </row>
    <row r="398">
      <c r="D398" s="123"/>
    </row>
    <row r="399">
      <c r="D399" s="123"/>
    </row>
    <row r="400">
      <c r="D400" s="123"/>
    </row>
    <row r="401">
      <c r="D401" s="123"/>
    </row>
    <row r="402">
      <c r="D402" s="123"/>
    </row>
    <row r="403">
      <c r="D403" s="123"/>
    </row>
    <row r="404">
      <c r="D404" s="123"/>
    </row>
    <row r="405">
      <c r="D405" s="123"/>
    </row>
    <row r="406">
      <c r="D406" s="123"/>
    </row>
    <row r="407">
      <c r="D407" s="123"/>
    </row>
    <row r="408">
      <c r="D408" s="123"/>
    </row>
    <row r="409">
      <c r="D409" s="123"/>
    </row>
    <row r="410">
      <c r="D410" s="123"/>
    </row>
    <row r="411">
      <c r="D411" s="123"/>
    </row>
    <row r="412">
      <c r="D412" s="123"/>
    </row>
    <row r="413">
      <c r="D413" s="123"/>
    </row>
    <row r="414">
      <c r="D414" s="123"/>
    </row>
    <row r="415">
      <c r="D415" s="123"/>
    </row>
    <row r="416">
      <c r="D416" s="123"/>
    </row>
    <row r="417">
      <c r="D417" s="123"/>
    </row>
    <row r="418">
      <c r="D418" s="123"/>
    </row>
    <row r="419">
      <c r="D419" s="123"/>
    </row>
    <row r="420">
      <c r="D420" s="123"/>
    </row>
    <row r="421">
      <c r="D421" s="123"/>
    </row>
    <row r="422">
      <c r="D422" s="123"/>
    </row>
    <row r="423">
      <c r="D423" s="123"/>
    </row>
    <row r="424">
      <c r="D424" s="123"/>
    </row>
    <row r="425">
      <c r="D425" s="123"/>
    </row>
    <row r="426">
      <c r="D426" s="123"/>
    </row>
    <row r="427">
      <c r="D427" s="123"/>
    </row>
    <row r="428">
      <c r="D428" s="123"/>
    </row>
    <row r="429">
      <c r="D429" s="123"/>
    </row>
    <row r="430">
      <c r="D430" s="123"/>
    </row>
    <row r="431">
      <c r="D431" s="123"/>
    </row>
    <row r="432">
      <c r="D432" s="123"/>
    </row>
    <row r="433">
      <c r="D433" s="123"/>
    </row>
    <row r="434">
      <c r="D434" s="123"/>
    </row>
    <row r="435">
      <c r="D435" s="123"/>
    </row>
    <row r="436">
      <c r="D436" s="123"/>
    </row>
    <row r="437">
      <c r="D437" s="123"/>
    </row>
    <row r="438">
      <c r="D438" s="123"/>
    </row>
    <row r="439">
      <c r="D439" s="123"/>
    </row>
    <row r="440">
      <c r="D440" s="123"/>
    </row>
    <row r="441">
      <c r="D441" s="123"/>
    </row>
    <row r="442">
      <c r="D442" s="123"/>
    </row>
    <row r="443">
      <c r="D443" s="123"/>
    </row>
    <row r="444">
      <c r="D444" s="123"/>
    </row>
    <row r="445">
      <c r="D445" s="123"/>
    </row>
    <row r="446">
      <c r="D446" s="123"/>
    </row>
    <row r="447">
      <c r="D447" s="123"/>
    </row>
    <row r="448">
      <c r="D448" s="123"/>
    </row>
    <row r="449">
      <c r="D449" s="123"/>
    </row>
    <row r="450">
      <c r="D450" s="123"/>
    </row>
    <row r="451">
      <c r="D451" s="123"/>
    </row>
    <row r="452">
      <c r="D452" s="123"/>
    </row>
    <row r="453">
      <c r="D453" s="123"/>
    </row>
    <row r="454">
      <c r="D454" s="123"/>
    </row>
    <row r="455">
      <c r="D455" s="123"/>
    </row>
    <row r="456">
      <c r="D456" s="123"/>
    </row>
    <row r="457">
      <c r="D457" s="123"/>
    </row>
    <row r="458">
      <c r="D458" s="123"/>
    </row>
    <row r="459">
      <c r="D459" s="123"/>
    </row>
    <row r="460">
      <c r="D460" s="123"/>
    </row>
    <row r="461">
      <c r="D461" s="123"/>
    </row>
    <row r="462">
      <c r="D462" s="123"/>
    </row>
    <row r="463">
      <c r="D463" s="123"/>
    </row>
    <row r="464">
      <c r="D464" s="123"/>
    </row>
    <row r="465">
      <c r="D465" s="123"/>
    </row>
    <row r="466">
      <c r="D466" s="123"/>
    </row>
    <row r="467">
      <c r="D467" s="123"/>
    </row>
    <row r="468">
      <c r="D468" s="123"/>
    </row>
    <row r="469">
      <c r="D469" s="123"/>
    </row>
    <row r="470">
      <c r="D470" s="123"/>
    </row>
    <row r="471">
      <c r="D471" s="123"/>
    </row>
    <row r="472">
      <c r="D472" s="123"/>
    </row>
    <row r="473">
      <c r="D473" s="123"/>
    </row>
    <row r="474">
      <c r="D474" s="123"/>
    </row>
    <row r="475">
      <c r="D475" s="123"/>
    </row>
    <row r="476">
      <c r="D476" s="123"/>
    </row>
    <row r="477">
      <c r="D477" s="123"/>
    </row>
    <row r="478">
      <c r="D478" s="123"/>
    </row>
    <row r="479">
      <c r="D479" s="123"/>
    </row>
    <row r="480">
      <c r="D480" s="123"/>
    </row>
    <row r="481">
      <c r="D481" s="123"/>
    </row>
    <row r="482">
      <c r="D482" s="123"/>
    </row>
    <row r="483">
      <c r="D483" s="123"/>
    </row>
    <row r="484">
      <c r="D484" s="123"/>
    </row>
    <row r="485">
      <c r="D485" s="123"/>
    </row>
    <row r="486">
      <c r="D486" s="123"/>
    </row>
    <row r="487">
      <c r="D487" s="123"/>
    </row>
    <row r="488">
      <c r="D488" s="123"/>
    </row>
    <row r="489">
      <c r="D489" s="123"/>
    </row>
    <row r="490">
      <c r="D490" s="123"/>
    </row>
    <row r="491">
      <c r="D491" s="123"/>
    </row>
    <row r="492">
      <c r="D492" s="123"/>
    </row>
    <row r="493">
      <c r="D493" s="123"/>
    </row>
    <row r="494">
      <c r="D494" s="123"/>
    </row>
    <row r="495">
      <c r="D495" s="123"/>
    </row>
    <row r="496">
      <c r="D496" s="123"/>
    </row>
    <row r="497">
      <c r="D497" s="123"/>
    </row>
    <row r="498">
      <c r="D498" s="123"/>
    </row>
    <row r="499">
      <c r="D499" s="123"/>
    </row>
    <row r="500">
      <c r="D500" s="123"/>
    </row>
    <row r="501">
      <c r="D501" s="123"/>
    </row>
    <row r="502">
      <c r="D502" s="123"/>
    </row>
    <row r="503">
      <c r="D503" s="123"/>
    </row>
    <row r="504">
      <c r="D504" s="123"/>
    </row>
    <row r="505">
      <c r="D505" s="123"/>
    </row>
    <row r="506">
      <c r="D506" s="123"/>
    </row>
    <row r="507">
      <c r="D507" s="123"/>
    </row>
    <row r="508">
      <c r="D508" s="123"/>
    </row>
    <row r="509">
      <c r="D509" s="123"/>
    </row>
    <row r="510">
      <c r="D510" s="123"/>
    </row>
    <row r="511">
      <c r="D511" s="123"/>
    </row>
    <row r="512">
      <c r="D512" s="123"/>
    </row>
    <row r="513">
      <c r="D513" s="123"/>
    </row>
    <row r="514">
      <c r="D514" s="123"/>
    </row>
    <row r="515">
      <c r="D515" s="123"/>
    </row>
    <row r="516">
      <c r="D516" s="123"/>
    </row>
    <row r="517">
      <c r="D517" s="123"/>
    </row>
    <row r="518">
      <c r="D518" s="123"/>
    </row>
    <row r="519">
      <c r="D519" s="123"/>
    </row>
    <row r="520">
      <c r="D520" s="123"/>
    </row>
    <row r="521">
      <c r="D521" s="123"/>
    </row>
    <row r="522">
      <c r="D522" s="123"/>
    </row>
    <row r="523">
      <c r="D523" s="123"/>
    </row>
    <row r="524">
      <c r="D524" s="123"/>
    </row>
    <row r="525">
      <c r="D525" s="123"/>
    </row>
    <row r="526">
      <c r="D526" s="123"/>
    </row>
    <row r="527">
      <c r="D527" s="123"/>
    </row>
    <row r="528">
      <c r="D528" s="123"/>
    </row>
    <row r="529">
      <c r="D529" s="123"/>
    </row>
    <row r="530">
      <c r="D530" s="123"/>
    </row>
    <row r="531">
      <c r="D531" s="123"/>
    </row>
    <row r="532">
      <c r="D532" s="123"/>
    </row>
    <row r="533">
      <c r="D533" s="123"/>
    </row>
    <row r="534">
      <c r="D534" s="123"/>
    </row>
    <row r="535">
      <c r="D535" s="123"/>
    </row>
    <row r="536">
      <c r="D536" s="123"/>
    </row>
    <row r="537">
      <c r="D537" s="123"/>
    </row>
    <row r="538">
      <c r="D538" s="123"/>
    </row>
    <row r="539">
      <c r="D539" s="123"/>
    </row>
    <row r="540">
      <c r="D540" s="123"/>
    </row>
    <row r="541">
      <c r="D541" s="123"/>
    </row>
    <row r="542">
      <c r="D542" s="123"/>
    </row>
    <row r="543">
      <c r="D543" s="123"/>
    </row>
    <row r="544">
      <c r="D544" s="123"/>
    </row>
    <row r="545">
      <c r="D545" s="123"/>
    </row>
    <row r="546">
      <c r="D546" s="123"/>
    </row>
    <row r="547">
      <c r="D547" s="123"/>
    </row>
    <row r="548">
      <c r="D548" s="123"/>
    </row>
    <row r="549">
      <c r="D549" s="123"/>
    </row>
    <row r="550">
      <c r="D550" s="123"/>
    </row>
    <row r="551">
      <c r="D551" s="123"/>
    </row>
    <row r="552">
      <c r="D552" s="123"/>
    </row>
    <row r="553">
      <c r="D553" s="123"/>
    </row>
    <row r="554">
      <c r="D554" s="123"/>
    </row>
    <row r="555">
      <c r="D555" s="123"/>
    </row>
    <row r="556">
      <c r="D556" s="123"/>
    </row>
    <row r="557">
      <c r="D557" s="123"/>
    </row>
    <row r="558">
      <c r="D558" s="123"/>
    </row>
    <row r="559">
      <c r="D559" s="123"/>
    </row>
    <row r="560">
      <c r="D560" s="123"/>
    </row>
    <row r="561">
      <c r="D561" s="123"/>
    </row>
    <row r="562">
      <c r="D562" s="123"/>
    </row>
    <row r="563">
      <c r="D563" s="123"/>
    </row>
    <row r="564">
      <c r="D564" s="123"/>
    </row>
    <row r="565">
      <c r="D565" s="123"/>
    </row>
    <row r="566">
      <c r="D566" s="123"/>
    </row>
    <row r="567">
      <c r="D567" s="123"/>
    </row>
    <row r="568">
      <c r="D568" s="123"/>
    </row>
    <row r="569">
      <c r="D569" s="123"/>
    </row>
    <row r="570">
      <c r="D570" s="123"/>
    </row>
    <row r="571">
      <c r="D571" s="123"/>
    </row>
    <row r="572">
      <c r="D572" s="123"/>
    </row>
    <row r="573">
      <c r="D573" s="123"/>
    </row>
    <row r="574">
      <c r="D574" s="123"/>
    </row>
    <row r="575">
      <c r="D575" s="123"/>
    </row>
    <row r="576">
      <c r="D576" s="123"/>
    </row>
    <row r="577">
      <c r="D577" s="123"/>
    </row>
    <row r="578">
      <c r="D578" s="123"/>
    </row>
    <row r="579">
      <c r="D579" s="123"/>
    </row>
    <row r="580">
      <c r="D580" s="123"/>
    </row>
    <row r="581">
      <c r="D581" s="123"/>
    </row>
    <row r="582">
      <c r="D582" s="123"/>
    </row>
    <row r="583">
      <c r="D583" s="123"/>
    </row>
    <row r="584">
      <c r="D584" s="123"/>
    </row>
    <row r="585">
      <c r="D585" s="123"/>
    </row>
    <row r="586">
      <c r="D586" s="123"/>
    </row>
    <row r="587">
      <c r="D587" s="123"/>
    </row>
    <row r="588">
      <c r="D588" s="123"/>
    </row>
    <row r="589">
      <c r="D589" s="123"/>
    </row>
    <row r="590">
      <c r="D590" s="123"/>
    </row>
    <row r="591">
      <c r="D591" s="123"/>
    </row>
    <row r="592">
      <c r="D592" s="123"/>
    </row>
    <row r="593">
      <c r="D593" s="123"/>
    </row>
    <row r="594">
      <c r="D594" s="123"/>
    </row>
    <row r="595">
      <c r="D595" s="123"/>
    </row>
    <row r="596">
      <c r="D596" s="123"/>
    </row>
    <row r="597">
      <c r="D597" s="123"/>
    </row>
    <row r="598">
      <c r="D598" s="123"/>
    </row>
    <row r="599">
      <c r="D599" s="123"/>
    </row>
    <row r="600">
      <c r="D600" s="123"/>
    </row>
    <row r="601">
      <c r="D601" s="123"/>
    </row>
    <row r="602">
      <c r="D602" s="123"/>
    </row>
    <row r="603">
      <c r="D603" s="123"/>
    </row>
    <row r="604">
      <c r="D604" s="123"/>
    </row>
    <row r="605">
      <c r="D605" s="123"/>
    </row>
    <row r="606">
      <c r="D606" s="123"/>
    </row>
    <row r="607">
      <c r="D607" s="123"/>
    </row>
    <row r="608">
      <c r="D608" s="123"/>
    </row>
    <row r="609">
      <c r="D609" s="123"/>
    </row>
    <row r="610">
      <c r="D610" s="123"/>
    </row>
    <row r="611">
      <c r="D611" s="123"/>
    </row>
    <row r="612">
      <c r="D612" s="123"/>
    </row>
    <row r="613">
      <c r="D613" s="123"/>
    </row>
    <row r="614">
      <c r="D614" s="123"/>
    </row>
    <row r="615">
      <c r="D615" s="123"/>
    </row>
    <row r="616">
      <c r="D616" s="123"/>
    </row>
    <row r="617">
      <c r="D617" s="123"/>
    </row>
    <row r="618">
      <c r="D618" s="123"/>
    </row>
    <row r="619">
      <c r="D619" s="123"/>
    </row>
    <row r="620">
      <c r="D620" s="123"/>
    </row>
    <row r="621">
      <c r="D621" s="123"/>
    </row>
    <row r="622">
      <c r="D622" s="123"/>
    </row>
    <row r="623">
      <c r="D623" s="123"/>
    </row>
    <row r="624">
      <c r="D624" s="123"/>
    </row>
    <row r="625">
      <c r="D625" s="123"/>
    </row>
    <row r="626">
      <c r="D626" s="123"/>
    </row>
    <row r="627">
      <c r="D627" s="123"/>
    </row>
    <row r="628">
      <c r="D628" s="123"/>
    </row>
    <row r="629">
      <c r="D629" s="123"/>
    </row>
    <row r="630">
      <c r="D630" s="123"/>
    </row>
    <row r="631">
      <c r="D631" s="123"/>
    </row>
    <row r="632">
      <c r="D632" s="123"/>
    </row>
    <row r="633">
      <c r="D633" s="123"/>
    </row>
    <row r="634">
      <c r="D634" s="123"/>
    </row>
    <row r="635">
      <c r="D635" s="123"/>
    </row>
    <row r="636">
      <c r="D636" s="123"/>
    </row>
    <row r="637">
      <c r="D637" s="123"/>
    </row>
    <row r="638">
      <c r="D638" s="123"/>
    </row>
    <row r="639">
      <c r="D639" s="123"/>
    </row>
    <row r="640">
      <c r="D640" s="123"/>
    </row>
    <row r="641">
      <c r="D641" s="123"/>
    </row>
    <row r="642">
      <c r="D642" s="123"/>
    </row>
    <row r="643">
      <c r="D643" s="123"/>
    </row>
    <row r="644">
      <c r="D644" s="123"/>
    </row>
    <row r="645">
      <c r="D645" s="123"/>
    </row>
    <row r="646">
      <c r="D646" s="123"/>
    </row>
    <row r="647">
      <c r="D647" s="123"/>
    </row>
    <row r="648">
      <c r="D648" s="123"/>
    </row>
    <row r="649">
      <c r="D649" s="123"/>
    </row>
    <row r="650">
      <c r="D650" s="123"/>
    </row>
    <row r="651">
      <c r="D651" s="123"/>
    </row>
    <row r="652">
      <c r="D652" s="123"/>
    </row>
    <row r="653">
      <c r="D653" s="123"/>
    </row>
    <row r="654">
      <c r="D654" s="123"/>
    </row>
    <row r="655">
      <c r="D655" s="123"/>
    </row>
    <row r="656">
      <c r="D656" s="123"/>
    </row>
    <row r="657">
      <c r="D657" s="123"/>
    </row>
    <row r="658">
      <c r="D658" s="123"/>
    </row>
    <row r="659">
      <c r="D659" s="123"/>
    </row>
    <row r="660">
      <c r="D660" s="123"/>
    </row>
    <row r="661">
      <c r="D661" s="123"/>
    </row>
    <row r="662">
      <c r="D662" s="123"/>
    </row>
    <row r="663">
      <c r="D663" s="123"/>
    </row>
    <row r="664">
      <c r="D664" s="123"/>
    </row>
    <row r="665">
      <c r="D665" s="123"/>
    </row>
    <row r="666">
      <c r="D666" s="123"/>
    </row>
    <row r="667">
      <c r="D667" s="123"/>
    </row>
    <row r="668">
      <c r="D668" s="123"/>
    </row>
    <row r="669">
      <c r="D669" s="123"/>
    </row>
    <row r="670">
      <c r="D670" s="123"/>
    </row>
    <row r="671">
      <c r="D671" s="123"/>
    </row>
    <row r="672">
      <c r="D672" s="123"/>
    </row>
    <row r="673">
      <c r="D673" s="123"/>
    </row>
    <row r="674">
      <c r="D674" s="123"/>
    </row>
    <row r="675">
      <c r="D675" s="123"/>
    </row>
    <row r="676">
      <c r="D676" s="123"/>
    </row>
    <row r="677">
      <c r="D677" s="123"/>
    </row>
    <row r="678">
      <c r="D678" s="123"/>
    </row>
    <row r="679">
      <c r="D679" s="123"/>
    </row>
    <row r="680">
      <c r="D680" s="123"/>
    </row>
    <row r="681">
      <c r="D681" s="123"/>
    </row>
    <row r="682">
      <c r="D682" s="123"/>
    </row>
    <row r="683">
      <c r="D683" s="123"/>
    </row>
    <row r="684">
      <c r="D684" s="123"/>
    </row>
    <row r="685">
      <c r="D685" s="123"/>
    </row>
    <row r="686">
      <c r="D686" s="123"/>
    </row>
    <row r="687">
      <c r="D687" s="123"/>
    </row>
    <row r="688">
      <c r="D688" s="123"/>
    </row>
    <row r="689">
      <c r="D689" s="123"/>
    </row>
    <row r="690">
      <c r="D690" s="123"/>
    </row>
    <row r="691">
      <c r="D691" s="123"/>
    </row>
    <row r="692">
      <c r="D692" s="123"/>
    </row>
    <row r="693">
      <c r="D693" s="123"/>
    </row>
    <row r="694">
      <c r="D694" s="123"/>
    </row>
    <row r="695">
      <c r="D695" s="123"/>
    </row>
    <row r="696">
      <c r="D696" s="123"/>
    </row>
    <row r="697">
      <c r="D697" s="123"/>
    </row>
    <row r="698">
      <c r="D698" s="123"/>
    </row>
    <row r="699">
      <c r="D699" s="123"/>
    </row>
    <row r="700">
      <c r="D700" s="123"/>
    </row>
    <row r="701">
      <c r="D701" s="123"/>
    </row>
    <row r="702">
      <c r="D702" s="123"/>
    </row>
    <row r="703">
      <c r="D703" s="123"/>
    </row>
    <row r="704">
      <c r="D704" s="123"/>
    </row>
    <row r="705">
      <c r="D705" s="123"/>
    </row>
    <row r="706">
      <c r="D706" s="123"/>
    </row>
    <row r="707">
      <c r="D707" s="123"/>
    </row>
    <row r="708">
      <c r="D708" s="123"/>
    </row>
    <row r="709">
      <c r="D709" s="123"/>
    </row>
    <row r="710">
      <c r="D710" s="123"/>
    </row>
    <row r="711">
      <c r="D711" s="123"/>
    </row>
    <row r="712">
      <c r="D712" s="123"/>
    </row>
    <row r="713">
      <c r="D713" s="123"/>
    </row>
    <row r="714">
      <c r="D714" s="123"/>
    </row>
    <row r="715">
      <c r="D715" s="123"/>
    </row>
    <row r="716">
      <c r="D716" s="123"/>
    </row>
    <row r="717">
      <c r="D717" s="123"/>
    </row>
    <row r="718">
      <c r="D718" s="123"/>
    </row>
    <row r="719">
      <c r="D719" s="123"/>
    </row>
    <row r="720">
      <c r="D720" s="123"/>
    </row>
    <row r="721">
      <c r="D721" s="123"/>
    </row>
    <row r="722">
      <c r="D722" s="123"/>
    </row>
    <row r="723">
      <c r="D723" s="123"/>
    </row>
    <row r="724">
      <c r="D724" s="123"/>
    </row>
    <row r="725">
      <c r="D725" s="123"/>
    </row>
    <row r="726">
      <c r="D726" s="123"/>
    </row>
    <row r="727">
      <c r="D727" s="123"/>
    </row>
    <row r="728">
      <c r="D728" s="123"/>
    </row>
    <row r="729">
      <c r="D729" s="123"/>
    </row>
    <row r="730">
      <c r="D730" s="123"/>
    </row>
    <row r="731">
      <c r="D731" s="123"/>
    </row>
    <row r="732">
      <c r="D732" s="123"/>
    </row>
    <row r="733">
      <c r="D733" s="123"/>
    </row>
    <row r="734">
      <c r="D734" s="123"/>
    </row>
    <row r="735">
      <c r="D735" s="123"/>
    </row>
    <row r="736">
      <c r="D736" s="123"/>
    </row>
    <row r="737">
      <c r="D737" s="123"/>
    </row>
    <row r="738">
      <c r="D738" s="123"/>
    </row>
    <row r="739">
      <c r="D739" s="123"/>
    </row>
    <row r="740">
      <c r="D740" s="123"/>
    </row>
    <row r="741">
      <c r="D741" s="123"/>
    </row>
    <row r="742">
      <c r="D742" s="123"/>
    </row>
    <row r="743">
      <c r="D743" s="123"/>
    </row>
    <row r="744">
      <c r="D744" s="123"/>
    </row>
    <row r="745">
      <c r="D745" s="123"/>
    </row>
    <row r="746">
      <c r="D746" s="123"/>
    </row>
    <row r="747">
      <c r="D747" s="123"/>
    </row>
    <row r="748">
      <c r="D748" s="123"/>
    </row>
    <row r="749">
      <c r="D749" s="123"/>
    </row>
    <row r="750">
      <c r="D750" s="123"/>
    </row>
    <row r="751">
      <c r="D751" s="123"/>
    </row>
    <row r="752">
      <c r="D752" s="123"/>
    </row>
    <row r="753">
      <c r="D753" s="123"/>
    </row>
    <row r="754">
      <c r="D754" s="123"/>
    </row>
    <row r="755">
      <c r="D755" s="123"/>
    </row>
    <row r="756">
      <c r="D756" s="123"/>
    </row>
    <row r="757">
      <c r="D757" s="123"/>
    </row>
    <row r="758">
      <c r="D758" s="123"/>
    </row>
    <row r="759">
      <c r="D759" s="123"/>
    </row>
    <row r="760">
      <c r="D760" s="123"/>
    </row>
    <row r="761">
      <c r="D761" s="123"/>
    </row>
    <row r="762">
      <c r="D762" s="123"/>
    </row>
    <row r="763">
      <c r="D763" s="123"/>
    </row>
    <row r="764">
      <c r="D764" s="123"/>
    </row>
    <row r="765">
      <c r="D765" s="123"/>
    </row>
    <row r="766">
      <c r="D766" s="123"/>
    </row>
    <row r="767">
      <c r="D767" s="123"/>
    </row>
    <row r="768">
      <c r="D768" s="123"/>
    </row>
    <row r="769">
      <c r="D769" s="123"/>
    </row>
    <row r="770">
      <c r="D770" s="123"/>
    </row>
    <row r="771">
      <c r="D771" s="123"/>
    </row>
    <row r="772">
      <c r="D772" s="123"/>
    </row>
    <row r="773">
      <c r="D773" s="123"/>
    </row>
    <row r="774">
      <c r="D774" s="123"/>
    </row>
    <row r="775">
      <c r="D775" s="123"/>
    </row>
    <row r="776">
      <c r="D776" s="123"/>
    </row>
    <row r="777">
      <c r="D777" s="123"/>
    </row>
    <row r="778">
      <c r="D778" s="123"/>
    </row>
    <row r="779">
      <c r="D779" s="123"/>
    </row>
    <row r="780">
      <c r="D780" s="123"/>
    </row>
    <row r="781">
      <c r="D781" s="123"/>
    </row>
    <row r="782">
      <c r="D782" s="123"/>
    </row>
    <row r="783">
      <c r="D783" s="123"/>
    </row>
    <row r="784">
      <c r="D784" s="123"/>
    </row>
    <row r="785">
      <c r="D785" s="123"/>
    </row>
    <row r="786">
      <c r="D786" s="123"/>
    </row>
    <row r="787">
      <c r="D787" s="123"/>
    </row>
    <row r="788">
      <c r="D788" s="123"/>
    </row>
    <row r="789">
      <c r="D789" s="123"/>
    </row>
    <row r="790">
      <c r="D790" s="123"/>
    </row>
    <row r="791">
      <c r="D791" s="123"/>
    </row>
    <row r="792">
      <c r="D792" s="123"/>
    </row>
    <row r="793">
      <c r="D793" s="123"/>
    </row>
    <row r="794">
      <c r="D794" s="123"/>
    </row>
    <row r="795">
      <c r="D795" s="123"/>
    </row>
    <row r="796">
      <c r="D796" s="123"/>
    </row>
    <row r="797">
      <c r="D797" s="123"/>
    </row>
    <row r="798">
      <c r="D798" s="123"/>
    </row>
    <row r="799">
      <c r="D799" s="123"/>
    </row>
    <row r="800">
      <c r="D800" s="123"/>
    </row>
    <row r="801">
      <c r="D801" s="123"/>
    </row>
    <row r="802">
      <c r="D802" s="123"/>
    </row>
    <row r="803">
      <c r="D803" s="123"/>
    </row>
    <row r="804">
      <c r="D804" s="123"/>
    </row>
    <row r="805">
      <c r="D805" s="123"/>
    </row>
    <row r="806">
      <c r="D806" s="123"/>
    </row>
    <row r="807">
      <c r="D807" s="123"/>
    </row>
    <row r="808">
      <c r="D808" s="123"/>
    </row>
    <row r="809">
      <c r="D809" s="123"/>
    </row>
    <row r="810">
      <c r="D810" s="123"/>
    </row>
    <row r="811">
      <c r="D811" s="123"/>
    </row>
    <row r="812">
      <c r="D812" s="123"/>
    </row>
    <row r="813">
      <c r="D813" s="123"/>
    </row>
    <row r="814">
      <c r="D814" s="123"/>
    </row>
    <row r="815">
      <c r="D815" s="123"/>
    </row>
    <row r="816">
      <c r="D816" s="123"/>
    </row>
    <row r="817">
      <c r="D817" s="123"/>
    </row>
    <row r="818">
      <c r="D818" s="123"/>
    </row>
    <row r="819">
      <c r="D819" s="123"/>
    </row>
    <row r="820">
      <c r="D820" s="123"/>
    </row>
    <row r="821">
      <c r="D821" s="123"/>
    </row>
    <row r="822">
      <c r="D822" s="123"/>
    </row>
    <row r="823">
      <c r="D823" s="123"/>
    </row>
    <row r="824">
      <c r="D824" s="123"/>
    </row>
    <row r="825">
      <c r="D825" s="123"/>
    </row>
    <row r="826">
      <c r="D826" s="123"/>
    </row>
    <row r="827">
      <c r="D827" s="123"/>
    </row>
    <row r="828">
      <c r="D828" s="123"/>
    </row>
    <row r="829">
      <c r="D829" s="123"/>
    </row>
    <row r="830">
      <c r="D830" s="123"/>
    </row>
    <row r="831">
      <c r="D831" s="123"/>
    </row>
    <row r="832">
      <c r="D832" s="123"/>
    </row>
    <row r="833">
      <c r="D833" s="123"/>
    </row>
    <row r="834">
      <c r="D834" s="123"/>
    </row>
    <row r="835">
      <c r="D835" s="123"/>
    </row>
    <row r="836">
      <c r="D836" s="123"/>
    </row>
    <row r="837">
      <c r="D837" s="123"/>
    </row>
    <row r="838">
      <c r="D838" s="123"/>
    </row>
    <row r="839">
      <c r="D839" s="123"/>
    </row>
    <row r="840">
      <c r="D840" s="123"/>
    </row>
    <row r="841">
      <c r="D841" s="123"/>
    </row>
    <row r="842">
      <c r="D842" s="123"/>
    </row>
    <row r="843">
      <c r="D843" s="123"/>
    </row>
    <row r="844">
      <c r="D844" s="123"/>
    </row>
    <row r="845">
      <c r="D845" s="123"/>
    </row>
    <row r="846">
      <c r="D846" s="123"/>
    </row>
    <row r="847">
      <c r="D847" s="123"/>
    </row>
    <row r="848">
      <c r="D848" s="123"/>
    </row>
    <row r="849">
      <c r="D849" s="123"/>
    </row>
    <row r="850">
      <c r="D850" s="123"/>
    </row>
    <row r="851">
      <c r="D851" s="123"/>
    </row>
    <row r="852">
      <c r="D852" s="123"/>
    </row>
    <row r="853">
      <c r="D853" s="123"/>
    </row>
    <row r="854">
      <c r="D854" s="123"/>
    </row>
    <row r="855">
      <c r="D855" s="123"/>
    </row>
    <row r="856">
      <c r="D856" s="123"/>
    </row>
    <row r="857">
      <c r="D857" s="123"/>
    </row>
    <row r="858">
      <c r="D858" s="123"/>
    </row>
    <row r="859">
      <c r="D859" s="123"/>
    </row>
    <row r="860">
      <c r="D860" s="123"/>
    </row>
    <row r="861">
      <c r="D861" s="123"/>
    </row>
    <row r="862">
      <c r="D862" s="123"/>
    </row>
    <row r="863">
      <c r="D863" s="123"/>
    </row>
    <row r="864">
      <c r="D864" s="123"/>
    </row>
    <row r="865">
      <c r="D865" s="123"/>
    </row>
    <row r="866">
      <c r="D866" s="123"/>
    </row>
    <row r="867">
      <c r="D867" s="123"/>
    </row>
    <row r="868">
      <c r="D868" s="123"/>
    </row>
    <row r="869">
      <c r="D869" s="123"/>
    </row>
    <row r="870">
      <c r="D870" s="123"/>
    </row>
    <row r="871">
      <c r="D871" s="123"/>
    </row>
    <row r="872">
      <c r="D872" s="123"/>
    </row>
    <row r="873">
      <c r="D873" s="123"/>
    </row>
    <row r="874">
      <c r="D874" s="123"/>
    </row>
    <row r="875">
      <c r="D875" s="123"/>
    </row>
    <row r="876">
      <c r="D876" s="123"/>
    </row>
    <row r="877">
      <c r="D877" s="123"/>
    </row>
    <row r="878">
      <c r="D878" s="123"/>
    </row>
    <row r="879">
      <c r="D879" s="123"/>
    </row>
    <row r="880">
      <c r="D880" s="123"/>
    </row>
    <row r="881">
      <c r="D881" s="123"/>
    </row>
    <row r="882">
      <c r="D882" s="123"/>
    </row>
    <row r="883">
      <c r="D883" s="123"/>
    </row>
    <row r="884">
      <c r="D884" s="123"/>
    </row>
    <row r="885">
      <c r="D885" s="123"/>
    </row>
    <row r="886">
      <c r="D886" s="123"/>
    </row>
    <row r="887">
      <c r="D887" s="123"/>
    </row>
    <row r="888">
      <c r="D888" s="123"/>
    </row>
    <row r="889">
      <c r="D889" s="123"/>
    </row>
    <row r="890">
      <c r="D890" s="123"/>
    </row>
    <row r="891">
      <c r="D891" s="123"/>
    </row>
    <row r="892">
      <c r="D892" s="123"/>
    </row>
    <row r="893">
      <c r="D893" s="123"/>
    </row>
    <row r="894">
      <c r="D894" s="123"/>
    </row>
    <row r="895">
      <c r="D895" s="123"/>
    </row>
    <row r="896">
      <c r="D896" s="123"/>
    </row>
    <row r="897">
      <c r="D897" s="123"/>
    </row>
    <row r="898">
      <c r="D898" s="123"/>
    </row>
    <row r="899">
      <c r="D899" s="123"/>
    </row>
    <row r="900">
      <c r="D900" s="123"/>
    </row>
    <row r="901">
      <c r="D901" s="123"/>
    </row>
    <row r="902">
      <c r="D902" s="123"/>
    </row>
    <row r="903">
      <c r="D903" s="123"/>
    </row>
    <row r="904">
      <c r="D904" s="123"/>
    </row>
    <row r="905">
      <c r="D905" s="123"/>
    </row>
    <row r="906">
      <c r="D906" s="123"/>
    </row>
    <row r="907">
      <c r="D907" s="123"/>
    </row>
    <row r="908">
      <c r="D908" s="123"/>
    </row>
    <row r="909">
      <c r="D909" s="123"/>
    </row>
    <row r="910">
      <c r="D910" s="123"/>
    </row>
    <row r="911">
      <c r="D911" s="123"/>
    </row>
    <row r="912">
      <c r="D912" s="123"/>
    </row>
    <row r="913">
      <c r="D913" s="123"/>
    </row>
    <row r="914">
      <c r="D914" s="123"/>
    </row>
    <row r="915">
      <c r="D915" s="123"/>
    </row>
    <row r="916">
      <c r="D916" s="123"/>
    </row>
    <row r="917">
      <c r="D917" s="123"/>
    </row>
    <row r="918">
      <c r="D918" s="123"/>
    </row>
    <row r="919">
      <c r="D919" s="123"/>
    </row>
    <row r="920">
      <c r="D920" s="123"/>
    </row>
    <row r="921">
      <c r="D921" s="123"/>
    </row>
    <row r="922">
      <c r="D922" s="123"/>
    </row>
    <row r="923">
      <c r="D923" s="123"/>
    </row>
    <row r="924">
      <c r="D924" s="123"/>
    </row>
    <row r="925">
      <c r="D925" s="123"/>
    </row>
    <row r="926">
      <c r="D926" s="123"/>
    </row>
    <row r="927">
      <c r="D927" s="123"/>
    </row>
    <row r="928">
      <c r="D928" s="123"/>
    </row>
    <row r="929">
      <c r="D929" s="123"/>
    </row>
    <row r="930">
      <c r="D930" s="123"/>
    </row>
    <row r="931">
      <c r="D931" s="123"/>
    </row>
    <row r="932">
      <c r="D932" s="123"/>
    </row>
    <row r="933">
      <c r="D933" s="123"/>
    </row>
    <row r="934">
      <c r="D934" s="123"/>
    </row>
    <row r="935">
      <c r="D935" s="123"/>
    </row>
    <row r="936">
      <c r="D936" s="123"/>
    </row>
    <row r="937">
      <c r="D937" s="123"/>
    </row>
    <row r="938">
      <c r="D938" s="123"/>
    </row>
    <row r="939">
      <c r="D939" s="123"/>
    </row>
    <row r="940">
      <c r="D940" s="123"/>
    </row>
    <row r="941">
      <c r="D941" s="123"/>
    </row>
    <row r="942">
      <c r="D942" s="123"/>
    </row>
    <row r="943">
      <c r="D943" s="123"/>
    </row>
    <row r="944">
      <c r="D944" s="123"/>
    </row>
    <row r="945">
      <c r="D945" s="123"/>
    </row>
    <row r="946">
      <c r="D946" s="123"/>
    </row>
    <row r="947">
      <c r="D947" s="123"/>
    </row>
    <row r="948">
      <c r="D948" s="123"/>
    </row>
    <row r="949">
      <c r="D949" s="123"/>
    </row>
    <row r="950">
      <c r="D950" s="123"/>
    </row>
    <row r="951">
      <c r="D951" s="123"/>
    </row>
    <row r="952">
      <c r="D952" s="123"/>
    </row>
    <row r="953">
      <c r="D953" s="123"/>
    </row>
    <row r="954">
      <c r="D954" s="123"/>
    </row>
    <row r="955">
      <c r="D955" s="123"/>
    </row>
    <row r="956">
      <c r="D956" s="123"/>
    </row>
    <row r="957">
      <c r="D957" s="123"/>
    </row>
    <row r="958">
      <c r="D958" s="123"/>
    </row>
    <row r="959">
      <c r="D959" s="123"/>
    </row>
    <row r="960">
      <c r="D960" s="123"/>
    </row>
    <row r="961">
      <c r="D961" s="123"/>
    </row>
    <row r="962">
      <c r="D962" s="123"/>
    </row>
    <row r="963">
      <c r="D963" s="123"/>
    </row>
    <row r="964">
      <c r="D964" s="123"/>
    </row>
    <row r="965">
      <c r="D965" s="123"/>
    </row>
    <row r="966">
      <c r="D966" s="123"/>
    </row>
    <row r="967">
      <c r="D967" s="123"/>
    </row>
    <row r="968">
      <c r="D968" s="123"/>
    </row>
    <row r="969">
      <c r="D969" s="123"/>
    </row>
    <row r="970">
      <c r="D970" s="123"/>
    </row>
    <row r="971">
      <c r="D971" s="123"/>
    </row>
    <row r="972">
      <c r="D972" s="123"/>
    </row>
    <row r="973">
      <c r="D973" s="123"/>
    </row>
    <row r="974">
      <c r="D974" s="123"/>
    </row>
    <row r="975">
      <c r="D975" s="123"/>
    </row>
    <row r="976">
      <c r="D976" s="123"/>
    </row>
    <row r="977">
      <c r="D977" s="123"/>
    </row>
    <row r="978">
      <c r="D978" s="123"/>
    </row>
    <row r="979">
      <c r="D979" s="123"/>
    </row>
    <row r="980">
      <c r="D980" s="123"/>
    </row>
    <row r="981">
      <c r="D981" s="123"/>
    </row>
    <row r="982">
      <c r="D982" s="123"/>
    </row>
    <row r="983">
      <c r="D983" s="123"/>
    </row>
    <row r="984">
      <c r="D984" s="123"/>
    </row>
    <row r="985">
      <c r="D985" s="123"/>
    </row>
    <row r="986">
      <c r="D986" s="123"/>
    </row>
    <row r="987">
      <c r="D987" s="123"/>
    </row>
    <row r="988">
      <c r="D988" s="123"/>
    </row>
    <row r="989">
      <c r="D989" s="123"/>
    </row>
    <row r="990">
      <c r="D990" s="123"/>
    </row>
    <row r="991">
      <c r="D991" s="123"/>
    </row>
    <row r="992">
      <c r="D992" s="123"/>
    </row>
    <row r="993">
      <c r="D993" s="123"/>
    </row>
    <row r="994">
      <c r="D994" s="123"/>
    </row>
    <row r="995">
      <c r="D995" s="123"/>
    </row>
    <row r="996">
      <c r="D996" s="123"/>
    </row>
    <row r="997">
      <c r="D997" s="123"/>
    </row>
    <row r="998">
      <c r="D998" s="123"/>
    </row>
    <row r="999">
      <c r="D999" s="123"/>
    </row>
    <row r="1000">
      <c r="D1000" s="123"/>
    </row>
    <row r="1001">
      <c r="D1001" s="123"/>
    </row>
    <row r="1002">
      <c r="D1002" s="123"/>
    </row>
    <row r="1003">
      <c r="D1003" s="123"/>
    </row>
    <row r="1004">
      <c r="D1004" s="123"/>
    </row>
    <row r="1005">
      <c r="D1005" s="123"/>
    </row>
    <row r="1006">
      <c r="D1006" s="123"/>
    </row>
    <row r="1007">
      <c r="D1007" s="123"/>
    </row>
    <row r="1008">
      <c r="D1008" s="123"/>
    </row>
    <row r="1009">
      <c r="D1009" s="123"/>
    </row>
    <row r="1010">
      <c r="D1010" s="123"/>
    </row>
    <row r="1011">
      <c r="D1011" s="123"/>
    </row>
    <row r="1012">
      <c r="D1012" s="123"/>
    </row>
    <row r="1013">
      <c r="D1013" s="123"/>
    </row>
    <row r="1014">
      <c r="D1014" s="123"/>
    </row>
    <row r="1015">
      <c r="D1015" s="123"/>
    </row>
    <row r="1016">
      <c r="D1016" s="123"/>
    </row>
    <row r="1017">
      <c r="D1017" s="123"/>
    </row>
    <row r="1018">
      <c r="D1018" s="123"/>
    </row>
    <row r="1019">
      <c r="D1019" s="123"/>
    </row>
    <row r="1020">
      <c r="D1020" s="123"/>
    </row>
    <row r="1021">
      <c r="D1021" s="123"/>
    </row>
    <row r="1022">
      <c r="D1022" s="123"/>
    </row>
    <row r="1023">
      <c r="D1023" s="123"/>
    </row>
    <row r="1024">
      <c r="D1024" s="123"/>
    </row>
    <row r="1025">
      <c r="D1025" s="123"/>
    </row>
    <row r="1026">
      <c r="D1026" s="123"/>
    </row>
    <row r="1027">
      <c r="D1027" s="123"/>
    </row>
    <row r="1028">
      <c r="D1028" s="123"/>
    </row>
    <row r="1029">
      <c r="D1029" s="123"/>
    </row>
    <row r="1030">
      <c r="D1030" s="123"/>
    </row>
    <row r="1031">
      <c r="D1031" s="123"/>
    </row>
    <row r="1032">
      <c r="D1032" s="123"/>
    </row>
    <row r="1033">
      <c r="D1033" s="123"/>
    </row>
    <row r="1034">
      <c r="D1034" s="123"/>
    </row>
    <row r="1035">
      <c r="D1035" s="123"/>
    </row>
    <row r="1036">
      <c r="D1036" s="123"/>
    </row>
    <row r="1037">
      <c r="D1037" s="123"/>
    </row>
    <row r="1038">
      <c r="D1038" s="123"/>
    </row>
    <row r="1039">
      <c r="D1039" s="123"/>
    </row>
    <row r="1040">
      <c r="D1040" s="123"/>
    </row>
    <row r="1041">
      <c r="D1041" s="123"/>
    </row>
    <row r="1042">
      <c r="D1042" s="123"/>
    </row>
    <row r="1043">
      <c r="D1043" s="123"/>
    </row>
    <row r="1044">
      <c r="D1044" s="123"/>
    </row>
    <row r="1045">
      <c r="D1045" s="123"/>
    </row>
    <row r="1046">
      <c r="D1046" s="123"/>
    </row>
    <row r="1047">
      <c r="D1047" s="123"/>
    </row>
    <row r="1048">
      <c r="D1048" s="123"/>
    </row>
    <row r="1049">
      <c r="D1049" s="123"/>
    </row>
    <row r="1050">
      <c r="D1050" s="123"/>
    </row>
    <row r="1051">
      <c r="D1051" s="123"/>
    </row>
    <row r="1052">
      <c r="D1052" s="123"/>
    </row>
    <row r="1053">
      <c r="D1053" s="123"/>
    </row>
    <row r="1054">
      <c r="D1054" s="123"/>
    </row>
    <row r="1055">
      <c r="D1055" s="123"/>
    </row>
    <row r="1056">
      <c r="D1056" s="123"/>
    </row>
    <row r="1057">
      <c r="D1057" s="123"/>
    </row>
    <row r="1058">
      <c r="D1058" s="123"/>
    </row>
    <row r="1059">
      <c r="D1059" s="123"/>
    </row>
    <row r="1060">
      <c r="D1060" s="123"/>
    </row>
    <row r="1061">
      <c r="D1061" s="123"/>
    </row>
    <row r="1062">
      <c r="D1062" s="123"/>
    </row>
    <row r="1063">
      <c r="D1063" s="123"/>
    </row>
    <row r="1064">
      <c r="D1064" s="123"/>
    </row>
    <row r="1065">
      <c r="D1065" s="123"/>
    </row>
    <row r="1066">
      <c r="D1066" s="123"/>
    </row>
    <row r="1067">
      <c r="D1067" s="123"/>
    </row>
    <row r="1068">
      <c r="D1068" s="123"/>
    </row>
    <row r="1069">
      <c r="D1069" s="123"/>
    </row>
    <row r="1070">
      <c r="D1070" s="123"/>
    </row>
    <row r="1071">
      <c r="D1071" s="123"/>
    </row>
    <row r="1072">
      <c r="D1072" s="123"/>
    </row>
    <row r="1073">
      <c r="D1073" s="123"/>
    </row>
    <row r="1074">
      <c r="D1074" s="123"/>
    </row>
    <row r="1075">
      <c r="D1075" s="123"/>
    </row>
    <row r="1076">
      <c r="D1076" s="123"/>
    </row>
    <row r="1077">
      <c r="D1077" s="123"/>
    </row>
    <row r="1078">
      <c r="D1078" s="123"/>
    </row>
    <row r="1079">
      <c r="D1079" s="123"/>
    </row>
    <row r="1080">
      <c r="D1080" s="123"/>
    </row>
    <row r="1081">
      <c r="D1081" s="123"/>
    </row>
    <row r="1082">
      <c r="D1082" s="123"/>
    </row>
    <row r="1083">
      <c r="D1083" s="123"/>
    </row>
    <row r="1084">
      <c r="D1084" s="123"/>
    </row>
    <row r="1085">
      <c r="D1085" s="123"/>
    </row>
    <row r="1086">
      <c r="D1086" s="123"/>
    </row>
    <row r="1087">
      <c r="D1087" s="123"/>
    </row>
    <row r="1088">
      <c r="D1088" s="123"/>
    </row>
    <row r="1089">
      <c r="D1089" s="123"/>
    </row>
    <row r="1090">
      <c r="D1090" s="123"/>
    </row>
    <row r="1091">
      <c r="D1091" s="123"/>
    </row>
    <row r="1092">
      <c r="D1092" s="123"/>
    </row>
    <row r="1093">
      <c r="D1093" s="123"/>
    </row>
    <row r="1094">
      <c r="D1094" s="123"/>
    </row>
    <row r="1095">
      <c r="D1095" s="123"/>
    </row>
    <row r="1096">
      <c r="D1096" s="123"/>
    </row>
    <row r="1097">
      <c r="D1097" s="123"/>
    </row>
    <row r="1098">
      <c r="D1098" s="123"/>
    </row>
    <row r="1099">
      <c r="D1099" s="123"/>
    </row>
    <row r="1100">
      <c r="D1100" s="123"/>
    </row>
    <row r="1101">
      <c r="D1101" s="123"/>
    </row>
    <row r="1102">
      <c r="D1102" s="123"/>
    </row>
    <row r="1103">
      <c r="D1103" s="123"/>
    </row>
    <row r="1104">
      <c r="D1104" s="123"/>
    </row>
    <row r="1105">
      <c r="D1105" s="123"/>
    </row>
    <row r="1106">
      <c r="D1106" s="123"/>
    </row>
    <row r="1107">
      <c r="D1107" s="123"/>
    </row>
    <row r="1108">
      <c r="D1108" s="123"/>
    </row>
    <row r="1109">
      <c r="D1109" s="123"/>
    </row>
    <row r="1110">
      <c r="D1110" s="123"/>
    </row>
    <row r="1111">
      <c r="D1111" s="123"/>
    </row>
    <row r="1112">
      <c r="D1112" s="123"/>
    </row>
    <row r="1113">
      <c r="D1113" s="123"/>
    </row>
    <row r="1114">
      <c r="D1114" s="123"/>
    </row>
    <row r="1115">
      <c r="D1115" s="123"/>
    </row>
    <row r="1116">
      <c r="D1116" s="123"/>
    </row>
    <row r="1117">
      <c r="D1117" s="123"/>
    </row>
    <row r="1118">
      <c r="D1118" s="123"/>
    </row>
    <row r="1119">
      <c r="D1119" s="123"/>
    </row>
    <row r="1120">
      <c r="D1120" s="123"/>
    </row>
    <row r="1121">
      <c r="D1121" s="123"/>
    </row>
    <row r="1122">
      <c r="D1122" s="123"/>
    </row>
    <row r="1123">
      <c r="D1123" s="123"/>
    </row>
    <row r="1124">
      <c r="D1124" s="123"/>
    </row>
    <row r="1125">
      <c r="D1125" s="123"/>
    </row>
    <row r="1126">
      <c r="D1126" s="123"/>
    </row>
    <row r="1127">
      <c r="D1127" s="123"/>
    </row>
    <row r="1128">
      <c r="D1128" s="123"/>
    </row>
    <row r="1129">
      <c r="D1129" s="123"/>
    </row>
    <row r="1130">
      <c r="D1130" s="123"/>
    </row>
    <row r="1131">
      <c r="D1131" s="123"/>
    </row>
    <row r="1132">
      <c r="D1132" s="123"/>
    </row>
    <row r="1133">
      <c r="D1133" s="123"/>
    </row>
    <row r="1134">
      <c r="D1134" s="123"/>
    </row>
    <row r="1135">
      <c r="D1135" s="123"/>
    </row>
    <row r="1136">
      <c r="D1136" s="123"/>
    </row>
    <row r="1137">
      <c r="D1137" s="123"/>
    </row>
    <row r="1138">
      <c r="D1138" s="123"/>
    </row>
    <row r="1139">
      <c r="D1139" s="123"/>
    </row>
    <row r="1140">
      <c r="D1140" s="123"/>
    </row>
    <row r="1141">
      <c r="D1141" s="123"/>
    </row>
    <row r="1142">
      <c r="D1142" s="123"/>
    </row>
    <row r="1143">
      <c r="D1143" s="123"/>
    </row>
    <row r="1144">
      <c r="D1144" s="123"/>
    </row>
    <row r="1145">
      <c r="D1145" s="123"/>
    </row>
    <row r="1146">
      <c r="D1146" s="123"/>
    </row>
    <row r="1147">
      <c r="D1147" s="123"/>
    </row>
    <row r="1148">
      <c r="D1148" s="123"/>
    </row>
    <row r="1149">
      <c r="D1149" s="123"/>
    </row>
    <row r="1150">
      <c r="D1150" s="123"/>
    </row>
    <row r="1151">
      <c r="D1151" s="123"/>
    </row>
    <row r="1152">
      <c r="D1152" s="123"/>
    </row>
    <row r="1153">
      <c r="D1153" s="123"/>
    </row>
    <row r="1154">
      <c r="D1154" s="123"/>
    </row>
    <row r="1155">
      <c r="D1155" s="123"/>
    </row>
    <row r="1156">
      <c r="D1156" s="123"/>
    </row>
    <row r="1157">
      <c r="D1157" s="123"/>
    </row>
    <row r="1158">
      <c r="D1158" s="123"/>
    </row>
    <row r="1159">
      <c r="D1159" s="123"/>
    </row>
    <row r="1160">
      <c r="D1160" s="123"/>
    </row>
    <row r="1161">
      <c r="D1161" s="123"/>
    </row>
    <row r="1162">
      <c r="D1162" s="123"/>
    </row>
    <row r="1163">
      <c r="D1163" s="123"/>
    </row>
    <row r="1164">
      <c r="D1164" s="123"/>
    </row>
    <row r="1165">
      <c r="D1165" s="123"/>
    </row>
    <row r="1166">
      <c r="D1166" s="123"/>
    </row>
    <row r="1167">
      <c r="D1167" s="123"/>
    </row>
    <row r="1168">
      <c r="D1168" s="123"/>
    </row>
    <row r="1169">
      <c r="D1169" s="123"/>
    </row>
    <row r="1170">
      <c r="D1170" s="123"/>
    </row>
    <row r="1171">
      <c r="D1171" s="123"/>
    </row>
    <row r="1172">
      <c r="D1172" s="123"/>
    </row>
    <row r="1173">
      <c r="D1173" s="123"/>
    </row>
    <row r="1174">
      <c r="D1174" s="123"/>
    </row>
    <row r="1175">
      <c r="D1175" s="123"/>
    </row>
    <row r="1176">
      <c r="D1176" s="123"/>
    </row>
    <row r="1177">
      <c r="D1177" s="123"/>
    </row>
    <row r="1178">
      <c r="D1178" s="123"/>
    </row>
    <row r="1179">
      <c r="D1179" s="123"/>
    </row>
    <row r="1180">
      <c r="D1180" s="123"/>
    </row>
    <row r="1181">
      <c r="D1181" s="123"/>
    </row>
    <row r="1182">
      <c r="D1182" s="123"/>
    </row>
    <row r="1183">
      <c r="D1183" s="123"/>
    </row>
    <row r="1184">
      <c r="D1184" s="123"/>
    </row>
    <row r="1185">
      <c r="D1185" s="123"/>
    </row>
    <row r="1186">
      <c r="D1186" s="123"/>
    </row>
    <row r="1187">
      <c r="D1187" s="123"/>
    </row>
    <row r="1188">
      <c r="D1188" s="123"/>
    </row>
    <row r="1189">
      <c r="D1189" s="123"/>
    </row>
    <row r="1190">
      <c r="D1190" s="123"/>
    </row>
    <row r="1191">
      <c r="D1191" s="123"/>
    </row>
    <row r="1192">
      <c r="D1192" s="123"/>
    </row>
    <row r="1193">
      <c r="D1193" s="123"/>
    </row>
    <row r="1194">
      <c r="D1194" s="123"/>
    </row>
    <row r="1195">
      <c r="D1195" s="123"/>
    </row>
    <row r="1196">
      <c r="D1196" s="123"/>
    </row>
    <row r="1197">
      <c r="D1197" s="123"/>
    </row>
    <row r="1198">
      <c r="D1198" s="123"/>
    </row>
    <row r="1199">
      <c r="D1199" s="123"/>
    </row>
    <row r="1200">
      <c r="D1200" s="123"/>
    </row>
    <row r="1201">
      <c r="D1201" s="123"/>
    </row>
    <row r="1202">
      <c r="D1202" s="123"/>
    </row>
    <row r="1203">
      <c r="D1203" s="123"/>
    </row>
    <row r="1204">
      <c r="D1204" s="123"/>
    </row>
    <row r="1205">
      <c r="D1205" s="123"/>
    </row>
    <row r="1206">
      <c r="D1206" s="123"/>
    </row>
    <row r="1207">
      <c r="D1207" s="123"/>
    </row>
    <row r="1208">
      <c r="D1208" s="123"/>
    </row>
    <row r="1209">
      <c r="D1209" s="123"/>
    </row>
    <row r="1210">
      <c r="D1210" s="123"/>
    </row>
    <row r="1211">
      <c r="D1211" s="123"/>
    </row>
    <row r="1212">
      <c r="D1212" s="123"/>
    </row>
    <row r="1213">
      <c r="D1213" s="123"/>
    </row>
    <row r="1214">
      <c r="D1214" s="123"/>
    </row>
    <row r="1215">
      <c r="D1215" s="123"/>
    </row>
    <row r="1216">
      <c r="D1216" s="123"/>
    </row>
    <row r="1217">
      <c r="D1217" s="123"/>
    </row>
    <row r="1218">
      <c r="D1218" s="123"/>
    </row>
    <row r="1219">
      <c r="D1219" s="123"/>
    </row>
    <row r="1220">
      <c r="D1220" s="123"/>
    </row>
    <row r="1221">
      <c r="D1221" s="123"/>
    </row>
    <row r="1222">
      <c r="D1222" s="123"/>
    </row>
    <row r="1223">
      <c r="D1223" s="123"/>
    </row>
    <row r="1224">
      <c r="D1224" s="123"/>
    </row>
    <row r="1225">
      <c r="D1225" s="123"/>
    </row>
    <row r="1226">
      <c r="D1226" s="123"/>
    </row>
    <row r="1227">
      <c r="D1227" s="123"/>
    </row>
    <row r="1228">
      <c r="D1228" s="123"/>
    </row>
    <row r="1229">
      <c r="D1229" s="123"/>
    </row>
    <row r="1230">
      <c r="D1230" s="123"/>
    </row>
    <row r="1231">
      <c r="D1231" s="123"/>
    </row>
    <row r="1232">
      <c r="D1232" s="123"/>
    </row>
    <row r="1233">
      <c r="D1233" s="123"/>
    </row>
    <row r="1234">
      <c r="D1234" s="123"/>
    </row>
    <row r="1235">
      <c r="D1235" s="123"/>
    </row>
    <row r="1236">
      <c r="D1236" s="123"/>
    </row>
    <row r="1237">
      <c r="D1237" s="123"/>
    </row>
    <row r="1238">
      <c r="D1238" s="123"/>
    </row>
    <row r="1239">
      <c r="D1239" s="123"/>
    </row>
    <row r="1240">
      <c r="D1240" s="123"/>
    </row>
    <row r="1241">
      <c r="D1241" s="123"/>
    </row>
    <row r="1242">
      <c r="D1242" s="123"/>
    </row>
    <row r="1243">
      <c r="D1243" s="123"/>
    </row>
    <row r="1244">
      <c r="D1244" s="123"/>
    </row>
    <row r="1245">
      <c r="D1245" s="123"/>
    </row>
    <row r="1246">
      <c r="D1246" s="123"/>
    </row>
    <row r="1247">
      <c r="D1247" s="123"/>
    </row>
    <row r="1248">
      <c r="D1248" s="123"/>
    </row>
    <row r="1249">
      <c r="D1249" s="123"/>
    </row>
    <row r="1250">
      <c r="D1250" s="123"/>
    </row>
    <row r="1251">
      <c r="D1251" s="123"/>
    </row>
    <row r="1252">
      <c r="D1252" s="123"/>
    </row>
    <row r="1253">
      <c r="D1253" s="123"/>
    </row>
    <row r="1254">
      <c r="D1254" s="123"/>
    </row>
    <row r="1255">
      <c r="D1255" s="123"/>
    </row>
    <row r="1256">
      <c r="D1256" s="123"/>
    </row>
    <row r="1257">
      <c r="D1257" s="123"/>
    </row>
    <row r="1258">
      <c r="D1258" s="123"/>
    </row>
    <row r="1259">
      <c r="D1259" s="123"/>
    </row>
    <row r="1260">
      <c r="D1260" s="123"/>
    </row>
    <row r="1261">
      <c r="D1261" s="123"/>
    </row>
    <row r="1262">
      <c r="D1262" s="123"/>
    </row>
    <row r="1263">
      <c r="D1263" s="123"/>
    </row>
    <row r="1264">
      <c r="D1264" s="123"/>
    </row>
    <row r="1265">
      <c r="D1265" s="123"/>
    </row>
    <row r="1266">
      <c r="D1266" s="123"/>
    </row>
    <row r="1267">
      <c r="D1267" s="123"/>
    </row>
    <row r="1268">
      <c r="D1268" s="123"/>
    </row>
    <row r="1269">
      <c r="D1269" s="123"/>
    </row>
    <row r="1270">
      <c r="D1270" s="123"/>
    </row>
    <row r="1271">
      <c r="D1271" s="123"/>
    </row>
    <row r="1272">
      <c r="D1272" s="123"/>
    </row>
    <row r="1273">
      <c r="D1273" s="123"/>
    </row>
    <row r="1274">
      <c r="D1274" s="123"/>
    </row>
    <row r="1275">
      <c r="D1275" s="123"/>
    </row>
    <row r="1276">
      <c r="D1276" s="123"/>
    </row>
    <row r="1277">
      <c r="D1277" s="123"/>
    </row>
    <row r="1278">
      <c r="D1278" s="123"/>
    </row>
    <row r="1279">
      <c r="D1279" s="123"/>
    </row>
    <row r="1280">
      <c r="D1280" s="123"/>
    </row>
    <row r="1281">
      <c r="D1281" s="123"/>
    </row>
    <row r="1282">
      <c r="D1282" s="123"/>
    </row>
    <row r="1283">
      <c r="D1283" s="123"/>
    </row>
    <row r="1284">
      <c r="D1284" s="123"/>
    </row>
    <row r="1285">
      <c r="D1285" s="123"/>
    </row>
    <row r="1286">
      <c r="D1286" s="123"/>
    </row>
    <row r="1287">
      <c r="D1287" s="123"/>
    </row>
    <row r="1288">
      <c r="D1288" s="123"/>
    </row>
    <row r="1289">
      <c r="D1289" s="123"/>
    </row>
    <row r="1290">
      <c r="D1290" s="123"/>
    </row>
    <row r="1291">
      <c r="D1291" s="123"/>
    </row>
    <row r="1292">
      <c r="D1292" s="123"/>
    </row>
    <row r="1293">
      <c r="D1293" s="123"/>
    </row>
    <row r="1294">
      <c r="D1294" s="123"/>
    </row>
    <row r="1295">
      <c r="D1295" s="123"/>
    </row>
    <row r="1296">
      <c r="D1296" s="123"/>
    </row>
    <row r="1297">
      <c r="D1297" s="123"/>
    </row>
    <row r="1298">
      <c r="D1298" s="123"/>
    </row>
    <row r="1299">
      <c r="D1299" s="123"/>
    </row>
    <row r="1300">
      <c r="D1300" s="123"/>
    </row>
    <row r="1301">
      <c r="D1301" s="123"/>
    </row>
    <row r="1302">
      <c r="D1302" s="123"/>
    </row>
    <row r="1303">
      <c r="D1303" s="123"/>
    </row>
    <row r="1304">
      <c r="D1304" s="123"/>
    </row>
    <row r="1305">
      <c r="D1305" s="123"/>
    </row>
    <row r="1306">
      <c r="D1306" s="123"/>
    </row>
    <row r="1307">
      <c r="D1307" s="123"/>
    </row>
    <row r="1308">
      <c r="D1308" s="123"/>
    </row>
    <row r="1309">
      <c r="D1309" s="123"/>
    </row>
    <row r="1310">
      <c r="D1310" s="123"/>
    </row>
    <row r="1311">
      <c r="D1311" s="123"/>
    </row>
    <row r="1312">
      <c r="D1312" s="123"/>
    </row>
    <row r="1313">
      <c r="D1313" s="123"/>
    </row>
    <row r="1314">
      <c r="D1314" s="123"/>
    </row>
    <row r="1315">
      <c r="D1315" s="123"/>
    </row>
    <row r="1316">
      <c r="D1316" s="123"/>
    </row>
    <row r="1317">
      <c r="D1317" s="123"/>
    </row>
    <row r="1318">
      <c r="D1318" s="123"/>
    </row>
    <row r="1319">
      <c r="D1319" s="123"/>
    </row>
    <row r="1320">
      <c r="D1320" s="123"/>
    </row>
    <row r="1321">
      <c r="D1321" s="123"/>
    </row>
    <row r="1322">
      <c r="D1322" s="123"/>
    </row>
    <row r="1323">
      <c r="D1323" s="123"/>
    </row>
    <row r="1324">
      <c r="D1324" s="123"/>
    </row>
    <row r="1325">
      <c r="D1325" s="123"/>
    </row>
    <row r="1326">
      <c r="D1326" s="123"/>
    </row>
    <row r="1327">
      <c r="D1327" s="123"/>
    </row>
    <row r="1328">
      <c r="D1328" s="123"/>
    </row>
    <row r="1329">
      <c r="D1329" s="123"/>
    </row>
    <row r="1330">
      <c r="D1330" s="123"/>
    </row>
    <row r="1331">
      <c r="D1331" s="123"/>
    </row>
    <row r="1332">
      <c r="D1332" s="123"/>
    </row>
    <row r="1333">
      <c r="D1333" s="123"/>
    </row>
    <row r="1334">
      <c r="D1334" s="123"/>
    </row>
    <row r="1335">
      <c r="D1335" s="123"/>
    </row>
    <row r="1336">
      <c r="D1336" s="123"/>
    </row>
    <row r="1337">
      <c r="D1337" s="123"/>
    </row>
    <row r="1338">
      <c r="D1338" s="123"/>
    </row>
    <row r="1339">
      <c r="D1339" s="123"/>
    </row>
    <row r="1340">
      <c r="D1340" s="123"/>
    </row>
    <row r="1341">
      <c r="D1341" s="123"/>
    </row>
    <row r="1342">
      <c r="D1342" s="123"/>
    </row>
    <row r="1343">
      <c r="D1343" s="123"/>
    </row>
    <row r="1344">
      <c r="D1344" s="123"/>
    </row>
    <row r="1345">
      <c r="D1345" s="123"/>
    </row>
    <row r="1346">
      <c r="D1346" s="123"/>
    </row>
    <row r="1347">
      <c r="D1347" s="123"/>
    </row>
    <row r="1348">
      <c r="D1348" s="123"/>
    </row>
    <row r="1349">
      <c r="D1349" s="123"/>
    </row>
    <row r="1350">
      <c r="D1350" s="123"/>
    </row>
    <row r="1351">
      <c r="D1351" s="123"/>
    </row>
    <row r="1352">
      <c r="D1352" s="123"/>
    </row>
    <row r="1353">
      <c r="D1353" s="123"/>
    </row>
    <row r="1354">
      <c r="D1354" s="123"/>
    </row>
    <row r="1355">
      <c r="D1355" s="123"/>
    </row>
    <row r="1356">
      <c r="D1356" s="123"/>
    </row>
    <row r="1357">
      <c r="D1357" s="123"/>
    </row>
    <row r="1358">
      <c r="D1358" s="123"/>
    </row>
    <row r="1359">
      <c r="D1359" s="123"/>
    </row>
    <row r="1360">
      <c r="D1360" s="123"/>
    </row>
    <row r="1361">
      <c r="D1361" s="123"/>
    </row>
    <row r="1362">
      <c r="D1362" s="123"/>
    </row>
    <row r="1363">
      <c r="D1363" s="123"/>
    </row>
    <row r="1364">
      <c r="D1364" s="123"/>
    </row>
    <row r="1365">
      <c r="D1365" s="123"/>
    </row>
    <row r="1366">
      <c r="D1366" s="123"/>
    </row>
    <row r="1367">
      <c r="D1367" s="123"/>
    </row>
    <row r="1368">
      <c r="D1368" s="123"/>
    </row>
    <row r="1369">
      <c r="D1369" s="123"/>
    </row>
    <row r="1370">
      <c r="D1370" s="123"/>
    </row>
    <row r="1371">
      <c r="D1371" s="123"/>
    </row>
    <row r="1372">
      <c r="D1372" s="123"/>
    </row>
    <row r="1373">
      <c r="D1373" s="123"/>
    </row>
    <row r="1374">
      <c r="D1374" s="123"/>
    </row>
    <row r="1375">
      <c r="D1375" s="123"/>
    </row>
    <row r="1376">
      <c r="D1376" s="123"/>
    </row>
    <row r="1377">
      <c r="D1377" s="123"/>
    </row>
    <row r="1378">
      <c r="D1378" s="123"/>
    </row>
    <row r="1379">
      <c r="D1379" s="123"/>
    </row>
    <row r="1380">
      <c r="D1380" s="123"/>
    </row>
    <row r="1381">
      <c r="D1381" s="123"/>
    </row>
    <row r="1382">
      <c r="D1382" s="123"/>
    </row>
    <row r="1383">
      <c r="D1383" s="123"/>
    </row>
    <row r="1384">
      <c r="D1384" s="123"/>
    </row>
    <row r="1385">
      <c r="D1385" s="123"/>
    </row>
    <row r="1386">
      <c r="D1386" s="123"/>
    </row>
    <row r="1387">
      <c r="D1387" s="123"/>
    </row>
    <row r="1388">
      <c r="D1388" s="123"/>
    </row>
    <row r="1389">
      <c r="D1389" s="123"/>
    </row>
    <row r="1390">
      <c r="D1390" s="123"/>
    </row>
    <row r="1391">
      <c r="D1391" s="123"/>
    </row>
    <row r="1392">
      <c r="D1392" s="123"/>
    </row>
    <row r="1393">
      <c r="D1393" s="123"/>
    </row>
    <row r="1394">
      <c r="D1394" s="123"/>
    </row>
    <row r="1395">
      <c r="D1395" s="123"/>
    </row>
    <row r="1396">
      <c r="D1396" s="123"/>
    </row>
    <row r="1397">
      <c r="D1397" s="123"/>
    </row>
    <row r="1398">
      <c r="D1398" s="123"/>
    </row>
    <row r="1399">
      <c r="D1399" s="123"/>
    </row>
    <row r="1400">
      <c r="D1400" s="123"/>
    </row>
    <row r="1401">
      <c r="D1401" s="123"/>
    </row>
    <row r="1402">
      <c r="D1402" s="123"/>
    </row>
    <row r="1403">
      <c r="D1403" s="123"/>
    </row>
    <row r="1404">
      <c r="D1404" s="123"/>
    </row>
    <row r="1405">
      <c r="D1405" s="123"/>
    </row>
    <row r="1406">
      <c r="D1406" s="123"/>
    </row>
    <row r="1407">
      <c r="D1407" s="123"/>
    </row>
    <row r="1408">
      <c r="D1408" s="123"/>
    </row>
    <row r="1409">
      <c r="D1409" s="123"/>
    </row>
    <row r="1410">
      <c r="D1410" s="123"/>
    </row>
    <row r="1411">
      <c r="D1411" s="123"/>
    </row>
    <row r="1412">
      <c r="D1412" s="123"/>
    </row>
    <row r="1413">
      <c r="D1413" s="123"/>
    </row>
    <row r="1414">
      <c r="D1414" s="123"/>
    </row>
    <row r="1415">
      <c r="D1415" s="123"/>
    </row>
    <row r="1416">
      <c r="D1416" s="123"/>
    </row>
    <row r="1417">
      <c r="D1417" s="123"/>
    </row>
    <row r="1418">
      <c r="D1418" s="123"/>
    </row>
    <row r="1419">
      <c r="D1419" s="123"/>
    </row>
    <row r="1420">
      <c r="D1420" s="123"/>
    </row>
    <row r="1421">
      <c r="D1421" s="123"/>
    </row>
    <row r="1422">
      <c r="D1422" s="123"/>
    </row>
    <row r="1423">
      <c r="D1423" s="123"/>
    </row>
    <row r="1424">
      <c r="D1424" s="123"/>
    </row>
    <row r="1425">
      <c r="D1425" s="123"/>
    </row>
    <row r="1426">
      <c r="D1426" s="123"/>
    </row>
    <row r="1427">
      <c r="D1427" s="123"/>
    </row>
    <row r="1428">
      <c r="D1428" s="123"/>
    </row>
    <row r="1429">
      <c r="D1429" s="123"/>
    </row>
    <row r="1430">
      <c r="D1430" s="123"/>
    </row>
    <row r="1431">
      <c r="D1431" s="123"/>
    </row>
    <row r="1432">
      <c r="D1432" s="123"/>
    </row>
    <row r="1433">
      <c r="D1433" s="123"/>
    </row>
    <row r="1434">
      <c r="D1434" s="123"/>
    </row>
    <row r="1435">
      <c r="D1435" s="123"/>
    </row>
    <row r="1436">
      <c r="D1436" s="123"/>
    </row>
    <row r="1437">
      <c r="D1437" s="123"/>
    </row>
    <row r="1438">
      <c r="D1438" s="123"/>
    </row>
    <row r="1439">
      <c r="D1439" s="123"/>
    </row>
    <row r="1440">
      <c r="D1440" s="123"/>
    </row>
    <row r="1441">
      <c r="D1441" s="123"/>
    </row>
    <row r="1442">
      <c r="D1442" s="123"/>
    </row>
    <row r="1443">
      <c r="D1443" s="123"/>
    </row>
    <row r="1444">
      <c r="D1444" s="123"/>
    </row>
    <row r="1445">
      <c r="D1445" s="123"/>
    </row>
    <row r="1446">
      <c r="D1446" s="123"/>
    </row>
    <row r="1447">
      <c r="D1447" s="123"/>
    </row>
    <row r="1448">
      <c r="D1448" s="123"/>
    </row>
    <row r="1449">
      <c r="D1449" s="123"/>
    </row>
    <row r="1450">
      <c r="D1450" s="123"/>
    </row>
    <row r="1451">
      <c r="D1451" s="123"/>
    </row>
    <row r="1452">
      <c r="D1452" s="123"/>
    </row>
    <row r="1453">
      <c r="D1453" s="123"/>
    </row>
    <row r="1454">
      <c r="D1454" s="123"/>
    </row>
    <row r="1455">
      <c r="D1455" s="123"/>
    </row>
    <row r="1456">
      <c r="D1456" s="123"/>
    </row>
    <row r="1457">
      <c r="D1457" s="123"/>
    </row>
    <row r="1458">
      <c r="D1458" s="123"/>
    </row>
    <row r="1459">
      <c r="D1459" s="123"/>
    </row>
    <row r="1460">
      <c r="D1460" s="123"/>
    </row>
    <row r="1461">
      <c r="D1461" s="123"/>
    </row>
    <row r="1462">
      <c r="D1462" s="123"/>
    </row>
    <row r="1463">
      <c r="D1463" s="123"/>
    </row>
    <row r="1464">
      <c r="D1464" s="123"/>
    </row>
    <row r="1465">
      <c r="D1465" s="123"/>
    </row>
    <row r="1466">
      <c r="D1466" s="123"/>
    </row>
    <row r="1467">
      <c r="D1467" s="123"/>
    </row>
    <row r="1468">
      <c r="D1468" s="123"/>
    </row>
    <row r="1469">
      <c r="D1469" s="123"/>
    </row>
    <row r="1470">
      <c r="D1470" s="123"/>
    </row>
    <row r="1471">
      <c r="D1471" s="123"/>
    </row>
    <row r="1472">
      <c r="D1472" s="123"/>
    </row>
    <row r="1473">
      <c r="D1473" s="123"/>
    </row>
    <row r="1474">
      <c r="D1474" s="123"/>
    </row>
    <row r="1475">
      <c r="D1475" s="123"/>
    </row>
    <row r="1476">
      <c r="D1476" s="123"/>
    </row>
    <row r="1477">
      <c r="D1477" s="123"/>
    </row>
    <row r="1478">
      <c r="D1478" s="123"/>
    </row>
    <row r="1479">
      <c r="D1479" s="123"/>
    </row>
    <row r="1480">
      <c r="D1480" s="123"/>
    </row>
    <row r="1481">
      <c r="D1481" s="123"/>
    </row>
    <row r="1482">
      <c r="D1482" s="123"/>
    </row>
    <row r="1483">
      <c r="D1483" s="123"/>
    </row>
    <row r="1484">
      <c r="D1484" s="123"/>
    </row>
    <row r="1485">
      <c r="D1485" s="123"/>
    </row>
    <row r="1486">
      <c r="D1486" s="123"/>
    </row>
    <row r="1487">
      <c r="D1487" s="123"/>
    </row>
    <row r="1488">
      <c r="D1488" s="123"/>
    </row>
    <row r="1489">
      <c r="D1489" s="123"/>
    </row>
    <row r="1490">
      <c r="D1490" s="123"/>
    </row>
    <row r="1491">
      <c r="D1491" s="123"/>
    </row>
    <row r="1492">
      <c r="D1492" s="123"/>
    </row>
    <row r="1493">
      <c r="D1493" s="123"/>
    </row>
    <row r="1494">
      <c r="D1494" s="123"/>
    </row>
    <row r="1495">
      <c r="D1495" s="123"/>
    </row>
    <row r="1496">
      <c r="D1496" s="123"/>
    </row>
    <row r="1497">
      <c r="D1497" s="123"/>
    </row>
    <row r="1498">
      <c r="D1498" s="123"/>
    </row>
    <row r="1499">
      <c r="D1499" s="123"/>
    </row>
    <row r="1500">
      <c r="D1500" s="123"/>
    </row>
    <row r="1501">
      <c r="D1501" s="123"/>
    </row>
    <row r="1502">
      <c r="D1502" s="123"/>
    </row>
    <row r="1503">
      <c r="D1503" s="123"/>
    </row>
    <row r="1504">
      <c r="D1504" s="123"/>
    </row>
    <row r="1505">
      <c r="D1505" s="123"/>
    </row>
    <row r="1506">
      <c r="D1506" s="123"/>
    </row>
    <row r="1507">
      <c r="D1507" s="123"/>
    </row>
    <row r="1508">
      <c r="D1508" s="123"/>
    </row>
    <row r="1509">
      <c r="D1509" s="123"/>
    </row>
    <row r="1510">
      <c r="D1510" s="123"/>
    </row>
    <row r="1511">
      <c r="D1511" s="123"/>
    </row>
    <row r="1512">
      <c r="D1512" s="123"/>
    </row>
    <row r="1513">
      <c r="D1513" s="123"/>
    </row>
    <row r="1514">
      <c r="D1514" s="123"/>
    </row>
    <row r="1515">
      <c r="D1515" s="123"/>
    </row>
    <row r="1516">
      <c r="D1516" s="123"/>
    </row>
    <row r="1517">
      <c r="D1517" s="123"/>
    </row>
    <row r="1518">
      <c r="D1518" s="123"/>
    </row>
    <row r="1519">
      <c r="D1519" s="123"/>
    </row>
    <row r="1520">
      <c r="D1520" s="123"/>
    </row>
    <row r="1521">
      <c r="D1521" s="123"/>
    </row>
    <row r="1522">
      <c r="D1522" s="123"/>
    </row>
    <row r="1523">
      <c r="D1523" s="123"/>
    </row>
    <row r="1524">
      <c r="D1524" s="123"/>
    </row>
    <row r="1525">
      <c r="D1525" s="123"/>
    </row>
    <row r="1526">
      <c r="D1526" s="123"/>
    </row>
    <row r="1527">
      <c r="D1527" s="123"/>
    </row>
    <row r="1528">
      <c r="D1528" s="123"/>
    </row>
    <row r="1529">
      <c r="D1529" s="123"/>
    </row>
    <row r="1530">
      <c r="D1530" s="123"/>
    </row>
    <row r="1531">
      <c r="D1531" s="123"/>
    </row>
    <row r="1532">
      <c r="D1532" s="123"/>
    </row>
    <row r="1533">
      <c r="D1533" s="123"/>
    </row>
    <row r="1534">
      <c r="D1534" s="123"/>
    </row>
    <row r="1535">
      <c r="D1535" s="123"/>
    </row>
    <row r="1536">
      <c r="D1536" s="123"/>
    </row>
    <row r="1537">
      <c r="D1537" s="123"/>
    </row>
    <row r="1538">
      <c r="D1538" s="123"/>
    </row>
    <row r="1539">
      <c r="D1539" s="123"/>
    </row>
    <row r="1540">
      <c r="D1540" s="123"/>
    </row>
    <row r="1541">
      <c r="D1541" s="123"/>
    </row>
    <row r="1542">
      <c r="D1542" s="123"/>
    </row>
    <row r="1543">
      <c r="D1543" s="123"/>
    </row>
    <row r="1544">
      <c r="D1544" s="123"/>
    </row>
    <row r="1545">
      <c r="D1545" s="123"/>
    </row>
    <row r="1546">
      <c r="D1546" s="123"/>
    </row>
    <row r="1547">
      <c r="D1547" s="123"/>
    </row>
    <row r="1548">
      <c r="D1548" s="123"/>
    </row>
    <row r="1549">
      <c r="D1549" s="123"/>
    </row>
    <row r="1550">
      <c r="D1550" s="123"/>
    </row>
    <row r="1551">
      <c r="D1551" s="123"/>
    </row>
    <row r="1552">
      <c r="D1552" s="123"/>
    </row>
    <row r="1553">
      <c r="D1553" s="123"/>
    </row>
    <row r="1554">
      <c r="D1554" s="123"/>
    </row>
    <row r="1555">
      <c r="D1555" s="123"/>
    </row>
    <row r="1556">
      <c r="D1556" s="123"/>
    </row>
    <row r="1557">
      <c r="D1557" s="123"/>
    </row>
    <row r="1558">
      <c r="D1558" s="123"/>
    </row>
    <row r="1559">
      <c r="D1559" s="123"/>
    </row>
    <row r="1560">
      <c r="D1560" s="123"/>
    </row>
    <row r="1561">
      <c r="D1561" s="123"/>
    </row>
    <row r="1562">
      <c r="D1562" s="123"/>
    </row>
    <row r="1563">
      <c r="D1563" s="123"/>
    </row>
    <row r="1564">
      <c r="D1564" s="123"/>
    </row>
    <row r="1565">
      <c r="D1565" s="123"/>
    </row>
    <row r="1566">
      <c r="D1566" s="123"/>
    </row>
    <row r="1567">
      <c r="D1567" s="123"/>
    </row>
    <row r="1568">
      <c r="D1568" s="123"/>
    </row>
    <row r="1569">
      <c r="D1569" s="123"/>
    </row>
    <row r="1570">
      <c r="D1570" s="123"/>
    </row>
    <row r="1571">
      <c r="D1571" s="123"/>
    </row>
    <row r="1572">
      <c r="D1572" s="123"/>
    </row>
    <row r="1573">
      <c r="D1573" s="123"/>
    </row>
    <row r="1574">
      <c r="D1574" s="123"/>
    </row>
    <row r="1575">
      <c r="D1575" s="123"/>
    </row>
    <row r="1576">
      <c r="D1576" s="123"/>
    </row>
    <row r="1577">
      <c r="D1577" s="123"/>
    </row>
    <row r="1578">
      <c r="D1578" s="123"/>
    </row>
    <row r="1579">
      <c r="D1579" s="123"/>
    </row>
    <row r="1580">
      <c r="D1580" s="123"/>
    </row>
    <row r="1581">
      <c r="D1581" s="123"/>
    </row>
    <row r="1582">
      <c r="D1582" s="123"/>
    </row>
    <row r="1583">
      <c r="D1583" s="123"/>
    </row>
    <row r="1584">
      <c r="D1584" s="123"/>
    </row>
    <row r="1585">
      <c r="D1585" s="123"/>
    </row>
    <row r="1586">
      <c r="D1586" s="123"/>
    </row>
    <row r="1587">
      <c r="D1587" s="123"/>
    </row>
    <row r="1588">
      <c r="D1588" s="123"/>
    </row>
    <row r="1589">
      <c r="D1589" s="123"/>
    </row>
    <row r="1590">
      <c r="D1590" s="123"/>
    </row>
    <row r="1591">
      <c r="D1591" s="123"/>
    </row>
    <row r="1592">
      <c r="D1592" s="123"/>
    </row>
    <row r="1593">
      <c r="D1593" s="123"/>
    </row>
    <row r="1594">
      <c r="D1594" s="123"/>
    </row>
    <row r="1595">
      <c r="D1595" s="123"/>
    </row>
    <row r="1596">
      <c r="D1596" s="123"/>
    </row>
    <row r="1597">
      <c r="D1597" s="123"/>
    </row>
    <row r="1598">
      <c r="D1598" s="123"/>
    </row>
    <row r="1599">
      <c r="D1599" s="123"/>
    </row>
    <row r="1600">
      <c r="D1600" s="123"/>
    </row>
    <row r="1601">
      <c r="D1601" s="123"/>
    </row>
    <row r="1602">
      <c r="D1602" s="123"/>
    </row>
    <row r="1603">
      <c r="D1603" s="123"/>
    </row>
    <row r="1604">
      <c r="D1604" s="123"/>
    </row>
    <row r="1605">
      <c r="D1605" s="123"/>
    </row>
    <row r="1606">
      <c r="D1606" s="123"/>
    </row>
    <row r="1607">
      <c r="D1607" s="123"/>
    </row>
    <row r="1608">
      <c r="D1608" s="123"/>
    </row>
    <row r="1609">
      <c r="D1609" s="123"/>
    </row>
    <row r="1610">
      <c r="D1610" s="123"/>
    </row>
    <row r="1611">
      <c r="D1611" s="123"/>
    </row>
    <row r="1612">
      <c r="D1612" s="123"/>
    </row>
    <row r="1613">
      <c r="D1613" s="123"/>
    </row>
    <row r="1614">
      <c r="D1614" s="123"/>
    </row>
    <row r="1615">
      <c r="D1615" s="123"/>
    </row>
    <row r="1616">
      <c r="D1616" s="123"/>
    </row>
    <row r="1617">
      <c r="D1617" s="123"/>
    </row>
    <row r="1618">
      <c r="D1618" s="123"/>
    </row>
    <row r="1619">
      <c r="D1619" s="123"/>
    </row>
    <row r="1620">
      <c r="D1620" s="123"/>
    </row>
    <row r="1621">
      <c r="D1621" s="123"/>
    </row>
    <row r="1622">
      <c r="D1622" s="123"/>
    </row>
    <row r="1623">
      <c r="D1623" s="123"/>
    </row>
    <row r="1624">
      <c r="D1624" s="123"/>
    </row>
    <row r="1625">
      <c r="D1625" s="123"/>
    </row>
    <row r="1626">
      <c r="D1626" s="123"/>
    </row>
    <row r="1627">
      <c r="D1627" s="123"/>
    </row>
    <row r="1628">
      <c r="D1628" s="123"/>
    </row>
    <row r="1629">
      <c r="D1629" s="123"/>
    </row>
    <row r="1630">
      <c r="D1630" s="123"/>
    </row>
    <row r="1631">
      <c r="D1631" s="123"/>
    </row>
    <row r="1632">
      <c r="D1632" s="123"/>
    </row>
    <row r="1633">
      <c r="D1633" s="123"/>
    </row>
    <row r="1634">
      <c r="D1634" s="123"/>
    </row>
    <row r="1635">
      <c r="D1635" s="123"/>
    </row>
    <row r="1636">
      <c r="D1636" s="123"/>
    </row>
    <row r="1637">
      <c r="D1637" s="123"/>
    </row>
    <row r="1638">
      <c r="D1638" s="123"/>
    </row>
    <row r="1639">
      <c r="D1639" s="123"/>
    </row>
    <row r="1640">
      <c r="D1640" s="123"/>
    </row>
    <row r="1641">
      <c r="D1641" s="123"/>
    </row>
    <row r="1642">
      <c r="D1642" s="123"/>
    </row>
    <row r="1643">
      <c r="D1643" s="123"/>
    </row>
    <row r="1644">
      <c r="D1644" s="123"/>
    </row>
    <row r="1645">
      <c r="D1645" s="123"/>
    </row>
    <row r="1646">
      <c r="D1646" s="123"/>
    </row>
    <row r="1647">
      <c r="D1647" s="123"/>
    </row>
    <row r="1648">
      <c r="D1648" s="123"/>
    </row>
    <row r="1649">
      <c r="D1649" s="123"/>
    </row>
    <row r="1650">
      <c r="D1650" s="123"/>
    </row>
    <row r="1651">
      <c r="D1651" s="123"/>
    </row>
    <row r="1652">
      <c r="D1652" s="123"/>
    </row>
    <row r="1653">
      <c r="D1653" s="123"/>
    </row>
    <row r="1654">
      <c r="D1654" s="123"/>
    </row>
    <row r="1655">
      <c r="D1655" s="123"/>
    </row>
    <row r="1656">
      <c r="D1656" s="123"/>
    </row>
    <row r="1657">
      <c r="D1657" s="123"/>
    </row>
    <row r="1658">
      <c r="D1658" s="123"/>
    </row>
    <row r="1659">
      <c r="D1659" s="123"/>
    </row>
    <row r="1660">
      <c r="D1660" s="123"/>
    </row>
    <row r="1661">
      <c r="D1661" s="123"/>
    </row>
    <row r="1662">
      <c r="D1662" s="123"/>
    </row>
    <row r="1663">
      <c r="D1663" s="123"/>
    </row>
    <row r="1664">
      <c r="D1664" s="123"/>
    </row>
    <row r="1665">
      <c r="D1665" s="123"/>
    </row>
    <row r="1666">
      <c r="D1666" s="123"/>
    </row>
    <row r="1667">
      <c r="D1667" s="123"/>
    </row>
    <row r="1668">
      <c r="D1668" s="123"/>
    </row>
    <row r="1669">
      <c r="D1669" s="123"/>
    </row>
    <row r="1670">
      <c r="D1670" s="123"/>
    </row>
    <row r="1671">
      <c r="D1671" s="123"/>
    </row>
    <row r="1672">
      <c r="D1672" s="123"/>
    </row>
    <row r="1673">
      <c r="D1673" s="123"/>
    </row>
    <row r="1674">
      <c r="D1674" s="123"/>
    </row>
    <row r="1675">
      <c r="D1675" s="123"/>
    </row>
    <row r="1676">
      <c r="D1676" s="123"/>
    </row>
    <row r="1677">
      <c r="D1677" s="123"/>
    </row>
    <row r="1678">
      <c r="D1678" s="123"/>
    </row>
    <row r="1679">
      <c r="D1679" s="123"/>
    </row>
    <row r="1680">
      <c r="D1680" s="123"/>
    </row>
    <row r="1681">
      <c r="D1681" s="123"/>
    </row>
    <row r="1682">
      <c r="D1682" s="123"/>
    </row>
    <row r="1683">
      <c r="D1683" s="123"/>
    </row>
    <row r="1684">
      <c r="D1684" s="123"/>
    </row>
    <row r="1685">
      <c r="D1685" s="123"/>
    </row>
    <row r="1686">
      <c r="D1686" s="123"/>
    </row>
    <row r="1687">
      <c r="D1687" s="123"/>
    </row>
    <row r="1688">
      <c r="D1688" s="123"/>
    </row>
    <row r="1689">
      <c r="D1689" s="123"/>
    </row>
    <row r="1690">
      <c r="D1690" s="123"/>
    </row>
    <row r="1691">
      <c r="D1691" s="123"/>
    </row>
    <row r="1692">
      <c r="D1692" s="123"/>
    </row>
    <row r="1693">
      <c r="D1693" s="123"/>
    </row>
    <row r="1694">
      <c r="D1694" s="123"/>
    </row>
    <row r="1695">
      <c r="D1695" s="123"/>
    </row>
    <row r="1696">
      <c r="D1696" s="123"/>
    </row>
    <row r="1697">
      <c r="D1697" s="123"/>
    </row>
    <row r="1698">
      <c r="D1698" s="123"/>
    </row>
    <row r="1699">
      <c r="D1699" s="123"/>
    </row>
    <row r="1700">
      <c r="D1700" s="123"/>
    </row>
    <row r="1701">
      <c r="D1701" s="123"/>
    </row>
    <row r="1702">
      <c r="D1702" s="123"/>
    </row>
    <row r="1703">
      <c r="D1703" s="123"/>
    </row>
    <row r="1704">
      <c r="D1704" s="123"/>
    </row>
    <row r="1705">
      <c r="D1705" s="123"/>
    </row>
    <row r="1706">
      <c r="D1706" s="123"/>
    </row>
    <row r="1707">
      <c r="D1707" s="123"/>
    </row>
    <row r="1708">
      <c r="D1708" s="123"/>
    </row>
    <row r="1709">
      <c r="D1709" s="123"/>
    </row>
    <row r="1710">
      <c r="D1710" s="123"/>
    </row>
    <row r="1711">
      <c r="D1711" s="123"/>
    </row>
    <row r="1712">
      <c r="D1712" s="123"/>
    </row>
    <row r="1713">
      <c r="D1713" s="123"/>
    </row>
    <row r="1714">
      <c r="D1714" s="123"/>
    </row>
    <row r="1715">
      <c r="D1715" s="123"/>
    </row>
    <row r="1716">
      <c r="D1716" s="123"/>
    </row>
    <row r="1717">
      <c r="D1717" s="123"/>
    </row>
    <row r="1718">
      <c r="D1718" s="123"/>
    </row>
    <row r="1719">
      <c r="D1719" s="123"/>
    </row>
    <row r="1720">
      <c r="D1720" s="123"/>
    </row>
    <row r="1721">
      <c r="D1721" s="123"/>
    </row>
    <row r="1722">
      <c r="D1722" s="123"/>
    </row>
    <row r="1723">
      <c r="D1723" s="123"/>
    </row>
    <row r="1724">
      <c r="D1724" s="123"/>
    </row>
    <row r="1725">
      <c r="D1725" s="123"/>
    </row>
    <row r="1726">
      <c r="D1726" s="123"/>
    </row>
    <row r="1727">
      <c r="D1727" s="123"/>
    </row>
    <row r="1728">
      <c r="D1728" s="123"/>
    </row>
    <row r="1729">
      <c r="D1729" s="123"/>
    </row>
    <row r="1730">
      <c r="D1730" s="123"/>
    </row>
    <row r="1731">
      <c r="D1731" s="123"/>
    </row>
    <row r="1732">
      <c r="D1732" s="123"/>
    </row>
    <row r="1733">
      <c r="D1733" s="123"/>
    </row>
    <row r="1734">
      <c r="D1734" s="123"/>
    </row>
    <row r="1735">
      <c r="D1735" s="123"/>
    </row>
    <row r="1736">
      <c r="D1736" s="123"/>
    </row>
    <row r="1737">
      <c r="D1737" s="123"/>
    </row>
    <row r="1738">
      <c r="D1738" s="123"/>
    </row>
    <row r="1739">
      <c r="D1739" s="123"/>
    </row>
    <row r="1740">
      <c r="D1740" s="123"/>
    </row>
    <row r="1741">
      <c r="D1741" s="123"/>
    </row>
    <row r="1742">
      <c r="D1742" s="123"/>
    </row>
    <row r="1743">
      <c r="D1743" s="123"/>
    </row>
    <row r="1744">
      <c r="D1744" s="123"/>
    </row>
    <row r="1745">
      <c r="D1745" s="123"/>
    </row>
    <row r="1746">
      <c r="D1746" s="123"/>
    </row>
    <row r="1747">
      <c r="D1747" s="123"/>
    </row>
    <row r="1748">
      <c r="D1748" s="123"/>
    </row>
    <row r="1749">
      <c r="D1749" s="123"/>
    </row>
    <row r="1750">
      <c r="D1750" s="123"/>
    </row>
    <row r="1751">
      <c r="D1751" s="123"/>
    </row>
    <row r="1752">
      <c r="D1752" s="123"/>
    </row>
    <row r="1753">
      <c r="D1753" s="123"/>
    </row>
    <row r="1754">
      <c r="D1754" s="123"/>
    </row>
    <row r="1755">
      <c r="D1755" s="123"/>
    </row>
    <row r="1756">
      <c r="D1756" s="123"/>
    </row>
    <row r="1757">
      <c r="D1757" s="123"/>
    </row>
    <row r="1758">
      <c r="D1758" s="123"/>
    </row>
    <row r="1759">
      <c r="D1759" s="123"/>
    </row>
    <row r="1760">
      <c r="D1760" s="123"/>
    </row>
    <row r="1761">
      <c r="D1761" s="123"/>
    </row>
    <row r="1762">
      <c r="D1762" s="123"/>
    </row>
    <row r="1763">
      <c r="D1763" s="123"/>
    </row>
    <row r="1764">
      <c r="D1764" s="123"/>
    </row>
    <row r="1765">
      <c r="D1765" s="123"/>
    </row>
    <row r="1766">
      <c r="D1766" s="123"/>
    </row>
    <row r="1767">
      <c r="D1767" s="123"/>
    </row>
    <row r="1768">
      <c r="D1768" s="123"/>
    </row>
    <row r="1769">
      <c r="D1769" s="123"/>
    </row>
    <row r="1770">
      <c r="D1770" s="123"/>
    </row>
    <row r="1771">
      <c r="D1771" s="123"/>
    </row>
    <row r="1772">
      <c r="D1772" s="123"/>
    </row>
    <row r="1773">
      <c r="D1773" s="123"/>
    </row>
    <row r="1774">
      <c r="D1774" s="123"/>
    </row>
    <row r="1775">
      <c r="D1775" s="123"/>
    </row>
    <row r="1776">
      <c r="D1776" s="123"/>
    </row>
    <row r="1777">
      <c r="D1777" s="123"/>
    </row>
    <row r="1778">
      <c r="D1778" s="123"/>
    </row>
    <row r="1779">
      <c r="D1779" s="123"/>
    </row>
    <row r="1780">
      <c r="D1780" s="123"/>
    </row>
    <row r="1781">
      <c r="D1781" s="123"/>
    </row>
    <row r="1782">
      <c r="D1782" s="123"/>
    </row>
    <row r="1783">
      <c r="D1783" s="123"/>
    </row>
    <row r="1784">
      <c r="D1784" s="123"/>
    </row>
    <row r="1785">
      <c r="D1785" s="123"/>
    </row>
    <row r="1786">
      <c r="D1786" s="123"/>
    </row>
    <row r="1787">
      <c r="D1787" s="123"/>
    </row>
    <row r="1788">
      <c r="D1788" s="123"/>
    </row>
    <row r="1789">
      <c r="D1789" s="123"/>
    </row>
    <row r="1790">
      <c r="D1790" s="123"/>
    </row>
    <row r="1791">
      <c r="D1791" s="123"/>
    </row>
    <row r="1792">
      <c r="D1792" s="123"/>
    </row>
    <row r="1793">
      <c r="D1793" s="123"/>
    </row>
    <row r="1794">
      <c r="D1794" s="123"/>
    </row>
    <row r="1795">
      <c r="D1795" s="123"/>
    </row>
    <row r="1796">
      <c r="D1796" s="123"/>
    </row>
    <row r="1797">
      <c r="D1797" s="123"/>
    </row>
    <row r="1798">
      <c r="D1798" s="123"/>
    </row>
    <row r="1799">
      <c r="D1799" s="123"/>
    </row>
    <row r="1800">
      <c r="D1800" s="123"/>
    </row>
    <row r="1801">
      <c r="D1801" s="123"/>
    </row>
    <row r="1802">
      <c r="D1802" s="123"/>
    </row>
    <row r="1803">
      <c r="D1803" s="123"/>
    </row>
    <row r="1804">
      <c r="D1804" s="123"/>
    </row>
    <row r="1805">
      <c r="D1805" s="123"/>
    </row>
    <row r="1806">
      <c r="D1806" s="123"/>
    </row>
    <row r="1807">
      <c r="D1807" s="123"/>
    </row>
    <row r="1808">
      <c r="D1808" s="123"/>
    </row>
    <row r="1809">
      <c r="D1809" s="123"/>
    </row>
    <row r="1810">
      <c r="D1810" s="123"/>
    </row>
    <row r="1811">
      <c r="D1811" s="123"/>
    </row>
    <row r="1812">
      <c r="D1812" s="123"/>
    </row>
    <row r="1813">
      <c r="D1813" s="123"/>
    </row>
    <row r="1814">
      <c r="D1814" s="123"/>
    </row>
    <row r="1815">
      <c r="D1815" s="123"/>
    </row>
    <row r="1816">
      <c r="D1816" s="123"/>
    </row>
    <row r="1817">
      <c r="D1817" s="123"/>
    </row>
    <row r="1818">
      <c r="D1818" s="123"/>
    </row>
    <row r="1819">
      <c r="D1819" s="123"/>
    </row>
    <row r="1820">
      <c r="D1820" s="123"/>
    </row>
    <row r="1821">
      <c r="D1821" s="123"/>
    </row>
    <row r="1822">
      <c r="D1822" s="123"/>
    </row>
    <row r="1823">
      <c r="D1823" s="123"/>
    </row>
    <row r="1824">
      <c r="D1824" s="123"/>
    </row>
    <row r="1825">
      <c r="D1825" s="123"/>
    </row>
    <row r="1826">
      <c r="D1826" s="123"/>
    </row>
    <row r="1827">
      <c r="D1827" s="123"/>
    </row>
    <row r="1828">
      <c r="D1828" s="123"/>
    </row>
    <row r="1829">
      <c r="D1829" s="123"/>
    </row>
    <row r="1830">
      <c r="D1830" s="123"/>
    </row>
    <row r="1831">
      <c r="D1831" s="123"/>
    </row>
    <row r="1832">
      <c r="D1832" s="123"/>
    </row>
    <row r="1833">
      <c r="D1833" s="123"/>
    </row>
    <row r="1834">
      <c r="D1834" s="123"/>
    </row>
    <row r="1835">
      <c r="D1835" s="123"/>
    </row>
    <row r="1836">
      <c r="D1836" s="123"/>
    </row>
    <row r="1837">
      <c r="D1837" s="123"/>
    </row>
    <row r="1838">
      <c r="D1838" s="123"/>
    </row>
    <row r="1839">
      <c r="D1839" s="123"/>
    </row>
    <row r="1840">
      <c r="D1840" s="123"/>
    </row>
    <row r="1841">
      <c r="D1841" s="123"/>
    </row>
    <row r="1842">
      <c r="D1842" s="123"/>
    </row>
    <row r="1843">
      <c r="D1843" s="123"/>
    </row>
    <row r="1844">
      <c r="D1844" s="123"/>
    </row>
    <row r="1845">
      <c r="D1845" s="123"/>
    </row>
    <row r="1846">
      <c r="D1846" s="123"/>
    </row>
    <row r="1847">
      <c r="D1847" s="123"/>
    </row>
    <row r="1848">
      <c r="D1848" s="123"/>
    </row>
    <row r="1849">
      <c r="D1849" s="123"/>
    </row>
    <row r="1850">
      <c r="D1850" s="123"/>
    </row>
    <row r="1851">
      <c r="D1851" s="123"/>
    </row>
    <row r="1852">
      <c r="D1852" s="123"/>
    </row>
    <row r="1853">
      <c r="D1853" s="123"/>
    </row>
    <row r="1854">
      <c r="D1854" s="123"/>
    </row>
    <row r="1855">
      <c r="D1855" s="123"/>
    </row>
    <row r="1856">
      <c r="D1856" s="123"/>
    </row>
    <row r="1857">
      <c r="D1857" s="123"/>
    </row>
    <row r="1858">
      <c r="D1858" s="123"/>
    </row>
    <row r="1859">
      <c r="D1859" s="123"/>
    </row>
    <row r="1860">
      <c r="D1860" s="123"/>
    </row>
    <row r="1861">
      <c r="D1861" s="123"/>
    </row>
    <row r="1862">
      <c r="D1862" s="123"/>
    </row>
    <row r="1863">
      <c r="D1863" s="123"/>
    </row>
    <row r="1864">
      <c r="D1864" s="123"/>
    </row>
    <row r="1865">
      <c r="D1865" s="123"/>
    </row>
    <row r="1866">
      <c r="D1866" s="123"/>
    </row>
    <row r="1867">
      <c r="D1867" s="123"/>
    </row>
    <row r="1868">
      <c r="D1868" s="123"/>
    </row>
    <row r="1869">
      <c r="D1869" s="123"/>
    </row>
    <row r="1870">
      <c r="D1870" s="123"/>
    </row>
    <row r="1871">
      <c r="D1871" s="123"/>
    </row>
    <row r="1872">
      <c r="D1872" s="123"/>
    </row>
    <row r="1873">
      <c r="D1873" s="123"/>
    </row>
    <row r="1874">
      <c r="D1874" s="123"/>
    </row>
    <row r="1875">
      <c r="D1875" s="123"/>
    </row>
    <row r="1876">
      <c r="D1876" s="123"/>
    </row>
    <row r="1877">
      <c r="D1877" s="123"/>
    </row>
    <row r="1878">
      <c r="D1878" s="123"/>
    </row>
    <row r="1879">
      <c r="D1879" s="123"/>
    </row>
    <row r="1880">
      <c r="D1880" s="123"/>
    </row>
    <row r="1881">
      <c r="D1881" s="123"/>
    </row>
    <row r="1882">
      <c r="D1882" s="123"/>
    </row>
    <row r="1883">
      <c r="D1883" s="123"/>
    </row>
    <row r="1884">
      <c r="D1884" s="123"/>
    </row>
    <row r="1885">
      <c r="D1885" s="123"/>
    </row>
    <row r="1886">
      <c r="D1886" s="123"/>
    </row>
    <row r="1887">
      <c r="D1887" s="123"/>
    </row>
    <row r="1888">
      <c r="D1888" s="123"/>
    </row>
    <row r="1889">
      <c r="D1889" s="123"/>
    </row>
    <row r="1890">
      <c r="D1890" s="123"/>
    </row>
    <row r="1891">
      <c r="D1891" s="123"/>
    </row>
    <row r="1892">
      <c r="D1892" s="123"/>
    </row>
    <row r="1893">
      <c r="D1893" s="123"/>
    </row>
    <row r="1894">
      <c r="D1894" s="123"/>
    </row>
    <row r="1895">
      <c r="D1895" s="123"/>
    </row>
    <row r="1896">
      <c r="D1896" s="123"/>
    </row>
    <row r="1897">
      <c r="D1897" s="123"/>
    </row>
    <row r="1898">
      <c r="D1898" s="123"/>
    </row>
    <row r="1899">
      <c r="D1899" s="123"/>
    </row>
    <row r="1900">
      <c r="D1900" s="123"/>
    </row>
    <row r="1901">
      <c r="D1901" s="123"/>
    </row>
    <row r="1902">
      <c r="D1902" s="123"/>
    </row>
    <row r="1903">
      <c r="D1903" s="123"/>
    </row>
    <row r="1904">
      <c r="D1904" s="123"/>
    </row>
    <row r="1905">
      <c r="D1905" s="123"/>
    </row>
    <row r="1906">
      <c r="D1906" s="123"/>
    </row>
    <row r="1907">
      <c r="D1907" s="123"/>
    </row>
    <row r="1908">
      <c r="D1908" s="123"/>
    </row>
    <row r="1909">
      <c r="D1909" s="123"/>
    </row>
    <row r="1910">
      <c r="D1910" s="123"/>
    </row>
    <row r="1911">
      <c r="D1911" s="123"/>
    </row>
    <row r="1912">
      <c r="D1912" s="123"/>
    </row>
    <row r="1913">
      <c r="D1913" s="123"/>
    </row>
    <row r="1914">
      <c r="D1914" s="123"/>
    </row>
    <row r="1915">
      <c r="D1915" s="123"/>
    </row>
    <row r="1916">
      <c r="D1916" s="123"/>
    </row>
    <row r="1917">
      <c r="D1917" s="123"/>
    </row>
    <row r="1918">
      <c r="D1918" s="123"/>
    </row>
    <row r="1919">
      <c r="D1919" s="123"/>
    </row>
    <row r="1920">
      <c r="D1920" s="123"/>
    </row>
    <row r="1921">
      <c r="D1921" s="123"/>
    </row>
    <row r="1922">
      <c r="D1922" s="123"/>
    </row>
    <row r="1923">
      <c r="D1923" s="123"/>
    </row>
    <row r="1924">
      <c r="D1924" s="123"/>
    </row>
    <row r="1925">
      <c r="D1925" s="123"/>
    </row>
    <row r="1926">
      <c r="D1926" s="123"/>
    </row>
    <row r="1927">
      <c r="D1927" s="123"/>
    </row>
    <row r="1928">
      <c r="D1928" s="123"/>
    </row>
    <row r="1929">
      <c r="D1929" s="123"/>
    </row>
    <row r="1930">
      <c r="D1930" s="123"/>
    </row>
    <row r="1931">
      <c r="D1931" s="123"/>
    </row>
    <row r="1932">
      <c r="D1932" s="123"/>
    </row>
    <row r="1933">
      <c r="D1933" s="123"/>
    </row>
    <row r="1934">
      <c r="D1934" s="123"/>
    </row>
    <row r="1935">
      <c r="D1935" s="123"/>
    </row>
    <row r="1936">
      <c r="D1936" s="123"/>
    </row>
    <row r="1937">
      <c r="D1937" s="123"/>
    </row>
    <row r="1938">
      <c r="D1938" s="123"/>
    </row>
    <row r="1939">
      <c r="D1939" s="123"/>
    </row>
    <row r="1940">
      <c r="D1940" s="123"/>
    </row>
    <row r="1941">
      <c r="D1941" s="123"/>
    </row>
    <row r="1942">
      <c r="D1942" s="123"/>
    </row>
    <row r="1943">
      <c r="D1943" s="123"/>
    </row>
    <row r="1944">
      <c r="D1944" s="123"/>
    </row>
    <row r="1945">
      <c r="D1945" s="123"/>
    </row>
    <row r="1946">
      <c r="D1946" s="123"/>
    </row>
    <row r="1947">
      <c r="D1947" s="123"/>
    </row>
    <row r="1948">
      <c r="D1948" s="123"/>
    </row>
    <row r="1949">
      <c r="D1949" s="123"/>
    </row>
    <row r="1950">
      <c r="D1950" s="123"/>
    </row>
    <row r="1951">
      <c r="D1951" s="123"/>
    </row>
    <row r="1952">
      <c r="D1952" s="123"/>
    </row>
    <row r="1953">
      <c r="D1953" s="123"/>
    </row>
    <row r="1954">
      <c r="D1954" s="123"/>
    </row>
    <row r="1955">
      <c r="D1955" s="123"/>
    </row>
    <row r="1956">
      <c r="D1956" s="123"/>
    </row>
    <row r="1957">
      <c r="D1957" s="123"/>
    </row>
    <row r="1958">
      <c r="D1958" s="123"/>
    </row>
    <row r="1959">
      <c r="D1959" s="123"/>
    </row>
    <row r="1960">
      <c r="D1960" s="123"/>
    </row>
    <row r="1961">
      <c r="D1961" s="123"/>
    </row>
    <row r="1962">
      <c r="D1962" s="123"/>
    </row>
    <row r="1963">
      <c r="D1963" s="123"/>
    </row>
    <row r="1964">
      <c r="D1964" s="123"/>
    </row>
    <row r="1965">
      <c r="D1965" s="123"/>
    </row>
    <row r="1966">
      <c r="D1966" s="123"/>
    </row>
    <row r="1967">
      <c r="D1967" s="123"/>
    </row>
    <row r="1968">
      <c r="D1968" s="123"/>
    </row>
    <row r="1969">
      <c r="D1969" s="123"/>
    </row>
    <row r="1970">
      <c r="D1970" s="123"/>
    </row>
    <row r="1971">
      <c r="D1971" s="123"/>
    </row>
    <row r="1972">
      <c r="D1972" s="123"/>
    </row>
    <row r="1973">
      <c r="D1973" s="123"/>
    </row>
    <row r="1974">
      <c r="D1974" s="123"/>
    </row>
    <row r="1975">
      <c r="D1975" s="123"/>
    </row>
    <row r="1976">
      <c r="D1976" s="123"/>
    </row>
    <row r="1977">
      <c r="D1977" s="123"/>
    </row>
    <row r="1978">
      <c r="D1978" s="123"/>
    </row>
    <row r="1979">
      <c r="D1979" s="123"/>
    </row>
    <row r="1980">
      <c r="D1980" s="123"/>
    </row>
    <row r="1981">
      <c r="D1981" s="123"/>
    </row>
    <row r="1982">
      <c r="D1982" s="123"/>
    </row>
    <row r="1983">
      <c r="D1983" s="123"/>
    </row>
    <row r="1984">
      <c r="D1984" s="123"/>
    </row>
    <row r="1985">
      <c r="D1985" s="123"/>
    </row>
    <row r="1986">
      <c r="D1986" s="123"/>
    </row>
    <row r="1987">
      <c r="D1987" s="123"/>
    </row>
    <row r="1988">
      <c r="D1988" s="123"/>
    </row>
    <row r="1989">
      <c r="D1989" s="123"/>
    </row>
    <row r="1990">
      <c r="D1990" s="123"/>
    </row>
    <row r="1991">
      <c r="D1991" s="123"/>
    </row>
    <row r="1992">
      <c r="D1992" s="123"/>
    </row>
    <row r="1993">
      <c r="D1993" s="123"/>
    </row>
    <row r="1994">
      <c r="D1994" s="123"/>
    </row>
    <row r="1995">
      <c r="D1995" s="123"/>
    </row>
    <row r="1996">
      <c r="D1996" s="123"/>
    </row>
    <row r="1997">
      <c r="D1997" s="123"/>
    </row>
    <row r="1998">
      <c r="D1998" s="123"/>
    </row>
    <row r="1999">
      <c r="D1999" s="123"/>
    </row>
    <row r="2000">
      <c r="D2000" s="123"/>
    </row>
    <row r="2001">
      <c r="D2001" s="123"/>
    </row>
    <row r="2002">
      <c r="D2002" s="123"/>
    </row>
    <row r="2003">
      <c r="D2003" s="123"/>
    </row>
    <row r="2004">
      <c r="D2004" s="123"/>
    </row>
    <row r="2005">
      <c r="D2005" s="123"/>
    </row>
    <row r="2006">
      <c r="D2006" s="123"/>
    </row>
    <row r="2007">
      <c r="D2007" s="123"/>
    </row>
    <row r="2008">
      <c r="D2008" s="123"/>
    </row>
    <row r="2009">
      <c r="D2009" s="123"/>
    </row>
    <row r="2010">
      <c r="D2010" s="123"/>
    </row>
    <row r="2011">
      <c r="D2011" s="123"/>
    </row>
    <row r="2012">
      <c r="D2012" s="123"/>
    </row>
    <row r="2013">
      <c r="D2013" s="123"/>
    </row>
    <row r="2014">
      <c r="D2014" s="123"/>
    </row>
    <row r="2015">
      <c r="D2015" s="123"/>
    </row>
    <row r="2016">
      <c r="D2016" s="123"/>
    </row>
    <row r="2017">
      <c r="D2017" s="123"/>
    </row>
    <row r="2018">
      <c r="D2018" s="123"/>
    </row>
    <row r="2019">
      <c r="D2019" s="123"/>
    </row>
    <row r="2020">
      <c r="D2020" s="123"/>
    </row>
    <row r="2021">
      <c r="D2021" s="123"/>
    </row>
    <row r="2022">
      <c r="D2022" s="123"/>
    </row>
    <row r="2023">
      <c r="D2023" s="123"/>
    </row>
    <row r="2024">
      <c r="D2024" s="123"/>
    </row>
    <row r="2025">
      <c r="D2025" s="123"/>
    </row>
    <row r="2026">
      <c r="D2026" s="123"/>
    </row>
    <row r="2027">
      <c r="D2027" s="123"/>
    </row>
    <row r="2028">
      <c r="D2028" s="123"/>
    </row>
    <row r="2029">
      <c r="D2029" s="123"/>
    </row>
    <row r="2030">
      <c r="D2030" s="123"/>
    </row>
    <row r="2031">
      <c r="D2031" s="123"/>
    </row>
    <row r="2032">
      <c r="D2032" s="123"/>
    </row>
    <row r="2033">
      <c r="D2033" s="123"/>
    </row>
    <row r="2034">
      <c r="D2034" s="123"/>
    </row>
    <row r="2035">
      <c r="D2035" s="123"/>
    </row>
    <row r="2036">
      <c r="D2036" s="123"/>
    </row>
    <row r="2037">
      <c r="D2037" s="123"/>
    </row>
    <row r="2038">
      <c r="D2038" s="123"/>
    </row>
    <row r="2039">
      <c r="D2039" s="123"/>
    </row>
    <row r="2040">
      <c r="D2040" s="123"/>
    </row>
    <row r="2041">
      <c r="D2041" s="123"/>
    </row>
    <row r="2042">
      <c r="D2042" s="123"/>
    </row>
    <row r="2043">
      <c r="D2043" s="123"/>
    </row>
    <row r="2044">
      <c r="D2044" s="123"/>
    </row>
    <row r="2045">
      <c r="D2045" s="123"/>
    </row>
    <row r="2046">
      <c r="D2046" s="123"/>
    </row>
    <row r="2047">
      <c r="D2047" s="123"/>
    </row>
    <row r="2048">
      <c r="D2048" s="123"/>
    </row>
    <row r="2049">
      <c r="D2049" s="123"/>
    </row>
    <row r="2050">
      <c r="D2050" s="123"/>
    </row>
    <row r="2051">
      <c r="D2051" s="123"/>
    </row>
    <row r="2052">
      <c r="D2052" s="123"/>
    </row>
    <row r="2053">
      <c r="D2053" s="123"/>
    </row>
    <row r="2054">
      <c r="D2054" s="123"/>
    </row>
    <row r="2055">
      <c r="D2055" s="123"/>
    </row>
    <row r="2056">
      <c r="D2056" s="123"/>
    </row>
    <row r="2057">
      <c r="D2057" s="123"/>
    </row>
    <row r="2058">
      <c r="D2058" s="123"/>
    </row>
    <row r="2059">
      <c r="D2059" s="123"/>
    </row>
    <row r="2060">
      <c r="D2060" s="123"/>
    </row>
    <row r="2061">
      <c r="D2061" s="123"/>
    </row>
    <row r="2062">
      <c r="D2062" s="123"/>
    </row>
    <row r="2063">
      <c r="D2063" s="123"/>
    </row>
    <row r="2064">
      <c r="D2064" s="123"/>
    </row>
    <row r="2065">
      <c r="D2065" s="123"/>
    </row>
    <row r="2066">
      <c r="D2066" s="123"/>
    </row>
    <row r="2067">
      <c r="D2067" s="123"/>
    </row>
    <row r="2068">
      <c r="D2068" s="123"/>
    </row>
    <row r="2069">
      <c r="D2069" s="123"/>
    </row>
    <row r="2070">
      <c r="D2070" s="123"/>
    </row>
    <row r="2071">
      <c r="D2071" s="123"/>
    </row>
    <row r="2072">
      <c r="D2072" s="123"/>
    </row>
    <row r="2073">
      <c r="D2073" s="123"/>
    </row>
    <row r="2074">
      <c r="D2074" s="123"/>
    </row>
    <row r="2075">
      <c r="D2075" s="123"/>
    </row>
    <row r="2076">
      <c r="D2076" s="123"/>
    </row>
    <row r="2077">
      <c r="D2077" s="123"/>
    </row>
    <row r="2078">
      <c r="D2078" s="123"/>
    </row>
    <row r="2079">
      <c r="D2079" s="123"/>
    </row>
    <row r="2080">
      <c r="D2080" s="123"/>
    </row>
    <row r="2081">
      <c r="D2081" s="123"/>
    </row>
    <row r="2082">
      <c r="D2082" s="123"/>
    </row>
    <row r="2083">
      <c r="D2083" s="123"/>
    </row>
    <row r="2084">
      <c r="D2084" s="123"/>
    </row>
    <row r="2085">
      <c r="D2085" s="123"/>
    </row>
    <row r="2086">
      <c r="D2086" s="123"/>
    </row>
    <row r="2087">
      <c r="D2087" s="123"/>
    </row>
    <row r="2088">
      <c r="D2088" s="123"/>
    </row>
    <row r="2089">
      <c r="D2089" s="123"/>
    </row>
    <row r="2090">
      <c r="D2090" s="123"/>
    </row>
    <row r="2091">
      <c r="D2091" s="123"/>
    </row>
    <row r="2092">
      <c r="D2092" s="123"/>
    </row>
    <row r="2093">
      <c r="D2093" s="123"/>
    </row>
    <row r="2094">
      <c r="D2094" s="123"/>
    </row>
    <row r="2095">
      <c r="D2095" s="123"/>
    </row>
    <row r="2096">
      <c r="D2096" s="123"/>
    </row>
    <row r="2097">
      <c r="D2097" s="123"/>
    </row>
    <row r="2098">
      <c r="D2098" s="123"/>
    </row>
    <row r="2099">
      <c r="D2099" s="123"/>
    </row>
    <row r="2100">
      <c r="D2100" s="123"/>
    </row>
    <row r="2101">
      <c r="D2101" s="123"/>
    </row>
    <row r="2102">
      <c r="D2102" s="123"/>
    </row>
    <row r="2103">
      <c r="D2103" s="123"/>
    </row>
    <row r="2104">
      <c r="D2104" s="123"/>
    </row>
    <row r="2105">
      <c r="D2105" s="123"/>
    </row>
    <row r="2106">
      <c r="D2106" s="123"/>
    </row>
    <row r="2107">
      <c r="D2107" s="123"/>
    </row>
    <row r="2108">
      <c r="D2108" s="123"/>
    </row>
    <row r="2109">
      <c r="D2109" s="123"/>
    </row>
    <row r="2110">
      <c r="D2110" s="123"/>
    </row>
    <row r="2111">
      <c r="D2111" s="123"/>
    </row>
    <row r="2112">
      <c r="D2112" s="123"/>
    </row>
    <row r="2113">
      <c r="D2113" s="123"/>
    </row>
    <row r="2114">
      <c r="D2114" s="123"/>
    </row>
    <row r="2115">
      <c r="D2115" s="123"/>
    </row>
    <row r="2116">
      <c r="D2116" s="123"/>
    </row>
    <row r="2117">
      <c r="D2117" s="123"/>
    </row>
    <row r="2118">
      <c r="D2118" s="123"/>
    </row>
    <row r="2119">
      <c r="D2119" s="123"/>
    </row>
    <row r="2120">
      <c r="D2120" s="123"/>
    </row>
    <row r="2121">
      <c r="D2121" s="123"/>
    </row>
    <row r="2122">
      <c r="D2122" s="123"/>
    </row>
    <row r="2123">
      <c r="D2123" s="123"/>
    </row>
    <row r="2124">
      <c r="D2124" s="123"/>
    </row>
    <row r="2125">
      <c r="D2125" s="123"/>
    </row>
    <row r="2126">
      <c r="D2126" s="123"/>
    </row>
    <row r="2127">
      <c r="D2127" s="123"/>
    </row>
    <row r="2128">
      <c r="D2128" s="123"/>
    </row>
    <row r="2129">
      <c r="D2129" s="123"/>
    </row>
    <row r="2130">
      <c r="D2130" s="123"/>
    </row>
    <row r="2131">
      <c r="D2131" s="123"/>
    </row>
    <row r="2132">
      <c r="D2132" s="123"/>
    </row>
    <row r="2133">
      <c r="D2133" s="123"/>
    </row>
    <row r="2134">
      <c r="D2134" s="123"/>
    </row>
    <row r="2135">
      <c r="D2135" s="123"/>
    </row>
    <row r="2136">
      <c r="D2136" s="123"/>
    </row>
    <row r="2137">
      <c r="D2137" s="123"/>
    </row>
    <row r="2138">
      <c r="D2138" s="123"/>
    </row>
    <row r="2139">
      <c r="D2139" s="123"/>
    </row>
    <row r="2140">
      <c r="D2140" s="123"/>
    </row>
    <row r="2141">
      <c r="D2141" s="123"/>
    </row>
    <row r="2142">
      <c r="D2142" s="123"/>
    </row>
    <row r="2143">
      <c r="D2143" s="123"/>
    </row>
    <row r="2144">
      <c r="D2144" s="123"/>
    </row>
    <row r="2145">
      <c r="D2145" s="123"/>
    </row>
    <row r="2146">
      <c r="D2146" s="123"/>
    </row>
    <row r="2147">
      <c r="D2147" s="123"/>
    </row>
    <row r="2148">
      <c r="D2148" s="123"/>
    </row>
    <row r="2149">
      <c r="D2149" s="123"/>
    </row>
    <row r="2150">
      <c r="D2150" s="123"/>
    </row>
    <row r="2151">
      <c r="D2151" s="123"/>
    </row>
    <row r="2152">
      <c r="D2152" s="123"/>
    </row>
    <row r="2153">
      <c r="D2153" s="123"/>
    </row>
    <row r="2154">
      <c r="D2154" s="123"/>
    </row>
    <row r="2155">
      <c r="D2155" s="123"/>
    </row>
    <row r="2156">
      <c r="D2156" s="123"/>
    </row>
    <row r="2157">
      <c r="D2157" s="123"/>
    </row>
    <row r="2158">
      <c r="D2158" s="123"/>
    </row>
    <row r="2159">
      <c r="D2159" s="123"/>
    </row>
    <row r="2160">
      <c r="D2160" s="123"/>
    </row>
    <row r="2161">
      <c r="D2161" s="123"/>
    </row>
    <row r="2162">
      <c r="D2162" s="123"/>
    </row>
    <row r="2163">
      <c r="D2163" s="123"/>
    </row>
    <row r="2164">
      <c r="D2164" s="123"/>
    </row>
    <row r="2165">
      <c r="D2165" s="123"/>
    </row>
    <row r="2166">
      <c r="D2166" s="123"/>
    </row>
    <row r="2167">
      <c r="D2167" s="123"/>
    </row>
    <row r="2168">
      <c r="D2168" s="123"/>
    </row>
    <row r="2169">
      <c r="D2169" s="123"/>
    </row>
    <row r="2170">
      <c r="D2170" s="123"/>
    </row>
    <row r="2171">
      <c r="D2171" s="123"/>
    </row>
    <row r="2172">
      <c r="D2172" s="123"/>
    </row>
    <row r="2173">
      <c r="D2173" s="123"/>
    </row>
    <row r="2174">
      <c r="D2174" s="123"/>
    </row>
    <row r="2175">
      <c r="D2175" s="123"/>
    </row>
    <row r="2176">
      <c r="D2176" s="123"/>
    </row>
    <row r="2177">
      <c r="D2177" s="123"/>
    </row>
    <row r="2178">
      <c r="D2178" s="123"/>
    </row>
    <row r="2179">
      <c r="D2179" s="123"/>
    </row>
    <row r="2180">
      <c r="D2180" s="123"/>
    </row>
    <row r="2181">
      <c r="D2181" s="123"/>
    </row>
    <row r="2182">
      <c r="D2182" s="123"/>
    </row>
    <row r="2183">
      <c r="D2183" s="123"/>
    </row>
    <row r="2184">
      <c r="D2184" s="123"/>
    </row>
    <row r="2185">
      <c r="D2185" s="123"/>
    </row>
    <row r="2186">
      <c r="D2186" s="123"/>
    </row>
    <row r="2187">
      <c r="D2187" s="123"/>
    </row>
    <row r="2188">
      <c r="D2188" s="123"/>
    </row>
    <row r="2189">
      <c r="D2189" s="123"/>
    </row>
    <row r="2190">
      <c r="D2190" s="123"/>
    </row>
    <row r="2191">
      <c r="D2191" s="123"/>
    </row>
    <row r="2192">
      <c r="D2192" s="123"/>
    </row>
    <row r="2193">
      <c r="D2193" s="123"/>
    </row>
    <row r="2194">
      <c r="D2194" s="123"/>
    </row>
    <row r="2195">
      <c r="D2195" s="123"/>
    </row>
    <row r="2196">
      <c r="D2196" s="123"/>
    </row>
    <row r="2197">
      <c r="D2197" s="123"/>
    </row>
    <row r="2198">
      <c r="D2198" s="123"/>
    </row>
    <row r="2199">
      <c r="D2199" s="123"/>
    </row>
    <row r="2200">
      <c r="D2200" s="123"/>
    </row>
    <row r="2201">
      <c r="D2201" s="123"/>
    </row>
    <row r="2202">
      <c r="D2202" s="123"/>
    </row>
    <row r="2203">
      <c r="D2203" s="123"/>
    </row>
    <row r="2204">
      <c r="D2204" s="123"/>
    </row>
    <row r="2205">
      <c r="D2205" s="123"/>
    </row>
    <row r="2206">
      <c r="D2206" s="123"/>
    </row>
    <row r="2207">
      <c r="D2207" s="123"/>
    </row>
    <row r="2208">
      <c r="D2208" s="123"/>
    </row>
    <row r="2209">
      <c r="D2209" s="123"/>
    </row>
    <row r="2210">
      <c r="D2210" s="123"/>
    </row>
    <row r="2211">
      <c r="D2211" s="123"/>
    </row>
    <row r="2212">
      <c r="D2212" s="123"/>
    </row>
    <row r="2213">
      <c r="D2213" s="123"/>
    </row>
    <row r="2214">
      <c r="D2214" s="123"/>
    </row>
    <row r="2215">
      <c r="D2215" s="123"/>
    </row>
    <row r="2216">
      <c r="D2216" s="123"/>
    </row>
    <row r="2217">
      <c r="D2217" s="123"/>
    </row>
    <row r="2218">
      <c r="D2218" s="123"/>
    </row>
    <row r="2219">
      <c r="D2219" s="123"/>
    </row>
    <row r="2220">
      <c r="D2220" s="123"/>
    </row>
    <row r="2221">
      <c r="D2221" s="123"/>
    </row>
    <row r="2222">
      <c r="D2222" s="123"/>
    </row>
    <row r="2223">
      <c r="D2223" s="123"/>
    </row>
    <row r="2224">
      <c r="D2224" s="123"/>
    </row>
    <row r="2225">
      <c r="D2225" s="123"/>
    </row>
    <row r="2226">
      <c r="D2226" s="123"/>
    </row>
    <row r="2227">
      <c r="D2227" s="123"/>
    </row>
    <row r="2228">
      <c r="D2228" s="123"/>
    </row>
    <row r="2229">
      <c r="D2229" s="123"/>
    </row>
    <row r="2230">
      <c r="D2230" s="123"/>
    </row>
    <row r="2231">
      <c r="D2231" s="123"/>
    </row>
    <row r="2232">
      <c r="D2232" s="123"/>
    </row>
    <row r="2233">
      <c r="D2233" s="123"/>
    </row>
    <row r="2234">
      <c r="D2234" s="123"/>
    </row>
    <row r="2235">
      <c r="D2235" s="123"/>
    </row>
    <row r="2236">
      <c r="D2236" s="123"/>
    </row>
    <row r="2237">
      <c r="D2237" s="123"/>
    </row>
    <row r="2238">
      <c r="D2238" s="123"/>
    </row>
    <row r="2239">
      <c r="D2239" s="123"/>
    </row>
    <row r="2240">
      <c r="D2240" s="123"/>
    </row>
    <row r="2241">
      <c r="D2241" s="123"/>
    </row>
    <row r="2242">
      <c r="D2242" s="123"/>
    </row>
    <row r="2243">
      <c r="D2243" s="123"/>
    </row>
    <row r="2244">
      <c r="D2244" s="123"/>
    </row>
    <row r="2245">
      <c r="D2245" s="123"/>
    </row>
    <row r="2246">
      <c r="D2246" s="123"/>
    </row>
    <row r="2247">
      <c r="D2247" s="123"/>
    </row>
    <row r="2248">
      <c r="D2248" s="123"/>
    </row>
    <row r="2249">
      <c r="D2249" s="123"/>
    </row>
    <row r="2250">
      <c r="D2250" s="123"/>
    </row>
    <row r="2251">
      <c r="D2251" s="123"/>
    </row>
    <row r="2252">
      <c r="D2252" s="123"/>
    </row>
    <row r="2253">
      <c r="D2253" s="123"/>
    </row>
    <row r="2254">
      <c r="D2254" s="123"/>
    </row>
    <row r="2255">
      <c r="D2255" s="123"/>
    </row>
    <row r="2256">
      <c r="D2256" s="123"/>
    </row>
    <row r="2257">
      <c r="D2257" s="123"/>
    </row>
    <row r="2258">
      <c r="D2258" s="123"/>
    </row>
    <row r="2259">
      <c r="D2259" s="123"/>
    </row>
    <row r="2260">
      <c r="D2260" s="123"/>
    </row>
    <row r="2261">
      <c r="D2261" s="123"/>
    </row>
    <row r="2262">
      <c r="D2262" s="123"/>
    </row>
    <row r="2263">
      <c r="D2263" s="123"/>
    </row>
    <row r="2264">
      <c r="D2264" s="123"/>
    </row>
    <row r="2265">
      <c r="D2265" s="123"/>
    </row>
    <row r="2266">
      <c r="D2266" s="123"/>
    </row>
    <row r="2267">
      <c r="D2267" s="123"/>
    </row>
    <row r="2268">
      <c r="D2268" s="123"/>
    </row>
    <row r="2269">
      <c r="D2269" s="123"/>
    </row>
    <row r="2270">
      <c r="D2270" s="123"/>
    </row>
    <row r="2271">
      <c r="D2271" s="123"/>
    </row>
    <row r="2272">
      <c r="D2272" s="123"/>
    </row>
    <row r="2273">
      <c r="D2273" s="123"/>
    </row>
    <row r="2274">
      <c r="D2274" s="123"/>
    </row>
    <row r="2275">
      <c r="D2275" s="123"/>
    </row>
    <row r="2276">
      <c r="D2276" s="123"/>
    </row>
    <row r="2277">
      <c r="D2277" s="123"/>
    </row>
    <row r="2278">
      <c r="D2278" s="123"/>
    </row>
    <row r="2279">
      <c r="D2279" s="123"/>
    </row>
    <row r="2280">
      <c r="D2280" s="123"/>
    </row>
    <row r="2281">
      <c r="D2281" s="123"/>
    </row>
    <row r="2282">
      <c r="D2282" s="123"/>
    </row>
    <row r="2283">
      <c r="D2283" s="123"/>
    </row>
    <row r="2284">
      <c r="D2284" s="123"/>
    </row>
    <row r="2285">
      <c r="D2285" s="123"/>
    </row>
    <row r="2286">
      <c r="D2286" s="123"/>
    </row>
    <row r="2287">
      <c r="D2287" s="123"/>
    </row>
    <row r="2288">
      <c r="D2288" s="123"/>
    </row>
    <row r="2289">
      <c r="D2289" s="123"/>
    </row>
    <row r="2290">
      <c r="D2290" s="123"/>
    </row>
    <row r="2291">
      <c r="D2291" s="123"/>
    </row>
    <row r="2292">
      <c r="D2292" s="123"/>
    </row>
    <row r="2293">
      <c r="D2293" s="123"/>
    </row>
    <row r="2294">
      <c r="D2294" s="123"/>
    </row>
    <row r="2295">
      <c r="D2295" s="123"/>
    </row>
    <row r="2296">
      <c r="D2296" s="123"/>
    </row>
    <row r="2297">
      <c r="D2297" s="123"/>
    </row>
    <row r="2298">
      <c r="D2298" s="123"/>
    </row>
    <row r="2299">
      <c r="D2299" s="123"/>
    </row>
    <row r="2300">
      <c r="D2300" s="123"/>
    </row>
    <row r="2301">
      <c r="D2301" s="123"/>
    </row>
    <row r="2302">
      <c r="D2302" s="123"/>
    </row>
    <row r="2303">
      <c r="D2303" s="123"/>
    </row>
    <row r="2304">
      <c r="D2304" s="123"/>
    </row>
    <row r="2305">
      <c r="D2305" s="123"/>
    </row>
    <row r="2306">
      <c r="D2306" s="123"/>
    </row>
    <row r="2307">
      <c r="D2307" s="123"/>
    </row>
    <row r="2308">
      <c r="D2308" s="123"/>
    </row>
    <row r="2309">
      <c r="D2309" s="123"/>
    </row>
    <row r="2310">
      <c r="D2310" s="123"/>
    </row>
    <row r="2311">
      <c r="D2311" s="123"/>
    </row>
    <row r="2312">
      <c r="D2312" s="123"/>
    </row>
    <row r="2313">
      <c r="D2313" s="123"/>
    </row>
    <row r="2314">
      <c r="D2314" s="123"/>
    </row>
    <row r="2315">
      <c r="D2315" s="123"/>
    </row>
    <row r="2316">
      <c r="D2316" s="123"/>
    </row>
    <row r="2317">
      <c r="D2317" s="123"/>
    </row>
    <row r="2318">
      <c r="D2318" s="123"/>
    </row>
    <row r="2319">
      <c r="D2319" s="123"/>
    </row>
    <row r="2320">
      <c r="D2320" s="123"/>
    </row>
    <row r="2321">
      <c r="D2321" s="123"/>
    </row>
    <row r="2322">
      <c r="D2322" s="123"/>
    </row>
    <row r="2323">
      <c r="D2323" s="123"/>
    </row>
    <row r="2324">
      <c r="D2324" s="123"/>
    </row>
    <row r="2325">
      <c r="D2325" s="123"/>
    </row>
    <row r="2326">
      <c r="D2326" s="123"/>
    </row>
    <row r="2327">
      <c r="D2327" s="123"/>
    </row>
    <row r="2328">
      <c r="D2328" s="123"/>
    </row>
    <row r="2329">
      <c r="D2329" s="123"/>
    </row>
    <row r="2330">
      <c r="D2330" s="123"/>
    </row>
    <row r="2331">
      <c r="D2331" s="123"/>
    </row>
    <row r="2332">
      <c r="D2332" s="123"/>
    </row>
    <row r="2333">
      <c r="D2333" s="123"/>
    </row>
    <row r="2334">
      <c r="D2334" s="123"/>
    </row>
    <row r="2335">
      <c r="D2335" s="123"/>
    </row>
    <row r="2336">
      <c r="D2336" s="123"/>
    </row>
    <row r="2337">
      <c r="D2337" s="123"/>
    </row>
    <row r="2338">
      <c r="D2338" s="123"/>
    </row>
    <row r="2339">
      <c r="D2339" s="123"/>
    </row>
    <row r="2340">
      <c r="D2340" s="123"/>
    </row>
    <row r="2341">
      <c r="D2341" s="123"/>
    </row>
    <row r="2342">
      <c r="D2342" s="123"/>
    </row>
    <row r="2343">
      <c r="D2343" s="123"/>
    </row>
    <row r="2344">
      <c r="D2344" s="123"/>
    </row>
    <row r="2345">
      <c r="D2345" s="123"/>
    </row>
    <row r="2346">
      <c r="D2346" s="123"/>
    </row>
    <row r="2347">
      <c r="D2347" s="123"/>
    </row>
    <row r="2348">
      <c r="D2348" s="123"/>
    </row>
    <row r="2349">
      <c r="D2349" s="123"/>
    </row>
    <row r="2350">
      <c r="D2350" s="123"/>
    </row>
    <row r="2351">
      <c r="D2351" s="123"/>
    </row>
    <row r="2352">
      <c r="D2352" s="123"/>
    </row>
    <row r="2353">
      <c r="D2353" s="123"/>
    </row>
    <row r="2354">
      <c r="D2354" s="123"/>
    </row>
    <row r="2355">
      <c r="D2355" s="123"/>
    </row>
    <row r="2356">
      <c r="D2356" s="123"/>
    </row>
    <row r="2357">
      <c r="D2357" s="123"/>
    </row>
    <row r="2358">
      <c r="D2358" s="123"/>
    </row>
    <row r="2359">
      <c r="D2359" s="123"/>
    </row>
    <row r="2360">
      <c r="D2360" s="123"/>
    </row>
    <row r="2361">
      <c r="D2361" s="123"/>
    </row>
    <row r="2362">
      <c r="D2362" s="123"/>
    </row>
    <row r="2363">
      <c r="D2363" s="123"/>
    </row>
    <row r="2364">
      <c r="D2364" s="123"/>
    </row>
    <row r="2365">
      <c r="D2365" s="123"/>
    </row>
    <row r="2366">
      <c r="D2366" s="123"/>
    </row>
    <row r="2367">
      <c r="D2367" s="123"/>
    </row>
    <row r="2368">
      <c r="D2368" s="123"/>
    </row>
    <row r="2369">
      <c r="D2369" s="123"/>
    </row>
    <row r="2370">
      <c r="D2370" s="123"/>
    </row>
    <row r="2371">
      <c r="D2371" s="123"/>
    </row>
    <row r="2372">
      <c r="D2372" s="123"/>
    </row>
    <row r="2373">
      <c r="D2373" s="123"/>
    </row>
    <row r="2374">
      <c r="D2374" s="123"/>
    </row>
    <row r="2375">
      <c r="D2375" s="123"/>
    </row>
    <row r="2376">
      <c r="D2376" s="123"/>
    </row>
    <row r="2377">
      <c r="D2377" s="123"/>
    </row>
    <row r="2378">
      <c r="D2378" s="123"/>
    </row>
    <row r="2379">
      <c r="D2379" s="123"/>
    </row>
    <row r="2380">
      <c r="D2380" s="123"/>
    </row>
    <row r="2381">
      <c r="D2381" s="123"/>
    </row>
    <row r="2382">
      <c r="D2382" s="123"/>
    </row>
    <row r="2383">
      <c r="D2383" s="123"/>
    </row>
    <row r="2384">
      <c r="D2384" s="123"/>
    </row>
    <row r="2385">
      <c r="D2385" s="123"/>
    </row>
    <row r="2386">
      <c r="D2386" s="123"/>
    </row>
    <row r="2387">
      <c r="D2387" s="123"/>
    </row>
    <row r="2388">
      <c r="D2388" s="123"/>
    </row>
    <row r="2389">
      <c r="D2389" s="123"/>
    </row>
    <row r="2390">
      <c r="D2390" s="123"/>
    </row>
    <row r="2391">
      <c r="D2391" s="123"/>
    </row>
    <row r="2392">
      <c r="D2392" s="123"/>
    </row>
    <row r="2393">
      <c r="D2393" s="123"/>
    </row>
    <row r="2394">
      <c r="D2394" s="123"/>
    </row>
    <row r="2395">
      <c r="D2395" s="123"/>
    </row>
    <row r="2396">
      <c r="D2396" s="123"/>
    </row>
    <row r="2397">
      <c r="D2397" s="123"/>
    </row>
    <row r="2398">
      <c r="D2398" s="123"/>
    </row>
    <row r="2399">
      <c r="D2399" s="123"/>
    </row>
    <row r="2400">
      <c r="D2400" s="123"/>
    </row>
    <row r="2401">
      <c r="D2401" s="123"/>
    </row>
    <row r="2402">
      <c r="D2402" s="123"/>
    </row>
    <row r="2403">
      <c r="D2403" s="123"/>
    </row>
    <row r="2404">
      <c r="D2404" s="123"/>
    </row>
    <row r="2405">
      <c r="D2405" s="123"/>
    </row>
    <row r="2406">
      <c r="D2406" s="123"/>
    </row>
    <row r="2407">
      <c r="D2407" s="123"/>
    </row>
    <row r="2408">
      <c r="D2408" s="123"/>
    </row>
    <row r="2409">
      <c r="D2409" s="123"/>
    </row>
    <row r="2410">
      <c r="D2410" s="123"/>
    </row>
    <row r="2411">
      <c r="D2411" s="123"/>
    </row>
    <row r="2412">
      <c r="D2412" s="123"/>
    </row>
    <row r="2413">
      <c r="D2413" s="123"/>
    </row>
    <row r="2414">
      <c r="D2414" s="123"/>
    </row>
    <row r="2415">
      <c r="D2415" s="123"/>
    </row>
    <row r="2416">
      <c r="D2416" s="123"/>
    </row>
    <row r="2417">
      <c r="D2417" s="123"/>
    </row>
    <row r="2418">
      <c r="D2418" s="123"/>
    </row>
    <row r="2419">
      <c r="D2419" s="123"/>
    </row>
    <row r="2420">
      <c r="D2420" s="123"/>
    </row>
    <row r="2421">
      <c r="D2421" s="123"/>
    </row>
    <row r="2422">
      <c r="D2422" s="123"/>
    </row>
    <row r="2423">
      <c r="D2423" s="123"/>
    </row>
    <row r="2424">
      <c r="D2424" s="123"/>
    </row>
    <row r="2425">
      <c r="D2425" s="123"/>
    </row>
    <row r="2426">
      <c r="D2426" s="123"/>
    </row>
    <row r="2427">
      <c r="D2427" s="123"/>
    </row>
    <row r="2428">
      <c r="D2428" s="123"/>
    </row>
    <row r="2429">
      <c r="D2429" s="123"/>
    </row>
    <row r="2430">
      <c r="D2430" s="123"/>
    </row>
    <row r="2431">
      <c r="D2431" s="123"/>
    </row>
    <row r="2432">
      <c r="D2432" s="123"/>
    </row>
    <row r="2433">
      <c r="D2433" s="123"/>
    </row>
    <row r="2434">
      <c r="D2434" s="123"/>
    </row>
    <row r="2435">
      <c r="D2435" s="123"/>
    </row>
    <row r="2436">
      <c r="D2436" s="123"/>
    </row>
    <row r="2437">
      <c r="D2437" s="123"/>
    </row>
    <row r="2438">
      <c r="D2438" s="123"/>
    </row>
    <row r="2439">
      <c r="D2439" s="123"/>
    </row>
    <row r="2440">
      <c r="D2440" s="123"/>
    </row>
    <row r="2441">
      <c r="D2441" s="123"/>
    </row>
    <row r="2442">
      <c r="D2442" s="123"/>
    </row>
    <row r="2443">
      <c r="D2443" s="123"/>
    </row>
    <row r="2444">
      <c r="D2444" s="123"/>
    </row>
    <row r="2445">
      <c r="D2445" s="123"/>
    </row>
    <row r="2446">
      <c r="D2446" s="123"/>
    </row>
    <row r="2447">
      <c r="D2447" s="123"/>
    </row>
    <row r="2448">
      <c r="D2448" s="123"/>
    </row>
    <row r="2449">
      <c r="D2449" s="123"/>
    </row>
    <row r="2450">
      <c r="D2450" s="123"/>
    </row>
    <row r="2451">
      <c r="D2451" s="123"/>
    </row>
    <row r="2452">
      <c r="D2452" s="123"/>
    </row>
    <row r="2453">
      <c r="D2453" s="123"/>
    </row>
    <row r="2454">
      <c r="D2454" s="123"/>
    </row>
    <row r="2455">
      <c r="D2455" s="123"/>
    </row>
    <row r="2456">
      <c r="D2456" s="123"/>
    </row>
    <row r="2457">
      <c r="D2457" s="123"/>
    </row>
    <row r="2458">
      <c r="D2458" s="123"/>
    </row>
    <row r="2459">
      <c r="D2459" s="123"/>
    </row>
    <row r="2460">
      <c r="D2460" s="123"/>
    </row>
    <row r="2461">
      <c r="D2461" s="123"/>
    </row>
    <row r="2462">
      <c r="D2462" s="123"/>
    </row>
    <row r="2463">
      <c r="D2463" s="123"/>
    </row>
    <row r="2464">
      <c r="D2464" s="123"/>
    </row>
    <row r="2465">
      <c r="D2465" s="123"/>
    </row>
    <row r="2466">
      <c r="D2466" s="123"/>
    </row>
    <row r="2467">
      <c r="D2467" s="123"/>
    </row>
    <row r="2468">
      <c r="D2468" s="123"/>
    </row>
    <row r="2469">
      <c r="D2469" s="123"/>
    </row>
    <row r="2470">
      <c r="D2470" s="123"/>
    </row>
    <row r="2471">
      <c r="D2471" s="123"/>
    </row>
    <row r="2472">
      <c r="D2472" s="123"/>
    </row>
    <row r="2473">
      <c r="D2473" s="123"/>
    </row>
    <row r="2474">
      <c r="D2474" s="123"/>
    </row>
    <row r="2475">
      <c r="D2475" s="123"/>
    </row>
    <row r="2476">
      <c r="D2476" s="123"/>
    </row>
    <row r="2477">
      <c r="D2477" s="123"/>
    </row>
    <row r="2478">
      <c r="D2478" s="123"/>
    </row>
    <row r="2479">
      <c r="D2479" s="123"/>
    </row>
    <row r="2480">
      <c r="D2480" s="123"/>
    </row>
    <row r="2481">
      <c r="D2481" s="123"/>
    </row>
    <row r="2482">
      <c r="D2482" s="123"/>
    </row>
    <row r="2483">
      <c r="D2483" s="123"/>
    </row>
    <row r="2484">
      <c r="D2484" s="123"/>
    </row>
    <row r="2485">
      <c r="D2485" s="123"/>
    </row>
    <row r="2486">
      <c r="D2486" s="123"/>
    </row>
    <row r="2487">
      <c r="D2487" s="123"/>
    </row>
    <row r="2488">
      <c r="D2488" s="123"/>
    </row>
    <row r="2489">
      <c r="D2489" s="123"/>
    </row>
    <row r="2490">
      <c r="D2490" s="123"/>
    </row>
    <row r="2491">
      <c r="D2491" s="123"/>
    </row>
    <row r="2492">
      <c r="D2492" s="123"/>
    </row>
    <row r="2493">
      <c r="D2493" s="123"/>
    </row>
    <row r="2494">
      <c r="D2494" s="123"/>
    </row>
    <row r="2495">
      <c r="D2495" s="123"/>
    </row>
    <row r="2496">
      <c r="D2496" s="123"/>
    </row>
    <row r="2497">
      <c r="D2497" s="123"/>
    </row>
    <row r="2498">
      <c r="D2498" s="123"/>
    </row>
    <row r="2499">
      <c r="D2499" s="123"/>
    </row>
    <row r="2500">
      <c r="D2500" s="123"/>
    </row>
    <row r="2501">
      <c r="D2501" s="123"/>
    </row>
    <row r="2502">
      <c r="D2502" s="123"/>
    </row>
    <row r="2503">
      <c r="D2503" s="123"/>
    </row>
    <row r="2504">
      <c r="D2504" s="123"/>
    </row>
    <row r="2505">
      <c r="D2505" s="123"/>
    </row>
    <row r="2506">
      <c r="D2506" s="123"/>
    </row>
    <row r="2507">
      <c r="D2507" s="123"/>
    </row>
    <row r="2508">
      <c r="D2508" s="123"/>
    </row>
    <row r="2509">
      <c r="D2509" s="123"/>
    </row>
    <row r="2510">
      <c r="D2510" s="123"/>
    </row>
    <row r="2511">
      <c r="D2511" s="123"/>
    </row>
    <row r="2512">
      <c r="D2512" s="123"/>
    </row>
    <row r="2513">
      <c r="D2513" s="123"/>
    </row>
    <row r="2514">
      <c r="D2514" s="123"/>
    </row>
    <row r="2515">
      <c r="D2515" s="123"/>
    </row>
    <row r="2516">
      <c r="D2516" s="123"/>
    </row>
    <row r="2517">
      <c r="D2517" s="123"/>
    </row>
    <row r="2518">
      <c r="D2518" s="123"/>
    </row>
    <row r="2519">
      <c r="D2519" s="123"/>
    </row>
    <row r="2520">
      <c r="D2520" s="123"/>
    </row>
    <row r="2521">
      <c r="D2521" s="123"/>
    </row>
    <row r="2522">
      <c r="D2522" s="123"/>
    </row>
    <row r="2523">
      <c r="D2523" s="123"/>
    </row>
    <row r="2524">
      <c r="D2524" s="123"/>
    </row>
    <row r="2525">
      <c r="D2525" s="123"/>
    </row>
    <row r="2526">
      <c r="D2526" s="123"/>
    </row>
    <row r="2527">
      <c r="D2527" s="123"/>
    </row>
    <row r="2528">
      <c r="D2528" s="123"/>
    </row>
    <row r="2529">
      <c r="D2529" s="123"/>
    </row>
    <row r="2530">
      <c r="D2530" s="123"/>
    </row>
    <row r="2531">
      <c r="D2531" s="123"/>
    </row>
    <row r="2532">
      <c r="D2532" s="123"/>
    </row>
    <row r="2533">
      <c r="D2533" s="123"/>
    </row>
    <row r="2534">
      <c r="D2534" s="123"/>
    </row>
    <row r="2535">
      <c r="D2535" s="123"/>
    </row>
    <row r="2536">
      <c r="D2536" s="123"/>
    </row>
    <row r="2537">
      <c r="D2537" s="123"/>
    </row>
    <row r="2538">
      <c r="D2538" s="123"/>
    </row>
    <row r="2539">
      <c r="D2539" s="123"/>
    </row>
    <row r="2540">
      <c r="D2540" s="123"/>
    </row>
    <row r="2541">
      <c r="D2541" s="123"/>
    </row>
    <row r="2542">
      <c r="D2542" s="123"/>
    </row>
    <row r="2543">
      <c r="D2543" s="123"/>
    </row>
    <row r="2544">
      <c r="D2544" s="123"/>
    </row>
    <row r="2545">
      <c r="D2545" s="123"/>
    </row>
    <row r="2546">
      <c r="D2546" s="123"/>
    </row>
    <row r="2547">
      <c r="D2547" s="123"/>
    </row>
    <row r="2548">
      <c r="D2548" s="123"/>
    </row>
    <row r="2549">
      <c r="D2549" s="123"/>
    </row>
    <row r="2550">
      <c r="D2550" s="123"/>
    </row>
    <row r="2551">
      <c r="D2551" s="123"/>
    </row>
    <row r="2552">
      <c r="D2552" s="123"/>
    </row>
    <row r="2553">
      <c r="D2553" s="123"/>
    </row>
    <row r="2554">
      <c r="D2554" s="123"/>
    </row>
    <row r="2555">
      <c r="D2555" s="123"/>
    </row>
    <row r="2556">
      <c r="D2556" s="123"/>
    </row>
    <row r="2557">
      <c r="D2557" s="123"/>
    </row>
    <row r="2558">
      <c r="D2558" s="123"/>
    </row>
    <row r="2559">
      <c r="D2559" s="123"/>
    </row>
    <row r="2560">
      <c r="D2560" s="123"/>
    </row>
    <row r="2561">
      <c r="D2561" s="123"/>
    </row>
    <row r="2562">
      <c r="D2562" s="123"/>
    </row>
    <row r="2563">
      <c r="D2563" s="123"/>
    </row>
    <row r="2564">
      <c r="D2564" s="123"/>
    </row>
    <row r="2565">
      <c r="D2565" s="123"/>
    </row>
    <row r="2566">
      <c r="D2566" s="123"/>
    </row>
    <row r="2567">
      <c r="D2567" s="123"/>
    </row>
    <row r="2568">
      <c r="D2568" s="123"/>
    </row>
    <row r="2569">
      <c r="D2569" s="123"/>
    </row>
    <row r="2570">
      <c r="D2570" s="123"/>
    </row>
    <row r="2571">
      <c r="D2571" s="123"/>
    </row>
    <row r="2572">
      <c r="D2572" s="123"/>
    </row>
    <row r="2573">
      <c r="D2573" s="123"/>
    </row>
    <row r="2574">
      <c r="D2574" s="123"/>
    </row>
    <row r="2575">
      <c r="D2575" s="123"/>
    </row>
    <row r="2576">
      <c r="D2576" s="123"/>
    </row>
    <row r="2577">
      <c r="D2577" s="123"/>
    </row>
    <row r="2578">
      <c r="D2578" s="123"/>
    </row>
    <row r="2579">
      <c r="D2579" s="123"/>
    </row>
    <row r="2580">
      <c r="D2580" s="123"/>
    </row>
    <row r="2581">
      <c r="D2581" s="123"/>
    </row>
    <row r="2582">
      <c r="D2582" s="123"/>
    </row>
    <row r="2583">
      <c r="D2583" s="123"/>
    </row>
    <row r="2584">
      <c r="D2584" s="123"/>
    </row>
    <row r="2585">
      <c r="D2585" s="123"/>
    </row>
    <row r="2586">
      <c r="D2586" s="123"/>
    </row>
    <row r="2587">
      <c r="D2587" s="123"/>
    </row>
    <row r="2588">
      <c r="D2588" s="123"/>
    </row>
    <row r="2589">
      <c r="D2589" s="123"/>
    </row>
    <row r="2590">
      <c r="D2590" s="123"/>
    </row>
    <row r="2591">
      <c r="D2591" s="123"/>
    </row>
    <row r="2592">
      <c r="D2592" s="123"/>
    </row>
    <row r="2593">
      <c r="D2593" s="123"/>
    </row>
    <row r="2594">
      <c r="D2594" s="123"/>
    </row>
    <row r="2595">
      <c r="D2595" s="123"/>
    </row>
    <row r="2596">
      <c r="D2596" s="123"/>
    </row>
    <row r="2597">
      <c r="D2597" s="123"/>
    </row>
    <row r="2598">
      <c r="D2598" s="123"/>
    </row>
    <row r="2599">
      <c r="D2599" s="123"/>
    </row>
    <row r="2600">
      <c r="D2600" s="123"/>
    </row>
    <row r="2601">
      <c r="D2601" s="123"/>
    </row>
    <row r="2602">
      <c r="D2602" s="123"/>
    </row>
    <row r="2603">
      <c r="D2603" s="123"/>
    </row>
    <row r="2604">
      <c r="D2604" s="123"/>
    </row>
    <row r="2605">
      <c r="D2605" s="123"/>
    </row>
    <row r="2606">
      <c r="D2606" s="123"/>
    </row>
    <row r="2607">
      <c r="D2607" s="123"/>
    </row>
    <row r="2608">
      <c r="D2608" s="123"/>
    </row>
    <row r="2609">
      <c r="D2609" s="123"/>
    </row>
    <row r="2610">
      <c r="D2610" s="123"/>
    </row>
    <row r="2611">
      <c r="D2611" s="123"/>
    </row>
    <row r="2612">
      <c r="D2612" s="123"/>
    </row>
    <row r="2613">
      <c r="D2613" s="123"/>
    </row>
    <row r="2614">
      <c r="D2614" s="123"/>
    </row>
    <row r="2615">
      <c r="D2615" s="123"/>
    </row>
    <row r="2616">
      <c r="D2616" s="123"/>
    </row>
    <row r="2617">
      <c r="D2617" s="123"/>
    </row>
    <row r="2618">
      <c r="D2618" s="123"/>
    </row>
    <row r="2619">
      <c r="D2619" s="123"/>
    </row>
    <row r="2620">
      <c r="D2620" s="123"/>
    </row>
    <row r="2621">
      <c r="D2621" s="123"/>
    </row>
    <row r="2622">
      <c r="D2622" s="123"/>
    </row>
    <row r="2623">
      <c r="D2623" s="123"/>
    </row>
    <row r="2624">
      <c r="D2624" s="123"/>
    </row>
    <row r="2625">
      <c r="D2625" s="123"/>
    </row>
    <row r="2626">
      <c r="D2626" s="123"/>
    </row>
    <row r="2627">
      <c r="D2627" s="123"/>
    </row>
    <row r="2628">
      <c r="D2628" s="123"/>
    </row>
    <row r="2629">
      <c r="D2629" s="123"/>
    </row>
    <row r="2630">
      <c r="D2630" s="123"/>
    </row>
    <row r="2631">
      <c r="D2631" s="123"/>
    </row>
    <row r="2632">
      <c r="D2632" s="123"/>
    </row>
    <row r="2633">
      <c r="D2633" s="123"/>
    </row>
    <row r="2634">
      <c r="D2634" s="123"/>
    </row>
    <row r="2635">
      <c r="D2635" s="123"/>
    </row>
    <row r="2636">
      <c r="D2636" s="123"/>
    </row>
    <row r="2637">
      <c r="D2637" s="123"/>
    </row>
    <row r="2638">
      <c r="D2638" s="123"/>
    </row>
    <row r="2639">
      <c r="D2639" s="123"/>
    </row>
    <row r="2640">
      <c r="D2640" s="123"/>
    </row>
    <row r="2641">
      <c r="D2641" s="123"/>
    </row>
    <row r="2642">
      <c r="D2642" s="123"/>
    </row>
    <row r="2643">
      <c r="D2643" s="123"/>
    </row>
    <row r="2644">
      <c r="D2644" s="123"/>
    </row>
    <row r="2645">
      <c r="D2645" s="123"/>
    </row>
    <row r="2646">
      <c r="D2646" s="123"/>
    </row>
    <row r="2647">
      <c r="D2647" s="123"/>
    </row>
    <row r="2648">
      <c r="D2648" s="123"/>
    </row>
    <row r="2649">
      <c r="D2649" s="123"/>
    </row>
    <row r="2650">
      <c r="D2650" s="123"/>
    </row>
    <row r="2651">
      <c r="D2651" s="123"/>
    </row>
    <row r="2652">
      <c r="D2652" s="123"/>
    </row>
    <row r="2653">
      <c r="D2653" s="123"/>
    </row>
    <row r="2654">
      <c r="D2654" s="123"/>
    </row>
    <row r="2655">
      <c r="D2655" s="123"/>
    </row>
    <row r="2656">
      <c r="D2656" s="123"/>
    </row>
    <row r="2657">
      <c r="D2657" s="123"/>
    </row>
    <row r="2658">
      <c r="D2658" s="123"/>
    </row>
    <row r="2659">
      <c r="D2659" s="123"/>
    </row>
    <row r="2660">
      <c r="D2660" s="123"/>
    </row>
    <row r="2661">
      <c r="D2661" s="123"/>
    </row>
    <row r="2662">
      <c r="D2662" s="123"/>
    </row>
    <row r="2663">
      <c r="D2663" s="123"/>
    </row>
    <row r="2664">
      <c r="D2664" s="123"/>
    </row>
    <row r="2665">
      <c r="D2665" s="123"/>
    </row>
    <row r="2666">
      <c r="D2666" s="123"/>
    </row>
    <row r="2667">
      <c r="D2667" s="123"/>
    </row>
    <row r="2668">
      <c r="D2668" s="123"/>
    </row>
    <row r="2669">
      <c r="D2669" s="123"/>
    </row>
    <row r="2670">
      <c r="D2670" s="123"/>
    </row>
    <row r="2671">
      <c r="D2671" s="123"/>
    </row>
    <row r="2672">
      <c r="D2672" s="123"/>
    </row>
    <row r="2673">
      <c r="D2673" s="123"/>
    </row>
    <row r="2674">
      <c r="D2674" s="123"/>
    </row>
    <row r="2675">
      <c r="D2675" s="123"/>
    </row>
    <row r="2676">
      <c r="D2676" s="123"/>
    </row>
    <row r="2677">
      <c r="D2677" s="123"/>
    </row>
    <row r="2678">
      <c r="D2678" s="123"/>
    </row>
    <row r="2679">
      <c r="D2679" s="123"/>
    </row>
    <row r="2680">
      <c r="D2680" s="123"/>
    </row>
    <row r="2681">
      <c r="D2681" s="123"/>
    </row>
    <row r="2682">
      <c r="D2682" s="123"/>
    </row>
    <row r="2683">
      <c r="D2683" s="123"/>
    </row>
    <row r="2684">
      <c r="D2684" s="123"/>
    </row>
    <row r="2685">
      <c r="D2685" s="123"/>
    </row>
    <row r="2686">
      <c r="D2686" s="123"/>
    </row>
    <row r="2687">
      <c r="D2687" s="123"/>
    </row>
    <row r="2688">
      <c r="D2688" s="123"/>
    </row>
    <row r="2689">
      <c r="D2689" s="123"/>
    </row>
    <row r="2690">
      <c r="D2690" s="123"/>
    </row>
    <row r="2691">
      <c r="D2691" s="123"/>
    </row>
    <row r="2692">
      <c r="D2692" s="123"/>
    </row>
    <row r="2693">
      <c r="D2693" s="123"/>
    </row>
    <row r="2694">
      <c r="D2694" s="123"/>
    </row>
    <row r="2695">
      <c r="D2695" s="123"/>
    </row>
    <row r="2696">
      <c r="D2696" s="123"/>
    </row>
    <row r="2697">
      <c r="D2697" s="123"/>
    </row>
    <row r="2698">
      <c r="D2698" s="123"/>
    </row>
    <row r="2699">
      <c r="D2699" s="123"/>
    </row>
    <row r="2700">
      <c r="D2700" s="123"/>
    </row>
    <row r="2701">
      <c r="D2701" s="123"/>
    </row>
    <row r="2702">
      <c r="D2702" s="123"/>
    </row>
    <row r="2703">
      <c r="D2703" s="123"/>
    </row>
    <row r="2704">
      <c r="D2704" s="123"/>
    </row>
    <row r="2705">
      <c r="D2705" s="123"/>
    </row>
    <row r="2706">
      <c r="D2706" s="123"/>
    </row>
    <row r="2707">
      <c r="D2707" s="123"/>
    </row>
    <row r="2708">
      <c r="D2708" s="123"/>
    </row>
    <row r="2709">
      <c r="D2709" s="123"/>
    </row>
    <row r="2710">
      <c r="D2710" s="123"/>
    </row>
    <row r="2711">
      <c r="D2711" s="123"/>
    </row>
    <row r="2712">
      <c r="D2712" s="123"/>
    </row>
    <row r="2713">
      <c r="D2713" s="123"/>
    </row>
    <row r="2714">
      <c r="D2714" s="123"/>
    </row>
    <row r="2715">
      <c r="D2715" s="123"/>
    </row>
    <row r="2716">
      <c r="D2716" s="123"/>
    </row>
    <row r="2717">
      <c r="D2717" s="123"/>
    </row>
    <row r="2718">
      <c r="D2718" s="123"/>
    </row>
    <row r="2719">
      <c r="D2719" s="123"/>
    </row>
    <row r="2720">
      <c r="D2720" s="123"/>
    </row>
    <row r="2721">
      <c r="D2721" s="123"/>
    </row>
    <row r="2722">
      <c r="D2722" s="123"/>
    </row>
    <row r="2723">
      <c r="D2723" s="123"/>
    </row>
    <row r="2724">
      <c r="D2724" s="123"/>
    </row>
    <row r="2725">
      <c r="D2725" s="123"/>
    </row>
    <row r="2726">
      <c r="D2726" s="123"/>
    </row>
    <row r="2727">
      <c r="D2727" s="123"/>
    </row>
    <row r="2728">
      <c r="D2728" s="123"/>
    </row>
    <row r="2729">
      <c r="D2729" s="123"/>
    </row>
    <row r="2730">
      <c r="D2730" s="123"/>
    </row>
    <row r="2731">
      <c r="D2731" s="123"/>
    </row>
    <row r="2732">
      <c r="D2732" s="123"/>
    </row>
    <row r="2733">
      <c r="D2733" s="123"/>
    </row>
    <row r="2734">
      <c r="D2734" s="123"/>
    </row>
    <row r="2735">
      <c r="D2735" s="123"/>
    </row>
    <row r="2736">
      <c r="D2736" s="123"/>
    </row>
    <row r="2737">
      <c r="D2737" s="123"/>
    </row>
    <row r="2738">
      <c r="D2738" s="123"/>
    </row>
    <row r="2739">
      <c r="D2739" s="123"/>
    </row>
    <row r="2740">
      <c r="D2740" s="123"/>
    </row>
    <row r="2741">
      <c r="D2741" s="123"/>
    </row>
    <row r="2742">
      <c r="D2742" s="123"/>
    </row>
    <row r="2743">
      <c r="D2743" s="123"/>
    </row>
    <row r="2744">
      <c r="D2744" s="123"/>
    </row>
    <row r="2745">
      <c r="D2745" s="123"/>
    </row>
    <row r="2746">
      <c r="D2746" s="123"/>
    </row>
    <row r="2747">
      <c r="D2747" s="123"/>
    </row>
    <row r="2748">
      <c r="D2748" s="123"/>
    </row>
    <row r="2749">
      <c r="D2749" s="123"/>
    </row>
    <row r="2750">
      <c r="D2750" s="123"/>
    </row>
    <row r="2751">
      <c r="D2751" s="123"/>
    </row>
    <row r="2752">
      <c r="D2752" s="123"/>
    </row>
    <row r="2753">
      <c r="D2753" s="123"/>
    </row>
    <row r="2754">
      <c r="D2754" s="123"/>
    </row>
    <row r="2755">
      <c r="D2755" s="123"/>
    </row>
    <row r="2756">
      <c r="D2756" s="123"/>
    </row>
    <row r="2757">
      <c r="D2757" s="123"/>
    </row>
    <row r="2758">
      <c r="D2758" s="123"/>
    </row>
    <row r="2759">
      <c r="D2759" s="123"/>
    </row>
    <row r="2760">
      <c r="D2760" s="123"/>
    </row>
    <row r="2761">
      <c r="D2761" s="123"/>
    </row>
    <row r="2762">
      <c r="D2762" s="123"/>
    </row>
    <row r="2763">
      <c r="D2763" s="123"/>
    </row>
    <row r="2764">
      <c r="D2764" s="123"/>
    </row>
    <row r="2765">
      <c r="D2765" s="123"/>
    </row>
    <row r="2766">
      <c r="D2766" s="123"/>
    </row>
    <row r="2767">
      <c r="D2767" s="123"/>
    </row>
    <row r="2768">
      <c r="D2768" s="123"/>
    </row>
    <row r="2769">
      <c r="D2769" s="123"/>
    </row>
    <row r="2770">
      <c r="D2770" s="123"/>
    </row>
    <row r="2771">
      <c r="D2771" s="123"/>
    </row>
    <row r="2772">
      <c r="D2772" s="123"/>
    </row>
    <row r="2773">
      <c r="D2773" s="123"/>
    </row>
    <row r="2774">
      <c r="D2774" s="123"/>
    </row>
    <row r="2775">
      <c r="D2775" s="123"/>
    </row>
    <row r="2776">
      <c r="D2776" s="123"/>
    </row>
    <row r="2777">
      <c r="D2777" s="123"/>
    </row>
    <row r="2778">
      <c r="D2778" s="123"/>
    </row>
    <row r="2779">
      <c r="D2779" s="123"/>
    </row>
    <row r="2780">
      <c r="D2780" s="123"/>
    </row>
    <row r="2781">
      <c r="D2781" s="123"/>
    </row>
    <row r="2782">
      <c r="D2782" s="123"/>
    </row>
    <row r="2783">
      <c r="D2783" s="123"/>
    </row>
    <row r="2784">
      <c r="D2784" s="123"/>
    </row>
    <row r="2785">
      <c r="D2785" s="123"/>
    </row>
    <row r="2786">
      <c r="D2786" s="123"/>
    </row>
    <row r="2787">
      <c r="D2787" s="123"/>
    </row>
    <row r="2788">
      <c r="D2788" s="123"/>
    </row>
    <row r="2789">
      <c r="D2789" s="123"/>
    </row>
    <row r="2790">
      <c r="D2790" s="123"/>
    </row>
    <row r="2791">
      <c r="D2791" s="123"/>
    </row>
    <row r="2792">
      <c r="D2792" s="123"/>
    </row>
    <row r="2793">
      <c r="D2793" s="123"/>
    </row>
    <row r="2794">
      <c r="D2794" s="123"/>
    </row>
    <row r="2795">
      <c r="D2795" s="123"/>
    </row>
    <row r="2796">
      <c r="D2796" s="123"/>
    </row>
    <row r="2797">
      <c r="D2797" s="123"/>
    </row>
    <row r="2798">
      <c r="D2798" s="123"/>
    </row>
    <row r="2799">
      <c r="D2799" s="123"/>
    </row>
    <row r="2800">
      <c r="D2800" s="123"/>
    </row>
    <row r="2801">
      <c r="D2801" s="123"/>
    </row>
    <row r="2802">
      <c r="D2802" s="123"/>
    </row>
    <row r="2803">
      <c r="D2803" s="123"/>
    </row>
    <row r="2804">
      <c r="D2804" s="123"/>
    </row>
    <row r="2805">
      <c r="D2805" s="123"/>
    </row>
    <row r="2806">
      <c r="D2806" s="123"/>
    </row>
    <row r="2807">
      <c r="D2807" s="123"/>
    </row>
    <row r="2808">
      <c r="D2808" s="123"/>
    </row>
    <row r="2809">
      <c r="D2809" s="123"/>
    </row>
    <row r="2810">
      <c r="D2810" s="123"/>
    </row>
    <row r="2811">
      <c r="D2811" s="123"/>
    </row>
    <row r="2812">
      <c r="D2812" s="123"/>
    </row>
    <row r="2813">
      <c r="D2813" s="123"/>
    </row>
    <row r="2814">
      <c r="D2814" s="123"/>
    </row>
    <row r="2815">
      <c r="D2815" s="123"/>
    </row>
    <row r="2816">
      <c r="D2816" s="123"/>
    </row>
    <row r="2817">
      <c r="D2817" s="123"/>
    </row>
    <row r="2818">
      <c r="D2818" s="123"/>
    </row>
    <row r="2819">
      <c r="D2819" s="123"/>
    </row>
    <row r="2820">
      <c r="D2820" s="123"/>
    </row>
    <row r="2821">
      <c r="D2821" s="123"/>
    </row>
    <row r="2822">
      <c r="D2822" s="123"/>
    </row>
    <row r="2823">
      <c r="D2823" s="123"/>
    </row>
    <row r="2824">
      <c r="D2824" s="123"/>
    </row>
    <row r="2825">
      <c r="D2825" s="123"/>
    </row>
    <row r="2826">
      <c r="D2826" s="123"/>
    </row>
    <row r="2827">
      <c r="D2827" s="123"/>
    </row>
    <row r="2828">
      <c r="D2828" s="123"/>
    </row>
    <row r="2829">
      <c r="D2829" s="123"/>
    </row>
    <row r="2830">
      <c r="D2830" s="123"/>
    </row>
    <row r="2831">
      <c r="D2831" s="123"/>
    </row>
    <row r="2832">
      <c r="D2832" s="123"/>
    </row>
    <row r="2833">
      <c r="D2833" s="123"/>
    </row>
    <row r="2834">
      <c r="D2834" s="123"/>
    </row>
    <row r="2835">
      <c r="D2835" s="123"/>
    </row>
    <row r="2836">
      <c r="D2836" s="123"/>
    </row>
    <row r="2837">
      <c r="D2837" s="123"/>
    </row>
    <row r="2838">
      <c r="D2838" s="123"/>
    </row>
    <row r="2839">
      <c r="D2839" s="123"/>
    </row>
    <row r="2840">
      <c r="D2840" s="123"/>
    </row>
    <row r="2841">
      <c r="D2841" s="123"/>
    </row>
    <row r="2842">
      <c r="D2842" s="123"/>
    </row>
    <row r="2843">
      <c r="D2843" s="123"/>
    </row>
    <row r="2844">
      <c r="D2844" s="123"/>
    </row>
    <row r="2845">
      <c r="D2845" s="123"/>
    </row>
    <row r="2846">
      <c r="D2846" s="123"/>
    </row>
    <row r="2847">
      <c r="D2847" s="123"/>
    </row>
    <row r="2848">
      <c r="D2848" s="123"/>
    </row>
    <row r="2849">
      <c r="D2849" s="123"/>
    </row>
    <row r="2850">
      <c r="D2850" s="123"/>
    </row>
    <row r="2851">
      <c r="D2851" s="123"/>
    </row>
    <row r="2852">
      <c r="D2852" s="123"/>
    </row>
    <row r="2853">
      <c r="D2853" s="123"/>
    </row>
    <row r="2854">
      <c r="D2854" s="123"/>
    </row>
    <row r="2855">
      <c r="D2855" s="123"/>
    </row>
    <row r="2856">
      <c r="D2856" s="123"/>
    </row>
    <row r="2857">
      <c r="D2857" s="123"/>
    </row>
    <row r="2858">
      <c r="D2858" s="123"/>
    </row>
    <row r="2859">
      <c r="D2859" s="123"/>
    </row>
    <row r="2860">
      <c r="D2860" s="123"/>
    </row>
    <row r="2861">
      <c r="D2861" s="123"/>
    </row>
    <row r="2862">
      <c r="D2862" s="123"/>
    </row>
    <row r="2863">
      <c r="D2863" s="123"/>
    </row>
    <row r="2864">
      <c r="D2864" s="123"/>
    </row>
    <row r="2865">
      <c r="D2865" s="123"/>
    </row>
    <row r="2866">
      <c r="D2866" s="123"/>
    </row>
    <row r="2867">
      <c r="D2867" s="123"/>
    </row>
    <row r="2868">
      <c r="D2868" s="123"/>
    </row>
    <row r="2869">
      <c r="D2869" s="123"/>
    </row>
    <row r="2870">
      <c r="D2870" s="123"/>
    </row>
    <row r="2871">
      <c r="D2871" s="123"/>
    </row>
    <row r="2872">
      <c r="D2872" s="123"/>
    </row>
    <row r="2873">
      <c r="D2873" s="123"/>
    </row>
    <row r="2874">
      <c r="D2874" s="123"/>
    </row>
    <row r="2875">
      <c r="D2875" s="123"/>
    </row>
    <row r="2876">
      <c r="D2876" s="123"/>
    </row>
    <row r="2877">
      <c r="D2877" s="123"/>
    </row>
    <row r="2878">
      <c r="D2878" s="123"/>
    </row>
    <row r="2879">
      <c r="D2879" s="123"/>
    </row>
    <row r="2880">
      <c r="D2880" s="123"/>
    </row>
    <row r="2881">
      <c r="D2881" s="123"/>
    </row>
    <row r="2882">
      <c r="D2882" s="123"/>
    </row>
    <row r="2883">
      <c r="D2883" s="123"/>
    </row>
    <row r="2884">
      <c r="D2884" s="123"/>
    </row>
    <row r="2885">
      <c r="D2885" s="123"/>
    </row>
    <row r="2886">
      <c r="D2886" s="123"/>
    </row>
    <row r="2887">
      <c r="D2887" s="123"/>
    </row>
    <row r="2888">
      <c r="D2888" s="123"/>
    </row>
    <row r="2889">
      <c r="D2889" s="123"/>
    </row>
    <row r="2890">
      <c r="D2890" s="123"/>
    </row>
    <row r="2891">
      <c r="D2891" s="123"/>
    </row>
    <row r="2892">
      <c r="D2892" s="123"/>
    </row>
    <row r="2893">
      <c r="D2893" s="123"/>
    </row>
    <row r="2894">
      <c r="D2894" s="123"/>
    </row>
    <row r="2895">
      <c r="D2895" s="123"/>
    </row>
    <row r="2896">
      <c r="D2896" s="123"/>
    </row>
    <row r="2897">
      <c r="D2897" s="123"/>
    </row>
    <row r="2898">
      <c r="D2898" s="123"/>
    </row>
    <row r="2899">
      <c r="D2899" s="123"/>
    </row>
    <row r="2900">
      <c r="D2900" s="123"/>
    </row>
    <row r="2901">
      <c r="D2901" s="123"/>
    </row>
    <row r="2902">
      <c r="D2902" s="123"/>
    </row>
    <row r="2903">
      <c r="D2903" s="123"/>
    </row>
    <row r="2904">
      <c r="D2904" s="123"/>
    </row>
    <row r="2905">
      <c r="D2905" s="123"/>
    </row>
    <row r="2906">
      <c r="D2906" s="123"/>
    </row>
    <row r="2907">
      <c r="D2907" s="123"/>
    </row>
    <row r="2908">
      <c r="D2908" s="123"/>
    </row>
    <row r="2909">
      <c r="D2909" s="123"/>
    </row>
    <row r="2910">
      <c r="D2910" s="123"/>
    </row>
    <row r="2911">
      <c r="D2911" s="123"/>
    </row>
    <row r="2912">
      <c r="D2912" s="123"/>
    </row>
    <row r="2913">
      <c r="D2913" s="123"/>
    </row>
    <row r="2914">
      <c r="D2914" s="123"/>
    </row>
    <row r="2915">
      <c r="D2915" s="123"/>
    </row>
    <row r="2916">
      <c r="D2916" s="123"/>
    </row>
    <row r="2917">
      <c r="D2917" s="123"/>
    </row>
    <row r="2918">
      <c r="D2918" s="123"/>
    </row>
    <row r="2919">
      <c r="D2919" s="123"/>
    </row>
    <row r="2920">
      <c r="D2920" s="123"/>
    </row>
    <row r="2921">
      <c r="D2921" s="123"/>
    </row>
    <row r="2922">
      <c r="D2922" s="123"/>
    </row>
    <row r="2923">
      <c r="D2923" s="123"/>
    </row>
    <row r="2924">
      <c r="D2924" s="123"/>
    </row>
    <row r="2925">
      <c r="D2925" s="123"/>
    </row>
    <row r="2926">
      <c r="D2926" s="123"/>
    </row>
    <row r="2927">
      <c r="D2927" s="123"/>
    </row>
    <row r="2928">
      <c r="D2928" s="123"/>
    </row>
    <row r="2929">
      <c r="D2929" s="123"/>
    </row>
    <row r="2930">
      <c r="D2930" s="123"/>
    </row>
    <row r="2931">
      <c r="D2931" s="123"/>
    </row>
    <row r="2932">
      <c r="D2932" s="123"/>
    </row>
    <row r="2933">
      <c r="D2933" s="123"/>
    </row>
    <row r="2934">
      <c r="D2934" s="123"/>
    </row>
    <row r="2935">
      <c r="D2935" s="123"/>
    </row>
    <row r="2936">
      <c r="D2936" s="123"/>
    </row>
    <row r="2937">
      <c r="D2937" s="123"/>
    </row>
    <row r="2938">
      <c r="D2938" s="123"/>
    </row>
    <row r="2939">
      <c r="D2939" s="123"/>
    </row>
    <row r="2940">
      <c r="D2940" s="123"/>
    </row>
    <row r="2941">
      <c r="D2941" s="123"/>
    </row>
    <row r="2942">
      <c r="D2942" s="123"/>
    </row>
    <row r="2943">
      <c r="D2943" s="123"/>
    </row>
    <row r="2944">
      <c r="D2944" s="123"/>
    </row>
    <row r="2945">
      <c r="D2945" s="123"/>
    </row>
    <row r="2946">
      <c r="D2946" s="123"/>
    </row>
    <row r="2947">
      <c r="D2947" s="123"/>
    </row>
    <row r="2948">
      <c r="D2948" s="123"/>
    </row>
    <row r="2949">
      <c r="D2949" s="123"/>
    </row>
    <row r="2950">
      <c r="D2950" s="123"/>
    </row>
    <row r="2951">
      <c r="D2951" s="123"/>
    </row>
    <row r="2952">
      <c r="D2952" s="123"/>
    </row>
    <row r="2953">
      <c r="D2953" s="123"/>
    </row>
    <row r="2954">
      <c r="D2954" s="123"/>
    </row>
    <row r="2955">
      <c r="D2955" s="123"/>
    </row>
    <row r="2956">
      <c r="D2956" s="123"/>
    </row>
    <row r="2957">
      <c r="D2957" s="123"/>
    </row>
    <row r="2958">
      <c r="D2958" s="123"/>
    </row>
    <row r="2959">
      <c r="D2959" s="123"/>
    </row>
    <row r="2960">
      <c r="D2960" s="123"/>
    </row>
    <row r="2961">
      <c r="D2961" s="123"/>
    </row>
    <row r="2962">
      <c r="D2962" s="123"/>
    </row>
    <row r="2963">
      <c r="D2963" s="123"/>
    </row>
    <row r="2964">
      <c r="D2964" s="123"/>
    </row>
    <row r="2965">
      <c r="D2965" s="123"/>
    </row>
    <row r="2966">
      <c r="D2966" s="123"/>
    </row>
    <row r="2967">
      <c r="D2967" s="123"/>
    </row>
    <row r="2968">
      <c r="D2968" s="123"/>
    </row>
    <row r="2969">
      <c r="D2969" s="123"/>
    </row>
    <row r="2970">
      <c r="D2970" s="123"/>
    </row>
    <row r="2971">
      <c r="D2971" s="123"/>
    </row>
    <row r="2972">
      <c r="D2972" s="123"/>
    </row>
    <row r="2973">
      <c r="D2973" s="123"/>
    </row>
    <row r="2974">
      <c r="D2974" s="123"/>
    </row>
    <row r="2975">
      <c r="D2975" s="123"/>
    </row>
    <row r="2976">
      <c r="D2976" s="123"/>
    </row>
    <row r="2977">
      <c r="D2977" s="123"/>
    </row>
    <row r="2978">
      <c r="D2978" s="123"/>
    </row>
    <row r="2979">
      <c r="D2979" s="123"/>
    </row>
    <row r="2980">
      <c r="D2980" s="123"/>
    </row>
    <row r="2981">
      <c r="D2981" s="123"/>
    </row>
    <row r="2982">
      <c r="D2982" s="123"/>
    </row>
    <row r="2983">
      <c r="D2983" s="123"/>
    </row>
    <row r="2984">
      <c r="D2984" s="123"/>
    </row>
    <row r="2985">
      <c r="D2985" s="123"/>
    </row>
    <row r="2986">
      <c r="D2986" s="123"/>
    </row>
    <row r="2987">
      <c r="D2987" s="123"/>
    </row>
    <row r="2988">
      <c r="D2988" s="123"/>
    </row>
    <row r="2989">
      <c r="D2989" s="123"/>
    </row>
    <row r="2990">
      <c r="D2990" s="123"/>
    </row>
    <row r="2991">
      <c r="D2991" s="123"/>
    </row>
    <row r="2992">
      <c r="D2992" s="123"/>
    </row>
    <row r="2993">
      <c r="D2993" s="123"/>
    </row>
    <row r="2994">
      <c r="D2994" s="123"/>
    </row>
    <row r="2995">
      <c r="D2995" s="123"/>
    </row>
    <row r="2996">
      <c r="D2996" s="123"/>
    </row>
    <row r="2997">
      <c r="D2997" s="123"/>
    </row>
    <row r="2998">
      <c r="D2998" s="123"/>
    </row>
    <row r="2999">
      <c r="D2999" s="123"/>
    </row>
    <row r="3000">
      <c r="D3000" s="123"/>
    </row>
    <row r="3001">
      <c r="D3001" s="123"/>
    </row>
    <row r="3002">
      <c r="D3002" s="123"/>
    </row>
    <row r="3003">
      <c r="D3003" s="123"/>
    </row>
    <row r="3004">
      <c r="D3004" s="123"/>
    </row>
    <row r="3005">
      <c r="D3005" s="123"/>
    </row>
    <row r="3006">
      <c r="D3006" s="123"/>
    </row>
    <row r="3007">
      <c r="D3007" s="123"/>
    </row>
    <row r="3008">
      <c r="D3008" s="123"/>
    </row>
    <row r="3009">
      <c r="D3009" s="123"/>
    </row>
    <row r="3010">
      <c r="D3010" s="123"/>
    </row>
    <row r="3011">
      <c r="D3011" s="123"/>
    </row>
    <row r="3012">
      <c r="D3012" s="123"/>
    </row>
    <row r="3013">
      <c r="D3013" s="123"/>
    </row>
    <row r="3014">
      <c r="D3014" s="123"/>
    </row>
    <row r="3015">
      <c r="D3015" s="123"/>
    </row>
    <row r="3016">
      <c r="D3016" s="123"/>
    </row>
    <row r="3017">
      <c r="D3017" s="123"/>
    </row>
    <row r="3018">
      <c r="D3018" s="123"/>
    </row>
    <row r="3019">
      <c r="D3019" s="123"/>
    </row>
    <row r="3020">
      <c r="D3020" s="123"/>
    </row>
    <row r="3021">
      <c r="D3021" s="123"/>
    </row>
    <row r="3022">
      <c r="D3022" s="123"/>
    </row>
    <row r="3023">
      <c r="D3023" s="123"/>
    </row>
    <row r="3024">
      <c r="D3024" s="123"/>
    </row>
    <row r="3025">
      <c r="D3025" s="123"/>
    </row>
    <row r="3026">
      <c r="D3026" s="123"/>
    </row>
    <row r="3027">
      <c r="D3027" s="123"/>
    </row>
    <row r="3028">
      <c r="D3028" s="123"/>
    </row>
    <row r="3029">
      <c r="D3029" s="123"/>
    </row>
    <row r="3030">
      <c r="D3030" s="123"/>
    </row>
    <row r="3031">
      <c r="D3031" s="123"/>
    </row>
    <row r="3032">
      <c r="D3032" s="123"/>
    </row>
    <row r="3033">
      <c r="D3033" s="123"/>
    </row>
    <row r="3034">
      <c r="D3034" s="123"/>
    </row>
    <row r="3035">
      <c r="D3035" s="123"/>
    </row>
    <row r="3036">
      <c r="D3036" s="123"/>
    </row>
    <row r="3037">
      <c r="D3037" s="123"/>
    </row>
    <row r="3038">
      <c r="D3038" s="123"/>
    </row>
    <row r="3039">
      <c r="D3039" s="123"/>
    </row>
    <row r="3040">
      <c r="D3040" s="123"/>
    </row>
    <row r="3041">
      <c r="D3041" s="123"/>
    </row>
    <row r="3042">
      <c r="D3042" s="123"/>
    </row>
    <row r="3043">
      <c r="D3043" s="123"/>
    </row>
    <row r="3044">
      <c r="D3044" s="123"/>
    </row>
    <row r="3045">
      <c r="D3045" s="123"/>
    </row>
    <row r="3046">
      <c r="D3046" s="123"/>
    </row>
    <row r="3047">
      <c r="D3047" s="123"/>
    </row>
    <row r="3048">
      <c r="D3048" s="123"/>
    </row>
    <row r="3049">
      <c r="D3049" s="123"/>
    </row>
    <row r="3050">
      <c r="D3050" s="123"/>
    </row>
    <row r="3051">
      <c r="D3051" s="123"/>
    </row>
    <row r="3052">
      <c r="D3052" s="123"/>
    </row>
    <row r="3053">
      <c r="D3053" s="123"/>
    </row>
    <row r="3054">
      <c r="D3054" s="123"/>
    </row>
    <row r="3055">
      <c r="D3055" s="123"/>
    </row>
    <row r="3056">
      <c r="D3056" s="123"/>
    </row>
    <row r="3057">
      <c r="D3057" s="123"/>
    </row>
    <row r="3058">
      <c r="D3058" s="123"/>
    </row>
    <row r="3059">
      <c r="D3059" s="123"/>
    </row>
    <row r="3060">
      <c r="D3060" s="123"/>
    </row>
    <row r="3061">
      <c r="D3061" s="123"/>
    </row>
    <row r="3062">
      <c r="D3062" s="123"/>
    </row>
    <row r="3063">
      <c r="D3063" s="123"/>
    </row>
    <row r="3064">
      <c r="D3064" s="123"/>
    </row>
    <row r="3065">
      <c r="D3065" s="123"/>
    </row>
    <row r="3066">
      <c r="D3066" s="123"/>
    </row>
    <row r="3067">
      <c r="D3067" s="123"/>
    </row>
    <row r="3068">
      <c r="D3068" s="123"/>
    </row>
    <row r="3069">
      <c r="D3069" s="123"/>
    </row>
    <row r="3070">
      <c r="D3070" s="123"/>
    </row>
    <row r="3071">
      <c r="D3071" s="123"/>
    </row>
    <row r="3072">
      <c r="D3072" s="123"/>
    </row>
    <row r="3073">
      <c r="D3073" s="123"/>
    </row>
    <row r="3074">
      <c r="D3074" s="123"/>
    </row>
    <row r="3075">
      <c r="D3075" s="123"/>
    </row>
    <row r="3076">
      <c r="D3076" s="123"/>
    </row>
    <row r="3077">
      <c r="D3077" s="123"/>
    </row>
    <row r="3078">
      <c r="D3078" s="123"/>
    </row>
    <row r="3079">
      <c r="D3079" s="123"/>
    </row>
    <row r="3080">
      <c r="D3080" s="123"/>
    </row>
    <row r="3081">
      <c r="D3081" s="123"/>
    </row>
    <row r="3082">
      <c r="D3082" s="123"/>
    </row>
    <row r="3083">
      <c r="D3083" s="123"/>
    </row>
    <row r="3084">
      <c r="D3084" s="123"/>
    </row>
    <row r="3085">
      <c r="D3085" s="123"/>
    </row>
    <row r="3086">
      <c r="D3086" s="123"/>
    </row>
    <row r="3087">
      <c r="D3087" s="123"/>
    </row>
    <row r="3088">
      <c r="D3088" s="123"/>
    </row>
    <row r="3089">
      <c r="D3089" s="123"/>
    </row>
    <row r="3090">
      <c r="D3090" s="123"/>
    </row>
    <row r="3091">
      <c r="D3091" s="123"/>
    </row>
    <row r="3092">
      <c r="D3092" s="123"/>
    </row>
    <row r="3093">
      <c r="D3093" s="123"/>
    </row>
    <row r="3094">
      <c r="D3094" s="123"/>
    </row>
    <row r="3095">
      <c r="D3095" s="123"/>
    </row>
    <row r="3096">
      <c r="D3096" s="123"/>
    </row>
    <row r="3097">
      <c r="D3097" s="123"/>
    </row>
    <row r="3098">
      <c r="D3098" s="123"/>
    </row>
    <row r="3099">
      <c r="D3099" s="123"/>
    </row>
    <row r="3100">
      <c r="D3100" s="123"/>
    </row>
    <row r="3101">
      <c r="D3101" s="123"/>
    </row>
    <row r="3102">
      <c r="D3102" s="123"/>
    </row>
    <row r="3103">
      <c r="D3103" s="123"/>
    </row>
    <row r="3104">
      <c r="D3104" s="123"/>
    </row>
    <row r="3105">
      <c r="D3105" s="123"/>
    </row>
    <row r="3106">
      <c r="D3106" s="123"/>
    </row>
    <row r="3107">
      <c r="D3107" s="123"/>
    </row>
    <row r="3108">
      <c r="D3108" s="123"/>
    </row>
    <row r="3109">
      <c r="D3109" s="123"/>
    </row>
    <row r="3110">
      <c r="D3110" s="123"/>
    </row>
    <row r="3111">
      <c r="D3111" s="123"/>
    </row>
    <row r="3112">
      <c r="D3112" s="123"/>
    </row>
    <row r="3113">
      <c r="D3113" s="123"/>
    </row>
    <row r="3114">
      <c r="D3114" s="123"/>
    </row>
    <row r="3115">
      <c r="D3115" s="123"/>
    </row>
    <row r="3116">
      <c r="D3116" s="123"/>
    </row>
    <row r="3117">
      <c r="D3117" s="123"/>
    </row>
    <row r="3118">
      <c r="D3118" s="123"/>
    </row>
    <row r="3119">
      <c r="D3119" s="123"/>
    </row>
    <row r="3120">
      <c r="D3120" s="123"/>
    </row>
    <row r="3121">
      <c r="D3121" s="123"/>
    </row>
    <row r="3122">
      <c r="D3122" s="123"/>
    </row>
    <row r="3123">
      <c r="D3123" s="123"/>
    </row>
    <row r="3124">
      <c r="D3124" s="123"/>
    </row>
    <row r="3125">
      <c r="D3125" s="123"/>
    </row>
    <row r="3126">
      <c r="D3126" s="123"/>
    </row>
    <row r="3127">
      <c r="D3127" s="123"/>
    </row>
    <row r="3128">
      <c r="D3128" s="123"/>
    </row>
    <row r="3129">
      <c r="D3129" s="123"/>
    </row>
    <row r="3130">
      <c r="D3130" s="123"/>
    </row>
    <row r="3131">
      <c r="D3131" s="123"/>
    </row>
    <row r="3132">
      <c r="D3132" s="123"/>
    </row>
    <row r="3133">
      <c r="D3133" s="123"/>
    </row>
    <row r="3134">
      <c r="D3134" s="123"/>
    </row>
    <row r="3135">
      <c r="D3135" s="123"/>
    </row>
    <row r="3136">
      <c r="D3136" s="123"/>
    </row>
    <row r="3137">
      <c r="D3137" s="123"/>
    </row>
    <row r="3138">
      <c r="D3138" s="123"/>
    </row>
    <row r="3139">
      <c r="D3139" s="123"/>
    </row>
    <row r="3140">
      <c r="D3140" s="123"/>
    </row>
    <row r="3141">
      <c r="D3141" s="123"/>
    </row>
    <row r="3142">
      <c r="D3142" s="123"/>
    </row>
    <row r="3143">
      <c r="D3143" s="123"/>
    </row>
    <row r="3144">
      <c r="D3144" s="123"/>
    </row>
    <row r="3145">
      <c r="D3145" s="123"/>
    </row>
    <row r="3146">
      <c r="D3146" s="123"/>
    </row>
    <row r="3147">
      <c r="D3147" s="123"/>
    </row>
    <row r="3148">
      <c r="D3148" s="123"/>
    </row>
    <row r="3149">
      <c r="D3149" s="123"/>
    </row>
    <row r="3150">
      <c r="D3150" s="123"/>
    </row>
    <row r="3151">
      <c r="D3151" s="123"/>
    </row>
    <row r="3152">
      <c r="D3152" s="123"/>
    </row>
    <row r="3153">
      <c r="D3153" s="123"/>
    </row>
    <row r="3154">
      <c r="D3154" s="123"/>
    </row>
    <row r="3155">
      <c r="D3155" s="123"/>
    </row>
    <row r="3156">
      <c r="D3156" s="123"/>
    </row>
    <row r="3157">
      <c r="D3157" s="123"/>
    </row>
    <row r="3158">
      <c r="D3158" s="123"/>
    </row>
    <row r="3159">
      <c r="D3159" s="123"/>
    </row>
    <row r="3160">
      <c r="D3160" s="123"/>
    </row>
    <row r="3161">
      <c r="D3161" s="123"/>
    </row>
    <row r="3162">
      <c r="D3162" s="123"/>
    </row>
    <row r="3163">
      <c r="D3163" s="123"/>
    </row>
    <row r="3164">
      <c r="D3164" s="123"/>
    </row>
    <row r="3165">
      <c r="D3165" s="123"/>
    </row>
    <row r="3166">
      <c r="D3166" s="123"/>
    </row>
    <row r="3167">
      <c r="D3167" s="123"/>
    </row>
    <row r="3168">
      <c r="D3168" s="123"/>
    </row>
    <row r="3169">
      <c r="D3169" s="123"/>
    </row>
    <row r="3170">
      <c r="D3170" s="123"/>
    </row>
    <row r="3171">
      <c r="D3171" s="123"/>
    </row>
    <row r="3172">
      <c r="D3172" s="123"/>
    </row>
    <row r="3173">
      <c r="D3173" s="123"/>
    </row>
    <row r="3174">
      <c r="D3174" s="123"/>
    </row>
    <row r="3175">
      <c r="D3175" s="123"/>
    </row>
    <row r="3176">
      <c r="D3176" s="123"/>
    </row>
    <row r="3177">
      <c r="D3177" s="123"/>
    </row>
    <row r="3178">
      <c r="D3178" s="123"/>
    </row>
    <row r="3179">
      <c r="D3179" s="123"/>
    </row>
    <row r="3180">
      <c r="D3180" s="123"/>
    </row>
    <row r="3181">
      <c r="D3181" s="123"/>
    </row>
    <row r="3182">
      <c r="D3182" s="123"/>
    </row>
    <row r="3183">
      <c r="D3183" s="123"/>
    </row>
    <row r="3184">
      <c r="D3184" s="123"/>
    </row>
    <row r="3185">
      <c r="D3185" s="123"/>
    </row>
    <row r="3186">
      <c r="D3186" s="123"/>
    </row>
    <row r="3187">
      <c r="D3187" s="123"/>
    </row>
    <row r="3188">
      <c r="D3188" s="123"/>
    </row>
    <row r="3189">
      <c r="D3189" s="123"/>
    </row>
    <row r="3190">
      <c r="D3190" s="123"/>
    </row>
    <row r="3191">
      <c r="D3191" s="123"/>
    </row>
    <row r="3192">
      <c r="D3192" s="123"/>
    </row>
    <row r="3193">
      <c r="D3193" s="123"/>
    </row>
    <row r="3194">
      <c r="D3194" s="123"/>
    </row>
    <row r="3195">
      <c r="D3195" s="123"/>
    </row>
    <row r="3196">
      <c r="D3196" s="123"/>
    </row>
    <row r="3197">
      <c r="D3197" s="123"/>
    </row>
    <row r="3198">
      <c r="D3198" s="123"/>
    </row>
    <row r="3199">
      <c r="D3199" s="123"/>
    </row>
    <row r="3200">
      <c r="D3200" s="123"/>
    </row>
    <row r="3201">
      <c r="D3201" s="123"/>
    </row>
    <row r="3202">
      <c r="D3202" s="123"/>
    </row>
    <row r="3203">
      <c r="D3203" s="123"/>
    </row>
    <row r="3204">
      <c r="D3204" s="123"/>
    </row>
    <row r="3205">
      <c r="D3205" s="123"/>
    </row>
    <row r="3206">
      <c r="D3206" s="123"/>
    </row>
    <row r="3207">
      <c r="D3207" s="123"/>
    </row>
    <row r="3208">
      <c r="D3208" s="123"/>
    </row>
    <row r="3209">
      <c r="D3209" s="123"/>
    </row>
    <row r="3210">
      <c r="D3210" s="123"/>
    </row>
    <row r="3211">
      <c r="D3211" s="123"/>
    </row>
    <row r="3212">
      <c r="D3212" s="123"/>
    </row>
    <row r="3213">
      <c r="D3213" s="123"/>
    </row>
    <row r="3214">
      <c r="D3214" s="123"/>
    </row>
    <row r="3215">
      <c r="D3215" s="123"/>
    </row>
    <row r="3216">
      <c r="D3216" s="123"/>
    </row>
    <row r="3217">
      <c r="D3217" s="123"/>
    </row>
    <row r="3218">
      <c r="D3218" s="123"/>
    </row>
    <row r="3219">
      <c r="D3219" s="123"/>
    </row>
    <row r="3220">
      <c r="D3220" s="123"/>
    </row>
    <row r="3221">
      <c r="D3221" s="123"/>
    </row>
    <row r="3222">
      <c r="D3222" s="123"/>
    </row>
    <row r="3223">
      <c r="D3223" s="123"/>
    </row>
    <row r="3224">
      <c r="D3224" s="123"/>
    </row>
    <row r="3225">
      <c r="D3225" s="123"/>
    </row>
    <row r="3226">
      <c r="D3226" s="123"/>
    </row>
    <row r="3227">
      <c r="D3227" s="123"/>
    </row>
    <row r="3228">
      <c r="D3228" s="123"/>
    </row>
    <row r="3229">
      <c r="D3229" s="123"/>
    </row>
    <row r="3230">
      <c r="D3230" s="123"/>
    </row>
    <row r="3231">
      <c r="D3231" s="123"/>
    </row>
    <row r="3232">
      <c r="D3232" s="123"/>
    </row>
    <row r="3233">
      <c r="D3233" s="123"/>
    </row>
    <row r="3234">
      <c r="D3234" s="123"/>
    </row>
    <row r="3235">
      <c r="D3235" s="123"/>
    </row>
    <row r="3236">
      <c r="D3236" s="123"/>
    </row>
    <row r="3237">
      <c r="D3237" s="123"/>
    </row>
    <row r="3238">
      <c r="D3238" s="123"/>
    </row>
    <row r="3239">
      <c r="D3239" s="123"/>
    </row>
    <row r="3240">
      <c r="D3240" s="123"/>
    </row>
    <row r="3241">
      <c r="D3241" s="123"/>
    </row>
    <row r="3242">
      <c r="D3242" s="123"/>
    </row>
    <row r="3243">
      <c r="D3243" s="123"/>
    </row>
    <row r="3244">
      <c r="D3244" s="123"/>
    </row>
    <row r="3245">
      <c r="D3245" s="123"/>
    </row>
    <row r="3246">
      <c r="D3246" s="123"/>
    </row>
    <row r="3247">
      <c r="D3247" s="123"/>
    </row>
    <row r="3248">
      <c r="D3248" s="123"/>
    </row>
    <row r="3249">
      <c r="D3249" s="123"/>
    </row>
    <row r="3250">
      <c r="D3250" s="123"/>
    </row>
    <row r="3251">
      <c r="D3251" s="123"/>
    </row>
    <row r="3252">
      <c r="D3252" s="123"/>
    </row>
    <row r="3253">
      <c r="D3253" s="123"/>
    </row>
    <row r="3254">
      <c r="D3254" s="123"/>
    </row>
    <row r="3255">
      <c r="D3255" s="123"/>
    </row>
    <row r="3256">
      <c r="D3256" s="123"/>
    </row>
    <row r="3257">
      <c r="D3257" s="123"/>
    </row>
    <row r="3258">
      <c r="D3258" s="123"/>
    </row>
    <row r="3259">
      <c r="D3259" s="123"/>
    </row>
    <row r="3260">
      <c r="D3260" s="123"/>
    </row>
    <row r="3261">
      <c r="D3261" s="123"/>
    </row>
    <row r="3262">
      <c r="D3262" s="123"/>
    </row>
    <row r="3263">
      <c r="D3263" s="123"/>
    </row>
    <row r="3264">
      <c r="D3264" s="123"/>
    </row>
    <row r="3265">
      <c r="D3265" s="123"/>
    </row>
    <row r="3266">
      <c r="D3266" s="123"/>
    </row>
    <row r="3267">
      <c r="D3267" s="123"/>
    </row>
    <row r="3268">
      <c r="D3268" s="123"/>
    </row>
    <row r="3269">
      <c r="D3269" s="123"/>
    </row>
    <row r="3270">
      <c r="D3270" s="123"/>
    </row>
    <row r="3271">
      <c r="D3271" s="123"/>
    </row>
    <row r="3272">
      <c r="D3272" s="123"/>
    </row>
    <row r="3273">
      <c r="D3273" s="123"/>
    </row>
    <row r="3274">
      <c r="D3274" s="123"/>
    </row>
    <row r="3275">
      <c r="D3275" s="123"/>
    </row>
    <row r="3276">
      <c r="D3276" s="123"/>
    </row>
    <row r="3277">
      <c r="D3277" s="123"/>
    </row>
    <row r="3278">
      <c r="D3278" s="123"/>
    </row>
    <row r="3279">
      <c r="D3279" s="123"/>
    </row>
    <row r="3280">
      <c r="D3280" s="123"/>
    </row>
    <row r="3281">
      <c r="D3281" s="123"/>
    </row>
    <row r="3282">
      <c r="D3282" s="123"/>
    </row>
    <row r="3283">
      <c r="D3283" s="123"/>
    </row>
    <row r="3284">
      <c r="D3284" s="123"/>
    </row>
    <row r="3285">
      <c r="D3285" s="123"/>
    </row>
    <row r="3286">
      <c r="D3286" s="123"/>
    </row>
    <row r="3287">
      <c r="D3287" s="123"/>
    </row>
    <row r="3288">
      <c r="D3288" s="123"/>
    </row>
    <row r="3289">
      <c r="D3289" s="123"/>
    </row>
    <row r="3290">
      <c r="D3290" s="123"/>
    </row>
    <row r="3291">
      <c r="D3291" s="123"/>
    </row>
    <row r="3292">
      <c r="D3292" s="123"/>
    </row>
    <row r="3293">
      <c r="D3293" s="123"/>
    </row>
    <row r="3294">
      <c r="D3294" s="123"/>
    </row>
    <row r="3295">
      <c r="D3295" s="123"/>
    </row>
    <row r="3296">
      <c r="D3296" s="123"/>
    </row>
    <row r="3297">
      <c r="D3297" s="123"/>
    </row>
    <row r="3298">
      <c r="D3298" s="123"/>
    </row>
    <row r="3299">
      <c r="D3299" s="123"/>
    </row>
    <row r="3300">
      <c r="D3300" s="123"/>
    </row>
    <row r="3301">
      <c r="D3301" s="123"/>
    </row>
    <row r="3302">
      <c r="D3302" s="123"/>
    </row>
    <row r="3303">
      <c r="D3303" s="123"/>
    </row>
    <row r="3304">
      <c r="D3304" s="123"/>
    </row>
    <row r="3305">
      <c r="D3305" s="123"/>
    </row>
    <row r="3306">
      <c r="D3306" s="123"/>
    </row>
    <row r="3307">
      <c r="D3307" s="123"/>
    </row>
    <row r="3308">
      <c r="D3308" s="123"/>
    </row>
    <row r="3309">
      <c r="D3309" s="123"/>
    </row>
    <row r="3310">
      <c r="D3310" s="123"/>
    </row>
    <row r="3311">
      <c r="D3311" s="123"/>
    </row>
    <row r="3312">
      <c r="D3312" s="123"/>
    </row>
    <row r="3313">
      <c r="D3313" s="123"/>
    </row>
    <row r="3314">
      <c r="D3314" s="123"/>
    </row>
    <row r="3315">
      <c r="D3315" s="123"/>
    </row>
    <row r="3316">
      <c r="D3316" s="123"/>
    </row>
    <row r="3317">
      <c r="D3317" s="123"/>
    </row>
    <row r="3318">
      <c r="D3318" s="123"/>
    </row>
    <row r="3319">
      <c r="D3319" s="123"/>
    </row>
    <row r="3320">
      <c r="D3320" s="123"/>
    </row>
    <row r="3321">
      <c r="D3321" s="123"/>
    </row>
    <row r="3322">
      <c r="D3322" s="123"/>
    </row>
    <row r="3323">
      <c r="D3323" s="123"/>
    </row>
    <row r="3324">
      <c r="D3324" s="123"/>
    </row>
    <row r="3325">
      <c r="D3325" s="123"/>
    </row>
    <row r="3326">
      <c r="D3326" s="123"/>
    </row>
    <row r="3327">
      <c r="D3327" s="123"/>
    </row>
    <row r="3328">
      <c r="D3328" s="123"/>
    </row>
    <row r="3329">
      <c r="D3329" s="123"/>
    </row>
    <row r="3330">
      <c r="D3330" s="123"/>
    </row>
    <row r="3331">
      <c r="D3331" s="123"/>
    </row>
    <row r="3332">
      <c r="D3332" s="123"/>
    </row>
    <row r="3333">
      <c r="D3333" s="123"/>
    </row>
    <row r="3334">
      <c r="D3334" s="123"/>
    </row>
    <row r="3335">
      <c r="D3335" s="123"/>
    </row>
    <row r="3336">
      <c r="D3336" s="123"/>
    </row>
    <row r="3337">
      <c r="D3337" s="123"/>
    </row>
    <row r="3338">
      <c r="D3338" s="123"/>
    </row>
    <row r="3339">
      <c r="D3339" s="123"/>
    </row>
    <row r="3340">
      <c r="D3340" s="123"/>
    </row>
    <row r="3341">
      <c r="D3341" s="123"/>
    </row>
    <row r="3342">
      <c r="D3342" s="123"/>
    </row>
    <row r="3343">
      <c r="D3343" s="123"/>
    </row>
    <row r="3344">
      <c r="D3344" s="123"/>
    </row>
    <row r="3345">
      <c r="D3345" s="123"/>
    </row>
    <row r="3346">
      <c r="D3346" s="123"/>
    </row>
    <row r="3347">
      <c r="D3347" s="123"/>
    </row>
    <row r="3348">
      <c r="D3348" s="123"/>
    </row>
    <row r="3349">
      <c r="D3349" s="123"/>
    </row>
    <row r="3350">
      <c r="D3350" s="123"/>
    </row>
    <row r="3351">
      <c r="D3351" s="123"/>
    </row>
    <row r="3352">
      <c r="D3352" s="123"/>
    </row>
    <row r="3353">
      <c r="D3353" s="123"/>
    </row>
    <row r="3354">
      <c r="D3354" s="123"/>
    </row>
    <row r="3355">
      <c r="D3355" s="123"/>
    </row>
    <row r="3356">
      <c r="D3356" s="123"/>
    </row>
    <row r="3357">
      <c r="D3357" s="123"/>
    </row>
    <row r="3358">
      <c r="D3358" s="123"/>
    </row>
    <row r="3359">
      <c r="D3359" s="123"/>
    </row>
    <row r="3360">
      <c r="D3360" s="123"/>
    </row>
    <row r="3361">
      <c r="D3361" s="123"/>
    </row>
    <row r="3362">
      <c r="D3362" s="123"/>
    </row>
    <row r="3363">
      <c r="D3363" s="123"/>
    </row>
    <row r="3364">
      <c r="D3364" s="123"/>
    </row>
    <row r="3365">
      <c r="D3365" s="123"/>
    </row>
    <row r="3366">
      <c r="D3366" s="123"/>
    </row>
    <row r="3367">
      <c r="D3367" s="123"/>
    </row>
    <row r="3368">
      <c r="D3368" s="123"/>
    </row>
    <row r="3369">
      <c r="D3369" s="123"/>
    </row>
    <row r="3370">
      <c r="D3370" s="123"/>
    </row>
    <row r="3371">
      <c r="D3371" s="123"/>
    </row>
    <row r="3372">
      <c r="D3372" s="123"/>
    </row>
    <row r="3373">
      <c r="D3373" s="123"/>
    </row>
    <row r="3374">
      <c r="D3374" s="123"/>
    </row>
    <row r="3375">
      <c r="D3375" s="123"/>
    </row>
    <row r="3376">
      <c r="D3376" s="123"/>
    </row>
    <row r="3377">
      <c r="D3377" s="123"/>
    </row>
    <row r="3378">
      <c r="D3378" s="123"/>
    </row>
    <row r="3379">
      <c r="D3379" s="123"/>
    </row>
    <row r="3380">
      <c r="D3380" s="123"/>
    </row>
    <row r="3381">
      <c r="D3381" s="123"/>
    </row>
    <row r="3382">
      <c r="D3382" s="123"/>
    </row>
    <row r="3383">
      <c r="D3383" s="123"/>
    </row>
    <row r="3384">
      <c r="D3384" s="123"/>
    </row>
    <row r="3385">
      <c r="D3385" s="123"/>
    </row>
    <row r="3386">
      <c r="D3386" s="123"/>
    </row>
    <row r="3387">
      <c r="D3387" s="123"/>
    </row>
    <row r="3388">
      <c r="D3388" s="123"/>
    </row>
    <row r="3389">
      <c r="D3389" s="123"/>
    </row>
    <row r="3390">
      <c r="D3390" s="123"/>
    </row>
    <row r="3391">
      <c r="D3391" s="123"/>
    </row>
    <row r="3392">
      <c r="D3392" s="123"/>
    </row>
    <row r="3393">
      <c r="D3393" s="123"/>
    </row>
    <row r="3394">
      <c r="D3394" s="123"/>
    </row>
    <row r="3395">
      <c r="D3395" s="123"/>
    </row>
    <row r="3396">
      <c r="D3396" s="123"/>
    </row>
    <row r="3397">
      <c r="D3397" s="123"/>
    </row>
    <row r="3398">
      <c r="D3398" s="123"/>
    </row>
    <row r="3399">
      <c r="D3399" s="123"/>
    </row>
    <row r="3400">
      <c r="D3400" s="123"/>
    </row>
    <row r="3401">
      <c r="D3401" s="123"/>
    </row>
    <row r="3402">
      <c r="D3402" s="123"/>
    </row>
    <row r="3403">
      <c r="D3403" s="123"/>
    </row>
    <row r="3404">
      <c r="D3404" s="123"/>
    </row>
    <row r="3405">
      <c r="D3405" s="123"/>
    </row>
    <row r="3406">
      <c r="D3406" s="123"/>
    </row>
    <row r="3407">
      <c r="D3407" s="123"/>
    </row>
    <row r="3408">
      <c r="D3408" s="123"/>
    </row>
    <row r="3409">
      <c r="D3409" s="123"/>
    </row>
    <row r="3410">
      <c r="D3410" s="123"/>
    </row>
    <row r="3411">
      <c r="D3411" s="123"/>
    </row>
    <row r="3412">
      <c r="D3412" s="123"/>
    </row>
    <row r="3413">
      <c r="D3413" s="123"/>
    </row>
    <row r="3414">
      <c r="D3414" s="123"/>
    </row>
    <row r="3415">
      <c r="D3415" s="123"/>
    </row>
    <row r="3416">
      <c r="D3416" s="123"/>
    </row>
    <row r="3417">
      <c r="D3417" s="123"/>
    </row>
    <row r="3418">
      <c r="D3418" s="123"/>
    </row>
    <row r="3419">
      <c r="D3419" s="123"/>
    </row>
    <row r="3420">
      <c r="D3420" s="123"/>
    </row>
    <row r="3421">
      <c r="D3421" s="123"/>
    </row>
    <row r="3422">
      <c r="D3422" s="123"/>
    </row>
    <row r="3423">
      <c r="D3423" s="123"/>
    </row>
    <row r="3424">
      <c r="D3424" s="123"/>
    </row>
    <row r="3425">
      <c r="D3425" s="123"/>
    </row>
    <row r="3426">
      <c r="D3426" s="123"/>
    </row>
    <row r="3427">
      <c r="D3427" s="123"/>
    </row>
    <row r="3428">
      <c r="D3428" s="123"/>
    </row>
    <row r="3429">
      <c r="D3429" s="123"/>
    </row>
    <row r="3430">
      <c r="D3430" s="123"/>
    </row>
    <row r="3431">
      <c r="D3431" s="123"/>
    </row>
    <row r="3432">
      <c r="D3432" s="123"/>
    </row>
    <row r="3433">
      <c r="D3433" s="123"/>
    </row>
    <row r="3434">
      <c r="D3434" s="123"/>
    </row>
    <row r="3435">
      <c r="D3435" s="123"/>
    </row>
    <row r="3436">
      <c r="D3436" s="123"/>
    </row>
    <row r="3437">
      <c r="D3437" s="123"/>
    </row>
    <row r="3438">
      <c r="D3438" s="123"/>
    </row>
    <row r="3439">
      <c r="D3439" s="123"/>
    </row>
    <row r="3440">
      <c r="D3440" s="123"/>
    </row>
    <row r="3441">
      <c r="D3441" s="123"/>
    </row>
    <row r="3442">
      <c r="D3442" s="123"/>
    </row>
    <row r="3443">
      <c r="D3443" s="123"/>
    </row>
    <row r="3444">
      <c r="D3444" s="123"/>
    </row>
    <row r="3445">
      <c r="D3445" s="123"/>
    </row>
    <row r="3446">
      <c r="D3446" s="123"/>
    </row>
    <row r="3447">
      <c r="D3447" s="123"/>
    </row>
    <row r="3448">
      <c r="D3448" s="123"/>
    </row>
    <row r="3449">
      <c r="D3449" s="123"/>
    </row>
    <row r="3450">
      <c r="D3450" s="123"/>
    </row>
    <row r="3451">
      <c r="D3451" s="123"/>
    </row>
    <row r="3452">
      <c r="D3452" s="123"/>
    </row>
    <row r="3453">
      <c r="D3453" s="123"/>
    </row>
    <row r="3454">
      <c r="D3454" s="123"/>
    </row>
    <row r="3455">
      <c r="D3455" s="123"/>
    </row>
    <row r="3456">
      <c r="D3456" s="123"/>
    </row>
    <row r="3457">
      <c r="D3457" s="123"/>
    </row>
    <row r="3458">
      <c r="D3458" s="123"/>
    </row>
    <row r="3459">
      <c r="D3459" s="123"/>
    </row>
    <row r="3460">
      <c r="D3460" s="123"/>
    </row>
    <row r="3461">
      <c r="D3461" s="123"/>
    </row>
    <row r="3462">
      <c r="D3462" s="123"/>
    </row>
    <row r="3463">
      <c r="D3463" s="123"/>
    </row>
    <row r="3464">
      <c r="D3464" s="123"/>
    </row>
    <row r="3465">
      <c r="D3465" s="123"/>
    </row>
    <row r="3466">
      <c r="D3466" s="123"/>
    </row>
    <row r="3467">
      <c r="D3467" s="123"/>
    </row>
    <row r="3468">
      <c r="D3468" s="123"/>
    </row>
    <row r="3469">
      <c r="D3469" s="123"/>
    </row>
    <row r="3470">
      <c r="D3470" s="123"/>
    </row>
    <row r="3471">
      <c r="D3471" s="123"/>
    </row>
    <row r="3472">
      <c r="D3472" s="123"/>
    </row>
    <row r="3473">
      <c r="D3473" s="123"/>
    </row>
    <row r="3474">
      <c r="D3474" s="123"/>
    </row>
    <row r="3475">
      <c r="D3475" s="123"/>
    </row>
    <row r="3476">
      <c r="D3476" s="123"/>
    </row>
    <row r="3477">
      <c r="D3477" s="123"/>
    </row>
    <row r="3478">
      <c r="D3478" s="123"/>
    </row>
    <row r="3479">
      <c r="D3479" s="123"/>
    </row>
    <row r="3480">
      <c r="D3480" s="123"/>
    </row>
    <row r="3481">
      <c r="D3481" s="123"/>
    </row>
    <row r="3482">
      <c r="D3482" s="123"/>
    </row>
    <row r="3483">
      <c r="D3483" s="123"/>
    </row>
    <row r="3484">
      <c r="D3484" s="123"/>
    </row>
    <row r="3485">
      <c r="D3485" s="123"/>
    </row>
    <row r="3486">
      <c r="D3486" s="123"/>
    </row>
    <row r="3487">
      <c r="D3487" s="123"/>
    </row>
    <row r="3488">
      <c r="D3488" s="123"/>
    </row>
    <row r="3489">
      <c r="D3489" s="123"/>
    </row>
    <row r="3490">
      <c r="D3490" s="123"/>
    </row>
    <row r="3491">
      <c r="D3491" s="123"/>
    </row>
    <row r="3492">
      <c r="D3492" s="123"/>
    </row>
    <row r="3493">
      <c r="D3493" s="123"/>
    </row>
    <row r="3494">
      <c r="D3494" s="123"/>
    </row>
    <row r="3495">
      <c r="D3495" s="123"/>
    </row>
    <row r="3496">
      <c r="D3496" s="123"/>
    </row>
    <row r="3497">
      <c r="D3497" s="123"/>
    </row>
    <row r="3498">
      <c r="D3498" s="123"/>
    </row>
    <row r="3499">
      <c r="D3499" s="123"/>
    </row>
    <row r="3500">
      <c r="D3500" s="123"/>
    </row>
    <row r="3501">
      <c r="D3501" s="123"/>
    </row>
    <row r="3502">
      <c r="D3502" s="123"/>
    </row>
    <row r="3503">
      <c r="D3503" s="123"/>
    </row>
    <row r="3504">
      <c r="D3504" s="123"/>
    </row>
    <row r="3505">
      <c r="D3505" s="123"/>
    </row>
    <row r="3506">
      <c r="D3506" s="123"/>
    </row>
    <row r="3507">
      <c r="D3507" s="123"/>
    </row>
    <row r="3508">
      <c r="D3508" s="123"/>
    </row>
    <row r="3509">
      <c r="D3509" s="123"/>
    </row>
    <row r="3510">
      <c r="D3510" s="123"/>
    </row>
    <row r="3511">
      <c r="D3511" s="123"/>
    </row>
    <row r="3512">
      <c r="D3512" s="123"/>
    </row>
    <row r="3513">
      <c r="D3513" s="123"/>
    </row>
    <row r="3514">
      <c r="D3514" s="123"/>
    </row>
    <row r="3515">
      <c r="D3515" s="123"/>
    </row>
    <row r="3516">
      <c r="D3516" s="123"/>
    </row>
    <row r="3517">
      <c r="D3517" s="123"/>
    </row>
    <row r="3518">
      <c r="D3518" s="123"/>
    </row>
    <row r="3519">
      <c r="D3519" s="123"/>
    </row>
    <row r="3520">
      <c r="D3520" s="123"/>
    </row>
    <row r="3521">
      <c r="D3521" s="123"/>
    </row>
    <row r="3522">
      <c r="D3522" s="123"/>
    </row>
    <row r="3523">
      <c r="D3523" s="123"/>
    </row>
    <row r="3524">
      <c r="D3524" s="123"/>
    </row>
    <row r="3525">
      <c r="D3525" s="123"/>
    </row>
    <row r="3526">
      <c r="D3526" s="123"/>
    </row>
    <row r="3527">
      <c r="D3527" s="123"/>
    </row>
    <row r="3528">
      <c r="D3528" s="123"/>
    </row>
    <row r="3529">
      <c r="D3529" s="123"/>
    </row>
    <row r="3530">
      <c r="D3530" s="123"/>
    </row>
    <row r="3531">
      <c r="D3531" s="123"/>
    </row>
    <row r="3532">
      <c r="D3532" s="123"/>
    </row>
    <row r="3533">
      <c r="D3533" s="123"/>
    </row>
    <row r="3534">
      <c r="D3534" s="123"/>
    </row>
    <row r="3535">
      <c r="D3535" s="123"/>
    </row>
    <row r="3536">
      <c r="D3536" s="123"/>
    </row>
    <row r="3537">
      <c r="D3537" s="123"/>
    </row>
    <row r="3538">
      <c r="D3538" s="123"/>
    </row>
    <row r="3539">
      <c r="D3539" s="123"/>
    </row>
    <row r="3540">
      <c r="D3540" s="123"/>
    </row>
    <row r="3541">
      <c r="D3541" s="123"/>
    </row>
    <row r="3542">
      <c r="D3542" s="123"/>
    </row>
    <row r="3543">
      <c r="D3543" s="123"/>
    </row>
    <row r="3544">
      <c r="D3544" s="123"/>
    </row>
    <row r="3545">
      <c r="D3545" s="123"/>
    </row>
    <row r="3546">
      <c r="D3546" s="123"/>
    </row>
    <row r="3547">
      <c r="D3547" s="123"/>
    </row>
    <row r="3548">
      <c r="D3548" s="123"/>
    </row>
    <row r="3549">
      <c r="D3549" s="123"/>
    </row>
    <row r="3550">
      <c r="D3550" s="123"/>
    </row>
    <row r="3551">
      <c r="D3551" s="123"/>
    </row>
    <row r="3552">
      <c r="D3552" s="123"/>
    </row>
    <row r="3553">
      <c r="D3553" s="123"/>
    </row>
    <row r="3554">
      <c r="D3554" s="123"/>
    </row>
    <row r="3555">
      <c r="D3555" s="123"/>
    </row>
    <row r="3556">
      <c r="D3556" s="123"/>
    </row>
    <row r="3557">
      <c r="D3557" s="123"/>
    </row>
    <row r="3558">
      <c r="D3558" s="123"/>
    </row>
    <row r="3559">
      <c r="D3559" s="123"/>
    </row>
    <row r="3560">
      <c r="D3560" s="123"/>
    </row>
    <row r="3561">
      <c r="D3561" s="123"/>
    </row>
    <row r="3562">
      <c r="D3562" s="123"/>
    </row>
    <row r="3563">
      <c r="D3563" s="123"/>
    </row>
    <row r="3564">
      <c r="D3564" s="123"/>
    </row>
    <row r="3565">
      <c r="D3565" s="123"/>
    </row>
    <row r="3566">
      <c r="D3566" s="123"/>
    </row>
    <row r="3567">
      <c r="D3567" s="123"/>
    </row>
    <row r="3568">
      <c r="D3568" s="123"/>
    </row>
    <row r="3569">
      <c r="D3569" s="123"/>
    </row>
    <row r="3570">
      <c r="D3570" s="123"/>
    </row>
    <row r="3571">
      <c r="D3571" s="123"/>
    </row>
    <row r="3572">
      <c r="D3572" s="123"/>
    </row>
    <row r="3573">
      <c r="D3573" s="123"/>
    </row>
    <row r="3574">
      <c r="D3574" s="123"/>
    </row>
    <row r="3575">
      <c r="D3575" s="123"/>
    </row>
    <row r="3576">
      <c r="D3576" s="123"/>
    </row>
    <row r="3577">
      <c r="D3577" s="123"/>
    </row>
    <row r="3578">
      <c r="D3578" s="123"/>
    </row>
    <row r="3579">
      <c r="D3579" s="123"/>
    </row>
    <row r="3580">
      <c r="D3580" s="123"/>
    </row>
    <row r="3581">
      <c r="D3581" s="123"/>
    </row>
    <row r="3582">
      <c r="D3582" s="123"/>
    </row>
    <row r="3583">
      <c r="D3583" s="123"/>
    </row>
    <row r="3584">
      <c r="D3584" s="123"/>
    </row>
    <row r="3585">
      <c r="D3585" s="123"/>
    </row>
    <row r="3586">
      <c r="D3586" s="123"/>
    </row>
    <row r="3587">
      <c r="D3587" s="123"/>
    </row>
    <row r="3588">
      <c r="D3588" s="123"/>
    </row>
    <row r="3589">
      <c r="D3589" s="123"/>
    </row>
    <row r="3590">
      <c r="D3590" s="123"/>
    </row>
    <row r="3591">
      <c r="D3591" s="123"/>
    </row>
    <row r="3592">
      <c r="D3592" s="123"/>
    </row>
    <row r="3593">
      <c r="D3593" s="123"/>
    </row>
    <row r="3594">
      <c r="D3594" s="123"/>
    </row>
    <row r="3595">
      <c r="D3595" s="123"/>
    </row>
    <row r="3596">
      <c r="D3596" s="123"/>
    </row>
    <row r="3597">
      <c r="D3597" s="123"/>
    </row>
    <row r="3598">
      <c r="D3598" s="123"/>
    </row>
    <row r="3599">
      <c r="D3599" s="123"/>
    </row>
    <row r="3600">
      <c r="D3600" s="123"/>
    </row>
    <row r="3601">
      <c r="D3601" s="123"/>
    </row>
    <row r="3602">
      <c r="D3602" s="123"/>
    </row>
    <row r="3603">
      <c r="D3603" s="123"/>
    </row>
    <row r="3604">
      <c r="D3604" s="123"/>
    </row>
    <row r="3605">
      <c r="D3605" s="123"/>
    </row>
    <row r="3606">
      <c r="D3606" s="123"/>
    </row>
    <row r="3607">
      <c r="D3607" s="123"/>
    </row>
    <row r="3608">
      <c r="D3608" s="123"/>
    </row>
    <row r="3609">
      <c r="D3609" s="123"/>
    </row>
    <row r="3610">
      <c r="D3610" s="123"/>
    </row>
    <row r="3611">
      <c r="D3611" s="123"/>
    </row>
    <row r="3612">
      <c r="D3612" s="123"/>
    </row>
    <row r="3613">
      <c r="D3613" s="123"/>
    </row>
    <row r="3614">
      <c r="D3614" s="123"/>
    </row>
    <row r="3615">
      <c r="D3615" s="123"/>
    </row>
    <row r="3616">
      <c r="D3616" s="123"/>
    </row>
    <row r="3617">
      <c r="D3617" s="123"/>
    </row>
    <row r="3618">
      <c r="D3618" s="123"/>
    </row>
    <row r="3619">
      <c r="D3619" s="123"/>
    </row>
    <row r="3620">
      <c r="D3620" s="123"/>
    </row>
    <row r="3621">
      <c r="D3621" s="123"/>
    </row>
    <row r="3622">
      <c r="D3622" s="123"/>
    </row>
    <row r="3623">
      <c r="D3623" s="123"/>
    </row>
    <row r="3624">
      <c r="D3624" s="123"/>
    </row>
    <row r="3625">
      <c r="D3625" s="123"/>
    </row>
    <row r="3626">
      <c r="D3626" s="123"/>
    </row>
    <row r="3627">
      <c r="D3627" s="123"/>
    </row>
    <row r="3628">
      <c r="D3628" s="123"/>
    </row>
    <row r="3629">
      <c r="D3629" s="123"/>
    </row>
    <row r="3630">
      <c r="D3630" s="123"/>
    </row>
    <row r="3631">
      <c r="D3631" s="123"/>
    </row>
    <row r="3632">
      <c r="D3632" s="123"/>
    </row>
    <row r="3633">
      <c r="D3633" s="123"/>
    </row>
    <row r="3634">
      <c r="D3634" s="123"/>
    </row>
    <row r="3635">
      <c r="D3635" s="123"/>
    </row>
    <row r="3636">
      <c r="D3636" s="123"/>
    </row>
    <row r="3637">
      <c r="D3637" s="123"/>
    </row>
    <row r="3638">
      <c r="D3638" s="123"/>
    </row>
    <row r="3639">
      <c r="D3639" s="123"/>
    </row>
    <row r="3640">
      <c r="D3640" s="123"/>
    </row>
    <row r="3641">
      <c r="D3641" s="123"/>
    </row>
    <row r="3642">
      <c r="D3642" s="123"/>
    </row>
    <row r="3643">
      <c r="D3643" s="123"/>
    </row>
    <row r="3644">
      <c r="D3644" s="123"/>
    </row>
    <row r="3645">
      <c r="D3645" s="123"/>
    </row>
    <row r="3646">
      <c r="D3646" s="123"/>
    </row>
    <row r="3647">
      <c r="D3647" s="123"/>
    </row>
    <row r="3648">
      <c r="D3648" s="123"/>
    </row>
    <row r="3649">
      <c r="D3649" s="123"/>
    </row>
    <row r="3650">
      <c r="D3650" s="123"/>
    </row>
    <row r="3651">
      <c r="D3651" s="123"/>
    </row>
    <row r="3652">
      <c r="D3652" s="123"/>
    </row>
    <row r="3653">
      <c r="D3653" s="123"/>
    </row>
    <row r="3654">
      <c r="D3654" s="123"/>
    </row>
    <row r="3655">
      <c r="D3655" s="123"/>
    </row>
    <row r="3656">
      <c r="D3656" s="123"/>
    </row>
    <row r="3657">
      <c r="D3657" s="123"/>
    </row>
    <row r="3658">
      <c r="D3658" s="123"/>
    </row>
    <row r="3659">
      <c r="D3659" s="123"/>
    </row>
    <row r="3660">
      <c r="D3660" s="123"/>
    </row>
    <row r="3661">
      <c r="D3661" s="123"/>
    </row>
    <row r="3662">
      <c r="D3662" s="123"/>
    </row>
    <row r="3663">
      <c r="D3663" s="123"/>
    </row>
    <row r="3664">
      <c r="D3664" s="123"/>
    </row>
    <row r="3665">
      <c r="D3665" s="123"/>
    </row>
    <row r="3666">
      <c r="D3666" s="123"/>
    </row>
    <row r="3667">
      <c r="D3667" s="123"/>
    </row>
    <row r="3668">
      <c r="D3668" s="123"/>
    </row>
    <row r="3669">
      <c r="D3669" s="123"/>
    </row>
    <row r="3670">
      <c r="D3670" s="123"/>
    </row>
    <row r="3671">
      <c r="D3671" s="123"/>
    </row>
    <row r="3672">
      <c r="D3672" s="123"/>
    </row>
    <row r="3673">
      <c r="D3673" s="123"/>
    </row>
    <row r="3674">
      <c r="D3674" s="123"/>
    </row>
    <row r="3675">
      <c r="D3675" s="123"/>
    </row>
    <row r="3676">
      <c r="D3676" s="123"/>
    </row>
    <row r="3677">
      <c r="D3677" s="123"/>
    </row>
    <row r="3678">
      <c r="D3678" s="123"/>
    </row>
    <row r="3679">
      <c r="D3679" s="123"/>
    </row>
    <row r="3680">
      <c r="D3680" s="123"/>
    </row>
    <row r="3681">
      <c r="D3681" s="123"/>
    </row>
    <row r="3682">
      <c r="D3682" s="123"/>
    </row>
    <row r="3683">
      <c r="D3683" s="123"/>
    </row>
    <row r="3684">
      <c r="D3684" s="123"/>
    </row>
    <row r="3685">
      <c r="D3685" s="123"/>
    </row>
    <row r="3686">
      <c r="D3686" s="123"/>
    </row>
    <row r="3687">
      <c r="D3687" s="123"/>
    </row>
    <row r="3688">
      <c r="D3688" s="123"/>
    </row>
    <row r="3689">
      <c r="D3689" s="123"/>
    </row>
    <row r="3690">
      <c r="D3690" s="123"/>
    </row>
    <row r="3691">
      <c r="D3691" s="123"/>
    </row>
    <row r="3692">
      <c r="D3692" s="123"/>
    </row>
    <row r="3693">
      <c r="D3693" s="123"/>
    </row>
    <row r="3694">
      <c r="D3694" s="123"/>
    </row>
    <row r="3695">
      <c r="D3695" s="123"/>
    </row>
    <row r="3696">
      <c r="D3696" s="123"/>
    </row>
    <row r="3697">
      <c r="D3697" s="123"/>
    </row>
    <row r="3698">
      <c r="D3698" s="123"/>
    </row>
    <row r="3699">
      <c r="D3699" s="123"/>
    </row>
    <row r="3700">
      <c r="D3700" s="123"/>
    </row>
    <row r="3701">
      <c r="D3701" s="123"/>
    </row>
    <row r="3702">
      <c r="D3702" s="123"/>
    </row>
    <row r="3703">
      <c r="D3703" s="123"/>
    </row>
    <row r="3704">
      <c r="D3704" s="123"/>
    </row>
    <row r="3705">
      <c r="D3705" s="123"/>
    </row>
    <row r="3706">
      <c r="D3706" s="123"/>
    </row>
    <row r="3707">
      <c r="D3707" s="123"/>
    </row>
    <row r="3708">
      <c r="D3708" s="123"/>
    </row>
    <row r="3709">
      <c r="D3709" s="123"/>
    </row>
    <row r="3710">
      <c r="D3710" s="123"/>
    </row>
    <row r="3711">
      <c r="D3711" s="123"/>
    </row>
    <row r="3712">
      <c r="D3712" s="123"/>
    </row>
    <row r="3713">
      <c r="D3713" s="123"/>
    </row>
    <row r="3714">
      <c r="D3714" s="123"/>
    </row>
    <row r="3715">
      <c r="D3715" s="123"/>
    </row>
    <row r="3716">
      <c r="D3716" s="123"/>
    </row>
    <row r="3717">
      <c r="D3717" s="123"/>
    </row>
    <row r="3718">
      <c r="D3718" s="123"/>
    </row>
    <row r="3719">
      <c r="D3719" s="123"/>
    </row>
    <row r="3720">
      <c r="D3720" s="123"/>
    </row>
    <row r="3721">
      <c r="D3721" s="123"/>
    </row>
    <row r="3722">
      <c r="D3722" s="123"/>
    </row>
    <row r="3723">
      <c r="D3723" s="123"/>
    </row>
    <row r="3724">
      <c r="D3724" s="123"/>
    </row>
    <row r="3725">
      <c r="D3725" s="123"/>
    </row>
    <row r="3726">
      <c r="D3726" s="123"/>
    </row>
    <row r="3727">
      <c r="D3727" s="123"/>
    </row>
    <row r="3728">
      <c r="D3728" s="123"/>
    </row>
    <row r="3729">
      <c r="D3729" s="123"/>
    </row>
    <row r="3730">
      <c r="D3730" s="123"/>
    </row>
    <row r="3731">
      <c r="D3731" s="123"/>
    </row>
    <row r="3732">
      <c r="D3732" s="123"/>
    </row>
    <row r="3733">
      <c r="D3733" s="123"/>
    </row>
    <row r="3734">
      <c r="D3734" s="123"/>
    </row>
    <row r="3735">
      <c r="D3735" s="123"/>
    </row>
    <row r="3736">
      <c r="D3736" s="123"/>
    </row>
    <row r="3737">
      <c r="D3737" s="123"/>
    </row>
    <row r="3738">
      <c r="D3738" s="123"/>
    </row>
    <row r="3739">
      <c r="D3739" s="123"/>
    </row>
    <row r="3740">
      <c r="D3740" s="123"/>
    </row>
    <row r="3741">
      <c r="D3741" s="123"/>
    </row>
    <row r="3742">
      <c r="D3742" s="123"/>
    </row>
    <row r="3743">
      <c r="D3743" s="123"/>
    </row>
    <row r="3744">
      <c r="D3744" s="123"/>
    </row>
    <row r="3745">
      <c r="D3745" s="123"/>
    </row>
    <row r="3746">
      <c r="D3746" s="123"/>
    </row>
    <row r="3747">
      <c r="D3747" s="123"/>
    </row>
    <row r="3748">
      <c r="D3748" s="123"/>
    </row>
    <row r="3749">
      <c r="D3749" s="123"/>
    </row>
    <row r="3750">
      <c r="D3750" s="123"/>
    </row>
    <row r="3751">
      <c r="D3751" s="123"/>
    </row>
    <row r="3752">
      <c r="D3752" s="123"/>
    </row>
    <row r="3753">
      <c r="D3753" s="123"/>
    </row>
    <row r="3754">
      <c r="D3754" s="123"/>
    </row>
    <row r="3755">
      <c r="D3755" s="123"/>
    </row>
    <row r="3756">
      <c r="D3756" s="123"/>
    </row>
    <row r="3757">
      <c r="D3757" s="123"/>
    </row>
    <row r="3758">
      <c r="D3758" s="123"/>
    </row>
    <row r="3759">
      <c r="D3759" s="123"/>
    </row>
    <row r="3760">
      <c r="D3760" s="123"/>
    </row>
    <row r="3761">
      <c r="D3761" s="123"/>
    </row>
    <row r="3762">
      <c r="D3762" s="123"/>
    </row>
    <row r="3763">
      <c r="D3763" s="123"/>
    </row>
    <row r="3764">
      <c r="D3764" s="123"/>
    </row>
    <row r="3765">
      <c r="D3765" s="123"/>
    </row>
    <row r="3766">
      <c r="D3766" s="123"/>
    </row>
    <row r="3767">
      <c r="D3767" s="123"/>
    </row>
    <row r="3768">
      <c r="D3768" s="123"/>
    </row>
    <row r="3769">
      <c r="D3769" s="123"/>
    </row>
    <row r="3770">
      <c r="D3770" s="123"/>
    </row>
    <row r="3771">
      <c r="D3771" s="123"/>
    </row>
    <row r="3772">
      <c r="D3772" s="123"/>
    </row>
    <row r="3773">
      <c r="D3773" s="123"/>
    </row>
    <row r="3774">
      <c r="D3774" s="123"/>
    </row>
    <row r="3775">
      <c r="D3775" s="123"/>
    </row>
    <row r="3776">
      <c r="D3776" s="123"/>
    </row>
    <row r="3777">
      <c r="D3777" s="123"/>
    </row>
    <row r="3778">
      <c r="D3778" s="123"/>
    </row>
    <row r="3779">
      <c r="D3779" s="123"/>
    </row>
    <row r="3780">
      <c r="D3780" s="123"/>
    </row>
    <row r="3781">
      <c r="D3781" s="123"/>
    </row>
    <row r="3782">
      <c r="D3782" s="123"/>
    </row>
    <row r="3783">
      <c r="D3783" s="123"/>
    </row>
    <row r="3784">
      <c r="D3784" s="123"/>
    </row>
    <row r="3785">
      <c r="D3785" s="123"/>
    </row>
    <row r="3786">
      <c r="D3786" s="123"/>
    </row>
    <row r="3787">
      <c r="D3787" s="123"/>
    </row>
    <row r="3788">
      <c r="D3788" s="123"/>
    </row>
    <row r="3789">
      <c r="D3789" s="123"/>
    </row>
    <row r="3790">
      <c r="D3790" s="123"/>
    </row>
    <row r="3791">
      <c r="D3791" s="123"/>
    </row>
    <row r="3792">
      <c r="D3792" s="123"/>
    </row>
    <row r="3793">
      <c r="D3793" s="123"/>
    </row>
    <row r="3794">
      <c r="D3794" s="123"/>
    </row>
    <row r="3795">
      <c r="D3795" s="123"/>
    </row>
    <row r="3796">
      <c r="D3796" s="123"/>
    </row>
    <row r="3797">
      <c r="D3797" s="123"/>
    </row>
    <row r="3798">
      <c r="D3798" s="123"/>
    </row>
    <row r="3799">
      <c r="D3799" s="123"/>
    </row>
    <row r="3800">
      <c r="D3800" s="123"/>
    </row>
    <row r="3801">
      <c r="D3801" s="123"/>
    </row>
    <row r="3802">
      <c r="D3802" s="123"/>
    </row>
    <row r="3803">
      <c r="D3803" s="123"/>
    </row>
    <row r="3804">
      <c r="D3804" s="123"/>
    </row>
    <row r="3805">
      <c r="D3805" s="123"/>
    </row>
    <row r="3806">
      <c r="D3806" s="123"/>
    </row>
    <row r="3807">
      <c r="D3807" s="123"/>
    </row>
    <row r="3808">
      <c r="D3808" s="123"/>
    </row>
    <row r="3809">
      <c r="D3809" s="123"/>
    </row>
    <row r="3810">
      <c r="D3810" s="123"/>
    </row>
    <row r="3811">
      <c r="D3811" s="123"/>
    </row>
    <row r="3812">
      <c r="D3812" s="123"/>
    </row>
    <row r="3813">
      <c r="D3813" s="123"/>
    </row>
    <row r="3814">
      <c r="D3814" s="123"/>
    </row>
    <row r="3815">
      <c r="D3815" s="123"/>
    </row>
    <row r="3816">
      <c r="D3816" s="123"/>
    </row>
    <row r="3817">
      <c r="D3817" s="123"/>
    </row>
    <row r="3818">
      <c r="D3818" s="123"/>
    </row>
    <row r="3819">
      <c r="D3819" s="123"/>
    </row>
    <row r="3820">
      <c r="D3820" s="123"/>
    </row>
    <row r="3821">
      <c r="D3821" s="123"/>
    </row>
    <row r="3822">
      <c r="D3822" s="123"/>
    </row>
    <row r="3823">
      <c r="D3823" s="123"/>
    </row>
    <row r="3824">
      <c r="D3824" s="123"/>
    </row>
    <row r="3825">
      <c r="D3825" s="123"/>
    </row>
    <row r="3826">
      <c r="D3826" s="123"/>
    </row>
    <row r="3827">
      <c r="D3827" s="123"/>
    </row>
    <row r="3828">
      <c r="D3828" s="123"/>
    </row>
    <row r="3829">
      <c r="D3829" s="123"/>
    </row>
    <row r="3830">
      <c r="D3830" s="123"/>
    </row>
    <row r="3831">
      <c r="D3831" s="123"/>
    </row>
    <row r="3832">
      <c r="D3832" s="123"/>
    </row>
    <row r="3833">
      <c r="D3833" s="123"/>
    </row>
    <row r="3834">
      <c r="D3834" s="123"/>
    </row>
    <row r="3835">
      <c r="D3835" s="123"/>
    </row>
    <row r="3836">
      <c r="D3836" s="123"/>
    </row>
    <row r="3837">
      <c r="D3837" s="123"/>
    </row>
    <row r="3838">
      <c r="D3838" s="123"/>
    </row>
    <row r="3839">
      <c r="D3839" s="123"/>
    </row>
    <row r="3840">
      <c r="D3840" s="123"/>
    </row>
    <row r="3841">
      <c r="D3841" s="123"/>
    </row>
    <row r="3842">
      <c r="D3842" s="123"/>
    </row>
    <row r="3843">
      <c r="D3843" s="123"/>
    </row>
    <row r="3844">
      <c r="D3844" s="123"/>
    </row>
    <row r="3845">
      <c r="D3845" s="123"/>
    </row>
    <row r="3846">
      <c r="D3846" s="123"/>
    </row>
    <row r="3847">
      <c r="D3847" s="123"/>
    </row>
    <row r="3848">
      <c r="D3848" s="123"/>
    </row>
    <row r="3849">
      <c r="D3849" s="123"/>
    </row>
    <row r="3850">
      <c r="D3850" s="123"/>
    </row>
    <row r="3851">
      <c r="D3851" s="123"/>
    </row>
    <row r="3852">
      <c r="D3852" s="123"/>
    </row>
    <row r="3853">
      <c r="D3853" s="123"/>
    </row>
    <row r="3854">
      <c r="D3854" s="123"/>
    </row>
    <row r="3855">
      <c r="D3855" s="123"/>
    </row>
    <row r="3856">
      <c r="D3856" s="123"/>
    </row>
    <row r="3857">
      <c r="D3857" s="123"/>
    </row>
    <row r="3858">
      <c r="D3858" s="123"/>
    </row>
    <row r="3859">
      <c r="D3859" s="123"/>
    </row>
    <row r="3860">
      <c r="D3860" s="123"/>
    </row>
    <row r="3861">
      <c r="D3861" s="123"/>
    </row>
    <row r="3862">
      <c r="D3862" s="123"/>
    </row>
    <row r="3863">
      <c r="D3863" s="123"/>
    </row>
    <row r="3864">
      <c r="D3864" s="123"/>
    </row>
    <row r="3865">
      <c r="D3865" s="123"/>
    </row>
    <row r="3866">
      <c r="D3866" s="123"/>
    </row>
    <row r="3867">
      <c r="D3867" s="123"/>
    </row>
    <row r="3868">
      <c r="D3868" s="123"/>
    </row>
    <row r="3869">
      <c r="D3869" s="123"/>
    </row>
    <row r="3870">
      <c r="D3870" s="123"/>
    </row>
    <row r="3871">
      <c r="D3871" s="123"/>
    </row>
    <row r="3872">
      <c r="D3872" s="123"/>
    </row>
    <row r="3873">
      <c r="D3873" s="123"/>
    </row>
    <row r="3874">
      <c r="D3874" s="123"/>
    </row>
    <row r="3875">
      <c r="D3875" s="123"/>
    </row>
    <row r="3876">
      <c r="D3876" s="123"/>
    </row>
    <row r="3877">
      <c r="D3877" s="123"/>
    </row>
    <row r="3878">
      <c r="D3878" s="123"/>
    </row>
    <row r="3879">
      <c r="D3879" s="123"/>
    </row>
    <row r="3880">
      <c r="D3880" s="123"/>
    </row>
    <row r="3881">
      <c r="D3881" s="123"/>
    </row>
    <row r="3882">
      <c r="D3882" s="123"/>
    </row>
    <row r="3883">
      <c r="D3883" s="123"/>
    </row>
    <row r="3884">
      <c r="D3884" s="123"/>
    </row>
    <row r="3885">
      <c r="D3885" s="123"/>
    </row>
    <row r="3886">
      <c r="D3886" s="123"/>
    </row>
    <row r="3887">
      <c r="D3887" s="123"/>
    </row>
    <row r="3888">
      <c r="D3888" s="123"/>
    </row>
    <row r="3889">
      <c r="D3889" s="123"/>
    </row>
    <row r="3890">
      <c r="D3890" s="123"/>
    </row>
    <row r="3891">
      <c r="D3891" s="123"/>
    </row>
    <row r="3892">
      <c r="D3892" s="123"/>
    </row>
    <row r="3893">
      <c r="D3893" s="123"/>
    </row>
    <row r="3894">
      <c r="D3894" s="123"/>
    </row>
    <row r="3895">
      <c r="D3895" s="123"/>
    </row>
    <row r="3896">
      <c r="D3896" s="123"/>
    </row>
    <row r="3897">
      <c r="D3897" s="123"/>
    </row>
    <row r="3898">
      <c r="D3898" s="123"/>
    </row>
    <row r="3899">
      <c r="D3899" s="123"/>
    </row>
    <row r="3900">
      <c r="D3900" s="123"/>
    </row>
    <row r="3901">
      <c r="D3901" s="123"/>
    </row>
    <row r="3902">
      <c r="D3902" s="123"/>
    </row>
    <row r="3903">
      <c r="D3903" s="123"/>
    </row>
    <row r="3904">
      <c r="D3904" s="123"/>
    </row>
    <row r="3905">
      <c r="D3905" s="123"/>
    </row>
    <row r="3906">
      <c r="D3906" s="123"/>
    </row>
    <row r="3907">
      <c r="D3907" s="123"/>
    </row>
    <row r="3908">
      <c r="D3908" s="123"/>
    </row>
    <row r="3909">
      <c r="D3909" s="123"/>
    </row>
    <row r="3910">
      <c r="D3910" s="123"/>
    </row>
    <row r="3911">
      <c r="D3911" s="123"/>
    </row>
    <row r="3912">
      <c r="D3912" s="123"/>
    </row>
    <row r="3913">
      <c r="D3913" s="123"/>
    </row>
    <row r="3914">
      <c r="D3914" s="123"/>
    </row>
    <row r="3915">
      <c r="D3915" s="123"/>
    </row>
    <row r="3916">
      <c r="D3916" s="123"/>
    </row>
    <row r="3917">
      <c r="D3917" s="123"/>
    </row>
    <row r="3918">
      <c r="D3918" s="123"/>
    </row>
    <row r="3919">
      <c r="D3919" s="123"/>
    </row>
    <row r="3920">
      <c r="D3920" s="123"/>
    </row>
    <row r="3921">
      <c r="D3921" s="123"/>
    </row>
    <row r="3922">
      <c r="D3922" s="123"/>
    </row>
    <row r="3923">
      <c r="D3923" s="123"/>
    </row>
    <row r="3924">
      <c r="D3924" s="123"/>
    </row>
    <row r="3925">
      <c r="D3925" s="123"/>
    </row>
    <row r="3926">
      <c r="D3926" s="123"/>
    </row>
    <row r="3927">
      <c r="D3927" s="123"/>
    </row>
    <row r="3928">
      <c r="D3928" s="123"/>
    </row>
    <row r="3929">
      <c r="D3929" s="123"/>
    </row>
    <row r="3930">
      <c r="D3930" s="123"/>
    </row>
    <row r="3931">
      <c r="D3931" s="123"/>
    </row>
    <row r="3932">
      <c r="D3932" s="123"/>
    </row>
    <row r="3933">
      <c r="D3933" s="123"/>
    </row>
    <row r="3934">
      <c r="D3934" s="123"/>
    </row>
    <row r="3935">
      <c r="D3935" s="123"/>
    </row>
    <row r="3936">
      <c r="D3936" s="123"/>
    </row>
    <row r="3937">
      <c r="D3937" s="123"/>
    </row>
    <row r="3938">
      <c r="D3938" s="123"/>
    </row>
    <row r="3939">
      <c r="D3939" s="123"/>
    </row>
    <row r="3940">
      <c r="D3940" s="123"/>
    </row>
    <row r="3941">
      <c r="D3941" s="123"/>
    </row>
    <row r="3942">
      <c r="D3942" s="123"/>
    </row>
    <row r="3943">
      <c r="D3943" s="123"/>
    </row>
    <row r="3944">
      <c r="D3944" s="123"/>
    </row>
    <row r="3945">
      <c r="D3945" s="123"/>
    </row>
    <row r="3946">
      <c r="D3946" s="123"/>
    </row>
    <row r="3947">
      <c r="D3947" s="123"/>
    </row>
    <row r="3948">
      <c r="D3948" s="123"/>
    </row>
    <row r="3949">
      <c r="D3949" s="123"/>
    </row>
    <row r="3950">
      <c r="D3950" s="123"/>
    </row>
    <row r="3951">
      <c r="D3951" s="123"/>
    </row>
    <row r="3952">
      <c r="D3952" s="123"/>
    </row>
    <row r="3953">
      <c r="D3953" s="123"/>
    </row>
    <row r="3954">
      <c r="D3954" s="123"/>
    </row>
    <row r="3955">
      <c r="D3955" s="123"/>
    </row>
    <row r="3956">
      <c r="D3956" s="123"/>
    </row>
    <row r="3957">
      <c r="D3957" s="123"/>
    </row>
    <row r="3958">
      <c r="D3958" s="123"/>
    </row>
    <row r="3959">
      <c r="D3959" s="123"/>
    </row>
    <row r="3960">
      <c r="D3960" s="123"/>
    </row>
    <row r="3961">
      <c r="D3961" s="123"/>
    </row>
    <row r="3962">
      <c r="D3962" s="123"/>
    </row>
    <row r="3963">
      <c r="D3963" s="123"/>
    </row>
    <row r="3964">
      <c r="D3964" s="123"/>
    </row>
    <row r="3965">
      <c r="D3965" s="123"/>
    </row>
    <row r="3966">
      <c r="D3966" s="123"/>
    </row>
    <row r="3967">
      <c r="D3967" s="123"/>
    </row>
    <row r="3968">
      <c r="D3968" s="123"/>
    </row>
    <row r="3969">
      <c r="D3969" s="123"/>
    </row>
    <row r="3970">
      <c r="D3970" s="123"/>
    </row>
    <row r="3971">
      <c r="D3971" s="123"/>
    </row>
    <row r="3972">
      <c r="D3972" s="123"/>
    </row>
    <row r="3973">
      <c r="D3973" s="123"/>
    </row>
    <row r="3974">
      <c r="D3974" s="123"/>
    </row>
    <row r="3975">
      <c r="D3975" s="123"/>
    </row>
    <row r="3976">
      <c r="D3976" s="123"/>
    </row>
    <row r="3977">
      <c r="D3977" s="123"/>
    </row>
    <row r="3978">
      <c r="D3978" s="123"/>
    </row>
    <row r="3979">
      <c r="D3979" s="123"/>
    </row>
    <row r="3980">
      <c r="D3980" s="123"/>
    </row>
    <row r="3981">
      <c r="D3981" s="123"/>
    </row>
    <row r="3982">
      <c r="D3982" s="123"/>
    </row>
    <row r="3983">
      <c r="D3983" s="123"/>
    </row>
    <row r="3984">
      <c r="D3984" s="123"/>
    </row>
    <row r="3985">
      <c r="D3985" s="123"/>
    </row>
    <row r="3986">
      <c r="D3986" s="123"/>
    </row>
    <row r="3987">
      <c r="D3987" s="123"/>
    </row>
    <row r="3988">
      <c r="D3988" s="123"/>
    </row>
    <row r="3989">
      <c r="D3989" s="123"/>
    </row>
    <row r="3990">
      <c r="D3990" s="123"/>
    </row>
    <row r="3991">
      <c r="D3991" s="123"/>
    </row>
    <row r="3992">
      <c r="D3992" s="123"/>
    </row>
    <row r="3993">
      <c r="D3993" s="123"/>
    </row>
    <row r="3994">
      <c r="D3994" s="123"/>
    </row>
    <row r="3995">
      <c r="D3995" s="123"/>
    </row>
    <row r="3996">
      <c r="D3996" s="123"/>
    </row>
    <row r="3997">
      <c r="D3997" s="123"/>
    </row>
    <row r="3998">
      <c r="D3998" s="123"/>
    </row>
    <row r="3999">
      <c r="D3999" s="123"/>
    </row>
    <row r="4000">
      <c r="D4000" s="123"/>
    </row>
    <row r="4001">
      <c r="D4001" s="123"/>
    </row>
    <row r="4002">
      <c r="D4002" s="123"/>
    </row>
    <row r="4003">
      <c r="D4003" s="123"/>
    </row>
    <row r="4004">
      <c r="D4004" s="123"/>
    </row>
    <row r="4005">
      <c r="D4005" s="123"/>
    </row>
    <row r="4006">
      <c r="D4006" s="123"/>
    </row>
    <row r="4007">
      <c r="D4007" s="123"/>
    </row>
    <row r="4008">
      <c r="D4008" s="123"/>
    </row>
    <row r="4009">
      <c r="D4009" s="123"/>
    </row>
    <row r="4010">
      <c r="D4010" s="123"/>
    </row>
    <row r="4011">
      <c r="D4011" s="123"/>
    </row>
    <row r="4012">
      <c r="D4012" s="123"/>
    </row>
    <row r="4013">
      <c r="D4013" s="123"/>
    </row>
    <row r="4014">
      <c r="D4014" s="123"/>
    </row>
    <row r="4015">
      <c r="D4015" s="123"/>
    </row>
    <row r="4016">
      <c r="D4016" s="123"/>
    </row>
    <row r="4017">
      <c r="D4017" s="123"/>
    </row>
    <row r="4018">
      <c r="D4018" s="123"/>
    </row>
    <row r="4019">
      <c r="D4019" s="123"/>
    </row>
    <row r="4020">
      <c r="D4020" s="123"/>
    </row>
    <row r="4021">
      <c r="D4021" s="123"/>
    </row>
    <row r="4022">
      <c r="D4022" s="123"/>
    </row>
    <row r="4023">
      <c r="D4023" s="123"/>
    </row>
    <row r="4024">
      <c r="D4024" s="123"/>
    </row>
    <row r="4025">
      <c r="D4025" s="123"/>
    </row>
    <row r="4026">
      <c r="D4026" s="123"/>
    </row>
    <row r="4027">
      <c r="D4027" s="123"/>
    </row>
    <row r="4028">
      <c r="D4028" s="123"/>
    </row>
    <row r="4029">
      <c r="D4029" s="123"/>
    </row>
    <row r="4030">
      <c r="D4030" s="123"/>
    </row>
    <row r="4031">
      <c r="D4031" s="123"/>
    </row>
    <row r="4032">
      <c r="D4032" s="123"/>
    </row>
    <row r="4033">
      <c r="D4033" s="123"/>
    </row>
    <row r="4034">
      <c r="D4034" s="123"/>
    </row>
    <row r="4035">
      <c r="D4035" s="123"/>
    </row>
    <row r="4036">
      <c r="D4036" s="123"/>
    </row>
    <row r="4037">
      <c r="D4037" s="123"/>
    </row>
    <row r="4038">
      <c r="D4038" s="123"/>
    </row>
    <row r="4039">
      <c r="D4039" s="123"/>
    </row>
    <row r="4040">
      <c r="D4040" s="123"/>
    </row>
    <row r="4041">
      <c r="D4041" s="123"/>
    </row>
    <row r="4042">
      <c r="D4042" s="123"/>
    </row>
    <row r="4043">
      <c r="D4043" s="123"/>
    </row>
    <row r="4044">
      <c r="D4044" s="123"/>
    </row>
    <row r="4045">
      <c r="D4045" s="123"/>
    </row>
    <row r="4046">
      <c r="D4046" s="123"/>
    </row>
    <row r="4047">
      <c r="D4047" s="123"/>
    </row>
    <row r="4048">
      <c r="D4048" s="123"/>
    </row>
    <row r="4049">
      <c r="D4049" s="123"/>
    </row>
    <row r="4050">
      <c r="D4050" s="123"/>
    </row>
    <row r="4051">
      <c r="D4051" s="123"/>
    </row>
    <row r="4052">
      <c r="D4052" s="123"/>
    </row>
    <row r="4053">
      <c r="D4053" s="123"/>
    </row>
    <row r="4054">
      <c r="D4054" s="123"/>
    </row>
    <row r="4055">
      <c r="D4055" s="123"/>
    </row>
    <row r="4056">
      <c r="D4056" s="123"/>
    </row>
    <row r="4057">
      <c r="D4057" s="123"/>
    </row>
    <row r="4058">
      <c r="D4058" s="123"/>
    </row>
    <row r="4059">
      <c r="D4059" s="123"/>
    </row>
    <row r="4060">
      <c r="D4060" s="123"/>
    </row>
    <row r="4061">
      <c r="D4061" s="123"/>
    </row>
    <row r="4062">
      <c r="D4062" s="123"/>
    </row>
    <row r="4063">
      <c r="D4063" s="123"/>
    </row>
    <row r="4064">
      <c r="D4064" s="123"/>
    </row>
    <row r="4065">
      <c r="D4065" s="123"/>
    </row>
    <row r="4066">
      <c r="D4066" s="123"/>
    </row>
    <row r="4067">
      <c r="D4067" s="123"/>
    </row>
    <row r="4068">
      <c r="D4068" s="123"/>
    </row>
    <row r="4069">
      <c r="D4069" s="123"/>
    </row>
    <row r="4070">
      <c r="D4070" s="123"/>
    </row>
    <row r="4071">
      <c r="D4071" s="123"/>
    </row>
    <row r="4072">
      <c r="D4072" s="123"/>
    </row>
    <row r="4073">
      <c r="D4073" s="123"/>
    </row>
    <row r="4074">
      <c r="D4074" s="123"/>
    </row>
    <row r="4075">
      <c r="D4075" s="123"/>
    </row>
    <row r="4076">
      <c r="D4076" s="123"/>
    </row>
    <row r="4077">
      <c r="D4077" s="123"/>
    </row>
    <row r="4078">
      <c r="D4078" s="123"/>
    </row>
    <row r="4079">
      <c r="D4079" s="123"/>
    </row>
    <row r="4080">
      <c r="D4080" s="123"/>
    </row>
    <row r="4081">
      <c r="D4081" s="123"/>
    </row>
    <row r="4082">
      <c r="D4082" s="123"/>
    </row>
    <row r="4083">
      <c r="D4083" s="123"/>
    </row>
    <row r="4084">
      <c r="D4084" s="123"/>
    </row>
    <row r="4085">
      <c r="D4085" s="123"/>
    </row>
    <row r="4086">
      <c r="D4086" s="123"/>
    </row>
    <row r="4087">
      <c r="D4087" s="123"/>
    </row>
    <row r="4088">
      <c r="D4088" s="123"/>
    </row>
    <row r="4089">
      <c r="D4089" s="123"/>
    </row>
    <row r="4090">
      <c r="D4090" s="123"/>
    </row>
    <row r="4091">
      <c r="D4091" s="123"/>
    </row>
    <row r="4092">
      <c r="D4092" s="123"/>
    </row>
    <row r="4093">
      <c r="D4093" s="123"/>
    </row>
    <row r="4094">
      <c r="D4094" s="123"/>
    </row>
    <row r="4095">
      <c r="D4095" s="123"/>
    </row>
    <row r="4096">
      <c r="D4096" s="123"/>
    </row>
    <row r="4097">
      <c r="D4097" s="123"/>
    </row>
    <row r="4098">
      <c r="D4098" s="123"/>
    </row>
    <row r="4099">
      <c r="D4099" s="123"/>
    </row>
    <row r="4100">
      <c r="D4100" s="123"/>
    </row>
    <row r="4101">
      <c r="D4101" s="123"/>
    </row>
    <row r="4102">
      <c r="D4102" s="123"/>
    </row>
    <row r="4103">
      <c r="D4103" s="123"/>
    </row>
    <row r="4104">
      <c r="D4104" s="123"/>
    </row>
    <row r="4105">
      <c r="D4105" s="123"/>
    </row>
    <row r="4106">
      <c r="D4106" s="123"/>
    </row>
    <row r="4107">
      <c r="D4107" s="123"/>
    </row>
    <row r="4108">
      <c r="D4108" s="123"/>
    </row>
    <row r="4109">
      <c r="D4109" s="123"/>
    </row>
    <row r="4110">
      <c r="D4110" s="123"/>
    </row>
    <row r="4111">
      <c r="D4111" s="123"/>
    </row>
    <row r="4112">
      <c r="D4112" s="123"/>
    </row>
    <row r="4113">
      <c r="D4113" s="123"/>
    </row>
    <row r="4114">
      <c r="D4114" s="123"/>
    </row>
    <row r="4115">
      <c r="D4115" s="123"/>
    </row>
    <row r="4116">
      <c r="D4116" s="123"/>
    </row>
    <row r="4117">
      <c r="D4117" s="123"/>
    </row>
    <row r="4118">
      <c r="D4118" s="123"/>
    </row>
    <row r="4119">
      <c r="D4119" s="123"/>
    </row>
    <row r="4120">
      <c r="D4120" s="123"/>
    </row>
    <row r="4121">
      <c r="D4121" s="123"/>
    </row>
    <row r="4122">
      <c r="D4122" s="123"/>
    </row>
    <row r="4123">
      <c r="D4123" s="123"/>
    </row>
    <row r="4124">
      <c r="D4124" s="123"/>
    </row>
    <row r="4125">
      <c r="D4125" s="123"/>
    </row>
    <row r="4126">
      <c r="D4126" s="123"/>
    </row>
    <row r="4127">
      <c r="D4127" s="123"/>
    </row>
    <row r="4128">
      <c r="D4128" s="123"/>
    </row>
    <row r="4129">
      <c r="D4129" s="123"/>
    </row>
    <row r="4130">
      <c r="D4130" s="123"/>
    </row>
    <row r="4131">
      <c r="D4131" s="123"/>
    </row>
    <row r="4132">
      <c r="D4132" s="123"/>
    </row>
    <row r="4133">
      <c r="D4133" s="123"/>
    </row>
    <row r="4134">
      <c r="D4134" s="123"/>
    </row>
    <row r="4135">
      <c r="D4135" s="123"/>
    </row>
    <row r="4136">
      <c r="D4136" s="123"/>
    </row>
    <row r="4137">
      <c r="D4137" s="123"/>
    </row>
    <row r="4138">
      <c r="D4138" s="123"/>
    </row>
    <row r="4139">
      <c r="D4139" s="123"/>
    </row>
    <row r="4140">
      <c r="D4140" s="123"/>
    </row>
    <row r="4141">
      <c r="D4141" s="123"/>
    </row>
    <row r="4142">
      <c r="D4142" s="123"/>
    </row>
    <row r="4143">
      <c r="D4143" s="123"/>
    </row>
    <row r="4144">
      <c r="D4144" s="123"/>
    </row>
    <row r="4145">
      <c r="D4145" s="123"/>
    </row>
    <row r="4146">
      <c r="D4146" s="123"/>
    </row>
    <row r="4147">
      <c r="D4147" s="123"/>
    </row>
    <row r="4148">
      <c r="D4148" s="123"/>
    </row>
    <row r="4149">
      <c r="D4149" s="123"/>
    </row>
    <row r="4150">
      <c r="D4150" s="123"/>
    </row>
    <row r="4151">
      <c r="D4151" s="123"/>
    </row>
    <row r="4152">
      <c r="D4152" s="123"/>
    </row>
    <row r="4153">
      <c r="D4153" s="123"/>
    </row>
    <row r="4154">
      <c r="D4154" s="123"/>
    </row>
    <row r="4155">
      <c r="D4155" s="123"/>
    </row>
    <row r="4156">
      <c r="D4156" s="123"/>
    </row>
    <row r="4157">
      <c r="D4157" s="123"/>
    </row>
    <row r="4158">
      <c r="D4158" s="123"/>
    </row>
    <row r="4159">
      <c r="D4159" s="123"/>
    </row>
    <row r="4160">
      <c r="D4160" s="123"/>
    </row>
    <row r="4161">
      <c r="D4161" s="123"/>
    </row>
    <row r="4162">
      <c r="D4162" s="123"/>
    </row>
    <row r="4163">
      <c r="D4163" s="123"/>
    </row>
    <row r="4164">
      <c r="D4164" s="123"/>
    </row>
    <row r="4165">
      <c r="D4165" s="123"/>
    </row>
    <row r="4166">
      <c r="D4166" s="123"/>
    </row>
    <row r="4167">
      <c r="D4167" s="123"/>
    </row>
    <row r="4168">
      <c r="D4168" s="123"/>
    </row>
    <row r="4169">
      <c r="D4169" s="123"/>
    </row>
    <row r="4170">
      <c r="D4170" s="123"/>
    </row>
    <row r="4171">
      <c r="D4171" s="123"/>
    </row>
    <row r="4172">
      <c r="D4172" s="123"/>
    </row>
    <row r="4173">
      <c r="D4173" s="123"/>
    </row>
    <row r="4174">
      <c r="D4174" s="123"/>
    </row>
    <row r="4175">
      <c r="D4175" s="123"/>
    </row>
    <row r="4176">
      <c r="D4176" s="123"/>
    </row>
    <row r="4177">
      <c r="D4177" s="123"/>
    </row>
    <row r="4178">
      <c r="D4178" s="123"/>
    </row>
    <row r="4179">
      <c r="D4179" s="123"/>
    </row>
    <row r="4180">
      <c r="D4180" s="123"/>
    </row>
    <row r="4181">
      <c r="D4181" s="123"/>
    </row>
    <row r="4182">
      <c r="D4182" s="123"/>
    </row>
    <row r="4183">
      <c r="D4183" s="123"/>
    </row>
    <row r="4184">
      <c r="D4184" s="123"/>
    </row>
    <row r="4185">
      <c r="D4185" s="123"/>
    </row>
    <row r="4186">
      <c r="D4186" s="123"/>
    </row>
    <row r="4187">
      <c r="D4187" s="123"/>
    </row>
    <row r="4188">
      <c r="D4188" s="123"/>
    </row>
    <row r="4189">
      <c r="D4189" s="123"/>
    </row>
    <row r="4190">
      <c r="D4190" s="123"/>
    </row>
    <row r="4191">
      <c r="D4191" s="123"/>
    </row>
    <row r="4192">
      <c r="D4192" s="123"/>
    </row>
    <row r="4193">
      <c r="D4193" s="123"/>
    </row>
    <row r="4194">
      <c r="D4194" s="123"/>
    </row>
    <row r="4195">
      <c r="D4195" s="123"/>
    </row>
    <row r="4196">
      <c r="D4196" s="123"/>
    </row>
    <row r="4197">
      <c r="D4197" s="123"/>
    </row>
    <row r="4198">
      <c r="D4198" s="123"/>
    </row>
    <row r="4199">
      <c r="D4199" s="123"/>
    </row>
    <row r="4200">
      <c r="D4200" s="123"/>
    </row>
    <row r="4201">
      <c r="D4201" s="123"/>
    </row>
    <row r="4202">
      <c r="D4202" s="123"/>
    </row>
    <row r="4203">
      <c r="D4203" s="123"/>
    </row>
    <row r="4204">
      <c r="D4204" s="123"/>
    </row>
    <row r="4205">
      <c r="D4205" s="123"/>
    </row>
    <row r="4206">
      <c r="D4206" s="123"/>
    </row>
    <row r="4207">
      <c r="D4207" s="123"/>
    </row>
    <row r="4208">
      <c r="D4208" s="123"/>
    </row>
    <row r="4209">
      <c r="D4209" s="123"/>
    </row>
    <row r="4210">
      <c r="D4210" s="123"/>
    </row>
    <row r="4211">
      <c r="D4211" s="123"/>
    </row>
    <row r="4212">
      <c r="D4212" s="123"/>
    </row>
    <row r="4213">
      <c r="D4213" s="123"/>
    </row>
    <row r="4214">
      <c r="D4214" s="123"/>
    </row>
    <row r="4215">
      <c r="D4215" s="123"/>
    </row>
    <row r="4216">
      <c r="D4216" s="123"/>
    </row>
    <row r="4217">
      <c r="D4217" s="123"/>
    </row>
    <row r="4218">
      <c r="D4218" s="123"/>
    </row>
    <row r="4219">
      <c r="D4219" s="123"/>
    </row>
    <row r="4220">
      <c r="D4220" s="123"/>
    </row>
    <row r="4221">
      <c r="D4221" s="123"/>
    </row>
    <row r="4222">
      <c r="D4222" s="123"/>
    </row>
    <row r="4223">
      <c r="D4223" s="123"/>
    </row>
    <row r="4224">
      <c r="D4224" s="123"/>
    </row>
    <row r="4225">
      <c r="D4225" s="123"/>
    </row>
    <row r="4226">
      <c r="D4226" s="123"/>
    </row>
    <row r="4227">
      <c r="D4227" s="123"/>
    </row>
    <row r="4228">
      <c r="D4228" s="123"/>
    </row>
    <row r="4229">
      <c r="D4229" s="123"/>
    </row>
    <row r="4230">
      <c r="D4230" s="123"/>
    </row>
    <row r="4231">
      <c r="D4231" s="123"/>
    </row>
    <row r="4232">
      <c r="D4232" s="123"/>
    </row>
    <row r="4233">
      <c r="D4233" s="123"/>
    </row>
    <row r="4234">
      <c r="D4234" s="123"/>
    </row>
    <row r="4235">
      <c r="D4235" s="123"/>
    </row>
    <row r="4236">
      <c r="D4236" s="123"/>
    </row>
    <row r="4237">
      <c r="D4237" s="123"/>
    </row>
    <row r="4238">
      <c r="D4238" s="123"/>
    </row>
    <row r="4239">
      <c r="D4239" s="123"/>
    </row>
    <row r="4240">
      <c r="D4240" s="123"/>
    </row>
    <row r="4241">
      <c r="D4241" s="123"/>
    </row>
    <row r="4242">
      <c r="D4242" s="123"/>
    </row>
    <row r="4243">
      <c r="D4243" s="123"/>
    </row>
    <row r="4244">
      <c r="D4244" s="123"/>
    </row>
    <row r="4245">
      <c r="D4245" s="123"/>
    </row>
    <row r="4246">
      <c r="D4246" s="123"/>
    </row>
    <row r="4247">
      <c r="D4247" s="123"/>
    </row>
    <row r="4248">
      <c r="D4248" s="123"/>
    </row>
    <row r="4249">
      <c r="D4249" s="123"/>
    </row>
    <row r="4250">
      <c r="D4250" s="123"/>
    </row>
    <row r="4251">
      <c r="D4251" s="123"/>
    </row>
    <row r="4252">
      <c r="D4252" s="123"/>
    </row>
    <row r="4253">
      <c r="D4253" s="123"/>
    </row>
    <row r="4254">
      <c r="D4254" s="123"/>
    </row>
    <row r="4255">
      <c r="D4255" s="123"/>
    </row>
    <row r="4256">
      <c r="D4256" s="123"/>
    </row>
    <row r="4257">
      <c r="D4257" s="123"/>
    </row>
    <row r="4258">
      <c r="D4258" s="123"/>
    </row>
    <row r="4259">
      <c r="D4259" s="123"/>
    </row>
    <row r="4260">
      <c r="D4260" s="123"/>
    </row>
    <row r="4261">
      <c r="D4261" s="123"/>
    </row>
    <row r="4262">
      <c r="D4262" s="123"/>
    </row>
    <row r="4263">
      <c r="D4263" s="123"/>
    </row>
    <row r="4264">
      <c r="D4264" s="123"/>
    </row>
    <row r="4265">
      <c r="D4265" s="123"/>
    </row>
    <row r="4266">
      <c r="D4266" s="123"/>
    </row>
    <row r="4267">
      <c r="D4267" s="123"/>
    </row>
    <row r="4268">
      <c r="D4268" s="123"/>
    </row>
    <row r="4269">
      <c r="D4269" s="123"/>
    </row>
    <row r="4270">
      <c r="D4270" s="123"/>
    </row>
    <row r="4271">
      <c r="D4271" s="123"/>
    </row>
    <row r="4272">
      <c r="D4272" s="123"/>
    </row>
    <row r="4273">
      <c r="D4273" s="123"/>
    </row>
    <row r="4274">
      <c r="D4274" s="123"/>
    </row>
    <row r="4275">
      <c r="D4275" s="123"/>
    </row>
    <row r="4276">
      <c r="D4276" s="123"/>
    </row>
    <row r="4277">
      <c r="D4277" s="123"/>
    </row>
    <row r="4278">
      <c r="D4278" s="123"/>
    </row>
    <row r="4279">
      <c r="D4279" s="123"/>
    </row>
    <row r="4280">
      <c r="D4280" s="123"/>
    </row>
    <row r="4281">
      <c r="D4281" s="123"/>
    </row>
    <row r="4282">
      <c r="D4282" s="123"/>
    </row>
    <row r="4283">
      <c r="D4283" s="123"/>
    </row>
    <row r="4284">
      <c r="D4284" s="123"/>
    </row>
    <row r="4285">
      <c r="D4285" s="123"/>
    </row>
    <row r="4286">
      <c r="D4286" s="123"/>
    </row>
    <row r="4287">
      <c r="D4287" s="123"/>
    </row>
    <row r="4288">
      <c r="D4288" s="123"/>
    </row>
    <row r="4289">
      <c r="D4289" s="123"/>
    </row>
    <row r="4290">
      <c r="D4290" s="123"/>
    </row>
    <row r="4291">
      <c r="D4291" s="123"/>
    </row>
    <row r="4292">
      <c r="D4292" s="123"/>
    </row>
    <row r="4293">
      <c r="D4293" s="123"/>
    </row>
    <row r="4294">
      <c r="D4294" s="123"/>
    </row>
    <row r="4295">
      <c r="D4295" s="123"/>
    </row>
    <row r="4296">
      <c r="D4296" s="123"/>
    </row>
    <row r="4297">
      <c r="D4297" s="123"/>
    </row>
    <row r="4298">
      <c r="D4298" s="123"/>
    </row>
    <row r="4299">
      <c r="D4299" s="123"/>
    </row>
    <row r="4300">
      <c r="D4300" s="123"/>
    </row>
    <row r="4301">
      <c r="D4301" s="123"/>
    </row>
    <row r="4302">
      <c r="D4302" s="123"/>
    </row>
    <row r="4303">
      <c r="D4303" s="123"/>
    </row>
    <row r="4304">
      <c r="D4304" s="123"/>
    </row>
    <row r="4305">
      <c r="D4305" s="123"/>
    </row>
    <row r="4306">
      <c r="D4306" s="123"/>
    </row>
    <row r="4307">
      <c r="D4307" s="123"/>
    </row>
    <row r="4308">
      <c r="D4308" s="123"/>
    </row>
    <row r="4309">
      <c r="D4309" s="123"/>
    </row>
    <row r="4310">
      <c r="D4310" s="123"/>
    </row>
    <row r="4311">
      <c r="D4311" s="123"/>
    </row>
    <row r="4312">
      <c r="D4312" s="123"/>
    </row>
    <row r="4313">
      <c r="D4313" s="123"/>
    </row>
    <row r="4314">
      <c r="D4314" s="123"/>
    </row>
    <row r="4315">
      <c r="D4315" s="123"/>
    </row>
    <row r="4316">
      <c r="D4316" s="123"/>
    </row>
    <row r="4317">
      <c r="D4317" s="123"/>
    </row>
    <row r="4318">
      <c r="D4318" s="123"/>
    </row>
    <row r="4319">
      <c r="D4319" s="123"/>
    </row>
    <row r="4320">
      <c r="D4320" s="123"/>
    </row>
    <row r="4321">
      <c r="D4321" s="123"/>
    </row>
    <row r="4322">
      <c r="D4322" s="123"/>
    </row>
    <row r="4323">
      <c r="D4323" s="123"/>
    </row>
    <row r="4324">
      <c r="D4324" s="123"/>
    </row>
    <row r="4325">
      <c r="D4325" s="123"/>
    </row>
    <row r="4326">
      <c r="D4326" s="123"/>
    </row>
    <row r="4327">
      <c r="D4327" s="123"/>
    </row>
    <row r="4328">
      <c r="D4328" s="123"/>
    </row>
    <row r="4329">
      <c r="D4329" s="123"/>
    </row>
    <row r="4330">
      <c r="D4330" s="123"/>
    </row>
    <row r="4331">
      <c r="D4331" s="123"/>
    </row>
    <row r="4332">
      <c r="D4332" s="123"/>
    </row>
    <row r="4333">
      <c r="D4333" s="123"/>
    </row>
    <row r="4334">
      <c r="D4334" s="123"/>
    </row>
    <row r="4335">
      <c r="D4335" s="123"/>
    </row>
    <row r="4336">
      <c r="D4336" s="123"/>
    </row>
    <row r="4337">
      <c r="D4337" s="123"/>
    </row>
    <row r="4338">
      <c r="D4338" s="123"/>
    </row>
    <row r="4339">
      <c r="D4339" s="123"/>
    </row>
    <row r="4340">
      <c r="D4340" s="123"/>
    </row>
    <row r="4341">
      <c r="D4341" s="123"/>
    </row>
    <row r="4342">
      <c r="D4342" s="123"/>
    </row>
    <row r="4343">
      <c r="D4343" s="123"/>
    </row>
    <row r="4344">
      <c r="D4344" s="123"/>
    </row>
    <row r="4345">
      <c r="D4345" s="123"/>
    </row>
    <row r="4346">
      <c r="D4346" s="123"/>
    </row>
    <row r="4347">
      <c r="D4347" s="123"/>
    </row>
    <row r="4348">
      <c r="D4348" s="123"/>
    </row>
    <row r="4349">
      <c r="D4349" s="123"/>
    </row>
    <row r="4350">
      <c r="D4350" s="123"/>
    </row>
    <row r="4351">
      <c r="D4351" s="123"/>
    </row>
    <row r="4352">
      <c r="D4352" s="123"/>
    </row>
    <row r="4353">
      <c r="D4353" s="123"/>
    </row>
    <row r="4354">
      <c r="D4354" s="123"/>
    </row>
    <row r="4355">
      <c r="D4355" s="123"/>
    </row>
    <row r="4356">
      <c r="D4356" s="123"/>
    </row>
    <row r="4357">
      <c r="D4357" s="123"/>
    </row>
    <row r="4358">
      <c r="D4358" s="123"/>
    </row>
    <row r="4359">
      <c r="D4359" s="123"/>
    </row>
    <row r="4360">
      <c r="D4360" s="123"/>
    </row>
    <row r="4361">
      <c r="D4361" s="123"/>
    </row>
    <row r="4362">
      <c r="D4362" s="123"/>
    </row>
    <row r="4363">
      <c r="D4363" s="123"/>
    </row>
    <row r="4364">
      <c r="D4364" s="123"/>
    </row>
    <row r="4365">
      <c r="D4365" s="123"/>
    </row>
    <row r="4366">
      <c r="D4366" s="123"/>
    </row>
    <row r="4367">
      <c r="D4367" s="123"/>
    </row>
    <row r="4368">
      <c r="D4368" s="123"/>
    </row>
    <row r="4369">
      <c r="D4369" s="123"/>
    </row>
    <row r="4370">
      <c r="D4370" s="123"/>
    </row>
    <row r="4371">
      <c r="D4371" s="123"/>
    </row>
    <row r="4372">
      <c r="D4372" s="123"/>
    </row>
    <row r="4373">
      <c r="D4373" s="123"/>
    </row>
    <row r="4374">
      <c r="D4374" s="123"/>
    </row>
    <row r="4375">
      <c r="D4375" s="123"/>
    </row>
    <row r="4376">
      <c r="D4376" s="123"/>
    </row>
    <row r="4377">
      <c r="D4377" s="123"/>
    </row>
    <row r="4378">
      <c r="D4378" s="123"/>
    </row>
    <row r="4379">
      <c r="D4379" s="123"/>
    </row>
    <row r="4380">
      <c r="D4380" s="123"/>
    </row>
    <row r="4381">
      <c r="D4381" s="123"/>
    </row>
    <row r="4382">
      <c r="D4382" s="123"/>
    </row>
    <row r="4383">
      <c r="D4383" s="123"/>
    </row>
    <row r="4384">
      <c r="D4384" s="123"/>
    </row>
    <row r="4385">
      <c r="D4385" s="123"/>
    </row>
    <row r="4386">
      <c r="D4386" s="123"/>
    </row>
    <row r="4387">
      <c r="D4387" s="123"/>
    </row>
    <row r="4388">
      <c r="D4388" s="123"/>
    </row>
    <row r="4389">
      <c r="D4389" s="123"/>
    </row>
    <row r="4390">
      <c r="D4390" s="123"/>
    </row>
    <row r="4391">
      <c r="D4391" s="123"/>
    </row>
    <row r="4392">
      <c r="D4392" s="123"/>
    </row>
    <row r="4393">
      <c r="D4393" s="123"/>
    </row>
    <row r="4394">
      <c r="D4394" s="123"/>
    </row>
    <row r="4395">
      <c r="D4395" s="123"/>
    </row>
    <row r="4396">
      <c r="D4396" s="123"/>
    </row>
    <row r="4397">
      <c r="D4397" s="123"/>
    </row>
    <row r="4398">
      <c r="D4398" s="123"/>
    </row>
    <row r="4399">
      <c r="D4399" s="123"/>
    </row>
    <row r="4400">
      <c r="D4400" s="123"/>
    </row>
    <row r="4401">
      <c r="D4401" s="123"/>
    </row>
    <row r="4402">
      <c r="D4402" s="123"/>
    </row>
    <row r="4403">
      <c r="D4403" s="123"/>
    </row>
    <row r="4404">
      <c r="D4404" s="123"/>
    </row>
    <row r="4405">
      <c r="D4405" s="123"/>
    </row>
    <row r="4406">
      <c r="D4406" s="123"/>
    </row>
    <row r="4407">
      <c r="D4407" s="123"/>
    </row>
    <row r="4408">
      <c r="D4408" s="123"/>
    </row>
    <row r="4409">
      <c r="D4409" s="123"/>
    </row>
    <row r="4410">
      <c r="D4410" s="123"/>
    </row>
    <row r="4411">
      <c r="D4411" s="123"/>
    </row>
    <row r="4412">
      <c r="D4412" s="123"/>
    </row>
    <row r="4413">
      <c r="D4413" s="123"/>
    </row>
    <row r="4414">
      <c r="D4414" s="123"/>
    </row>
    <row r="4415">
      <c r="D4415" s="123"/>
    </row>
    <row r="4416">
      <c r="D4416" s="123"/>
    </row>
    <row r="4417">
      <c r="D4417" s="123"/>
    </row>
    <row r="4418">
      <c r="D4418" s="123"/>
    </row>
    <row r="4419">
      <c r="D4419" s="123"/>
    </row>
    <row r="4420">
      <c r="D4420" s="123"/>
    </row>
    <row r="4421">
      <c r="D4421" s="123"/>
    </row>
    <row r="4422">
      <c r="D4422" s="123"/>
    </row>
    <row r="4423">
      <c r="D4423" s="123"/>
    </row>
    <row r="4424">
      <c r="D4424" s="123"/>
    </row>
    <row r="4425">
      <c r="D4425" s="123"/>
    </row>
    <row r="4426">
      <c r="D4426" s="123"/>
    </row>
    <row r="4427">
      <c r="D4427" s="123"/>
    </row>
    <row r="4428">
      <c r="D4428" s="123"/>
    </row>
    <row r="4429">
      <c r="D4429" s="123"/>
    </row>
    <row r="4430">
      <c r="D4430" s="123"/>
    </row>
    <row r="4431">
      <c r="D4431" s="123"/>
    </row>
    <row r="4432">
      <c r="D4432" s="123"/>
    </row>
    <row r="4433">
      <c r="D4433" s="123"/>
    </row>
    <row r="4434">
      <c r="D4434" s="123"/>
    </row>
    <row r="4435">
      <c r="D4435" s="123"/>
    </row>
    <row r="4436">
      <c r="D4436" s="123"/>
    </row>
    <row r="4437">
      <c r="D4437" s="123"/>
    </row>
    <row r="4438">
      <c r="D4438" s="123"/>
    </row>
    <row r="4439">
      <c r="D4439" s="123"/>
    </row>
    <row r="4440">
      <c r="D4440" s="123"/>
    </row>
    <row r="4441">
      <c r="D4441" s="123"/>
    </row>
    <row r="4442">
      <c r="D4442" s="123"/>
    </row>
    <row r="4443">
      <c r="D4443" s="123"/>
    </row>
    <row r="4444">
      <c r="D4444" s="123"/>
    </row>
    <row r="4445">
      <c r="D4445" s="123"/>
    </row>
    <row r="4446">
      <c r="D4446" s="123"/>
    </row>
    <row r="4447">
      <c r="D4447" s="123"/>
    </row>
    <row r="4448">
      <c r="D4448" s="123"/>
    </row>
    <row r="4449">
      <c r="D4449" s="123"/>
    </row>
    <row r="4450">
      <c r="D4450" s="123"/>
    </row>
    <row r="4451">
      <c r="D4451" s="123"/>
    </row>
    <row r="4452">
      <c r="D4452" s="123"/>
    </row>
    <row r="4453">
      <c r="D4453" s="123"/>
    </row>
    <row r="4454">
      <c r="D4454" s="123"/>
    </row>
    <row r="4455">
      <c r="D4455" s="123"/>
    </row>
    <row r="4456">
      <c r="D4456" s="123"/>
    </row>
    <row r="4457">
      <c r="D4457" s="123"/>
    </row>
    <row r="4458">
      <c r="D4458" s="123"/>
    </row>
    <row r="4459">
      <c r="D4459" s="123"/>
    </row>
    <row r="4460">
      <c r="D4460" s="123"/>
    </row>
    <row r="4461">
      <c r="D4461" s="123"/>
    </row>
    <row r="4462">
      <c r="D4462" s="123"/>
    </row>
    <row r="4463">
      <c r="D4463" s="123"/>
    </row>
    <row r="4464">
      <c r="D4464" s="123"/>
    </row>
    <row r="4465">
      <c r="D4465" s="123"/>
    </row>
    <row r="4466">
      <c r="D4466" s="123"/>
    </row>
    <row r="4467">
      <c r="D4467" s="123"/>
    </row>
    <row r="4468">
      <c r="D4468" s="123"/>
    </row>
    <row r="4469">
      <c r="D4469" s="123"/>
    </row>
    <row r="4470">
      <c r="D4470" s="123"/>
    </row>
    <row r="4471">
      <c r="D4471" s="123"/>
    </row>
    <row r="4472">
      <c r="D4472" s="123"/>
    </row>
    <row r="4473">
      <c r="D4473" s="123"/>
    </row>
    <row r="4474">
      <c r="D4474" s="123"/>
    </row>
    <row r="4475">
      <c r="D4475" s="123"/>
    </row>
    <row r="4476">
      <c r="D4476" s="123"/>
    </row>
    <row r="4477">
      <c r="D4477" s="123"/>
    </row>
    <row r="4478">
      <c r="D4478" s="123"/>
    </row>
    <row r="4479">
      <c r="D4479" s="123"/>
    </row>
    <row r="4480">
      <c r="D4480" s="123"/>
    </row>
    <row r="4481">
      <c r="D4481" s="123"/>
    </row>
    <row r="4482">
      <c r="D4482" s="123"/>
    </row>
    <row r="4483">
      <c r="D4483" s="123"/>
    </row>
    <row r="4484">
      <c r="D4484" s="123"/>
    </row>
    <row r="4485">
      <c r="D4485" s="123"/>
    </row>
    <row r="4486">
      <c r="D4486" s="123"/>
    </row>
    <row r="4487">
      <c r="D4487" s="123"/>
    </row>
    <row r="4488">
      <c r="D4488" s="123"/>
    </row>
    <row r="4489">
      <c r="D4489" s="123"/>
    </row>
    <row r="4490">
      <c r="D4490" s="123"/>
    </row>
    <row r="4491">
      <c r="D4491" s="123"/>
    </row>
    <row r="4492">
      <c r="D4492" s="123"/>
    </row>
    <row r="4493">
      <c r="D4493" s="123"/>
    </row>
    <row r="4494">
      <c r="D4494" s="123"/>
    </row>
    <row r="4495">
      <c r="D4495" s="123"/>
    </row>
    <row r="4496">
      <c r="D4496" s="123"/>
    </row>
    <row r="4497">
      <c r="D4497" s="123"/>
    </row>
    <row r="4498">
      <c r="D4498" s="123"/>
    </row>
    <row r="4499">
      <c r="D4499" s="123"/>
    </row>
    <row r="4500">
      <c r="D4500" s="123"/>
    </row>
    <row r="4501">
      <c r="D4501" s="123"/>
    </row>
    <row r="4502">
      <c r="D4502" s="123"/>
    </row>
    <row r="4503">
      <c r="D4503" s="123"/>
    </row>
    <row r="4504">
      <c r="D4504" s="123"/>
    </row>
    <row r="4505">
      <c r="D4505" s="123"/>
    </row>
    <row r="4506">
      <c r="D4506" s="123"/>
    </row>
    <row r="4507">
      <c r="D4507" s="123"/>
    </row>
    <row r="4508">
      <c r="D4508" s="123"/>
    </row>
    <row r="4509">
      <c r="D4509" s="123"/>
    </row>
    <row r="4510">
      <c r="D4510" s="123"/>
    </row>
    <row r="4511">
      <c r="D4511" s="123"/>
    </row>
    <row r="4512">
      <c r="D4512" s="123"/>
    </row>
    <row r="4513">
      <c r="D4513" s="123"/>
    </row>
    <row r="4514">
      <c r="D4514" s="123"/>
    </row>
    <row r="4515">
      <c r="D4515" s="123"/>
    </row>
    <row r="4516">
      <c r="D4516" s="123"/>
    </row>
    <row r="4517">
      <c r="D4517" s="123"/>
    </row>
    <row r="4518">
      <c r="D4518" s="123"/>
    </row>
    <row r="4519">
      <c r="D4519" s="123"/>
    </row>
    <row r="4520">
      <c r="D4520" s="123"/>
    </row>
    <row r="4521">
      <c r="D4521" s="123"/>
    </row>
    <row r="4522">
      <c r="D4522" s="123"/>
    </row>
    <row r="4523">
      <c r="D4523" s="123"/>
    </row>
    <row r="4524">
      <c r="D4524" s="123"/>
    </row>
    <row r="4525">
      <c r="D4525" s="123"/>
    </row>
    <row r="4526">
      <c r="D4526" s="123"/>
    </row>
    <row r="4527">
      <c r="D4527" s="123"/>
    </row>
    <row r="4528">
      <c r="D4528" s="123"/>
    </row>
    <row r="4529">
      <c r="D4529" s="123"/>
    </row>
    <row r="4530">
      <c r="D4530" s="123"/>
    </row>
    <row r="4531">
      <c r="D4531" s="123"/>
    </row>
    <row r="4532">
      <c r="D4532" s="123"/>
    </row>
    <row r="4533">
      <c r="D4533" s="123"/>
    </row>
    <row r="4534">
      <c r="D4534" s="123"/>
    </row>
    <row r="4535">
      <c r="D4535" s="123"/>
    </row>
    <row r="4536">
      <c r="D4536" s="123"/>
    </row>
    <row r="4537">
      <c r="D4537" s="123"/>
    </row>
    <row r="4538">
      <c r="D4538" s="123"/>
    </row>
    <row r="4539">
      <c r="D4539" s="123"/>
    </row>
    <row r="4540">
      <c r="D4540" s="123"/>
    </row>
    <row r="4541">
      <c r="D4541" s="123"/>
    </row>
    <row r="4542">
      <c r="D4542" s="123"/>
    </row>
    <row r="4543">
      <c r="D4543" s="123"/>
    </row>
    <row r="4544">
      <c r="D4544" s="123"/>
    </row>
    <row r="4545">
      <c r="D4545" s="123"/>
    </row>
    <row r="4546">
      <c r="D4546" s="123"/>
    </row>
    <row r="4547">
      <c r="D4547" s="123"/>
    </row>
    <row r="4548">
      <c r="D4548" s="123"/>
    </row>
    <row r="4549">
      <c r="D4549" s="123"/>
    </row>
    <row r="4550">
      <c r="D4550" s="123"/>
    </row>
    <row r="4551">
      <c r="D4551" s="123"/>
    </row>
    <row r="4552">
      <c r="D4552" s="123"/>
    </row>
    <row r="4553">
      <c r="D4553" s="123"/>
    </row>
    <row r="4554">
      <c r="D4554" s="123"/>
    </row>
    <row r="4555">
      <c r="D4555" s="123"/>
    </row>
    <row r="4556">
      <c r="D4556" s="123"/>
    </row>
    <row r="4557">
      <c r="D4557" s="123"/>
    </row>
    <row r="4558">
      <c r="D4558" s="123"/>
    </row>
    <row r="4559">
      <c r="D4559" s="123"/>
    </row>
    <row r="4560">
      <c r="D4560" s="123"/>
    </row>
    <row r="4561">
      <c r="D4561" s="123"/>
    </row>
    <row r="4562">
      <c r="D4562" s="123"/>
    </row>
    <row r="4563">
      <c r="D4563" s="123"/>
    </row>
    <row r="4564">
      <c r="D4564" s="123"/>
    </row>
    <row r="4565">
      <c r="D4565" s="123"/>
    </row>
    <row r="4566">
      <c r="D4566" s="123"/>
    </row>
    <row r="4567">
      <c r="D4567" s="123"/>
    </row>
    <row r="4568">
      <c r="D4568" s="123"/>
    </row>
    <row r="4569">
      <c r="D4569" s="123"/>
    </row>
    <row r="4570">
      <c r="D4570" s="123"/>
    </row>
    <row r="4571">
      <c r="D4571" s="123"/>
    </row>
    <row r="4572">
      <c r="D4572" s="123"/>
    </row>
    <row r="4573">
      <c r="D4573" s="123"/>
    </row>
    <row r="4574">
      <c r="D4574" s="123"/>
    </row>
    <row r="4575">
      <c r="D4575" s="123"/>
    </row>
    <row r="4576">
      <c r="D4576" s="123"/>
    </row>
    <row r="4577">
      <c r="D4577" s="123"/>
    </row>
    <row r="4578">
      <c r="D4578" s="123"/>
    </row>
    <row r="4579">
      <c r="D4579" s="123"/>
    </row>
    <row r="4580">
      <c r="D4580" s="123"/>
    </row>
    <row r="4581">
      <c r="D4581" s="123"/>
    </row>
    <row r="4582">
      <c r="D4582" s="123"/>
    </row>
    <row r="4583">
      <c r="D4583" s="123"/>
    </row>
    <row r="4584">
      <c r="D4584" s="123"/>
    </row>
    <row r="4585">
      <c r="D4585" s="123"/>
    </row>
    <row r="4586">
      <c r="D4586" s="123"/>
    </row>
    <row r="4587">
      <c r="D4587" s="123"/>
    </row>
    <row r="4588">
      <c r="D4588" s="123"/>
    </row>
    <row r="4589">
      <c r="D4589" s="123"/>
    </row>
    <row r="4590">
      <c r="D4590" s="123"/>
    </row>
    <row r="4591">
      <c r="D4591" s="123"/>
    </row>
    <row r="4592">
      <c r="D4592" s="123"/>
    </row>
    <row r="4593">
      <c r="D4593" s="123"/>
    </row>
    <row r="4594">
      <c r="D4594" s="123"/>
    </row>
    <row r="4595">
      <c r="D4595" s="123"/>
    </row>
    <row r="4596">
      <c r="D4596" s="123"/>
    </row>
    <row r="4597">
      <c r="D4597" s="123"/>
    </row>
    <row r="4598">
      <c r="D4598" s="123"/>
    </row>
    <row r="4599">
      <c r="D4599" s="123"/>
    </row>
    <row r="4600">
      <c r="D4600" s="123"/>
    </row>
    <row r="4601">
      <c r="D4601" s="123"/>
    </row>
    <row r="4602">
      <c r="D4602" s="123"/>
    </row>
    <row r="4603">
      <c r="D4603" s="123"/>
    </row>
    <row r="4604">
      <c r="D4604" s="123"/>
    </row>
    <row r="4605">
      <c r="D4605" s="123"/>
    </row>
    <row r="4606">
      <c r="D4606" s="123"/>
    </row>
    <row r="4607">
      <c r="D4607" s="123"/>
    </row>
    <row r="4608">
      <c r="D4608" s="123"/>
    </row>
    <row r="4609">
      <c r="D4609" s="123"/>
    </row>
    <row r="4610">
      <c r="D4610" s="123"/>
    </row>
    <row r="4611">
      <c r="D4611" s="123"/>
    </row>
    <row r="4612">
      <c r="D4612" s="123"/>
    </row>
    <row r="4613">
      <c r="D4613" s="123"/>
    </row>
    <row r="4614">
      <c r="D4614" s="123"/>
    </row>
    <row r="4615">
      <c r="D4615" s="123"/>
    </row>
    <row r="4616">
      <c r="D4616" s="123"/>
    </row>
    <row r="4617">
      <c r="D4617" s="123"/>
    </row>
    <row r="4618">
      <c r="D4618" s="123"/>
    </row>
    <row r="4619">
      <c r="D4619" s="123"/>
    </row>
    <row r="4620">
      <c r="D4620" s="123"/>
    </row>
    <row r="4621">
      <c r="D4621" s="123"/>
    </row>
    <row r="4622">
      <c r="D4622" s="123"/>
    </row>
    <row r="4623">
      <c r="D4623" s="123"/>
    </row>
    <row r="4624">
      <c r="D4624" s="123"/>
    </row>
    <row r="4625">
      <c r="D4625" s="123"/>
    </row>
    <row r="4626">
      <c r="D4626" s="123"/>
    </row>
    <row r="4627">
      <c r="D4627" s="123"/>
    </row>
    <row r="4628">
      <c r="D4628" s="123"/>
    </row>
    <row r="4629">
      <c r="D4629" s="123"/>
    </row>
    <row r="4630">
      <c r="D4630" s="123"/>
    </row>
    <row r="4631">
      <c r="D4631" s="123"/>
    </row>
    <row r="4632">
      <c r="D4632" s="123"/>
    </row>
    <row r="4633">
      <c r="D4633" s="123"/>
    </row>
    <row r="4634">
      <c r="D4634" s="123"/>
    </row>
    <row r="4635">
      <c r="D4635" s="123"/>
    </row>
    <row r="4636">
      <c r="D4636" s="123"/>
    </row>
    <row r="4637">
      <c r="D4637" s="123"/>
    </row>
    <row r="4638">
      <c r="D4638" s="123"/>
    </row>
    <row r="4639">
      <c r="D4639" s="123"/>
    </row>
    <row r="4640">
      <c r="D4640" s="123"/>
    </row>
    <row r="4641">
      <c r="D4641" s="123"/>
    </row>
    <row r="4642">
      <c r="D4642" s="123"/>
    </row>
    <row r="4643">
      <c r="D4643" s="123"/>
    </row>
    <row r="4644">
      <c r="D4644" s="123"/>
    </row>
    <row r="4645">
      <c r="D4645" s="123"/>
    </row>
    <row r="4646">
      <c r="D4646" s="123"/>
    </row>
    <row r="4647">
      <c r="D4647" s="123"/>
    </row>
    <row r="4648">
      <c r="D4648" s="123"/>
    </row>
    <row r="4649">
      <c r="D4649" s="123"/>
    </row>
    <row r="4650">
      <c r="D4650" s="123"/>
    </row>
    <row r="4651">
      <c r="D4651" s="123"/>
    </row>
    <row r="4652">
      <c r="D4652" s="123"/>
    </row>
    <row r="4653">
      <c r="D4653" s="123"/>
    </row>
    <row r="4654">
      <c r="D4654" s="123"/>
    </row>
    <row r="4655">
      <c r="D4655" s="123"/>
    </row>
    <row r="4656">
      <c r="D4656" s="123"/>
    </row>
    <row r="4657">
      <c r="D4657" s="123"/>
    </row>
    <row r="4658">
      <c r="D4658" s="123"/>
    </row>
    <row r="4659">
      <c r="D4659" s="123"/>
    </row>
    <row r="4660">
      <c r="D4660" s="123"/>
    </row>
    <row r="4661">
      <c r="D4661" s="123"/>
    </row>
    <row r="4662">
      <c r="D4662" s="123"/>
    </row>
    <row r="4663">
      <c r="D4663" s="123"/>
    </row>
    <row r="4664">
      <c r="D4664" s="123"/>
    </row>
    <row r="4665">
      <c r="D4665" s="123"/>
    </row>
    <row r="4666">
      <c r="D4666" s="123"/>
    </row>
    <row r="4667">
      <c r="D4667" s="123"/>
    </row>
    <row r="4668">
      <c r="D4668" s="123"/>
    </row>
    <row r="4669">
      <c r="D4669" s="123"/>
    </row>
    <row r="4670">
      <c r="D4670" s="123"/>
    </row>
    <row r="4671">
      <c r="D4671" s="123"/>
    </row>
    <row r="4672">
      <c r="D4672" s="123"/>
    </row>
    <row r="4673">
      <c r="D4673" s="123"/>
    </row>
    <row r="4674">
      <c r="D4674" s="123"/>
    </row>
    <row r="4675">
      <c r="D4675" s="123"/>
    </row>
    <row r="4676">
      <c r="D4676" s="123"/>
    </row>
    <row r="4677">
      <c r="D4677" s="123"/>
    </row>
    <row r="4678">
      <c r="D4678" s="123"/>
    </row>
    <row r="4679">
      <c r="D4679" s="123"/>
    </row>
    <row r="4680">
      <c r="D4680" s="123"/>
    </row>
    <row r="4681">
      <c r="D4681" s="123"/>
    </row>
    <row r="4682">
      <c r="D4682" s="123"/>
    </row>
    <row r="4683">
      <c r="D4683" s="123"/>
    </row>
    <row r="4684">
      <c r="D4684" s="123"/>
    </row>
    <row r="4685">
      <c r="D4685" s="123"/>
    </row>
    <row r="4686">
      <c r="D4686" s="123"/>
    </row>
    <row r="4687">
      <c r="D4687" s="123"/>
    </row>
    <row r="4688">
      <c r="D4688" s="123"/>
    </row>
    <row r="4689">
      <c r="D4689" s="123"/>
    </row>
    <row r="4690">
      <c r="D4690" s="123"/>
    </row>
    <row r="4691">
      <c r="D4691" s="123"/>
    </row>
    <row r="4692">
      <c r="D4692" s="123"/>
    </row>
    <row r="4693">
      <c r="D4693" s="123"/>
    </row>
    <row r="4694">
      <c r="D4694" s="123"/>
    </row>
    <row r="4695">
      <c r="D4695" s="123"/>
    </row>
    <row r="4696">
      <c r="D4696" s="123"/>
    </row>
    <row r="4697">
      <c r="D4697" s="123"/>
    </row>
    <row r="4698">
      <c r="D4698" s="123"/>
    </row>
    <row r="4699">
      <c r="D4699" s="123"/>
    </row>
    <row r="4700">
      <c r="D4700" s="123"/>
    </row>
    <row r="4701">
      <c r="D4701" s="123"/>
    </row>
    <row r="4702">
      <c r="D4702" s="123"/>
    </row>
    <row r="4703">
      <c r="D4703" s="123"/>
    </row>
    <row r="4704">
      <c r="D4704" s="123"/>
    </row>
    <row r="4705">
      <c r="D4705" s="123"/>
    </row>
    <row r="4706">
      <c r="D4706" s="123"/>
    </row>
    <row r="4707">
      <c r="D4707" s="123"/>
    </row>
    <row r="4708">
      <c r="D4708" s="123"/>
    </row>
    <row r="4709">
      <c r="D4709" s="123"/>
    </row>
    <row r="4710">
      <c r="D4710" s="123"/>
    </row>
    <row r="4711">
      <c r="D4711" s="123"/>
    </row>
    <row r="4712">
      <c r="D4712" s="123"/>
    </row>
    <row r="4713">
      <c r="D4713" s="123"/>
    </row>
    <row r="4714">
      <c r="D4714" s="123"/>
    </row>
    <row r="4715">
      <c r="D4715" s="123"/>
    </row>
    <row r="4716">
      <c r="D4716" s="123"/>
    </row>
    <row r="4717">
      <c r="D4717" s="123"/>
    </row>
    <row r="4718">
      <c r="D4718" s="123"/>
    </row>
    <row r="4719">
      <c r="D4719" s="123"/>
    </row>
    <row r="4720">
      <c r="D4720" s="123"/>
    </row>
    <row r="4721">
      <c r="D4721" s="123"/>
    </row>
    <row r="4722">
      <c r="D4722" s="123"/>
    </row>
    <row r="4723">
      <c r="D4723" s="123"/>
    </row>
    <row r="4724">
      <c r="D4724" s="123"/>
    </row>
    <row r="4725">
      <c r="D4725" s="123"/>
    </row>
    <row r="4726">
      <c r="D4726" s="123"/>
    </row>
    <row r="4727">
      <c r="D4727" s="123"/>
    </row>
    <row r="4728">
      <c r="D4728" s="123"/>
    </row>
    <row r="4729">
      <c r="D4729" s="123"/>
    </row>
    <row r="4730">
      <c r="D4730" s="123"/>
    </row>
    <row r="4731">
      <c r="D4731" s="123"/>
    </row>
    <row r="4732">
      <c r="D4732" s="123"/>
    </row>
    <row r="4733">
      <c r="D4733" s="123"/>
    </row>
    <row r="4734">
      <c r="D4734" s="123"/>
    </row>
    <row r="4735">
      <c r="D4735" s="123"/>
    </row>
    <row r="4736">
      <c r="D4736" s="123"/>
    </row>
    <row r="4737">
      <c r="D4737" s="123"/>
    </row>
    <row r="4738">
      <c r="D4738" s="123"/>
    </row>
    <row r="4739">
      <c r="D4739" s="123"/>
    </row>
    <row r="4740">
      <c r="D4740" s="123"/>
    </row>
    <row r="4741">
      <c r="D4741" s="123"/>
    </row>
    <row r="4742">
      <c r="D4742" s="123"/>
    </row>
    <row r="4743">
      <c r="D4743" s="123"/>
    </row>
    <row r="4744">
      <c r="D4744" s="123"/>
    </row>
    <row r="4745">
      <c r="D4745" s="123"/>
    </row>
    <row r="4746">
      <c r="D4746" s="123"/>
    </row>
    <row r="4747">
      <c r="D4747" s="123"/>
    </row>
    <row r="4748">
      <c r="D4748" s="123"/>
    </row>
    <row r="4749">
      <c r="D4749" s="123"/>
    </row>
    <row r="4750">
      <c r="D4750" s="123"/>
    </row>
    <row r="4751">
      <c r="D4751" s="123"/>
    </row>
    <row r="4752">
      <c r="D4752" s="123"/>
    </row>
    <row r="4753">
      <c r="D4753" s="123"/>
    </row>
    <row r="4754">
      <c r="D4754" s="123"/>
    </row>
    <row r="4755">
      <c r="D4755" s="123"/>
    </row>
    <row r="4756">
      <c r="D4756" s="123"/>
    </row>
    <row r="4757">
      <c r="D4757" s="123"/>
    </row>
    <row r="4758">
      <c r="D4758" s="123"/>
    </row>
    <row r="4759">
      <c r="D4759" s="123"/>
    </row>
    <row r="4760">
      <c r="D4760" s="123"/>
    </row>
    <row r="4761">
      <c r="D4761" s="123"/>
    </row>
    <row r="4762">
      <c r="D4762" s="123"/>
    </row>
    <row r="4763">
      <c r="D4763" s="123"/>
    </row>
    <row r="4764">
      <c r="D4764" s="123"/>
    </row>
    <row r="4765">
      <c r="D4765" s="123"/>
    </row>
    <row r="4766">
      <c r="D4766" s="123"/>
    </row>
    <row r="4767">
      <c r="D4767" s="123"/>
    </row>
    <row r="4768">
      <c r="D4768" s="123"/>
    </row>
    <row r="4769">
      <c r="D4769" s="123"/>
    </row>
    <row r="4770">
      <c r="D4770" s="123"/>
    </row>
    <row r="4771">
      <c r="D4771" s="123"/>
    </row>
    <row r="4772">
      <c r="D4772" s="123"/>
    </row>
    <row r="4773">
      <c r="D4773" s="123"/>
    </row>
    <row r="4774">
      <c r="D4774" s="123"/>
    </row>
    <row r="4775">
      <c r="D4775" s="123"/>
    </row>
    <row r="4776">
      <c r="D4776" s="123"/>
    </row>
    <row r="4777">
      <c r="D4777" s="123"/>
    </row>
    <row r="4778">
      <c r="D4778" s="123"/>
    </row>
    <row r="4779">
      <c r="D4779" s="123"/>
    </row>
    <row r="4780">
      <c r="D4780" s="123"/>
    </row>
    <row r="4781">
      <c r="D4781" s="123"/>
    </row>
    <row r="4782">
      <c r="D4782" s="123"/>
    </row>
    <row r="4783">
      <c r="D4783" s="123"/>
    </row>
    <row r="4784">
      <c r="D4784" s="123"/>
    </row>
    <row r="4785">
      <c r="D4785" s="123"/>
    </row>
    <row r="4786">
      <c r="D4786" s="123"/>
    </row>
    <row r="4787">
      <c r="D4787" s="123"/>
    </row>
    <row r="4788">
      <c r="D4788" s="123"/>
    </row>
    <row r="4789">
      <c r="D4789" s="123"/>
    </row>
    <row r="4790">
      <c r="D4790" s="123"/>
    </row>
    <row r="4791">
      <c r="D4791" s="123"/>
    </row>
    <row r="4792">
      <c r="D4792" s="123"/>
    </row>
    <row r="4793">
      <c r="D4793" s="123"/>
    </row>
    <row r="4794">
      <c r="D4794" s="123"/>
    </row>
    <row r="4795">
      <c r="D4795" s="123"/>
    </row>
    <row r="4796">
      <c r="D4796" s="123"/>
    </row>
    <row r="4797">
      <c r="D4797" s="123"/>
    </row>
    <row r="4798">
      <c r="D4798" s="123"/>
    </row>
    <row r="4799">
      <c r="D4799" s="123"/>
    </row>
    <row r="4800">
      <c r="D4800" s="123"/>
    </row>
    <row r="4801">
      <c r="D4801" s="123"/>
    </row>
    <row r="4802">
      <c r="D4802" s="123"/>
    </row>
    <row r="4803">
      <c r="D4803" s="123"/>
    </row>
    <row r="4804">
      <c r="D4804" s="123"/>
    </row>
    <row r="4805">
      <c r="D4805" s="123"/>
    </row>
    <row r="4806">
      <c r="D4806" s="123"/>
    </row>
    <row r="4807">
      <c r="D4807" s="123"/>
    </row>
    <row r="4808">
      <c r="D4808" s="123"/>
    </row>
    <row r="4809">
      <c r="D4809" s="123"/>
    </row>
    <row r="4810">
      <c r="D4810" s="123"/>
    </row>
    <row r="4811">
      <c r="D4811" s="123"/>
    </row>
    <row r="4812">
      <c r="D4812" s="123"/>
    </row>
    <row r="4813">
      <c r="D4813" s="123"/>
    </row>
    <row r="4814">
      <c r="D4814" s="123"/>
    </row>
    <row r="4815">
      <c r="D4815" s="123"/>
    </row>
    <row r="4816">
      <c r="D4816" s="123"/>
    </row>
    <row r="4817">
      <c r="D4817" s="123"/>
    </row>
    <row r="4818">
      <c r="D4818" s="123"/>
    </row>
    <row r="4819">
      <c r="D4819" s="123"/>
    </row>
    <row r="4820">
      <c r="D4820" s="123"/>
    </row>
    <row r="4821">
      <c r="D4821" s="123"/>
    </row>
    <row r="4822">
      <c r="D4822" s="123"/>
    </row>
    <row r="4823">
      <c r="D4823" s="123"/>
    </row>
    <row r="4824">
      <c r="D4824" s="123"/>
    </row>
    <row r="4825">
      <c r="D4825" s="123"/>
    </row>
    <row r="4826">
      <c r="D4826" s="123"/>
    </row>
    <row r="4827">
      <c r="D4827" s="123"/>
    </row>
    <row r="4828">
      <c r="D4828" s="123"/>
    </row>
    <row r="4829">
      <c r="D4829" s="123"/>
    </row>
    <row r="4830">
      <c r="D4830" s="123"/>
    </row>
    <row r="4831">
      <c r="D4831" s="123"/>
    </row>
    <row r="4832">
      <c r="D4832" s="123"/>
    </row>
    <row r="4833">
      <c r="D4833" s="123"/>
    </row>
    <row r="4834">
      <c r="D4834" s="123"/>
    </row>
    <row r="4835">
      <c r="D4835" s="123"/>
    </row>
    <row r="4836">
      <c r="D4836" s="123"/>
    </row>
    <row r="4837">
      <c r="D4837" s="123"/>
    </row>
    <row r="4838">
      <c r="D4838" s="123"/>
    </row>
    <row r="4839">
      <c r="D4839" s="123"/>
    </row>
    <row r="4840">
      <c r="D4840" s="123"/>
    </row>
    <row r="4841">
      <c r="D4841" s="123"/>
    </row>
    <row r="4842">
      <c r="D4842" s="123"/>
    </row>
    <row r="4843">
      <c r="D4843" s="123"/>
    </row>
    <row r="4844">
      <c r="D4844" s="123"/>
    </row>
    <row r="4845">
      <c r="D4845" s="123"/>
    </row>
    <row r="4846">
      <c r="D4846" s="123"/>
    </row>
    <row r="4847">
      <c r="D4847" s="123"/>
    </row>
    <row r="4848">
      <c r="D4848" s="123"/>
    </row>
    <row r="4849">
      <c r="D4849" s="123"/>
    </row>
    <row r="4850">
      <c r="D4850" s="123"/>
    </row>
    <row r="4851">
      <c r="D4851" s="123"/>
    </row>
    <row r="4852">
      <c r="D4852" s="123"/>
    </row>
    <row r="4853">
      <c r="D4853" s="123"/>
    </row>
    <row r="4854">
      <c r="D4854" s="123"/>
    </row>
    <row r="4855">
      <c r="D4855" s="123"/>
    </row>
    <row r="4856">
      <c r="D4856" s="123"/>
    </row>
    <row r="4857">
      <c r="D4857" s="123"/>
    </row>
    <row r="4858">
      <c r="D4858" s="123"/>
    </row>
    <row r="4859">
      <c r="D4859" s="123"/>
    </row>
    <row r="4860">
      <c r="D4860" s="123"/>
    </row>
    <row r="4861">
      <c r="D4861" s="123"/>
    </row>
    <row r="4862">
      <c r="D4862" s="123"/>
    </row>
    <row r="4863">
      <c r="D4863" s="123"/>
    </row>
    <row r="4864">
      <c r="D4864" s="123"/>
    </row>
    <row r="4865">
      <c r="D4865" s="123"/>
    </row>
    <row r="4866">
      <c r="D4866" s="123"/>
    </row>
    <row r="4867">
      <c r="D4867" s="123"/>
    </row>
    <row r="4868">
      <c r="D4868" s="123"/>
    </row>
    <row r="4869">
      <c r="D4869" s="123"/>
    </row>
    <row r="4870">
      <c r="D4870" s="123"/>
    </row>
    <row r="4871">
      <c r="D4871" s="123"/>
    </row>
    <row r="4872">
      <c r="D4872" s="123"/>
    </row>
    <row r="4873">
      <c r="D4873" s="123"/>
    </row>
    <row r="4874">
      <c r="D4874" s="123"/>
    </row>
    <row r="4875">
      <c r="D4875" s="123"/>
    </row>
    <row r="4876">
      <c r="D4876" s="123"/>
    </row>
    <row r="4877">
      <c r="D4877" s="123"/>
    </row>
    <row r="4878">
      <c r="D4878" s="123"/>
    </row>
    <row r="4879">
      <c r="D4879" s="123"/>
    </row>
    <row r="4880">
      <c r="D4880" s="123"/>
    </row>
    <row r="4881">
      <c r="D4881" s="123"/>
    </row>
    <row r="4882">
      <c r="D4882" s="123"/>
    </row>
    <row r="4883">
      <c r="D4883" s="123"/>
    </row>
    <row r="4884">
      <c r="D4884" s="123"/>
    </row>
    <row r="4885">
      <c r="D4885" s="123"/>
    </row>
    <row r="4886">
      <c r="D4886" s="123"/>
    </row>
    <row r="4887">
      <c r="D4887" s="123"/>
    </row>
    <row r="4888">
      <c r="D4888" s="123"/>
    </row>
    <row r="4889">
      <c r="D4889" s="123"/>
    </row>
    <row r="4890">
      <c r="D4890" s="123"/>
    </row>
    <row r="4891">
      <c r="D4891" s="123"/>
    </row>
    <row r="4892">
      <c r="D4892" s="123"/>
    </row>
    <row r="4893">
      <c r="D4893" s="123"/>
    </row>
    <row r="4894">
      <c r="D4894" s="123"/>
    </row>
    <row r="4895">
      <c r="D4895" s="123"/>
    </row>
    <row r="4896">
      <c r="D4896" s="123"/>
    </row>
    <row r="4897">
      <c r="D4897" s="123"/>
    </row>
    <row r="4898">
      <c r="D4898" s="123"/>
    </row>
    <row r="4899">
      <c r="D4899" s="123"/>
    </row>
    <row r="4900">
      <c r="D4900" s="123"/>
    </row>
    <row r="4901">
      <c r="D4901" s="123"/>
    </row>
    <row r="4902">
      <c r="D4902" s="123"/>
    </row>
    <row r="4903">
      <c r="D4903" s="123"/>
    </row>
    <row r="4904">
      <c r="D4904" s="123"/>
    </row>
    <row r="4905">
      <c r="D4905" s="123"/>
    </row>
    <row r="4906">
      <c r="D4906" s="123"/>
    </row>
    <row r="4907">
      <c r="D4907" s="123"/>
    </row>
    <row r="4908">
      <c r="D4908" s="123"/>
    </row>
    <row r="4909">
      <c r="D4909" s="123"/>
    </row>
    <row r="4910">
      <c r="D4910" s="123"/>
    </row>
    <row r="4911">
      <c r="D4911" s="123"/>
    </row>
    <row r="4912">
      <c r="D4912" s="123"/>
    </row>
    <row r="4913">
      <c r="D4913" s="123"/>
    </row>
    <row r="4914">
      <c r="D4914" s="123"/>
    </row>
    <row r="4915">
      <c r="D4915" s="123"/>
    </row>
    <row r="4916">
      <c r="D4916" s="123"/>
    </row>
    <row r="4917">
      <c r="D4917" s="123"/>
    </row>
    <row r="4918">
      <c r="D4918" s="123"/>
    </row>
    <row r="4919">
      <c r="D4919" s="123"/>
    </row>
    <row r="4920">
      <c r="D4920" s="123"/>
    </row>
    <row r="4921">
      <c r="D4921" s="123"/>
    </row>
    <row r="4922">
      <c r="D4922" s="123"/>
    </row>
    <row r="4923">
      <c r="D4923" s="123"/>
    </row>
    <row r="4924">
      <c r="D4924" s="123"/>
    </row>
    <row r="4925">
      <c r="D4925" s="123"/>
    </row>
    <row r="4926">
      <c r="D4926" s="123"/>
    </row>
    <row r="4927">
      <c r="D4927" s="123"/>
    </row>
    <row r="4928">
      <c r="D4928" s="123"/>
    </row>
    <row r="4929">
      <c r="D4929" s="123"/>
    </row>
    <row r="4930">
      <c r="D4930" s="123"/>
    </row>
    <row r="4931">
      <c r="D4931" s="123"/>
    </row>
    <row r="4932">
      <c r="D4932" s="123"/>
    </row>
    <row r="4933">
      <c r="D4933" s="123"/>
    </row>
    <row r="4934">
      <c r="D4934" s="123"/>
    </row>
    <row r="4935">
      <c r="D4935" s="123"/>
    </row>
    <row r="4936">
      <c r="D4936" s="123"/>
    </row>
    <row r="4937">
      <c r="D4937" s="123"/>
    </row>
    <row r="4938">
      <c r="D4938" s="123"/>
    </row>
    <row r="4939">
      <c r="D4939" s="123"/>
    </row>
    <row r="4940">
      <c r="D4940" s="123"/>
    </row>
    <row r="4941">
      <c r="D4941" s="123"/>
    </row>
    <row r="4942">
      <c r="D4942" s="123"/>
    </row>
    <row r="4943">
      <c r="D4943" s="123"/>
    </row>
    <row r="4944">
      <c r="D4944" s="123"/>
    </row>
    <row r="4945">
      <c r="D4945" s="123"/>
    </row>
    <row r="4946">
      <c r="D4946" s="123"/>
    </row>
    <row r="4947">
      <c r="D4947" s="123"/>
    </row>
    <row r="4948">
      <c r="D4948" s="123"/>
    </row>
    <row r="4949">
      <c r="D4949" s="123"/>
    </row>
    <row r="4950">
      <c r="D4950" s="123"/>
    </row>
    <row r="4951">
      <c r="D4951" s="123"/>
    </row>
    <row r="4952">
      <c r="D4952" s="123"/>
    </row>
    <row r="4953">
      <c r="D4953" s="123"/>
    </row>
    <row r="4954">
      <c r="D4954" s="123"/>
    </row>
    <row r="4955">
      <c r="D4955" s="123"/>
    </row>
    <row r="4956">
      <c r="D4956" s="123"/>
    </row>
    <row r="4957">
      <c r="D4957" s="123"/>
    </row>
    <row r="4958">
      <c r="D4958" s="123"/>
    </row>
    <row r="4959">
      <c r="D4959" s="123"/>
    </row>
    <row r="4960">
      <c r="D4960" s="123"/>
    </row>
    <row r="4961">
      <c r="D4961" s="123"/>
    </row>
    <row r="4962">
      <c r="D4962" s="123"/>
    </row>
    <row r="4963">
      <c r="D4963" s="123"/>
    </row>
    <row r="4964">
      <c r="D4964" s="123"/>
    </row>
    <row r="4965">
      <c r="D4965" s="123"/>
    </row>
    <row r="4966">
      <c r="D4966" s="123"/>
    </row>
    <row r="4967">
      <c r="D4967" s="123"/>
    </row>
    <row r="4968">
      <c r="D4968" s="123"/>
    </row>
    <row r="4969">
      <c r="D4969" s="123"/>
    </row>
    <row r="4970">
      <c r="D4970" s="123"/>
    </row>
    <row r="4971">
      <c r="D4971" s="123"/>
    </row>
    <row r="4972">
      <c r="D4972" s="123"/>
    </row>
    <row r="4973">
      <c r="D4973" s="123"/>
    </row>
    <row r="4974">
      <c r="D4974" s="123"/>
    </row>
    <row r="4975">
      <c r="D4975" s="123"/>
    </row>
    <row r="4976">
      <c r="D4976" s="123"/>
    </row>
    <row r="4977">
      <c r="D4977" s="123"/>
    </row>
    <row r="4978">
      <c r="D4978" s="123"/>
    </row>
    <row r="4979">
      <c r="D4979" s="123"/>
    </row>
    <row r="4980">
      <c r="D4980" s="123"/>
    </row>
    <row r="4981">
      <c r="D4981" s="123"/>
    </row>
    <row r="4982">
      <c r="D4982" s="123"/>
    </row>
    <row r="4983">
      <c r="D4983" s="123"/>
    </row>
    <row r="4984">
      <c r="D4984" s="123"/>
    </row>
    <row r="4985">
      <c r="D4985" s="123"/>
    </row>
    <row r="4986">
      <c r="D4986" s="123"/>
    </row>
    <row r="4987">
      <c r="D4987" s="123"/>
    </row>
    <row r="4988">
      <c r="D4988" s="123"/>
    </row>
    <row r="4989">
      <c r="D4989" s="123"/>
    </row>
    <row r="4990">
      <c r="D4990" s="123"/>
    </row>
    <row r="4991">
      <c r="D4991" s="123"/>
    </row>
    <row r="4992">
      <c r="D4992" s="123"/>
    </row>
    <row r="4993">
      <c r="D4993" s="123"/>
    </row>
    <row r="4994">
      <c r="D4994" s="123"/>
    </row>
    <row r="4995">
      <c r="D4995" s="123"/>
    </row>
    <row r="4996">
      <c r="D4996" s="123"/>
    </row>
    <row r="4997">
      <c r="D4997" s="123"/>
    </row>
    <row r="4998">
      <c r="D4998" s="123"/>
    </row>
    <row r="4999">
      <c r="D4999" s="123"/>
    </row>
    <row r="5000">
      <c r="D5000" s="123"/>
    </row>
  </sheetData>
  <sheetProtection sheet="1" formatRows="0" spinCount="100000" saltValue="ES3luoJZFuWKBOxDO63DQQ==" hashValue="B7T1SiBjAo10h48BtlrcSU5bWFFJ4bJ8J8I4k6Dpc2RvcJeT8MyfRjiuycATcokqxMCtdU5pAJA2BaZpHo9JAg==" algorithmName="SHA-512"/>
  <mergeCells count="19">
    <mergeCell ref="C27:G27"/>
    <mergeCell ref="C28:G28"/>
    <mergeCell ref="C34:G34"/>
    <mergeCell ref="C16:G16"/>
    <mergeCell ref="C17:G17"/>
    <mergeCell ref="C20:G20"/>
    <mergeCell ref="C22:G22"/>
    <mergeCell ref="C24:G24"/>
    <mergeCell ref="C26:G26"/>
    <mergeCell ref="A1:G1"/>
    <mergeCell ref="C2:G2"/>
    <mergeCell ref="C3:G3"/>
    <mergeCell ref="C4:G4"/>
    <mergeCell ref="A39:C39"/>
    <mergeCell ref="A40:G44"/>
    <mergeCell ref="C11:G11"/>
    <mergeCell ref="C12:G12"/>
    <mergeCell ref="C13:G13"/>
    <mergeCell ref="C15:G15"/>
  </mergeCells>
  <pageMargins left="0.5902778" right="0.1965278" top="0.7875" bottom="0.7875" header="0.3" footer="0.3"/>
  <pageSetup r:id="rId1" paperSize="9" orientation="portrait"/>
  <headerFooter>
    <oddFooter xml:space="preserve">&amp;RStránka &amp;P z &amp;N&amp;LZpracováno programem BUILDpower S,  © RTS, a.s.</oddFooter>
  </headerFooter>
  <legacyDrawing r:id="rId2"/>
</worksheet>
</file>

<file path=docProps/app.xml><?xml version="1.0" encoding="utf-8"?>
<Properties xmlns="http://schemas.openxmlformats.org/officeDocument/2006/extended-properties">
  <Application>Microsoft Excel</Application>
  <Company>RTS, a.s.</Company>
  <AppVersion>16.0300</AppVersion>
</Properties>
</file>

<file path=docProps/core.xml><?xml version="1.0" encoding="utf-8"?>
<cp:coreProperties xmlns:dc="http://purl.org/dc/elements/1.1/" xmlns:dcterms="http://purl.org/dc/terms/" xmlns:xsi="http://www.w3.org/2001/XMLSchema-instance" xmlns:cp="http://schemas.openxmlformats.org/package/2006/metadata/core-properties">
  <dc:creator>Eliška Janůtková</dc:creator>
  <cp:lastModifiedBy>Brychtová, Viktorie</cp:lastModifiedBy>
  <cp:lastPrinted>2019-03-19T12:27:02Z</cp:lastPrinted>
  <dcterms:created xsi:type="dcterms:W3CDTF">2009-04-08T07:15:50Z</dcterms:created>
  <dcterms:modified xsi:type="dcterms:W3CDTF">2025-01-22T09:37:32Z</dcterms:modified>
</cp:coreProperties>
</file>
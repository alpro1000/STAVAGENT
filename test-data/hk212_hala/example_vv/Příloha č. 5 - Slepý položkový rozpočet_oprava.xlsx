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E:\K N I H O V N Y\KM-CONSULT\2023 LYCKEBY AMYLEX - SKLAD BB\5. PROPOČET\2023_-08_29 VV revize LL\"/>
    </mc:Choice>
  </mc:AlternateContent>
  <xr:revisionPtr revIDLastSave="0" documentId="13_ncr:1_{C07D7360-96BD-4255-92D7-1963E4F77812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Rekapitulace stavby" sheetId="1" r:id="rId1"/>
    <sheet name="2023-003-a - SO-21 - Stav..." sheetId="2" r:id="rId2"/>
    <sheet name="2023-003-b - SO-21 - Elek..." sheetId="3" r:id="rId3"/>
    <sheet name="2023-003-c - SO-21 - Zdra..." sheetId="4" r:id="rId4"/>
    <sheet name="2023-003-d - SO-21 - Vytá..." sheetId="5" r:id="rId5"/>
    <sheet name="2023-003-i - SO-21 - bles..." sheetId="6" r:id="rId6"/>
    <sheet name="2023-003-g - SO-22 - potr..." sheetId="7" r:id="rId7"/>
    <sheet name="a - příprava území" sheetId="8" r:id="rId8"/>
    <sheet name="n - návrh" sheetId="9" r:id="rId9"/>
    <sheet name="2023-003-e - SO-24 - dešť..." sheetId="10" r:id="rId10"/>
    <sheet name="2023-003-f - SO-25 - vodo..." sheetId="11" r:id="rId11"/>
    <sheet name="2023-003-j - VRN" sheetId="12" r:id="rId12"/>
    <sheet name="Pokyny pro vyplnění" sheetId="13" r:id="rId13"/>
  </sheets>
  <definedNames>
    <definedName name="_xlnm._FilterDatabase" localSheetId="1" hidden="1">'2023-003-a - SO-21 - Stav...'!$C$94:$K$403</definedName>
    <definedName name="_xlnm._FilterDatabase" localSheetId="2" hidden="1">'2023-003-b - SO-21 - Elek...'!$C$86:$K$242</definedName>
    <definedName name="_xlnm._FilterDatabase" localSheetId="3" hidden="1">'2023-003-c - SO-21 - Zdra...'!$C$85:$K$113</definedName>
    <definedName name="_xlnm._FilterDatabase" localSheetId="4" hidden="1">'2023-003-d - SO-21 - Vytá...'!$C$82:$K$101</definedName>
    <definedName name="_xlnm._FilterDatabase" localSheetId="9" hidden="1">'2023-003-e - SO-24 - dešť...'!$C$83:$K$252</definedName>
    <definedName name="_xlnm._FilterDatabase" localSheetId="10" hidden="1">'2023-003-f - SO-25 - vodo...'!$C$83:$K$146</definedName>
    <definedName name="_xlnm._FilterDatabase" localSheetId="6" hidden="1">'2023-003-g - SO-22 - potr...'!$C$86:$K$149</definedName>
    <definedName name="_xlnm._FilterDatabase" localSheetId="5" hidden="1">'2023-003-i - SO-21 - bles...'!$C$81:$K$102</definedName>
    <definedName name="_xlnm._FilterDatabase" localSheetId="11" hidden="1">'2023-003-j - VRN'!$C$82:$K$95</definedName>
    <definedName name="_xlnm._FilterDatabase" localSheetId="7" hidden="1">'a - příprava území'!$C$89:$K$267</definedName>
    <definedName name="_xlnm._FilterDatabase" localSheetId="8" hidden="1">'n - návrh'!$C$93:$K$379</definedName>
    <definedName name="_xlnm.Print_Titles" localSheetId="1">'2023-003-a - SO-21 - Stav...'!$94:$94</definedName>
    <definedName name="_xlnm.Print_Titles" localSheetId="2">'2023-003-b - SO-21 - Elek...'!$86:$86</definedName>
    <definedName name="_xlnm.Print_Titles" localSheetId="3">'2023-003-c - SO-21 - Zdra...'!$85:$85</definedName>
    <definedName name="_xlnm.Print_Titles" localSheetId="4">'2023-003-d - SO-21 - Vytá...'!$82:$82</definedName>
    <definedName name="_xlnm.Print_Titles" localSheetId="9">'2023-003-e - SO-24 - dešť...'!$83:$83</definedName>
    <definedName name="_xlnm.Print_Titles" localSheetId="10">'2023-003-f - SO-25 - vodo...'!$83:$83</definedName>
    <definedName name="_xlnm.Print_Titles" localSheetId="6">'2023-003-g - SO-22 - potr...'!$86:$86</definedName>
    <definedName name="_xlnm.Print_Titles" localSheetId="5">'2023-003-i - SO-21 - bles...'!$81:$81</definedName>
    <definedName name="_xlnm.Print_Titles" localSheetId="11">'2023-003-j - VRN'!$82:$82</definedName>
    <definedName name="_xlnm.Print_Titles" localSheetId="7">'a - příprava území'!$89:$89</definedName>
    <definedName name="_xlnm.Print_Titles" localSheetId="8">'n - návrh'!$93:$93</definedName>
    <definedName name="_xlnm.Print_Titles" localSheetId="0">'Rekapitulace stavby'!$52:$52</definedName>
    <definedName name="_xlnm.Print_Area" localSheetId="1">'2023-003-a - SO-21 - Stav...'!$C$4:$J$39,'2023-003-a - SO-21 - Stav...'!$C$45:$J$76,'2023-003-a - SO-21 - Stav...'!$C$82:$K$403</definedName>
    <definedName name="_xlnm.Print_Area" localSheetId="2">'2023-003-b - SO-21 - Elek...'!$C$4:$J$39,'2023-003-b - SO-21 - Elek...'!$C$45:$J$68,'2023-003-b - SO-21 - Elek...'!$C$74:$K$242</definedName>
    <definedName name="_xlnm.Print_Area" localSheetId="3">'2023-003-c - SO-21 - Zdra...'!$C$4:$J$39,'2023-003-c - SO-21 - Zdra...'!$C$45:$J$67,'2023-003-c - SO-21 - Zdra...'!$C$73:$K$113</definedName>
    <definedName name="_xlnm.Print_Area" localSheetId="4">'2023-003-d - SO-21 - Vytá...'!$C$4:$J$39,'2023-003-d - SO-21 - Vytá...'!$C$45:$J$64,'2023-003-d - SO-21 - Vytá...'!$C$70:$K$101</definedName>
    <definedName name="_xlnm.Print_Area" localSheetId="9">'2023-003-e - SO-24 - dešť...'!$C$4:$J$39,'2023-003-e - SO-24 - dešť...'!$C$45:$J$65,'2023-003-e - SO-24 - dešť...'!$C$71:$K$252</definedName>
    <definedName name="_xlnm.Print_Area" localSheetId="10">'2023-003-f - SO-25 - vodo...'!$C$4:$J$39,'2023-003-f - SO-25 - vodo...'!$C$45:$J$65,'2023-003-f - SO-25 - vodo...'!$C$71:$K$146</definedName>
    <definedName name="_xlnm.Print_Area" localSheetId="6">'2023-003-g - SO-22 - potr...'!$C$4:$J$39,'2023-003-g - SO-22 - potr...'!$C$45:$J$68,'2023-003-g - SO-22 - potr...'!$C$74:$K$149</definedName>
    <definedName name="_xlnm.Print_Area" localSheetId="5">'2023-003-i - SO-21 - bles...'!$C$4:$J$39,'2023-003-i - SO-21 - bles...'!$C$45:$J$63,'2023-003-i - SO-21 - bles...'!$C$69:$K$102</definedName>
    <definedName name="_xlnm.Print_Area" localSheetId="11">'2023-003-j - VRN'!$C$4:$J$39,'2023-003-j - VRN'!$C$45:$J$64,'2023-003-j - VRN'!$C$70:$K$95</definedName>
    <definedName name="_xlnm.Print_Area" localSheetId="7">'a - příprava území'!$C$4:$J$41,'a - příprava území'!$C$47:$J$69,'a - příprava území'!$C$75:$K$267</definedName>
    <definedName name="_xlnm.Print_Area" localSheetId="8">'n - návrh'!$C$4:$J$41,'n - návrh'!$C$47:$J$73,'n - návrh'!$C$79:$K$379</definedName>
    <definedName name="_xlnm.Print_Area" localSheetId="12">'Pokyny pro vyplnění'!$B$2:$K$71,'Pokyny pro vyplnění'!$B$74:$K$118,'Pokyny pro vyplnění'!$B$121:$K$161,'Pokyny pro vyplnění'!$B$164:$K$218</definedName>
    <definedName name="_xlnm.Print_Area" localSheetId="0">'Rekapitulace stavby'!$D$4:$AO$36,'Rekapitulace stavby'!$C$42:$AQ$67</definedName>
  </definedNames>
  <calcPr calcId="181029"/>
</workbook>
</file>

<file path=xl/calcChain.xml><?xml version="1.0" encoding="utf-8"?>
<calcChain xmlns="http://schemas.openxmlformats.org/spreadsheetml/2006/main">
  <c r="J37" i="12" l="1"/>
  <c r="J36" i="12"/>
  <c r="AY66" i="1" s="1"/>
  <c r="J35" i="12"/>
  <c r="AX66" i="1" s="1"/>
  <c r="BI94" i="12"/>
  <c r="BH94" i="12"/>
  <c r="BG94" i="12"/>
  <c r="BF94" i="12"/>
  <c r="T94" i="12"/>
  <c r="R94" i="12"/>
  <c r="P94" i="12"/>
  <c r="BI92" i="12"/>
  <c r="BH92" i="12"/>
  <c r="BG92" i="12"/>
  <c r="BF92" i="12"/>
  <c r="T92" i="12"/>
  <c r="R92" i="12"/>
  <c r="P92" i="12"/>
  <c r="BI89" i="12"/>
  <c r="BH89" i="12"/>
  <c r="BG89" i="12"/>
  <c r="BF89" i="12"/>
  <c r="T89" i="12"/>
  <c r="T88" i="12"/>
  <c r="R89" i="12"/>
  <c r="R88" i="12" s="1"/>
  <c r="P89" i="12"/>
  <c r="P88" i="12" s="1"/>
  <c r="BI86" i="12"/>
  <c r="BH86" i="12"/>
  <c r="BG86" i="12"/>
  <c r="BF86" i="12"/>
  <c r="T86" i="12"/>
  <c r="T85" i="12"/>
  <c r="R86" i="12"/>
  <c r="R85" i="12"/>
  <c r="P86" i="12"/>
  <c r="P85" i="12" s="1"/>
  <c r="F77" i="12"/>
  <c r="E75" i="12"/>
  <c r="F52" i="12"/>
  <c r="E50" i="12"/>
  <c r="J24" i="12"/>
  <c r="E24" i="12"/>
  <c r="J80" i="12" s="1"/>
  <c r="J23" i="12"/>
  <c r="J21" i="12"/>
  <c r="E21" i="12"/>
  <c r="J79" i="12"/>
  <c r="J20" i="12"/>
  <c r="J18" i="12"/>
  <c r="E18" i="12"/>
  <c r="F80" i="12" s="1"/>
  <c r="J17" i="12"/>
  <c r="J15" i="12"/>
  <c r="E15" i="12"/>
  <c r="F79" i="12" s="1"/>
  <c r="J14" i="12"/>
  <c r="J12" i="12"/>
  <c r="J77" i="12" s="1"/>
  <c r="E7" i="12"/>
  <c r="E73" i="12" s="1"/>
  <c r="J37" i="11"/>
  <c r="J36" i="11"/>
  <c r="AY65" i="1" s="1"/>
  <c r="J35" i="11"/>
  <c r="AX65" i="1"/>
  <c r="BI145" i="11"/>
  <c r="BH145" i="11"/>
  <c r="BG145" i="11"/>
  <c r="BF145" i="11"/>
  <c r="T145" i="11"/>
  <c r="R145" i="11"/>
  <c r="P145" i="11"/>
  <c r="BI143" i="11"/>
  <c r="BH143" i="11"/>
  <c r="BG143" i="11"/>
  <c r="BF143" i="11"/>
  <c r="T143" i="11"/>
  <c r="R143" i="11"/>
  <c r="P143" i="11"/>
  <c r="BI140" i="11"/>
  <c r="BH140" i="11"/>
  <c r="BG140" i="11"/>
  <c r="BF140" i="11"/>
  <c r="T140" i="11"/>
  <c r="R140" i="11"/>
  <c r="P140" i="11"/>
  <c r="BI138" i="11"/>
  <c r="BH138" i="11"/>
  <c r="BG138" i="11"/>
  <c r="BF138" i="11"/>
  <c r="T138" i="11"/>
  <c r="R138" i="11"/>
  <c r="P138" i="11"/>
  <c r="BI135" i="11"/>
  <c r="BH135" i="11"/>
  <c r="BG135" i="11"/>
  <c r="BF135" i="11"/>
  <c r="T135" i="11"/>
  <c r="R135" i="11"/>
  <c r="P135" i="11"/>
  <c r="BI134" i="11"/>
  <c r="BH134" i="11"/>
  <c r="BG134" i="11"/>
  <c r="BF134" i="11"/>
  <c r="T134" i="11"/>
  <c r="R134" i="11"/>
  <c r="P134" i="11"/>
  <c r="BI132" i="11"/>
  <c r="BH132" i="11"/>
  <c r="BG132" i="11"/>
  <c r="BF132" i="11"/>
  <c r="T132" i="11"/>
  <c r="R132" i="11"/>
  <c r="P132" i="11"/>
  <c r="BI130" i="11"/>
  <c r="BH130" i="11"/>
  <c r="BG130" i="11"/>
  <c r="BF130" i="11"/>
  <c r="T130" i="11"/>
  <c r="R130" i="11"/>
  <c r="P130" i="11"/>
  <c r="BI127" i="11"/>
  <c r="BH127" i="11"/>
  <c r="BG127" i="11"/>
  <c r="BF127" i="11"/>
  <c r="T127" i="11"/>
  <c r="R127" i="11"/>
  <c r="P127" i="11"/>
  <c r="BI125" i="11"/>
  <c r="BH125" i="11"/>
  <c r="BG125" i="11"/>
  <c r="BF125" i="11"/>
  <c r="T125" i="11"/>
  <c r="R125" i="11"/>
  <c r="P125" i="11"/>
  <c r="BI122" i="11"/>
  <c r="BH122" i="11"/>
  <c r="BG122" i="11"/>
  <c r="BF122" i="11"/>
  <c r="T122" i="11"/>
  <c r="R122" i="11"/>
  <c r="P122" i="11"/>
  <c r="BI119" i="11"/>
  <c r="BH119" i="11"/>
  <c r="BG119" i="11"/>
  <c r="BF119" i="11"/>
  <c r="T119" i="11"/>
  <c r="R119" i="11"/>
  <c r="P119" i="11"/>
  <c r="BI116" i="11"/>
  <c r="BH116" i="11"/>
  <c r="BG116" i="11"/>
  <c r="BF116" i="11"/>
  <c r="T116" i="11"/>
  <c r="R116" i="11"/>
  <c r="P116" i="11"/>
  <c r="BI113" i="11"/>
  <c r="BH113" i="11"/>
  <c r="BG113" i="11"/>
  <c r="BF113" i="11"/>
  <c r="T113" i="11"/>
  <c r="R113" i="11"/>
  <c r="P113" i="11"/>
  <c r="BI110" i="11"/>
  <c r="BH110" i="11"/>
  <c r="BG110" i="11"/>
  <c r="BF110" i="11"/>
  <c r="T110" i="11"/>
  <c r="R110" i="11"/>
  <c r="P110" i="11"/>
  <c r="BI107" i="11"/>
  <c r="BH107" i="11"/>
  <c r="BG107" i="11"/>
  <c r="BF107" i="11"/>
  <c r="T107" i="11"/>
  <c r="R107" i="11"/>
  <c r="P107" i="11"/>
  <c r="BI104" i="11"/>
  <c r="BH104" i="11"/>
  <c r="BG104" i="11"/>
  <c r="BF104" i="11"/>
  <c r="T104" i="11"/>
  <c r="R104" i="11"/>
  <c r="P104" i="11"/>
  <c r="BI101" i="11"/>
  <c r="BH101" i="11"/>
  <c r="BG101" i="11"/>
  <c r="BF101" i="11"/>
  <c r="T101" i="11"/>
  <c r="R101" i="11"/>
  <c r="P101" i="11"/>
  <c r="BI96" i="11"/>
  <c r="BH96" i="11"/>
  <c r="BG96" i="11"/>
  <c r="BF96" i="11"/>
  <c r="T96" i="11"/>
  <c r="R96" i="11"/>
  <c r="P96" i="11"/>
  <c r="BI91" i="11"/>
  <c r="BH91" i="11"/>
  <c r="BG91" i="11"/>
  <c r="BF91" i="11"/>
  <c r="T91" i="11"/>
  <c r="R91" i="11"/>
  <c r="P91" i="11"/>
  <c r="BI89" i="11"/>
  <c r="BH89" i="11"/>
  <c r="BG89" i="11"/>
  <c r="BF89" i="11"/>
  <c r="T89" i="11"/>
  <c r="R89" i="11"/>
  <c r="P89" i="11"/>
  <c r="BI87" i="11"/>
  <c r="BH87" i="11"/>
  <c r="BG87" i="11"/>
  <c r="BF87" i="11"/>
  <c r="T87" i="11"/>
  <c r="R87" i="11"/>
  <c r="P87" i="11"/>
  <c r="F78" i="11"/>
  <c r="E76" i="11"/>
  <c r="F52" i="11"/>
  <c r="E50" i="11"/>
  <c r="J24" i="11"/>
  <c r="E24" i="11"/>
  <c r="J55" i="11"/>
  <c r="J23" i="11"/>
  <c r="J21" i="11"/>
  <c r="E21" i="11"/>
  <c r="J80" i="11" s="1"/>
  <c r="J20" i="11"/>
  <c r="J18" i="11"/>
  <c r="E18" i="11"/>
  <c r="F81" i="11" s="1"/>
  <c r="J17" i="11"/>
  <c r="J15" i="11"/>
  <c r="E15" i="11"/>
  <c r="F80" i="11"/>
  <c r="J14" i="11"/>
  <c r="J12" i="11"/>
  <c r="J52" i="11"/>
  <c r="E7" i="11"/>
  <c r="E74" i="11" s="1"/>
  <c r="J37" i="10"/>
  <c r="J36" i="10"/>
  <c r="AY64" i="1" s="1"/>
  <c r="J35" i="10"/>
  <c r="AX64" i="1"/>
  <c r="BI251" i="10"/>
  <c r="BH251" i="10"/>
  <c r="BG251" i="10"/>
  <c r="BF251" i="10"/>
  <c r="T251" i="10"/>
  <c r="T250" i="10" s="1"/>
  <c r="R251" i="10"/>
  <c r="R250" i="10"/>
  <c r="P251" i="10"/>
  <c r="P250" i="10" s="1"/>
  <c r="BI248" i="10"/>
  <c r="BH248" i="10"/>
  <c r="BG248" i="10"/>
  <c r="BF248" i="10"/>
  <c r="T248" i="10"/>
  <c r="R248" i="10"/>
  <c r="P248" i="10"/>
  <c r="BI246" i="10"/>
  <c r="BH246" i="10"/>
  <c r="BG246" i="10"/>
  <c r="BF246" i="10"/>
  <c r="T246" i="10"/>
  <c r="R246" i="10"/>
  <c r="P246" i="10"/>
  <c r="BI244" i="10"/>
  <c r="BH244" i="10"/>
  <c r="BG244" i="10"/>
  <c r="BF244" i="10"/>
  <c r="T244" i="10"/>
  <c r="R244" i="10"/>
  <c r="P244" i="10"/>
  <c r="BI242" i="10"/>
  <c r="BH242" i="10"/>
  <c r="BG242" i="10"/>
  <c r="BF242" i="10"/>
  <c r="T242" i="10"/>
  <c r="R242" i="10"/>
  <c r="P242" i="10"/>
  <c r="BI240" i="10"/>
  <c r="BH240" i="10"/>
  <c r="BG240" i="10"/>
  <c r="BF240" i="10"/>
  <c r="T240" i="10"/>
  <c r="R240" i="10"/>
  <c r="P240" i="10"/>
  <c r="BI238" i="10"/>
  <c r="BH238" i="10"/>
  <c r="BG238" i="10"/>
  <c r="BF238" i="10"/>
  <c r="T238" i="10"/>
  <c r="R238" i="10"/>
  <c r="P238" i="10"/>
  <c r="BI237" i="10"/>
  <c r="BH237" i="10"/>
  <c r="BG237" i="10"/>
  <c r="BF237" i="10"/>
  <c r="T237" i="10"/>
  <c r="R237" i="10"/>
  <c r="P237" i="10"/>
  <c r="BI235" i="10"/>
  <c r="BH235" i="10"/>
  <c r="BG235" i="10"/>
  <c r="BF235" i="10"/>
  <c r="T235" i="10"/>
  <c r="R235" i="10"/>
  <c r="P235" i="10"/>
  <c r="BI234" i="10"/>
  <c r="BH234" i="10"/>
  <c r="BG234" i="10"/>
  <c r="BF234" i="10"/>
  <c r="T234" i="10"/>
  <c r="R234" i="10"/>
  <c r="P234" i="10"/>
  <c r="BI233" i="10"/>
  <c r="BH233" i="10"/>
  <c r="BG233" i="10"/>
  <c r="BF233" i="10"/>
  <c r="T233" i="10"/>
  <c r="R233" i="10"/>
  <c r="P233" i="10"/>
  <c r="BI231" i="10"/>
  <c r="BH231" i="10"/>
  <c r="BG231" i="10"/>
  <c r="BF231" i="10"/>
  <c r="T231" i="10"/>
  <c r="R231" i="10"/>
  <c r="P231" i="10"/>
  <c r="BI230" i="10"/>
  <c r="BH230" i="10"/>
  <c r="BG230" i="10"/>
  <c r="BF230" i="10"/>
  <c r="T230" i="10"/>
  <c r="R230" i="10"/>
  <c r="P230" i="10"/>
  <c r="BI228" i="10"/>
  <c r="BH228" i="10"/>
  <c r="BG228" i="10"/>
  <c r="BF228" i="10"/>
  <c r="T228" i="10"/>
  <c r="R228" i="10"/>
  <c r="P228" i="10"/>
  <c r="BI226" i="10"/>
  <c r="BH226" i="10"/>
  <c r="BG226" i="10"/>
  <c r="BF226" i="10"/>
  <c r="T226" i="10"/>
  <c r="R226" i="10"/>
  <c r="P226" i="10"/>
  <c r="BI225" i="10"/>
  <c r="BH225" i="10"/>
  <c r="BG225" i="10"/>
  <c r="BF225" i="10"/>
  <c r="T225" i="10"/>
  <c r="R225" i="10"/>
  <c r="P225" i="10"/>
  <c r="BI224" i="10"/>
  <c r="BH224" i="10"/>
  <c r="BG224" i="10"/>
  <c r="BF224" i="10"/>
  <c r="T224" i="10"/>
  <c r="R224" i="10"/>
  <c r="P224" i="10"/>
  <c r="BI223" i="10"/>
  <c r="BH223" i="10"/>
  <c r="BG223" i="10"/>
  <c r="BF223" i="10"/>
  <c r="T223" i="10"/>
  <c r="R223" i="10"/>
  <c r="P223" i="10"/>
  <c r="BI222" i="10"/>
  <c r="BH222" i="10"/>
  <c r="BG222" i="10"/>
  <c r="BF222" i="10"/>
  <c r="T222" i="10"/>
  <c r="R222" i="10"/>
  <c r="P222" i="10"/>
  <c r="BI220" i="10"/>
  <c r="BH220" i="10"/>
  <c r="BG220" i="10"/>
  <c r="BF220" i="10"/>
  <c r="T220" i="10"/>
  <c r="R220" i="10"/>
  <c r="P220" i="10"/>
  <c r="BI218" i="10"/>
  <c r="BH218" i="10"/>
  <c r="BG218" i="10"/>
  <c r="BF218" i="10"/>
  <c r="T218" i="10"/>
  <c r="R218" i="10"/>
  <c r="P218" i="10"/>
  <c r="BI216" i="10"/>
  <c r="BH216" i="10"/>
  <c r="BG216" i="10"/>
  <c r="BF216" i="10"/>
  <c r="T216" i="10"/>
  <c r="R216" i="10"/>
  <c r="P216" i="10"/>
  <c r="BI214" i="10"/>
  <c r="BH214" i="10"/>
  <c r="BG214" i="10"/>
  <c r="BF214" i="10"/>
  <c r="T214" i="10"/>
  <c r="R214" i="10"/>
  <c r="P214" i="10"/>
  <c r="BI210" i="10"/>
  <c r="BH210" i="10"/>
  <c r="BG210" i="10"/>
  <c r="BF210" i="10"/>
  <c r="T210" i="10"/>
  <c r="R210" i="10"/>
  <c r="P210" i="10"/>
  <c r="BI208" i="10"/>
  <c r="BH208" i="10"/>
  <c r="BG208" i="10"/>
  <c r="BF208" i="10"/>
  <c r="T208" i="10"/>
  <c r="R208" i="10"/>
  <c r="P208" i="10"/>
  <c r="BI205" i="10"/>
  <c r="BH205" i="10"/>
  <c r="BG205" i="10"/>
  <c r="BF205" i="10"/>
  <c r="T205" i="10"/>
  <c r="R205" i="10"/>
  <c r="P205" i="10"/>
  <c r="BI200" i="10"/>
  <c r="BH200" i="10"/>
  <c r="BG200" i="10"/>
  <c r="BF200" i="10"/>
  <c r="T200" i="10"/>
  <c r="R200" i="10"/>
  <c r="P200" i="10"/>
  <c r="BI197" i="10"/>
  <c r="BH197" i="10"/>
  <c r="BG197" i="10"/>
  <c r="BF197" i="10"/>
  <c r="T197" i="10"/>
  <c r="R197" i="10"/>
  <c r="P197" i="10"/>
  <c r="BI186" i="10"/>
  <c r="BH186" i="10"/>
  <c r="BG186" i="10"/>
  <c r="BF186" i="10"/>
  <c r="T186" i="10"/>
  <c r="R186" i="10"/>
  <c r="P186" i="10"/>
  <c r="BI173" i="10"/>
  <c r="BH173" i="10"/>
  <c r="BG173" i="10"/>
  <c r="BF173" i="10"/>
  <c r="T173" i="10"/>
  <c r="R173" i="10"/>
  <c r="P173" i="10"/>
  <c r="BI166" i="10"/>
  <c r="BH166" i="10"/>
  <c r="BG166" i="10"/>
  <c r="BF166" i="10"/>
  <c r="T166" i="10"/>
  <c r="R166" i="10"/>
  <c r="P166" i="10"/>
  <c r="BI164" i="10"/>
  <c r="BH164" i="10"/>
  <c r="BG164" i="10"/>
  <c r="BF164" i="10"/>
  <c r="T164" i="10"/>
  <c r="R164" i="10"/>
  <c r="P164" i="10"/>
  <c r="BI162" i="10"/>
  <c r="BH162" i="10"/>
  <c r="BG162" i="10"/>
  <c r="BF162" i="10"/>
  <c r="T162" i="10"/>
  <c r="R162" i="10"/>
  <c r="P162" i="10"/>
  <c r="BI153" i="10"/>
  <c r="BH153" i="10"/>
  <c r="BG153" i="10"/>
  <c r="BF153" i="10"/>
  <c r="T153" i="10"/>
  <c r="R153" i="10"/>
  <c r="P153" i="10"/>
  <c r="BI151" i="10"/>
  <c r="BH151" i="10"/>
  <c r="BG151" i="10"/>
  <c r="BF151" i="10"/>
  <c r="T151" i="10"/>
  <c r="R151" i="10"/>
  <c r="P151" i="10"/>
  <c r="BI138" i="10"/>
  <c r="BH138" i="10"/>
  <c r="BG138" i="10"/>
  <c r="BF138" i="10"/>
  <c r="T138" i="10"/>
  <c r="R138" i="10"/>
  <c r="P138" i="10"/>
  <c r="BI125" i="10"/>
  <c r="BH125" i="10"/>
  <c r="BG125" i="10"/>
  <c r="BF125" i="10"/>
  <c r="T125" i="10"/>
  <c r="R125" i="10"/>
  <c r="P125" i="10"/>
  <c r="BI122" i="10"/>
  <c r="BH122" i="10"/>
  <c r="BG122" i="10"/>
  <c r="BF122" i="10"/>
  <c r="T122" i="10"/>
  <c r="R122" i="10"/>
  <c r="P122" i="10"/>
  <c r="BI119" i="10"/>
  <c r="BH119" i="10"/>
  <c r="BG119" i="10"/>
  <c r="BF119" i="10"/>
  <c r="T119" i="10"/>
  <c r="R119" i="10"/>
  <c r="P119" i="10"/>
  <c r="BI116" i="10"/>
  <c r="BH116" i="10"/>
  <c r="BG116" i="10"/>
  <c r="F35" i="10" s="1"/>
  <c r="BF116" i="10"/>
  <c r="T116" i="10"/>
  <c r="R116" i="10"/>
  <c r="P116" i="10"/>
  <c r="BI109" i="10"/>
  <c r="BH109" i="10"/>
  <c r="BG109" i="10"/>
  <c r="BF109" i="10"/>
  <c r="T109" i="10"/>
  <c r="R109" i="10"/>
  <c r="P109" i="10"/>
  <c r="BI96" i="10"/>
  <c r="BH96" i="10"/>
  <c r="BG96" i="10"/>
  <c r="BF96" i="10"/>
  <c r="T96" i="10"/>
  <c r="R96" i="10"/>
  <c r="P96" i="10"/>
  <c r="BI87" i="10"/>
  <c r="BH87" i="10"/>
  <c r="BG87" i="10"/>
  <c r="BF87" i="10"/>
  <c r="T87" i="10"/>
  <c r="R87" i="10"/>
  <c r="P87" i="10"/>
  <c r="F78" i="10"/>
  <c r="E76" i="10"/>
  <c r="F52" i="10"/>
  <c r="E50" i="10"/>
  <c r="J24" i="10"/>
  <c r="E24" i="10"/>
  <c r="J81" i="10" s="1"/>
  <c r="J23" i="10"/>
  <c r="J21" i="10"/>
  <c r="E21" i="10"/>
  <c r="J54" i="10"/>
  <c r="J20" i="10"/>
  <c r="J18" i="10"/>
  <c r="E18" i="10"/>
  <c r="F81" i="10" s="1"/>
  <c r="J17" i="10"/>
  <c r="J15" i="10"/>
  <c r="E15" i="10"/>
  <c r="F80" i="10" s="1"/>
  <c r="J14" i="10"/>
  <c r="J12" i="10"/>
  <c r="J52" i="10" s="1"/>
  <c r="E7" i="10"/>
  <c r="E74" i="10" s="1"/>
  <c r="J39" i="9"/>
  <c r="J38" i="9"/>
  <c r="AY63" i="1" s="1"/>
  <c r="J37" i="9"/>
  <c r="AX63" i="1"/>
  <c r="BI378" i="9"/>
  <c r="BH378" i="9"/>
  <c r="BG378" i="9"/>
  <c r="BF378" i="9"/>
  <c r="T378" i="9"/>
  <c r="T377" i="9"/>
  <c r="T376" i="9" s="1"/>
  <c r="R378" i="9"/>
  <c r="R377" i="9" s="1"/>
  <c r="R376" i="9" s="1"/>
  <c r="P378" i="9"/>
  <c r="P377" i="9"/>
  <c r="P376" i="9" s="1"/>
  <c r="BI374" i="9"/>
  <c r="BH374" i="9"/>
  <c r="BG374" i="9"/>
  <c r="BF374" i="9"/>
  <c r="T374" i="9"/>
  <c r="R374" i="9"/>
  <c r="P374" i="9"/>
  <c r="BI372" i="9"/>
  <c r="BH372" i="9"/>
  <c r="BG372" i="9"/>
  <c r="BF372" i="9"/>
  <c r="T372" i="9"/>
  <c r="R372" i="9"/>
  <c r="P372" i="9"/>
  <c r="BI366" i="9"/>
  <c r="BH366" i="9"/>
  <c r="BG366" i="9"/>
  <c r="BF366" i="9"/>
  <c r="T366" i="9"/>
  <c r="R366" i="9"/>
  <c r="P366" i="9"/>
  <c r="BI361" i="9"/>
  <c r="BH361" i="9"/>
  <c r="BG361" i="9"/>
  <c r="BF361" i="9"/>
  <c r="T361" i="9"/>
  <c r="R361" i="9"/>
  <c r="P361" i="9"/>
  <c r="BI356" i="9"/>
  <c r="BH356" i="9"/>
  <c r="BG356" i="9"/>
  <c r="BF356" i="9"/>
  <c r="T356" i="9"/>
  <c r="R356" i="9"/>
  <c r="P356" i="9"/>
  <c r="BI351" i="9"/>
  <c r="BH351" i="9"/>
  <c r="BG351" i="9"/>
  <c r="BF351" i="9"/>
  <c r="T351" i="9"/>
  <c r="R351" i="9"/>
  <c r="P351" i="9"/>
  <c r="BI346" i="9"/>
  <c r="BH346" i="9"/>
  <c r="BG346" i="9"/>
  <c r="BF346" i="9"/>
  <c r="T346" i="9"/>
  <c r="R346" i="9"/>
  <c r="P346" i="9"/>
  <c r="BI341" i="9"/>
  <c r="BH341" i="9"/>
  <c r="BG341" i="9"/>
  <c r="BF341" i="9"/>
  <c r="T341" i="9"/>
  <c r="R341" i="9"/>
  <c r="P341" i="9"/>
  <c r="BI337" i="9"/>
  <c r="BH337" i="9"/>
  <c r="BG337" i="9"/>
  <c r="BF337" i="9"/>
  <c r="T337" i="9"/>
  <c r="R337" i="9"/>
  <c r="P337" i="9"/>
  <c r="BI332" i="9"/>
  <c r="BH332" i="9"/>
  <c r="BG332" i="9"/>
  <c r="BF332" i="9"/>
  <c r="T332" i="9"/>
  <c r="R332" i="9"/>
  <c r="P332" i="9"/>
  <c r="BI328" i="9"/>
  <c r="BH328" i="9"/>
  <c r="BG328" i="9"/>
  <c r="BF328" i="9"/>
  <c r="T328" i="9"/>
  <c r="R328" i="9"/>
  <c r="P328" i="9"/>
  <c r="BI323" i="9"/>
  <c r="BH323" i="9"/>
  <c r="BG323" i="9"/>
  <c r="BF323" i="9"/>
  <c r="T323" i="9"/>
  <c r="R323" i="9"/>
  <c r="P323" i="9"/>
  <c r="BI318" i="9"/>
  <c r="BH318" i="9"/>
  <c r="BG318" i="9"/>
  <c r="BF318" i="9"/>
  <c r="T318" i="9"/>
  <c r="R318" i="9"/>
  <c r="P318" i="9"/>
  <c r="BI316" i="9"/>
  <c r="BH316" i="9"/>
  <c r="BG316" i="9"/>
  <c r="BF316" i="9"/>
  <c r="T316" i="9"/>
  <c r="R316" i="9"/>
  <c r="P316" i="9"/>
  <c r="BI312" i="9"/>
  <c r="BH312" i="9"/>
  <c r="BG312" i="9"/>
  <c r="BF312" i="9"/>
  <c r="T312" i="9"/>
  <c r="R312" i="9"/>
  <c r="P312" i="9"/>
  <c r="BI308" i="9"/>
  <c r="BH308" i="9"/>
  <c r="BG308" i="9"/>
  <c r="BF308" i="9"/>
  <c r="T308" i="9"/>
  <c r="R308" i="9"/>
  <c r="P308" i="9"/>
  <c r="BI303" i="9"/>
  <c r="BH303" i="9"/>
  <c r="BG303" i="9"/>
  <c r="BF303" i="9"/>
  <c r="T303" i="9"/>
  <c r="R303" i="9"/>
  <c r="P303" i="9"/>
  <c r="BI299" i="9"/>
  <c r="BH299" i="9"/>
  <c r="BG299" i="9"/>
  <c r="BF299" i="9"/>
  <c r="T299" i="9"/>
  <c r="R299" i="9"/>
  <c r="P299" i="9"/>
  <c r="BI295" i="9"/>
  <c r="BH295" i="9"/>
  <c r="BG295" i="9"/>
  <c r="BF295" i="9"/>
  <c r="T295" i="9"/>
  <c r="R295" i="9"/>
  <c r="P295" i="9"/>
  <c r="BI291" i="9"/>
  <c r="BH291" i="9"/>
  <c r="BG291" i="9"/>
  <c r="BF291" i="9"/>
  <c r="T291" i="9"/>
  <c r="R291" i="9"/>
  <c r="P291" i="9"/>
  <c r="BI287" i="9"/>
  <c r="BH287" i="9"/>
  <c r="BG287" i="9"/>
  <c r="BF287" i="9"/>
  <c r="T287" i="9"/>
  <c r="R287" i="9"/>
  <c r="P287" i="9"/>
  <c r="BI282" i="9"/>
  <c r="BH282" i="9"/>
  <c r="BG282" i="9"/>
  <c r="BF282" i="9"/>
  <c r="T282" i="9"/>
  <c r="R282" i="9"/>
  <c r="P282" i="9"/>
  <c r="BI277" i="9"/>
  <c r="BH277" i="9"/>
  <c r="BG277" i="9"/>
  <c r="BF277" i="9"/>
  <c r="T277" i="9"/>
  <c r="R277" i="9"/>
  <c r="P277" i="9"/>
  <c r="BI272" i="9"/>
  <c r="BH272" i="9"/>
  <c r="BG272" i="9"/>
  <c r="BF272" i="9"/>
  <c r="T272" i="9"/>
  <c r="R272" i="9"/>
  <c r="P272" i="9"/>
  <c r="BI267" i="9"/>
  <c r="BH267" i="9"/>
  <c r="BG267" i="9"/>
  <c r="BF267" i="9"/>
  <c r="T267" i="9"/>
  <c r="R267" i="9"/>
  <c r="P267" i="9"/>
  <c r="BI262" i="9"/>
  <c r="BH262" i="9"/>
  <c r="BG262" i="9"/>
  <c r="BF262" i="9"/>
  <c r="T262" i="9"/>
  <c r="R262" i="9"/>
  <c r="P262" i="9"/>
  <c r="BI257" i="9"/>
  <c r="BH257" i="9"/>
  <c r="BG257" i="9"/>
  <c r="BF257" i="9"/>
  <c r="T257" i="9"/>
  <c r="R257" i="9"/>
  <c r="P257" i="9"/>
  <c r="BI252" i="9"/>
  <c r="BH252" i="9"/>
  <c r="BG252" i="9"/>
  <c r="BF252" i="9"/>
  <c r="T252" i="9"/>
  <c r="R252" i="9"/>
  <c r="P252" i="9"/>
  <c r="BI247" i="9"/>
  <c r="BH247" i="9"/>
  <c r="BG247" i="9"/>
  <c r="BF247" i="9"/>
  <c r="T247" i="9"/>
  <c r="R247" i="9"/>
  <c r="P247" i="9"/>
  <c r="BI241" i="9"/>
  <c r="BH241" i="9"/>
  <c r="BG241" i="9"/>
  <c r="BF241" i="9"/>
  <c r="T241" i="9"/>
  <c r="T240" i="9"/>
  <c r="R241" i="9"/>
  <c r="R240" i="9"/>
  <c r="P241" i="9"/>
  <c r="P240" i="9" s="1"/>
  <c r="BI235" i="9"/>
  <c r="BH235" i="9"/>
  <c r="BG235" i="9"/>
  <c r="BF235" i="9"/>
  <c r="T235" i="9"/>
  <c r="R235" i="9"/>
  <c r="P235" i="9"/>
  <c r="BI230" i="9"/>
  <c r="BH230" i="9"/>
  <c r="BG230" i="9"/>
  <c r="BF230" i="9"/>
  <c r="T230" i="9"/>
  <c r="R230" i="9"/>
  <c r="P230" i="9"/>
  <c r="BI225" i="9"/>
  <c r="BH225" i="9"/>
  <c r="BG225" i="9"/>
  <c r="BF225" i="9"/>
  <c r="T225" i="9"/>
  <c r="R225" i="9"/>
  <c r="P225" i="9"/>
  <c r="BI220" i="9"/>
  <c r="BH220" i="9"/>
  <c r="BG220" i="9"/>
  <c r="BF220" i="9"/>
  <c r="T220" i="9"/>
  <c r="R220" i="9"/>
  <c r="P220" i="9"/>
  <c r="BI216" i="9"/>
  <c r="BH216" i="9"/>
  <c r="BG216" i="9"/>
  <c r="BF216" i="9"/>
  <c r="T216" i="9"/>
  <c r="R216" i="9"/>
  <c r="P216" i="9"/>
  <c r="BI211" i="9"/>
  <c r="BH211" i="9"/>
  <c r="BG211" i="9"/>
  <c r="BF211" i="9"/>
  <c r="T211" i="9"/>
  <c r="R211" i="9"/>
  <c r="P211" i="9"/>
  <c r="BI207" i="9"/>
  <c r="BH207" i="9"/>
  <c r="BG207" i="9"/>
  <c r="BF207" i="9"/>
  <c r="T207" i="9"/>
  <c r="R207" i="9"/>
  <c r="P207" i="9"/>
  <c r="BI202" i="9"/>
  <c r="BH202" i="9"/>
  <c r="BG202" i="9"/>
  <c r="BF202" i="9"/>
  <c r="T202" i="9"/>
  <c r="R202" i="9"/>
  <c r="P202" i="9"/>
  <c r="BI197" i="9"/>
  <c r="BH197" i="9"/>
  <c r="BG197" i="9"/>
  <c r="BF197" i="9"/>
  <c r="T197" i="9"/>
  <c r="R197" i="9"/>
  <c r="P197" i="9"/>
  <c r="BI192" i="9"/>
  <c r="BH192" i="9"/>
  <c r="BG192" i="9"/>
  <c r="BF192" i="9"/>
  <c r="T192" i="9"/>
  <c r="R192" i="9"/>
  <c r="P192" i="9"/>
  <c r="BI187" i="9"/>
  <c r="BH187" i="9"/>
  <c r="BG187" i="9"/>
  <c r="BF187" i="9"/>
  <c r="T187" i="9"/>
  <c r="R187" i="9"/>
  <c r="P187" i="9"/>
  <c r="BI182" i="9"/>
  <c r="BH182" i="9"/>
  <c r="BG182" i="9"/>
  <c r="BF182" i="9"/>
  <c r="T182" i="9"/>
  <c r="R182" i="9"/>
  <c r="P182" i="9"/>
  <c r="BI177" i="9"/>
  <c r="BH177" i="9"/>
  <c r="BG177" i="9"/>
  <c r="BF177" i="9"/>
  <c r="T177" i="9"/>
  <c r="R177" i="9"/>
  <c r="P177" i="9"/>
  <c r="BI172" i="9"/>
  <c r="BH172" i="9"/>
  <c r="BG172" i="9"/>
  <c r="BF172" i="9"/>
  <c r="T172" i="9"/>
  <c r="R172" i="9"/>
  <c r="P172" i="9"/>
  <c r="BI167" i="9"/>
  <c r="BH167" i="9"/>
  <c r="BG167" i="9"/>
  <c r="BF167" i="9"/>
  <c r="T167" i="9"/>
  <c r="R167" i="9"/>
  <c r="P167" i="9"/>
  <c r="BI162" i="9"/>
  <c r="BH162" i="9"/>
  <c r="BG162" i="9"/>
  <c r="BF162" i="9"/>
  <c r="T162" i="9"/>
  <c r="R162" i="9"/>
  <c r="P162" i="9"/>
  <c r="BI157" i="9"/>
  <c r="BH157" i="9"/>
  <c r="BG157" i="9"/>
  <c r="BF157" i="9"/>
  <c r="T157" i="9"/>
  <c r="R157" i="9"/>
  <c r="P157" i="9"/>
  <c r="BI152" i="9"/>
  <c r="BH152" i="9"/>
  <c r="BG152" i="9"/>
  <c r="BF152" i="9"/>
  <c r="T152" i="9"/>
  <c r="R152" i="9"/>
  <c r="P152" i="9"/>
  <c r="BI147" i="9"/>
  <c r="BH147" i="9"/>
  <c r="BG147" i="9"/>
  <c r="BF147" i="9"/>
  <c r="T147" i="9"/>
  <c r="R147" i="9"/>
  <c r="P147" i="9"/>
  <c r="BI142" i="9"/>
  <c r="BH142" i="9"/>
  <c r="BG142" i="9"/>
  <c r="BF142" i="9"/>
  <c r="T142" i="9"/>
  <c r="R142" i="9"/>
  <c r="P142" i="9"/>
  <c r="BI137" i="9"/>
  <c r="BH137" i="9"/>
  <c r="BG137" i="9"/>
  <c r="BF137" i="9"/>
  <c r="T137" i="9"/>
  <c r="R137" i="9"/>
  <c r="P137" i="9"/>
  <c r="BI132" i="9"/>
  <c r="BH132" i="9"/>
  <c r="BG132" i="9"/>
  <c r="BF132" i="9"/>
  <c r="T132" i="9"/>
  <c r="R132" i="9"/>
  <c r="P132" i="9"/>
  <c r="BI127" i="9"/>
  <c r="BH127" i="9"/>
  <c r="BG127" i="9"/>
  <c r="BF127" i="9"/>
  <c r="T127" i="9"/>
  <c r="R127" i="9"/>
  <c r="P127" i="9"/>
  <c r="BI122" i="9"/>
  <c r="BH122" i="9"/>
  <c r="BG122" i="9"/>
  <c r="BF122" i="9"/>
  <c r="T122" i="9"/>
  <c r="R122" i="9"/>
  <c r="P122" i="9"/>
  <c r="BI117" i="9"/>
  <c r="BH117" i="9"/>
  <c r="BG117" i="9"/>
  <c r="BF117" i="9"/>
  <c r="T117" i="9"/>
  <c r="R117" i="9"/>
  <c r="P117" i="9"/>
  <c r="BI112" i="9"/>
  <c r="BH112" i="9"/>
  <c r="BG112" i="9"/>
  <c r="BF112" i="9"/>
  <c r="T112" i="9"/>
  <c r="R112" i="9"/>
  <c r="P112" i="9"/>
  <c r="BI107" i="9"/>
  <c r="BH107" i="9"/>
  <c r="BG107" i="9"/>
  <c r="BF107" i="9"/>
  <c r="T107" i="9"/>
  <c r="R107" i="9"/>
  <c r="P107" i="9"/>
  <c r="BI102" i="9"/>
  <c r="BH102" i="9"/>
  <c r="BG102" i="9"/>
  <c r="BF102" i="9"/>
  <c r="T102" i="9"/>
  <c r="R102" i="9"/>
  <c r="P102" i="9"/>
  <c r="BI97" i="9"/>
  <c r="BH97" i="9"/>
  <c r="BG97" i="9"/>
  <c r="BF97" i="9"/>
  <c r="T97" i="9"/>
  <c r="R97" i="9"/>
  <c r="P97" i="9"/>
  <c r="J91" i="9"/>
  <c r="J90" i="9"/>
  <c r="F90" i="9"/>
  <c r="F88" i="9"/>
  <c r="E86" i="9"/>
  <c r="J59" i="9"/>
  <c r="J58" i="9"/>
  <c r="F58" i="9"/>
  <c r="F56" i="9"/>
  <c r="E54" i="9"/>
  <c r="J20" i="9"/>
  <c r="E20" i="9"/>
  <c r="F91" i="9" s="1"/>
  <c r="J19" i="9"/>
  <c r="J14" i="9"/>
  <c r="J88" i="9" s="1"/>
  <c r="E7" i="9"/>
  <c r="E50" i="9"/>
  <c r="J39" i="8"/>
  <c r="J38" i="8"/>
  <c r="AY62" i="1"/>
  <c r="J37" i="8"/>
  <c r="AX62" i="1"/>
  <c r="BI266" i="8"/>
  <c r="BH266" i="8"/>
  <c r="BG266" i="8"/>
  <c r="BF266" i="8"/>
  <c r="T266" i="8"/>
  <c r="R266" i="8"/>
  <c r="P266" i="8"/>
  <c r="BI264" i="8"/>
  <c r="BH264" i="8"/>
  <c r="BG264" i="8"/>
  <c r="BF264" i="8"/>
  <c r="T264" i="8"/>
  <c r="R264" i="8"/>
  <c r="P264" i="8"/>
  <c r="BI258" i="8"/>
  <c r="BH258" i="8"/>
  <c r="BG258" i="8"/>
  <c r="BF258" i="8"/>
  <c r="T258" i="8"/>
  <c r="R258" i="8"/>
  <c r="P258" i="8"/>
  <c r="BI253" i="8"/>
  <c r="BH253" i="8"/>
  <c r="BG253" i="8"/>
  <c r="BF253" i="8"/>
  <c r="T253" i="8"/>
  <c r="R253" i="8"/>
  <c r="P253" i="8"/>
  <c r="BI248" i="8"/>
  <c r="BH248" i="8"/>
  <c r="BG248" i="8"/>
  <c r="BF248" i="8"/>
  <c r="T248" i="8"/>
  <c r="R248" i="8"/>
  <c r="P248" i="8"/>
  <c r="BI243" i="8"/>
  <c r="BH243" i="8"/>
  <c r="BG243" i="8"/>
  <c r="BF243" i="8"/>
  <c r="T243" i="8"/>
  <c r="R243" i="8"/>
  <c r="P243" i="8"/>
  <c r="BI238" i="8"/>
  <c r="BH238" i="8"/>
  <c r="BG238" i="8"/>
  <c r="BF238" i="8"/>
  <c r="T238" i="8"/>
  <c r="R238" i="8"/>
  <c r="P238" i="8"/>
  <c r="BI233" i="8"/>
  <c r="BH233" i="8"/>
  <c r="BG233" i="8"/>
  <c r="BF233" i="8"/>
  <c r="T233" i="8"/>
  <c r="R233" i="8"/>
  <c r="P233" i="8"/>
  <c r="BI228" i="8"/>
  <c r="BH228" i="8"/>
  <c r="BG228" i="8"/>
  <c r="BF228" i="8"/>
  <c r="T228" i="8"/>
  <c r="R228" i="8"/>
  <c r="P228" i="8"/>
  <c r="BI223" i="8"/>
  <c r="BH223" i="8"/>
  <c r="BG223" i="8"/>
  <c r="BF223" i="8"/>
  <c r="T223" i="8"/>
  <c r="R223" i="8"/>
  <c r="P223" i="8"/>
  <c r="BI218" i="8"/>
  <c r="BH218" i="8"/>
  <c r="BG218" i="8"/>
  <c r="BF218" i="8"/>
  <c r="T218" i="8"/>
  <c r="R218" i="8"/>
  <c r="P218" i="8"/>
  <c r="BI213" i="8"/>
  <c r="BH213" i="8"/>
  <c r="BG213" i="8"/>
  <c r="BF213" i="8"/>
  <c r="T213" i="8"/>
  <c r="R213" i="8"/>
  <c r="P213" i="8"/>
  <c r="BI208" i="8"/>
  <c r="BH208" i="8"/>
  <c r="BG208" i="8"/>
  <c r="BF208" i="8"/>
  <c r="T208" i="8"/>
  <c r="R208" i="8"/>
  <c r="P208" i="8"/>
  <c r="BI203" i="8"/>
  <c r="BH203" i="8"/>
  <c r="BG203" i="8"/>
  <c r="BF203" i="8"/>
  <c r="T203" i="8"/>
  <c r="R203" i="8"/>
  <c r="P203" i="8"/>
  <c r="BI198" i="8"/>
  <c r="BH198" i="8"/>
  <c r="BG198" i="8"/>
  <c r="BF198" i="8"/>
  <c r="T198" i="8"/>
  <c r="R198" i="8"/>
  <c r="P198" i="8"/>
  <c r="BI193" i="8"/>
  <c r="BH193" i="8"/>
  <c r="BG193" i="8"/>
  <c r="BF193" i="8"/>
  <c r="T193" i="8"/>
  <c r="R193" i="8"/>
  <c r="P193" i="8"/>
  <c r="BI189" i="8"/>
  <c r="BH189" i="8"/>
  <c r="BG189" i="8"/>
  <c r="BF189" i="8"/>
  <c r="T189" i="8"/>
  <c r="R189" i="8"/>
  <c r="P189" i="8"/>
  <c r="BI184" i="8"/>
  <c r="BH184" i="8"/>
  <c r="BG184" i="8"/>
  <c r="BF184" i="8"/>
  <c r="T184" i="8"/>
  <c r="R184" i="8"/>
  <c r="P184" i="8"/>
  <c r="BI179" i="8"/>
  <c r="BH179" i="8"/>
  <c r="BG179" i="8"/>
  <c r="BF179" i="8"/>
  <c r="T179" i="8"/>
  <c r="R179" i="8"/>
  <c r="P179" i="8"/>
  <c r="BI173" i="8"/>
  <c r="BH173" i="8"/>
  <c r="BG173" i="8"/>
  <c r="BF173" i="8"/>
  <c r="T173" i="8"/>
  <c r="R173" i="8"/>
  <c r="P173" i="8"/>
  <c r="BI168" i="8"/>
  <c r="BH168" i="8"/>
  <c r="BG168" i="8"/>
  <c r="BF168" i="8"/>
  <c r="T168" i="8"/>
  <c r="R168" i="8"/>
  <c r="P168" i="8"/>
  <c r="BI163" i="8"/>
  <c r="BH163" i="8"/>
  <c r="BG163" i="8"/>
  <c r="BF163" i="8"/>
  <c r="T163" i="8"/>
  <c r="R163" i="8"/>
  <c r="P163" i="8"/>
  <c r="BI158" i="8"/>
  <c r="BH158" i="8"/>
  <c r="BG158" i="8"/>
  <c r="BF158" i="8"/>
  <c r="T158" i="8"/>
  <c r="R158" i="8"/>
  <c r="P158" i="8"/>
  <c r="BI153" i="8"/>
  <c r="BH153" i="8"/>
  <c r="BG153" i="8"/>
  <c r="BF153" i="8"/>
  <c r="T153" i="8"/>
  <c r="R153" i="8"/>
  <c r="P153" i="8"/>
  <c r="BI148" i="8"/>
  <c r="BH148" i="8"/>
  <c r="BG148" i="8"/>
  <c r="BF148" i="8"/>
  <c r="T148" i="8"/>
  <c r="R148" i="8"/>
  <c r="P148" i="8"/>
  <c r="BI143" i="8"/>
  <c r="BH143" i="8"/>
  <c r="BG143" i="8"/>
  <c r="BF143" i="8"/>
  <c r="T143" i="8"/>
  <c r="R143" i="8"/>
  <c r="P143" i="8"/>
  <c r="BI138" i="8"/>
  <c r="BH138" i="8"/>
  <c r="BG138" i="8"/>
  <c r="BF138" i="8"/>
  <c r="T138" i="8"/>
  <c r="R138" i="8"/>
  <c r="P138" i="8"/>
  <c r="BI133" i="8"/>
  <c r="BH133" i="8"/>
  <c r="BG133" i="8"/>
  <c r="BF133" i="8"/>
  <c r="T133" i="8"/>
  <c r="R133" i="8"/>
  <c r="P133" i="8"/>
  <c r="BI128" i="8"/>
  <c r="BH128" i="8"/>
  <c r="BG128" i="8"/>
  <c r="BF128" i="8"/>
  <c r="T128" i="8"/>
  <c r="R128" i="8"/>
  <c r="P128" i="8"/>
  <c r="BI123" i="8"/>
  <c r="BH123" i="8"/>
  <c r="BG123" i="8"/>
  <c r="BF123" i="8"/>
  <c r="T123" i="8"/>
  <c r="R123" i="8"/>
  <c r="P123" i="8"/>
  <c r="BI118" i="8"/>
  <c r="BH118" i="8"/>
  <c r="BG118" i="8"/>
  <c r="BF118" i="8"/>
  <c r="T118" i="8"/>
  <c r="R118" i="8"/>
  <c r="P118" i="8"/>
  <c r="BI113" i="8"/>
  <c r="BH113" i="8"/>
  <c r="BG113" i="8"/>
  <c r="BF113" i="8"/>
  <c r="T113" i="8"/>
  <c r="R113" i="8"/>
  <c r="P113" i="8"/>
  <c r="BI108" i="8"/>
  <c r="BH108" i="8"/>
  <c r="BG108" i="8"/>
  <c r="BF108" i="8"/>
  <c r="T108" i="8"/>
  <c r="R108" i="8"/>
  <c r="P108" i="8"/>
  <c r="BI103" i="8"/>
  <c r="BH103" i="8"/>
  <c r="BG103" i="8"/>
  <c r="BF103" i="8"/>
  <c r="T103" i="8"/>
  <c r="R103" i="8"/>
  <c r="P103" i="8"/>
  <c r="BI98" i="8"/>
  <c r="BH98" i="8"/>
  <c r="BG98" i="8"/>
  <c r="BF98" i="8"/>
  <c r="T98" i="8"/>
  <c r="R98" i="8"/>
  <c r="P98" i="8"/>
  <c r="BI93" i="8"/>
  <c r="BH93" i="8"/>
  <c r="BG93" i="8"/>
  <c r="BF93" i="8"/>
  <c r="T93" i="8"/>
  <c r="R93" i="8"/>
  <c r="P93" i="8"/>
  <c r="J87" i="8"/>
  <c r="J86" i="8"/>
  <c r="F86" i="8"/>
  <c r="F84" i="8"/>
  <c r="E82" i="8"/>
  <c r="J59" i="8"/>
  <c r="J58" i="8"/>
  <c r="F58" i="8"/>
  <c r="F56" i="8"/>
  <c r="E54" i="8"/>
  <c r="J20" i="8"/>
  <c r="E20" i="8"/>
  <c r="F59" i="8" s="1"/>
  <c r="J19" i="8"/>
  <c r="J14" i="8"/>
  <c r="J84" i="8" s="1"/>
  <c r="E7" i="8"/>
  <c r="E78" i="8" s="1"/>
  <c r="J37" i="7"/>
  <c r="J36" i="7"/>
  <c r="AY60" i="1" s="1"/>
  <c r="J35" i="7"/>
  <c r="AX60" i="1" s="1"/>
  <c r="BI147" i="7"/>
  <c r="BH147" i="7"/>
  <c r="BG147" i="7"/>
  <c r="BF147" i="7"/>
  <c r="T147" i="7"/>
  <c r="R147" i="7"/>
  <c r="P147" i="7"/>
  <c r="BI144" i="7"/>
  <c r="BH144" i="7"/>
  <c r="BG144" i="7"/>
  <c r="BF144" i="7"/>
  <c r="T144" i="7"/>
  <c r="R144" i="7"/>
  <c r="P144" i="7"/>
  <c r="BI140" i="7"/>
  <c r="BH140" i="7"/>
  <c r="BG140" i="7"/>
  <c r="BF140" i="7"/>
  <c r="T140" i="7"/>
  <c r="T139" i="7"/>
  <c r="R140" i="7"/>
  <c r="R139" i="7" s="1"/>
  <c r="P140" i="7"/>
  <c r="P139" i="7" s="1"/>
  <c r="BI136" i="7"/>
  <c r="BH136" i="7"/>
  <c r="BG136" i="7"/>
  <c r="BF136" i="7"/>
  <c r="T136" i="7"/>
  <c r="T135" i="7" s="1"/>
  <c r="R136" i="7"/>
  <c r="R135" i="7"/>
  <c r="P136" i="7"/>
  <c r="P135" i="7" s="1"/>
  <c r="BI133" i="7"/>
  <c r="BH133" i="7"/>
  <c r="BG133" i="7"/>
  <c r="BF133" i="7"/>
  <c r="T133" i="7"/>
  <c r="R133" i="7"/>
  <c r="P133" i="7"/>
  <c r="BI131" i="7"/>
  <c r="BH131" i="7"/>
  <c r="BG131" i="7"/>
  <c r="BF131" i="7"/>
  <c r="T131" i="7"/>
  <c r="R131" i="7"/>
  <c r="P131" i="7"/>
  <c r="BI128" i="7"/>
  <c r="BH128" i="7"/>
  <c r="BG128" i="7"/>
  <c r="BF128" i="7"/>
  <c r="T128" i="7"/>
  <c r="R128" i="7"/>
  <c r="P128" i="7"/>
  <c r="BI123" i="7"/>
  <c r="BH123" i="7"/>
  <c r="BG123" i="7"/>
  <c r="BF123" i="7"/>
  <c r="T123" i="7"/>
  <c r="R123" i="7"/>
  <c r="P123" i="7"/>
  <c r="BI121" i="7"/>
  <c r="BH121" i="7"/>
  <c r="BG121" i="7"/>
  <c r="BF121" i="7"/>
  <c r="T121" i="7"/>
  <c r="R121" i="7"/>
  <c r="P121" i="7"/>
  <c r="BI117" i="7"/>
  <c r="BH117" i="7"/>
  <c r="BG117" i="7"/>
  <c r="BF117" i="7"/>
  <c r="T117" i="7"/>
  <c r="R117" i="7"/>
  <c r="P117" i="7"/>
  <c r="BI113" i="7"/>
  <c r="BH113" i="7"/>
  <c r="BG113" i="7"/>
  <c r="BF113" i="7"/>
  <c r="T113" i="7"/>
  <c r="R113" i="7"/>
  <c r="P113" i="7"/>
  <c r="BI110" i="7"/>
  <c r="BH110" i="7"/>
  <c r="BG110" i="7"/>
  <c r="BF110" i="7"/>
  <c r="T110" i="7"/>
  <c r="R110" i="7"/>
  <c r="P110" i="7"/>
  <c r="BI108" i="7"/>
  <c r="BH108" i="7"/>
  <c r="BG108" i="7"/>
  <c r="BF108" i="7"/>
  <c r="T108" i="7"/>
  <c r="R108" i="7"/>
  <c r="P108" i="7"/>
  <c r="BI106" i="7"/>
  <c r="BH106" i="7"/>
  <c r="BG106" i="7"/>
  <c r="BF106" i="7"/>
  <c r="T106" i="7"/>
  <c r="R106" i="7"/>
  <c r="P106" i="7"/>
  <c r="BI104" i="7"/>
  <c r="BH104" i="7"/>
  <c r="BG104" i="7"/>
  <c r="BF104" i="7"/>
  <c r="T104" i="7"/>
  <c r="R104" i="7"/>
  <c r="P104" i="7"/>
  <c r="BI102" i="7"/>
  <c r="BH102" i="7"/>
  <c r="BG102" i="7"/>
  <c r="BF102" i="7"/>
  <c r="T102" i="7"/>
  <c r="R102" i="7"/>
  <c r="P102" i="7"/>
  <c r="BI99" i="7"/>
  <c r="BH99" i="7"/>
  <c r="BG99" i="7"/>
  <c r="BF99" i="7"/>
  <c r="T99" i="7"/>
  <c r="R99" i="7"/>
  <c r="P99" i="7"/>
  <c r="BI96" i="7"/>
  <c r="BH96" i="7"/>
  <c r="BG96" i="7"/>
  <c r="BF96" i="7"/>
  <c r="T96" i="7"/>
  <c r="R96" i="7"/>
  <c r="P96" i="7"/>
  <c r="BI94" i="7"/>
  <c r="BH94" i="7"/>
  <c r="BG94" i="7"/>
  <c r="BF94" i="7"/>
  <c r="T94" i="7"/>
  <c r="R94" i="7"/>
  <c r="P94" i="7"/>
  <c r="BI90" i="7"/>
  <c r="BH90" i="7"/>
  <c r="BG90" i="7"/>
  <c r="BF90" i="7"/>
  <c r="T90" i="7"/>
  <c r="R90" i="7"/>
  <c r="P90" i="7"/>
  <c r="F81" i="7"/>
  <c r="E79" i="7"/>
  <c r="F52" i="7"/>
  <c r="E50" i="7"/>
  <c r="J24" i="7"/>
  <c r="E24" i="7"/>
  <c r="J55" i="7"/>
  <c r="J23" i="7"/>
  <c r="J21" i="7"/>
  <c r="E21" i="7"/>
  <c r="J83" i="7"/>
  <c r="J20" i="7"/>
  <c r="J18" i="7"/>
  <c r="E18" i="7"/>
  <c r="F55" i="7"/>
  <c r="J17" i="7"/>
  <c r="J15" i="7"/>
  <c r="E15" i="7"/>
  <c r="F83" i="7"/>
  <c r="J14" i="7"/>
  <c r="J12" i="7"/>
  <c r="J81" i="7" s="1"/>
  <c r="E7" i="7"/>
  <c r="E48" i="7" s="1"/>
  <c r="J37" i="6"/>
  <c r="J36" i="6"/>
  <c r="AY59" i="1"/>
  <c r="J35" i="6"/>
  <c r="AX59" i="1"/>
  <c r="BI102" i="6"/>
  <c r="BH102" i="6"/>
  <c r="BG102" i="6"/>
  <c r="BF102" i="6"/>
  <c r="T102" i="6"/>
  <c r="R102" i="6"/>
  <c r="P102" i="6"/>
  <c r="BI101" i="6"/>
  <c r="BH101" i="6"/>
  <c r="BG101" i="6"/>
  <c r="BF101" i="6"/>
  <c r="T101" i="6"/>
  <c r="R101" i="6"/>
  <c r="P101" i="6"/>
  <c r="BI100" i="6"/>
  <c r="BH100" i="6"/>
  <c r="BG100" i="6"/>
  <c r="BF100" i="6"/>
  <c r="T100" i="6"/>
  <c r="R100" i="6"/>
  <c r="P100" i="6"/>
  <c r="BI98" i="6"/>
  <c r="BH98" i="6"/>
  <c r="BG98" i="6"/>
  <c r="BF98" i="6"/>
  <c r="T98" i="6"/>
  <c r="R98" i="6"/>
  <c r="P98" i="6"/>
  <c r="BI97" i="6"/>
  <c r="BH97" i="6"/>
  <c r="BG97" i="6"/>
  <c r="BF97" i="6"/>
  <c r="T97" i="6"/>
  <c r="R97" i="6"/>
  <c r="P97" i="6"/>
  <c r="BI96" i="6"/>
  <c r="BH96" i="6"/>
  <c r="BG96" i="6"/>
  <c r="BF96" i="6"/>
  <c r="T96" i="6"/>
  <c r="R96" i="6"/>
  <c r="P96" i="6"/>
  <c r="BI94" i="6"/>
  <c r="BH94" i="6"/>
  <c r="BG94" i="6"/>
  <c r="BF94" i="6"/>
  <c r="T94" i="6"/>
  <c r="R94" i="6"/>
  <c r="P94" i="6"/>
  <c r="BI93" i="6"/>
  <c r="BH93" i="6"/>
  <c r="BG93" i="6"/>
  <c r="BF93" i="6"/>
  <c r="T93" i="6"/>
  <c r="R93" i="6"/>
  <c r="P93" i="6"/>
  <c r="BI92" i="6"/>
  <c r="BH92" i="6"/>
  <c r="BG92" i="6"/>
  <c r="BF92" i="6"/>
  <c r="T92" i="6"/>
  <c r="R92" i="6"/>
  <c r="P92" i="6"/>
  <c r="BI91" i="6"/>
  <c r="BH91" i="6"/>
  <c r="BG91" i="6"/>
  <c r="BF91" i="6"/>
  <c r="T91" i="6"/>
  <c r="R91" i="6"/>
  <c r="P91" i="6"/>
  <c r="BI90" i="6"/>
  <c r="BH90" i="6"/>
  <c r="BG90" i="6"/>
  <c r="BF90" i="6"/>
  <c r="T90" i="6"/>
  <c r="R90" i="6"/>
  <c r="P90" i="6"/>
  <c r="BI89" i="6"/>
  <c r="BH89" i="6"/>
  <c r="BG89" i="6"/>
  <c r="BF89" i="6"/>
  <c r="T89" i="6"/>
  <c r="R89" i="6"/>
  <c r="P89" i="6"/>
  <c r="BI88" i="6"/>
  <c r="BH88" i="6"/>
  <c r="BG88" i="6"/>
  <c r="BF88" i="6"/>
  <c r="T88" i="6"/>
  <c r="R88" i="6"/>
  <c r="P88" i="6"/>
  <c r="BI87" i="6"/>
  <c r="BH87" i="6"/>
  <c r="BG87" i="6"/>
  <c r="BF87" i="6"/>
  <c r="T87" i="6"/>
  <c r="R87" i="6"/>
  <c r="P87" i="6"/>
  <c r="BI86" i="6"/>
  <c r="BH86" i="6"/>
  <c r="BG86" i="6"/>
  <c r="BF86" i="6"/>
  <c r="T86" i="6"/>
  <c r="R86" i="6"/>
  <c r="P86" i="6"/>
  <c r="BI85" i="6"/>
  <c r="BH85" i="6"/>
  <c r="BG85" i="6"/>
  <c r="BF85" i="6"/>
  <c r="T85" i="6"/>
  <c r="R85" i="6"/>
  <c r="P85" i="6"/>
  <c r="BI84" i="6"/>
  <c r="BH84" i="6"/>
  <c r="BG84" i="6"/>
  <c r="BF84" i="6"/>
  <c r="T84" i="6"/>
  <c r="R84" i="6"/>
  <c r="P84" i="6"/>
  <c r="F76" i="6"/>
  <c r="E74" i="6"/>
  <c r="F52" i="6"/>
  <c r="E50" i="6"/>
  <c r="J24" i="6"/>
  <c r="E24" i="6"/>
  <c r="J79" i="6"/>
  <c r="J23" i="6"/>
  <c r="J21" i="6"/>
  <c r="E21" i="6"/>
  <c r="J54" i="6"/>
  <c r="J20" i="6"/>
  <c r="J18" i="6"/>
  <c r="E18" i="6"/>
  <c r="F55" i="6"/>
  <c r="J17" i="6"/>
  <c r="J15" i="6"/>
  <c r="E15" i="6"/>
  <c r="F78" i="6"/>
  <c r="J14" i="6"/>
  <c r="J12" i="6"/>
  <c r="J76" i="6" s="1"/>
  <c r="E7" i="6"/>
  <c r="E48" i="6" s="1"/>
  <c r="J37" i="5"/>
  <c r="J36" i="5"/>
  <c r="AY58" i="1"/>
  <c r="J35" i="5"/>
  <c r="AX58" i="1"/>
  <c r="BI101" i="5"/>
  <c r="BH101" i="5"/>
  <c r="BG101" i="5"/>
  <c r="BF101" i="5"/>
  <c r="T101" i="5"/>
  <c r="T100" i="5"/>
  <c r="T90" i="5" s="1"/>
  <c r="R101" i="5"/>
  <c r="R100" i="5" s="1"/>
  <c r="P101" i="5"/>
  <c r="P100" i="5"/>
  <c r="BI99" i="5"/>
  <c r="BH99" i="5"/>
  <c r="BG99" i="5"/>
  <c r="BF99" i="5"/>
  <c r="T99" i="5"/>
  <c r="R99" i="5"/>
  <c r="P99" i="5"/>
  <c r="BI98" i="5"/>
  <c r="BH98" i="5"/>
  <c r="BG98" i="5"/>
  <c r="BF98" i="5"/>
  <c r="T98" i="5"/>
  <c r="R98" i="5"/>
  <c r="P98" i="5"/>
  <c r="BI97" i="5"/>
  <c r="BH97" i="5"/>
  <c r="BG97" i="5"/>
  <c r="BF97" i="5"/>
  <c r="T97" i="5"/>
  <c r="R97" i="5"/>
  <c r="P97" i="5"/>
  <c r="BI96" i="5"/>
  <c r="BH96" i="5"/>
  <c r="BG96" i="5"/>
  <c r="BF96" i="5"/>
  <c r="T96" i="5"/>
  <c r="R96" i="5"/>
  <c r="P96" i="5"/>
  <c r="BI95" i="5"/>
  <c r="BH95" i="5"/>
  <c r="BG95" i="5"/>
  <c r="BF95" i="5"/>
  <c r="T95" i="5"/>
  <c r="R95" i="5"/>
  <c r="P95" i="5"/>
  <c r="BI94" i="5"/>
  <c r="BH94" i="5"/>
  <c r="BG94" i="5"/>
  <c r="BF94" i="5"/>
  <c r="T94" i="5"/>
  <c r="R94" i="5"/>
  <c r="P94" i="5"/>
  <c r="BI93" i="5"/>
  <c r="BH93" i="5"/>
  <c r="BG93" i="5"/>
  <c r="BF93" i="5"/>
  <c r="T93" i="5"/>
  <c r="R93" i="5"/>
  <c r="P93" i="5"/>
  <c r="BI92" i="5"/>
  <c r="BH92" i="5"/>
  <c r="BG92" i="5"/>
  <c r="BF92" i="5"/>
  <c r="T92" i="5"/>
  <c r="R92" i="5"/>
  <c r="P92" i="5"/>
  <c r="BI91" i="5"/>
  <c r="BH91" i="5"/>
  <c r="BG91" i="5"/>
  <c r="BF91" i="5"/>
  <c r="T91" i="5"/>
  <c r="R91" i="5"/>
  <c r="P91" i="5"/>
  <c r="P90" i="5" s="1"/>
  <c r="BI89" i="5"/>
  <c r="BH89" i="5"/>
  <c r="BG89" i="5"/>
  <c r="BF89" i="5"/>
  <c r="T89" i="5"/>
  <c r="R89" i="5"/>
  <c r="P89" i="5"/>
  <c r="BI88" i="5"/>
  <c r="BH88" i="5"/>
  <c r="BG88" i="5"/>
  <c r="BF88" i="5"/>
  <c r="T88" i="5"/>
  <c r="R88" i="5"/>
  <c r="P88" i="5"/>
  <c r="BI87" i="5"/>
  <c r="BH87" i="5"/>
  <c r="BG87" i="5"/>
  <c r="BF87" i="5"/>
  <c r="T87" i="5"/>
  <c r="R87" i="5"/>
  <c r="P87" i="5"/>
  <c r="BI86" i="5"/>
  <c r="BH86" i="5"/>
  <c r="BG86" i="5"/>
  <c r="BF86" i="5"/>
  <c r="T86" i="5"/>
  <c r="R86" i="5"/>
  <c r="P86" i="5"/>
  <c r="F77" i="5"/>
  <c r="E75" i="5"/>
  <c r="F52" i="5"/>
  <c r="E50" i="5"/>
  <c r="J24" i="5"/>
  <c r="E24" i="5"/>
  <c r="J80" i="5" s="1"/>
  <c r="J23" i="5"/>
  <c r="J21" i="5"/>
  <c r="E21" i="5"/>
  <c r="J79" i="5" s="1"/>
  <c r="J20" i="5"/>
  <c r="J18" i="5"/>
  <c r="E18" i="5"/>
  <c r="F55" i="5" s="1"/>
  <c r="J17" i="5"/>
  <c r="J15" i="5"/>
  <c r="E15" i="5"/>
  <c r="F79" i="5" s="1"/>
  <c r="J14" i="5"/>
  <c r="J12" i="5"/>
  <c r="J77" i="5" s="1"/>
  <c r="E7" i="5"/>
  <c r="E73" i="5" s="1"/>
  <c r="J37" i="4"/>
  <c r="J36" i="4"/>
  <c r="AY57" i="1" s="1"/>
  <c r="J35" i="4"/>
  <c r="AX57" i="1" s="1"/>
  <c r="BI113" i="4"/>
  <c r="BH113" i="4"/>
  <c r="BG113" i="4"/>
  <c r="BF113" i="4"/>
  <c r="T113" i="4"/>
  <c r="R113" i="4"/>
  <c r="P113" i="4"/>
  <c r="BI112" i="4"/>
  <c r="BH112" i="4"/>
  <c r="BG112" i="4"/>
  <c r="BF112" i="4"/>
  <c r="T112" i="4"/>
  <c r="R112" i="4"/>
  <c r="P112" i="4"/>
  <c r="BI111" i="4"/>
  <c r="BH111" i="4"/>
  <c r="BG111" i="4"/>
  <c r="BF111" i="4"/>
  <c r="T111" i="4"/>
  <c r="R111" i="4"/>
  <c r="P111" i="4"/>
  <c r="BI110" i="4"/>
  <c r="BH110" i="4"/>
  <c r="BG110" i="4"/>
  <c r="BF110" i="4"/>
  <c r="T110" i="4"/>
  <c r="R110" i="4"/>
  <c r="P110" i="4"/>
  <c r="BI109" i="4"/>
  <c r="BH109" i="4"/>
  <c r="BG109" i="4"/>
  <c r="BF109" i="4"/>
  <c r="T109" i="4"/>
  <c r="R109" i="4"/>
  <c r="P109" i="4"/>
  <c r="BI108" i="4"/>
  <c r="BH108" i="4"/>
  <c r="BG108" i="4"/>
  <c r="BF108" i="4"/>
  <c r="T108" i="4"/>
  <c r="R108" i="4"/>
  <c r="P108" i="4"/>
  <c r="BI106" i="4"/>
  <c r="BH106" i="4"/>
  <c r="BG106" i="4"/>
  <c r="BF106" i="4"/>
  <c r="T106" i="4"/>
  <c r="R106" i="4"/>
  <c r="P106" i="4"/>
  <c r="BI105" i="4"/>
  <c r="BH105" i="4"/>
  <c r="BG105" i="4"/>
  <c r="BF105" i="4"/>
  <c r="T105" i="4"/>
  <c r="R105" i="4"/>
  <c r="P105" i="4"/>
  <c r="BI104" i="4"/>
  <c r="BH104" i="4"/>
  <c r="BG104" i="4"/>
  <c r="BF104" i="4"/>
  <c r="T104" i="4"/>
  <c r="R104" i="4"/>
  <c r="P104" i="4"/>
  <c r="BI103" i="4"/>
  <c r="BH103" i="4"/>
  <c r="BG103" i="4"/>
  <c r="BF103" i="4"/>
  <c r="T103" i="4"/>
  <c r="R103" i="4"/>
  <c r="P103" i="4"/>
  <c r="BI102" i="4"/>
  <c r="BH102" i="4"/>
  <c r="BG102" i="4"/>
  <c r="BF102" i="4"/>
  <c r="T102" i="4"/>
  <c r="R102" i="4"/>
  <c r="P102" i="4"/>
  <c r="BI100" i="4"/>
  <c r="BH100" i="4"/>
  <c r="BG100" i="4"/>
  <c r="BF100" i="4"/>
  <c r="T100" i="4"/>
  <c r="R100" i="4"/>
  <c r="P100" i="4"/>
  <c r="BI99" i="4"/>
  <c r="BH99" i="4"/>
  <c r="BG99" i="4"/>
  <c r="BF99" i="4"/>
  <c r="T99" i="4"/>
  <c r="R99" i="4"/>
  <c r="P99" i="4"/>
  <c r="BI98" i="4"/>
  <c r="BH98" i="4"/>
  <c r="BG98" i="4"/>
  <c r="BF98" i="4"/>
  <c r="T98" i="4"/>
  <c r="R98" i="4"/>
  <c r="P98" i="4"/>
  <c r="BI96" i="4"/>
  <c r="BH96" i="4"/>
  <c r="BG96" i="4"/>
  <c r="BF96" i="4"/>
  <c r="T96" i="4"/>
  <c r="T95" i="4"/>
  <c r="R96" i="4"/>
  <c r="R95" i="4" s="1"/>
  <c r="P96" i="4"/>
  <c r="P95" i="4" s="1"/>
  <c r="BI94" i="4"/>
  <c r="BH94" i="4"/>
  <c r="BG94" i="4"/>
  <c r="BF94" i="4"/>
  <c r="T94" i="4"/>
  <c r="R94" i="4"/>
  <c r="P94" i="4"/>
  <c r="BI93" i="4"/>
  <c r="BH93" i="4"/>
  <c r="BG93" i="4"/>
  <c r="BF93" i="4"/>
  <c r="T93" i="4"/>
  <c r="R93" i="4"/>
  <c r="P93" i="4"/>
  <c r="BI92" i="4"/>
  <c r="BH92" i="4"/>
  <c r="BG92" i="4"/>
  <c r="BF92" i="4"/>
  <c r="T92" i="4"/>
  <c r="R92" i="4"/>
  <c r="P92" i="4"/>
  <c r="BI91" i="4"/>
  <c r="BH91" i="4"/>
  <c r="BG91" i="4"/>
  <c r="BF91" i="4"/>
  <c r="T91" i="4"/>
  <c r="R91" i="4"/>
  <c r="P91" i="4"/>
  <c r="BI90" i="4"/>
  <c r="BH90" i="4"/>
  <c r="BG90" i="4"/>
  <c r="BF90" i="4"/>
  <c r="T90" i="4"/>
  <c r="R90" i="4"/>
  <c r="P90" i="4"/>
  <c r="F80" i="4"/>
  <c r="E78" i="4"/>
  <c r="F52" i="4"/>
  <c r="E50" i="4"/>
  <c r="J24" i="4"/>
  <c r="E24" i="4"/>
  <c r="J83" i="4" s="1"/>
  <c r="J23" i="4"/>
  <c r="J21" i="4"/>
  <c r="E21" i="4"/>
  <c r="J82" i="4" s="1"/>
  <c r="J20" i="4"/>
  <c r="J18" i="4"/>
  <c r="E18" i="4"/>
  <c r="F55" i="4" s="1"/>
  <c r="J17" i="4"/>
  <c r="J15" i="4"/>
  <c r="E15" i="4"/>
  <c r="F54" i="4" s="1"/>
  <c r="J14" i="4"/>
  <c r="J12" i="4"/>
  <c r="J52" i="4" s="1"/>
  <c r="E7" i="4"/>
  <c r="E76" i="4"/>
  <c r="J37" i="3"/>
  <c r="J36" i="3"/>
  <c r="AY56" i="1" s="1"/>
  <c r="J35" i="3"/>
  <c r="AX56" i="1" s="1"/>
  <c r="BI242" i="3"/>
  <c r="BH242" i="3"/>
  <c r="BG242" i="3"/>
  <c r="BF242" i="3"/>
  <c r="T242" i="3"/>
  <c r="T241" i="3" s="1"/>
  <c r="R242" i="3"/>
  <c r="R241" i="3" s="1"/>
  <c r="P242" i="3"/>
  <c r="P241" i="3" s="1"/>
  <c r="BI240" i="3"/>
  <c r="BH240" i="3"/>
  <c r="BG240" i="3"/>
  <c r="BF240" i="3"/>
  <c r="T240" i="3"/>
  <c r="R240" i="3"/>
  <c r="P240" i="3"/>
  <c r="BI239" i="3"/>
  <c r="BH239" i="3"/>
  <c r="BG239" i="3"/>
  <c r="BF239" i="3"/>
  <c r="T239" i="3"/>
  <c r="R239" i="3"/>
  <c r="P239" i="3"/>
  <c r="BI238" i="3"/>
  <c r="BH238" i="3"/>
  <c r="BG238" i="3"/>
  <c r="BF238" i="3"/>
  <c r="T238" i="3"/>
  <c r="R238" i="3"/>
  <c r="P238" i="3"/>
  <c r="BI236" i="3"/>
  <c r="BH236" i="3"/>
  <c r="BG236" i="3"/>
  <c r="BF236" i="3"/>
  <c r="T236" i="3"/>
  <c r="R236" i="3"/>
  <c r="P236" i="3"/>
  <c r="BI234" i="3"/>
  <c r="BH234" i="3"/>
  <c r="BG234" i="3"/>
  <c r="BF234" i="3"/>
  <c r="T234" i="3"/>
  <c r="R234" i="3"/>
  <c r="P234" i="3"/>
  <c r="BI232" i="3"/>
  <c r="BH232" i="3"/>
  <c r="BG232" i="3"/>
  <c r="BF232" i="3"/>
  <c r="T232" i="3"/>
  <c r="R232" i="3"/>
  <c r="P232" i="3"/>
  <c r="BI230" i="3"/>
  <c r="BH230" i="3"/>
  <c r="BG230" i="3"/>
  <c r="BF230" i="3"/>
  <c r="T230" i="3"/>
  <c r="R230" i="3"/>
  <c r="P230" i="3"/>
  <c r="BI228" i="3"/>
  <c r="BH228" i="3"/>
  <c r="BG228" i="3"/>
  <c r="BF228" i="3"/>
  <c r="T228" i="3"/>
  <c r="R228" i="3"/>
  <c r="P228" i="3"/>
  <c r="BI226" i="3"/>
  <c r="BH226" i="3"/>
  <c r="BG226" i="3"/>
  <c r="BF226" i="3"/>
  <c r="T226" i="3"/>
  <c r="R226" i="3"/>
  <c r="P226" i="3"/>
  <c r="BI224" i="3"/>
  <c r="BH224" i="3"/>
  <c r="BG224" i="3"/>
  <c r="BF224" i="3"/>
  <c r="T224" i="3"/>
  <c r="R224" i="3"/>
  <c r="P224" i="3"/>
  <c r="BI222" i="3"/>
  <c r="BH222" i="3"/>
  <c r="BG222" i="3"/>
  <c r="BF222" i="3"/>
  <c r="T222" i="3"/>
  <c r="R222" i="3"/>
  <c r="P222" i="3"/>
  <c r="BI220" i="3"/>
  <c r="BH220" i="3"/>
  <c r="BG220" i="3"/>
  <c r="BF220" i="3"/>
  <c r="T220" i="3"/>
  <c r="R220" i="3"/>
  <c r="P220" i="3"/>
  <c r="BI218" i="3"/>
  <c r="BH218" i="3"/>
  <c r="BG218" i="3"/>
  <c r="BF218" i="3"/>
  <c r="T218" i="3"/>
  <c r="R218" i="3"/>
  <c r="P218" i="3"/>
  <c r="BI216" i="3"/>
  <c r="BH216" i="3"/>
  <c r="BG216" i="3"/>
  <c r="BF216" i="3"/>
  <c r="T216" i="3"/>
  <c r="R216" i="3"/>
  <c r="P216" i="3"/>
  <c r="BI214" i="3"/>
  <c r="BH214" i="3"/>
  <c r="BG214" i="3"/>
  <c r="BF214" i="3"/>
  <c r="T214" i="3"/>
  <c r="R214" i="3"/>
  <c r="P214" i="3"/>
  <c r="BI212" i="3"/>
  <c r="BH212" i="3"/>
  <c r="BG212" i="3"/>
  <c r="BF212" i="3"/>
  <c r="T212" i="3"/>
  <c r="R212" i="3"/>
  <c r="P212" i="3"/>
  <c r="BI210" i="3"/>
  <c r="BH210" i="3"/>
  <c r="BG210" i="3"/>
  <c r="BF210" i="3"/>
  <c r="T210" i="3"/>
  <c r="R210" i="3"/>
  <c r="P210" i="3"/>
  <c r="BI207" i="3"/>
  <c r="BH207" i="3"/>
  <c r="BG207" i="3"/>
  <c r="BF207" i="3"/>
  <c r="T207" i="3"/>
  <c r="R207" i="3"/>
  <c r="P207" i="3"/>
  <c r="BI205" i="3"/>
  <c r="BH205" i="3"/>
  <c r="BG205" i="3"/>
  <c r="BF205" i="3"/>
  <c r="T205" i="3"/>
  <c r="R205" i="3"/>
  <c r="P205" i="3"/>
  <c r="BI203" i="3"/>
  <c r="BH203" i="3"/>
  <c r="BG203" i="3"/>
  <c r="BF203" i="3"/>
  <c r="T203" i="3"/>
  <c r="R203" i="3"/>
  <c r="P203" i="3"/>
  <c r="BI201" i="3"/>
  <c r="BH201" i="3"/>
  <c r="BG201" i="3"/>
  <c r="BF201" i="3"/>
  <c r="T201" i="3"/>
  <c r="R201" i="3"/>
  <c r="P201" i="3"/>
  <c r="BI199" i="3"/>
  <c r="BH199" i="3"/>
  <c r="BG199" i="3"/>
  <c r="BF199" i="3"/>
  <c r="T199" i="3"/>
  <c r="R199" i="3"/>
  <c r="P199" i="3"/>
  <c r="BI197" i="3"/>
  <c r="BH197" i="3"/>
  <c r="BG197" i="3"/>
  <c r="BF197" i="3"/>
  <c r="T197" i="3"/>
  <c r="R197" i="3"/>
  <c r="P197" i="3"/>
  <c r="BI195" i="3"/>
  <c r="BH195" i="3"/>
  <c r="BG195" i="3"/>
  <c r="BF195" i="3"/>
  <c r="T195" i="3"/>
  <c r="R195" i="3"/>
  <c r="P195" i="3"/>
  <c r="BI193" i="3"/>
  <c r="BH193" i="3"/>
  <c r="BG193" i="3"/>
  <c r="BF193" i="3"/>
  <c r="T193" i="3"/>
  <c r="R193" i="3"/>
  <c r="P193" i="3"/>
  <c r="BI191" i="3"/>
  <c r="BH191" i="3"/>
  <c r="BG191" i="3"/>
  <c r="BF191" i="3"/>
  <c r="T191" i="3"/>
  <c r="R191" i="3"/>
  <c r="P191" i="3"/>
  <c r="BI189" i="3"/>
  <c r="BH189" i="3"/>
  <c r="BG189" i="3"/>
  <c r="BF189" i="3"/>
  <c r="T189" i="3"/>
  <c r="R189" i="3"/>
  <c r="P189" i="3"/>
  <c r="BI187" i="3"/>
  <c r="BH187" i="3"/>
  <c r="BG187" i="3"/>
  <c r="BF187" i="3"/>
  <c r="T187" i="3"/>
  <c r="R187" i="3"/>
  <c r="P187" i="3"/>
  <c r="BI184" i="3"/>
  <c r="BH184" i="3"/>
  <c r="BG184" i="3"/>
  <c r="BF184" i="3"/>
  <c r="T184" i="3"/>
  <c r="R184" i="3"/>
  <c r="P184" i="3"/>
  <c r="BI182" i="3"/>
  <c r="BH182" i="3"/>
  <c r="BG182" i="3"/>
  <c r="BF182" i="3"/>
  <c r="T182" i="3"/>
  <c r="R182" i="3"/>
  <c r="P182" i="3"/>
  <c r="BI180" i="3"/>
  <c r="BH180" i="3"/>
  <c r="BG180" i="3"/>
  <c r="BF180" i="3"/>
  <c r="T180" i="3"/>
  <c r="R180" i="3"/>
  <c r="P180" i="3"/>
  <c r="BI178" i="3"/>
  <c r="BH178" i="3"/>
  <c r="BG178" i="3"/>
  <c r="BF178" i="3"/>
  <c r="T178" i="3"/>
  <c r="R178" i="3"/>
  <c r="P178" i="3"/>
  <c r="BI176" i="3"/>
  <c r="BH176" i="3"/>
  <c r="BG176" i="3"/>
  <c r="BF176" i="3"/>
  <c r="T176" i="3"/>
  <c r="R176" i="3"/>
  <c r="P176" i="3"/>
  <c r="BI174" i="3"/>
  <c r="BH174" i="3"/>
  <c r="BG174" i="3"/>
  <c r="BF174" i="3"/>
  <c r="T174" i="3"/>
  <c r="R174" i="3"/>
  <c r="P174" i="3"/>
  <c r="BI172" i="3"/>
  <c r="BH172" i="3"/>
  <c r="BG172" i="3"/>
  <c r="BF172" i="3"/>
  <c r="T172" i="3"/>
  <c r="R172" i="3"/>
  <c r="P172" i="3"/>
  <c r="BI170" i="3"/>
  <c r="BH170" i="3"/>
  <c r="BG170" i="3"/>
  <c r="BF170" i="3"/>
  <c r="T170" i="3"/>
  <c r="R170" i="3"/>
  <c r="P170" i="3"/>
  <c r="BI168" i="3"/>
  <c r="BH168" i="3"/>
  <c r="BG168" i="3"/>
  <c r="BF168" i="3"/>
  <c r="T168" i="3"/>
  <c r="R168" i="3"/>
  <c r="P168" i="3"/>
  <c r="BI166" i="3"/>
  <c r="BH166" i="3"/>
  <c r="BG166" i="3"/>
  <c r="BF166" i="3"/>
  <c r="T166" i="3"/>
  <c r="R166" i="3"/>
  <c r="P166" i="3"/>
  <c r="BI164" i="3"/>
  <c r="BH164" i="3"/>
  <c r="BG164" i="3"/>
  <c r="BF164" i="3"/>
  <c r="T164" i="3"/>
  <c r="R164" i="3"/>
  <c r="P164" i="3"/>
  <c r="BI162" i="3"/>
  <c r="BH162" i="3"/>
  <c r="BG162" i="3"/>
  <c r="BF162" i="3"/>
  <c r="T162" i="3"/>
  <c r="R162" i="3"/>
  <c r="P162" i="3"/>
  <c r="BI160" i="3"/>
  <c r="BH160" i="3"/>
  <c r="BG160" i="3"/>
  <c r="BF160" i="3"/>
  <c r="T160" i="3"/>
  <c r="R160" i="3"/>
  <c r="P160" i="3"/>
  <c r="BI158" i="3"/>
  <c r="BH158" i="3"/>
  <c r="BG158" i="3"/>
  <c r="BF158" i="3"/>
  <c r="T158" i="3"/>
  <c r="R158" i="3"/>
  <c r="P158" i="3"/>
  <c r="BI156" i="3"/>
  <c r="BH156" i="3"/>
  <c r="BG156" i="3"/>
  <c r="BF156" i="3"/>
  <c r="T156" i="3"/>
  <c r="R156" i="3"/>
  <c r="P156" i="3"/>
  <c r="BI154" i="3"/>
  <c r="BH154" i="3"/>
  <c r="BG154" i="3"/>
  <c r="BF154" i="3"/>
  <c r="T154" i="3"/>
  <c r="R154" i="3"/>
  <c r="P154" i="3"/>
  <c r="BI152" i="3"/>
  <c r="BH152" i="3"/>
  <c r="BG152" i="3"/>
  <c r="BF152" i="3"/>
  <c r="T152" i="3"/>
  <c r="R152" i="3"/>
  <c r="P152" i="3"/>
  <c r="BI150" i="3"/>
  <c r="BH150" i="3"/>
  <c r="BG150" i="3"/>
  <c r="BF150" i="3"/>
  <c r="T150" i="3"/>
  <c r="R150" i="3"/>
  <c r="P150" i="3"/>
  <c r="BI148" i="3"/>
  <c r="BH148" i="3"/>
  <c r="BG148" i="3"/>
  <c r="BF148" i="3"/>
  <c r="T148" i="3"/>
  <c r="R148" i="3"/>
  <c r="P148" i="3"/>
  <c r="BI145" i="3"/>
  <c r="BH145" i="3"/>
  <c r="BG145" i="3"/>
  <c r="BF145" i="3"/>
  <c r="T145" i="3"/>
  <c r="R145" i="3"/>
  <c r="P145" i="3"/>
  <c r="BI144" i="3"/>
  <c r="BH144" i="3"/>
  <c r="BG144" i="3"/>
  <c r="BF144" i="3"/>
  <c r="T144" i="3"/>
  <c r="R144" i="3"/>
  <c r="P144" i="3"/>
  <c r="BI142" i="3"/>
  <c r="BH142" i="3"/>
  <c r="BG142" i="3"/>
  <c r="BF142" i="3"/>
  <c r="T142" i="3"/>
  <c r="R142" i="3"/>
  <c r="P142" i="3"/>
  <c r="BI140" i="3"/>
  <c r="BH140" i="3"/>
  <c r="BG140" i="3"/>
  <c r="BF140" i="3"/>
  <c r="T140" i="3"/>
  <c r="R140" i="3"/>
  <c r="P140" i="3"/>
  <c r="BI138" i="3"/>
  <c r="BH138" i="3"/>
  <c r="BG138" i="3"/>
  <c r="BF138" i="3"/>
  <c r="T138" i="3"/>
  <c r="R138" i="3"/>
  <c r="P138" i="3"/>
  <c r="BI136" i="3"/>
  <c r="BH136" i="3"/>
  <c r="BG136" i="3"/>
  <c r="BF136" i="3"/>
  <c r="T136" i="3"/>
  <c r="R136" i="3"/>
  <c r="P136" i="3"/>
  <c r="BI134" i="3"/>
  <c r="BH134" i="3"/>
  <c r="BG134" i="3"/>
  <c r="BF134" i="3"/>
  <c r="T134" i="3"/>
  <c r="R134" i="3"/>
  <c r="P134" i="3"/>
  <c r="BI132" i="3"/>
  <c r="BH132" i="3"/>
  <c r="BG132" i="3"/>
  <c r="BF132" i="3"/>
  <c r="T132" i="3"/>
  <c r="R132" i="3"/>
  <c r="P132" i="3"/>
  <c r="BI130" i="3"/>
  <c r="BH130" i="3"/>
  <c r="BG130" i="3"/>
  <c r="BF130" i="3"/>
  <c r="T130" i="3"/>
  <c r="R130" i="3"/>
  <c r="P130" i="3"/>
  <c r="BI128" i="3"/>
  <c r="BH128" i="3"/>
  <c r="BG128" i="3"/>
  <c r="BF128" i="3"/>
  <c r="T128" i="3"/>
  <c r="R128" i="3"/>
  <c r="P128" i="3"/>
  <c r="BI126" i="3"/>
  <c r="BH126" i="3"/>
  <c r="BG126" i="3"/>
  <c r="BF126" i="3"/>
  <c r="T126" i="3"/>
  <c r="R126" i="3"/>
  <c r="P126" i="3"/>
  <c r="BI124" i="3"/>
  <c r="BH124" i="3"/>
  <c r="BG124" i="3"/>
  <c r="BF124" i="3"/>
  <c r="T124" i="3"/>
  <c r="R124" i="3"/>
  <c r="P124" i="3"/>
  <c r="BI122" i="3"/>
  <c r="BH122" i="3"/>
  <c r="BG122" i="3"/>
  <c r="BF122" i="3"/>
  <c r="T122" i="3"/>
  <c r="R122" i="3"/>
  <c r="P122" i="3"/>
  <c r="BI120" i="3"/>
  <c r="BH120" i="3"/>
  <c r="BG120" i="3"/>
  <c r="BF120" i="3"/>
  <c r="T120" i="3"/>
  <c r="R120" i="3"/>
  <c r="P120" i="3"/>
  <c r="BI118" i="3"/>
  <c r="BH118" i="3"/>
  <c r="BG118" i="3"/>
  <c r="BF118" i="3"/>
  <c r="T118" i="3"/>
  <c r="R118" i="3"/>
  <c r="P118" i="3"/>
  <c r="BI116" i="3"/>
  <c r="BH116" i="3"/>
  <c r="BG116" i="3"/>
  <c r="BF116" i="3"/>
  <c r="T116" i="3"/>
  <c r="R116" i="3"/>
  <c r="P116" i="3"/>
  <c r="BI114" i="3"/>
  <c r="BH114" i="3"/>
  <c r="BG114" i="3"/>
  <c r="BF114" i="3"/>
  <c r="T114" i="3"/>
  <c r="R114" i="3"/>
  <c r="P114" i="3"/>
  <c r="BI112" i="3"/>
  <c r="BH112" i="3"/>
  <c r="BG112" i="3"/>
  <c r="BF112" i="3"/>
  <c r="T112" i="3"/>
  <c r="R112" i="3"/>
  <c r="P112" i="3"/>
  <c r="BI110" i="3"/>
  <c r="BH110" i="3"/>
  <c r="BG110" i="3"/>
  <c r="BF110" i="3"/>
  <c r="T110" i="3"/>
  <c r="R110" i="3"/>
  <c r="P110" i="3"/>
  <c r="BI108" i="3"/>
  <c r="BH108" i="3"/>
  <c r="BG108" i="3"/>
  <c r="BF108" i="3"/>
  <c r="T108" i="3"/>
  <c r="R108" i="3"/>
  <c r="P108" i="3"/>
  <c r="BI106" i="3"/>
  <c r="BH106" i="3"/>
  <c r="BG106" i="3"/>
  <c r="BF106" i="3"/>
  <c r="T106" i="3"/>
  <c r="R106" i="3"/>
  <c r="P106" i="3"/>
  <c r="BI104" i="3"/>
  <c r="BH104" i="3"/>
  <c r="BG104" i="3"/>
  <c r="BF104" i="3"/>
  <c r="T104" i="3"/>
  <c r="R104" i="3"/>
  <c r="P104" i="3"/>
  <c r="BI102" i="3"/>
  <c r="BH102" i="3"/>
  <c r="BG102" i="3"/>
  <c r="BF102" i="3"/>
  <c r="T102" i="3"/>
  <c r="R102" i="3"/>
  <c r="P102" i="3"/>
  <c r="BI100" i="3"/>
  <c r="BH100" i="3"/>
  <c r="BG100" i="3"/>
  <c r="BF100" i="3"/>
  <c r="T100" i="3"/>
  <c r="R100" i="3"/>
  <c r="P100" i="3"/>
  <c r="BI98" i="3"/>
  <c r="BH98" i="3"/>
  <c r="BG98" i="3"/>
  <c r="BF98" i="3"/>
  <c r="T98" i="3"/>
  <c r="R98" i="3"/>
  <c r="P98" i="3"/>
  <c r="BI96" i="3"/>
  <c r="BH96" i="3"/>
  <c r="BG96" i="3"/>
  <c r="BF96" i="3"/>
  <c r="T96" i="3"/>
  <c r="R96" i="3"/>
  <c r="P96" i="3"/>
  <c r="BI94" i="3"/>
  <c r="BH94" i="3"/>
  <c r="BG94" i="3"/>
  <c r="BF94" i="3"/>
  <c r="T94" i="3"/>
  <c r="R94" i="3"/>
  <c r="P94" i="3"/>
  <c r="BI92" i="3"/>
  <c r="BH92" i="3"/>
  <c r="BG92" i="3"/>
  <c r="BF92" i="3"/>
  <c r="T92" i="3"/>
  <c r="R92" i="3"/>
  <c r="P92" i="3"/>
  <c r="BI90" i="3"/>
  <c r="BH90" i="3"/>
  <c r="BG90" i="3"/>
  <c r="BF90" i="3"/>
  <c r="T90" i="3"/>
  <c r="T89" i="3"/>
  <c r="R90" i="3"/>
  <c r="R89" i="3"/>
  <c r="P90" i="3"/>
  <c r="P89" i="3"/>
  <c r="F81" i="3"/>
  <c r="E79" i="3"/>
  <c r="F52" i="3"/>
  <c r="E50" i="3"/>
  <c r="J24" i="3"/>
  <c r="E24" i="3"/>
  <c r="J84" i="3" s="1"/>
  <c r="J23" i="3"/>
  <c r="J21" i="3"/>
  <c r="E21" i="3"/>
  <c r="J54" i="3"/>
  <c r="J20" i="3"/>
  <c r="J18" i="3"/>
  <c r="E18" i="3"/>
  <c r="F55" i="3" s="1"/>
  <c r="J17" i="3"/>
  <c r="J15" i="3"/>
  <c r="E15" i="3"/>
  <c r="F83" i="3" s="1"/>
  <c r="J14" i="3"/>
  <c r="J12" i="3"/>
  <c r="J52" i="3"/>
  <c r="E7" i="3"/>
  <c r="E77" i="3"/>
  <c r="J37" i="2"/>
  <c r="J36" i="2"/>
  <c r="AY55" i="1" s="1"/>
  <c r="J35" i="2"/>
  <c r="AX55" i="1" s="1"/>
  <c r="BI402" i="2"/>
  <c r="BH402" i="2"/>
  <c r="BG402" i="2"/>
  <c r="BF402" i="2"/>
  <c r="T402" i="2"/>
  <c r="R402" i="2"/>
  <c r="P402" i="2"/>
  <c r="BI397" i="2"/>
  <c r="BH397" i="2"/>
  <c r="BG397" i="2"/>
  <c r="BF397" i="2"/>
  <c r="T397" i="2"/>
  <c r="R397" i="2"/>
  <c r="P397" i="2"/>
  <c r="BI390" i="2"/>
  <c r="BH390" i="2"/>
  <c r="BG390" i="2"/>
  <c r="BF390" i="2"/>
  <c r="T390" i="2"/>
  <c r="R390" i="2"/>
  <c r="P390" i="2"/>
  <c r="BI387" i="2"/>
  <c r="BH387" i="2"/>
  <c r="BG387" i="2"/>
  <c r="BF387" i="2"/>
  <c r="T387" i="2"/>
  <c r="R387" i="2"/>
  <c r="P387" i="2"/>
  <c r="BI385" i="2"/>
  <c r="BH385" i="2"/>
  <c r="BG385" i="2"/>
  <c r="BF385" i="2"/>
  <c r="T385" i="2"/>
  <c r="R385" i="2"/>
  <c r="P385" i="2"/>
  <c r="BI380" i="2"/>
  <c r="BH380" i="2"/>
  <c r="BG380" i="2"/>
  <c r="BF380" i="2"/>
  <c r="T380" i="2"/>
  <c r="R380" i="2"/>
  <c r="P380" i="2"/>
  <c r="BI378" i="2"/>
  <c r="BH378" i="2"/>
  <c r="BG378" i="2"/>
  <c r="BF378" i="2"/>
  <c r="T378" i="2"/>
  <c r="R378" i="2"/>
  <c r="P378" i="2"/>
  <c r="BI376" i="2"/>
  <c r="BH376" i="2"/>
  <c r="BG376" i="2"/>
  <c r="BF376" i="2"/>
  <c r="T376" i="2"/>
  <c r="R376" i="2"/>
  <c r="P376" i="2"/>
  <c r="BI373" i="2"/>
  <c r="BH373" i="2"/>
  <c r="BG373" i="2"/>
  <c r="BF373" i="2"/>
  <c r="T373" i="2"/>
  <c r="R373" i="2"/>
  <c r="P373" i="2"/>
  <c r="BI371" i="2"/>
  <c r="BH371" i="2"/>
  <c r="BG371" i="2"/>
  <c r="BF371" i="2"/>
  <c r="T371" i="2"/>
  <c r="R371" i="2"/>
  <c r="P371" i="2"/>
  <c r="BI369" i="2"/>
  <c r="BH369" i="2"/>
  <c r="BG369" i="2"/>
  <c r="BF369" i="2"/>
  <c r="T369" i="2"/>
  <c r="R369" i="2"/>
  <c r="P369" i="2"/>
  <c r="BI366" i="2"/>
  <c r="BH366" i="2"/>
  <c r="BG366" i="2"/>
  <c r="BF366" i="2"/>
  <c r="T366" i="2"/>
  <c r="R366" i="2"/>
  <c r="P366" i="2"/>
  <c r="BI364" i="2"/>
  <c r="BH364" i="2"/>
  <c r="BG364" i="2"/>
  <c r="BF364" i="2"/>
  <c r="T364" i="2"/>
  <c r="R364" i="2"/>
  <c r="P364" i="2"/>
  <c r="BI362" i="2"/>
  <c r="BH362" i="2"/>
  <c r="BG362" i="2"/>
  <c r="BF362" i="2"/>
  <c r="T362" i="2"/>
  <c r="R362" i="2"/>
  <c r="P362" i="2"/>
  <c r="BI359" i="2"/>
  <c r="BH359" i="2"/>
  <c r="BG359" i="2"/>
  <c r="BF359" i="2"/>
  <c r="T359" i="2"/>
  <c r="R359" i="2"/>
  <c r="P359" i="2"/>
  <c r="BI357" i="2"/>
  <c r="BH357" i="2"/>
  <c r="BG357" i="2"/>
  <c r="BF357" i="2"/>
  <c r="T357" i="2"/>
  <c r="R357" i="2"/>
  <c r="P357" i="2"/>
  <c r="BI355" i="2"/>
  <c r="BH355" i="2"/>
  <c r="BG355" i="2"/>
  <c r="BF355" i="2"/>
  <c r="T355" i="2"/>
  <c r="R355" i="2"/>
  <c r="P355" i="2"/>
  <c r="BI353" i="2"/>
  <c r="BH353" i="2"/>
  <c r="BG353" i="2"/>
  <c r="BF353" i="2"/>
  <c r="T353" i="2"/>
  <c r="R353" i="2"/>
  <c r="P353" i="2"/>
  <c r="BI350" i="2"/>
  <c r="BH350" i="2"/>
  <c r="BG350" i="2"/>
  <c r="BF350" i="2"/>
  <c r="T350" i="2"/>
  <c r="R350" i="2"/>
  <c r="P350" i="2"/>
  <c r="BI346" i="2"/>
  <c r="BH346" i="2"/>
  <c r="BG346" i="2"/>
  <c r="BF346" i="2"/>
  <c r="T346" i="2"/>
  <c r="R346" i="2"/>
  <c r="P346" i="2"/>
  <c r="BI345" i="2"/>
  <c r="BH345" i="2"/>
  <c r="BG345" i="2"/>
  <c r="BF345" i="2"/>
  <c r="T345" i="2"/>
  <c r="R345" i="2"/>
  <c r="P345" i="2"/>
  <c r="BI344" i="2"/>
  <c r="BH344" i="2"/>
  <c r="BG344" i="2"/>
  <c r="BF344" i="2"/>
  <c r="T344" i="2"/>
  <c r="R344" i="2"/>
  <c r="P344" i="2"/>
  <c r="BI337" i="2"/>
  <c r="BH337" i="2"/>
  <c r="BG337" i="2"/>
  <c r="BF337" i="2"/>
  <c r="T337" i="2"/>
  <c r="R337" i="2"/>
  <c r="P337" i="2"/>
  <c r="BI335" i="2"/>
  <c r="BH335" i="2"/>
  <c r="BG335" i="2"/>
  <c r="BF335" i="2"/>
  <c r="T335" i="2"/>
  <c r="R335" i="2"/>
  <c r="P335" i="2"/>
  <c r="BI330" i="2"/>
  <c r="BH330" i="2"/>
  <c r="BG330" i="2"/>
  <c r="BF330" i="2"/>
  <c r="T330" i="2"/>
  <c r="R330" i="2"/>
  <c r="P330" i="2"/>
  <c r="BI327" i="2"/>
  <c r="BH327" i="2"/>
  <c r="BG327" i="2"/>
  <c r="BF327" i="2"/>
  <c r="T327" i="2"/>
  <c r="R327" i="2"/>
  <c r="P327" i="2"/>
  <c r="BI325" i="2"/>
  <c r="BH325" i="2"/>
  <c r="BG325" i="2"/>
  <c r="BF325" i="2"/>
  <c r="T325" i="2"/>
  <c r="R325" i="2"/>
  <c r="P325" i="2"/>
  <c r="BI323" i="2"/>
  <c r="BH323" i="2"/>
  <c r="BG323" i="2"/>
  <c r="BF323" i="2"/>
  <c r="T323" i="2"/>
  <c r="R323" i="2"/>
  <c r="P323" i="2"/>
  <c r="BI321" i="2"/>
  <c r="BH321" i="2"/>
  <c r="BG321" i="2"/>
  <c r="BF321" i="2"/>
  <c r="T321" i="2"/>
  <c r="R321" i="2"/>
  <c r="P321" i="2"/>
  <c r="BI319" i="2"/>
  <c r="BH319" i="2"/>
  <c r="BG319" i="2"/>
  <c r="BF319" i="2"/>
  <c r="T319" i="2"/>
  <c r="R319" i="2"/>
  <c r="P319" i="2"/>
  <c r="BI317" i="2"/>
  <c r="BH317" i="2"/>
  <c r="BG317" i="2"/>
  <c r="BF317" i="2"/>
  <c r="T317" i="2"/>
  <c r="R317" i="2"/>
  <c r="P317" i="2"/>
  <c r="BI315" i="2"/>
  <c r="BH315" i="2"/>
  <c r="BG315" i="2"/>
  <c r="BF315" i="2"/>
  <c r="T315" i="2"/>
  <c r="R315" i="2"/>
  <c r="P315" i="2"/>
  <c r="BI313" i="2"/>
  <c r="BH313" i="2"/>
  <c r="BG313" i="2"/>
  <c r="BF313" i="2"/>
  <c r="T313" i="2"/>
  <c r="R313" i="2"/>
  <c r="P313" i="2"/>
  <c r="BI309" i="2"/>
  <c r="BH309" i="2"/>
  <c r="BG309" i="2"/>
  <c r="BF309" i="2"/>
  <c r="T309" i="2"/>
  <c r="T308" i="2"/>
  <c r="R309" i="2"/>
  <c r="R308" i="2"/>
  <c r="P309" i="2"/>
  <c r="P308" i="2" s="1"/>
  <c r="BI307" i="2"/>
  <c r="BH307" i="2"/>
  <c r="BG307" i="2"/>
  <c r="BF307" i="2"/>
  <c r="T307" i="2"/>
  <c r="R307" i="2"/>
  <c r="P307" i="2"/>
  <c r="BI306" i="2"/>
  <c r="BH306" i="2"/>
  <c r="BG306" i="2"/>
  <c r="BF306" i="2"/>
  <c r="T306" i="2"/>
  <c r="R306" i="2"/>
  <c r="P306" i="2"/>
  <c r="BI305" i="2"/>
  <c r="BH305" i="2"/>
  <c r="BG305" i="2"/>
  <c r="BF305" i="2"/>
  <c r="T305" i="2"/>
  <c r="R305" i="2"/>
  <c r="P305" i="2"/>
  <c r="BI304" i="2"/>
  <c r="BH304" i="2"/>
  <c r="BG304" i="2"/>
  <c r="BF304" i="2"/>
  <c r="T304" i="2"/>
  <c r="R304" i="2"/>
  <c r="P304" i="2"/>
  <c r="BI303" i="2"/>
  <c r="BH303" i="2"/>
  <c r="BG303" i="2"/>
  <c r="BF303" i="2"/>
  <c r="T303" i="2"/>
  <c r="R303" i="2"/>
  <c r="P303" i="2"/>
  <c r="BI302" i="2"/>
  <c r="BH302" i="2"/>
  <c r="BG302" i="2"/>
  <c r="BF302" i="2"/>
  <c r="T302" i="2"/>
  <c r="R302" i="2"/>
  <c r="P302" i="2"/>
  <c r="BI301" i="2"/>
  <c r="BH301" i="2"/>
  <c r="BG301" i="2"/>
  <c r="BF301" i="2"/>
  <c r="T301" i="2"/>
  <c r="R301" i="2"/>
  <c r="P301" i="2"/>
  <c r="BI300" i="2"/>
  <c r="BH300" i="2"/>
  <c r="BG300" i="2"/>
  <c r="BF300" i="2"/>
  <c r="T300" i="2"/>
  <c r="R300" i="2"/>
  <c r="P300" i="2"/>
  <c r="BI299" i="2"/>
  <c r="BH299" i="2"/>
  <c r="BG299" i="2"/>
  <c r="BF299" i="2"/>
  <c r="T299" i="2"/>
  <c r="R299" i="2"/>
  <c r="P299" i="2"/>
  <c r="BI298" i="2"/>
  <c r="BH298" i="2"/>
  <c r="BG298" i="2"/>
  <c r="BF298" i="2"/>
  <c r="T298" i="2"/>
  <c r="R298" i="2"/>
  <c r="P298" i="2"/>
  <c r="BI297" i="2"/>
  <c r="BH297" i="2"/>
  <c r="BG297" i="2"/>
  <c r="BF297" i="2"/>
  <c r="T297" i="2"/>
  <c r="R297" i="2"/>
  <c r="P297" i="2"/>
  <c r="BI296" i="2"/>
  <c r="BH296" i="2"/>
  <c r="BG296" i="2"/>
  <c r="BF296" i="2"/>
  <c r="T296" i="2"/>
  <c r="R296" i="2"/>
  <c r="P296" i="2"/>
  <c r="BI295" i="2"/>
  <c r="BH295" i="2"/>
  <c r="BG295" i="2"/>
  <c r="BF295" i="2"/>
  <c r="T295" i="2"/>
  <c r="R295" i="2"/>
  <c r="P295" i="2"/>
  <c r="BI294" i="2"/>
  <c r="BH294" i="2"/>
  <c r="BG294" i="2"/>
  <c r="BF294" i="2"/>
  <c r="T294" i="2"/>
  <c r="R294" i="2"/>
  <c r="P294" i="2"/>
  <c r="BI293" i="2"/>
  <c r="BH293" i="2"/>
  <c r="BG293" i="2"/>
  <c r="BF293" i="2"/>
  <c r="T293" i="2"/>
  <c r="R293" i="2"/>
  <c r="P293" i="2"/>
  <c r="BI292" i="2"/>
  <c r="BH292" i="2"/>
  <c r="BG292" i="2"/>
  <c r="BF292" i="2"/>
  <c r="T292" i="2"/>
  <c r="R292" i="2"/>
  <c r="P292" i="2"/>
  <c r="BI291" i="2"/>
  <c r="BH291" i="2"/>
  <c r="BG291" i="2"/>
  <c r="BF291" i="2"/>
  <c r="T291" i="2"/>
  <c r="R291" i="2"/>
  <c r="P291" i="2"/>
  <c r="BI290" i="2"/>
  <c r="BH290" i="2"/>
  <c r="BG290" i="2"/>
  <c r="BF290" i="2"/>
  <c r="T290" i="2"/>
  <c r="R290" i="2"/>
  <c r="P290" i="2"/>
  <c r="BI289" i="2"/>
  <c r="BH289" i="2"/>
  <c r="BG289" i="2"/>
  <c r="BF289" i="2"/>
  <c r="T289" i="2"/>
  <c r="R289" i="2"/>
  <c r="P289" i="2"/>
  <c r="BI286" i="2"/>
  <c r="BH286" i="2"/>
  <c r="BG286" i="2"/>
  <c r="BF286" i="2"/>
  <c r="T286" i="2"/>
  <c r="R286" i="2"/>
  <c r="P286" i="2"/>
  <c r="BI283" i="2"/>
  <c r="BH283" i="2"/>
  <c r="BG283" i="2"/>
  <c r="BF283" i="2"/>
  <c r="T283" i="2"/>
  <c r="R283" i="2"/>
  <c r="P283" i="2"/>
  <c r="BI281" i="2"/>
  <c r="BH281" i="2"/>
  <c r="BG281" i="2"/>
  <c r="BF281" i="2"/>
  <c r="T281" i="2"/>
  <c r="R281" i="2"/>
  <c r="P281" i="2"/>
  <c r="BI279" i="2"/>
  <c r="BH279" i="2"/>
  <c r="BG279" i="2"/>
  <c r="BF279" i="2"/>
  <c r="T279" i="2"/>
  <c r="R279" i="2"/>
  <c r="P279" i="2"/>
  <c r="BI275" i="2"/>
  <c r="BH275" i="2"/>
  <c r="BG275" i="2"/>
  <c r="BF275" i="2"/>
  <c r="T275" i="2"/>
  <c r="R275" i="2"/>
  <c r="P275" i="2"/>
  <c r="BI273" i="2"/>
  <c r="BH273" i="2"/>
  <c r="BG273" i="2"/>
  <c r="BF273" i="2"/>
  <c r="T273" i="2"/>
  <c r="R273" i="2"/>
  <c r="P273" i="2"/>
  <c r="BI272" i="2"/>
  <c r="BH272" i="2"/>
  <c r="BG272" i="2"/>
  <c r="BF272" i="2"/>
  <c r="T272" i="2"/>
  <c r="R272" i="2"/>
  <c r="P272" i="2"/>
  <c r="BI269" i="2"/>
  <c r="BH269" i="2"/>
  <c r="BG269" i="2"/>
  <c r="BF269" i="2"/>
  <c r="T269" i="2"/>
  <c r="R269" i="2"/>
  <c r="P269" i="2"/>
  <c r="BI266" i="2"/>
  <c r="BH266" i="2"/>
  <c r="BG266" i="2"/>
  <c r="BF266" i="2"/>
  <c r="T266" i="2"/>
  <c r="R266" i="2"/>
  <c r="P266" i="2"/>
  <c r="BI261" i="2"/>
  <c r="BH261" i="2"/>
  <c r="BG261" i="2"/>
  <c r="BF261" i="2"/>
  <c r="T261" i="2"/>
  <c r="R261" i="2"/>
  <c r="P261" i="2"/>
  <c r="BI258" i="2"/>
  <c r="BH258" i="2"/>
  <c r="BG258" i="2"/>
  <c r="BF258" i="2"/>
  <c r="T258" i="2"/>
  <c r="R258" i="2"/>
  <c r="P258" i="2"/>
  <c r="BI256" i="2"/>
  <c r="BH256" i="2"/>
  <c r="BG256" i="2"/>
  <c r="BF256" i="2"/>
  <c r="T256" i="2"/>
  <c r="R256" i="2"/>
  <c r="P256" i="2"/>
  <c r="BI254" i="2"/>
  <c r="BH254" i="2"/>
  <c r="BG254" i="2"/>
  <c r="BF254" i="2"/>
  <c r="T254" i="2"/>
  <c r="R254" i="2"/>
  <c r="P254" i="2"/>
  <c r="BI252" i="2"/>
  <c r="BH252" i="2"/>
  <c r="BG252" i="2"/>
  <c r="BF252" i="2"/>
  <c r="T252" i="2"/>
  <c r="R252" i="2"/>
  <c r="P252" i="2"/>
  <c r="BI247" i="2"/>
  <c r="BH247" i="2"/>
  <c r="BG247" i="2"/>
  <c r="BF247" i="2"/>
  <c r="T247" i="2"/>
  <c r="R247" i="2"/>
  <c r="P247" i="2"/>
  <c r="BI245" i="2"/>
  <c r="BH245" i="2"/>
  <c r="BG245" i="2"/>
  <c r="BF245" i="2"/>
  <c r="T245" i="2"/>
  <c r="R245" i="2"/>
  <c r="P245" i="2"/>
  <c r="BI240" i="2"/>
  <c r="BH240" i="2"/>
  <c r="BG240" i="2"/>
  <c r="BF240" i="2"/>
  <c r="T240" i="2"/>
  <c r="R240" i="2"/>
  <c r="P240" i="2"/>
  <c r="BI238" i="2"/>
  <c r="BH238" i="2"/>
  <c r="BG238" i="2"/>
  <c r="BF238" i="2"/>
  <c r="T238" i="2"/>
  <c r="R238" i="2"/>
  <c r="P238" i="2"/>
  <c r="BI234" i="2"/>
  <c r="BH234" i="2"/>
  <c r="BG234" i="2"/>
  <c r="BF234" i="2"/>
  <c r="T234" i="2"/>
  <c r="R234" i="2"/>
  <c r="P234" i="2"/>
  <c r="BI228" i="2"/>
  <c r="BH228" i="2"/>
  <c r="BG228" i="2"/>
  <c r="BF228" i="2"/>
  <c r="T228" i="2"/>
  <c r="R228" i="2"/>
  <c r="P228" i="2"/>
  <c r="BI225" i="2"/>
  <c r="BH225" i="2"/>
  <c r="BG225" i="2"/>
  <c r="BF225" i="2"/>
  <c r="T225" i="2"/>
  <c r="R225" i="2"/>
  <c r="P225" i="2"/>
  <c r="BI222" i="2"/>
  <c r="BH222" i="2"/>
  <c r="BG222" i="2"/>
  <c r="BF222" i="2"/>
  <c r="T222" i="2"/>
  <c r="R222" i="2"/>
  <c r="P222" i="2"/>
  <c r="BI221" i="2"/>
  <c r="BH221" i="2"/>
  <c r="BG221" i="2"/>
  <c r="BF221" i="2"/>
  <c r="T221" i="2"/>
  <c r="R221" i="2"/>
  <c r="P221" i="2"/>
  <c r="BI219" i="2"/>
  <c r="BH219" i="2"/>
  <c r="BG219" i="2"/>
  <c r="BF219" i="2"/>
  <c r="T219" i="2"/>
  <c r="R219" i="2"/>
  <c r="P219" i="2"/>
  <c r="BI215" i="2"/>
  <c r="BH215" i="2"/>
  <c r="BG215" i="2"/>
  <c r="BF215" i="2"/>
  <c r="T215" i="2"/>
  <c r="R215" i="2"/>
  <c r="P215" i="2"/>
  <c r="BI208" i="2"/>
  <c r="BH208" i="2"/>
  <c r="BG208" i="2"/>
  <c r="BF208" i="2"/>
  <c r="T208" i="2"/>
  <c r="R208" i="2"/>
  <c r="P208" i="2"/>
  <c r="BI202" i="2"/>
  <c r="BH202" i="2"/>
  <c r="BG202" i="2"/>
  <c r="BF202" i="2"/>
  <c r="T202" i="2"/>
  <c r="R202" i="2"/>
  <c r="P202" i="2"/>
  <c r="BI199" i="2"/>
  <c r="BH199" i="2"/>
  <c r="BG199" i="2"/>
  <c r="BF199" i="2"/>
  <c r="T199" i="2"/>
  <c r="R199" i="2"/>
  <c r="P199" i="2"/>
  <c r="BI197" i="2"/>
  <c r="BH197" i="2"/>
  <c r="BG197" i="2"/>
  <c r="BF197" i="2"/>
  <c r="T197" i="2"/>
  <c r="R197" i="2"/>
  <c r="P197" i="2"/>
  <c r="BI192" i="2"/>
  <c r="BH192" i="2"/>
  <c r="BG192" i="2"/>
  <c r="BF192" i="2"/>
  <c r="T192" i="2"/>
  <c r="R192" i="2"/>
  <c r="P192" i="2"/>
  <c r="BI190" i="2"/>
  <c r="BH190" i="2"/>
  <c r="BG190" i="2"/>
  <c r="BF190" i="2"/>
  <c r="T190" i="2"/>
  <c r="R190" i="2"/>
  <c r="P190" i="2"/>
  <c r="BI185" i="2"/>
  <c r="BH185" i="2"/>
  <c r="BG185" i="2"/>
  <c r="BF185" i="2"/>
  <c r="T185" i="2"/>
  <c r="R185" i="2"/>
  <c r="P185" i="2"/>
  <c r="BI183" i="2"/>
  <c r="BH183" i="2"/>
  <c r="BG183" i="2"/>
  <c r="BF183" i="2"/>
  <c r="T183" i="2"/>
  <c r="R183" i="2"/>
  <c r="P183" i="2"/>
  <c r="BI181" i="2"/>
  <c r="BH181" i="2"/>
  <c r="BG181" i="2"/>
  <c r="BF181" i="2"/>
  <c r="T181" i="2"/>
  <c r="R181" i="2"/>
  <c r="P181" i="2"/>
  <c r="BI170" i="2"/>
  <c r="BH170" i="2"/>
  <c r="BG170" i="2"/>
  <c r="BF170" i="2"/>
  <c r="T170" i="2"/>
  <c r="R170" i="2"/>
  <c r="P170" i="2"/>
  <c r="BI158" i="2"/>
  <c r="BH158" i="2"/>
  <c r="BG158" i="2"/>
  <c r="BF158" i="2"/>
  <c r="T158" i="2"/>
  <c r="R158" i="2"/>
  <c r="P158" i="2"/>
  <c r="BI156" i="2"/>
  <c r="BH156" i="2"/>
  <c r="BG156" i="2"/>
  <c r="BF156" i="2"/>
  <c r="T156" i="2"/>
  <c r="R156" i="2"/>
  <c r="P156" i="2"/>
  <c r="BI152" i="2"/>
  <c r="BH152" i="2"/>
  <c r="BG152" i="2"/>
  <c r="BF152" i="2"/>
  <c r="T152" i="2"/>
  <c r="R152" i="2"/>
  <c r="P152" i="2"/>
  <c r="BI150" i="2"/>
  <c r="BH150" i="2"/>
  <c r="BG150" i="2"/>
  <c r="BF150" i="2"/>
  <c r="T150" i="2"/>
  <c r="R150" i="2"/>
  <c r="P150" i="2"/>
  <c r="BI145" i="2"/>
  <c r="BH145" i="2"/>
  <c r="BG145" i="2"/>
  <c r="BF145" i="2"/>
  <c r="T145" i="2"/>
  <c r="R145" i="2"/>
  <c r="P145" i="2"/>
  <c r="BI135" i="2"/>
  <c r="BH135" i="2"/>
  <c r="BG135" i="2"/>
  <c r="BF135" i="2"/>
  <c r="T135" i="2"/>
  <c r="R135" i="2"/>
  <c r="P135" i="2"/>
  <c r="BI126" i="2"/>
  <c r="BH126" i="2"/>
  <c r="BG126" i="2"/>
  <c r="BF126" i="2"/>
  <c r="T126" i="2"/>
  <c r="R126" i="2"/>
  <c r="P126" i="2"/>
  <c r="BI121" i="2"/>
  <c r="F37" i="2" s="1"/>
  <c r="BH121" i="2"/>
  <c r="BG121" i="2"/>
  <c r="BF121" i="2"/>
  <c r="T121" i="2"/>
  <c r="R121" i="2"/>
  <c r="P121" i="2"/>
  <c r="BI115" i="2"/>
  <c r="BH115" i="2"/>
  <c r="BG115" i="2"/>
  <c r="BF115" i="2"/>
  <c r="T115" i="2"/>
  <c r="R115" i="2"/>
  <c r="P115" i="2"/>
  <c r="BI112" i="2"/>
  <c r="BH112" i="2"/>
  <c r="BG112" i="2"/>
  <c r="BF112" i="2"/>
  <c r="T112" i="2"/>
  <c r="R112" i="2"/>
  <c r="P112" i="2"/>
  <c r="BI109" i="2"/>
  <c r="BH109" i="2"/>
  <c r="BG109" i="2"/>
  <c r="BF109" i="2"/>
  <c r="T109" i="2"/>
  <c r="R109" i="2"/>
  <c r="P109" i="2"/>
  <c r="BI105" i="2"/>
  <c r="BH105" i="2"/>
  <c r="BG105" i="2"/>
  <c r="BF105" i="2"/>
  <c r="T105" i="2"/>
  <c r="R105" i="2"/>
  <c r="P105" i="2"/>
  <c r="BI98" i="2"/>
  <c r="BH98" i="2"/>
  <c r="F36" i="2" s="1"/>
  <c r="BG98" i="2"/>
  <c r="BF98" i="2"/>
  <c r="T98" i="2"/>
  <c r="R98" i="2"/>
  <c r="P98" i="2"/>
  <c r="F89" i="2"/>
  <c r="E87" i="2"/>
  <c r="F52" i="2"/>
  <c r="E50" i="2"/>
  <c r="J24" i="2"/>
  <c r="E24" i="2"/>
  <c r="J55" i="2"/>
  <c r="J23" i="2"/>
  <c r="J21" i="2"/>
  <c r="E21" i="2"/>
  <c r="J91" i="2" s="1"/>
  <c r="J20" i="2"/>
  <c r="J18" i="2"/>
  <c r="E18" i="2"/>
  <c r="F92" i="2" s="1"/>
  <c r="J17" i="2"/>
  <c r="J15" i="2"/>
  <c r="E15" i="2"/>
  <c r="F54" i="2"/>
  <c r="J14" i="2"/>
  <c r="J12" i="2"/>
  <c r="J89" i="2" s="1"/>
  <c r="E7" i="2"/>
  <c r="E48" i="2" s="1"/>
  <c r="L50" i="1"/>
  <c r="AM50" i="1"/>
  <c r="AM49" i="1"/>
  <c r="L49" i="1"/>
  <c r="AM47" i="1"/>
  <c r="L47" i="1"/>
  <c r="L45" i="1"/>
  <c r="L44" i="1"/>
  <c r="J335" i="2"/>
  <c r="J300" i="2"/>
  <c r="J275" i="2"/>
  <c r="BK222" i="2"/>
  <c r="J158" i="2"/>
  <c r="BK121" i="2"/>
  <c r="BK335" i="2"/>
  <c r="BK315" i="2"/>
  <c r="J305" i="2"/>
  <c r="J294" i="2"/>
  <c r="J273" i="2"/>
  <c r="BK199" i="2"/>
  <c r="J112" i="2"/>
  <c r="BK402" i="2"/>
  <c r="BK390" i="2"/>
  <c r="BK387" i="2"/>
  <c r="BK380" i="2"/>
  <c r="J376" i="2"/>
  <c r="J321" i="2"/>
  <c r="J290" i="2"/>
  <c r="J225" i="2"/>
  <c r="BK183" i="2"/>
  <c r="BK126" i="2"/>
  <c r="BK98" i="2"/>
  <c r="BK321" i="2"/>
  <c r="BK313" i="2"/>
  <c r="BK297" i="2"/>
  <c r="BK286" i="2"/>
  <c r="J252" i="2"/>
  <c r="BK181" i="2"/>
  <c r="AS61" i="1"/>
  <c r="J378" i="2"/>
  <c r="J364" i="2"/>
  <c r="J355" i="2"/>
  <c r="BK345" i="2"/>
  <c r="BK357" i="2"/>
  <c r="BK298" i="2"/>
  <c r="J272" i="2"/>
  <c r="BK190" i="2"/>
  <c r="J135" i="2"/>
  <c r="BK362" i="2"/>
  <c r="BK323" i="2"/>
  <c r="J317" i="2"/>
  <c r="BK307" i="2"/>
  <c r="BK295" i="2"/>
  <c r="BK275" i="2"/>
  <c r="J152" i="2"/>
  <c r="J98" i="2"/>
  <c r="J397" i="2"/>
  <c r="J387" i="2"/>
  <c r="J380" i="2"/>
  <c r="BK369" i="2"/>
  <c r="BK301" i="2"/>
  <c r="BK294" i="2"/>
  <c r="J289" i="2"/>
  <c r="BK266" i="2"/>
  <c r="BK234" i="2"/>
  <c r="J190" i="2"/>
  <c r="BK366" i="2"/>
  <c r="J346" i="2"/>
  <c r="J315" i="2"/>
  <c r="J304" i="2"/>
  <c r="BK289" i="2"/>
  <c r="BK240" i="2"/>
  <c r="J215" i="2"/>
  <c r="J109" i="2"/>
  <c r="BK226" i="3"/>
  <c r="BK170" i="3"/>
  <c r="J94" i="3"/>
  <c r="BK96" i="3"/>
  <c r="J205" i="3"/>
  <c r="J172" i="3"/>
  <c r="BK156" i="3"/>
  <c r="J114" i="3"/>
  <c r="J228" i="3"/>
  <c r="BK182" i="3"/>
  <c r="BK152" i="3"/>
  <c r="J120" i="3"/>
  <c r="BK106" i="4"/>
  <c r="BK92" i="4"/>
  <c r="BK96" i="4"/>
  <c r="BK90" i="4"/>
  <c r="J98" i="5"/>
  <c r="BK100" i="6"/>
  <c r="J98" i="6"/>
  <c r="J90" i="6"/>
  <c r="BK113" i="7"/>
  <c r="J99" i="7"/>
  <c r="BK133" i="8"/>
  <c r="J113" i="8"/>
  <c r="J208" i="8"/>
  <c r="J143" i="8"/>
  <c r="J223" i="8"/>
  <c r="J213" i="8"/>
  <c r="BK328" i="9"/>
  <c r="BK332" i="9"/>
  <c r="J295" i="9"/>
  <c r="BK235" i="9"/>
  <c r="J142" i="9"/>
  <c r="BK337" i="9"/>
  <c r="BK122" i="9"/>
  <c r="J147" i="9"/>
  <c r="BK187" i="9"/>
  <c r="BK147" i="9"/>
  <c r="BK208" i="10"/>
  <c r="J222" i="10"/>
  <c r="J248" i="10"/>
  <c r="J214" i="10"/>
  <c r="BK226" i="10"/>
  <c r="BK251" i="10"/>
  <c r="J237" i="10"/>
  <c r="BK216" i="10"/>
  <c r="BK125" i="10"/>
  <c r="BK138" i="11"/>
  <c r="J135" i="11"/>
  <c r="J110" i="11"/>
  <c r="BK92" i="12"/>
  <c r="J362" i="2"/>
  <c r="BK299" i="2"/>
  <c r="BK273" i="2"/>
  <c r="BK215" i="2"/>
  <c r="BK150" i="2"/>
  <c r="BK344" i="2"/>
  <c r="J292" i="2"/>
  <c r="J258" i="2"/>
  <c r="J115" i="2"/>
  <c r="BK319" i="2"/>
  <c r="BK290" i="2"/>
  <c r="J170" i="2"/>
  <c r="J154" i="3"/>
  <c r="BK114" i="3"/>
  <c r="J201" i="3"/>
  <c r="J170" i="3"/>
  <c r="BK132" i="3"/>
  <c r="J210" i="3"/>
  <c r="J150" i="3"/>
  <c r="J106" i="3"/>
  <c r="BK113" i="4"/>
  <c r="J98" i="4"/>
  <c r="BK99" i="5"/>
  <c r="BK91" i="6"/>
  <c r="J88" i="6"/>
  <c r="BK108" i="7"/>
  <c r="BK173" i="8"/>
  <c r="J203" i="8"/>
  <c r="BK253" i="8"/>
  <c r="J372" i="9"/>
  <c r="J216" i="9"/>
  <c r="BK202" i="9"/>
  <c r="J308" i="9"/>
  <c r="J332" i="9"/>
  <c r="J167" i="9"/>
  <c r="J230" i="10"/>
  <c r="BK200" i="10"/>
  <c r="J122" i="10"/>
  <c r="BK248" i="10"/>
  <c r="J220" i="10"/>
  <c r="J145" i="11"/>
  <c r="BK145" i="11"/>
  <c r="BK122" i="11"/>
  <c r="BK138" i="3"/>
  <c r="BK240" i="3"/>
  <c r="J100" i="3"/>
  <c r="J212" i="3"/>
  <c r="BK184" i="3"/>
  <c r="J164" i="3"/>
  <c r="J148" i="3"/>
  <c r="J92" i="3"/>
  <c r="J216" i="3"/>
  <c r="J193" i="3"/>
  <c r="BK172" i="3"/>
  <c r="BK142" i="3"/>
  <c r="BK118" i="3"/>
  <c r="BK109" i="4"/>
  <c r="BK100" i="4"/>
  <c r="BK110" i="4"/>
  <c r="BK111" i="4"/>
  <c r="BK88" i="5"/>
  <c r="BK92" i="5"/>
  <c r="J91" i="5"/>
  <c r="BK102" i="6"/>
  <c r="J96" i="6"/>
  <c r="BK96" i="6"/>
  <c r="J110" i="7"/>
  <c r="BK110" i="7"/>
  <c r="BK90" i="7"/>
  <c r="J136" i="7"/>
  <c r="J184" i="8"/>
  <c r="BK98" i="8"/>
  <c r="BK223" i="8"/>
  <c r="BK153" i="8"/>
  <c r="J93" i="8"/>
  <c r="J128" i="8"/>
  <c r="BK366" i="9"/>
  <c r="BK346" i="9"/>
  <c r="J312" i="9"/>
  <c r="J197" i="9"/>
  <c r="BK102" i="9"/>
  <c r="J291" i="9"/>
  <c r="J97" i="9"/>
  <c r="BK252" i="9"/>
  <c r="J202" i="9"/>
  <c r="J132" i="9"/>
  <c r="J200" i="10"/>
  <c r="J197" i="10"/>
  <c r="BK220" i="10"/>
  <c r="BK364" i="2"/>
  <c r="J295" i="2"/>
  <c r="BK245" i="2"/>
  <c r="J145" i="2"/>
  <c r="BK109" i="2"/>
  <c r="BK346" i="2"/>
  <c r="BK325" i="2"/>
  <c r="J319" i="2"/>
  <c r="BK303" i="2"/>
  <c r="BK247" i="2"/>
  <c r="BK170" i="2"/>
  <c r="BK135" i="2"/>
  <c r="J402" i="2"/>
  <c r="J390" i="2"/>
  <c r="J385" i="2"/>
  <c r="J366" i="2"/>
  <c r="J309" i="2"/>
  <c r="BK293" i="2"/>
  <c r="J281" i="2"/>
  <c r="BK261" i="2"/>
  <c r="BK219" i="2"/>
  <c r="J105" i="2"/>
  <c r="J350" i="2"/>
  <c r="J325" i="2"/>
  <c r="J307" i="2"/>
  <c r="J293" i="2"/>
  <c r="BK256" i="2"/>
  <c r="J222" i="2"/>
  <c r="J183" i="2"/>
  <c r="BK232" i="3"/>
  <c r="BK197" i="3"/>
  <c r="BK134" i="3"/>
  <c r="BK236" i="3"/>
  <c r="BK224" i="3"/>
  <c r="J187" i="3"/>
  <c r="J162" i="3"/>
  <c r="J140" i="3"/>
  <c r="BK98" i="3"/>
  <c r="BK207" i="3"/>
  <c r="BK174" i="3"/>
  <c r="J132" i="3"/>
  <c r="J102" i="3"/>
  <c r="BK102" i="4"/>
  <c r="J100" i="4"/>
  <c r="J102" i="4"/>
  <c r="J95" i="5"/>
  <c r="BK93" i="5"/>
  <c r="J93" i="6"/>
  <c r="BK92" i="6"/>
  <c r="J144" i="7"/>
  <c r="BK131" i="7"/>
  <c r="BK123" i="7"/>
  <c r="BK218" i="8"/>
  <c r="BK266" i="8"/>
  <c r="BK179" i="8"/>
  <c r="J108" i="8"/>
  <c r="BK143" i="8"/>
  <c r="BK148" i="8"/>
  <c r="J299" i="9"/>
  <c r="BK267" i="9"/>
  <c r="J257" i="9"/>
  <c r="BK157" i="9"/>
  <c r="BK316" i="9"/>
  <c r="BK167" i="9"/>
  <c r="BK318" i="9"/>
  <c r="BK132" i="9"/>
  <c r="BK152" i="9"/>
  <c r="BK173" i="10"/>
  <c r="BK231" i="10"/>
  <c r="J242" i="10"/>
  <c r="BK186" i="10"/>
  <c r="BK87" i="10"/>
  <c r="BK244" i="10"/>
  <c r="BK223" i="10"/>
  <c r="J151" i="10"/>
  <c r="J87" i="10"/>
  <c r="BK116" i="11"/>
  <c r="J130" i="11"/>
  <c r="J116" i="11"/>
  <c r="BK94" i="12"/>
  <c r="J337" i="2"/>
  <c r="J302" i="2"/>
  <c r="BK283" i="2"/>
  <c r="J221" i="2"/>
  <c r="BK156" i="2"/>
  <c r="J197" i="2"/>
  <c r="J344" i="2"/>
  <c r="J303" i="2"/>
  <c r="BK258" i="2"/>
  <c r="J219" i="2"/>
  <c r="BK228" i="3"/>
  <c r="J130" i="3"/>
  <c r="J242" i="3"/>
  <c r="J218" i="3"/>
  <c r="J160" i="3"/>
  <c r="BK110" i="3"/>
  <c r="BK178" i="3"/>
  <c r="BK126" i="3"/>
  <c r="J96" i="4"/>
  <c r="J110" i="4"/>
  <c r="BK91" i="5"/>
  <c r="J101" i="6"/>
  <c r="J85" i="6"/>
  <c r="J102" i="7"/>
  <c r="BK144" i="7"/>
  <c r="BK93" i="8"/>
  <c r="BK184" i="8"/>
  <c r="J153" i="8"/>
  <c r="BK308" i="9"/>
  <c r="BK272" i="9"/>
  <c r="J127" i="9"/>
  <c r="J192" i="9"/>
  <c r="BK172" i="9"/>
  <c r="BK222" i="10"/>
  <c r="J228" i="10"/>
  <c r="J153" i="10"/>
  <c r="BK138" i="10"/>
  <c r="BK140" i="11"/>
  <c r="J132" i="11"/>
  <c r="J92" i="12"/>
  <c r="BK116" i="3"/>
  <c r="J110" i="3"/>
  <c r="J222" i="3"/>
  <c r="J197" i="3"/>
  <c r="J178" i="3"/>
  <c r="J142" i="3"/>
  <c r="BK106" i="3"/>
  <c r="J226" i="3"/>
  <c r="BK205" i="3"/>
  <c r="BK180" i="3"/>
  <c r="J156" i="3"/>
  <c r="BK130" i="3"/>
  <c r="BK108" i="3"/>
  <c r="J103" i="4"/>
  <c r="J112" i="4"/>
  <c r="BK91" i="4"/>
  <c r="BK93" i="4"/>
  <c r="J89" i="5"/>
  <c r="J94" i="5"/>
  <c r="J97" i="6"/>
  <c r="J86" i="6"/>
  <c r="J91" i="6"/>
  <c r="J128" i="7"/>
  <c r="J117" i="7"/>
  <c r="BK133" i="7"/>
  <c r="BK136" i="7"/>
  <c r="BK213" i="8"/>
  <c r="BK258" i="8"/>
  <c r="J198" i="8"/>
  <c r="BK113" i="8"/>
  <c r="BK158" i="8"/>
  <c r="BK378" i="9"/>
  <c r="J235" i="9"/>
  <c r="BK216" i="9"/>
  <c r="J252" i="9"/>
  <c r="BK162" i="9"/>
  <c r="J341" i="9"/>
  <c r="J137" i="9"/>
  <c r="BK207" i="9"/>
  <c r="BK127" i="9"/>
  <c r="J102" i="9"/>
  <c r="BK230" i="10"/>
  <c r="BK151" i="10"/>
  <c r="J205" i="10"/>
  <c r="BK130" i="11"/>
  <c r="BK96" i="11"/>
  <c r="J96" i="11"/>
  <c r="BK132" i="11"/>
  <c r="BK113" i="11"/>
  <c r="J89" i="12"/>
  <c r="BK373" i="2"/>
  <c r="BK304" i="2"/>
  <c r="J234" i="2"/>
  <c r="J199" i="2"/>
  <c r="BK152" i="2"/>
  <c r="BK112" i="2"/>
  <c r="BK105" i="2"/>
  <c r="J345" i="2"/>
  <c r="J306" i="2"/>
  <c r="BK296" i="2"/>
  <c r="J279" i="2"/>
  <c r="BK202" i="2"/>
  <c r="J156" i="2"/>
  <c r="BK145" i="2"/>
  <c r="BK397" i="2"/>
  <c r="BK385" i="2"/>
  <c r="BK378" i="2"/>
  <c r="J373" i="2"/>
  <c r="J357" i="2"/>
  <c r="BK350" i="2"/>
  <c r="BK327" i="2"/>
  <c r="BK291" i="2"/>
  <c r="BK272" i="2"/>
  <c r="BK238" i="2"/>
  <c r="J208" i="2"/>
  <c r="J150" i="2"/>
  <c r="J359" i="2"/>
  <c r="BK330" i="2"/>
  <c r="J313" i="2"/>
  <c r="J301" i="2"/>
  <c r="BK281" i="2"/>
  <c r="J238" i="2"/>
  <c r="BK197" i="2"/>
  <c r="BK238" i="3"/>
  <c r="BK218" i="3"/>
  <c r="BK187" i="3"/>
  <c r="BK120" i="3"/>
  <c r="J239" i="3"/>
  <c r="BK210" i="3"/>
  <c r="BK193" i="3"/>
  <c r="J166" i="3"/>
  <c r="BK145" i="3"/>
  <c r="J126" i="3"/>
  <c r="J232" i="3"/>
  <c r="J195" i="3"/>
  <c r="BK168" i="3"/>
  <c r="J144" i="3"/>
  <c r="BK124" i="3"/>
  <c r="J98" i="3"/>
  <c r="J94" i="4"/>
  <c r="J90" i="4"/>
  <c r="J113" i="4"/>
  <c r="BK94" i="5"/>
  <c r="BK101" i="5"/>
  <c r="BK95" i="5"/>
  <c r="J94" i="6"/>
  <c r="J100" i="6"/>
  <c r="BK88" i="6"/>
  <c r="J113" i="7"/>
  <c r="J108" i="7"/>
  <c r="BK147" i="7"/>
  <c r="J131" i="7"/>
  <c r="J158" i="8"/>
  <c r="J248" i="8"/>
  <c r="J218" i="8"/>
  <c r="J123" i="8"/>
  <c r="BK163" i="8"/>
  <c r="J179" i="8"/>
  <c r="J374" i="9"/>
  <c r="J351" i="9"/>
  <c r="J282" i="9"/>
  <c r="BK287" i="9"/>
  <c r="BK192" i="9"/>
  <c r="BK372" i="9"/>
  <c r="BK230" i="9"/>
  <c r="BK341" i="9"/>
  <c r="J230" i="9"/>
  <c r="BK117" i="9"/>
  <c r="BK177" i="9"/>
  <c r="J216" i="10"/>
  <c r="BK235" i="10"/>
  <c r="BK166" i="10"/>
  <c r="J226" i="10"/>
  <c r="BK116" i="10"/>
  <c r="BK164" i="10"/>
  <c r="J251" i="10"/>
  <c r="BK233" i="10"/>
  <c r="J210" i="10"/>
  <c r="BK109" i="10"/>
  <c r="J122" i="11"/>
  <c r="BK135" i="11"/>
  <c r="J125" i="11"/>
  <c r="BK87" i="11"/>
  <c r="BK86" i="12"/>
  <c r="J330" i="2"/>
  <c r="J297" i="2"/>
  <c r="J254" i="2"/>
  <c r="BK228" i="2"/>
  <c r="J185" i="2"/>
  <c r="BK371" i="2"/>
  <c r="J353" i="2"/>
  <c r="J298" i="2"/>
  <c r="BK269" i="2"/>
  <c r="BK225" i="2"/>
  <c r="J369" i="2"/>
  <c r="J327" i="2"/>
  <c r="J296" i="2"/>
  <c r="BK252" i="2"/>
  <c r="J202" i="2"/>
  <c r="J236" i="3"/>
  <c r="BK216" i="3"/>
  <c r="BK242" i="3"/>
  <c r="BK230" i="3"/>
  <c r="J180" i="3"/>
  <c r="BK144" i="3"/>
  <c r="J224" i="3"/>
  <c r="BK201" i="3"/>
  <c r="BK136" i="3"/>
  <c r="BK112" i="4"/>
  <c r="J105" i="4"/>
  <c r="BK98" i="5"/>
  <c r="J93" i="5"/>
  <c r="BK89" i="6"/>
  <c r="BK101" i="6"/>
  <c r="J147" i="7"/>
  <c r="BK117" i="7"/>
  <c r="BK128" i="7"/>
  <c r="J253" i="8"/>
  <c r="J148" i="8"/>
  <c r="J173" i="8"/>
  <c r="BK203" i="8"/>
  <c r="BK277" i="9"/>
  <c r="BK299" i="9"/>
  <c r="J172" i="9"/>
  <c r="J247" i="9"/>
  <c r="J287" i="9"/>
  <c r="BK211" i="9"/>
  <c r="J244" i="10"/>
  <c r="BK218" i="10"/>
  <c r="J109" i="10"/>
  <c r="J173" i="10"/>
  <c r="J208" i="10"/>
  <c r="BK228" i="10"/>
  <c r="BK122" i="10"/>
  <c r="J127" i="11"/>
  <c r="J89" i="11"/>
  <c r="J107" i="11"/>
  <c r="J176" i="3"/>
  <c r="J104" i="3"/>
  <c r="J238" i="3"/>
  <c r="BK234" i="3"/>
  <c r="J203" i="3"/>
  <c r="J174" i="3"/>
  <c r="J158" i="3"/>
  <c r="J136" i="3"/>
  <c r="BK122" i="3"/>
  <c r="BK222" i="3"/>
  <c r="BK199" i="3"/>
  <c r="BK166" i="3"/>
  <c r="BK148" i="3"/>
  <c r="J122" i="3"/>
  <c r="BK100" i="3"/>
  <c r="BK98" i="4"/>
  <c r="J91" i="4"/>
  <c r="BK99" i="4"/>
  <c r="BK105" i="4"/>
  <c r="BK96" i="5"/>
  <c r="J96" i="5"/>
  <c r="BK97" i="5"/>
  <c r="BK87" i="6"/>
  <c r="J92" i="6"/>
  <c r="BK94" i="6"/>
  <c r="J87" i="6"/>
  <c r="J104" i="7"/>
  <c r="J106" i="7"/>
  <c r="J133" i="7"/>
  <c r="BK104" i="7"/>
  <c r="J123" i="7"/>
  <c r="BK138" i="8"/>
  <c r="J243" i="8"/>
  <c r="J189" i="8"/>
  <c r="BK228" i="8"/>
  <c r="J118" i="8"/>
  <c r="J168" i="8"/>
  <c r="J337" i="9"/>
  <c r="BK323" i="9"/>
  <c r="J346" i="9"/>
  <c r="BK220" i="9"/>
  <c r="J378" i="9"/>
  <c r="BK303" i="9"/>
  <c r="J220" i="9"/>
  <c r="BK361" i="9"/>
  <c r="BK137" i="9"/>
  <c r="J162" i="9"/>
  <c r="J218" i="10"/>
  <c r="BK238" i="10"/>
  <c r="J246" i="10"/>
  <c r="BK225" i="10"/>
  <c r="J119" i="10"/>
  <c r="BK119" i="11"/>
  <c r="BK127" i="11"/>
  <c r="J143" i="11"/>
  <c r="J91" i="11"/>
  <c r="J94" i="12"/>
  <c r="BK300" i="2"/>
  <c r="J286" i="2"/>
  <c r="J256" i="2"/>
  <c r="BK158" i="2"/>
  <c r="BK355" i="2"/>
  <c r="J323" i="2"/>
  <c r="BK305" i="2"/>
  <c r="J291" i="2"/>
  <c r="J261" i="2"/>
  <c r="BK221" i="2"/>
  <c r="J126" i="2"/>
  <c r="J234" i="3"/>
  <c r="BK203" i="3"/>
  <c r="J108" i="3"/>
  <c r="BK102" i="3"/>
  <c r="J220" i="3"/>
  <c r="J182" i="3"/>
  <c r="BK150" i="3"/>
  <c r="J96" i="3"/>
  <c r="BK220" i="3"/>
  <c r="BK191" i="3"/>
  <c r="BK158" i="3"/>
  <c r="BK128" i="3"/>
  <c r="BK104" i="3"/>
  <c r="J99" i="4"/>
  <c r="BK108" i="4"/>
  <c r="J106" i="4"/>
  <c r="J97" i="5"/>
  <c r="J86" i="5"/>
  <c r="BK84" i="6"/>
  <c r="J102" i="6"/>
  <c r="BK86" i="6"/>
  <c r="BK121" i="7"/>
  <c r="J94" i="7"/>
  <c r="J140" i="7"/>
  <c r="BK208" i="8"/>
  <c r="J233" i="8"/>
  <c r="J163" i="8"/>
  <c r="BK248" i="8"/>
  <c r="BK103" i="8"/>
  <c r="BK118" i="8"/>
  <c r="BK247" i="9"/>
  <c r="J318" i="9"/>
  <c r="J207" i="9"/>
  <c r="BK97" i="9"/>
  <c r="BK295" i="9"/>
  <c r="BK197" i="9"/>
  <c r="J303" i="9"/>
  <c r="BK107" i="9"/>
  <c r="J186" i="10"/>
  <c r="BK214" i="10"/>
  <c r="BK234" i="10"/>
  <c r="BK153" i="10"/>
  <c r="J225" i="10"/>
  <c r="BK242" i="10"/>
  <c r="BK224" i="10"/>
  <c r="J166" i="10"/>
  <c r="BK119" i="10"/>
  <c r="BK143" i="11"/>
  <c r="J87" i="11"/>
  <c r="BK104" i="11"/>
  <c r="J371" i="2"/>
  <c r="BK317" i="2"/>
  <c r="BK292" i="2"/>
  <c r="J240" i="2"/>
  <c r="BK192" i="2"/>
  <c r="J181" i="2"/>
  <c r="BK359" i="2"/>
  <c r="BK306" i="2"/>
  <c r="J283" i="2"/>
  <c r="J247" i="2"/>
  <c r="BK185" i="2"/>
  <c r="BK353" i="2"/>
  <c r="BK309" i="2"/>
  <c r="J269" i="2"/>
  <c r="J228" i="2"/>
  <c r="BK115" i="2"/>
  <c r="BK195" i="3"/>
  <c r="J112" i="3"/>
  <c r="BK94" i="3"/>
  <c r="BK189" i="3"/>
  <c r="J152" i="3"/>
  <c r="J90" i="3"/>
  <c r="J189" i="3"/>
  <c r="BK162" i="3"/>
  <c r="BK112" i="3"/>
  <c r="J104" i="4"/>
  <c r="BK94" i="4"/>
  <c r="J99" i="5"/>
  <c r="J92" i="5"/>
  <c r="BK85" i="6"/>
  <c r="BK106" i="7"/>
  <c r="BK102" i="7"/>
  <c r="J138" i="8"/>
  <c r="J228" i="8"/>
  <c r="J98" i="8"/>
  <c r="BK108" i="8"/>
  <c r="J323" i="9"/>
  <c r="J241" i="9"/>
  <c r="J225" i="9"/>
  <c r="BK356" i="9"/>
  <c r="J117" i="9"/>
  <c r="J107" i="9"/>
  <c r="BK142" i="9"/>
  <c r="J233" i="10"/>
  <c r="J223" i="10"/>
  <c r="J96" i="10"/>
  <c r="BK240" i="10"/>
  <c r="BK197" i="10"/>
  <c r="BK96" i="10"/>
  <c r="BK110" i="11"/>
  <c r="J138" i="11"/>
  <c r="BK91" i="11"/>
  <c r="J128" i="3"/>
  <c r="J240" i="3"/>
  <c r="BK92" i="3"/>
  <c r="J207" i="3"/>
  <c r="J191" i="3"/>
  <c r="J168" i="3"/>
  <c r="BK154" i="3"/>
  <c r="J124" i="3"/>
  <c r="J230" i="3"/>
  <c r="BK212" i="3"/>
  <c r="J184" i="3"/>
  <c r="BK160" i="3"/>
  <c r="J134" i="3"/>
  <c r="J118" i="3"/>
  <c r="J92" i="4"/>
  <c r="J93" i="4"/>
  <c r="BK104" i="4"/>
  <c r="J108" i="4"/>
  <c r="J101" i="5"/>
  <c r="J88" i="5"/>
  <c r="BK86" i="5"/>
  <c r="BK98" i="6"/>
  <c r="BK93" i="6"/>
  <c r="BK90" i="6"/>
  <c r="J84" i="6"/>
  <c r="J90" i="7"/>
  <c r="J121" i="7"/>
  <c r="BK94" i="7"/>
  <c r="BK243" i="8"/>
  <c r="J266" i="8"/>
  <c r="BK168" i="8"/>
  <c r="J258" i="8"/>
  <c r="BK189" i="8"/>
  <c r="J103" i="8"/>
  <c r="BK282" i="9"/>
  <c r="BK257" i="9"/>
  <c r="BK291" i="9"/>
  <c r="J187" i="9"/>
  <c r="J366" i="9"/>
  <c r="BK182" i="9"/>
  <c r="J272" i="9"/>
  <c r="BK112" i="9"/>
  <c r="J157" i="9"/>
  <c r="BK246" i="10"/>
  <c r="BK210" i="10"/>
  <c r="J231" i="10"/>
  <c r="J138" i="10"/>
  <c r="BK107" i="11"/>
  <c r="BK134" i="11"/>
  <c r="J134" i="11"/>
  <c r="J104" i="11"/>
  <c r="J86" i="12"/>
  <c r="J299" i="2"/>
  <c r="BK279" i="2"/>
  <c r="J245" i="2"/>
  <c r="J192" i="2"/>
  <c r="BK376" i="2"/>
  <c r="BK337" i="2"/>
  <c r="BK302" i="2"/>
  <c r="J266" i="2"/>
  <c r="BK254" i="2"/>
  <c r="BK208" i="2"/>
  <c r="J121" i="2"/>
  <c r="J214" i="3"/>
  <c r="J145" i="3"/>
  <c r="BK239" i="3"/>
  <c r="BK90" i="3"/>
  <c r="J199" i="3"/>
  <c r="BK176" i="3"/>
  <c r="J138" i="3"/>
  <c r="BK214" i="3"/>
  <c r="BK164" i="3"/>
  <c r="BK140" i="3"/>
  <c r="J116" i="3"/>
  <c r="BK103" i="4"/>
  <c r="J111" i="4"/>
  <c r="J109" i="4"/>
  <c r="J87" i="5"/>
  <c r="BK89" i="5"/>
  <c r="BK87" i="5"/>
  <c r="J89" i="6"/>
  <c r="BK97" i="6"/>
  <c r="J96" i="7"/>
  <c r="BK140" i="7"/>
  <c r="BK99" i="7"/>
  <c r="J238" i="8"/>
  <c r="BK264" i="8"/>
  <c r="BK193" i="8"/>
  <c r="J264" i="8"/>
  <c r="BK123" i="8"/>
  <c r="J361" i="9"/>
  <c r="BK225" i="9"/>
  <c r="J356" i="9"/>
  <c r="J177" i="9"/>
  <c r="BK351" i="9"/>
  <c r="J262" i="9"/>
  <c r="BK374" i="9"/>
  <c r="J267" i="9"/>
  <c r="J211" i="9"/>
  <c r="J112" i="9"/>
  <c r="J240" i="10"/>
  <c r="BK205" i="10"/>
  <c r="J224" i="10"/>
  <c r="J125" i="10"/>
  <c r="BK162" i="10"/>
  <c r="J235" i="10"/>
  <c r="J162" i="10"/>
  <c r="J116" i="10"/>
  <c r="J101" i="11"/>
  <c r="J113" i="11"/>
  <c r="BK101" i="11"/>
  <c r="BK96" i="7"/>
  <c r="J193" i="8"/>
  <c r="BK238" i="8"/>
  <c r="BK128" i="8"/>
  <c r="BK198" i="8"/>
  <c r="BK233" i="8"/>
  <c r="J133" i="8"/>
  <c r="J316" i="9"/>
  <c r="J277" i="9"/>
  <c r="BK262" i="9"/>
  <c r="J152" i="9"/>
  <c r="J328" i="9"/>
  <c r="BK241" i="9"/>
  <c r="BK312" i="9"/>
  <c r="J122" i="9"/>
  <c r="J182" i="9"/>
  <c r="BK237" i="10"/>
  <c r="J234" i="10"/>
  <c r="J238" i="10"/>
  <c r="J164" i="10"/>
  <c r="BK125" i="11"/>
  <c r="J140" i="11"/>
  <c r="J119" i="11"/>
  <c r="BK89" i="11"/>
  <c r="BK89" i="12"/>
  <c r="F35" i="2" l="1"/>
  <c r="R90" i="5"/>
  <c r="P97" i="2"/>
  <c r="R97" i="2"/>
  <c r="P120" i="2"/>
  <c r="BK201" i="2"/>
  <c r="J201" i="2" s="1"/>
  <c r="J63" i="2" s="1"/>
  <c r="R201" i="2"/>
  <c r="P233" i="2"/>
  <c r="BK268" i="2"/>
  <c r="J268" i="2"/>
  <c r="J65" i="2" s="1"/>
  <c r="P268" i="2"/>
  <c r="BK278" i="2"/>
  <c r="J278" i="2" s="1"/>
  <c r="J66" i="2" s="1"/>
  <c r="R288" i="2"/>
  <c r="P312" i="2"/>
  <c r="BK329" i="2"/>
  <c r="J329" i="2"/>
  <c r="J71" i="2"/>
  <c r="T329" i="2"/>
  <c r="R352" i="2"/>
  <c r="R361" i="2"/>
  <c r="BK375" i="2"/>
  <c r="J375" i="2"/>
  <c r="J74" i="2" s="1"/>
  <c r="T375" i="2"/>
  <c r="T389" i="2"/>
  <c r="P91" i="3"/>
  <c r="BK147" i="3"/>
  <c r="J147" i="3" s="1"/>
  <c r="J64" i="3" s="1"/>
  <c r="T147" i="3"/>
  <c r="T186" i="3"/>
  <c r="P209" i="3"/>
  <c r="BK97" i="4"/>
  <c r="J97" i="4"/>
  <c r="J64" i="4" s="1"/>
  <c r="BK101" i="4"/>
  <c r="J101" i="4"/>
  <c r="J65" i="4" s="1"/>
  <c r="R101" i="4"/>
  <c r="T107" i="4"/>
  <c r="T85" i="5"/>
  <c r="T84" i="5"/>
  <c r="T83" i="5"/>
  <c r="T83" i="6"/>
  <c r="R95" i="6"/>
  <c r="P99" i="6"/>
  <c r="P89" i="7"/>
  <c r="BK112" i="7"/>
  <c r="J112" i="7"/>
  <c r="J62" i="7" s="1"/>
  <c r="T112" i="7"/>
  <c r="T127" i="7"/>
  <c r="R143" i="7"/>
  <c r="R138" i="7"/>
  <c r="R92" i="8"/>
  <c r="P178" i="8"/>
  <c r="R178" i="8"/>
  <c r="T197" i="8"/>
  <c r="T263" i="8"/>
  <c r="BK96" i="9"/>
  <c r="J96" i="9" s="1"/>
  <c r="J65" i="9" s="1"/>
  <c r="T96" i="9"/>
  <c r="BK246" i="9"/>
  <c r="J246" i="9" s="1"/>
  <c r="J67" i="9" s="1"/>
  <c r="T246" i="9"/>
  <c r="T281" i="9"/>
  <c r="P322" i="9"/>
  <c r="BK371" i="9"/>
  <c r="J371" i="9" s="1"/>
  <c r="J70" i="9" s="1"/>
  <c r="T371" i="9"/>
  <c r="P86" i="10"/>
  <c r="BK165" i="10"/>
  <c r="J165" i="10" s="1"/>
  <c r="J62" i="10" s="1"/>
  <c r="T165" i="10"/>
  <c r="T204" i="10"/>
  <c r="T85" i="10" s="1"/>
  <c r="T84" i="10" s="1"/>
  <c r="BK86" i="11"/>
  <c r="J86" i="11" s="1"/>
  <c r="J61" i="11" s="1"/>
  <c r="P86" i="11"/>
  <c r="BK121" i="11"/>
  <c r="J121" i="11" s="1"/>
  <c r="J62" i="11" s="1"/>
  <c r="T121" i="11"/>
  <c r="R129" i="11"/>
  <c r="P137" i="11"/>
  <c r="BK91" i="12"/>
  <c r="J91" i="12"/>
  <c r="J63" i="12" s="1"/>
  <c r="BK120" i="2"/>
  <c r="J120" i="2"/>
  <c r="J62" i="2" s="1"/>
  <c r="R120" i="2"/>
  <c r="P201" i="2"/>
  <c r="BK233" i="2"/>
  <c r="J233" i="2"/>
  <c r="J64" i="2" s="1"/>
  <c r="T233" i="2"/>
  <c r="R268" i="2"/>
  <c r="T268" i="2"/>
  <c r="BK288" i="2"/>
  <c r="J288" i="2" s="1"/>
  <c r="J67" i="2" s="1"/>
  <c r="P288" i="2"/>
  <c r="R312" i="2"/>
  <c r="P329" i="2"/>
  <c r="BK352" i="2"/>
  <c r="J352" i="2"/>
  <c r="J72" i="2" s="1"/>
  <c r="T352" i="2"/>
  <c r="P361" i="2"/>
  <c r="P375" i="2"/>
  <c r="BK389" i="2"/>
  <c r="J389" i="2" s="1"/>
  <c r="J75" i="2" s="1"/>
  <c r="P389" i="2"/>
  <c r="R91" i="3"/>
  <c r="R147" i="3"/>
  <c r="P186" i="3"/>
  <c r="BK209" i="3"/>
  <c r="J209" i="3" s="1"/>
  <c r="J66" i="3" s="1"/>
  <c r="T209" i="3"/>
  <c r="R97" i="4"/>
  <c r="R89" i="4" s="1"/>
  <c r="P101" i="4"/>
  <c r="BK107" i="4"/>
  <c r="J107" i="4" s="1"/>
  <c r="J66" i="4" s="1"/>
  <c r="P107" i="4"/>
  <c r="BK85" i="5"/>
  <c r="J85" i="5"/>
  <c r="J61" i="5" s="1"/>
  <c r="R85" i="5"/>
  <c r="R84" i="5"/>
  <c r="R83" i="5"/>
  <c r="BK83" i="6"/>
  <c r="J83" i="6" s="1"/>
  <c r="J60" i="6" s="1"/>
  <c r="R83" i="6"/>
  <c r="P95" i="6"/>
  <c r="T95" i="6"/>
  <c r="R99" i="6"/>
  <c r="BK89" i="7"/>
  <c r="T89" i="7"/>
  <c r="T88" i="7"/>
  <c r="T87" i="7" s="1"/>
  <c r="R112" i="7"/>
  <c r="R88" i="7" s="1"/>
  <c r="BK127" i="7"/>
  <c r="J127" i="7" s="1"/>
  <c r="J63" i="7" s="1"/>
  <c r="R127" i="7"/>
  <c r="BK143" i="7"/>
  <c r="J143" i="7"/>
  <c r="J67" i="7" s="1"/>
  <c r="T143" i="7"/>
  <c r="T138" i="7"/>
  <c r="BK92" i="8"/>
  <c r="T92" i="8"/>
  <c r="BK197" i="8"/>
  <c r="J197" i="8" s="1"/>
  <c r="J67" i="8" s="1"/>
  <c r="P197" i="8"/>
  <c r="BK263" i="8"/>
  <c r="J263" i="8"/>
  <c r="J68" i="8" s="1"/>
  <c r="P263" i="8"/>
  <c r="P96" i="9"/>
  <c r="R246" i="9"/>
  <c r="P281" i="9"/>
  <c r="BK322" i="9"/>
  <c r="J322" i="9"/>
  <c r="J69" i="9" s="1"/>
  <c r="T322" i="9"/>
  <c r="R371" i="9"/>
  <c r="BK86" i="10"/>
  <c r="J86" i="10"/>
  <c r="J61" i="10" s="1"/>
  <c r="T86" i="10"/>
  <c r="BK204" i="10"/>
  <c r="J204" i="10"/>
  <c r="J63" i="10"/>
  <c r="P204" i="10"/>
  <c r="T86" i="11"/>
  <c r="R121" i="11"/>
  <c r="P129" i="11"/>
  <c r="BK137" i="11"/>
  <c r="J137" i="11" s="1"/>
  <c r="J64" i="11" s="1"/>
  <c r="R137" i="11"/>
  <c r="P91" i="12"/>
  <c r="P84" i="12"/>
  <c r="P83" i="12"/>
  <c r="AU66" i="1"/>
  <c r="R91" i="12"/>
  <c r="R84" i="12" s="1"/>
  <c r="R83" i="12" s="1"/>
  <c r="BK97" i="2"/>
  <c r="J97" i="2"/>
  <c r="J61" i="2" s="1"/>
  <c r="T97" i="2"/>
  <c r="T120" i="2"/>
  <c r="T201" i="2"/>
  <c r="R233" i="2"/>
  <c r="P278" i="2"/>
  <c r="R278" i="2"/>
  <c r="T278" i="2"/>
  <c r="T288" i="2"/>
  <c r="BK312" i="2"/>
  <c r="T312" i="2"/>
  <c r="R329" i="2"/>
  <c r="P352" i="2"/>
  <c r="BK361" i="2"/>
  <c r="J361" i="2"/>
  <c r="J73" i="2" s="1"/>
  <c r="T361" i="2"/>
  <c r="R375" i="2"/>
  <c r="R389" i="2"/>
  <c r="BK91" i="3"/>
  <c r="J91" i="3" s="1"/>
  <c r="J62" i="3" s="1"/>
  <c r="T91" i="3"/>
  <c r="P147" i="3"/>
  <c r="P146" i="3" s="1"/>
  <c r="BK186" i="3"/>
  <c r="J186" i="3"/>
  <c r="J65" i="3" s="1"/>
  <c r="R186" i="3"/>
  <c r="R209" i="3"/>
  <c r="P97" i="4"/>
  <c r="P89" i="4" s="1"/>
  <c r="P88" i="4" s="1"/>
  <c r="P87" i="4" s="1"/>
  <c r="P86" i="4" s="1"/>
  <c r="AU57" i="1" s="1"/>
  <c r="T97" i="4"/>
  <c r="T89" i="4"/>
  <c r="T88" i="4"/>
  <c r="T87" i="4" s="1"/>
  <c r="T86" i="4" s="1"/>
  <c r="T101" i="4"/>
  <c r="R107" i="4"/>
  <c r="P85" i="5"/>
  <c r="P84" i="5" s="1"/>
  <c r="P83" i="5" s="1"/>
  <c r="AU58" i="1" s="1"/>
  <c r="P83" i="6"/>
  <c r="P82" i="6" s="1"/>
  <c r="AU59" i="1" s="1"/>
  <c r="BK95" i="6"/>
  <c r="J95" i="6" s="1"/>
  <c r="J61" i="6" s="1"/>
  <c r="BK99" i="6"/>
  <c r="J99" i="6"/>
  <c r="J62" i="6" s="1"/>
  <c r="T99" i="6"/>
  <c r="R89" i="7"/>
  <c r="P112" i="7"/>
  <c r="P127" i="7"/>
  <c r="P143" i="7"/>
  <c r="P138" i="7"/>
  <c r="P92" i="8"/>
  <c r="P91" i="8"/>
  <c r="P90" i="8"/>
  <c r="AU62" i="1"/>
  <c r="BK178" i="8"/>
  <c r="J178" i="8" s="1"/>
  <c r="J66" i="8" s="1"/>
  <c r="T178" i="8"/>
  <c r="R197" i="8"/>
  <c r="R263" i="8"/>
  <c r="R96" i="9"/>
  <c r="P246" i="9"/>
  <c r="BK281" i="9"/>
  <c r="J281" i="9"/>
  <c r="J68" i="9"/>
  <c r="R281" i="9"/>
  <c r="R322" i="9"/>
  <c r="P371" i="9"/>
  <c r="R86" i="10"/>
  <c r="P165" i="10"/>
  <c r="R165" i="10"/>
  <c r="R204" i="10"/>
  <c r="R86" i="11"/>
  <c r="R85" i="11"/>
  <c r="R84" i="11" s="1"/>
  <c r="P121" i="11"/>
  <c r="BK129" i="11"/>
  <c r="J129" i="11"/>
  <c r="J63" i="11" s="1"/>
  <c r="T129" i="11"/>
  <c r="T137" i="11"/>
  <c r="T91" i="12"/>
  <c r="T84" i="12"/>
  <c r="T83" i="12" s="1"/>
  <c r="BK85" i="12"/>
  <c r="BK308" i="2"/>
  <c r="J308" i="2" s="1"/>
  <c r="J68" i="2" s="1"/>
  <c r="BK89" i="3"/>
  <c r="J89" i="3"/>
  <c r="J61" i="3" s="1"/>
  <c r="BK95" i="4"/>
  <c r="J95" i="4"/>
  <c r="J63" i="4" s="1"/>
  <c r="BK100" i="5"/>
  <c r="BK90" i="5" s="1"/>
  <c r="BK240" i="9"/>
  <c r="J240" i="9"/>
  <c r="J66" i="9" s="1"/>
  <c r="BK250" i="10"/>
  <c r="J250" i="10"/>
  <c r="J64" i="10" s="1"/>
  <c r="BK241" i="3"/>
  <c r="J241" i="3" s="1"/>
  <c r="J67" i="3" s="1"/>
  <c r="BK89" i="4"/>
  <c r="J89" i="4" s="1"/>
  <c r="J62" i="4" s="1"/>
  <c r="BK135" i="7"/>
  <c r="J135" i="7"/>
  <c r="J64" i="7" s="1"/>
  <c r="BK139" i="7"/>
  <c r="J139" i="7"/>
  <c r="J66" i="7" s="1"/>
  <c r="BK377" i="9"/>
  <c r="J377" i="9" s="1"/>
  <c r="J72" i="9" s="1"/>
  <c r="BK88" i="12"/>
  <c r="J88" i="12" s="1"/>
  <c r="J62" i="12" s="1"/>
  <c r="F55" i="12"/>
  <c r="BE89" i="12"/>
  <c r="J54" i="12"/>
  <c r="BE92" i="12"/>
  <c r="BE94" i="12"/>
  <c r="J52" i="12"/>
  <c r="J55" i="12"/>
  <c r="BE86" i="12"/>
  <c r="E48" i="12"/>
  <c r="F54" i="12"/>
  <c r="J54" i="11"/>
  <c r="J78" i="11"/>
  <c r="J81" i="11"/>
  <c r="BE96" i="11"/>
  <c r="F55" i="11"/>
  <c r="BE89" i="11"/>
  <c r="BE110" i="11"/>
  <c r="BE127" i="11"/>
  <c r="BE130" i="11"/>
  <c r="BE134" i="11"/>
  <c r="BE145" i="11"/>
  <c r="E48" i="11"/>
  <c r="BE91" i="11"/>
  <c r="BE101" i="11"/>
  <c r="BE122" i="11"/>
  <c r="BE125" i="11"/>
  <c r="BE132" i="11"/>
  <c r="BE135" i="11"/>
  <c r="BE140" i="11"/>
  <c r="F54" i="11"/>
  <c r="BE87" i="11"/>
  <c r="BE104" i="11"/>
  <c r="BE107" i="11"/>
  <c r="BE113" i="11"/>
  <c r="BE116" i="11"/>
  <c r="BE119" i="11"/>
  <c r="BE138" i="11"/>
  <c r="BE143" i="11"/>
  <c r="BK95" i="9"/>
  <c r="F55" i="10"/>
  <c r="J78" i="10"/>
  <c r="J80" i="10"/>
  <c r="BE151" i="10"/>
  <c r="BE162" i="10"/>
  <c r="BE164" i="10"/>
  <c r="BE197" i="10"/>
  <c r="BE200" i="10"/>
  <c r="BE222" i="10"/>
  <c r="BE225" i="10"/>
  <c r="BE251" i="10"/>
  <c r="BE138" i="10"/>
  <c r="BE210" i="10"/>
  <c r="BE234" i="10"/>
  <c r="E48" i="10"/>
  <c r="J55" i="10"/>
  <c r="BE96" i="10"/>
  <c r="BE122" i="10"/>
  <c r="BE218" i="10"/>
  <c r="BE230" i="10"/>
  <c r="BE233" i="10"/>
  <c r="BE238" i="10"/>
  <c r="BE240" i="10"/>
  <c r="BE244" i="10"/>
  <c r="F54" i="10"/>
  <c r="BE109" i="10"/>
  <c r="BE125" i="10"/>
  <c r="BE153" i="10"/>
  <c r="BE186" i="10"/>
  <c r="BE208" i="10"/>
  <c r="BE216" i="10"/>
  <c r="BE220" i="10"/>
  <c r="BE226" i="10"/>
  <c r="BE231" i="10"/>
  <c r="BE237" i="10"/>
  <c r="BE242" i="10"/>
  <c r="BE116" i="10"/>
  <c r="BE166" i="10"/>
  <c r="BE223" i="10"/>
  <c r="BE246" i="10"/>
  <c r="BE248" i="10"/>
  <c r="BE173" i="10"/>
  <c r="BE205" i="10"/>
  <c r="BE224" i="10"/>
  <c r="BE235" i="10"/>
  <c r="BB64" i="1"/>
  <c r="BE87" i="10"/>
  <c r="BE119" i="10"/>
  <c r="BE214" i="10"/>
  <c r="BE228" i="10"/>
  <c r="J92" i="8"/>
  <c r="J65" i="8"/>
  <c r="F59" i="9"/>
  <c r="BE97" i="9"/>
  <c r="BE127" i="9"/>
  <c r="BE152" i="9"/>
  <c r="BE162" i="9"/>
  <c r="BE172" i="9"/>
  <c r="BE192" i="9"/>
  <c r="J56" i="9"/>
  <c r="BE117" i="9"/>
  <c r="BE122" i="9"/>
  <c r="BE147" i="9"/>
  <c r="BE157" i="9"/>
  <c r="BE182" i="9"/>
  <c r="BE102" i="9"/>
  <c r="BE142" i="9"/>
  <c r="BE167" i="9"/>
  <c r="BE187" i="9"/>
  <c r="BE197" i="9"/>
  <c r="BE211" i="9"/>
  <c r="BE247" i="9"/>
  <c r="BE257" i="9"/>
  <c r="BE282" i="9"/>
  <c r="BE299" i="9"/>
  <c r="BE356" i="9"/>
  <c r="BE366" i="9"/>
  <c r="BE372" i="9"/>
  <c r="BE374" i="9"/>
  <c r="BE378" i="9"/>
  <c r="E82" i="9"/>
  <c r="BE112" i="9"/>
  <c r="BE132" i="9"/>
  <c r="BE177" i="9"/>
  <c r="BE202" i="9"/>
  <c r="BE207" i="9"/>
  <c r="BE216" i="9"/>
  <c r="BE225" i="9"/>
  <c r="BE323" i="9"/>
  <c r="BE361" i="9"/>
  <c r="BE107" i="9"/>
  <c r="BE137" i="9"/>
  <c r="BE241" i="9"/>
  <c r="BE267" i="9"/>
  <c r="BE277" i="9"/>
  <c r="BE308" i="9"/>
  <c r="BE316" i="9"/>
  <c r="BE328" i="9"/>
  <c r="BE337" i="9"/>
  <c r="BE351" i="9"/>
  <c r="BE235" i="9"/>
  <c r="BE252" i="9"/>
  <c r="BE262" i="9"/>
  <c r="BE272" i="9"/>
  <c r="BE287" i="9"/>
  <c r="BE303" i="9"/>
  <c r="BE318" i="9"/>
  <c r="BE341" i="9"/>
  <c r="BE220" i="9"/>
  <c r="BE230" i="9"/>
  <c r="BE291" i="9"/>
  <c r="BE295" i="9"/>
  <c r="BE312" i="9"/>
  <c r="BE332" i="9"/>
  <c r="BE346" i="9"/>
  <c r="J89" i="7"/>
  <c r="J61" i="7"/>
  <c r="E50" i="8"/>
  <c r="BE93" i="8"/>
  <c r="BE118" i="8"/>
  <c r="BE128" i="8"/>
  <c r="BE163" i="8"/>
  <c r="BE173" i="8"/>
  <c r="BE213" i="8"/>
  <c r="J56" i="8"/>
  <c r="BE103" i="8"/>
  <c r="BE113" i="8"/>
  <c r="BE148" i="8"/>
  <c r="BE168" i="8"/>
  <c r="BE179" i="8"/>
  <c r="BE184" i="8"/>
  <c r="BE193" i="8"/>
  <c r="BE208" i="8"/>
  <c r="BE233" i="8"/>
  <c r="BE243" i="8"/>
  <c r="BE248" i="8"/>
  <c r="BE258" i="8"/>
  <c r="BE264" i="8"/>
  <c r="BE98" i="8"/>
  <c r="BE123" i="8"/>
  <c r="BE133" i="8"/>
  <c r="BE138" i="8"/>
  <c r="BE143" i="8"/>
  <c r="BE158" i="8"/>
  <c r="BE228" i="8"/>
  <c r="BE253" i="8"/>
  <c r="BE266" i="8"/>
  <c r="F87" i="8"/>
  <c r="BE108" i="8"/>
  <c r="BE153" i="8"/>
  <c r="BE189" i="8"/>
  <c r="BE203" i="8"/>
  <c r="BE218" i="8"/>
  <c r="BE223" i="8"/>
  <c r="BE198" i="8"/>
  <c r="BE238" i="8"/>
  <c r="J54" i="7"/>
  <c r="F84" i="7"/>
  <c r="BE117" i="7"/>
  <c r="BE147" i="7"/>
  <c r="BE104" i="7"/>
  <c r="BE110" i="7"/>
  <c r="BE121" i="7"/>
  <c r="J52" i="7"/>
  <c r="E77" i="7"/>
  <c r="J84" i="7"/>
  <c r="BE96" i="7"/>
  <c r="BE131" i="7"/>
  <c r="F54" i="7"/>
  <c r="BE106" i="7"/>
  <c r="BE113" i="7"/>
  <c r="BE123" i="7"/>
  <c r="BE128" i="7"/>
  <c r="BE90" i="7"/>
  <c r="BE94" i="7"/>
  <c r="BE99" i="7"/>
  <c r="BE136" i="7"/>
  <c r="BE144" i="7"/>
  <c r="BE102" i="7"/>
  <c r="BE108" i="7"/>
  <c r="BE133" i="7"/>
  <c r="BE140" i="7"/>
  <c r="E72" i="6"/>
  <c r="J55" i="6"/>
  <c r="J78" i="6"/>
  <c r="BE91" i="6"/>
  <c r="BE100" i="6"/>
  <c r="BE85" i="6"/>
  <c r="BE96" i="6"/>
  <c r="BE102" i="6"/>
  <c r="J52" i="6"/>
  <c r="F79" i="6"/>
  <c r="BE86" i="6"/>
  <c r="BE87" i="6"/>
  <c r="BE90" i="6"/>
  <c r="BE92" i="6"/>
  <c r="BE84" i="6"/>
  <c r="BE89" i="6"/>
  <c r="BE98" i="6"/>
  <c r="BE93" i="6"/>
  <c r="BE97" i="6"/>
  <c r="BE94" i="6"/>
  <c r="BE101" i="6"/>
  <c r="F54" i="6"/>
  <c r="BE88" i="6"/>
  <c r="E48" i="5"/>
  <c r="J52" i="5"/>
  <c r="J54" i="5"/>
  <c r="F80" i="5"/>
  <c r="BE88" i="5"/>
  <c r="F54" i="5"/>
  <c r="BE86" i="5"/>
  <c r="BE93" i="5"/>
  <c r="BE94" i="5"/>
  <c r="J55" i="5"/>
  <c r="BE87" i="5"/>
  <c r="BE89" i="5"/>
  <c r="BE91" i="5"/>
  <c r="BE92" i="5"/>
  <c r="BE95" i="5"/>
  <c r="BE96" i="5"/>
  <c r="BE97" i="5"/>
  <c r="BE98" i="5"/>
  <c r="BE99" i="5"/>
  <c r="BE101" i="5"/>
  <c r="J55" i="4"/>
  <c r="J80" i="4"/>
  <c r="F83" i="4"/>
  <c r="BE91" i="4"/>
  <c r="BE93" i="4"/>
  <c r="BE94" i="4"/>
  <c r="BE96" i="4"/>
  <c r="BE102" i="4"/>
  <c r="BE103" i="4"/>
  <c r="BE104" i="4"/>
  <c r="F82" i="4"/>
  <c r="BE92" i="4"/>
  <c r="BE98" i="4"/>
  <c r="BE105" i="4"/>
  <c r="BE106" i="4"/>
  <c r="BE109" i="4"/>
  <c r="BE110" i="4"/>
  <c r="BE112" i="4"/>
  <c r="BE113" i="4"/>
  <c r="J54" i="4"/>
  <c r="BE100" i="4"/>
  <c r="E48" i="4"/>
  <c r="BE90" i="4"/>
  <c r="BE99" i="4"/>
  <c r="BE108" i="4"/>
  <c r="BE111" i="4"/>
  <c r="F54" i="3"/>
  <c r="J55" i="3"/>
  <c r="F84" i="3"/>
  <c r="BE92" i="3"/>
  <c r="BE96" i="3"/>
  <c r="BE104" i="3"/>
  <c r="J83" i="3"/>
  <c r="BE90" i="3"/>
  <c r="BE110" i="3"/>
  <c r="BE126" i="3"/>
  <c r="BE128" i="3"/>
  <c r="BE130" i="3"/>
  <c r="BE138" i="3"/>
  <c r="BE142" i="3"/>
  <c r="BE144" i="3"/>
  <c r="BE145" i="3"/>
  <c r="BE152" i="3"/>
  <c r="BE172" i="3"/>
  <c r="BE180" i="3"/>
  <c r="BE182" i="3"/>
  <c r="BE187" i="3"/>
  <c r="BE189" i="3"/>
  <c r="BE193" i="3"/>
  <c r="BE207" i="3"/>
  <c r="BE212" i="3"/>
  <c r="BE214" i="3"/>
  <c r="BE224" i="3"/>
  <c r="BE226" i="3"/>
  <c r="BE232" i="3"/>
  <c r="BE234" i="3"/>
  <c r="J81" i="3"/>
  <c r="BE94" i="3"/>
  <c r="BE100" i="3"/>
  <c r="BE108" i="3"/>
  <c r="BE120" i="3"/>
  <c r="BE124" i="3"/>
  <c r="BE132" i="3"/>
  <c r="BE134" i="3"/>
  <c r="BE136" i="3"/>
  <c r="BE150" i="3"/>
  <c r="BE154" i="3"/>
  <c r="BE158" i="3"/>
  <c r="BE170" i="3"/>
  <c r="BE174" i="3"/>
  <c r="BE176" i="3"/>
  <c r="BE184" i="3"/>
  <c r="BE195" i="3"/>
  <c r="BE197" i="3"/>
  <c r="BE201" i="3"/>
  <c r="BE203" i="3"/>
  <c r="BE210" i="3"/>
  <c r="BE216" i="3"/>
  <c r="BE218" i="3"/>
  <c r="BE220" i="3"/>
  <c r="BE228" i="3"/>
  <c r="J312" i="2"/>
  <c r="J70" i="2"/>
  <c r="BE98" i="3"/>
  <c r="BE112" i="3"/>
  <c r="BE116" i="3"/>
  <c r="BE122" i="3"/>
  <c r="BE238" i="3"/>
  <c r="BE239" i="3"/>
  <c r="BE242" i="3"/>
  <c r="BE236" i="3"/>
  <c r="E48" i="3"/>
  <c r="BE102" i="3"/>
  <c r="BE106" i="3"/>
  <c r="BE114" i="3"/>
  <c r="BE118" i="3"/>
  <c r="BE140" i="3"/>
  <c r="BE148" i="3"/>
  <c r="BE156" i="3"/>
  <c r="BE160" i="3"/>
  <c r="BE162" i="3"/>
  <c r="BE164" i="3"/>
  <c r="BE166" i="3"/>
  <c r="BE168" i="3"/>
  <c r="BE178" i="3"/>
  <c r="BE191" i="3"/>
  <c r="BE199" i="3"/>
  <c r="BE205" i="3"/>
  <c r="BE222" i="3"/>
  <c r="BE230" i="3"/>
  <c r="BE240" i="3"/>
  <c r="J52" i="2"/>
  <c r="F55" i="2"/>
  <c r="BE98" i="2"/>
  <c r="BE112" i="2"/>
  <c r="BE135" i="2"/>
  <c r="BE145" i="2"/>
  <c r="BE152" i="2"/>
  <c r="BE156" i="2"/>
  <c r="BE181" i="2"/>
  <c r="BE190" i="2"/>
  <c r="BE197" i="2"/>
  <c r="BE245" i="2"/>
  <c r="BE269" i="2"/>
  <c r="BE272" i="2"/>
  <c r="BE275" i="2"/>
  <c r="BE283" i="2"/>
  <c r="BE292" i="2"/>
  <c r="BE294" i="2"/>
  <c r="BE295" i="2"/>
  <c r="BE297" i="2"/>
  <c r="BE299" i="2"/>
  <c r="BE306" i="2"/>
  <c r="BE344" i="2"/>
  <c r="BE357" i="2"/>
  <c r="BE362" i="2"/>
  <c r="BE373" i="2"/>
  <c r="E85" i="2"/>
  <c r="J92" i="2"/>
  <c r="BE109" i="2"/>
  <c r="BE126" i="2"/>
  <c r="BE170" i="2"/>
  <c r="BE199" i="2"/>
  <c r="BE273" i="2"/>
  <c r="BE296" i="2"/>
  <c r="BE302" i="2"/>
  <c r="BE303" i="2"/>
  <c r="BE304" i="2"/>
  <c r="BE317" i="2"/>
  <c r="BE319" i="2"/>
  <c r="BE321" i="2"/>
  <c r="BE378" i="2"/>
  <c r="BE380" i="2"/>
  <c r="BE385" i="2"/>
  <c r="BE387" i="2"/>
  <c r="BE390" i="2"/>
  <c r="BE397" i="2"/>
  <c r="BE402" i="2"/>
  <c r="J54" i="2"/>
  <c r="F91" i="2"/>
  <c r="BE105" i="2"/>
  <c r="BE121" i="2"/>
  <c r="BE150" i="2"/>
  <c r="BE158" i="2"/>
  <c r="BE183" i="2"/>
  <c r="BE185" i="2"/>
  <c r="BE192" i="2"/>
  <c r="BE208" i="2"/>
  <c r="BE215" i="2"/>
  <c r="BE219" i="2"/>
  <c r="BE221" i="2"/>
  <c r="BE222" i="2"/>
  <c r="BE225" i="2"/>
  <c r="BE228" i="2"/>
  <c r="BE234" i="2"/>
  <c r="BE238" i="2"/>
  <c r="BE240" i="2"/>
  <c r="BE256" i="2"/>
  <c r="BE258" i="2"/>
  <c r="BE266" i="2"/>
  <c r="BE281" i="2"/>
  <c r="BE291" i="2"/>
  <c r="BE298" i="2"/>
  <c r="BE300" i="2"/>
  <c r="BE309" i="2"/>
  <c r="BE327" i="2"/>
  <c r="BE330" i="2"/>
  <c r="BE337" i="2"/>
  <c r="BE350" i="2"/>
  <c r="BE355" i="2"/>
  <c r="BE359" i="2"/>
  <c r="BE364" i="2"/>
  <c r="BE369" i="2"/>
  <c r="BE371" i="2"/>
  <c r="BE115" i="2"/>
  <c r="BE202" i="2"/>
  <c r="BE247" i="2"/>
  <c r="BE252" i="2"/>
  <c r="BE254" i="2"/>
  <c r="BE261" i="2"/>
  <c r="BE279" i="2"/>
  <c r="BE286" i="2"/>
  <c r="BE289" i="2"/>
  <c r="BE290" i="2"/>
  <c r="BE293" i="2"/>
  <c r="BE301" i="2"/>
  <c r="BE305" i="2"/>
  <c r="BE307" i="2"/>
  <c r="BE313" i="2"/>
  <c r="BE315" i="2"/>
  <c r="BE323" i="2"/>
  <c r="BE325" i="2"/>
  <c r="BE335" i="2"/>
  <c r="BE345" i="2"/>
  <c r="BE346" i="2"/>
  <c r="BE353" i="2"/>
  <c r="BE366" i="2"/>
  <c r="BE376" i="2"/>
  <c r="BB55" i="1"/>
  <c r="BC55" i="1"/>
  <c r="BD55" i="1"/>
  <c r="F39" i="8"/>
  <c r="BD62" i="1" s="1"/>
  <c r="F37" i="4"/>
  <c r="BD57" i="1"/>
  <c r="J34" i="5"/>
  <c r="AW58" i="1"/>
  <c r="F36" i="6"/>
  <c r="BC59" i="1"/>
  <c r="F38" i="8"/>
  <c r="BC62" i="1" s="1"/>
  <c r="F35" i="7"/>
  <c r="BB60" i="1" s="1"/>
  <c r="J34" i="10"/>
  <c r="AW64" i="1" s="1"/>
  <c r="F34" i="12"/>
  <c r="BA66" i="1"/>
  <c r="F35" i="5"/>
  <c r="BB58" i="1"/>
  <c r="F36" i="10"/>
  <c r="BC64" i="1"/>
  <c r="F36" i="5"/>
  <c r="BC58" i="1" s="1"/>
  <c r="F39" i="9"/>
  <c r="BD63" i="1" s="1"/>
  <c r="F36" i="3"/>
  <c r="BC56" i="1" s="1"/>
  <c r="F35" i="11"/>
  <c r="BB65" i="1"/>
  <c r="F37" i="7"/>
  <c r="BD60" i="1" s="1"/>
  <c r="F37" i="12"/>
  <c r="BD66" i="1"/>
  <c r="F37" i="6"/>
  <c r="BD59" i="1" s="1"/>
  <c r="F37" i="10"/>
  <c r="BD64" i="1" s="1"/>
  <c r="F37" i="5"/>
  <c r="BD58" i="1" s="1"/>
  <c r="F34" i="6"/>
  <c r="BA59" i="1"/>
  <c r="F34" i="7"/>
  <c r="BA60" i="1" s="1"/>
  <c r="F36" i="12"/>
  <c r="BC66" i="1"/>
  <c r="F37" i="3"/>
  <c r="BD56" i="1" s="1"/>
  <c r="F35" i="12"/>
  <c r="BB66" i="1" s="1"/>
  <c r="F34" i="2"/>
  <c r="BA55" i="1" s="1"/>
  <c r="F35" i="4"/>
  <c r="BB57" i="1"/>
  <c r="J34" i="12"/>
  <c r="AW66" i="1" s="1"/>
  <c r="AS54" i="1"/>
  <c r="F34" i="3"/>
  <c r="BA56" i="1"/>
  <c r="J34" i="11"/>
  <c r="AW65" i="1"/>
  <c r="F34" i="4"/>
  <c r="BA57" i="1"/>
  <c r="F37" i="8"/>
  <c r="BB62" i="1"/>
  <c r="J34" i="6"/>
  <c r="AW59" i="1" s="1"/>
  <c r="F37" i="9"/>
  <c r="BB63" i="1" s="1"/>
  <c r="F36" i="4"/>
  <c r="BC57" i="1"/>
  <c r="F36" i="11"/>
  <c r="BC65" i="1"/>
  <c r="F35" i="3"/>
  <c r="BB56" i="1"/>
  <c r="J36" i="9"/>
  <c r="AW63" i="1"/>
  <c r="F34" i="5"/>
  <c r="BA58" i="1" s="1"/>
  <c r="F35" i="6"/>
  <c r="BB59" i="1"/>
  <c r="F38" i="9"/>
  <c r="BC63" i="1" s="1"/>
  <c r="F36" i="7"/>
  <c r="BC60" i="1"/>
  <c r="J34" i="3"/>
  <c r="AW56" i="1"/>
  <c r="F34" i="10"/>
  <c r="BA64" i="1"/>
  <c r="J34" i="7"/>
  <c r="AW60" i="1" s="1"/>
  <c r="J36" i="8"/>
  <c r="AW62" i="1" s="1"/>
  <c r="F36" i="8"/>
  <c r="BA62" i="1"/>
  <c r="F37" i="11"/>
  <c r="BD65" i="1"/>
  <c r="J34" i="2"/>
  <c r="AW55" i="1" s="1"/>
  <c r="F36" i="9"/>
  <c r="BA63" i="1"/>
  <c r="J34" i="4"/>
  <c r="AW57" i="1" s="1"/>
  <c r="F34" i="11"/>
  <c r="BA65" i="1" s="1"/>
  <c r="BK96" i="2" l="1"/>
  <c r="J96" i="2" s="1"/>
  <c r="J60" i="2" s="1"/>
  <c r="BK84" i="5"/>
  <c r="J84" i="5" s="1"/>
  <c r="J60" i="5" s="1"/>
  <c r="J90" i="5"/>
  <c r="J62" i="5" s="1"/>
  <c r="J100" i="5"/>
  <c r="J63" i="5" s="1"/>
  <c r="P88" i="3"/>
  <c r="P87" i="3" s="1"/>
  <c r="AU56" i="1" s="1"/>
  <c r="R88" i="4"/>
  <c r="R87" i="4" s="1"/>
  <c r="R86" i="4" s="1"/>
  <c r="BK84" i="12"/>
  <c r="BK83" i="12"/>
  <c r="J83" i="12"/>
  <c r="J59" i="12" s="1"/>
  <c r="T311" i="2"/>
  <c r="T96" i="2"/>
  <c r="T95" i="2" s="1"/>
  <c r="P95" i="9"/>
  <c r="P94" i="9" s="1"/>
  <c r="AU63" i="1" s="1"/>
  <c r="AU61" i="1" s="1"/>
  <c r="T91" i="8"/>
  <c r="T90" i="8"/>
  <c r="BK88" i="7"/>
  <c r="R82" i="6"/>
  <c r="T146" i="3"/>
  <c r="T88" i="3" s="1"/>
  <c r="T87" i="3" s="1"/>
  <c r="T85" i="11"/>
  <c r="T84" i="11"/>
  <c r="BK91" i="8"/>
  <c r="J91" i="8" s="1"/>
  <c r="J64" i="8" s="1"/>
  <c r="R146" i="3"/>
  <c r="R88" i="3"/>
  <c r="R87" i="3" s="1"/>
  <c r="T95" i="9"/>
  <c r="T94" i="9"/>
  <c r="R91" i="8"/>
  <c r="R90" i="8"/>
  <c r="P88" i="7"/>
  <c r="P87" i="7"/>
  <c r="AU60" i="1" s="1"/>
  <c r="P311" i="2"/>
  <c r="R96" i="2"/>
  <c r="R95" i="2" s="1"/>
  <c r="R85" i="10"/>
  <c r="R84" i="10"/>
  <c r="R95" i="9"/>
  <c r="R94" i="9"/>
  <c r="R87" i="7"/>
  <c r="BK311" i="2"/>
  <c r="J311" i="2" s="1"/>
  <c r="J69" i="2" s="1"/>
  <c r="R311" i="2"/>
  <c r="P85" i="11"/>
  <c r="P84" i="11"/>
  <c r="AU65" i="1"/>
  <c r="P85" i="10"/>
  <c r="P84" i="10" s="1"/>
  <c r="AU64" i="1" s="1"/>
  <c r="T82" i="6"/>
  <c r="P96" i="2"/>
  <c r="P95" i="2" s="1"/>
  <c r="AU55" i="1" s="1"/>
  <c r="BK85" i="10"/>
  <c r="J85" i="10" s="1"/>
  <c r="J60" i="10" s="1"/>
  <c r="BK146" i="3"/>
  <c r="J146" i="3"/>
  <c r="J63" i="3"/>
  <c r="BK88" i="4"/>
  <c r="J88" i="4"/>
  <c r="J61" i="4"/>
  <c r="BK138" i="7"/>
  <c r="J138" i="7" s="1"/>
  <c r="J65" i="7" s="1"/>
  <c r="BK376" i="9"/>
  <c r="J376" i="9" s="1"/>
  <c r="J71" i="9" s="1"/>
  <c r="J85" i="12"/>
  <c r="J61" i="12"/>
  <c r="BK82" i="6"/>
  <c r="J82" i="6" s="1"/>
  <c r="J59" i="6" s="1"/>
  <c r="BK85" i="11"/>
  <c r="J85" i="11" s="1"/>
  <c r="J60" i="11" s="1"/>
  <c r="J95" i="9"/>
  <c r="J64" i="9"/>
  <c r="BK83" i="5"/>
  <c r="J83" i="5" s="1"/>
  <c r="J30" i="5" s="1"/>
  <c r="AG58" i="1" s="1"/>
  <c r="BK95" i="2"/>
  <c r="J95" i="2"/>
  <c r="J59" i="2"/>
  <c r="J33" i="3"/>
  <c r="AV56" i="1"/>
  <c r="AT56" i="1"/>
  <c r="F33" i="10"/>
  <c r="AZ64" i="1" s="1"/>
  <c r="F33" i="11"/>
  <c r="AZ65" i="1"/>
  <c r="J33" i="5"/>
  <c r="AV58" i="1" s="1"/>
  <c r="AT58" i="1" s="1"/>
  <c r="F33" i="2"/>
  <c r="AZ55" i="1" s="1"/>
  <c r="F35" i="8"/>
  <c r="AZ62" i="1"/>
  <c r="J33" i="10"/>
  <c r="AV64" i="1" s="1"/>
  <c r="AT64" i="1" s="1"/>
  <c r="J33" i="6"/>
  <c r="AV59" i="1" s="1"/>
  <c r="AT59" i="1" s="1"/>
  <c r="F35" i="9"/>
  <c r="AZ63" i="1" s="1"/>
  <c r="J33" i="12"/>
  <c r="AV66" i="1" s="1"/>
  <c r="AT66" i="1" s="1"/>
  <c r="J33" i="7"/>
  <c r="AV60" i="1"/>
  <c r="AT60" i="1" s="1"/>
  <c r="J35" i="8"/>
  <c r="AV62" i="1" s="1"/>
  <c r="AT62" i="1" s="1"/>
  <c r="BD61" i="1"/>
  <c r="F33" i="4"/>
  <c r="AZ57" i="1" s="1"/>
  <c r="F33" i="7"/>
  <c r="AZ60" i="1" s="1"/>
  <c r="J35" i="9"/>
  <c r="AV63" i="1" s="1"/>
  <c r="AT63" i="1" s="1"/>
  <c r="F33" i="6"/>
  <c r="AZ59" i="1" s="1"/>
  <c r="J33" i="4"/>
  <c r="AV57" i="1" s="1"/>
  <c r="AT57" i="1" s="1"/>
  <c r="J33" i="11"/>
  <c r="AV65" i="1" s="1"/>
  <c r="AT65" i="1" s="1"/>
  <c r="BA61" i="1"/>
  <c r="AW61" i="1" s="1"/>
  <c r="BB61" i="1"/>
  <c r="AX61" i="1" s="1"/>
  <c r="F33" i="12"/>
  <c r="AZ66" i="1" s="1"/>
  <c r="F33" i="5"/>
  <c r="AZ58" i="1" s="1"/>
  <c r="BC61" i="1"/>
  <c r="AY61" i="1" s="1"/>
  <c r="F33" i="3"/>
  <c r="AZ56" i="1" s="1"/>
  <c r="J33" i="2"/>
  <c r="AV55" i="1" s="1"/>
  <c r="AT55" i="1" s="1"/>
  <c r="BK87" i="7" l="1"/>
  <c r="J87" i="7" s="1"/>
  <c r="J30" i="7" s="1"/>
  <c r="AG60" i="1" s="1"/>
  <c r="BK88" i="3"/>
  <c r="J88" i="3"/>
  <c r="J60" i="3"/>
  <c r="BK84" i="10"/>
  <c r="J84" i="10"/>
  <c r="J59" i="10"/>
  <c r="BK87" i="4"/>
  <c r="J87" i="4"/>
  <c r="J60" i="4"/>
  <c r="BK90" i="8"/>
  <c r="J90" i="8" s="1"/>
  <c r="J63" i="8" s="1"/>
  <c r="J84" i="12"/>
  <c r="J60" i="12"/>
  <c r="BK94" i="9"/>
  <c r="J94" i="9"/>
  <c r="J32" i="9" s="1"/>
  <c r="AG63" i="1" s="1"/>
  <c r="J88" i="7"/>
  <c r="J60" i="7"/>
  <c r="BK84" i="11"/>
  <c r="J84" i="11"/>
  <c r="J30" i="11" s="1"/>
  <c r="AG65" i="1" s="1"/>
  <c r="AN58" i="1"/>
  <c r="J59" i="5"/>
  <c r="J39" i="5"/>
  <c r="BA54" i="1"/>
  <c r="W30" i="1" s="1"/>
  <c r="AU54" i="1"/>
  <c r="J30" i="6"/>
  <c r="AG59" i="1"/>
  <c r="BD54" i="1"/>
  <c r="W33" i="1" s="1"/>
  <c r="J30" i="12"/>
  <c r="AG66" i="1"/>
  <c r="J30" i="2"/>
  <c r="AG55" i="1"/>
  <c r="AZ61" i="1"/>
  <c r="AV61" i="1"/>
  <c r="AT61" i="1"/>
  <c r="BC54" i="1"/>
  <c r="AY54" i="1" s="1"/>
  <c r="BB54" i="1"/>
  <c r="W31" i="1" s="1"/>
  <c r="J41" i="9" l="1"/>
  <c r="J39" i="6"/>
  <c r="J39" i="11"/>
  <c r="J39" i="7"/>
  <c r="J39" i="12"/>
  <c r="J59" i="7"/>
  <c r="BK87" i="3"/>
  <c r="J87" i="3"/>
  <c r="J63" i="9"/>
  <c r="BK86" i="4"/>
  <c r="J86" i="4" s="1"/>
  <c r="J59" i="4" s="1"/>
  <c r="J59" i="11"/>
  <c r="J39" i="2"/>
  <c r="AN55" i="1"/>
  <c r="AN59" i="1"/>
  <c r="AN66" i="1"/>
  <c r="AN60" i="1"/>
  <c r="AN65" i="1"/>
  <c r="AN63" i="1"/>
  <c r="J30" i="10"/>
  <c r="AG64" i="1" s="1"/>
  <c r="J30" i="3"/>
  <c r="AG56" i="1"/>
  <c r="W32" i="1"/>
  <c r="AX54" i="1"/>
  <c r="J32" i="8"/>
  <c r="AG62" i="1" s="1"/>
  <c r="AN62" i="1" s="1"/>
  <c r="AW54" i="1"/>
  <c r="AK30" i="1" s="1"/>
  <c r="AZ54" i="1"/>
  <c r="W29" i="1" s="1"/>
  <c r="J39" i="3" l="1"/>
  <c r="J59" i="3"/>
  <c r="J41" i="8"/>
  <c r="J39" i="10"/>
  <c r="AN56" i="1"/>
  <c r="AN64" i="1"/>
  <c r="AV54" i="1"/>
  <c r="AK29" i="1"/>
  <c r="J30" i="4"/>
  <c r="AG57" i="1" s="1"/>
  <c r="AG61" i="1"/>
  <c r="J39" i="4" l="1"/>
  <c r="AN57" i="1"/>
  <c r="AN61" i="1"/>
  <c r="AG54" i="1"/>
  <c r="AK26" i="1" s="1"/>
  <c r="AK35" i="1" s="1"/>
  <c r="AT54" i="1"/>
  <c r="AN54" i="1" s="1"/>
</calcChain>
</file>

<file path=xl/sharedStrings.xml><?xml version="1.0" encoding="utf-8"?>
<sst xmlns="http://schemas.openxmlformats.org/spreadsheetml/2006/main" count="14372" uniqueCount="2143">
  <si>
    <t>Export Komplet</t>
  </si>
  <si>
    <t>VZ</t>
  </si>
  <si>
    <t>2.0</t>
  </si>
  <si>
    <t/>
  </si>
  <si>
    <t>False</t>
  </si>
  <si>
    <t>{fbc1a46a-d86b-4298-981e-dbf850c2ca92}</t>
  </si>
  <si>
    <t>&gt;&gt;  skryté sloupce  &lt;&lt;</t>
  </si>
  <si>
    <t>0,01</t>
  </si>
  <si>
    <t>21</t>
  </si>
  <si>
    <t>15</t>
  </si>
  <si>
    <t>REKAPITULACE STAVBY</t>
  </si>
  <si>
    <t>v ---  níže se nacházejí doplnkové a pomocné údaje k sestavám  --- v</t>
  </si>
  <si>
    <t>Návod na vyplnění</t>
  </si>
  <si>
    <t>0,001</t>
  </si>
  <si>
    <t>Kód:</t>
  </si>
  <si>
    <t>2023/003</t>
  </si>
  <si>
    <t>Měnit lze pouze buňky se žlutým podbarvením!_x000D_
_x000D_
1) v Rekapitulaci stavby vyplňte údaje o Uchazeči (přenesou se do ostatních sestav i v jiných listech)_x000D_
_x000D_
2) na vybraných listech vyplňte v sestavě Soupis prací ceny u položek</t>
  </si>
  <si>
    <t>Stavba:</t>
  </si>
  <si>
    <t>SKLAD ŠKROBU P-001</t>
  </si>
  <si>
    <t>KSO:</t>
  </si>
  <si>
    <t>CC-CZ:</t>
  </si>
  <si>
    <t>Místo:</t>
  </si>
  <si>
    <t xml:space="preserve"> </t>
  </si>
  <si>
    <t>Datum:</t>
  </si>
  <si>
    <t>Zadavatel:</t>
  </si>
  <si>
    <t>IČ:</t>
  </si>
  <si>
    <t>DIČ:</t>
  </si>
  <si>
    <t>Uchazeč:</t>
  </si>
  <si>
    <t>Vyplň údaj</t>
  </si>
  <si>
    <t>Projektant:</t>
  </si>
  <si>
    <t>True</t>
  </si>
  <si>
    <t>Zpracovatel:</t>
  </si>
  <si>
    <t>rostarek s.r.o.</t>
  </si>
  <si>
    <t>Poznámka:</t>
  </si>
  <si>
    <t>Soupis prací je sestaven s využitím Cenové soustavy ÚRS. Položky, které pochází z této cenové soustavy, jsou ve sloupci 'Cenová soustava' označeny popisem 'CS ÚRS' a úrovní příslušného kalendářního pololetí. Veškeré další informace vymezující popis a podmínky použití těchto položek z Cenové soustavy, které nejsou uvedeny přímo v soupisu prací, jsou neomezeně dálkově k dispozici na webu podminky.urs.cz.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</si>
  <si>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</si>
  <si>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</si>
  <si>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</si>
  <si>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</si>
  <si>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</si>
  <si>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</si>
  <si>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</si>
  <si>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</si>
  <si>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</si>
  <si>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</si>
  <si>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</si>
  <si>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</si>
  <si>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</si>
  <si>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</si>
  <si>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</si>
  <si>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</si>
  <si>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</si>
  <si>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</si>
  <si>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</si>
  <si>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</si>
  <si>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</si>
  <si>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</si>
  <si>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</si>
  <si>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</si>
  <si>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</si>
  <si>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</si>
  <si>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</si>
  <si>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</si>
  <si>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</si>
  <si>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</si>
  <si>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</si>
  <si>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</si>
  <si>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stavby celkem</t>
  </si>
  <si>
    <t>D</t>
  </si>
  <si>
    <t>0</t>
  </si>
  <si>
    <t>###NOIMPORT###</t>
  </si>
  <si>
    <t>IMPORT</t>
  </si>
  <si>
    <t>{00000000-0000-0000-0000-000000000000}</t>
  </si>
  <si>
    <t>/</t>
  </si>
  <si>
    <t>2023/003/a</t>
  </si>
  <si>
    <t>SO-21 - Stavební a konstrukční část</t>
  </si>
  <si>
    <t>STA</t>
  </si>
  <si>
    <t>1</t>
  </si>
  <si>
    <t>{53e5e397-cbc3-4bfc-8477-08edf2619bcd}</t>
  </si>
  <si>
    <t>2</t>
  </si>
  <si>
    <t>2023/003/b</t>
  </si>
  <si>
    <t>SO-21 - Elektroinstalace</t>
  </si>
  <si>
    <t>{50b00f3e-97d9-45c0-a5d5-471b4cac3b75}</t>
  </si>
  <si>
    <t>2023/003/c</t>
  </si>
  <si>
    <t>SO-21 - Zdravotechnika</t>
  </si>
  <si>
    <t>{641cb51b-4565-4279-be31-dc176f3dc517}</t>
  </si>
  <si>
    <t>2023/003/d</t>
  </si>
  <si>
    <t>SO-21 - Vytápění</t>
  </si>
  <si>
    <t>{2b14f685-7267-4df4-b1e2-07fb37b9630f}</t>
  </si>
  <si>
    <t>2023/003/i</t>
  </si>
  <si>
    <t>SO-21 - bleskosvod a uzemnění</t>
  </si>
  <si>
    <t>{d837e52b-1dfb-4487-ba6f-fec39e2311eb}</t>
  </si>
  <si>
    <t>2023/003/g</t>
  </si>
  <si>
    <t>SO-22 - potrubní a kabelový most</t>
  </si>
  <si>
    <t>{eb70109f-0aaf-4741-af75-0f88da17f835}</t>
  </si>
  <si>
    <t>2023/003/h</t>
  </si>
  <si>
    <t>SO-23 - Nové zpevněné plochy</t>
  </si>
  <si>
    <t>{003b7664-3afd-42ee-9c11-286e272c03f2}</t>
  </si>
  <si>
    <t>a</t>
  </si>
  <si>
    <t>příprava území</t>
  </si>
  <si>
    <t>Soupis</t>
  </si>
  <si>
    <t>{66a5eeed-aeda-4080-92f4-4cf56af3aa82}</t>
  </si>
  <si>
    <t>n</t>
  </si>
  <si>
    <t>návrh</t>
  </si>
  <si>
    <t>{ec803a29-6402-4ec0-9cad-f33d115efa9a}</t>
  </si>
  <si>
    <t>2023/003/e</t>
  </si>
  <si>
    <t>SO-24 - dešťová kanalizace</t>
  </si>
  <si>
    <t>{fdf8f8f9-a610-4ff3-8905-8fc590894e53}</t>
  </si>
  <si>
    <t>2023/003/f</t>
  </si>
  <si>
    <t>SO-25 - vodovodní přípojka</t>
  </si>
  <si>
    <t>{ae5bc6d7-4b3b-4857-a451-ada928935e96}</t>
  </si>
  <si>
    <t>2023/003/j</t>
  </si>
  <si>
    <t>VRN</t>
  </si>
  <si>
    <t>{e2ca333b-ff34-4067-a476-6cbb4c6d3b36}</t>
  </si>
  <si>
    <t>KRYCÍ LIST SOUPISU PRACÍ</t>
  </si>
  <si>
    <t>Objekt:</t>
  </si>
  <si>
    <t>2023/003/a - SO-21 - Stavební a konstrukční část</t>
  </si>
  <si>
    <t>REKAPITULACE ČLENĚNÍ SOUPISU PRACÍ</t>
  </si>
  <si>
    <t>Kód dílu - Popis</t>
  </si>
  <si>
    <t>Cena celkem [CZK]</t>
  </si>
  <si>
    <t>-1</t>
  </si>
  <si>
    <t>HSV - HSV</t>
  </si>
  <si>
    <t xml:space="preserve">    1 - Zemní práce</t>
  </si>
  <si>
    <t xml:space="preserve">    2 - Zakládání</t>
  </si>
  <si>
    <t xml:space="preserve">    3 - Svislé a kompletní konstrukce</t>
  </si>
  <si>
    <t xml:space="preserve">    6 - Úpravy povrchů, podlahy a osazování výplní</t>
  </si>
  <si>
    <t xml:space="preserve">    9 - Ostatní konstrukce a práce, bourání</t>
  </si>
  <si>
    <t xml:space="preserve">    997 - Přesun sutě</t>
  </si>
  <si>
    <t xml:space="preserve">    999 - Konstrukce haly</t>
  </si>
  <si>
    <t xml:space="preserve">    998 - Přesun hmot</t>
  </si>
  <si>
    <t>PSV - Práce a dodávky PSV</t>
  </si>
  <si>
    <t xml:space="preserve">    711 - Izolace proti vodě, vlhkosti a plynům</t>
  </si>
  <si>
    <t xml:space="preserve">    713 - Izolace tepelné</t>
  </si>
  <si>
    <t xml:space="preserve">    764 - Konstrukce klempířské</t>
  </si>
  <si>
    <t xml:space="preserve">    767 - Konstrukce zámečnické</t>
  </si>
  <si>
    <t xml:space="preserve">    781 - Dokončovací práce - obklady</t>
  </si>
  <si>
    <t xml:space="preserve">    783 - Dokončovací práce - nátěry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</si>
  <si>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</si>
  <si>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</si>
  <si>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</si>
  <si>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</si>
  <si>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</si>
  <si>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</si>
  <si>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</si>
  <si>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</si>
  <si>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</si>
  <si>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</si>
  <si>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</si>
  <si>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</si>
  <si>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</si>
  <si>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HSV</t>
  </si>
  <si>
    <t>ROZPOCET</t>
  </si>
  <si>
    <t>Zemní práce</t>
  </si>
  <si>
    <t>K</t>
  </si>
  <si>
    <t>132251254</t>
  </si>
  <si>
    <t>Hloubení nezapažených rýh šířky přes 800 do 2 000 mm strojně s urovnáním dna do předepsaného profilu a spádu v hornině třídy těžitelnosti I skupiny 3 přes 100 do 500 m3</t>
  </si>
  <si>
    <t>m3</t>
  </si>
  <si>
    <t>CS ÚRS 2023 02</t>
  </si>
  <si>
    <t>4</t>
  </si>
  <si>
    <t>179103942</t>
  </si>
  <si>
    <t>Online PSC</t>
  </si>
  <si>
    <t>https://podminky.urs.cz/item/CS_URS_2023_02/132251254</t>
  </si>
  <si>
    <t>VV</t>
  </si>
  <si>
    <t>3,1*67,3</t>
  </si>
  <si>
    <t>29,5*2,1</t>
  </si>
  <si>
    <t>3,1*15,2</t>
  </si>
  <si>
    <t>3,0*20</t>
  </si>
  <si>
    <t>Součet</t>
  </si>
  <si>
    <t>3</t>
  </si>
  <si>
    <t>162751117</t>
  </si>
  <si>
    <t>Vodorovné přemístění výkopku nebo sypaniny po suchu na obvyklém dopravním prostředku, bez naložení výkopku, avšak se složením bez rozhrnutí z horniny třídy těžitelnosti I skupiny 1 až 3 na vzdálenost přes 9 000 do 10 000 m</t>
  </si>
  <si>
    <t>CS ÚRS 2023 01</t>
  </si>
  <si>
    <t>365247036</t>
  </si>
  <si>
    <t>https://podminky.urs.cz/item/CS_URS_2023_01/162751117</t>
  </si>
  <si>
    <t>377,7</t>
  </si>
  <si>
    <t>162751119</t>
  </si>
  <si>
    <t>Vodorovné přemístění výkopku nebo sypaniny po suchu na obvyklém dopravním prostředku, bez naložení výkopku, avšak se složením bez rozhrnutí z horniny třídy těžitelnosti I skupiny 1 až 3 na vzdálenost Příplatek k ceně za každých dalších i započatých 1 000 m</t>
  </si>
  <si>
    <t>1950067877</t>
  </si>
  <si>
    <t>https://podminky.urs.cz/item/CS_URS_2023_01/162751119</t>
  </si>
  <si>
    <t>377,7*20</t>
  </si>
  <si>
    <t>5</t>
  </si>
  <si>
    <t>171201231</t>
  </si>
  <si>
    <t>Poplatek za uložení stavebního odpadu na recyklační skládce (skládkovné) zeminy a kamení zatříděného do Katalogu odpadů pod kódem 17 05 04</t>
  </si>
  <si>
    <t>t</t>
  </si>
  <si>
    <t>-1351061472</t>
  </si>
  <si>
    <t>https://podminky.urs.cz/item/CS_URS_2023_01/171201231</t>
  </si>
  <si>
    <t>377,8*1,8</t>
  </si>
  <si>
    <t>96</t>
  </si>
  <si>
    <t>174151101</t>
  </si>
  <si>
    <t>Zásyp sypaninou z jakékoliv horniny strojně s uložením výkopku ve vrstvách se zhutněním jam, šachet, rýh nebo kolem objektů v těchto vykopávkách</t>
  </si>
  <si>
    <t>-1738048971</t>
  </si>
  <si>
    <t>https://podminky.urs.cz/item/CS_URS_2023_02/174151101</t>
  </si>
  <si>
    <t xml:space="preserve">obsyp základových pasů, stěn atd. </t>
  </si>
  <si>
    <t>65</t>
  </si>
  <si>
    <t>Zakládání</t>
  </si>
  <si>
    <t>6</t>
  </si>
  <si>
    <t>212752102</t>
  </si>
  <si>
    <t>Trativody z drenážních trubek pro liniové stavby a komunikace se zřízením štěrkového lože pod trubky a s jejich obsypem v otevřeném výkopu trubka korugovaná sendvičová PE-HD SN 4 celoperforovaná 360° DN 150</t>
  </si>
  <si>
    <t>m</t>
  </si>
  <si>
    <t>296965496</t>
  </si>
  <si>
    <t>https://podminky.urs.cz/item/CS_URS_2023_02/212752102</t>
  </si>
  <si>
    <t>Drenážní potrubí opěrných stěn</t>
  </si>
  <si>
    <t>32</t>
  </si>
  <si>
    <t>7</t>
  </si>
  <si>
    <t>271532211</t>
  </si>
  <si>
    <t>Podsyp pod základové konstrukce se zhutněním a urovnáním povrchu z kameniva hrubého, frakce 32 - 63 mm</t>
  </si>
  <si>
    <t>123869060</t>
  </si>
  <si>
    <t>https://podminky.urs.cz/item/CS_URS_2023_02/271532211</t>
  </si>
  <si>
    <t>Podsyp pod základovou desku - štěrk třídy G1</t>
  </si>
  <si>
    <t>563*0,7-58,2*0,7</t>
  </si>
  <si>
    <t>podsyp pod opěrnou stěnu OS-P3</t>
  </si>
  <si>
    <t>6,6*0,1</t>
  </si>
  <si>
    <t>podsyp pod opěrnou stěnu OS-P1+P2</t>
  </si>
  <si>
    <t>40*0,1</t>
  </si>
  <si>
    <t>8</t>
  </si>
  <si>
    <t>273321511</t>
  </si>
  <si>
    <t>Základy z betonu železového (bez výztuže) desky z betonu bez zvláštních nároků na prostředí tř. C 25/30</t>
  </si>
  <si>
    <t>1623721344</t>
  </si>
  <si>
    <t>https://podminky.urs.cz/item/CS_URS_2023_01/273321511</t>
  </si>
  <si>
    <t>P</t>
  </si>
  <si>
    <t xml:space="preserve">Poznámka k položce:_x000D_
BETON ČSN EN 206-1 ZMĚNA Z3 C25/30 XC2 XF1 XA1 (CZ, F.1)-Cl _x000D_
</t>
  </si>
  <si>
    <t>podkladní beton</t>
  </si>
  <si>
    <t>635*0,1</t>
  </si>
  <si>
    <t>deska</t>
  </si>
  <si>
    <t>635*0,25</t>
  </si>
  <si>
    <t>podkladní beton opěrné stěny</t>
  </si>
  <si>
    <t>46,6*0,1</t>
  </si>
  <si>
    <t>9</t>
  </si>
  <si>
    <t>273351121</t>
  </si>
  <si>
    <t>Bednění základů desek zřízení</t>
  </si>
  <si>
    <t>m2</t>
  </si>
  <si>
    <t>1301630945</t>
  </si>
  <si>
    <t>https://podminky.urs.cz/item/CS_URS_2023_01/273351121</t>
  </si>
  <si>
    <t>bednění desky</t>
  </si>
  <si>
    <t>105,8*0,3</t>
  </si>
  <si>
    <t>10</t>
  </si>
  <si>
    <t>273351122</t>
  </si>
  <si>
    <t>Bednění základů desek odstranění</t>
  </si>
  <si>
    <t>-1740798881</t>
  </si>
  <si>
    <t>https://podminky.urs.cz/item/CS_URS_2023_01/273351122</t>
  </si>
  <si>
    <t>11</t>
  </si>
  <si>
    <t>273361821</t>
  </si>
  <si>
    <t>Výztuž základů desek z betonářské oceli 10 505 (R) nebo BSt 500</t>
  </si>
  <si>
    <t>1122216800</t>
  </si>
  <si>
    <t>https://podminky.urs.cz/item/CS_URS_2023_01/273361821</t>
  </si>
  <si>
    <t>8,56+6,097+0,012</t>
  </si>
  <si>
    <t>12</t>
  </si>
  <si>
    <t>273362021</t>
  </si>
  <si>
    <t>Výztuž základů desek ze svařovaných sítí z drátů typu KARI</t>
  </si>
  <si>
    <t>1345871828</t>
  </si>
  <si>
    <t>https://podminky.urs.cz/item/CS_URS_2023_02/273362021</t>
  </si>
  <si>
    <t>13</t>
  </si>
  <si>
    <t>274321511</t>
  </si>
  <si>
    <t>Základy z betonu železového (bez výztuže) pasy z betonu bez zvláštních nároků na prostředí tř. C 25/30</t>
  </si>
  <si>
    <t>521054783</t>
  </si>
  <si>
    <t>https://podminky.urs.cz/item/CS_URS_2023_01/274321511</t>
  </si>
  <si>
    <t>Poznámka k položce:_x000D_
BETON ČSN EN 206+A2 C25/30 XC2 XA1 (CZ, F.1)-Cl0,2-Dmax=20mm-S4</t>
  </si>
  <si>
    <t>základový pas š. 800 mm</t>
  </si>
  <si>
    <t>46,8</t>
  </si>
  <si>
    <t>základový pas š. 700 mm</t>
  </si>
  <si>
    <t>73,8</t>
  </si>
  <si>
    <t>základový pas š. 600 mm</t>
  </si>
  <si>
    <t>34,9</t>
  </si>
  <si>
    <t>žb stěna můstku</t>
  </si>
  <si>
    <t>0,62</t>
  </si>
  <si>
    <t>14</t>
  </si>
  <si>
    <t>274351121</t>
  </si>
  <si>
    <t>Bednění základů pasů rovné zřízení</t>
  </si>
  <si>
    <t>-56753398</t>
  </si>
  <si>
    <t>https://podminky.urs.cz/item/CS_URS_2023_02/274351121</t>
  </si>
  <si>
    <t>Bednění pas š. 600 mm</t>
  </si>
  <si>
    <t>19,6*0,8*4+11,2*0,8*6</t>
  </si>
  <si>
    <t>bednění pasů š. 700 mm</t>
  </si>
  <si>
    <t>105,7*1,1+100,5*1,1</t>
  </si>
  <si>
    <t>bednění pasů š.800 mm</t>
  </si>
  <si>
    <t>106,5*0,8+100,5*0,8</t>
  </si>
  <si>
    <t>bednění můstku</t>
  </si>
  <si>
    <t>8*0,35</t>
  </si>
  <si>
    <t>274351122</t>
  </si>
  <si>
    <t>Bednění základů pasů rovné odstranění</t>
  </si>
  <si>
    <t>653431955</t>
  </si>
  <si>
    <t>https://podminky.urs.cz/item/CS_URS_2023_02/274351122</t>
  </si>
  <si>
    <t>16</t>
  </si>
  <si>
    <t>274361821</t>
  </si>
  <si>
    <t>Výztuž základů pasů z betonářské oceli 10 505 (R) nebo BSt 500</t>
  </si>
  <si>
    <t>-986121053</t>
  </si>
  <si>
    <t>https://podminky.urs.cz/item/CS_URS_2023_01/274361821</t>
  </si>
  <si>
    <t>17</t>
  </si>
  <si>
    <t>274362021</t>
  </si>
  <si>
    <t>Výztuž základů pasů ze svařovaných sítí z drátů typu KARI</t>
  </si>
  <si>
    <t>-441535567</t>
  </si>
  <si>
    <t>https://podminky.urs.cz/item/CS_URS_2023_02/274362021</t>
  </si>
  <si>
    <t>výztuž můstku</t>
  </si>
  <si>
    <t>0,285</t>
  </si>
  <si>
    <t>91</t>
  </si>
  <si>
    <t>279113141</t>
  </si>
  <si>
    <t>Základové zdi z tvárnic ztraceného bednění včetně výplně z betonu bez zvláštních nároků na vliv prostředí třídy C 20/25, tloušťky zdiva 150 mm</t>
  </si>
  <si>
    <t>-589008698</t>
  </si>
  <si>
    <t>https://podminky.urs.cz/item/CS_URS_2023_02/279113141</t>
  </si>
  <si>
    <t>18</t>
  </si>
  <si>
    <t>279113144</t>
  </si>
  <si>
    <t>Základové zdi z tvárnic ztraceného bednění včetně výplně z betonu bez zvláštních nároků na vliv prostředí třídy C 20/25, tloušťky zdiva přes 250 do 300 mm</t>
  </si>
  <si>
    <t>1346300679</t>
  </si>
  <si>
    <t>https://podminky.urs.cz/item/CS_URS_2023_01/279113144</t>
  </si>
  <si>
    <t>podezdívka z tvárnic ztraceného bednění</t>
  </si>
  <si>
    <t>9,3+55</t>
  </si>
  <si>
    <t>19</t>
  </si>
  <si>
    <t>279113145</t>
  </si>
  <si>
    <t>Základové zdi z tvárnic ztraceného bednění včetně výplně z betonu bez zvláštních nároků na vliv prostředí třídy C 20/25, tloušťky zdiva přes 300 do 400 mm</t>
  </si>
  <si>
    <t>-953421625</t>
  </si>
  <si>
    <t>https://podminky.urs.cz/item/CS_URS_2023_01/279113145</t>
  </si>
  <si>
    <t>94</t>
  </si>
  <si>
    <t>279361821</t>
  </si>
  <si>
    <t>Výztuž základových zdí nosných svislých nebo odkloněných od svislice, rovinných nebo oblých, deskových nebo žebrových, včetně výztuže jejich žeber z betonářské oceli 10 505 (R) nebo BSt 500</t>
  </si>
  <si>
    <t>172152966</t>
  </si>
  <si>
    <t>https://podminky.urs.cz/item/CS_URS_2023_01/279361821</t>
  </si>
  <si>
    <t>Svislé a kompletní konstrukce</t>
  </si>
  <si>
    <t>20</t>
  </si>
  <si>
    <t>327324127</t>
  </si>
  <si>
    <t>Opěrné zdi a valy z betonu železového odolný proti agresivnímu prostředí tř. C 25/30</t>
  </si>
  <si>
    <t>951423865</t>
  </si>
  <si>
    <t>https://podminky.urs.cz/item/CS_URS_2023_02/327324127</t>
  </si>
  <si>
    <t xml:space="preserve">Poznámka k položce:_x000D_
BETON ČSN EN 206+A2 C25/30 XC2 XA1 (CZ, F.1)-Cl 0,2-Dmax=20mm-S4_x000D_
</t>
  </si>
  <si>
    <t>opěrné stěny P1-P3</t>
  </si>
  <si>
    <t>3*1,6*0,3+36,3*0,4</t>
  </si>
  <si>
    <t>93</t>
  </si>
  <si>
    <t>327324128</t>
  </si>
  <si>
    <t>Opěrné zdi a valy z betonu železového odolný proti agresivnímu prostředí tř. C 30/37</t>
  </si>
  <si>
    <t>-1781118390</t>
  </si>
  <si>
    <t>https://podminky.urs.cz/item/CS_URS_2023_02/327324128</t>
  </si>
  <si>
    <t xml:space="preserve">Poznámka k položce:_x000D_
POHLEDOVÝ BETON TŘÍDY PB1 ČSN EN 206+A2 POUŽITÍ PORTLANDSKÉHO CEMENTU A SUPERPLASTIFIKÁTORŮ C30/37 XC4 XF2 (CZ, F.1)-Cl0,2-Dmax=20mm-S4_x000D_
</t>
  </si>
  <si>
    <t>6,4*0,67</t>
  </si>
  <si>
    <t>19,7*0,3</t>
  </si>
  <si>
    <t>327351211</t>
  </si>
  <si>
    <t>Bednění opěrných zdí a valů svislých i skloněných, výšky do 20 m zřízení</t>
  </si>
  <si>
    <t>828038878</t>
  </si>
  <si>
    <t>https://podminky.urs.cz/item/CS_URS_2023_01/327351211</t>
  </si>
  <si>
    <t>19,3*2+40,3*0,4+3*6,4</t>
  </si>
  <si>
    <t>22</t>
  </si>
  <si>
    <t>327351221</t>
  </si>
  <si>
    <t>Bednění opěrných zdí a valů svislých i skloněných, výšky do 20 m odstranění</t>
  </si>
  <si>
    <t>757279403</t>
  </si>
  <si>
    <t>https://podminky.urs.cz/item/CS_URS_2023_01/327351221</t>
  </si>
  <si>
    <t>23</t>
  </si>
  <si>
    <t>3273512R1</t>
  </si>
  <si>
    <t>Příplatek za pohledový beton opěrných stěn</t>
  </si>
  <si>
    <t>117497137</t>
  </si>
  <si>
    <t>24</t>
  </si>
  <si>
    <t>327361006</t>
  </si>
  <si>
    <t>Výztuž opěrných zdí a valů průměru do 12 mm, z oceli 10 505 (R) nebo BSt 500</t>
  </si>
  <si>
    <t>844898523</t>
  </si>
  <si>
    <t>https://podminky.urs.cz/item/CS_URS_2023_01/327361006</t>
  </si>
  <si>
    <t>1,667+0,193</t>
  </si>
  <si>
    <t>95</t>
  </si>
  <si>
    <t>327361040</t>
  </si>
  <si>
    <t>Výztuž opěrných zdí a valů ze sítí svařovaných</t>
  </si>
  <si>
    <t>140838956</t>
  </si>
  <si>
    <t>https://podminky.urs.cz/item/CS_URS_2023_02/327361040</t>
  </si>
  <si>
    <t>2*0,259</t>
  </si>
  <si>
    <t>25</t>
  </si>
  <si>
    <t>342244221</t>
  </si>
  <si>
    <t>Příčky jednoduché z cihel děrovaných broušených, na tenkovrstvou maltu, pevnost cihel do P15, tl. příčky 140 mm</t>
  </si>
  <si>
    <t>141243453</t>
  </si>
  <si>
    <t>https://podminky.urs.cz/item/CS_URS_2023_02/342244221</t>
  </si>
  <si>
    <t>Zazdění modulu stávající budovy</t>
  </si>
  <si>
    <t>5,75*2,5</t>
  </si>
  <si>
    <t>Úpravy povrchů, podlahy a osazování výplní</t>
  </si>
  <si>
    <t>26</t>
  </si>
  <si>
    <t>622142001</t>
  </si>
  <si>
    <t>Potažení vnějších ploch pletivem v ploše nebo pruzích, na plném podkladu sklovláknitým vtlačením do tmelu stěn</t>
  </si>
  <si>
    <t>-1826079310</t>
  </si>
  <si>
    <t>https://podminky.urs.cz/item/CS_URS_2023_01/622142001</t>
  </si>
  <si>
    <t>106*1,8</t>
  </si>
  <si>
    <t>27</t>
  </si>
  <si>
    <t>622311131</t>
  </si>
  <si>
    <t>Potažení vnějších ploch štukem vápenným, tloušťky do 3 mm stěn</t>
  </si>
  <si>
    <t>-2000009872</t>
  </si>
  <si>
    <t>https://podminky.urs.cz/item/CS_URS_2023_02/622311131</t>
  </si>
  <si>
    <t>28</t>
  </si>
  <si>
    <t>622323111</t>
  </si>
  <si>
    <t>Omítka vápenocementová vnějších ploch hladkých hladká, nanášená na neomítnutý bezesparý podklad, tloušťky do 5 mm ručně stěn</t>
  </si>
  <si>
    <t>-78575546</t>
  </si>
  <si>
    <t>https://podminky.urs.cz/item/CS_URS_2023_02/622323111</t>
  </si>
  <si>
    <t>nová omítka na stěně z keramických tvárnic</t>
  </si>
  <si>
    <t>29</t>
  </si>
  <si>
    <t>622531012</t>
  </si>
  <si>
    <t>Omítka tenkovrstvá silikonová vnějších ploch probarvená bez penetrace zatíraná (škrábaná), zrnitost 1,5 mm stěn</t>
  </si>
  <si>
    <t>-728763186</t>
  </si>
  <si>
    <t>https://podminky.urs.cz/item/CS_URS_2023_01/622531012</t>
  </si>
  <si>
    <t>92</t>
  </si>
  <si>
    <t>631311136</t>
  </si>
  <si>
    <t>Mazanina z betonu prostého bez zvýšených nároků na prostředí tl. přes 120 do 240 mm tř. C 25/30</t>
  </si>
  <si>
    <t>-1920354738</t>
  </si>
  <si>
    <t>https://podminky.urs.cz/item/CS_URS_2023_02/631311136</t>
  </si>
  <si>
    <t xml:space="preserve">Poznámka k položce:_x000D_
vč. vsypu pancéřové podlahy_x000D_
BETON ČSN EN 206-1 ZMĚNA Z3 C25/30 XC1 (CZ, F.1)-Cl 0,2-Dmax=16mm-S4 (FRAKCE 8/16 Z LOMOVÉHO _x000D_
</t>
  </si>
  <si>
    <t>598*0,2</t>
  </si>
  <si>
    <t>31</t>
  </si>
  <si>
    <t>631319013</t>
  </si>
  <si>
    <t>Příplatek k cenám mazanin za úpravu povrchu mazaniny přehlazením, mazanina tl. přes 120 do 240 mm</t>
  </si>
  <si>
    <t>-224057000</t>
  </si>
  <si>
    <t>https://podminky.urs.cz/item/CS_URS_2023_01/631319013</t>
  </si>
  <si>
    <t>631319175</t>
  </si>
  <si>
    <t>Příplatek k cenám mazanin za stržení povrchu spodní vrstvy mazaniny latí před vložením výztuže nebo pletiva pro tl. obou vrstev mazaniny přes 120 do 240 mm</t>
  </si>
  <si>
    <t>1544362300</t>
  </si>
  <si>
    <t>https://podminky.urs.cz/item/CS_URS_2023_01/631319175</t>
  </si>
  <si>
    <t>33</t>
  </si>
  <si>
    <t>631319206</t>
  </si>
  <si>
    <t>Příplatek k cenám betonových mazanin za vyztužení ocelovými vlákny (drátkobeton) objemové vyztužení 40 kg/m3</t>
  </si>
  <si>
    <t>127424430</t>
  </si>
  <si>
    <t>https://podminky.urs.cz/item/CS_URS_2023_01/631319206</t>
  </si>
  <si>
    <t>34</t>
  </si>
  <si>
    <t>631362021</t>
  </si>
  <si>
    <t>Výztuž mazanin ze svařovaných sítí z drátů typu KARI</t>
  </si>
  <si>
    <t>-592391720</t>
  </si>
  <si>
    <t>https://podminky.urs.cz/item/CS_URS_2023_01/631362021</t>
  </si>
  <si>
    <t>8,39</t>
  </si>
  <si>
    <t>35</t>
  </si>
  <si>
    <t>632481213</t>
  </si>
  <si>
    <t>Separační vrstva k oddělení podlahových vrstev z polyetylénové fólie</t>
  </si>
  <si>
    <t>-2063279328</t>
  </si>
  <si>
    <t>https://podminky.urs.cz/item/CS_URS_2023_02/632481213</t>
  </si>
  <si>
    <t xml:space="preserve">separační folie </t>
  </si>
  <si>
    <t>598</t>
  </si>
  <si>
    <t>36</t>
  </si>
  <si>
    <t>634111116</t>
  </si>
  <si>
    <t>Obvodová dilatace mezi stěnou a mazaninou nebo potěrem pružnou těsnicí páskou na bázi syntetického kaučuku výšky 150 mm</t>
  </si>
  <si>
    <t>-2068367555</t>
  </si>
  <si>
    <t>https://podminky.urs.cz/item/CS_URS_2023_02/634111116</t>
  </si>
  <si>
    <t>Ostatní konstrukce a práce, bourání</t>
  </si>
  <si>
    <t>97</t>
  </si>
  <si>
    <t>935112111</t>
  </si>
  <si>
    <t>Osazení betonového příkopového žlabu s vyplněním a zatřením spár cementovou maltou s ložem tl. 100 mm z betonu prostého z betonových příkopových tvárnic šířky do 500 mm</t>
  </si>
  <si>
    <t>1606937933</t>
  </si>
  <si>
    <t>https://podminky.urs.cz/item/CS_URS_2023_02/935112111</t>
  </si>
  <si>
    <t>Poznámka k položce:_x000D_
vč. lože ze štěrkodrtě tl. 200 mm</t>
  </si>
  <si>
    <t>98</t>
  </si>
  <si>
    <t>M</t>
  </si>
  <si>
    <t>59227054</t>
  </si>
  <si>
    <t>žlabovka příkopová betonová 500x500x130mm</t>
  </si>
  <si>
    <t>-615182204</t>
  </si>
  <si>
    <t>37</t>
  </si>
  <si>
    <t>949101112</t>
  </si>
  <si>
    <t>Lešení pomocné pracovní pro objekty pozemních staveb pro zatížení do 150 kg/m2, o výšce lešeňové podlahy přes 1,9 do 3,5 m</t>
  </si>
  <si>
    <t>85717482</t>
  </si>
  <si>
    <t>https://podminky.urs.cz/item/CS_URS_2023_01/949101112</t>
  </si>
  <si>
    <t>99</t>
  </si>
  <si>
    <t>961055111</t>
  </si>
  <si>
    <t>Bourání základů z betonu železového</t>
  </si>
  <si>
    <t>2139818309</t>
  </si>
  <si>
    <t>https://podminky.urs.cz/item/CS_URS_2023_02/961055111</t>
  </si>
  <si>
    <t>2,5*2,5*2</t>
  </si>
  <si>
    <t>997</t>
  </si>
  <si>
    <t>Přesun sutě</t>
  </si>
  <si>
    <t>100</t>
  </si>
  <si>
    <t>997013111</t>
  </si>
  <si>
    <t>Vnitrostaveništní doprava suti a vybouraných hmot vodorovně do 50 m svisle s použitím mechanizace pro budovy a haly výšky do 6 m</t>
  </si>
  <si>
    <t>554844586</t>
  </si>
  <si>
    <t>https://podminky.urs.cz/item/CS_URS_2023_02/997013111</t>
  </si>
  <si>
    <t>101</t>
  </si>
  <si>
    <t>997013501</t>
  </si>
  <si>
    <t>Odvoz suti a vybouraných hmot na skládku nebo meziskládku se složením, na vzdálenost do 1 km</t>
  </si>
  <si>
    <t>-140974882</t>
  </si>
  <si>
    <t>https://podminky.urs.cz/item/CS_URS_2023_02/997013501</t>
  </si>
  <si>
    <t>102</t>
  </si>
  <si>
    <t>997013509</t>
  </si>
  <si>
    <t>Odvoz suti a vybouraných hmot na skládku nebo meziskládku se složením, na vzdálenost Příplatek k ceně za každý další i započatý 1 km přes 1 km</t>
  </si>
  <si>
    <t>-789979830</t>
  </si>
  <si>
    <t>https://podminky.urs.cz/item/CS_URS_2023_02/997013509</t>
  </si>
  <si>
    <t>30,000*20</t>
  </si>
  <si>
    <t>103</t>
  </si>
  <si>
    <t>997013602</t>
  </si>
  <si>
    <t>Poplatek za uložení stavebního odpadu na skládce (skládkovné) z armovaného betonu zatříděného do Katalogu odpadů pod kódem 17 01 01</t>
  </si>
  <si>
    <t>221900829</t>
  </si>
  <si>
    <t>https://podminky.urs.cz/item/CS_URS_2023_02/997013602</t>
  </si>
  <si>
    <t>999</t>
  </si>
  <si>
    <t>Konstrukce haly</t>
  </si>
  <si>
    <t>38</t>
  </si>
  <si>
    <t>999001R1</t>
  </si>
  <si>
    <t>OK komplet, provedení pozink (vazníky, vaznice, sloupy, výměny vrat a dveří, zavětrování,ocel jakost 350GD; HX420 AD; HX500 LAD, dle tloušťky prvku - viz. výkres a TZ</t>
  </si>
  <si>
    <t>kg</t>
  </si>
  <si>
    <t>-1237917698</t>
  </si>
  <si>
    <t>39</t>
  </si>
  <si>
    <t>999001R2</t>
  </si>
  <si>
    <t>kotevní prvky (obvodové stěny), včetně geodetického zaměření jejich osazení - viz. výkres a TZ</t>
  </si>
  <si>
    <t>ks</t>
  </si>
  <si>
    <t>-1812592054</t>
  </si>
  <si>
    <t>40</t>
  </si>
  <si>
    <t>999001R3</t>
  </si>
  <si>
    <t>kotevní prvky (vnitřní dělící příčka), včetně geodetického zaměření jejich osazení - viz. výkres a TZ</t>
  </si>
  <si>
    <t>-2118362790</t>
  </si>
  <si>
    <t>41</t>
  </si>
  <si>
    <t>999001R4</t>
  </si>
  <si>
    <t>nezateplený pozinkovaný ocelový trapézový plech VP 46, včetně vrstvy proti odkapávání sražených par - viz. výkres a TZ</t>
  </si>
  <si>
    <t xml:space="preserve">m2 </t>
  </si>
  <si>
    <t>-1010861214</t>
  </si>
  <si>
    <t>42</t>
  </si>
  <si>
    <t>999001R5</t>
  </si>
  <si>
    <t>podhled - 0.2 mm parozábrana; 100*20 mm izoblok; 250 mm MV; pozinkovaný ocelový trapézový plech IP 18 - viz. výkres a TZ</t>
  </si>
  <si>
    <t>1442035383</t>
  </si>
  <si>
    <t>43</t>
  </si>
  <si>
    <t>999001R6</t>
  </si>
  <si>
    <t>opláštění stěn - sendvičový panel s výplní 100 PUR, barva RAL 9002/9002, viz, výkres a TZ</t>
  </si>
  <si>
    <t>1743149379</t>
  </si>
  <si>
    <t>44</t>
  </si>
  <si>
    <t>999001R7</t>
  </si>
  <si>
    <t>opláštění stěn - sendvičový panel s výplní 100 MV, barva RAL 9002/9002, viz, výkres a TZ</t>
  </si>
  <si>
    <t>-1253125039</t>
  </si>
  <si>
    <t>45</t>
  </si>
  <si>
    <t>999001R8</t>
  </si>
  <si>
    <t>opláštění stěn - dělící příčka - sendvičový panel s výplní 100 PUR, barva 9002/9002 viz. výkres a TZ</t>
  </si>
  <si>
    <t>1290780384</t>
  </si>
  <si>
    <t>46</t>
  </si>
  <si>
    <t>999001R9</t>
  </si>
  <si>
    <t>lemování opláštění (střecha x stěna, rohy opláštění; soklová okapnice, vrata, dveře, okna, zesílená atika po obvodu - RAL 9002/3000, viz. výkres a TZ *</t>
  </si>
  <si>
    <t>bm</t>
  </si>
  <si>
    <t>1232765583</t>
  </si>
  <si>
    <t>47</t>
  </si>
  <si>
    <t>999001R10</t>
  </si>
  <si>
    <t>lemování opláštění interiér - RAL 9002, viz. výkres a TZ</t>
  </si>
  <si>
    <t>746611729</t>
  </si>
  <si>
    <t>48</t>
  </si>
  <si>
    <t>999001R11</t>
  </si>
  <si>
    <t>systém odvodnění střechy komplet - viz. výkres a TZ</t>
  </si>
  <si>
    <t>kpl</t>
  </si>
  <si>
    <t>-1673163843</t>
  </si>
  <si>
    <t>49</t>
  </si>
  <si>
    <t>999001R12</t>
  </si>
  <si>
    <t>vratová technika (obvodové stěny + dělící příčka), viz výkres a TZ</t>
  </si>
  <si>
    <t>-521202279</t>
  </si>
  <si>
    <t>50</t>
  </si>
  <si>
    <t>999001R13</t>
  </si>
  <si>
    <t>dveře (obvodové stěny + dělící příčka), viz výkres a TZ</t>
  </si>
  <si>
    <t>-24329276</t>
  </si>
  <si>
    <t>51</t>
  </si>
  <si>
    <t>999001R14</t>
  </si>
  <si>
    <t>okenní výplně (obvodové stěny) (sklopná okna vč. sítí proti hmyzu), viz výkres a TZ</t>
  </si>
  <si>
    <t>1669798871</t>
  </si>
  <si>
    <t>52</t>
  </si>
  <si>
    <t>999001R15</t>
  </si>
  <si>
    <t>zádržný systém střechy (bez sady OOPP - úvazků a karabin, vč. montážního textilního lana - 30 m)</t>
  </si>
  <si>
    <t>-1248195764</t>
  </si>
  <si>
    <t>53</t>
  </si>
  <si>
    <t>999001R16</t>
  </si>
  <si>
    <t>žebřík, včetně ochranného koše, BEZ suchovodu</t>
  </si>
  <si>
    <t>885171962</t>
  </si>
  <si>
    <t>54</t>
  </si>
  <si>
    <t>999001R17</t>
  </si>
  <si>
    <t>stěnové přistřešení kombinací pozinkovaných profilů a komůrkového polykarbonátu</t>
  </si>
  <si>
    <t>411297572</t>
  </si>
  <si>
    <t>55</t>
  </si>
  <si>
    <t>999001R18</t>
  </si>
  <si>
    <t>likvidace odpadu</t>
  </si>
  <si>
    <t>454092570</t>
  </si>
  <si>
    <t>56</t>
  </si>
  <si>
    <t>999001R19</t>
  </si>
  <si>
    <t>doprava</t>
  </si>
  <si>
    <t>856362703</t>
  </si>
  <si>
    <t>998</t>
  </si>
  <si>
    <t>Přesun hmot</t>
  </si>
  <si>
    <t>57</t>
  </si>
  <si>
    <t>998011002</t>
  </si>
  <si>
    <t>Přesun hmot pro budovy občanské výstavby, bydlení, výrobu a služby s nosnou svislou konstrukcí zděnou z cihel, tvárnic nebo kamene vodorovná dopravní vzdálenost do 100 m pro budovy výšky přes 6 do 12 m</t>
  </si>
  <si>
    <t>-1471620874</t>
  </si>
  <si>
    <t>https://podminky.urs.cz/item/CS_URS_2023_01/998011002</t>
  </si>
  <si>
    <t>PSV</t>
  </si>
  <si>
    <t>Práce a dodávky PSV</t>
  </si>
  <si>
    <t>711</t>
  </si>
  <si>
    <t>Izolace proti vodě, vlhkosti a plynům</t>
  </si>
  <si>
    <t>58</t>
  </si>
  <si>
    <t>711111002</t>
  </si>
  <si>
    <t>Provedení izolace proti zemní vlhkosti natěradly a tmely za studena na ploše vodorovné V nátěrem lakem asfaltovým</t>
  </si>
  <si>
    <t>1107455415</t>
  </si>
  <si>
    <t>https://podminky.urs.cz/item/CS_URS_2023_02/711111002</t>
  </si>
  <si>
    <t>59</t>
  </si>
  <si>
    <t>11163152</t>
  </si>
  <si>
    <t>lak hydroizolační asfaltový</t>
  </si>
  <si>
    <t>928747138</t>
  </si>
  <si>
    <t>645*0,00039 'Přepočtené koeficientem množství</t>
  </si>
  <si>
    <t>60</t>
  </si>
  <si>
    <t>711141559</t>
  </si>
  <si>
    <t>Provedení izolace proti zemní vlhkosti pásy přitavením NAIP na ploše vodorovné V</t>
  </si>
  <si>
    <t>-705148705</t>
  </si>
  <si>
    <t>https://podminky.urs.cz/item/CS_URS_2023_02/711141559</t>
  </si>
  <si>
    <t>61</t>
  </si>
  <si>
    <t>62853004</t>
  </si>
  <si>
    <t>pás asfaltový natavitelný modifikovaný SBS s vložkou ze skleněné tkaniny a spalitelnou PE fólií nebo jemnozrnným minerálním posypem na horním povrchu tl 4,0mm</t>
  </si>
  <si>
    <t>1046249600</t>
  </si>
  <si>
    <t>645*1,1655 'Přepočtené koeficientem množství</t>
  </si>
  <si>
    <t>62</t>
  </si>
  <si>
    <t>711491172</t>
  </si>
  <si>
    <t>Provedení doplňků izolace proti vodě textilií na ploše vodorovné V vrstva ochranná</t>
  </si>
  <si>
    <t>849850533</t>
  </si>
  <si>
    <t>https://podminky.urs.cz/item/CS_URS_2023_01/711491172</t>
  </si>
  <si>
    <t>63</t>
  </si>
  <si>
    <t>69311199</t>
  </si>
  <si>
    <t>geotextilie netkaná separační, ochranná, filtrační, drenážní PES(70%)+PP(30%) 300g/m2</t>
  </si>
  <si>
    <t>-1522883310</t>
  </si>
  <si>
    <t>645*1,05 'Přepočtené koeficientem množství</t>
  </si>
  <si>
    <t>64</t>
  </si>
  <si>
    <t>711741567</t>
  </si>
  <si>
    <t>Provedení detailů pásy přitavením dilatačních spár-uzávěr zesílením rš 1000 mm NAIP, vodorovných V</t>
  </si>
  <si>
    <t>461955160</t>
  </si>
  <si>
    <t>https://podminky.urs.cz/item/CS_URS_2023_02/711741567</t>
  </si>
  <si>
    <t>998711102</t>
  </si>
  <si>
    <t>Přesun hmot pro izolace proti vodě, vlhkosti a plynům stanovený z hmotnosti přesunovaného materiálu vodorovná dopravní vzdálenost do 50 m v objektech výšky přes 6 do 12 m</t>
  </si>
  <si>
    <t>1642534807</t>
  </si>
  <si>
    <t>https://podminky.urs.cz/item/CS_URS_2023_01/998711102</t>
  </si>
  <si>
    <t>713</t>
  </si>
  <si>
    <t>Izolace tepelné</t>
  </si>
  <si>
    <t>66</t>
  </si>
  <si>
    <t>713121111</t>
  </si>
  <si>
    <t>Montáž tepelné izolace podlah rohožemi, pásy, deskami, dílci, bloky (izolační materiál ve specifikaci) kladenými volně jednovrstvá</t>
  </si>
  <si>
    <t>1350424916</t>
  </si>
  <si>
    <t>https://podminky.urs.cz/item/CS_URS_2023_02/713121111</t>
  </si>
  <si>
    <t>ochranná vrstva EPS - pod opěrnou stěnou</t>
  </si>
  <si>
    <t>5*1</t>
  </si>
  <si>
    <t>67</t>
  </si>
  <si>
    <t>28372309</t>
  </si>
  <si>
    <t>deska EPS 100 pro konstrukce s běžným zatížením λ=0,037 tl 100mm</t>
  </si>
  <si>
    <t>-1320697545</t>
  </si>
  <si>
    <t>5*1,05 'Přepočtené koeficientem množství</t>
  </si>
  <si>
    <t>68</t>
  </si>
  <si>
    <t>713131143</t>
  </si>
  <si>
    <t>Montáž tepelné izolace stěn rohožemi, pásy, deskami, dílci, bloky (izolační materiál ve specifikaci) lepením celoplošně s mechanickým kotvením</t>
  </si>
  <si>
    <t>1282632490</t>
  </si>
  <si>
    <t>https://podminky.urs.cz/item/CS_URS_2023_01/713131143</t>
  </si>
  <si>
    <t>zateplení soklu - základ</t>
  </si>
  <si>
    <t>183+65</t>
  </si>
  <si>
    <t>zateplení soklu - nadezdívka</t>
  </si>
  <si>
    <t>96,5*0,5</t>
  </si>
  <si>
    <t>69</t>
  </si>
  <si>
    <t>28376422</t>
  </si>
  <si>
    <t>deska XPS hrana polodrážková a hladký povrch 300kPA tl 100mm</t>
  </si>
  <si>
    <t>1310134475</t>
  </si>
  <si>
    <t>70</t>
  </si>
  <si>
    <t>28375938</t>
  </si>
  <si>
    <t>deska EPS 70 fasádní λ=0,039 tl 100mm</t>
  </si>
  <si>
    <t>-655144654</t>
  </si>
  <si>
    <t>71</t>
  </si>
  <si>
    <t>7131311R1</t>
  </si>
  <si>
    <t>Vyrovnávací klín Z EPS 70F tl. 100 mm</t>
  </si>
  <si>
    <t>308183120</t>
  </si>
  <si>
    <t>zateplení soklu</t>
  </si>
  <si>
    <t>96,5</t>
  </si>
  <si>
    <t>72</t>
  </si>
  <si>
    <t>998713101</t>
  </si>
  <si>
    <t>Přesun hmot pro izolace tepelné stanovený z hmotnosti přesunovaného materiálu vodorovná dopravní vzdálenost do 50 m v objektech výšky do 6 m</t>
  </si>
  <si>
    <t>-1309471190</t>
  </si>
  <si>
    <t>https://podminky.urs.cz/item/CS_URS_2023_02/998713101</t>
  </si>
  <si>
    <t>764</t>
  </si>
  <si>
    <t>Konstrukce klempířské</t>
  </si>
  <si>
    <t>73</t>
  </si>
  <si>
    <t>7643114R1</t>
  </si>
  <si>
    <t>Oplechování sloupu OpS_1</t>
  </si>
  <si>
    <t>-1416446716</t>
  </si>
  <si>
    <t>Poznámka k položce:_x000D_
- pozink. plech tl.0,8mm,_x000D_
- R.Š.=580mm, délka =500mm, plocha=0,28m2_x000D_
- povrch RAL 7037_x000D_
- hmotnost 1,792kg/ks_x000D_
- hmotnost 14ks celkem 25kg_x000D_
- kotveno 8x M6x50 + hmoždinka/1ks_x000D_
10 - tvar a rozměry upravit podle skutečnosti_x000D_
10_x000D_
70 300</t>
  </si>
  <si>
    <t>74</t>
  </si>
  <si>
    <t>7643114R2</t>
  </si>
  <si>
    <t>Oplechování sloupu OpS_2</t>
  </si>
  <si>
    <t>2134662865</t>
  </si>
  <si>
    <t>Poznámka k položce:_x000D_
pozink. plech tl.0,8mm,_x000D_
- R.Š.=680mm, délka=500mm, plocha=0,34m2_x000D_
- povrch RAL 7037_x000D_
- hmotnost 2,176kg/ks_x000D_
- hmotnost 3ks celkem 6,5kg_x000D_
- kotveno 8x M6x50 + hmoždinka/1ks_x000D_
- tvar a rozměry upravit podle skutečnosti</t>
  </si>
  <si>
    <t>75</t>
  </si>
  <si>
    <t>7643114R3</t>
  </si>
  <si>
    <t>Oplechování sloupu OpS_3</t>
  </si>
  <si>
    <t>-1109437143</t>
  </si>
  <si>
    <t>Poznámka k položce:_x000D_
- pozink. plech tl.0,8mm,_x000D_
- R.Š.=880mm, délka =500mm, plocha=0,44m2_x000D_
- povrch RAL 7037_x000D_
- hmotnost 2,816kg/ks_x000D_
- hmotnost 2ks celkem 5,6kg_x000D_
- kotveno 8x M6x50 + hmoždinka/1ks_x000D_
- tvar a rozměry upravit podle skutečnosti</t>
  </si>
  <si>
    <t>76</t>
  </si>
  <si>
    <t>998764101</t>
  </si>
  <si>
    <t>Přesun hmot pro konstrukce klempířské stanovený z hmotnosti přesunovaného materiálu vodorovná dopravní vzdálenost do 50 m v objektech výšky do 6 m</t>
  </si>
  <si>
    <t>-996748442</t>
  </si>
  <si>
    <t>https://podminky.urs.cz/item/CS_URS_2023_02/998764101</t>
  </si>
  <si>
    <t>767</t>
  </si>
  <si>
    <t>Konstrukce zámečnické</t>
  </si>
  <si>
    <t>77</t>
  </si>
  <si>
    <t>7678921R1</t>
  </si>
  <si>
    <t>Vyrovnávací hydraulický můstek</t>
  </si>
  <si>
    <t>kus</t>
  </si>
  <si>
    <t>-1798703558</t>
  </si>
  <si>
    <t>Poznámka k položce:_x000D_
Typ Hydraulický vyrovnávací můstek s výsuvnou lištou _x000D_
Rozměr pracovního stolu: 2000 x 2500 mm_x000D_
Rozsah zdvihu Horní +500 mm, dolní - 430 mm_x000D_
Délka výsuvné lišty 1000mm_x000D_
Stavební výška 700mm_x000D_
Nosnost: Jmenovitá nosnost 6t, dle ČSN EN 1398_x000D_
Pohon: Elektrohydraulický_x000D_
Ovládání: Řídící jednotka SP07 - automatický návrat_x000D_
Povrchová úprava RAL 5005_x000D_
Utěsnění můstku: Bez utěsnění_x000D_
Gumový doraz: Velký s plechem - 1 pár_x000D_
vč. ocelového obvodového rámu</t>
  </si>
  <si>
    <t>78</t>
  </si>
  <si>
    <t>7678921R2</t>
  </si>
  <si>
    <t>Stojan na hydrant</t>
  </si>
  <si>
    <t>1010469684</t>
  </si>
  <si>
    <t>Poznámka k položce:_x000D_
_x000D_
Jakl 30x30x2 celkem 5,3 + 0,05%m tj._x000D_
5,6m , 1.85 kg/m, celkem jeden stojan 11kg_x000D_
1 ks_x000D_
Stojan přikotvit k soklu, 2x chem. kotva M8_x000D_
na jednu nohu stojanu.</t>
  </si>
  <si>
    <t>79</t>
  </si>
  <si>
    <t>7678921R3</t>
  </si>
  <si>
    <t>Lemování vyrovnávacího můstku</t>
  </si>
  <si>
    <t>-1849621750</t>
  </si>
  <si>
    <t xml:space="preserve">Poznámka k položce:_x000D_
- profil U 260_x000D_
- délka=1250mm_x000D_
- povrch pozink_x000D_
- hmotnost 1,2 x 37,90kg/m´= 45,5kg_x000D_
- pracny Plech tl.5mm, celkem cca 10kg_x000D_
pracny upravit podle výztuže beton. konstrukce a p řivařit_x000D_
- hmotnost 2ks celkem cca 111kg_x000D_
_x000D_
_x000D_
- profil L 70x70x8 - lemování dojezdu exped. sek. vrat_x000D_
- délka= 2x400 = 800mm_x000D_
- povrch pozink_x000D_
- hmotnost 1,6 x 6,4kg/m´= 10,5kg_x000D_
- pracny Plech tl.5mm, celkem cca 2kg_x000D_
pracny upravit podle výztuže beton. konstrukce a p řivařit_x000D_
- hmotnost 2ks celkem cca 1 2,5kg_x000D_
_x000D_
_x000D_
- profil L 60x60x5 - lemování hrany podlahy -0,750_x000D_
- délka=1x 2150mm_x000D_
- povrch pozink_x000D_
- hmotnost 2,15 x 4,57kg/m´= 10kg_x000D_
- pracny Plech tl.5mm, celkem cca 2kg_x000D_
pracny upravit podle výztuže beton. konstrukce a p řivařit_x000D_
- hmotnost 1ks celkem cca 12kg_x000D_
</t>
  </si>
  <si>
    <t>80</t>
  </si>
  <si>
    <t>7678921R4</t>
  </si>
  <si>
    <t>Ocelové schodiště západ, zábradlí rampy</t>
  </si>
  <si>
    <t>-13803395</t>
  </si>
  <si>
    <t>Poznámka k položce:_x000D_
SCHODIŠTĚ - PODESTA pozink_x000D_
- Jekl 120x80x5 14,4kg/m´, 1,8m x 14,4 = 25,92 kg_x000D_
- Jekl 100x50x4 8,6kg/m´, 2,6m x 8,6 = 22,36 kg_x000D_
- Podesta pororošt pozink 30mm, 0,8m2, celkem 15kg_x000D_
- kotvící plechy tl.10mm, 0,2m2 x 80kg = 16kg_x000D_
celkem + 5% 84kg_x000D_
SCHODIŠTĚ - RAMENO pozink_x000D_
- Jekl 150x50x5 11,4kg/m´, 4,0m x 11,4 = 45,6 kg_x000D_
- Pororoštové stupně pozink 6ks 5,7kgx6 = 34,2 kg_x000D_
celkem + 5% 55kg_x000D_
ZÁBRADLÍ + SCHODIŠTĚ + RAMPA pozink_x000D_
- sloupek Jekl 40x40x3 3,3kg/m´, 16,0m x 3,3 = 52,8 kg_x000D_
- madlo Jekl 40x40x3 3,3kg/m´, 21,0m x 3,3 = 69,3 kg_x000D_
- madla Jekl 30x30x3 2,36kg/m´, 42,0m x 2,36 = 99,2 kg_x000D_
- kotvící plechy tl.5mm, 1,2m2 x 40kg = 48kg_x000D_
celkem + 5% 283kg</t>
  </si>
  <si>
    <t>81</t>
  </si>
  <si>
    <t>7678921R5</t>
  </si>
  <si>
    <t>Ocelové schodiště východ</t>
  </si>
  <si>
    <t>-701825842</t>
  </si>
  <si>
    <t>Poznámka k položce:_x000D_
SCHODIŠTĚ - PODESTA pozink_x000D_
- Jekl 120x80x5 14,4kg/m´, 4,3m x 14,4 = 61,9 kg_x000D_
- Jekl 100x50x4 8,6kg/m´, 0,8m x 8,6 = 6,9 kg_x000D_
- Podesta pororošt pozink 30mm, 1,5m2, celkem 30kg_x000D_
- stojny Jekl 80x60x4 6,2kg/m´, 2,4 x 6,2 = 14,9kg_x000D_
- kotvící plechy tl.5mm, 0,4m2 x 40kg = 16kg_x000D_
celkem + 5% 120,5 kg_x000D_
SCHODIŠTĚ - RAMENO pozink_x000D_
- Jekl 150x50x5 11,4kg/m´, 2,6m x 11,4 = 30,0 kg_x000D_
- Pororoštové stupně pozink 4ks 5,7kgx4 = 22,8 kg_x000D_
celkem + 5% 55,5kg_x000D_
ZÁBRADLÍ pozink_x000D_
- sloupek Jekl 40x40x3 3,3kg/m´, 6,0m x 3,3 = 19,8 kg_x000D_
- madlo Jekl 40x40x3 3,3kg/m´, 3,6m x 3,3 = 11,8 kg_x000D_
- madla Jekl 30x30x3 2,36kg/m´, 7,2m x 2,36 = 17,0 kg_x000D_
- kotvící plechy+okop tl.5mm, 0,8m2 x 40kg = 32kg_x000D_
celkem + 5% 84,6 kg_x000D_
_x000D_
vč. stavebních úprav vstupu_x000D_
Dobetonování podlahy pro venkovní schodiště Beton 16/20, Hrana osazena profilem L60x60x5 - pozink_x000D_
Odsazení H.H. zateplení XPS pro ukotvení schodiště. H.H. zateplení opatřit_x000D_
oplechováním RAL 7036</t>
  </si>
  <si>
    <t>82</t>
  </si>
  <si>
    <t>998767101</t>
  </si>
  <si>
    <t>Přesun hmot pro zámečnické konstrukce stanovený z hmotnosti přesunovaného materiálu vodorovná dopravní vzdálenost do 50 m v objektech výšky do 6 m</t>
  </si>
  <si>
    <t>172101298</t>
  </si>
  <si>
    <t>https://podminky.urs.cz/item/CS_URS_2023_02/998767101</t>
  </si>
  <si>
    <t>781</t>
  </si>
  <si>
    <t>Dokončovací práce - obklady</t>
  </si>
  <si>
    <t>83</t>
  </si>
  <si>
    <t>781111011</t>
  </si>
  <si>
    <t>Příprava podkladu před provedením obkladu oprášení (ometení) stěny</t>
  </si>
  <si>
    <t>1981111184</t>
  </si>
  <si>
    <t>https://podminky.urs.cz/item/CS_URS_2023_02/781111011</t>
  </si>
  <si>
    <t>84</t>
  </si>
  <si>
    <t>781121011</t>
  </si>
  <si>
    <t>Příprava podkladu před provedením obkladu nátěr penetrační na stěnu</t>
  </si>
  <si>
    <t>-31544270</t>
  </si>
  <si>
    <t>https://podminky.urs.cz/item/CS_URS_2023_02/781121011</t>
  </si>
  <si>
    <t>85</t>
  </si>
  <si>
    <t>781571141</t>
  </si>
  <si>
    <t>Montáž obkladů ostění z obkladaček keramických lepených flexibilním lepidlem šířky ostění přes 200 do 400 mm</t>
  </si>
  <si>
    <t>-1471195128</t>
  </si>
  <si>
    <t>https://podminky.urs.cz/item/CS_URS_2023_02/781571141</t>
  </si>
  <si>
    <t>Vrchní hrana soklu</t>
  </si>
  <si>
    <t>96,5*0,3</t>
  </si>
  <si>
    <t>86</t>
  </si>
  <si>
    <t>597610R1</t>
  </si>
  <si>
    <t xml:space="preserve">Keramická dlažba 300x300 mm tl. 10 mm přes </t>
  </si>
  <si>
    <t>2027558474</t>
  </si>
  <si>
    <t>28,95*0,44 'Přepočtené koeficientem množství</t>
  </si>
  <si>
    <t>87</t>
  </si>
  <si>
    <t>998781101</t>
  </si>
  <si>
    <t>Přesun hmot pro obklady keramické stanovený z hmotnosti přesunovaného materiálu vodorovná dopravní vzdálenost do 50 m v objektech výšky do 6 m</t>
  </si>
  <si>
    <t>-1603534813</t>
  </si>
  <si>
    <t>https://podminky.urs.cz/item/CS_URS_2023_02/998781101</t>
  </si>
  <si>
    <t>783</t>
  </si>
  <si>
    <t>Dokončovací práce - nátěry</t>
  </si>
  <si>
    <t>88</t>
  </si>
  <si>
    <t>783823135</t>
  </si>
  <si>
    <t>Penetrační nátěr omítek hladkých omítek hladkých, zrnitých tenkovrstvých nebo štukových stupně členitosti 1 a 2 silikonový</t>
  </si>
  <si>
    <t>-1843122466</t>
  </si>
  <si>
    <t>https://podminky.urs.cz/item/CS_URS_2023_02/783823135</t>
  </si>
  <si>
    <t>nátěr fasády</t>
  </si>
  <si>
    <t>14,375</t>
  </si>
  <si>
    <t>nátěr soklu</t>
  </si>
  <si>
    <t>95*0,5</t>
  </si>
  <si>
    <t>89</t>
  </si>
  <si>
    <t>783826401</t>
  </si>
  <si>
    <t>Ochranný protikarbonatační nátěr omítek akrylátový</t>
  </si>
  <si>
    <t>-232980483</t>
  </si>
  <si>
    <t>https://podminky.urs.cz/item/CS_URS_2023_02/783826401</t>
  </si>
  <si>
    <t>nátěr pohledových betonů - specifikace nátěru po konzultaci s projektantem</t>
  </si>
  <si>
    <t>6,4*3+19,3*2</t>
  </si>
  <si>
    <t>90</t>
  </si>
  <si>
    <t>783827125</t>
  </si>
  <si>
    <t>Krycí (ochranný ) nátěr omítek jednonásobný hladkých omítek hladkých, zrnitých tenkovrstvých nebo štukových stupně členitosti 1 a 2 silikonový</t>
  </si>
  <si>
    <t>-1665111906</t>
  </si>
  <si>
    <t>https://podminky.urs.cz/item/CS_URS_2023_02/783827125</t>
  </si>
  <si>
    <t>2023/003/b - SO-21 - Elektroinstalace</t>
  </si>
  <si>
    <t>741 - Elektroinstalace</t>
  </si>
  <si>
    <t xml:space="preserve">    D1 - Projektové práce</t>
  </si>
  <si>
    <t xml:space="preserve">    D2 - Výroba a dodávka rozváděče</t>
  </si>
  <si>
    <t xml:space="preserve">    D3 - Materiál a montážní práce</t>
  </si>
  <si>
    <t xml:space="preserve">      D4 - Svítidla, zásuvky, krabice, vypínače</t>
  </si>
  <si>
    <t xml:space="preserve">      D5 - Kabely</t>
  </si>
  <si>
    <t xml:space="preserve">      D6 - Materiál kabelových tras</t>
  </si>
  <si>
    <t xml:space="preserve">    D7 - Ostatní náklady (realizační firma doplní dle vlastního uvážení)</t>
  </si>
  <si>
    <t>741</t>
  </si>
  <si>
    <t>Elektroinstalace</t>
  </si>
  <si>
    <t>D1</t>
  </si>
  <si>
    <t>Projektové práce</t>
  </si>
  <si>
    <t>Pol1</t>
  </si>
  <si>
    <t>Aktualizace projektu na skutečný stav</t>
  </si>
  <si>
    <t>sada</t>
  </si>
  <si>
    <t>D2</t>
  </si>
  <si>
    <t>Výroba a dodávka rozváděče</t>
  </si>
  <si>
    <t>Pol2</t>
  </si>
  <si>
    <t>Impulzní relé</t>
  </si>
  <si>
    <t>Poznámka k položce:_x000D_
MIG-20-10-A230</t>
  </si>
  <si>
    <t>Pol3</t>
  </si>
  <si>
    <t>Jistič</t>
  </si>
  <si>
    <t>Poznámka k položce:_x000D_
LTN-10B-3</t>
  </si>
  <si>
    <t>Pol4</t>
  </si>
  <si>
    <t>Poznámka k položce:_x000D_
LTN-16B-1</t>
  </si>
  <si>
    <t>Pol5</t>
  </si>
  <si>
    <t>Poznámka k položce:_x000D_
LTN-16B-3</t>
  </si>
  <si>
    <t>Pol6</t>
  </si>
  <si>
    <t>Poznámka k položce:_x000D_
LTN-16C-1</t>
  </si>
  <si>
    <t>Pol7</t>
  </si>
  <si>
    <t>Poznámka k položce:_x000D_
LTN-25B-3</t>
  </si>
  <si>
    <t>Pol8</t>
  </si>
  <si>
    <t>Poznámka k položce:_x000D_
LTN-32B-3</t>
  </si>
  <si>
    <t>Pol9</t>
  </si>
  <si>
    <t>Poznámka k položce:_x000D_
LTN-32C-3</t>
  </si>
  <si>
    <t>Pol10</t>
  </si>
  <si>
    <t>Páčkový spínač</t>
  </si>
  <si>
    <t>Poznámka k položce:_x000D_
MSO-125-3N</t>
  </si>
  <si>
    <t>Pol11</t>
  </si>
  <si>
    <t>Proudový chránič</t>
  </si>
  <si>
    <t>Poznámka k položce:_x000D_
OFI-40-4-300A</t>
  </si>
  <si>
    <t>Pol12</t>
  </si>
  <si>
    <t>Proudový chránič s nadproudovou ochranou</t>
  </si>
  <si>
    <t>Poznámka k položce:_x000D_
OLI-10B-1N-030A</t>
  </si>
  <si>
    <t>Pol13</t>
  </si>
  <si>
    <t>Poznámka k položce:_x000D_
OLI-16B-1N-030A</t>
  </si>
  <si>
    <t>Pol14</t>
  </si>
  <si>
    <t>Bočnice podstavce 100mm pro rozvaděč VX25 500mm</t>
  </si>
  <si>
    <t>Poznámka k položce:_x000D_
8640032</t>
  </si>
  <si>
    <t>Pol15</t>
  </si>
  <si>
    <t>Díly podstavce 100mm pro rozvaděč VX25 šířka 600</t>
  </si>
  <si>
    <t>30</t>
  </si>
  <si>
    <t>Poznámka k položce:_x000D_
8640002</t>
  </si>
  <si>
    <t>Pol16</t>
  </si>
  <si>
    <t>Dveřní spínač osvětlení</t>
  </si>
  <si>
    <t>Poznámka k položce:_x000D_
SZ.2500460</t>
  </si>
  <si>
    <t>Pol17</t>
  </si>
  <si>
    <t>Kabel s konektorem</t>
  </si>
  <si>
    <t>Poznámka k položce:_x000D_
SZ.2500400</t>
  </si>
  <si>
    <t>Pol18</t>
  </si>
  <si>
    <t>Osvětlení rozvaděče</t>
  </si>
  <si>
    <t>Poznámka k položce:_x000D_
SZ.2500200</t>
  </si>
  <si>
    <t>Pol19</t>
  </si>
  <si>
    <t>Sada boků pro rozvaděč VX25</t>
  </si>
  <si>
    <t>Poznámka k položce:_x000D_
VX.8105245</t>
  </si>
  <si>
    <t>Pol20</t>
  </si>
  <si>
    <t>Skříňový rozvaděč VX 25</t>
  </si>
  <si>
    <t>Poznámka k položce:_x000D_
VX.8605000</t>
  </si>
  <si>
    <t>Pol21</t>
  </si>
  <si>
    <t>Svorka</t>
  </si>
  <si>
    <t>Poznámka k položce:_x000D_
A2C 4</t>
  </si>
  <si>
    <t>Poznámka k položce:_x000D_
A2C 4 BL</t>
  </si>
  <si>
    <t>Pol22</t>
  </si>
  <si>
    <t>Poznámka k položce:_x000D_
A2C 4 PE</t>
  </si>
  <si>
    <t>Pol23</t>
  </si>
  <si>
    <t>Poznámka k položce:_x000D_
A2C 6</t>
  </si>
  <si>
    <t>Poznámka k položce:_x000D_
A2C 6 BL</t>
  </si>
  <si>
    <t>Pol24</t>
  </si>
  <si>
    <t>Poznámka k položce:_x000D_
A2C 6 PE</t>
  </si>
  <si>
    <t>Pol25</t>
  </si>
  <si>
    <t>Svorka 3 patrová</t>
  </si>
  <si>
    <t>Poznámka k položce:_x000D_
A3T 2.5 N-FT-PE</t>
  </si>
  <si>
    <t>Pol26</t>
  </si>
  <si>
    <t>Vodiče, žlaby, lišty, popisky</t>
  </si>
  <si>
    <t>Pol27</t>
  </si>
  <si>
    <t>Výroba rozváděče RS21 včetně všech zákonem požadovaných dokumentů</t>
  </si>
  <si>
    <t>D3</t>
  </si>
  <si>
    <t>Materiál a montážní práce</t>
  </si>
  <si>
    <t>D4</t>
  </si>
  <si>
    <t>Svítidla, zásuvky, krabice, vypínače</t>
  </si>
  <si>
    <t>Pol28</t>
  </si>
  <si>
    <t>ABB plastový vypínač 3.pólový bezpečnostní</t>
  </si>
  <si>
    <t>Poznámka k položce:_x000D_
OTP36T3M</t>
  </si>
  <si>
    <t>Pol29</t>
  </si>
  <si>
    <t>Nástěnná zásuvka SpeedPRO IP 67 (400V/16A/5P)</t>
  </si>
  <si>
    <t>Poznámka k položce:_x000D_
Nástěnná zásuvka SpeedPRO IP 67 5P/16A (24391)</t>
  </si>
  <si>
    <t>Pol30</t>
  </si>
  <si>
    <t>Přepínač dvoupólový (2) ATLAS IP 65</t>
  </si>
  <si>
    <t>Poznámka k položce:_x000D_
Přepínač dvoupólový (2) ATLAS IP 65 (19185)</t>
  </si>
  <si>
    <t>Pol31</t>
  </si>
  <si>
    <t>Zásuvka ATLAS IP 65 (3x zásuvka)</t>
  </si>
  <si>
    <t>Poznámka k položce:_x000D_
Zásuvka ATLAS IP 65 3x 2p+PE (19184)</t>
  </si>
  <si>
    <t>Pol32</t>
  </si>
  <si>
    <t>Zásuvkový rozváděč 2x16A/230V, 1x16A/400V/5P</t>
  </si>
  <si>
    <t>Poznámka k položce:_x000D_
v166-ZSF20100000.1/3958</t>
  </si>
  <si>
    <t>Pol33</t>
  </si>
  <si>
    <t>Krabice IP66</t>
  </si>
  <si>
    <t>Poznámka k položce:_x000D_
DK 0202 GZ</t>
  </si>
  <si>
    <t>Pol34</t>
  </si>
  <si>
    <t>PŘÍPOJNICE VYROVNÁNÍ POTENCIÁLŮ</t>
  </si>
  <si>
    <t>Poznámka k položce:_x000D_
Typ 1809</t>
  </si>
  <si>
    <t>Pol35</t>
  </si>
  <si>
    <t>Reflektor symetrický</t>
  </si>
  <si>
    <t>Poznámka k položce:_x000D_
BVP164 LED60/840 PSU 50W SWB MDU CE</t>
  </si>
  <si>
    <t>Pol36</t>
  </si>
  <si>
    <t>Krabice XAL 1 díra</t>
  </si>
  <si>
    <t>Poznámka k položce:_x000D_
XAL-D01</t>
  </si>
  <si>
    <t>Pol37</t>
  </si>
  <si>
    <t>Krabice XAL 2 díry</t>
  </si>
  <si>
    <t>Poznámka k položce:_x000D_
XAL-D02</t>
  </si>
  <si>
    <t>Pol38</t>
  </si>
  <si>
    <t>Nosič štítků</t>
  </si>
  <si>
    <t>Poznámka k položce:_x000D_
ZBY-2101</t>
  </si>
  <si>
    <t>Pol39</t>
  </si>
  <si>
    <t>Spínací jednotka 1S pro XAL</t>
  </si>
  <si>
    <t>Poznámka k položce:_x000D_
ZEN-L1111</t>
  </si>
  <si>
    <t>Pol40</t>
  </si>
  <si>
    <t>Spojovací díl</t>
  </si>
  <si>
    <t>Poznámka k položce:_x000D_
ZB5-AZ009</t>
  </si>
  <si>
    <t>Pol41</t>
  </si>
  <si>
    <t>Tlačítkový ovladač</t>
  </si>
  <si>
    <t>Poznámka k položce:_x000D_
ZB5-AA1</t>
  </si>
  <si>
    <t>Pol42</t>
  </si>
  <si>
    <t>LED svítidlo</t>
  </si>
  <si>
    <t>Poznámka k položce:_x000D_
FUTURA 2.4ft ES PC Al 8800/840 1F</t>
  </si>
  <si>
    <t>Pol43</t>
  </si>
  <si>
    <t>Poznámka k položce:_x000D_
FUTURA 2.4ft ES PC Al 8800/840 M1h</t>
  </si>
  <si>
    <t>Pol44</t>
  </si>
  <si>
    <t>Poznámka k položce:_x000D_
FUTURA 2.5ft ES PC Al 16000/840 1F</t>
  </si>
  <si>
    <t>Pol45</t>
  </si>
  <si>
    <t>Poznámka k položce:_x000D_
FUTURA 2.5ft ES PC Al 16000/840 M1h</t>
  </si>
  <si>
    <t>Pol46</t>
  </si>
  <si>
    <t>Poznámka k položce:_x000D_
FUTURA 2.5ft NB PC Al 16000/840 1F</t>
  </si>
  <si>
    <t>D5</t>
  </si>
  <si>
    <t>Kabely</t>
  </si>
  <si>
    <t>Pol47</t>
  </si>
  <si>
    <t>Kabel</t>
  </si>
  <si>
    <t>Poznámka k položce:_x000D_
CYKY 2Ox1,5</t>
  </si>
  <si>
    <t>Pol48</t>
  </si>
  <si>
    <t>Poznámka k položce:_x000D_
CYKY 3Jx1,5</t>
  </si>
  <si>
    <t>Pol49</t>
  </si>
  <si>
    <t>Poznámka k položce:_x000D_
CYKY 3Jx2,5</t>
  </si>
  <si>
    <t>Pol50</t>
  </si>
  <si>
    <t>104</t>
  </si>
  <si>
    <t>Poznámka k položce:_x000D_
CYKY 5Jx1,5</t>
  </si>
  <si>
    <t>Pol51</t>
  </si>
  <si>
    <t>106</t>
  </si>
  <si>
    <t>Poznámka k položce:_x000D_
CYKY 5Jx2,5</t>
  </si>
  <si>
    <t>Pol52</t>
  </si>
  <si>
    <t>108</t>
  </si>
  <si>
    <t>Poznámka k položce:_x000D_
CYKY 5Jx35</t>
  </si>
  <si>
    <t>Pol53</t>
  </si>
  <si>
    <t>110</t>
  </si>
  <si>
    <t>Poznámka k položce:_x000D_
CYKY 5Jx6</t>
  </si>
  <si>
    <t>Pol54</t>
  </si>
  <si>
    <t>112</t>
  </si>
  <si>
    <t>Poznámka k položce:_x000D_
YY-JZ 3x1</t>
  </si>
  <si>
    <t>Pol55</t>
  </si>
  <si>
    <t>114</t>
  </si>
  <si>
    <t>Poznámka k položce:_x000D_
YY-JZ 5x1</t>
  </si>
  <si>
    <t>Pol56</t>
  </si>
  <si>
    <t>Vodič</t>
  </si>
  <si>
    <t>116</t>
  </si>
  <si>
    <t>Poznámka k položce:_x000D_
H07V-R 25</t>
  </si>
  <si>
    <t>Pol57</t>
  </si>
  <si>
    <t>118</t>
  </si>
  <si>
    <t>Poznámka k položce:_x000D_
H07V-R 6</t>
  </si>
  <si>
    <t>D6</t>
  </si>
  <si>
    <t>Materiál kabelových tras</t>
  </si>
  <si>
    <t>Pol58</t>
  </si>
  <si>
    <t>Drátěný kabelový rošt</t>
  </si>
  <si>
    <t>120</t>
  </si>
  <si>
    <t>Poznámka k položce:_x000D_
200x50 (GZ)</t>
  </si>
  <si>
    <t>Pol59</t>
  </si>
  <si>
    <t>122</t>
  </si>
  <si>
    <t>Poznámka k položce:_x000D_
150x50 (GZ)</t>
  </si>
  <si>
    <t>Pol60</t>
  </si>
  <si>
    <t>124</t>
  </si>
  <si>
    <t>Poznámka k položce:_x000D_
50x50 (GZ)</t>
  </si>
  <si>
    <t>Pol61</t>
  </si>
  <si>
    <t>Podpěra pro žlaby</t>
  </si>
  <si>
    <t>126</t>
  </si>
  <si>
    <t>Poznámka k položce:_x000D_
NZM200 (GZ)</t>
  </si>
  <si>
    <t>Pol62</t>
  </si>
  <si>
    <t>128</t>
  </si>
  <si>
    <t>Poznámka k položce:_x000D_
NZM150 (GZ)</t>
  </si>
  <si>
    <t>Pol63</t>
  </si>
  <si>
    <t>130</t>
  </si>
  <si>
    <t>Poznámka k položce:_x000D_
NZM50 (GZ)</t>
  </si>
  <si>
    <t>Pol64</t>
  </si>
  <si>
    <t>Boční příchytky</t>
  </si>
  <si>
    <t>132</t>
  </si>
  <si>
    <t>Poznámka k položce:_x000D_
DZM 12 (GZ)</t>
  </si>
  <si>
    <t>Pol65</t>
  </si>
  <si>
    <t>134</t>
  </si>
  <si>
    <t>Poznámka k položce:_x000D_
DZM 7 (SZ)</t>
  </si>
  <si>
    <t>Pol66</t>
  </si>
  <si>
    <t>Spojky žlabů</t>
  </si>
  <si>
    <t>136</t>
  </si>
  <si>
    <t>Poznámka k položce:_x000D_
SZM-1 (GZ)</t>
  </si>
  <si>
    <t>Pol67</t>
  </si>
  <si>
    <t>Zemnící svorky</t>
  </si>
  <si>
    <t>138</t>
  </si>
  <si>
    <t>Poznámka k položce:_x000D_
SVZM-1</t>
  </si>
  <si>
    <t>Pol68</t>
  </si>
  <si>
    <t>Uzemňovací svorka</t>
  </si>
  <si>
    <t>140</t>
  </si>
  <si>
    <t>Poznámka k položce:_x000D_
SUM 1 (GZ)</t>
  </si>
  <si>
    <t>Pol69</t>
  </si>
  <si>
    <t>Spojovací materiál</t>
  </si>
  <si>
    <t>142</t>
  </si>
  <si>
    <t>Poznámka k položce:_x000D_
nespecifikováno</t>
  </si>
  <si>
    <t>Pol70</t>
  </si>
  <si>
    <t>Pomocné železo</t>
  </si>
  <si>
    <t>144</t>
  </si>
  <si>
    <t>Pol71</t>
  </si>
  <si>
    <t>Montážní plošina do 8m (pronájem)</t>
  </si>
  <si>
    <t>146</t>
  </si>
  <si>
    <t>Pol72</t>
  </si>
  <si>
    <t>Kompletní montáž elektro dle dokumentace</t>
  </si>
  <si>
    <t>148</t>
  </si>
  <si>
    <t>Pol73</t>
  </si>
  <si>
    <t>Revize elektro dle platných ČSN</t>
  </si>
  <si>
    <t>150</t>
  </si>
  <si>
    <t>Pol74</t>
  </si>
  <si>
    <t>Oprávnění vydané TIČR</t>
  </si>
  <si>
    <t>152</t>
  </si>
  <si>
    <t>D7</t>
  </si>
  <si>
    <t>Ostatní náklady (realizační firma doplní dle vlastního uvážení)</t>
  </si>
  <si>
    <t>Pol75</t>
  </si>
  <si>
    <t>Dopsat položky potřebné pro realizaci a neuvedené ve výkazu výměr</t>
  </si>
  <si>
    <t>154</t>
  </si>
  <si>
    <t>2023/003/c - SO-21 - Zdravotechnika</t>
  </si>
  <si>
    <t>D1 - Zdravotně technické instalace</t>
  </si>
  <si>
    <t xml:space="preserve">    D2 - A.)  Vodovod</t>
  </si>
  <si>
    <t xml:space="preserve">      D3 - 1.) Potrubí (včetně tvarovek montáže a upevnění)</t>
  </si>
  <si>
    <t xml:space="preserve">        D4 - Potrubí pro uloženi do země</t>
  </si>
  <si>
    <t xml:space="preserve">        D5 - Tvarovky na potrubí PE</t>
  </si>
  <si>
    <t xml:space="preserve">      D6 - 3.) Armatury, dvířka</t>
  </si>
  <si>
    <t xml:space="preserve">      D7 - 4.) Ostatní -  stavební přípomoce zkoušky</t>
  </si>
  <si>
    <t>Zdravotně technické instalace</t>
  </si>
  <si>
    <t>A.)  Vodovod</t>
  </si>
  <si>
    <t>1.) Potrubí (včetně tvarovek montáže a upevnění)</t>
  </si>
  <si>
    <t>Pol76</t>
  </si>
  <si>
    <t>Ocelové trubky závitové oboustranně žárově pozinkované se šroubovanými spoji, včetně fitinek a upevnění DN20-3/4"</t>
  </si>
  <si>
    <t>Pol77</t>
  </si>
  <si>
    <t>Ocelové trubky závitové oboustranně žárově pozinkované se šroubovanými spoji, včetně fitinek a upevnění DN25-1"</t>
  </si>
  <si>
    <t>Pol78</t>
  </si>
  <si>
    <t>Ocelové trubky závitové oboustranně žárově pozinkované se šroubovanými spoji, včetně fitinek a upevnění DN32-5/4"</t>
  </si>
  <si>
    <t>Pol79</t>
  </si>
  <si>
    <t>Ocelové trubky závitové oboustranně žárově pozinkované se šroubovanými spoji, včetně fitinek a upevnění DN50 2"</t>
  </si>
  <si>
    <t>Pol80</t>
  </si>
  <si>
    <t>Ocelové trubky závitové oboustranně žárově pozinkované se šroubovanými spoji, včetně fitinek a upevnění DN80 3"</t>
  </si>
  <si>
    <t>Potrubí pro uloženi do země</t>
  </si>
  <si>
    <t>Pol81</t>
  </si>
  <si>
    <t>Potrubí z PE HDPE 100 SDR11 uložení do země Ø90x8,2</t>
  </si>
  <si>
    <t>Tvarovky na potrubí PE</t>
  </si>
  <si>
    <t>Pol82</t>
  </si>
  <si>
    <t>Elektrospojka HDPE d90</t>
  </si>
  <si>
    <t>Pol83</t>
  </si>
  <si>
    <t>Elektrokoleno HDPE d90 90°</t>
  </si>
  <si>
    <t>Pol84</t>
  </si>
  <si>
    <t>Elektrokoleno s vnějším závitem HDPE d90x3" 90°</t>
  </si>
  <si>
    <t>3.) Armatury, dvířka</t>
  </si>
  <si>
    <t>Pol85</t>
  </si>
  <si>
    <t>Kohout (ventil) kulový pro pitnou vodu DN50, PN10</t>
  </si>
  <si>
    <t>Pol86</t>
  </si>
  <si>
    <t>Kohout (ventil) kulový pro pitnou vodu DN50, PN10, s vypouštěním</t>
  </si>
  <si>
    <t>Pol87</t>
  </si>
  <si>
    <t>Podružný vodoměr pro studenou vodu DN20</t>
  </si>
  <si>
    <t>Pol88</t>
  </si>
  <si>
    <t>Zpětný ventil DN50</t>
  </si>
  <si>
    <t>Pol89</t>
  </si>
  <si>
    <t>Hydrantová skříň typu d25 s tvarově stálou hadicí délky 30 m (upřesněno dle projektu PBŘ!)</t>
  </si>
  <si>
    <t>4.) Ostatní -  stavební přípomoce zkoušky</t>
  </si>
  <si>
    <t>Pol90</t>
  </si>
  <si>
    <t>Napojení na přípojku vodovodu HDPE d90</t>
  </si>
  <si>
    <t>Pol91</t>
  </si>
  <si>
    <t>Zhotovení prostupu potrubí vodovodu v základovém prahu d90 včetně utěsnění</t>
  </si>
  <si>
    <t>Pol92</t>
  </si>
  <si>
    <t>Doplňkové konstrukce pro uložení potrubí z ocelových profilů žárově pozinkovaných a připevňovací materiál, včetně všech šroubů, hmoždinek, objímek, úhelníků, závitových tyčí, podložek, kotev,svářecích materiálů apod. Dodávka a montáž.</t>
  </si>
  <si>
    <t>Pol93</t>
  </si>
  <si>
    <t>Lešení pro instalaci potrubí vodovod (popř. mob plošina) půjčovné, doprava</t>
  </si>
  <si>
    <t>Pol94</t>
  </si>
  <si>
    <t>Zkouška těsnosti vodovodního potrubí do DN80</t>
  </si>
  <si>
    <t>Pol95</t>
  </si>
  <si>
    <t>Proplach a dezinfekce vodovodního potrubí do DN80</t>
  </si>
  <si>
    <t>2023/003/d - SO-21 - Vytápění</t>
  </si>
  <si>
    <t xml:space="preserve">731 - Ústřední vytápění </t>
  </si>
  <si>
    <t xml:space="preserve">    D1 - Hala 1.01</t>
  </si>
  <si>
    <t xml:space="preserve">    D2 - Hala 1.02</t>
  </si>
  <si>
    <t xml:space="preserve">      D3 - Ostatní</t>
  </si>
  <si>
    <t>731</t>
  </si>
  <si>
    <t xml:space="preserve">Ústřední vytápění </t>
  </si>
  <si>
    <t>Hala 1.01</t>
  </si>
  <si>
    <t>731001R1</t>
  </si>
  <si>
    <t>Elektrická vytápěcí jednotka Sahara Maxx</t>
  </si>
  <si>
    <t>1502887237</t>
  </si>
  <si>
    <t>731001R2</t>
  </si>
  <si>
    <t>Závěs kompakt C</t>
  </si>
  <si>
    <t>1882847645</t>
  </si>
  <si>
    <t>731001R3</t>
  </si>
  <si>
    <t>Ovládácí skříňka</t>
  </si>
  <si>
    <t>1630323196</t>
  </si>
  <si>
    <t>731001R4</t>
  </si>
  <si>
    <t>Prostorový termostat</t>
  </si>
  <si>
    <t>1573675068</t>
  </si>
  <si>
    <t>Hala 1.02</t>
  </si>
  <si>
    <t>731001R5</t>
  </si>
  <si>
    <t>-1340654437</t>
  </si>
  <si>
    <t>731001R6</t>
  </si>
  <si>
    <t>Pružný nástavec</t>
  </si>
  <si>
    <t>-624844720</t>
  </si>
  <si>
    <t>731001R7</t>
  </si>
  <si>
    <t>Plochý filtr s filtrem G4+presostat</t>
  </si>
  <si>
    <t>1640959932</t>
  </si>
  <si>
    <t>731001R8</t>
  </si>
  <si>
    <t>Směšovací komora se servopohonem 230V</t>
  </si>
  <si>
    <t>-2072004847</t>
  </si>
  <si>
    <t>731001R9</t>
  </si>
  <si>
    <t>Zední rám pro připojení na stěnu</t>
  </si>
  <si>
    <t>1835904939</t>
  </si>
  <si>
    <t>731001R10</t>
  </si>
  <si>
    <t>Protidešťová žaluzie</t>
  </si>
  <si>
    <t>1882825727</t>
  </si>
  <si>
    <t>731001R11</t>
  </si>
  <si>
    <t>Závěs modular 8s</t>
  </si>
  <si>
    <t>676290418</t>
  </si>
  <si>
    <t>731001R12</t>
  </si>
  <si>
    <t>1404095058</t>
  </si>
  <si>
    <t>731001R13</t>
  </si>
  <si>
    <t>-542128222</t>
  </si>
  <si>
    <t>Ostatní</t>
  </si>
  <si>
    <t>731001R14</t>
  </si>
  <si>
    <t>Zavěšení, připojení EL a MaR, revize</t>
  </si>
  <si>
    <t>-1297142228</t>
  </si>
  <si>
    <t>2023/003/i - SO-21 - bleskosvod a uzemnění</t>
  </si>
  <si>
    <t>D1 - BLESKOSVOD VČETNĚ MONTÁŽE A ZAPOJENÍ</t>
  </si>
  <si>
    <t>D2 - UZEMNĚNÍ VČETNĚ MONTÁŽE A ZAPOJENÍ</t>
  </si>
  <si>
    <t>D3 - OSTATNÍ</t>
  </si>
  <si>
    <t>BLESKOSVOD VČETNĚ MONTÁŽE A ZAPOJENÍ</t>
  </si>
  <si>
    <t>Pol96</t>
  </si>
  <si>
    <t>"SK" svorka křížová Fe/Zn</t>
  </si>
  <si>
    <t>Pol97</t>
  </si>
  <si>
    <t>"SS" svorka spojovací Fe/Zn</t>
  </si>
  <si>
    <t>Pol98</t>
  </si>
  <si>
    <t>"SZ" svorka zkušební Fe/Zn</t>
  </si>
  <si>
    <t>Pol99</t>
  </si>
  <si>
    <t>"OŠ" - označovací štítek Fe/Zn</t>
  </si>
  <si>
    <t>Pol100</t>
  </si>
  <si>
    <t>"OÚ" - ochranný úhelník se dvěma držáky Fe/Zn, l=250mm</t>
  </si>
  <si>
    <t>Pol101</t>
  </si>
  <si>
    <t>"SO" - svorka okapová Fe/Zn</t>
  </si>
  <si>
    <t>Pol102</t>
  </si>
  <si>
    <t>"ST5" - svorka na potrubí ∅=44-55mm, Fe/Zn</t>
  </si>
  <si>
    <t>Pol103</t>
  </si>
  <si>
    <t>"SU" - svorka univerzální na oplechování Fe/Zn</t>
  </si>
  <si>
    <t>Pol104</t>
  </si>
  <si>
    <t>"PV 1s" - podpěra vedení na stěnu, FeZn</t>
  </si>
  <si>
    <t>Pol105</t>
  </si>
  <si>
    <t>"PV 1" - podpěra vedení na trapézový plech s držákem grip Fe/Zn</t>
  </si>
  <si>
    <t>Pol106</t>
  </si>
  <si>
    <t>drát AlMgSi ø 8mm</t>
  </si>
  <si>
    <t>UZEMNĚNÍ VČETNĚ MONTÁŽE A ZAPOJENÍ</t>
  </si>
  <si>
    <t>Pol107</t>
  </si>
  <si>
    <t>drát FeZn ø 10mm</t>
  </si>
  <si>
    <t>Pol108</t>
  </si>
  <si>
    <t>zemnící pásek FeZn 30/4 mm</t>
  </si>
  <si>
    <t>Pol109</t>
  </si>
  <si>
    <t>svar oboustranný 10cm na pásek FeZn 30/4mm včetně antikorozní ochrany</t>
  </si>
  <si>
    <t>OSTATNÍ</t>
  </si>
  <si>
    <t>Pol110</t>
  </si>
  <si>
    <t>pomocný instalační materiál</t>
  </si>
  <si>
    <t>Pol111</t>
  </si>
  <si>
    <t>koordinace ostatních profesí během stavby</t>
  </si>
  <si>
    <t>hod</t>
  </si>
  <si>
    <t>Pol112</t>
  </si>
  <si>
    <t>revize bleskosvodu</t>
  </si>
  <si>
    <t>2023/003/g - SO-22 - potrubní a kabelový most</t>
  </si>
  <si>
    <t>HSV - Práce a dodávky HSV</t>
  </si>
  <si>
    <t>Práce a dodávky HSV</t>
  </si>
  <si>
    <t>132251251</t>
  </si>
  <si>
    <t>Hloubení nezapažených rýh šířky přes 800 do 2 000 mm strojně s urovnáním dna do předepsaného profilu a spádu v hornině třídy těžitelnosti I skupiny 3 do 20 m3</t>
  </si>
  <si>
    <t>-1704818523</t>
  </si>
  <si>
    <t>https://podminky.urs.cz/item/CS_URS_2023_01/132251251</t>
  </si>
  <si>
    <t>1,2*1*1,2+1*1,4*1,6</t>
  </si>
  <si>
    <t>738465481</t>
  </si>
  <si>
    <t>811282728</t>
  </si>
  <si>
    <t>3,68*20</t>
  </si>
  <si>
    <t>-664002471</t>
  </si>
  <si>
    <t>3,68*1,8</t>
  </si>
  <si>
    <t>181151113</t>
  </si>
  <si>
    <t>Úprava zrnitosti zemin pláně rozpojením balvanů strojně v rovině nebo ve svahu sklonu do 1 : 5 při souvislé ploše do 500 m2 v hornině třídy těžitelnosti I a II, skupiny 1 až 4, tl. vrstvy přes 150 do 200 mm</t>
  </si>
  <si>
    <t>-925766934</t>
  </si>
  <si>
    <t>https://podminky.urs.cz/item/CS_URS_2023_02/181151113</t>
  </si>
  <si>
    <t>181311103</t>
  </si>
  <si>
    <t>Rozprostření a urovnání ornice v rovině nebo ve svahu sklonu do 1:5 ručně při souvislé ploše, tl. vrstvy do 200 mm</t>
  </si>
  <si>
    <t>1366184046</t>
  </si>
  <si>
    <t>https://podminky.urs.cz/item/CS_URS_2023_02/181311103</t>
  </si>
  <si>
    <t>181411131</t>
  </si>
  <si>
    <t>Založení trávníku na půdě předem připravené plochy do 1000 m2 výsevem včetně utažení parkového v rovině nebo na svahu do 1:5</t>
  </si>
  <si>
    <t>1132210655</t>
  </si>
  <si>
    <t>https://podminky.urs.cz/item/CS_URS_2023_02/181411131</t>
  </si>
  <si>
    <t>00572410</t>
  </si>
  <si>
    <t>osivo směs travní parková</t>
  </si>
  <si>
    <t>1925330765</t>
  </si>
  <si>
    <t>10*0,02 'Přepočtené koeficientem množství</t>
  </si>
  <si>
    <t>181951111</t>
  </si>
  <si>
    <t>Úprava pláně vyrovnáním výškových rozdílů strojně v hornině třídy těžitelnosti I, skupiny 1 až 3 bez zhutnění</t>
  </si>
  <si>
    <t>-87403932</t>
  </si>
  <si>
    <t>https://podminky.urs.cz/item/CS_URS_2023_02/181951111</t>
  </si>
  <si>
    <t>275321511</t>
  </si>
  <si>
    <t>Základy z betonu železového (bez výztuže) patky z betonu bez zvláštních nároků na prostředí tř. C 25/30</t>
  </si>
  <si>
    <t>-163930589</t>
  </si>
  <si>
    <t>https://podminky.urs.cz/item/CS_URS_2023_01/275321511</t>
  </si>
  <si>
    <t>1,2*1*1,1+0,9*0,7*0,4+1*1,4*1,9</t>
  </si>
  <si>
    <t>275351121</t>
  </si>
  <si>
    <t>Bednění základů patek zřízení</t>
  </si>
  <si>
    <t>-283640691</t>
  </si>
  <si>
    <t>https://podminky.urs.cz/item/CS_URS_2023_01/275351121</t>
  </si>
  <si>
    <t>1,2*1,1*2+1*1,1*2+0,9*0,4*2+0,7*0,4*2+1*1,9*2+1,4*1,9*2</t>
  </si>
  <si>
    <t>275351122</t>
  </si>
  <si>
    <t>Bednění základů patek odstranění</t>
  </si>
  <si>
    <t>-1931196401</t>
  </si>
  <si>
    <t>https://podminky.urs.cz/item/CS_URS_2023_01/275351122</t>
  </si>
  <si>
    <t>275361821</t>
  </si>
  <si>
    <t>Výztuž základů patek z betonářské oceli 10 505 (R)</t>
  </si>
  <si>
    <t>-1934794228</t>
  </si>
  <si>
    <t>https://podminky.urs.cz/item/CS_URS_2023_01/275361821</t>
  </si>
  <si>
    <t>4,232*0,12</t>
  </si>
  <si>
    <t>Lešení pomocné pracovní pro objekty pozemních staveb pro zatížení do 150 kg/m2, o výšce lešeňové podlahy přes 3,5 m</t>
  </si>
  <si>
    <t>-1515708328</t>
  </si>
  <si>
    <t>https://podminky.urs.cz/item/CS_URS_2023_02/949101112</t>
  </si>
  <si>
    <t>30*2</t>
  </si>
  <si>
    <t>9491011R1</t>
  </si>
  <si>
    <t>Vyříznutí otvoru do objektů</t>
  </si>
  <si>
    <t>-848591527</t>
  </si>
  <si>
    <t>Poznámka k položce:_x000D_
Prostup SO 22 do obvodového panelu SO 02_x000D_
vyříznout při montáži. Po ukotvení mostu,_x000D_
instalaci potrubí dopravy dextrinu, kabel. žalbu_x000D_
otvor utěsnit, oboustranně oplechovat plechem v_x000D_
barvě panelů. Vnitřní ocel. konstrukci SO 02_x000D_
doplnit dle konstruk. části dokumentace</t>
  </si>
  <si>
    <t>9491011R2</t>
  </si>
  <si>
    <t>Obetonování kotvení sloupu v celé ploše patky, výška 100mm, skosení hrany, Beton C20/25 + ochranný nát ěr proti povět. vlivům</t>
  </si>
  <si>
    <t>660744981</t>
  </si>
  <si>
    <t>998011001</t>
  </si>
  <si>
    <t>Přesun hmot pro budovy občanské výstavby, bydlení, výrobu a služby s nosnou svislou konstrukcí zděnou z cihel, tvárnic nebo kamene vodorovná dopravní vzdálenost do 100 m pro budovy výšky do 6 m</t>
  </si>
  <si>
    <t>1806183980</t>
  </si>
  <si>
    <t>https://podminky.urs.cz/item/CS_URS_2023_01/998011001</t>
  </si>
  <si>
    <t>767995114</t>
  </si>
  <si>
    <t>Dodávka a montáž ostatních atypických zámečnických konstrukcí hmotnosti přes 20 do 50 kg</t>
  </si>
  <si>
    <t>655990157</t>
  </si>
  <si>
    <t>https://podminky.urs.cz/item/CS_URS_2023_01/767995114</t>
  </si>
  <si>
    <t>Poznámka k položce:_x000D_
výpis prvků viz. konstrukční řešení mostu_x000D_
veškeré prvky budou pozinkované</t>
  </si>
  <si>
    <t>783324101</t>
  </si>
  <si>
    <t>Základní nátěr zámečnických konstrukcí jednonásobný akrylátový</t>
  </si>
  <si>
    <t>-1546353773</t>
  </si>
  <si>
    <t>https://podminky.urs.cz/item/CS_URS_2023_01/783324101</t>
  </si>
  <si>
    <t>Poznámka k položce:_x000D_
oprava stávajících prvků nátěrem</t>
  </si>
  <si>
    <t>783327101</t>
  </si>
  <si>
    <t>Krycí nátěr (email) zámečnických konstrukcí jednonásobný akrylátový</t>
  </si>
  <si>
    <t>-679943936</t>
  </si>
  <si>
    <t>https://podminky.urs.cz/item/CS_URS_2023_01/783327101</t>
  </si>
  <si>
    <t>2023/003/h - SO-23 - Nové zpevněné plochy</t>
  </si>
  <si>
    <t>Soupis:</t>
  </si>
  <si>
    <t>a - příprava území</t>
  </si>
  <si>
    <t>Horažďovice</t>
  </si>
  <si>
    <t>VIAPROJEKT s.r.o. HK</t>
  </si>
  <si>
    <t>B.Burešová</t>
  </si>
  <si>
    <t>112101101</t>
  </si>
  <si>
    <t>Odstranění stromů listnatých průměru kmene přes 100 do 300 mm</t>
  </si>
  <si>
    <t>-411889036</t>
  </si>
  <si>
    <t>https://podminky.urs.cz/item/CS_URS_2023_01/112101101</t>
  </si>
  <si>
    <t>kácení dřevin, průměr kmene cca 30 cm</t>
  </si>
  <si>
    <t>112251101</t>
  </si>
  <si>
    <t>Odstranění pařezů průměru přes 100 do 300 mm</t>
  </si>
  <si>
    <t>-1154650926</t>
  </si>
  <si>
    <t>https://podminky.urs.cz/item/CS_URS_2023_01/112251101</t>
  </si>
  <si>
    <t>113107162</t>
  </si>
  <si>
    <t>Odstranění podkladu z kameniva drceného tl přes 100 do 200 mm strojně pl přes 50 do 200 m2</t>
  </si>
  <si>
    <t>1918516082</t>
  </si>
  <si>
    <t>https://podminky.urs.cz/item/CS_URS_2023_01/113107162</t>
  </si>
  <si>
    <t>demolice zpevněné plochy - kryt asfalt</t>
  </si>
  <si>
    <t>113107171</t>
  </si>
  <si>
    <t>Odstranění podkladu z betonu prostého tl přes 100 do 150 mm strojně pl přes 50 do 200 m2</t>
  </si>
  <si>
    <t>-480193600</t>
  </si>
  <si>
    <t>https://podminky.urs.cz/item/CS_URS_2023_01/113107171</t>
  </si>
  <si>
    <t>113107182</t>
  </si>
  <si>
    <t>Odstranění podkladu živičného tl přes 50 do 100 mm strojně pl přes 50 do 200 m2</t>
  </si>
  <si>
    <t>-1784990451</t>
  </si>
  <si>
    <t>https://podminky.urs.cz/item/CS_URS_2023_01/113107182</t>
  </si>
  <si>
    <t>113107222</t>
  </si>
  <si>
    <t>Odstranění podkladu z kameniva drceného tl přes 100 do 200 mm strojně pl přes 200 m2</t>
  </si>
  <si>
    <t>160179346</t>
  </si>
  <si>
    <t>https://podminky.urs.cz/item/CS_URS_2023_01/113107222</t>
  </si>
  <si>
    <t>demolice zpevněné plochy - kryt beton</t>
  </si>
  <si>
    <t>240,5+485,5</t>
  </si>
  <si>
    <t>113107232</t>
  </si>
  <si>
    <t>Odstranění podkladu z betonu prostého tl přes 150 do 300 mm strojně pl přes 200 m2</t>
  </si>
  <si>
    <t>110118642</t>
  </si>
  <si>
    <t>https://podminky.urs.cz/item/CS_URS_2023_01/113107232</t>
  </si>
  <si>
    <t>113202111</t>
  </si>
  <si>
    <t>Vytrhání obrub krajníků obrubníků stojatých</t>
  </si>
  <si>
    <t>-238610265</t>
  </si>
  <si>
    <t>https://podminky.urs.cz/item/CS_URS_2023_01/113202111</t>
  </si>
  <si>
    <t>vybourání  včetně betonového základu</t>
  </si>
  <si>
    <t>38+50+50</t>
  </si>
  <si>
    <t>121151113</t>
  </si>
  <si>
    <t>Sejmutí ornice plochy do 500 m2 tl vrstvy do 200 mm strojně</t>
  </si>
  <si>
    <t>-15601633</t>
  </si>
  <si>
    <t>https://podminky.urs.cz/item/CS_URS_2023_01/121151113</t>
  </si>
  <si>
    <t>sejmutí ornice v tl. 10 cm</t>
  </si>
  <si>
    <t>359+114</t>
  </si>
  <si>
    <t>162201401</t>
  </si>
  <si>
    <t>Vodorovné přemístění větví stromů listnatých do 1 km D kmene přes 100 do 300 mm</t>
  </si>
  <si>
    <t>1099145818</t>
  </si>
  <si>
    <t>https://podminky.urs.cz/item/CS_URS_2023_01/162201401</t>
  </si>
  <si>
    <t>kácení dřevin</t>
  </si>
  <si>
    <t>162201411</t>
  </si>
  <si>
    <t>Vodorovné přemístění kmenů stromů listnatých do 1 km D kmene přes 100 do 300 mm</t>
  </si>
  <si>
    <t>-1369259381</t>
  </si>
  <si>
    <t>https://podminky.urs.cz/item/CS_URS_2023_01/162201411</t>
  </si>
  <si>
    <t>162201421</t>
  </si>
  <si>
    <t>Vodorovné přemístění pařezů do 1 km D přes 100 do 300 mm</t>
  </si>
  <si>
    <t>1429148658</t>
  </si>
  <si>
    <t>https://podminky.urs.cz/item/CS_URS_2023_01/162201421</t>
  </si>
  <si>
    <t>162251102</t>
  </si>
  <si>
    <t>Vodorovné přemístění přes 20 do 50 m výkopku/sypaniny z horniny třídy těžitelnosti I skupiny 1 až 3</t>
  </si>
  <si>
    <t>-122219463</t>
  </si>
  <si>
    <t>https://podminky.urs.cz/item/CS_URS_2023_01/162251102</t>
  </si>
  <si>
    <t>sejmutá ornice odvoz na meziskládku, část ornice se použije pro zpětné ohumusování</t>
  </si>
  <si>
    <t>473*0,1</t>
  </si>
  <si>
    <t>162301931</t>
  </si>
  <si>
    <t>Příplatek k vodorovnému přemístění větví stromů listnatých D kmene přes 100 do 300 mm ZKD 1 km</t>
  </si>
  <si>
    <t>1836993255</t>
  </si>
  <si>
    <t>https://podminky.urs.cz/item/CS_URS_2023_01/162301931</t>
  </si>
  <si>
    <t>kácení dřevin+příplatek za dlších 29 km</t>
  </si>
  <si>
    <t>2*29</t>
  </si>
  <si>
    <t>162301951</t>
  </si>
  <si>
    <t>Příplatek k vodorovnému přemístění kmenů stromů listnatých D kmene přes 100 do 300 mm ZKD 1 km</t>
  </si>
  <si>
    <t>-961465474</t>
  </si>
  <si>
    <t>https://podminky.urs.cz/item/CS_URS_2023_01/162301951</t>
  </si>
  <si>
    <t>kácení dřevin+příplatek za dalších 29 km</t>
  </si>
  <si>
    <t>162301971</t>
  </si>
  <si>
    <t>Příplatek k vodorovnému přemístění pařezů D přes 100 do 300 mm ZKD 1 km</t>
  </si>
  <si>
    <t>685593401</t>
  </si>
  <si>
    <t>https://podminky.urs.cz/item/CS_URS_2023_01/162301971</t>
  </si>
  <si>
    <t>167151101</t>
  </si>
  <si>
    <t>Nakládání výkopku z hornin třídy těžitelnosti I skupiny 1 až 3 do 100 m3</t>
  </si>
  <si>
    <t>-2106297941</t>
  </si>
  <si>
    <t>https://podminky.urs.cz/item/CS_URS_2023_01/167151101</t>
  </si>
  <si>
    <t>sejmutá ornice</t>
  </si>
  <si>
    <t>919731114</t>
  </si>
  <si>
    <t>Zarovnání styčné plochy podkladu nebo krytu z betonu tl přes 150 do 250 mm</t>
  </si>
  <si>
    <t>-471519733</t>
  </si>
  <si>
    <t>https://podminky.urs.cz/item/CS_URS_2023_01/919731114</t>
  </si>
  <si>
    <t>u napojení na stávající zpevněné plochy</t>
  </si>
  <si>
    <t>4,5+69+14,5</t>
  </si>
  <si>
    <t>919735124</t>
  </si>
  <si>
    <t>Řezání stávajícího betonového krytu hl přes 150 do 200 mm</t>
  </si>
  <si>
    <t>-2136388542</t>
  </si>
  <si>
    <t>https://podminky.urs.cz/item/CS_URS_2023_01/919735124</t>
  </si>
  <si>
    <t>920</t>
  </si>
  <si>
    <t>demontáž nevyuživaných dopravních prvků</t>
  </si>
  <si>
    <t>1759073906</t>
  </si>
  <si>
    <t>demontáž+naložení + doprava</t>
  </si>
  <si>
    <t>50*6</t>
  </si>
  <si>
    <t>921</t>
  </si>
  <si>
    <t>Odstranění betonových podstavců</t>
  </si>
  <si>
    <t>-964351240</t>
  </si>
  <si>
    <t>demnontáž+naložení+doprava +poplatek za uložení na skládku</t>
  </si>
  <si>
    <t>997221551</t>
  </si>
  <si>
    <t>Vodorovná doprava suti ze sypkých materiálů do 1 km</t>
  </si>
  <si>
    <t>1460043034</t>
  </si>
  <si>
    <t>https://podminky.urs.cz/item/CS_URS_2023_01/997221551</t>
  </si>
  <si>
    <t>asfalt</t>
  </si>
  <si>
    <t>(99*0,22)</t>
  </si>
  <si>
    <t>1799581154</t>
  </si>
  <si>
    <t>suť</t>
  </si>
  <si>
    <t>(99*0,325)+(99*0,29)+(726*0,29)+(726*0,625)</t>
  </si>
  <si>
    <t>997221559</t>
  </si>
  <si>
    <t>Příplatek ZKD 1 km u vodorovné dopravy suti ze sypkých materiálů</t>
  </si>
  <si>
    <t>2099250116</t>
  </si>
  <si>
    <t>https://podminky.urs.cz/item/CS_URS_2023_01/997221559</t>
  </si>
  <si>
    <t>asfalt+příplatek za dalších 29 km</t>
  </si>
  <si>
    <t>(99*0,22)*29</t>
  </si>
  <si>
    <t>1221447095</t>
  </si>
  <si>
    <t>suť+příplatek za dalších 29 km</t>
  </si>
  <si>
    <t>725,175*29</t>
  </si>
  <si>
    <t>997221571</t>
  </si>
  <si>
    <t>Vodorovná doprava vybouraných hmot do 1 km</t>
  </si>
  <si>
    <t>308678532</t>
  </si>
  <si>
    <t>https://podminky.urs.cz/item/CS_URS_2023_01/997221571</t>
  </si>
  <si>
    <t>vybourané hmoty</t>
  </si>
  <si>
    <t>138*0,205</t>
  </si>
  <si>
    <t>997221579</t>
  </si>
  <si>
    <t>Příplatek ZKD 1 km u vodorovné dopravy vybouraných hmot</t>
  </si>
  <si>
    <t>-1133143264</t>
  </si>
  <si>
    <t>https://podminky.urs.cz/item/CS_URS_2023_01/997221579</t>
  </si>
  <si>
    <t>vybourané hmoty+příplatek za dalších 29 km</t>
  </si>
  <si>
    <t>28,29*29</t>
  </si>
  <si>
    <t>997221611</t>
  </si>
  <si>
    <t>Nakládání suti na dopravní prostředky pro vodorovnou dopravu</t>
  </si>
  <si>
    <t>-720652412</t>
  </si>
  <si>
    <t>https://podminky.urs.cz/item/CS_URS_2023_01/997221611</t>
  </si>
  <si>
    <t>99*0,22</t>
  </si>
  <si>
    <t>20263988</t>
  </si>
  <si>
    <t>(99*0,29)+(99*0,325)+(726*0,29)+(726*0,625)</t>
  </si>
  <si>
    <t>997221612</t>
  </si>
  <si>
    <t>Nakládání vybouraných hmot na dopravní prostředky pro vodorovnou dopravu</t>
  </si>
  <si>
    <t>937648936</t>
  </si>
  <si>
    <t>https://podminky.urs.cz/item/CS_URS_2023_01/997221612</t>
  </si>
  <si>
    <t>997221861</t>
  </si>
  <si>
    <t>Poplatek za uložení stavebního odpadu na recyklační skládce (skládkovné) z prostého betonu pod kódem 17 01 01</t>
  </si>
  <si>
    <t>486960053</t>
  </si>
  <si>
    <t>https://podminky.urs.cz/item/CS_URS_2023_01/997221861</t>
  </si>
  <si>
    <t>(99*0,325)+(726*0,625)</t>
  </si>
  <si>
    <t>-2085817400</t>
  </si>
  <si>
    <t>997221873</t>
  </si>
  <si>
    <t>-981309772</t>
  </si>
  <si>
    <t>https://podminky.urs.cz/item/CS_URS_2023_01/997221873</t>
  </si>
  <si>
    <t>(99*0,29)+(726*0,29)</t>
  </si>
  <si>
    <t>997221875</t>
  </si>
  <si>
    <t>Poplatek za uložení stavebního odpadu na recyklační skládce (skládkovné) asfaltového bez obsahu dehtu zatříděného do Katalogu odpadů pod kódem 17 03 02</t>
  </si>
  <si>
    <t>2061637804</t>
  </si>
  <si>
    <t>https://podminky.urs.cz/item/CS_URS_2023_01/997221875</t>
  </si>
  <si>
    <t>998225111</t>
  </si>
  <si>
    <t>Přesun hmot pro pozemní komunikace s krytem z kamene, monolitickým betonovým nebo živičným</t>
  </si>
  <si>
    <t>2055377507</t>
  </si>
  <si>
    <t>https://podminky.urs.cz/item/CS_URS_2023_01/998225111</t>
  </si>
  <si>
    <t>998225191</t>
  </si>
  <si>
    <t>Příplatek k přesunu hmot pro pozemní komunikace s krytem z kamene, živičným, betonovým do 1000 m</t>
  </si>
  <si>
    <t>46250738</t>
  </si>
  <si>
    <t>https://podminky.urs.cz/item/CS_URS_2023_01/998225191</t>
  </si>
  <si>
    <t>n - návrh</t>
  </si>
  <si>
    <t xml:space="preserve">    4 - Vodorovné konstrukce</t>
  </si>
  <si>
    <t xml:space="preserve">    5 - Komunikace pozemní</t>
  </si>
  <si>
    <t xml:space="preserve">    8 - Trubní vedení</t>
  </si>
  <si>
    <t>VRN - Vedlejší rozpočtové náklady</t>
  </si>
  <si>
    <t xml:space="preserve">    VRN4 - Inženýrská činnost</t>
  </si>
  <si>
    <t>122251104</t>
  </si>
  <si>
    <t>Odkopávky a prokopávky nezapažené v hornině třídy těžitelnosti I skupiny 3 objem do 500 m3 strojně</t>
  </si>
  <si>
    <t>1206432457</t>
  </si>
  <si>
    <t>https://podminky.urs.cz/item/CS_URS_2023_01/122251104</t>
  </si>
  <si>
    <t>výkop</t>
  </si>
  <si>
    <t>250</t>
  </si>
  <si>
    <t>132251101</t>
  </si>
  <si>
    <t>Hloubení rýh nezapažených š do 800 mm v hornině třídy těžitelnosti I skupiny 3 objem do 20 m3 strojně</t>
  </si>
  <si>
    <t>-1044288809</t>
  </si>
  <si>
    <t>https://podminky.urs.cz/item/CS_URS_2023_01/132251101</t>
  </si>
  <si>
    <t>sondy</t>
  </si>
  <si>
    <t>Hloubení rýh nezapažených š do 2000 mm v hornině třídy těžitelnosti I skupiny 3 objem do 20 m3 strojně</t>
  </si>
  <si>
    <t>-604560747</t>
  </si>
  <si>
    <t>uliční vpust</t>
  </si>
  <si>
    <t>1,5*1,5*2*1</t>
  </si>
  <si>
    <t>139001101</t>
  </si>
  <si>
    <t>Příplatek za ztížení vykopávky v blízkosti podzemního vedení</t>
  </si>
  <si>
    <t>1832172600</t>
  </si>
  <si>
    <t>https://podminky.urs.cz/item/CS_URS_2023_01/139001101</t>
  </si>
  <si>
    <t>uliční vpust, 10% z celkové kubatury</t>
  </si>
  <si>
    <t>4,5*0,1</t>
  </si>
  <si>
    <t>-1362588250</t>
  </si>
  <si>
    <t>výkop, 10% z celkové kubatury</t>
  </si>
  <si>
    <t>250*0,1</t>
  </si>
  <si>
    <t>-1805849492</t>
  </si>
  <si>
    <t>151201101</t>
  </si>
  <si>
    <t>Zřízení zátažného pažení a rozepření stěn rýh hl do 2 m</t>
  </si>
  <si>
    <t>-1387364227</t>
  </si>
  <si>
    <t>https://podminky.urs.cz/item/CS_URS_2023_01/151201101</t>
  </si>
  <si>
    <t>1,5*2*4*1</t>
  </si>
  <si>
    <t>151201111</t>
  </si>
  <si>
    <t>Odstranění zátažného pažení a rozepření stěn rýh hl do 2 m</t>
  </si>
  <si>
    <t>45376073</t>
  </si>
  <si>
    <t>https://podminky.urs.cz/item/CS_URS_2023_01/151201111</t>
  </si>
  <si>
    <t>(1,5*2*4*1)</t>
  </si>
  <si>
    <t>-2021048588</t>
  </si>
  <si>
    <t>dovoz ornice pro ohumusování z meziskládky</t>
  </si>
  <si>
    <t>(85+2+4+4)*0,15</t>
  </si>
  <si>
    <t>Vodorovné přemístění přes 9 000 do 10000 m výkopku/sypaniny z horniny třídy těžitelnosti I skupiny 1 až 3</t>
  </si>
  <si>
    <t>1395737886</t>
  </si>
  <si>
    <t>3,14*0,3*0,3*1,85*1</t>
  </si>
  <si>
    <t>-648575572</t>
  </si>
  <si>
    <t>přebytečný výkop</t>
  </si>
  <si>
    <t>250-10</t>
  </si>
  <si>
    <t>Příplatek k vodorovnému přemístění výkopku/sypaniny z horniny třídy těžitelnosti I skupiny 1 až 3 ZKD 1000 m přes 10000 m</t>
  </si>
  <si>
    <t>1969144934</t>
  </si>
  <si>
    <t>uliční vpust+příplatek za dalších 20 km</t>
  </si>
  <si>
    <t>0,523*20</t>
  </si>
  <si>
    <t>1220999995</t>
  </si>
  <si>
    <t>přebytečný výkop+příplatek za dalších 20 km</t>
  </si>
  <si>
    <t>(250-10)*20</t>
  </si>
  <si>
    <t>941957356</t>
  </si>
  <si>
    <t>ornice pro ohumusování</t>
  </si>
  <si>
    <t>171151103</t>
  </si>
  <si>
    <t>Uložení sypaniny z hornin soudržných do násypů zhutněných strojně</t>
  </si>
  <si>
    <t>850300337</t>
  </si>
  <si>
    <t>https://podminky.urs.cz/item/CS_URS_2023_01/171151103</t>
  </si>
  <si>
    <t>použije se do násypu vhodná zemina z výkopu</t>
  </si>
  <si>
    <t>Poplatek za uložení zeminy a kamení na recyklační skládce (skládkovné) kód odpadu 17 05 04</t>
  </si>
  <si>
    <t>-2062228088</t>
  </si>
  <si>
    <t>(250-10)*1,8</t>
  </si>
  <si>
    <t>-83258990</t>
  </si>
  <si>
    <t>0,523*1,8</t>
  </si>
  <si>
    <t>171251201</t>
  </si>
  <si>
    <t>Uložení sypaniny na skládky nebo meziskládky</t>
  </si>
  <si>
    <t>-1015518714</t>
  </si>
  <si>
    <t>https://podminky.urs.cz/item/CS_URS_2023_01/171251201</t>
  </si>
  <si>
    <t>1071799895</t>
  </si>
  <si>
    <t>Zásyp jam, šachet rýh nebo kolem objektů sypaninou se zhutněním</t>
  </si>
  <si>
    <t>1016791163</t>
  </si>
  <si>
    <t>https://podminky.urs.cz/item/CS_URS_2023_01/174151101</t>
  </si>
  <si>
    <t>(1,5*1,5*2*1)-(3,14*0,3*0,3*1,85*1)</t>
  </si>
  <si>
    <t>181351003</t>
  </si>
  <si>
    <t>Rozprostření ornice tl vrstvy do 200 mm pl do 100 m2 v rovině nebo ve svahu do 1:5 strojně</t>
  </si>
  <si>
    <t>1561296488</t>
  </si>
  <si>
    <t>https://podminky.urs.cz/item/CS_URS_2023_01/181351003</t>
  </si>
  <si>
    <t>v rovině</t>
  </si>
  <si>
    <t>Založení parkového trávníku výsevem pl do 1000 m2 v rovině a ve svahu do 1:5</t>
  </si>
  <si>
    <t>-1111330789</t>
  </si>
  <si>
    <t>https://podminky.urs.cz/item/CS_URS_2023_01/181411131</t>
  </si>
  <si>
    <t>1894942700</t>
  </si>
  <si>
    <t>+ztratné</t>
  </si>
  <si>
    <t>85*0,03*1,15</t>
  </si>
  <si>
    <t>181411132</t>
  </si>
  <si>
    <t>Založení parkového trávníku výsevem pl do 1000 m2 ve svahu přes 1:5 do 1:2</t>
  </si>
  <si>
    <t>-384976693</t>
  </si>
  <si>
    <t>https://podminky.urs.cz/item/CS_URS_2023_01/181411132</t>
  </si>
  <si>
    <t>ve svahu</t>
  </si>
  <si>
    <t>2+4+4</t>
  </si>
  <si>
    <t>1664606683</t>
  </si>
  <si>
    <t>+ztartné</t>
  </si>
  <si>
    <t>10*0,03*1,15</t>
  </si>
  <si>
    <t>Úprava pláně v hornině třídy těžitelnosti I skupiny 1 až 3 bez zhutnění strojně</t>
  </si>
  <si>
    <t>548373246</t>
  </si>
  <si>
    <t>https://podminky.urs.cz/item/CS_URS_2023_01/181951111</t>
  </si>
  <si>
    <t>zeleň</t>
  </si>
  <si>
    <t>181951112</t>
  </si>
  <si>
    <t>Úprava pláně v hornině třídy těžitelnosti I skupiny 1 až 3 se zhutněním strojně</t>
  </si>
  <si>
    <t>-531694936</t>
  </si>
  <si>
    <t>https://podminky.urs.cz/item/CS_URS_2023_01/181951112</t>
  </si>
  <si>
    <t>zpevněná plocha</t>
  </si>
  <si>
    <t>470+6</t>
  </si>
  <si>
    <t>182111121</t>
  </si>
  <si>
    <t>Svahování v zářezech v hornině třídy těžitelnosti I skupiny 1 až 2 ručně</t>
  </si>
  <si>
    <t>-637704264</t>
  </si>
  <si>
    <t>https://podminky.urs.cz/item/CS_URS_2023_01/182111121</t>
  </si>
  <si>
    <t>182351023</t>
  </si>
  <si>
    <t>Rozprostření ornice pl do 100 m2 ve svahu přes 1:5 tl vrstvy do 200 mm strojně</t>
  </si>
  <si>
    <t>-1812826672</t>
  </si>
  <si>
    <t>https://podminky.urs.cz/item/CS_URS_2023_01/182351023</t>
  </si>
  <si>
    <t>Vodorovné konstrukce</t>
  </si>
  <si>
    <t>452386121</t>
  </si>
  <si>
    <t>Vyrovnávací prstence z betonu prostého tř. C 25/30 v přes 100 do 200 mm</t>
  </si>
  <si>
    <t>1941006078</t>
  </si>
  <si>
    <t>https://podminky.urs.cz/item/CS_URS_2023_01/452386121</t>
  </si>
  <si>
    <t>Komunikace pozemní</t>
  </si>
  <si>
    <t>564861011</t>
  </si>
  <si>
    <t>Podklad ze štěrkodrtě ŠD plochy do 100 m2 tl 200 mm</t>
  </si>
  <si>
    <t>1488594932</t>
  </si>
  <si>
    <t>https://podminky.urs.cz/item/CS_URS_2023_01/564861011</t>
  </si>
  <si>
    <t>manipulační plocha pochozí ŠD fr. 0-32</t>
  </si>
  <si>
    <t>564861111</t>
  </si>
  <si>
    <t>Podklad ze štěrkodrtě ŠD plochy přes 100 m2 tl 200 mm</t>
  </si>
  <si>
    <t>2110745172</t>
  </si>
  <si>
    <t>https://podminky.urs.cz/item/CS_URS_2023_01/564861111</t>
  </si>
  <si>
    <t>manipulační plocha ŠD fr. 0-32</t>
  </si>
  <si>
    <t>70+400</t>
  </si>
  <si>
    <t>564871111</t>
  </si>
  <si>
    <t>Podklad ze štěrkodrtě ŠD plochy přes 100 m2 tl 250 mm</t>
  </si>
  <si>
    <t>-1798581680</t>
  </si>
  <si>
    <t>https://podminky.urs.cz/item/CS_URS_2023_01/564871111</t>
  </si>
  <si>
    <t>úprava podloží ŚD fr. 0-63 v tl. 300-500mm, v rozpočtu se počítá tl. 500 mm</t>
  </si>
  <si>
    <t>470*2</t>
  </si>
  <si>
    <t>571908111</t>
  </si>
  <si>
    <t>Kryt vymývaným dekoračním kamenivem (kačírkem) tl 200 mm</t>
  </si>
  <si>
    <t>897511076</t>
  </si>
  <si>
    <t>https://podminky.urs.cz/item/CS_URS_2023_01/571908111</t>
  </si>
  <si>
    <t>odrazný pruh-kamenivo fr. 16-32 v tl. 200mm</t>
  </si>
  <si>
    <t>8+9</t>
  </si>
  <si>
    <t>581141212</t>
  </si>
  <si>
    <t>Kryt cementobetonový vozovek skupiny CB II kartáčovaný tl 210 mm</t>
  </si>
  <si>
    <t>1226420226</t>
  </si>
  <si>
    <t>https://podminky.urs.cz/item/CS_URS_2023_01/581141212</t>
  </si>
  <si>
    <t xml:space="preserve">manipulační plocha </t>
  </si>
  <si>
    <t>596211110</t>
  </si>
  <si>
    <t>Kladení zámkové dlažby komunikací pro pěší ručně tl 60 mm skupiny A pl do 50 m2</t>
  </si>
  <si>
    <t>-1277329330</t>
  </si>
  <si>
    <t>https://podminky.urs.cz/item/CS_URS_2023_01/596211110</t>
  </si>
  <si>
    <t>manipulační plocha pochozí</t>
  </si>
  <si>
    <t>59245018</t>
  </si>
  <si>
    <t>dlažba tvar obdélník betonová 200x100x60mm přírodní</t>
  </si>
  <si>
    <t>720791830</t>
  </si>
  <si>
    <t>6*1,03</t>
  </si>
  <si>
    <t>Trubní vedení</t>
  </si>
  <si>
    <t>895941342</t>
  </si>
  <si>
    <t>Osazení vpusti uliční DN 500 z betonových dílců dno nízké s kalištěm</t>
  </si>
  <si>
    <t>-2111278355</t>
  </si>
  <si>
    <t>https://podminky.urs.cz/item/CS_URS_2023_01/895941342</t>
  </si>
  <si>
    <t>uliční vpust, přípojka je řešena mimo tento oddíl PD</t>
  </si>
  <si>
    <t>59223852</t>
  </si>
  <si>
    <t>dno pro uliční vpusť s kalovou prohlubní betonové 450x300x50mm</t>
  </si>
  <si>
    <t>-731651894</t>
  </si>
  <si>
    <t>59223858</t>
  </si>
  <si>
    <t>skruž pro uliční vpusť horní betonová 450x570x50mm</t>
  </si>
  <si>
    <t>589846773</t>
  </si>
  <si>
    <t>59223862</t>
  </si>
  <si>
    <t>skruž pro uliční vpusť středová betonová 450x295x50mm</t>
  </si>
  <si>
    <t>-1215995349</t>
  </si>
  <si>
    <t>59223824</t>
  </si>
  <si>
    <t>vpusť uliční skruž betonová 590x500x50mm s výtokem (bez vložky)</t>
  </si>
  <si>
    <t>1070886241</t>
  </si>
  <si>
    <t>899204112</t>
  </si>
  <si>
    <t>Osazení mříží litinových včetně rámů a košů na bahno pro třídu zatížení D400, E600</t>
  </si>
  <si>
    <t>1387325082</t>
  </si>
  <si>
    <t>https://podminky.urs.cz/item/CS_URS_2023_01/899204112</t>
  </si>
  <si>
    <t>55241040</t>
  </si>
  <si>
    <t>mříž litinová 600/40T, 420X620 D400</t>
  </si>
  <si>
    <t>227797077</t>
  </si>
  <si>
    <t>28661789</t>
  </si>
  <si>
    <t>koš kalový ocelový pro silniční vpusť 425mm vč. madla</t>
  </si>
  <si>
    <t>-993691856</t>
  </si>
  <si>
    <t>899231111</t>
  </si>
  <si>
    <t>Výšková úprava uličního vstupu nebo vpusti do 200 mm zvýšením mříže</t>
  </si>
  <si>
    <t>-740445732</t>
  </si>
  <si>
    <t>https://podminky.urs.cz/item/CS_URS_2023_01/899231111</t>
  </si>
  <si>
    <t>8995</t>
  </si>
  <si>
    <t>napojení uliční vpusti</t>
  </si>
  <si>
    <t>-218095915</t>
  </si>
  <si>
    <t>navrtávka+montáž+materiál+doprava</t>
  </si>
  <si>
    <t>915491211</t>
  </si>
  <si>
    <t>Osazení vodícího proužku z betonových desek do betonového lože tl do 100 mm š proužku 250 mm</t>
  </si>
  <si>
    <t>-453070639</t>
  </si>
  <si>
    <t>https://podminky.urs.cz/item/CS_URS_2023_01/915491211</t>
  </si>
  <si>
    <t>osazený do betonového lože C20/25nXF3 s opěrou</t>
  </si>
  <si>
    <t>59218002</t>
  </si>
  <si>
    <t>krajník betonový silniční 500x250x100mm</t>
  </si>
  <si>
    <t>-1871520456</t>
  </si>
  <si>
    <t>barva přírodní + ztratné</t>
  </si>
  <si>
    <t>120*1,02</t>
  </si>
  <si>
    <t>916231213</t>
  </si>
  <si>
    <t>Osazení chodníkového obrubníku betonového stojatého s boční opěrou do lože z betonu prostého</t>
  </si>
  <si>
    <t>1681271263</t>
  </si>
  <si>
    <t>https://podminky.urs.cz/item/CS_URS_2023_01/916231213</t>
  </si>
  <si>
    <t>1,5+1,5+15+1,5+1,5</t>
  </si>
  <si>
    <t>59217023</t>
  </si>
  <si>
    <t>obrubník betonový chodníkový 1000x150x250mm</t>
  </si>
  <si>
    <t>-626005832</t>
  </si>
  <si>
    <t>21*1,02</t>
  </si>
  <si>
    <t>916991121</t>
  </si>
  <si>
    <t>Lože pod obrubníky, krajníky nebo obruby z dlažebních kostek z betonu prostého</t>
  </si>
  <si>
    <t>1758363499</t>
  </si>
  <si>
    <t>https://podminky.urs.cz/item/CS_URS_2023_01/916991121</t>
  </si>
  <si>
    <t>pod obrubníky</t>
  </si>
  <si>
    <t>919111111</t>
  </si>
  <si>
    <t>Řezání dilatačních spár š 4 mm hl do 60 mm příčných nebo podélných v čerstvém CB krytu</t>
  </si>
  <si>
    <t>2124852499</t>
  </si>
  <si>
    <t>https://podminky.urs.cz/item/CS_URS_2023_01/919111111</t>
  </si>
  <si>
    <t>dilatačnní spáry v cementobetonovém krytu u manipulační plochy (příčné a podélné po 5,0 m)</t>
  </si>
  <si>
    <t>180</t>
  </si>
  <si>
    <t>919121132</t>
  </si>
  <si>
    <t>Těsnění spár zálivkou za studena pro komůrky š 20 mm hl 40 mm s těsnicím profilem</t>
  </si>
  <si>
    <t>-805727313</t>
  </si>
  <si>
    <t>https://podminky.urs.cz/item/CS_URS_2023_01/919121132</t>
  </si>
  <si>
    <t>dilatační spáry v cementobetovém krytu u manipulační plchy</t>
  </si>
  <si>
    <t>-1445736931</t>
  </si>
  <si>
    <t>úprava styčné spáry u napojení na stávající zpevněné plochy</t>
  </si>
  <si>
    <t>919726201</t>
  </si>
  <si>
    <t>Geotextilie pro vyztužení, separaci a filtraci tkaná z PP podélná pevnost v tahu do 15 kN/m</t>
  </si>
  <si>
    <t>1114012956</t>
  </si>
  <si>
    <t>https://podminky.urs.cz/item/CS_URS_2023_01/919726201</t>
  </si>
  <si>
    <t>odrazný pruh- kryt kačírek, PP15kN/m</t>
  </si>
  <si>
    <t>919726202</t>
  </si>
  <si>
    <t>Geotextilie pro vyztužení, separaci a filtraci tkaná z PP podélná pevnost v tahu přes 15 do 50 kN/m</t>
  </si>
  <si>
    <t>358416375</t>
  </si>
  <si>
    <t>https://podminky.urs.cz/item/CS_URS_2023_01/919726202</t>
  </si>
  <si>
    <t>úprava podloží PP40kN/m</t>
  </si>
  <si>
    <t>470</t>
  </si>
  <si>
    <t>-1972283699</t>
  </si>
  <si>
    <t>1306728581</t>
  </si>
  <si>
    <t>Vedlejší rozpočtové náklady</t>
  </si>
  <si>
    <t>VRN4</t>
  </si>
  <si>
    <t>Inženýrská činnost</t>
  </si>
  <si>
    <t>043134000</t>
  </si>
  <si>
    <t>Zkoušky zatěžovací</t>
  </si>
  <si>
    <t>…</t>
  </si>
  <si>
    <t>1024</t>
  </si>
  <si>
    <t>277990666</t>
  </si>
  <si>
    <t>https://podminky.urs.cz/item/CS_URS_2023_01/043134000</t>
  </si>
  <si>
    <t>2023/003/e - SO-24 - dešťová kanalizace</t>
  </si>
  <si>
    <t>131251204</t>
  </si>
  <si>
    <t>Hloubení zapažených jam a zářezů strojně s urovnáním dna do předepsaného profilu a spádu v hornině třídy těžitelnosti I skupiny 3 přes 100 do 500 m3</t>
  </si>
  <si>
    <t>CS ÚRS 2022 02</t>
  </si>
  <si>
    <t>1002273988</t>
  </si>
  <si>
    <t>https://podminky.urs.cz/item/CS_URS_2022_02/131251204</t>
  </si>
  <si>
    <t>Odlučovač</t>
  </si>
  <si>
    <t>3*3*2,3</t>
  </si>
  <si>
    <t>retence</t>
  </si>
  <si>
    <t>24*1,7*4,5</t>
  </si>
  <si>
    <t>revizní šachty</t>
  </si>
  <si>
    <t>2*1,5*1,5*2</t>
  </si>
  <si>
    <t>132251253</t>
  </si>
  <si>
    <t>Hloubení nezapažených rýh šířky přes 800 do 2 000 mm strojně s urovnáním dna do předepsaného profilu a spádu v hornině třídy těžitelnosti I skupiny 3 přes 50 do 100 m3</t>
  </si>
  <si>
    <t>-1295102779</t>
  </si>
  <si>
    <t>https://podminky.urs.cz/item/CS_URS_2022_02/132251253</t>
  </si>
  <si>
    <t>propojovací potrubí od svodů ze střechy do retenční nádrže</t>
  </si>
  <si>
    <t>3*1,45*2*0,9</t>
  </si>
  <si>
    <t>Odtokové potrubí ze dna nádrže</t>
  </si>
  <si>
    <t>1,1*0,9*2</t>
  </si>
  <si>
    <t>kanalizační přípojka od uliční vpusti na zpevněné ploše</t>
  </si>
  <si>
    <t>12,1*0,9*1,5</t>
  </si>
  <si>
    <t>přípojka D1</t>
  </si>
  <si>
    <t>10,35*0,9*2</t>
  </si>
  <si>
    <t>napojení od uliční vpusti</t>
  </si>
  <si>
    <t>8,9*0,9*1,5</t>
  </si>
  <si>
    <t>151101102</t>
  </si>
  <si>
    <t>Zřízení pažení a rozepření stěn výkopu, hloubky přes 2 do 4 m</t>
  </si>
  <si>
    <t>-55103215</t>
  </si>
  <si>
    <t>https://podminky.urs.cz/item/CS_URS_2022_02/151101102</t>
  </si>
  <si>
    <t>24*2*2+4,1*2*2</t>
  </si>
  <si>
    <t>odlučovač</t>
  </si>
  <si>
    <t>4*3*2,5</t>
  </si>
  <si>
    <t>659714876</t>
  </si>
  <si>
    <t>https://podminky.urs.cz/item/CS_URS_2022_02/162751117</t>
  </si>
  <si>
    <t>270,99</t>
  </si>
  <si>
    <t>844819937</t>
  </si>
  <si>
    <t>https://podminky.urs.cz/item/CS_URS_2022_02/162751119</t>
  </si>
  <si>
    <t>270,99*20</t>
  </si>
  <si>
    <t>-947199453</t>
  </si>
  <si>
    <t>https://podminky.urs.cz/item/CS_URS_2022_02/171201231</t>
  </si>
  <si>
    <t>270,99*1,8</t>
  </si>
  <si>
    <t>949695883</t>
  </si>
  <si>
    <t>https://podminky.urs.cz/item/CS_URS_2022_02/174151101</t>
  </si>
  <si>
    <t>3*1,45*1,6*0,9</t>
  </si>
  <si>
    <t>1,1*0,9*1,6</t>
  </si>
  <si>
    <t>12,1*0,9*1,1</t>
  </si>
  <si>
    <t>10,35*0,9*1,6</t>
  </si>
  <si>
    <t>8,9*0,9*1,1</t>
  </si>
  <si>
    <t>175151101</t>
  </si>
  <si>
    <t>Obsypání potrubí strojně sypaninou z vhodných třídy těžitelnosti I a II, skupiny 1 až 4 nebo materiálem připraveným podél výkopu ve vzdálenosti do 3 m od jeho kraje, pro jakoukoliv hloubku výkopu a míru zhutnění bez prohození sypaniny</t>
  </si>
  <si>
    <t>-27270309</t>
  </si>
  <si>
    <t>https://podminky.urs.cz/item/CS_URS_2022_02/175151101</t>
  </si>
  <si>
    <t>3*1,45*0,4*0,9</t>
  </si>
  <si>
    <t>1,1*0,9*0,4</t>
  </si>
  <si>
    <t>12,1*0,9*0,4</t>
  </si>
  <si>
    <t>10,35*0,9*0,4</t>
  </si>
  <si>
    <t>8,9*0,9*0,4</t>
  </si>
  <si>
    <t>58331200</t>
  </si>
  <si>
    <t>štěrkopísek netříděný</t>
  </si>
  <si>
    <t>1248889447</t>
  </si>
  <si>
    <t>13,248*2 'Přepočtené koeficientem množství</t>
  </si>
  <si>
    <t>175151201</t>
  </si>
  <si>
    <t>Obsypání objektů strojně sypaninou z vhodných hornin třídy těžitelnosti I a II, skupiny 1 až 4 nebo materiálem uloženým ve vzdálenosti do 3 m od vnějšího kraje objektu pro jakoukoliv míru zhutnění bez prohození sypaniny</t>
  </si>
  <si>
    <t>590860286</t>
  </si>
  <si>
    <t>https://podminky.urs.cz/item/CS_URS_2023_02/175151201</t>
  </si>
  <si>
    <t>obsyp retenčních nádrží</t>
  </si>
  <si>
    <t>24*4,1*1,6-22,45*2,6*1,48</t>
  </si>
  <si>
    <t>obsyp odlučovače</t>
  </si>
  <si>
    <t>3*3*2,4-2*2,4</t>
  </si>
  <si>
    <t>obsyp revizních šachet</t>
  </si>
  <si>
    <t>2*1,5*1,5*2-2*1*2</t>
  </si>
  <si>
    <t>746937478</t>
  </si>
  <si>
    <t>92,852*2 'Přepočtené koeficientem množství</t>
  </si>
  <si>
    <t>1751512R1</t>
  </si>
  <si>
    <t>Vybourání + odvoz betonového podkladu kolejiště</t>
  </si>
  <si>
    <t>-1421072346</t>
  </si>
  <si>
    <t>451541111</t>
  </si>
  <si>
    <t>Lože pod potrubí, stoky a drobné objekty v otevřeném výkopu ze štěrkodrtě 0-63 mm</t>
  </si>
  <si>
    <t>506021229</t>
  </si>
  <si>
    <t>https://podminky.urs.cz/item/CS_URS_2022_02/451541111</t>
  </si>
  <si>
    <t>štěrkové lože pro retenční nádrž</t>
  </si>
  <si>
    <t>23*3*0,1</t>
  </si>
  <si>
    <t>štěrkové lože pro odlučovač</t>
  </si>
  <si>
    <t>2,5*2,5*0,1</t>
  </si>
  <si>
    <t>451572111</t>
  </si>
  <si>
    <t>Lože pod potrubí, stoky a drobné objekty v otevřeném výkopu z kameniva drobného těženého 0 až 4 mm</t>
  </si>
  <si>
    <t>2007226060</t>
  </si>
  <si>
    <t>https://podminky.urs.cz/item/CS_URS_2022_02/451572111</t>
  </si>
  <si>
    <t>3*1,45*0,1*0,9</t>
  </si>
  <si>
    <t>1,1*0,9*0,1</t>
  </si>
  <si>
    <t>12,1*0,9*0,1</t>
  </si>
  <si>
    <t>10,35*0,9*0,1</t>
  </si>
  <si>
    <t>8,9*0,9*0,1</t>
  </si>
  <si>
    <t>452321161</t>
  </si>
  <si>
    <t>Podkladní a zajišťovací konstrukce z betonu železového v otevřeném výkopu desky pod potrubí, stoky a drobné objekty z betonu tř. C 25/30</t>
  </si>
  <si>
    <t>2138915097</t>
  </si>
  <si>
    <t>https://podminky.urs.cz/item/CS_URS_2022_02/452321161</t>
  </si>
  <si>
    <t>podkladní beton pro šachty D1+D2</t>
  </si>
  <si>
    <t>2*1,3*1,3*0,15</t>
  </si>
  <si>
    <t>2,5*2,5*0,2</t>
  </si>
  <si>
    <t>podkladní beton pro retenční nádrže</t>
  </si>
  <si>
    <t>23*3*0,2</t>
  </si>
  <si>
    <t>betonové stěny mezi nádržemi</t>
  </si>
  <si>
    <t>3*2,6*1,2*0,2</t>
  </si>
  <si>
    <t>452351101</t>
  </si>
  <si>
    <t>Bednění podkladních a zajišťovacích konstrukcí v otevřeném výkopu desek nebo sedlových loží pod potrubí, stoky a drobné objekty</t>
  </si>
  <si>
    <t>-967909994</t>
  </si>
  <si>
    <t>https://podminky.urs.cz/item/CS_URS_2022_02/452351101</t>
  </si>
  <si>
    <t>(23+23+3+3)*0,25+2,5*4*0,25</t>
  </si>
  <si>
    <t>452368211</t>
  </si>
  <si>
    <t>Výztuž podkladních desek, bloků nebo pražců v otevřeném výkopu ze svařovaných sítí typu Kari</t>
  </si>
  <si>
    <t>1465792195</t>
  </si>
  <si>
    <t>https://podminky.urs.cz/item/CS_URS_2022_02/452368211</t>
  </si>
  <si>
    <t>(2,5*2,5+23*3)*1,2*2*0,0079</t>
  </si>
  <si>
    <t>871310320</t>
  </si>
  <si>
    <t>Montáž kanalizačního potrubí z plastů z polypropylenu PP hladkého plnostěnného SN 12 DN 150</t>
  </si>
  <si>
    <t>-437557653</t>
  </si>
  <si>
    <t>https://podminky.urs.cz/item/CS_URS_2023_02/871310320</t>
  </si>
  <si>
    <t>3*1,45+8,85</t>
  </si>
  <si>
    <t>28617025</t>
  </si>
  <si>
    <t>trubka kanalizační PP plnostěnná třívrstvá DN 150x1000mm SN12</t>
  </si>
  <si>
    <t>583130108</t>
  </si>
  <si>
    <t>13,2*1,015 'Přepočtené koeficientem množství</t>
  </si>
  <si>
    <t>871350320</t>
  </si>
  <si>
    <t>Montáž kanalizačního potrubí z plastů z polypropylenu PP hladkého plnostěnného SN 12 DN 200</t>
  </si>
  <si>
    <t>228666844</t>
  </si>
  <si>
    <t>https://podminky.urs.cz/item/CS_URS_2022_02/871350320</t>
  </si>
  <si>
    <t>10,35+12,1</t>
  </si>
  <si>
    <t>28617026</t>
  </si>
  <si>
    <t>trubka kanalizační PP plnostěnná třívrstvá DN 200x1000mm SN12</t>
  </si>
  <si>
    <t>-2113917693</t>
  </si>
  <si>
    <t>22,45*1,015 'Přepočtené koeficientem množství</t>
  </si>
  <si>
    <t>871360320</t>
  </si>
  <si>
    <t>Montáž kanalizačního potrubí z plastů z polypropylenu PP hladkého plnostěnného SN 12 DN 250</t>
  </si>
  <si>
    <t>1757996501</t>
  </si>
  <si>
    <t>https://podminky.urs.cz/item/CS_URS_2023_02/871360320</t>
  </si>
  <si>
    <t>28617027</t>
  </si>
  <si>
    <t>trubka kanalizační PP plnostěnná třívrstvá DN 250x1000mm SN12</t>
  </si>
  <si>
    <t>779745947</t>
  </si>
  <si>
    <t>1,1*1,015 'Přepočtené koeficientem množství</t>
  </si>
  <si>
    <t>877310310</t>
  </si>
  <si>
    <t>Montáž tvarovek na kanalizačním plastovém potrubí z polypropylenu PP nebo tvrdého PVC hladkého plnostěnného kolen, víček nebo hrdlových uzávěrů DN 150</t>
  </si>
  <si>
    <t>-1577921968</t>
  </si>
  <si>
    <t>https://podminky.urs.cz/item/CS_URS_2023_02/877310310</t>
  </si>
  <si>
    <t>28617182</t>
  </si>
  <si>
    <t>koleno kanalizační PP SN16 45° DN 150</t>
  </si>
  <si>
    <t>1514648284</t>
  </si>
  <si>
    <t>28617163</t>
  </si>
  <si>
    <t>koleno kanalizační PP SN16 15° DN 200</t>
  </si>
  <si>
    <t>-1830661903</t>
  </si>
  <si>
    <t>28617244</t>
  </si>
  <si>
    <t>redukce kanalizační PP DN 150/125</t>
  </si>
  <si>
    <t>1389613298</t>
  </si>
  <si>
    <t>28617245</t>
  </si>
  <si>
    <t>redukce kanalizační PP DN 200/150</t>
  </si>
  <si>
    <t>330232870</t>
  </si>
  <si>
    <t>721242106</t>
  </si>
  <si>
    <t>Lapače střešních splavenin polypropylenové (PP) se svislým odtokem DN 125</t>
  </si>
  <si>
    <t>1632007214</t>
  </si>
  <si>
    <t>https://podminky.urs.cz/item/CS_URS_2023_02/721242106</t>
  </si>
  <si>
    <t>895941343</t>
  </si>
  <si>
    <t>Osazení vpusti uliční z betonových dílců DN 500 dno vysoké s kalištěm</t>
  </si>
  <si>
    <t>1749004466</t>
  </si>
  <si>
    <t>https://podminky.urs.cz/item/CS_URS_2023_02/895941343</t>
  </si>
  <si>
    <t>59224470</t>
  </si>
  <si>
    <t>vpusť uliční DN 500 kaliště vysoké 500/525x65mm</t>
  </si>
  <si>
    <t>658938978</t>
  </si>
  <si>
    <t>895941351</t>
  </si>
  <si>
    <t>Osazení vpusti uliční z betonových dílců DN 500 skruž horní pro čtvercovou vtokovou mříž</t>
  </si>
  <si>
    <t>-1323211075</t>
  </si>
  <si>
    <t>https://podminky.urs.cz/item/CS_URS_2023_02/895941351</t>
  </si>
  <si>
    <t>59224460</t>
  </si>
  <si>
    <t>vpusť uliční DN 500 betonová 500x190x65mm čtvercový poklop</t>
  </si>
  <si>
    <t>1135371659</t>
  </si>
  <si>
    <t>59223260</t>
  </si>
  <si>
    <t>mříž vtoková litinová k uliční vpusti C250/D400 500x500mm</t>
  </si>
  <si>
    <t>103875806</t>
  </si>
  <si>
    <t>895941366</t>
  </si>
  <si>
    <t>Osazení vpusti uliční z betonových dílců DN 500 skruž průběžná s výtokem</t>
  </si>
  <si>
    <t>410257747</t>
  </si>
  <si>
    <t>https://podminky.urs.cz/item/CS_URS_2023_02/895941366</t>
  </si>
  <si>
    <t>59224463</t>
  </si>
  <si>
    <t>vpusť uliční DN 500 skruž průběžná 500/590x65mm betonová s odtokem 150mm</t>
  </si>
  <si>
    <t>851089508</t>
  </si>
  <si>
    <t>8959413R1</t>
  </si>
  <si>
    <t>D+M revizní šachty Š1</t>
  </si>
  <si>
    <t>268901161</t>
  </si>
  <si>
    <t>Poznámka k položce:_x000D_
dno TBZ-Q.1 100/60 V max 40 1_x000D_
kónus TBR-Q.1 100-63/58 1_x000D_
vyr.prst. TBW-Q.1 63/10 2_x000D_
poklop D 400 Begu-19584 1_x000D_
těsnění pro DN 1000 1_x000D_
kóta dna 420.10 m_x000D_
kóta terénu 421.64 m_x000D_
rozdíl kót 1.54 m_x000D_
převýšení nad terénem 0.00 m_x000D_
výška šachty 1.54 m_x000D_
stavební výška 1.74 m</t>
  </si>
  <si>
    <t>8959413R2</t>
  </si>
  <si>
    <t>D+M revizní šachty Š2</t>
  </si>
  <si>
    <t>1719969472</t>
  </si>
  <si>
    <t>Poznámka k položce:_x000D_
dno TBZ-Q.1 100/100 V max 601_x000D_
kónus TBR-Q.1 100-63/58 1_x000D_
vyr.prst. TBW-Q.1 63/8 1_x000D_
poklop D 400 Begu-19584 1_x000D_
těsnění pro DN 1000 1_x000D_
kóta dna 419.90 m_x000D_
kóta terénu 421.72 m_x000D_
rozdíl kót 1.82 m_x000D_
převýšení nad terénem 0.00 m_x000D_
výška šachty 1.82 m_x000D_
stavební výška 2.02 m</t>
  </si>
  <si>
    <t>8959413R3</t>
  </si>
  <si>
    <t>D+M Odlučovače lehkých kapalin</t>
  </si>
  <si>
    <t>1127139057</t>
  </si>
  <si>
    <t>Poznámka k položce:_x000D_
kompletní specifikace viz. výkres odlučovače</t>
  </si>
  <si>
    <t>8959413R4</t>
  </si>
  <si>
    <t>D+M retenčních nádrží</t>
  </si>
  <si>
    <t>392504875</t>
  </si>
  <si>
    <t>Poznámka k položce:_x000D_
kompletní specifikace - viz. výkres retenčních nádrží</t>
  </si>
  <si>
    <t>8959413R5</t>
  </si>
  <si>
    <t>D+M regulačního ventilu pro Q = 0,5 l/s</t>
  </si>
  <si>
    <t>916028669</t>
  </si>
  <si>
    <t>8959413R6</t>
  </si>
  <si>
    <t>Vrtání otvoru do betonového potrubí + osazení přechodky DN 200</t>
  </si>
  <si>
    <t>-211866048</t>
  </si>
  <si>
    <t>998271301</t>
  </si>
  <si>
    <t>Přesun hmot pro kanalizace (stoky) hloubené monolitické z betonu nebo železobetonu v otevřeném výkopu dopravní vzdálenost do 15 m</t>
  </si>
  <si>
    <t>-1914067983</t>
  </si>
  <si>
    <t>https://podminky.urs.cz/item/CS_URS_2023_02/998271301</t>
  </si>
  <si>
    <t>2023/003/f - SO-25 - vodovodní přípojka</t>
  </si>
  <si>
    <t>113107432</t>
  </si>
  <si>
    <t>Odstranění podkladů nebo krytů při překopech inženýrských sítí s přemístěním hmot na skládku ve vzdálenosti do 3 m nebo s naložením na dopravní prostředek strojně plochy jednotlivě do 15 m2 z betonu prostého, o tl. vrstvy přes 150 do 300 mm</t>
  </si>
  <si>
    <t>1843605524</t>
  </si>
  <si>
    <t>https://podminky.urs.cz/item/CS_URS_2023_02/113107432</t>
  </si>
  <si>
    <t>113107443</t>
  </si>
  <si>
    <t>Odstranění podkladů nebo krytů při překopech inženýrských sítí s přemístěním hmot na skládku ve vzdálenosti do 3 m nebo s naložením na dopravní prostředek strojně plochy jednotlivě do 15 m2 živičných, o tl. vrstvy přes 100 do 150 mm</t>
  </si>
  <si>
    <t>-533326430</t>
  </si>
  <si>
    <t>https://podminky.urs.cz/item/CS_URS_2023_02/113107443</t>
  </si>
  <si>
    <t>-249840622</t>
  </si>
  <si>
    <t>vodovodní přípojka</t>
  </si>
  <si>
    <t>45*1*1,9</t>
  </si>
  <si>
    <t>Zřízení pažení a rozepření stěn rýh pro podzemní vedení příložné pro jakoukoliv mezerovitost, hloubky přes 2 do 4 m</t>
  </si>
  <si>
    <t>1758081476</t>
  </si>
  <si>
    <t>přípojka</t>
  </si>
  <si>
    <t>45*2*2</t>
  </si>
  <si>
    <t>162351103</t>
  </si>
  <si>
    <t>Vodorovné přemístění výkopku nebo sypaniny po suchu na obvyklém dopravním prostředku, bez naložení výkopku, avšak se složením bez rozhrnutí z horniny třídy těžitelnosti I skupiny 1 až 3 na vzdálenost přes 50 do 500 m</t>
  </si>
  <si>
    <t>372583280</t>
  </si>
  <si>
    <t>https://podminky.urs.cz/item/CS_URS_2022_02/162351103</t>
  </si>
  <si>
    <t>85,5-45*1*0,4</t>
  </si>
  <si>
    <t>-1214109251</t>
  </si>
  <si>
    <t>85,5-67,5</t>
  </si>
  <si>
    <t>-934113628</t>
  </si>
  <si>
    <t>18*20</t>
  </si>
  <si>
    <t>1996086957</t>
  </si>
  <si>
    <t>18*1,8</t>
  </si>
  <si>
    <t>193810998</t>
  </si>
  <si>
    <t>45*1*1,5</t>
  </si>
  <si>
    <t>881077144</t>
  </si>
  <si>
    <t>45*1*0,4</t>
  </si>
  <si>
    <t>1542713986</t>
  </si>
  <si>
    <t>18*2 'Přepočtené koeficientem množství</t>
  </si>
  <si>
    <t>Podklad ze štěrkodrti ŠD s rozprostřením a zhutněním plochy jednotlivě do 100 m2, po zhutnění tl. 200 mm</t>
  </si>
  <si>
    <t>-1319292349</t>
  </si>
  <si>
    <t>https://podminky.urs.cz/item/CS_URS_2023_02/564861011</t>
  </si>
  <si>
    <t>12+8</t>
  </si>
  <si>
    <t>576146311</t>
  </si>
  <si>
    <t>Asfaltový koberec otevřený AKO 16 (AKOH) s rozprostřením a se zhutněním z nemodifikovaného asfaltu v pruhu šířky do 3 m, po zhutnění tl. 50 mm</t>
  </si>
  <si>
    <t>-704583539</t>
  </si>
  <si>
    <t>https://podminky.urs.cz/item/CS_URS_2023_02/576146311</t>
  </si>
  <si>
    <t>581131115</t>
  </si>
  <si>
    <t>Kryt cementobetonový silničních komunikací skupiny CB I tl. 200 mm</t>
  </si>
  <si>
    <t>-782072850</t>
  </si>
  <si>
    <t>https://podminky.urs.cz/item/CS_URS_2023_02/581131115</t>
  </si>
  <si>
    <t>871241141</t>
  </si>
  <si>
    <t>Montáž vodovodního potrubí z plastů v otevřeném výkopu z polyetylenu PE 100 svařovaných na tupo SDR 11/PN16 D 90 x 8,2 mm</t>
  </si>
  <si>
    <t>860937585</t>
  </si>
  <si>
    <t>https://podminky.urs.cz/item/CS_URS_2023_02/871241141</t>
  </si>
  <si>
    <t>28613556</t>
  </si>
  <si>
    <t>potrubí dvouvrstvé PE100 RC SDR11 90x8,2 dl 12m</t>
  </si>
  <si>
    <t>1522072674</t>
  </si>
  <si>
    <t>45*1,015 'Přepočtené koeficientem množství</t>
  </si>
  <si>
    <t>8712411R1</t>
  </si>
  <si>
    <t>Chráničky PP SN 12 DN 150 mm</t>
  </si>
  <si>
    <t>1971399605</t>
  </si>
  <si>
    <t>8712411R2</t>
  </si>
  <si>
    <t xml:space="preserve">Armatury </t>
  </si>
  <si>
    <t>1086290959</t>
  </si>
  <si>
    <t xml:space="preserve">Poznámka k položce:_x000D_
Výpis tvarovek :_x000D_
-	MMA200/80 – 1 KS_x000D_
-	U kus 200 – 1 ks_x000D_
-	TLT trouba DN 200 mm, dl. cca 1,0 m – 1 ks_x000D_
-	Vodárenské šoupátko DN 80 mm vč. teleskopické zem ní soupravy a poklopu – 1 ks_x000D_
Např. typ HAWLE  obj.č. 4000_x000D_
-	Přírubový přechod na PE DN 80 mm – systém S2000 – 1 ks_x000D_
-	PE koleno 45° - 2 ks_x000D_
</t>
  </si>
  <si>
    <t>Vodorovná doprava vybouraných hmot bez naložení, ale se složením a s hrubým urovnáním na vzdálenost do 1 km</t>
  </si>
  <si>
    <t>-69017359</t>
  </si>
  <si>
    <t>https://podminky.urs.cz/item/CS_URS_2023_02/997221571</t>
  </si>
  <si>
    <t>Vodorovná doprava vybouraných hmot bez naložení, ale se složením a s hrubým urovnáním na vzdálenost Příplatek k ceně za každý další i započatý 1 km přes 1 km</t>
  </si>
  <si>
    <t>-1232371831</t>
  </si>
  <si>
    <t>https://podminky.urs.cz/item/CS_URS_2023_02/997221579</t>
  </si>
  <si>
    <t>10,028*20</t>
  </si>
  <si>
    <t>997221615</t>
  </si>
  <si>
    <t>Poplatek za uložení stavebního odpadu na skládce (skládkovné) z prostého betonu zatříděného do Katalogu odpadů pod kódem 17 01 01</t>
  </si>
  <si>
    <t>-624722161</t>
  </si>
  <si>
    <t>https://podminky.urs.cz/item/CS_URS_2023_02/997221615</t>
  </si>
  <si>
    <t>997221645</t>
  </si>
  <si>
    <t>Poplatek za uložení stavebního odpadu na skládce (skládkovné) asfaltového bez obsahu dehtu zatříděného do Katalogu odpadů pod kódem 17 03 02</t>
  </si>
  <si>
    <t>-148962213</t>
  </si>
  <si>
    <t>https://podminky.urs.cz/item/CS_URS_2023_02/997221645</t>
  </si>
  <si>
    <t>2023/003/j - VRN</t>
  </si>
  <si>
    <t xml:space="preserve">    VRN1 - Průzkumné, geodetické a projektové práce</t>
  </si>
  <si>
    <t xml:space="preserve">    VRN3 - Zařízení staveniště</t>
  </si>
  <si>
    <t>VRN1</t>
  </si>
  <si>
    <t>Průzkumné, geodetické a projektové práce</t>
  </si>
  <si>
    <t>010001000</t>
  </si>
  <si>
    <t>Průzkumné, geodetické práce</t>
  </si>
  <si>
    <t>-530775478</t>
  </si>
  <si>
    <t>https://podminky.urs.cz/item/CS_URS_2023_02/010001000</t>
  </si>
  <si>
    <t>VRN3</t>
  </si>
  <si>
    <t>Zařízení staveniště</t>
  </si>
  <si>
    <t>030001000</t>
  </si>
  <si>
    <t>282170963</t>
  </si>
  <si>
    <t>https://podminky.urs.cz/item/CS_URS_2023_02/030001000</t>
  </si>
  <si>
    <t>043002000</t>
  </si>
  <si>
    <t>Zkoušky a ostatní měření - kopané sondy</t>
  </si>
  <si>
    <t>1198008840</t>
  </si>
  <si>
    <t>https://podminky.urs.cz/item/CS_URS_2023_02/043002000</t>
  </si>
  <si>
    <t>045002000</t>
  </si>
  <si>
    <t>Kompletační a koordinační činnost</t>
  </si>
  <si>
    <t>-1067029098</t>
  </si>
  <si>
    <t>https://podminky.urs.cz/item/CS_URS_2023_02/045002000</t>
  </si>
  <si>
    <t>Struktura údajů, formát souboru a metodika pro zpracování</t>
  </si>
  <si>
    <t>Struktura</t>
  </si>
  <si>
    <t>Soubor je složen ze záložky Rekapitulace stavby a záložek s názvem soupisu prací pro jednotlivé objekty ve formátu XLSX. Každá ze záložek přitom obsahuje</t>
  </si>
  <si>
    <t>ještě samostatné sestavy vymezené orámovaním a nadpisem sestavy.</t>
  </si>
  <si>
    <r>
      <rPr>
        <i/>
        <sz val="8"/>
        <rFont val="Arial CE"/>
        <charset val="238"/>
      </rPr>
      <t xml:space="preserve">Rekapitulace stavby </t>
    </r>
    <r>
      <rPr>
        <sz val="8"/>
        <rFont val="Arial CE"/>
        <charset val="238"/>
      </rPr>
      <t>obsahuje sestavu Rekapitulace stavby a Rekapitulace objektů stavby a soupisů prací.</t>
    </r>
  </si>
  <si>
    <r>
      <t xml:space="preserve">V sestavě </t>
    </r>
    <r>
      <rPr>
        <b/>
        <sz val="8"/>
        <rFont val="Arial CE"/>
        <charset val="238"/>
      </rPr>
      <t>Rekapitulace stavby</t>
    </r>
    <r>
      <rPr>
        <sz val="8"/>
        <rFont val="Arial CE"/>
        <charset val="238"/>
      </rPr>
      <t xml:space="preserve"> jsou uvedeny informace identifikující předmět veřejné zakázky na stavební práce, KSO, CC-CZ, CZ-CPV, CZ-CPA a rekapitulaci </t>
    </r>
  </si>
  <si>
    <t>celkové nabídkové ceny uchazeče.</t>
  </si>
  <si>
    <t xml:space="preserve">Termínem "uchazeč" (resp. zhotovitel) se myslí "účastník zadávacího řízení" ve smyslu zákona o zadávání veřejných zakázek. </t>
  </si>
  <si>
    <r>
      <t xml:space="preserve">V sestavě </t>
    </r>
    <r>
      <rPr>
        <b/>
        <sz val="8"/>
        <rFont val="Arial CE"/>
        <charset val="238"/>
      </rPr>
      <t>Rekapitulace objektů stavby a soupisů prací</t>
    </r>
    <r>
      <rPr>
        <sz val="8"/>
        <rFont val="Arial CE"/>
        <charset val="238"/>
      </rPr>
      <t xml:space="preserve"> je uvedena rekapitulace stavebních objektů, inženýrských objektů, provozních souborů,</t>
    </r>
  </si>
  <si>
    <t>vedlejších a ostatních nákladů a ostatních nákladů s rekapitulací nabídkové ceny za jednotlivé soupisy prací. Na základě údaje Typ je možné</t>
  </si>
  <si>
    <t>identifikovat, zda se jedná o objekt nebo soupis prací pro daný objekt:</t>
  </si>
  <si>
    <t>Stavební objekt pozemní</t>
  </si>
  <si>
    <t>ING</t>
  </si>
  <si>
    <t>Stavební objekt inženýrský</t>
  </si>
  <si>
    <t>PRO</t>
  </si>
  <si>
    <t>Provozní soubor</t>
  </si>
  <si>
    <t>VON</t>
  </si>
  <si>
    <t>Vedlejší a ostatní náklady</t>
  </si>
  <si>
    <t>OST</t>
  </si>
  <si>
    <t>Soupis prací pro daný typ objektu</t>
  </si>
  <si>
    <r>
      <rPr>
        <i/>
        <sz val="8"/>
        <rFont val="Arial CE"/>
        <charset val="238"/>
      </rPr>
      <t xml:space="preserve">Soupis prací </t>
    </r>
    <r>
      <rPr>
        <sz val="8"/>
        <rFont val="Arial CE"/>
        <charset val="238"/>
      </rPr>
      <t>pro jednotlivé objekty obsahuje sestavy Krycí list soupisu prací, Rekapitulace členění soupisu prací, Soupis prací. Za soupis prací může být považován</t>
    </r>
  </si>
  <si>
    <t>i objekt stavby v případě, že neobsahuje podřízenou zakázku.</t>
  </si>
  <si>
    <r>
      <rPr>
        <b/>
        <sz val="8"/>
        <rFont val="Arial CE"/>
        <charset val="238"/>
      </rPr>
      <t>Krycí list soupisu</t>
    </r>
    <r>
      <rPr>
        <sz val="8"/>
        <rFont val="Arial CE"/>
        <charset val="238"/>
      </rPr>
      <t xml:space="preserve"> obsahuje rekapitulaci informací o předmětu veřejné zakázky ze sestavy Rekapitulace stavby, informaci o zařazení objektu do KSO, </t>
    </r>
  </si>
  <si>
    <t>CC-CZ, CZ-CPV, CZ-CPA a rekapitulaci celkové nabídkové ceny uchazeče za aktuální soupis prací.</t>
  </si>
  <si>
    <r>
      <rPr>
        <b/>
        <sz val="8"/>
        <rFont val="Arial CE"/>
        <charset val="238"/>
      </rPr>
      <t>Rekapitulace členění soupisu prací</t>
    </r>
    <r>
      <rPr>
        <sz val="8"/>
        <rFont val="Arial CE"/>
        <charset val="238"/>
      </rPr>
      <t xml:space="preserve"> obsahuje rekapitulaci soupisu prací ve všech úrovních členění soupisu tak, jak byla tato členění použita (např. </t>
    </r>
  </si>
  <si>
    <t>stavební díly, funkční díly, případně jiné členění) s rekapitulací nabídkové ceny.</t>
  </si>
  <si>
    <r>
      <rPr>
        <b/>
        <sz val="8"/>
        <rFont val="Arial CE"/>
        <charset val="238"/>
      </rPr>
      <t xml:space="preserve">Soupis prací </t>
    </r>
    <r>
      <rPr>
        <sz val="8"/>
        <rFont val="Arial CE"/>
        <charset val="238"/>
      </rPr>
      <t>obsahuje položky veškerých stavebních nebo montážních prací, dodávek materiálů a služeb nezbytných pro zhotovení stavebního objektu,</t>
    </r>
  </si>
  <si>
    <t>inženýrského objektu, provozního souboru, vedlejších a ostatních nákladů.</t>
  </si>
  <si>
    <t>Pro položky soupisu prací se zobrazují následující informace:</t>
  </si>
  <si>
    <t>Pořadové číslo položky v aktuálním soupisu</t>
  </si>
  <si>
    <t>TYP</t>
  </si>
  <si>
    <t>Typ položky: K - konstrukce, M - materiál, PP - plný popis, PSC - poznámka k souboru cen,  P - poznámka k položce, VV - výkaz výměr</t>
  </si>
  <si>
    <t>Kód položky</t>
  </si>
  <si>
    <t>Zkrácený popis položky</t>
  </si>
  <si>
    <t>Měrná jednotka položky</t>
  </si>
  <si>
    <t>Množství v měrné jednotce</t>
  </si>
  <si>
    <t>J.cena</t>
  </si>
  <si>
    <t xml:space="preserve">Jednotková cena položky. Zadaní může obsahovat namísto J.ceny sloupce J.materiál a J.montáž, jejichž součet definuje </t>
  </si>
  <si>
    <t>J.cenu položky.</t>
  </si>
  <si>
    <t xml:space="preserve">Cena celkem </t>
  </si>
  <si>
    <t>Celková cena položky daná jako součin množství a j.ceny</t>
  </si>
  <si>
    <t>Příslušnost položky do cenové soustavy</t>
  </si>
  <si>
    <t>Ke každé položce soupisu prací se na samostatných řádcích může zobrazovat:</t>
  </si>
  <si>
    <t>Plný popis položky</t>
  </si>
  <si>
    <t>Poznámka k souboru cen a poznámka zadavatele</t>
  </si>
  <si>
    <t>Výkaz výměr</t>
  </si>
  <si>
    <t>Pokud je k řádku výkazu výměr evidovaný údaj ve sloupci Kód, jedná se o definovaný odkaz, na který se může odvolávat výkaz výměr z jiné položky.</t>
  </si>
  <si>
    <t xml:space="preserve">Metodika pro zpracování </t>
  </si>
  <si>
    <t>Jednotlivé sestavy jsou v souboru provázány. Editovatelné pole jsou zvýrazněny žlutým podbarvením, ostatní pole neslouží k editaci a nesmí být jakkoliv</t>
  </si>
  <si>
    <t>modifikovány.</t>
  </si>
  <si>
    <t xml:space="preserve">Uchazeč je pro podání nabídky povinen vyplnit žlutě podbarvená pole: </t>
  </si>
  <si>
    <t xml:space="preserve">Pole Uchazeč v sestavě Rekapitulace stavby - zde uchazeč vyplní svůj název (název subjektu) </t>
  </si>
  <si>
    <t>Pole IČ a DIČ v sestavě Rekapitulace stavby - zde uchazeč vyplní svoje IČ a DIČ</t>
  </si>
  <si>
    <t>Datum v sestavě Rekapitulace stavby - zde uchazeč vyplní datum vytvoření nabídky</t>
  </si>
  <si>
    <t>J.cena = jednotková cena v sestavě Soupis prací o maximálním počtu desetinných míst uvedených v poli</t>
  </si>
  <si>
    <t>- pokud sestavy soupisů prací obsahují pole J.cena, měla by být všechna tato pole vyplněna nenulovými</t>
  </si>
  <si>
    <t>Poznámka - nepovinný údaj pro položku soupisu</t>
  </si>
  <si>
    <t>V případě, že sestavy soupisů prací neobsahují pole J.cena, potom ve všech soupisech prací obsahují pole:</t>
  </si>
  <si>
    <t xml:space="preserve"> - J.materiál - jednotková cena materiálu </t>
  </si>
  <si>
    <t xml:space="preserve"> - J.montáž - jednotková cena montáže</t>
  </si>
  <si>
    <t>Uchazeč v tomto případě by měl vyplnit všechna pole J.materiál a pole J.montáž nenulovými kladnými číslicemi. V případech, kdy položka</t>
  </si>
  <si>
    <t>neobsahuje žádný materiál je přípustné, aby pole J.materiál bylo vyplněno nulou. V případech, kdy položka neobsahuje žádnou montáž je přípustné,</t>
  </si>
  <si>
    <t>aby pole J.montáž bylo vyplněno nulou. Obě pole - J.materiál, J.Montáž u jedné položky by však neměly být vyplněny nulou.</t>
  </si>
  <si>
    <t>Rekapitulace stavby</t>
  </si>
  <si>
    <t>Název</t>
  </si>
  <si>
    <t>Povinný</t>
  </si>
  <si>
    <t>Max. počet</t>
  </si>
  <si>
    <t>atributu</t>
  </si>
  <si>
    <t>(A/N)</t>
  </si>
  <si>
    <t>znaků</t>
  </si>
  <si>
    <t>A</t>
  </si>
  <si>
    <t>Kód stavby</t>
  </si>
  <si>
    <t>String</t>
  </si>
  <si>
    <t>Stavba</t>
  </si>
  <si>
    <t>Název stavby</t>
  </si>
  <si>
    <t>Místo</t>
  </si>
  <si>
    <t>N</t>
  </si>
  <si>
    <t>Místo stavby</t>
  </si>
  <si>
    <t>Datum</t>
  </si>
  <si>
    <t>Datum vykonaného exportu</t>
  </si>
  <si>
    <t>Date</t>
  </si>
  <si>
    <t>KSO</t>
  </si>
  <si>
    <t>Klasifikace stavebního objektu</t>
  </si>
  <si>
    <t>CC-CZ</t>
  </si>
  <si>
    <t>Klasifikace stavbeních děl</t>
  </si>
  <si>
    <t>CZ-CPV</t>
  </si>
  <si>
    <t>Společný slovník pro veřejné zakázky</t>
  </si>
  <si>
    <t>CZ-CPA</t>
  </si>
  <si>
    <t>Klasifikace produkce podle činností</t>
  </si>
  <si>
    <t>Zadavatel</t>
  </si>
  <si>
    <t>Zadavatel zadaní</t>
  </si>
  <si>
    <t>IČ</t>
  </si>
  <si>
    <t>IČ zadavatele zadaní</t>
  </si>
  <si>
    <t>DIČ</t>
  </si>
  <si>
    <t>DIČ zadavatele zadaní</t>
  </si>
  <si>
    <t>Uchazeč</t>
  </si>
  <si>
    <t>Uchazeč veřejné zakázky</t>
  </si>
  <si>
    <t>Projektant</t>
  </si>
  <si>
    <t>Poznámka</t>
  </si>
  <si>
    <t>Poznámka k zadání</t>
  </si>
  <si>
    <t>Sazba DPH</t>
  </si>
  <si>
    <t>Rekapitulace sazeb DPH u položek soupisů</t>
  </si>
  <si>
    <t>eGSazbaDph</t>
  </si>
  <si>
    <t>Základna DPH</t>
  </si>
  <si>
    <t>Základna DPH určena součtem celkové ceny z položek soupisů</t>
  </si>
  <si>
    <t>Double</t>
  </si>
  <si>
    <t>Hodnota DPH</t>
  </si>
  <si>
    <t>Celková cena bez DPH za celou stavbu. Sčítává se ze všech listů.</t>
  </si>
  <si>
    <t>Celková cena s DPH za celou stavbu</t>
  </si>
  <si>
    <t>Rekapitulace objektů stavby a soupisů prací</t>
  </si>
  <si>
    <t>Přebírá se z Rekapitulace stavby</t>
  </si>
  <si>
    <t>Kód objektu</t>
  </si>
  <si>
    <t>Objektu, Soupis prací</t>
  </si>
  <si>
    <t>Název objektu</t>
  </si>
  <si>
    <t>Cena bez DPH za daný objekt</t>
  </si>
  <si>
    <t>Cena spolu s DPH za daný objekt</t>
  </si>
  <si>
    <t>Typ zakázky</t>
  </si>
  <si>
    <t>eGTypZakazky</t>
  </si>
  <si>
    <t>Krycí list soupisu</t>
  </si>
  <si>
    <t>Objekt</t>
  </si>
  <si>
    <t>Kód a název objektu</t>
  </si>
  <si>
    <t>20 + 120</t>
  </si>
  <si>
    <t>Kód a název soupisu</t>
  </si>
  <si>
    <t>Poznámka k soupisu prací</t>
  </si>
  <si>
    <t>Rekapitulace sazeb DPH na položkách aktuálního soupisu</t>
  </si>
  <si>
    <t>Základna DPH určena součtem celkové ceny z položek aktuálního soupisu</t>
  </si>
  <si>
    <t>Cena bez DPH za daný soupis</t>
  </si>
  <si>
    <t>Cena s DPH</t>
  </si>
  <si>
    <t>Cena s DPH za daný soupis</t>
  </si>
  <si>
    <t>Rekapitulace členění soupisu prací</t>
  </si>
  <si>
    <t>Kód a název objektu, přebírá se z Krycího listu soupisu</t>
  </si>
  <si>
    <t>Kód a název objektu, přebírá se z Krycího listu soupisu</t>
  </si>
  <si>
    <t>Kód a název dílu ze soupisu</t>
  </si>
  <si>
    <t>20 + 100</t>
  </si>
  <si>
    <t>Cena celkem</t>
  </si>
  <si>
    <t>Cena celkem za díl ze soupisu</t>
  </si>
  <si>
    <t>Soupis prací</t>
  </si>
  <si>
    <t>Přebírá se z Krycího listu soupisu</t>
  </si>
  <si>
    <t>Pořadové číslo položky soupisu</t>
  </si>
  <si>
    <t>Long</t>
  </si>
  <si>
    <t>Typ položky soupisu</t>
  </si>
  <si>
    <t>eGTypPolozky</t>
  </si>
  <si>
    <t>Kód položky ze soupisu</t>
  </si>
  <si>
    <t>Popis položky ze soupisu</t>
  </si>
  <si>
    <t>Množství položky soupisu</t>
  </si>
  <si>
    <t>J.Cena</t>
  </si>
  <si>
    <t>Jednotková cena položky</t>
  </si>
  <si>
    <t>Cena celkem vyčíslena jako J.Cena * Množství</t>
  </si>
  <si>
    <t>Zařazení položky do cenové soustavy</t>
  </si>
  <si>
    <t>p</t>
  </si>
  <si>
    <t>Poznámka položky ze soupisu</t>
  </si>
  <si>
    <t>Memo</t>
  </si>
  <si>
    <t>psc</t>
  </si>
  <si>
    <t>Poznámka k souboru cen ze soupisu</t>
  </si>
  <si>
    <t>pp</t>
  </si>
  <si>
    <t>Plný popis položky ze soupisu</t>
  </si>
  <si>
    <t>vv</t>
  </si>
  <si>
    <t>Výkaz výměr (figura, výraz, výměra) ze soupisu</t>
  </si>
  <si>
    <t>Text,Text,Double</t>
  </si>
  <si>
    <t>20, 150</t>
  </si>
  <si>
    <t>Sazba DPH pro položku</t>
  </si>
  <si>
    <t>eGSazbaDPH</t>
  </si>
  <si>
    <t>Hmotnost</t>
  </si>
  <si>
    <t>Hmotnost položky ze soupisu</t>
  </si>
  <si>
    <t>Suť</t>
  </si>
  <si>
    <t>Suť položky ze soupisu</t>
  </si>
  <si>
    <t>Nh</t>
  </si>
  <si>
    <t>Normohodiny položky ze soupisu</t>
  </si>
  <si>
    <t>Datová věta</t>
  </si>
  <si>
    <t>Typ věty</t>
  </si>
  <si>
    <t>Hodnota</t>
  </si>
  <si>
    <t>Význam</t>
  </si>
  <si>
    <t>Základní sazba DPH</t>
  </si>
  <si>
    <t>Snížená sazba DPH</t>
  </si>
  <si>
    <t>Nulová sazba DPH</t>
  </si>
  <si>
    <t>Základní sazba DPH přenesená</t>
  </si>
  <si>
    <t>Snížená sazba DPH přenesená</t>
  </si>
  <si>
    <t>Stavební objekt</t>
  </si>
  <si>
    <t>Inženýrský objekt</t>
  </si>
  <si>
    <t>Ostatní náklady</t>
  </si>
  <si>
    <t>Položka typu HSV</t>
  </si>
  <si>
    <t>Položka typu PSV</t>
  </si>
  <si>
    <t>Položka typu M</t>
  </si>
  <si>
    <t>Položka typu 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</si>
</sst>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dd\.mm\.yyyy"/>
    <numFmt numFmtId="166" formatCode="#,##0.00000"/>
    <numFmt numFmtId="167" formatCode="#,##0.000"/>
  </numFmts>
  <fonts count="52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505050"/>
      <name val="Arial CE"/>
    </font>
    <font>
      <sz val="8"/>
      <color rgb="FFFF0000"/>
      <name val="Arial CE"/>
    </font>
    <font>
      <sz val="8"/>
      <color rgb="FF800080"/>
      <name val="Arial CE"/>
    </font>
    <font>
      <i/>
      <sz val="8"/>
      <color rgb="FF003366"/>
      <name val="Arial CE"/>
    </font>
    <font>
      <sz val="8"/>
      <color rgb="FFFFFFFF"/>
      <name val="Arial CE"/>
    </font>
    <font>
      <sz val="8"/>
      <color rgb="FF3366FF"/>
      <name val="Arial CE"/>
    </font>
    <font>
      <b/>
      <sz val="14"/>
      <name val="Arial CE"/>
    </font>
    <font>
      <b/>
      <sz val="12"/>
      <color rgb="FF969696"/>
      <name val="Arial CE"/>
    </font>
    <font>
      <b/>
      <sz val="8"/>
      <color rgb="FF969696"/>
      <name val="Arial CE"/>
    </font>
    <font>
      <b/>
      <sz val="10"/>
      <name val="Arial CE"/>
    </font>
    <font>
      <b/>
      <sz val="10"/>
      <color rgb="FF96969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b/>
      <sz val="10"/>
      <color rgb="FF003366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79797"/>
      <name val="Arial CE"/>
    </font>
    <font>
      <i/>
      <u/>
      <sz val="7"/>
      <color rgb="FF979797"/>
      <name val="Calibri"/>
      <scheme val="minor"/>
    </font>
    <font>
      <sz val="7"/>
      <color rgb="FF969696"/>
      <name val="Arial CE"/>
    </font>
    <font>
      <i/>
      <sz val="7"/>
      <color rgb="FF969696"/>
      <name val="Arial CE"/>
    </font>
    <font>
      <i/>
      <sz val="9"/>
      <color rgb="FF0000FF"/>
      <name val="Arial CE"/>
    </font>
    <font>
      <i/>
      <sz val="8"/>
      <color rgb="FF0000FF"/>
      <name val="Arial CE"/>
    </font>
    <font>
      <sz val="8"/>
      <name val="Trebuchet MS"/>
      <charset val="238"/>
    </font>
    <font>
      <b/>
      <sz val="16"/>
      <name val="Trebuchet MS"/>
      <charset val="238"/>
    </font>
    <font>
      <b/>
      <sz val="11"/>
      <name val="Trebuchet MS"/>
      <charset val="238"/>
    </font>
    <font>
      <sz val="8"/>
      <name val="Arial CE"/>
      <charset val="238"/>
    </font>
    <font>
      <sz val="9"/>
      <name val="Trebuchet MS"/>
      <charset val="238"/>
    </font>
    <font>
      <sz val="10"/>
      <name val="Trebuchet MS"/>
      <charset val="238"/>
    </font>
    <font>
      <sz val="11"/>
      <name val="Trebuchet MS"/>
      <charset val="238"/>
    </font>
    <font>
      <b/>
      <sz val="9"/>
      <name val="Trebuchet MS"/>
      <charset val="238"/>
    </font>
    <font>
      <b/>
      <sz val="8"/>
      <name val="Arial CE"/>
      <charset val="238"/>
    </font>
    <font>
      <u/>
      <sz val="11"/>
      <color theme="10"/>
      <name val="Calibri"/>
      <scheme val="minor"/>
    </font>
    <font>
      <i/>
      <sz val="8"/>
      <name val="Arial CE"/>
      <charset val="238"/>
    </font>
  </fonts>
  <fills count="7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969696"/>
      </left>
      <right/>
      <top style="hair">
        <color rgb="FF969696"/>
      </top>
      <bottom/>
      <diagonal/>
    </border>
    <border>
      <left/>
      <right/>
      <top style="hair">
        <color rgb="FF969696"/>
      </top>
      <bottom/>
      <diagonal/>
    </border>
    <border>
      <left/>
      <right style="hair">
        <color rgb="FF969696"/>
      </right>
      <top style="hair">
        <color rgb="FF969696"/>
      </top>
      <bottom/>
      <diagonal/>
    </border>
    <border>
      <left style="hair">
        <color rgb="FF969696"/>
      </left>
      <right/>
      <top/>
      <bottom/>
      <diagonal/>
    </border>
    <border>
      <left/>
      <right style="hair">
        <color rgb="FF969696"/>
      </right>
      <top/>
      <bottom/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/>
      <bottom style="hair">
        <color rgb="FF969696"/>
      </bottom>
      <diagonal/>
    </border>
    <border>
      <left/>
      <right/>
      <top/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0" fillId="0" borderId="0" applyNumberFormat="0" applyFill="0" applyBorder="0" applyAlignment="0" applyProtection="0"/>
  </cellStyleXfs>
  <cellXfs count="33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2" fillId="3" borderId="0" xfId="0" applyFont="1" applyFill="1" applyAlignment="1" applyProtection="1">
      <alignment horizontal="left" vertical="center"/>
      <protection locked="0"/>
    </xf>
    <xf numFmtId="49" fontId="2" fillId="3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 wrapText="1"/>
    </xf>
    <xf numFmtId="0" fontId="0" fillId="0" borderId="5" xfId="0" applyBorder="1"/>
    <xf numFmtId="0" fontId="0" fillId="0" borderId="4" xfId="0" applyBorder="1" applyAlignment="1">
      <alignment vertical="center"/>
    </xf>
    <xf numFmtId="0" fontId="18" fillId="0" borderId="6" xfId="0" applyFont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0" fillId="4" borderId="0" xfId="0" applyFill="1" applyAlignment="1">
      <alignment vertical="center"/>
    </xf>
    <xf numFmtId="0" fontId="4" fillId="4" borderId="7" xfId="0" applyFont="1" applyFill="1" applyBorder="1" applyAlignment="1">
      <alignment horizontal="left" vertical="center"/>
    </xf>
    <xf numFmtId="0" fontId="0" fillId="4" borderId="8" xfId="0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21" fillId="0" borderId="0" xfId="0" applyFont="1" applyAlignment="1">
      <alignment horizontal="left" vertical="center"/>
    </xf>
    <xf numFmtId="0" fontId="0" fillId="0" borderId="16" xfId="0" applyBorder="1" applyAlignment="1">
      <alignment vertical="center"/>
    </xf>
    <xf numFmtId="0" fontId="0" fillId="5" borderId="8" xfId="0" applyFill="1" applyBorder="1" applyAlignment="1">
      <alignment vertical="center"/>
    </xf>
    <xf numFmtId="0" fontId="22" fillId="5" borderId="9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4" fillId="0" borderId="4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4" fontId="2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4" fontId="20" fillId="0" borderId="15" xfId="0" applyNumberFormat="1" applyFont="1" applyBorder="1" applyAlignment="1">
      <alignment vertical="center"/>
    </xf>
    <xf numFmtId="4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vertical="center"/>
    </xf>
    <xf numFmtId="4" fontId="20" fillId="0" borderId="1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1" applyFont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29" fillId="0" borderId="15" xfId="0" applyNumberFormat="1" applyFont="1" applyBorder="1" applyAlignment="1">
      <alignment vertical="center"/>
    </xf>
    <xf numFmtId="4" fontId="29" fillId="0" borderId="0" xfId="0" applyNumberFormat="1" applyFont="1" applyAlignment="1">
      <alignment vertical="center"/>
    </xf>
    <xf numFmtId="166" fontId="29" fillId="0" borderId="0" xfId="0" applyNumberFormat="1" applyFont="1" applyAlignment="1">
      <alignment vertical="center"/>
    </xf>
    <xf numFmtId="4" fontId="29" fillId="0" borderId="16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" fontId="1" fillId="0" borderId="15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4" fontId="1" fillId="0" borderId="16" xfId="0" applyNumberFormat="1" applyFont="1" applyBorder="1" applyAlignment="1">
      <alignment vertical="center"/>
    </xf>
    <xf numFmtId="4" fontId="29" fillId="0" borderId="20" xfId="0" applyNumberFormat="1" applyFont="1" applyBorder="1" applyAlignment="1">
      <alignment vertical="center"/>
    </xf>
    <xf numFmtId="4" fontId="29" fillId="0" borderId="21" xfId="0" applyNumberFormat="1" applyFont="1" applyBorder="1" applyAlignment="1">
      <alignment vertical="center"/>
    </xf>
    <xf numFmtId="166" fontId="29" fillId="0" borderId="21" xfId="0" applyNumberFormat="1" applyFont="1" applyBorder="1" applyAlignment="1">
      <alignment vertical="center"/>
    </xf>
    <xf numFmtId="4" fontId="29" fillId="0" borderId="22" xfId="0" applyNumberFormat="1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0" fontId="0" fillId="5" borderId="0" xfId="0" applyFill="1" applyAlignment="1">
      <alignment vertical="center"/>
    </xf>
    <xf numFmtId="0" fontId="4" fillId="5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right" vertical="center"/>
    </xf>
    <xf numFmtId="0" fontId="4" fillId="5" borderId="8" xfId="0" applyFont="1" applyFill="1" applyBorder="1" applyAlignment="1">
      <alignment horizontal="center" vertical="center"/>
    </xf>
    <xf numFmtId="4" fontId="4" fillId="5" borderId="8" xfId="0" applyNumberFormat="1" applyFont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22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/>
    </xf>
    <xf numFmtId="0" fontId="32" fillId="0" borderId="0" xfId="0" applyFont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vertical="center"/>
    </xf>
    <xf numFmtId="4" fontId="6" fillId="0" borderId="21" xfId="0" applyNumberFormat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1" xfId="0" applyFont="1" applyBorder="1" applyAlignment="1">
      <alignment horizontal="left" vertical="center"/>
    </xf>
    <xf numFmtId="0" fontId="7" fillId="0" borderId="21" xfId="0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22" fillId="5" borderId="17" xfId="0" applyFont="1" applyFill="1" applyBorder="1" applyAlignment="1">
      <alignment horizontal="center" vertical="center" wrapText="1"/>
    </xf>
    <xf numFmtId="0" fontId="22" fillId="5" borderId="18" xfId="0" applyFont="1" applyFill="1" applyBorder="1" applyAlignment="1">
      <alignment horizontal="center" vertical="center" wrapText="1"/>
    </xf>
    <xf numFmtId="0" fontId="22" fillId="5" borderId="19" xfId="0" applyFont="1" applyFill="1" applyBorder="1" applyAlignment="1">
      <alignment horizontal="center" vertical="center" wrapText="1"/>
    </xf>
    <xf numFmtId="4" fontId="24" fillId="0" borderId="0" xfId="0" applyNumberFormat="1" applyFont="1"/>
    <xf numFmtId="166" fontId="33" fillId="0" borderId="13" xfId="0" applyNumberFormat="1" applyFont="1" applyBorder="1"/>
    <xf numFmtId="166" fontId="33" fillId="0" borderId="14" xfId="0" applyNumberFormat="1" applyFont="1" applyBorder="1"/>
    <xf numFmtId="4" fontId="34" fillId="0" borderId="0" xfId="0" applyNumberFormat="1" applyFont="1" applyAlignment="1">
      <alignment vertical="center"/>
    </xf>
    <xf numFmtId="0" fontId="8" fillId="0" borderId="4" xfId="0" applyFont="1" applyBorder="1"/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Protection="1">
      <protection locked="0"/>
    </xf>
    <xf numFmtId="4" fontId="6" fillId="0" borderId="0" xfId="0" applyNumberFormat="1" applyFont="1"/>
    <xf numFmtId="0" fontId="8" fillId="0" borderId="15" xfId="0" applyFont="1" applyBorder="1"/>
    <xf numFmtId="166" fontId="8" fillId="0" borderId="0" xfId="0" applyNumberFormat="1" applyFont="1"/>
    <xf numFmtId="166" fontId="8" fillId="0" borderId="16" xfId="0" applyNumberFormat="1" applyFont="1" applyBorder="1"/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>
      <alignment horizontal="left"/>
    </xf>
    <xf numFmtId="4" fontId="7" fillId="0" borderId="0" xfId="0" applyNumberFormat="1" applyFont="1"/>
    <xf numFmtId="0" fontId="0" fillId="0" borderId="4" xfId="0" applyBorder="1" applyAlignment="1" applyProtection="1">
      <alignment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49" fontId="22" fillId="0" borderId="23" xfId="0" applyNumberFormat="1" applyFont="1" applyBorder="1" applyAlignment="1" applyProtection="1">
      <alignment horizontal="left" vertical="center" wrapText="1"/>
      <protection locked="0"/>
    </xf>
    <xf numFmtId="0" fontId="22" fillId="0" borderId="23" xfId="0" applyFont="1" applyBorder="1" applyAlignment="1" applyProtection="1">
      <alignment horizontal="left" vertical="center" wrapText="1"/>
      <protection locked="0"/>
    </xf>
    <xf numFmtId="0" fontId="22" fillId="0" borderId="23" xfId="0" applyFont="1" applyBorder="1" applyAlignment="1" applyProtection="1">
      <alignment horizontal="center" vertical="center" wrapText="1"/>
      <protection locked="0"/>
    </xf>
    <xf numFmtId="167" fontId="22" fillId="0" borderId="23" xfId="0" applyNumberFormat="1" applyFont="1" applyBorder="1" applyAlignment="1" applyProtection="1">
      <alignment vertical="center"/>
      <protection locked="0"/>
    </xf>
    <xf numFmtId="4" fontId="22" fillId="3" borderId="23" xfId="0" applyNumberFormat="1" applyFont="1" applyFill="1" applyBorder="1" applyAlignment="1" applyProtection="1">
      <alignment vertical="center"/>
      <protection locked="0"/>
    </xf>
    <xf numFmtId="4" fontId="22" fillId="0" borderId="23" xfId="0" applyNumberFormat="1" applyFont="1" applyBorder="1" applyAlignment="1" applyProtection="1">
      <alignment vertical="center"/>
      <protection locked="0"/>
    </xf>
    <xf numFmtId="0" fontId="23" fillId="3" borderId="15" xfId="0" applyFont="1" applyFill="1" applyBorder="1" applyAlignment="1" applyProtection="1">
      <alignment horizontal="left" vertical="center"/>
      <protection locked="0"/>
    </xf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vertical="center"/>
    </xf>
    <xf numFmtId="166" fontId="23" fillId="0" borderId="16" xfId="0" applyNumberFormat="1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0" fillId="0" borderId="0" xfId="0" applyNumberFormat="1" applyAlignment="1">
      <alignment vertical="center"/>
    </xf>
    <xf numFmtId="0" fontId="35" fillId="0" borderId="0" xfId="0" applyFont="1" applyAlignment="1">
      <alignment horizontal="left" vertical="center"/>
    </xf>
    <xf numFmtId="0" fontId="36" fillId="0" borderId="0" xfId="1" applyFont="1" applyAlignment="1">
      <alignment vertical="center" wrapText="1"/>
    </xf>
    <xf numFmtId="0" fontId="0" fillId="0" borderId="0" xfId="0" applyAlignment="1" applyProtection="1">
      <alignment vertical="center"/>
      <protection locked="0"/>
    </xf>
    <xf numFmtId="0" fontId="0" fillId="0" borderId="15" xfId="0" applyBorder="1" applyAlignment="1">
      <alignment vertical="center"/>
    </xf>
    <xf numFmtId="0" fontId="9" fillId="0" borderId="4" xfId="0" applyFont="1" applyBorder="1" applyAlignment="1">
      <alignment vertical="center"/>
    </xf>
    <xf numFmtId="0" fontId="3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67" fontId="9" fillId="0" borderId="0" xfId="0" applyNumberFormat="1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 applyProtection="1">
      <alignment vertical="center"/>
      <protection locked="0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38" fillId="0" borderId="0" xfId="0" applyFont="1" applyAlignment="1">
      <alignment vertical="center" wrapText="1"/>
    </xf>
    <xf numFmtId="0" fontId="39" fillId="0" borderId="23" xfId="0" applyFont="1" applyBorder="1" applyAlignment="1" applyProtection="1">
      <alignment horizontal="center" vertical="center"/>
      <protection locked="0"/>
    </xf>
    <xf numFmtId="49" fontId="39" fillId="0" borderId="23" xfId="0" applyNumberFormat="1" applyFont="1" applyBorder="1" applyAlignment="1" applyProtection="1">
      <alignment horizontal="left" vertical="center" wrapText="1"/>
      <protection locked="0"/>
    </xf>
    <xf numFmtId="0" fontId="39" fillId="0" borderId="23" xfId="0" applyFont="1" applyBorder="1" applyAlignment="1" applyProtection="1">
      <alignment horizontal="left" vertical="center" wrapText="1"/>
      <protection locked="0"/>
    </xf>
    <xf numFmtId="0" fontId="39" fillId="0" borderId="23" xfId="0" applyFont="1" applyBorder="1" applyAlignment="1" applyProtection="1">
      <alignment horizontal="center" vertical="center" wrapText="1"/>
      <protection locked="0"/>
    </xf>
    <xf numFmtId="167" fontId="39" fillId="0" borderId="23" xfId="0" applyNumberFormat="1" applyFont="1" applyBorder="1" applyAlignment="1" applyProtection="1">
      <alignment vertical="center"/>
      <protection locked="0"/>
    </xf>
    <xf numFmtId="4" fontId="39" fillId="3" borderId="23" xfId="0" applyNumberFormat="1" applyFont="1" applyFill="1" applyBorder="1" applyAlignment="1" applyProtection="1">
      <alignment vertical="center"/>
      <protection locked="0"/>
    </xf>
    <xf numFmtId="4" fontId="39" fillId="0" borderId="23" xfId="0" applyNumberFormat="1" applyFont="1" applyBorder="1" applyAlignment="1" applyProtection="1">
      <alignment vertical="center"/>
      <protection locked="0"/>
    </xf>
    <xf numFmtId="0" fontId="40" fillId="0" borderId="4" xfId="0" applyFont="1" applyBorder="1" applyAlignment="1">
      <alignment vertical="center"/>
    </xf>
    <xf numFmtId="0" fontId="39" fillId="3" borderId="15" xfId="0" applyFont="1" applyFill="1" applyBorder="1" applyAlignment="1" applyProtection="1">
      <alignment horizontal="left" vertical="center"/>
      <protection locked="0"/>
    </xf>
    <xf numFmtId="0" fontId="39" fillId="0" borderId="0" xfId="0" applyFont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23" fillId="3" borderId="20" xfId="0" applyFont="1" applyFill="1" applyBorder="1" applyAlignment="1" applyProtection="1">
      <alignment horizontal="left" vertical="center"/>
      <protection locked="0"/>
    </xf>
    <xf numFmtId="0" fontId="23" fillId="0" borderId="21" xfId="0" applyFont="1" applyBorder="1" applyAlignment="1">
      <alignment horizontal="center" vertical="center"/>
    </xf>
    <xf numFmtId="166" fontId="23" fillId="0" borderId="21" xfId="0" applyNumberFormat="1" applyFont="1" applyBorder="1" applyAlignment="1">
      <alignment vertical="center"/>
    </xf>
    <xf numFmtId="166" fontId="23" fillId="0" borderId="22" xfId="0" applyNumberFormat="1" applyFont="1" applyBorder="1" applyAlignment="1">
      <alignment vertical="center"/>
    </xf>
    <xf numFmtId="0" fontId="12" fillId="0" borderId="4" xfId="0" applyFont="1" applyBorder="1"/>
    <xf numFmtId="0" fontId="12" fillId="0" borderId="0" xfId="0" applyFont="1" applyAlignment="1">
      <alignment horizontal="left"/>
    </xf>
    <xf numFmtId="0" fontId="12" fillId="0" borderId="0" xfId="0" applyFont="1" applyProtection="1">
      <protection locked="0"/>
    </xf>
    <xf numFmtId="4" fontId="12" fillId="0" borderId="0" xfId="0" applyNumberFormat="1" applyFont="1"/>
    <xf numFmtId="0" fontId="12" fillId="0" borderId="15" xfId="0" applyFont="1" applyBorder="1"/>
    <xf numFmtId="166" fontId="12" fillId="0" borderId="0" xfId="0" applyNumberFormat="1" applyFont="1"/>
    <xf numFmtId="166" fontId="12" fillId="0" borderId="16" xfId="0" applyNumberFormat="1" applyFont="1" applyBorder="1"/>
    <xf numFmtId="0" fontId="12" fillId="0" borderId="0" xfId="0" applyFont="1" applyAlignment="1">
      <alignment horizontal="center"/>
    </xf>
    <xf numFmtId="4" fontId="12" fillId="0" borderId="0" xfId="0" applyNumberFormat="1" applyFont="1" applyAlignment="1">
      <alignment vertical="center"/>
    </xf>
    <xf numFmtId="0" fontId="0" fillId="0" borderId="0" xfId="0" applyAlignment="1">
      <alignment vertical="top"/>
    </xf>
    <xf numFmtId="0" fontId="41" fillId="0" borderId="24" xfId="0" applyFont="1" applyBorder="1" applyAlignment="1">
      <alignment vertical="center" wrapText="1"/>
    </xf>
    <xf numFmtId="0" fontId="41" fillId="0" borderId="25" xfId="0" applyFont="1" applyBorder="1" applyAlignment="1">
      <alignment vertical="center" wrapText="1"/>
    </xf>
    <xf numFmtId="0" fontId="41" fillId="0" borderId="26" xfId="0" applyFont="1" applyBorder="1" applyAlignment="1">
      <alignment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28" xfId="0" applyFont="1" applyBorder="1" applyAlignment="1">
      <alignment horizontal="center" vertical="center" wrapText="1"/>
    </xf>
    <xf numFmtId="0" fontId="41" fillId="0" borderId="27" xfId="0" applyFont="1" applyBorder="1" applyAlignment="1">
      <alignment vertical="center" wrapText="1"/>
    </xf>
    <xf numFmtId="0" fontId="41" fillId="0" borderId="28" xfId="0" applyFont="1" applyBorder="1" applyAlignment="1">
      <alignment vertical="center" wrapText="1"/>
    </xf>
    <xf numFmtId="0" fontId="43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5" fillId="0" borderId="27" xfId="0" applyFont="1" applyBorder="1" applyAlignment="1">
      <alignment vertical="center" wrapText="1"/>
    </xf>
    <xf numFmtId="0" fontId="44" fillId="0" borderId="1" xfId="0" applyFont="1" applyBorder="1" applyAlignment="1">
      <alignment vertical="center" wrapText="1"/>
    </xf>
    <xf numFmtId="0" fontId="44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vertical="center"/>
    </xf>
    <xf numFmtId="49" fontId="44" fillId="0" borderId="1" xfId="0" applyNumberFormat="1" applyFont="1" applyBorder="1" applyAlignment="1">
      <alignment vertical="center" wrapText="1"/>
    </xf>
    <xf numFmtId="0" fontId="41" fillId="0" borderId="30" xfId="0" applyFont="1" applyBorder="1" applyAlignment="1">
      <alignment vertical="center" wrapText="1"/>
    </xf>
    <xf numFmtId="0" fontId="46" fillId="0" borderId="29" xfId="0" applyFont="1" applyBorder="1" applyAlignment="1">
      <alignment vertical="center" wrapText="1"/>
    </xf>
    <xf numFmtId="0" fontId="41" fillId="0" borderId="31" xfId="0" applyFont="1" applyBorder="1" applyAlignment="1">
      <alignment vertical="center" wrapText="1"/>
    </xf>
    <xf numFmtId="0" fontId="41" fillId="0" borderId="1" xfId="0" applyFont="1" applyBorder="1" applyAlignment="1">
      <alignment vertical="top"/>
    </xf>
    <xf numFmtId="0" fontId="41" fillId="0" borderId="0" xfId="0" applyFont="1" applyAlignment="1">
      <alignment vertical="top"/>
    </xf>
    <xf numFmtId="0" fontId="41" fillId="0" borderId="24" xfId="0" applyFont="1" applyBorder="1" applyAlignment="1">
      <alignment horizontal="left" vertical="center"/>
    </xf>
    <xf numFmtId="0" fontId="41" fillId="0" borderId="25" xfId="0" applyFont="1" applyBorder="1" applyAlignment="1">
      <alignment horizontal="left" vertical="center"/>
    </xf>
    <xf numFmtId="0" fontId="41" fillId="0" borderId="26" xfId="0" applyFont="1" applyBorder="1" applyAlignment="1">
      <alignment horizontal="left" vertical="center"/>
    </xf>
    <xf numFmtId="0" fontId="41" fillId="0" borderId="27" xfId="0" applyFont="1" applyBorder="1" applyAlignment="1">
      <alignment horizontal="left" vertical="center"/>
    </xf>
    <xf numFmtId="0" fontId="41" fillId="0" borderId="28" xfId="0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3" fillId="0" borderId="29" xfId="0" applyFont="1" applyBorder="1" applyAlignment="1">
      <alignment horizontal="left" vertical="center"/>
    </xf>
    <xf numFmtId="0" fontId="43" fillId="0" borderId="29" xfId="0" applyFont="1" applyBorder="1" applyAlignment="1">
      <alignment horizontal="center" vertical="center"/>
    </xf>
    <xf numFmtId="0" fontId="47" fillId="0" borderId="29" xfId="0" applyFont="1" applyBorder="1" applyAlignment="1">
      <alignment horizontal="left" vertical="center"/>
    </xf>
    <xf numFmtId="0" fontId="48" fillId="0" borderId="1" xfId="0" applyFont="1" applyBorder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9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5" fillId="0" borderId="27" xfId="0" applyFont="1" applyBorder="1" applyAlignment="1">
      <alignment horizontal="left" vertical="center"/>
    </xf>
    <xf numFmtId="0" fontId="41" fillId="0" borderId="30" xfId="0" applyFont="1" applyBorder="1" applyAlignment="1">
      <alignment horizontal="left" vertical="center"/>
    </xf>
    <xf numFmtId="0" fontId="46" fillId="0" borderId="29" xfId="0" applyFont="1" applyBorder="1" applyAlignment="1">
      <alignment horizontal="left" vertical="center"/>
    </xf>
    <xf numFmtId="0" fontId="41" fillId="0" borderId="31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left" vertical="center"/>
    </xf>
    <xf numFmtId="0" fontId="45" fillId="0" borderId="29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center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0" borderId="25" xfId="0" applyFont="1" applyBorder="1" applyAlignment="1">
      <alignment horizontal="left" vertical="center" wrapText="1"/>
    </xf>
    <xf numFmtId="0" fontId="41" fillId="0" borderId="26" xfId="0" applyFont="1" applyBorder="1" applyAlignment="1">
      <alignment horizontal="left" vertical="center" wrapText="1"/>
    </xf>
    <xf numFmtId="0" fontId="41" fillId="0" borderId="27" xfId="0" applyFont="1" applyBorder="1" applyAlignment="1">
      <alignment horizontal="left" vertical="center" wrapText="1"/>
    </xf>
    <xf numFmtId="0" fontId="41" fillId="0" borderId="28" xfId="0" applyFont="1" applyBorder="1" applyAlignment="1">
      <alignment horizontal="left" vertical="center" wrapText="1"/>
    </xf>
    <xf numFmtId="0" fontId="47" fillId="0" borderId="27" xfId="0" applyFont="1" applyBorder="1" applyAlignment="1">
      <alignment horizontal="left" vertical="center" wrapText="1"/>
    </xf>
    <xf numFmtId="0" fontId="47" fillId="0" borderId="28" xfId="0" applyFont="1" applyBorder="1" applyAlignment="1">
      <alignment horizontal="left" vertical="center" wrapText="1"/>
    </xf>
    <xf numFmtId="0" fontId="45" fillId="0" borderId="27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/>
    </xf>
    <xf numFmtId="0" fontId="45" fillId="0" borderId="28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left" vertical="center"/>
    </xf>
    <xf numFmtId="0" fontId="45" fillId="0" borderId="30" xfId="0" applyFont="1" applyBorder="1" applyAlignment="1">
      <alignment horizontal="left" vertical="center" wrapText="1"/>
    </xf>
    <xf numFmtId="0" fontId="45" fillId="0" borderId="29" xfId="0" applyFont="1" applyBorder="1" applyAlignment="1">
      <alignment horizontal="left" vertical="center" wrapText="1"/>
    </xf>
    <xf numFmtId="0" fontId="45" fillId="0" borderId="3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top"/>
    </xf>
    <xf numFmtId="0" fontId="44" fillId="0" borderId="1" xfId="0" applyFont="1" applyBorder="1" applyAlignment="1">
      <alignment horizontal="center" vertical="top"/>
    </xf>
    <xf numFmtId="0" fontId="45" fillId="0" borderId="30" xfId="0" applyFont="1" applyBorder="1" applyAlignment="1">
      <alignment horizontal="left" vertical="center"/>
    </xf>
    <xf numFmtId="0" fontId="45" fillId="0" borderId="31" xfId="0" applyFont="1" applyBorder="1" applyAlignment="1">
      <alignment horizontal="left" vertical="center"/>
    </xf>
    <xf numFmtId="0" fontId="45" fillId="0" borderId="1" xfId="0" applyFont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43" fillId="0" borderId="1" xfId="0" applyFont="1" applyBorder="1" applyAlignment="1">
      <alignment vertical="center"/>
    </xf>
    <xf numFmtId="0" fontId="47" fillId="0" borderId="29" xfId="0" applyFont="1" applyBorder="1" applyAlignment="1">
      <alignment vertical="center"/>
    </xf>
    <xf numFmtId="0" fontId="43" fillId="0" borderId="29" xfId="0" applyFont="1" applyBorder="1" applyAlignment="1">
      <alignment vertical="center"/>
    </xf>
    <xf numFmtId="0" fontId="44" fillId="0" borderId="1" xfId="0" applyFont="1" applyBorder="1" applyAlignment="1">
      <alignment vertical="top"/>
    </xf>
    <xf numFmtId="49" fontId="44" fillId="0" borderId="1" xfId="0" applyNumberFormat="1" applyFont="1" applyBorder="1" applyAlignment="1">
      <alignment horizontal="left" vertical="center"/>
    </xf>
    <xf numFmtId="0" fontId="0" fillId="0" borderId="29" xfId="0" applyBorder="1" applyAlignment="1">
      <alignment vertical="top"/>
    </xf>
    <xf numFmtId="0" fontId="43" fillId="0" borderId="29" xfId="0" applyFont="1" applyBorder="1" applyAlignment="1">
      <alignment horizontal="left"/>
    </xf>
    <xf numFmtId="0" fontId="47" fillId="0" borderId="29" xfId="0" applyFont="1" applyBorder="1"/>
    <xf numFmtId="0" fontId="41" fillId="0" borderId="27" xfId="0" applyFont="1" applyBorder="1" applyAlignment="1">
      <alignment vertical="top"/>
    </xf>
    <xf numFmtId="0" fontId="41" fillId="0" borderId="28" xfId="0" applyFont="1" applyBorder="1" applyAlignment="1">
      <alignment vertical="top"/>
    </xf>
    <xf numFmtId="0" fontId="41" fillId="0" borderId="30" xfId="0" applyFont="1" applyBorder="1" applyAlignment="1">
      <alignment vertical="top"/>
    </xf>
    <xf numFmtId="0" fontId="41" fillId="0" borderId="29" xfId="0" applyFont="1" applyBorder="1" applyAlignment="1">
      <alignment vertical="top"/>
    </xf>
    <xf numFmtId="0" fontId="41" fillId="0" borderId="31" xfId="0" applyFont="1" applyBorder="1" applyAlignment="1">
      <alignment vertical="top"/>
    </xf>
    <xf numFmtId="0" fontId="22" fillId="5" borderId="7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22" fillId="5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4" fontId="24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 vertical="top" wrapText="1"/>
    </xf>
    <xf numFmtId="49" fontId="2" fillId="3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" fontId="18" fillId="0" borderId="6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0" xfId="0" applyFont="1" applyAlignment="1">
      <alignment horizontal="right" vertical="center"/>
    </xf>
    <xf numFmtId="4" fontId="19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4" fontId="4" fillId="4" borderId="8" xfId="0" applyNumberFormat="1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4" fillId="4" borderId="8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4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22" fillId="5" borderId="8" xfId="0" applyFont="1" applyFill="1" applyBorder="1" applyAlignment="1">
      <alignment horizontal="right" vertical="center"/>
    </xf>
    <xf numFmtId="4" fontId="28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4" fontId="24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3" borderId="0" xfId="0" applyFont="1" applyFill="1" applyAlignment="1" applyProtection="1">
      <alignment horizontal="left" vertical="center"/>
      <protection locked="0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29" xfId="0" applyFont="1" applyBorder="1" applyAlignment="1">
      <alignment horizontal="left"/>
    </xf>
    <xf numFmtId="0" fontId="44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top"/>
    </xf>
    <xf numFmtId="0" fontId="44" fillId="0" borderId="1" xfId="0" applyFont="1" applyBorder="1" applyAlignment="1">
      <alignment horizontal="left" vertical="center" wrapText="1"/>
    </xf>
    <xf numFmtId="0" fontId="43" fillId="0" borderId="29" xfId="0" applyFont="1" applyBorder="1" applyAlignment="1">
      <alignment horizontal="left" wrapText="1"/>
    </xf>
    <xf numFmtId="49" fontId="44" fillId="0" borderId="1" xfId="0" applyNumberFormat="1" applyFont="1" applyBorder="1" applyAlignment="1">
      <alignment horizontal="left" vertical="center" wrapText="1"/>
    </xf>
    <xf numFmtId="14" fontId="2" fillId="3" borderId="0" xfId="0" applyNumberFormat="1" applyFont="1" applyFill="1" applyAlignment="1" applyProtection="1">
      <alignment horizontal="left" vertical="center"/>
      <protection locked="0"/>
    </xf>
    <xf numFmtId="0" fontId="22" fillId="6" borderId="23" xfId="0" applyFont="1" applyFill="1" applyBorder="1" applyAlignment="1" applyProtection="1">
      <alignment horizontal="center" vertical="center"/>
      <protection locked="0"/>
    </xf>
    <xf numFmtId="49" fontId="22" fillId="6" borderId="23" xfId="0" applyNumberFormat="1" applyFont="1" applyFill="1" applyBorder="1" applyAlignment="1" applyProtection="1">
      <alignment horizontal="left" vertical="center" wrapText="1"/>
      <protection locked="0"/>
    </xf>
    <xf numFmtId="0" fontId="22" fillId="6" borderId="23" xfId="0" applyFont="1" applyFill="1" applyBorder="1" applyAlignment="1" applyProtection="1">
      <alignment horizontal="left" vertical="center" wrapText="1"/>
      <protection locked="0"/>
    </xf>
    <xf numFmtId="0" fontId="22" fillId="6" borderId="23" xfId="0" applyFont="1" applyFill="1" applyBorder="1" applyAlignment="1" applyProtection="1">
      <alignment horizontal="center" vertical="center" wrapText="1"/>
      <protection locked="0"/>
    </xf>
    <xf numFmtId="167" fontId="22" fillId="6" borderId="23" xfId="0" applyNumberFormat="1" applyFont="1" applyFill="1" applyBorder="1" applyAlignment="1" applyProtection="1">
      <alignment vertical="center"/>
      <protection locked="0"/>
    </xf>
  </cellXfs>
  <cellStyles count="2">
    <cellStyle name="Hypertextový odkaz" xfId="1" builtinId="8"/>
    <cellStyle name="Normální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rs.cz/software-a-data/kros-4-ocenovani-a-rizeni-stavebni-vyroby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rs.cz/software-a-data/kros-4-ocenovani-a-rizeni-stavebni-vyroby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rs.cz/software-a-data/kros-4-ocenovani-a-rizeni-stavebni-vyroby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rs.cz/software-a-data/kros-4-ocenovani-a-rizeni-stavebni-vyroby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rs.cz/software-a-data/kros-4-ocenovani-a-rizeni-stavebni-vyroby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rs.cz/software-a-data/kros-4-ocenovani-a-rizeni-stavebni-vyroby/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rs.cz/software-a-data/kros-4-ocenovani-a-rizeni-stavebni-vyroby/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rs.cz/software-a-data/kros-4-ocenovani-a-rizeni-stavebni-vyroby/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rs.cz/software-a-data/kros-4-ocenovani-a-rizeni-stavebni-vyroby/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rs.cz/software-a-data/kros-4-ocenovani-a-rizeni-stavebni-vyroby/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rs.cz/software-a-data/kros-4-ocenovani-a-rizeni-stavebni-vyroby/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urs.cz/software-a-data/kros-4-ocenovani-a-rizeni-stavebni-vyroby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odminky.urs.cz/item/CS_URS_2023_01/274321511" TargetMode="External"/><Relationship Id="rId18" Type="http://schemas.openxmlformats.org/officeDocument/2006/relationships/hyperlink" Target="https://podminky.urs.cz/item/CS_URS_2023_02/279113141" TargetMode="External"/><Relationship Id="rId26" Type="http://schemas.openxmlformats.org/officeDocument/2006/relationships/hyperlink" Target="https://podminky.urs.cz/item/CS_URS_2023_01/327361006" TargetMode="External"/><Relationship Id="rId39" Type="http://schemas.openxmlformats.org/officeDocument/2006/relationships/hyperlink" Target="https://podminky.urs.cz/item/CS_URS_2023_02/634111116" TargetMode="External"/><Relationship Id="rId21" Type="http://schemas.openxmlformats.org/officeDocument/2006/relationships/hyperlink" Target="https://podminky.urs.cz/item/CS_URS_2023_01/279361821" TargetMode="External"/><Relationship Id="rId34" Type="http://schemas.openxmlformats.org/officeDocument/2006/relationships/hyperlink" Target="https://podminky.urs.cz/item/CS_URS_2023_01/631319013" TargetMode="External"/><Relationship Id="rId42" Type="http://schemas.openxmlformats.org/officeDocument/2006/relationships/hyperlink" Target="https://podminky.urs.cz/item/CS_URS_2023_02/961055111" TargetMode="External"/><Relationship Id="rId47" Type="http://schemas.openxmlformats.org/officeDocument/2006/relationships/hyperlink" Target="https://podminky.urs.cz/item/CS_URS_2023_01/998011002" TargetMode="External"/><Relationship Id="rId50" Type="http://schemas.openxmlformats.org/officeDocument/2006/relationships/hyperlink" Target="https://podminky.urs.cz/item/CS_URS_2023_01/711491172" TargetMode="External"/><Relationship Id="rId55" Type="http://schemas.openxmlformats.org/officeDocument/2006/relationships/hyperlink" Target="https://podminky.urs.cz/item/CS_URS_2023_02/998713101" TargetMode="External"/><Relationship Id="rId63" Type="http://schemas.openxmlformats.org/officeDocument/2006/relationships/hyperlink" Target="https://podminky.urs.cz/item/CS_URS_2023_02/783826401" TargetMode="External"/><Relationship Id="rId7" Type="http://schemas.openxmlformats.org/officeDocument/2006/relationships/hyperlink" Target="https://podminky.urs.cz/item/CS_URS_2023_02/271532211" TargetMode="External"/><Relationship Id="rId2" Type="http://schemas.openxmlformats.org/officeDocument/2006/relationships/hyperlink" Target="https://podminky.urs.cz/item/CS_URS_2023_01/162751117" TargetMode="External"/><Relationship Id="rId16" Type="http://schemas.openxmlformats.org/officeDocument/2006/relationships/hyperlink" Target="https://podminky.urs.cz/item/CS_URS_2023_01/274361821" TargetMode="External"/><Relationship Id="rId20" Type="http://schemas.openxmlformats.org/officeDocument/2006/relationships/hyperlink" Target="https://podminky.urs.cz/item/CS_URS_2023_01/279113145" TargetMode="External"/><Relationship Id="rId29" Type="http://schemas.openxmlformats.org/officeDocument/2006/relationships/hyperlink" Target="https://podminky.urs.cz/item/CS_URS_2023_01/622142001" TargetMode="External"/><Relationship Id="rId41" Type="http://schemas.openxmlformats.org/officeDocument/2006/relationships/hyperlink" Target="https://podminky.urs.cz/item/CS_URS_2023_01/949101112" TargetMode="External"/><Relationship Id="rId54" Type="http://schemas.openxmlformats.org/officeDocument/2006/relationships/hyperlink" Target="https://podminky.urs.cz/item/CS_URS_2023_01/713131143" TargetMode="External"/><Relationship Id="rId62" Type="http://schemas.openxmlformats.org/officeDocument/2006/relationships/hyperlink" Target="https://podminky.urs.cz/item/CS_URS_2023_02/783823135" TargetMode="External"/><Relationship Id="rId1" Type="http://schemas.openxmlformats.org/officeDocument/2006/relationships/hyperlink" Target="https://podminky.urs.cz/item/CS_URS_2023_02/132251254" TargetMode="External"/><Relationship Id="rId6" Type="http://schemas.openxmlformats.org/officeDocument/2006/relationships/hyperlink" Target="https://podminky.urs.cz/item/CS_URS_2023_02/212752102" TargetMode="External"/><Relationship Id="rId11" Type="http://schemas.openxmlformats.org/officeDocument/2006/relationships/hyperlink" Target="https://podminky.urs.cz/item/CS_URS_2023_01/273361821" TargetMode="External"/><Relationship Id="rId24" Type="http://schemas.openxmlformats.org/officeDocument/2006/relationships/hyperlink" Target="https://podminky.urs.cz/item/CS_URS_2023_01/327351211" TargetMode="External"/><Relationship Id="rId32" Type="http://schemas.openxmlformats.org/officeDocument/2006/relationships/hyperlink" Target="https://podminky.urs.cz/item/CS_URS_2023_01/622531012" TargetMode="External"/><Relationship Id="rId37" Type="http://schemas.openxmlformats.org/officeDocument/2006/relationships/hyperlink" Target="https://podminky.urs.cz/item/CS_URS_2023_01/631362021" TargetMode="External"/><Relationship Id="rId40" Type="http://schemas.openxmlformats.org/officeDocument/2006/relationships/hyperlink" Target="https://podminky.urs.cz/item/CS_URS_2023_02/935112111" TargetMode="External"/><Relationship Id="rId45" Type="http://schemas.openxmlformats.org/officeDocument/2006/relationships/hyperlink" Target="https://podminky.urs.cz/item/CS_URS_2023_02/997013509" TargetMode="External"/><Relationship Id="rId53" Type="http://schemas.openxmlformats.org/officeDocument/2006/relationships/hyperlink" Target="https://podminky.urs.cz/item/CS_URS_2023_02/713121111" TargetMode="External"/><Relationship Id="rId58" Type="http://schemas.openxmlformats.org/officeDocument/2006/relationships/hyperlink" Target="https://podminky.urs.cz/item/CS_URS_2023_02/781111011" TargetMode="External"/><Relationship Id="rId5" Type="http://schemas.openxmlformats.org/officeDocument/2006/relationships/hyperlink" Target="https://podminky.urs.cz/item/CS_URS_2023_02/174151101" TargetMode="External"/><Relationship Id="rId15" Type="http://schemas.openxmlformats.org/officeDocument/2006/relationships/hyperlink" Target="https://podminky.urs.cz/item/CS_URS_2023_02/274351122" TargetMode="External"/><Relationship Id="rId23" Type="http://schemas.openxmlformats.org/officeDocument/2006/relationships/hyperlink" Target="https://podminky.urs.cz/item/CS_URS_2023_02/327324128" TargetMode="External"/><Relationship Id="rId28" Type="http://schemas.openxmlformats.org/officeDocument/2006/relationships/hyperlink" Target="https://podminky.urs.cz/item/CS_URS_2023_02/342244221" TargetMode="External"/><Relationship Id="rId36" Type="http://schemas.openxmlformats.org/officeDocument/2006/relationships/hyperlink" Target="https://podminky.urs.cz/item/CS_URS_2023_01/631319206" TargetMode="External"/><Relationship Id="rId49" Type="http://schemas.openxmlformats.org/officeDocument/2006/relationships/hyperlink" Target="https://podminky.urs.cz/item/CS_URS_2023_02/711141559" TargetMode="External"/><Relationship Id="rId57" Type="http://schemas.openxmlformats.org/officeDocument/2006/relationships/hyperlink" Target="https://podminky.urs.cz/item/CS_URS_2023_02/998767101" TargetMode="External"/><Relationship Id="rId61" Type="http://schemas.openxmlformats.org/officeDocument/2006/relationships/hyperlink" Target="https://podminky.urs.cz/item/CS_URS_2023_02/998781101" TargetMode="External"/><Relationship Id="rId10" Type="http://schemas.openxmlformats.org/officeDocument/2006/relationships/hyperlink" Target="https://podminky.urs.cz/item/CS_URS_2023_01/273351122" TargetMode="External"/><Relationship Id="rId19" Type="http://schemas.openxmlformats.org/officeDocument/2006/relationships/hyperlink" Target="https://podminky.urs.cz/item/CS_URS_2023_01/279113144" TargetMode="External"/><Relationship Id="rId31" Type="http://schemas.openxmlformats.org/officeDocument/2006/relationships/hyperlink" Target="https://podminky.urs.cz/item/CS_URS_2023_02/622323111" TargetMode="External"/><Relationship Id="rId44" Type="http://schemas.openxmlformats.org/officeDocument/2006/relationships/hyperlink" Target="https://podminky.urs.cz/item/CS_URS_2023_02/997013501" TargetMode="External"/><Relationship Id="rId52" Type="http://schemas.openxmlformats.org/officeDocument/2006/relationships/hyperlink" Target="https://podminky.urs.cz/item/CS_URS_2023_01/998711102" TargetMode="External"/><Relationship Id="rId60" Type="http://schemas.openxmlformats.org/officeDocument/2006/relationships/hyperlink" Target="https://podminky.urs.cz/item/CS_URS_2023_02/781571141" TargetMode="External"/><Relationship Id="rId65" Type="http://schemas.openxmlformats.org/officeDocument/2006/relationships/drawing" Target="../drawings/drawing2.xml"/><Relationship Id="rId4" Type="http://schemas.openxmlformats.org/officeDocument/2006/relationships/hyperlink" Target="https://podminky.urs.cz/item/CS_URS_2023_01/171201231" TargetMode="External"/><Relationship Id="rId9" Type="http://schemas.openxmlformats.org/officeDocument/2006/relationships/hyperlink" Target="https://podminky.urs.cz/item/CS_URS_2023_01/273351121" TargetMode="External"/><Relationship Id="rId14" Type="http://schemas.openxmlformats.org/officeDocument/2006/relationships/hyperlink" Target="https://podminky.urs.cz/item/CS_URS_2023_02/274351121" TargetMode="External"/><Relationship Id="rId22" Type="http://schemas.openxmlformats.org/officeDocument/2006/relationships/hyperlink" Target="https://podminky.urs.cz/item/CS_URS_2023_02/327324127" TargetMode="External"/><Relationship Id="rId27" Type="http://schemas.openxmlformats.org/officeDocument/2006/relationships/hyperlink" Target="https://podminky.urs.cz/item/CS_URS_2023_02/327361040" TargetMode="External"/><Relationship Id="rId30" Type="http://schemas.openxmlformats.org/officeDocument/2006/relationships/hyperlink" Target="https://podminky.urs.cz/item/CS_URS_2023_02/622311131" TargetMode="External"/><Relationship Id="rId35" Type="http://schemas.openxmlformats.org/officeDocument/2006/relationships/hyperlink" Target="https://podminky.urs.cz/item/CS_URS_2023_01/631319175" TargetMode="External"/><Relationship Id="rId43" Type="http://schemas.openxmlformats.org/officeDocument/2006/relationships/hyperlink" Target="https://podminky.urs.cz/item/CS_URS_2023_02/997013111" TargetMode="External"/><Relationship Id="rId48" Type="http://schemas.openxmlformats.org/officeDocument/2006/relationships/hyperlink" Target="https://podminky.urs.cz/item/CS_URS_2023_02/711111002" TargetMode="External"/><Relationship Id="rId56" Type="http://schemas.openxmlformats.org/officeDocument/2006/relationships/hyperlink" Target="https://podminky.urs.cz/item/CS_URS_2023_02/998764101" TargetMode="External"/><Relationship Id="rId64" Type="http://schemas.openxmlformats.org/officeDocument/2006/relationships/hyperlink" Target="https://podminky.urs.cz/item/CS_URS_2023_02/783827125" TargetMode="External"/><Relationship Id="rId8" Type="http://schemas.openxmlformats.org/officeDocument/2006/relationships/hyperlink" Target="https://podminky.urs.cz/item/CS_URS_2023_01/273321511" TargetMode="External"/><Relationship Id="rId51" Type="http://schemas.openxmlformats.org/officeDocument/2006/relationships/hyperlink" Target="https://podminky.urs.cz/item/CS_URS_2023_02/711741567" TargetMode="External"/><Relationship Id="rId3" Type="http://schemas.openxmlformats.org/officeDocument/2006/relationships/hyperlink" Target="https://podminky.urs.cz/item/CS_URS_2023_01/162751119" TargetMode="External"/><Relationship Id="rId12" Type="http://schemas.openxmlformats.org/officeDocument/2006/relationships/hyperlink" Target="https://podminky.urs.cz/item/CS_URS_2023_02/273362021" TargetMode="External"/><Relationship Id="rId17" Type="http://schemas.openxmlformats.org/officeDocument/2006/relationships/hyperlink" Target="https://podminky.urs.cz/item/CS_URS_2023_02/274362021" TargetMode="External"/><Relationship Id="rId25" Type="http://schemas.openxmlformats.org/officeDocument/2006/relationships/hyperlink" Target="https://podminky.urs.cz/item/CS_URS_2023_01/327351221" TargetMode="External"/><Relationship Id="rId33" Type="http://schemas.openxmlformats.org/officeDocument/2006/relationships/hyperlink" Target="https://podminky.urs.cz/item/CS_URS_2023_02/631311136" TargetMode="External"/><Relationship Id="rId38" Type="http://schemas.openxmlformats.org/officeDocument/2006/relationships/hyperlink" Target="https://podminky.urs.cz/item/CS_URS_2023_02/632481213" TargetMode="External"/><Relationship Id="rId46" Type="http://schemas.openxmlformats.org/officeDocument/2006/relationships/hyperlink" Target="https://podminky.urs.cz/item/CS_URS_2023_02/997013602" TargetMode="External"/><Relationship Id="rId59" Type="http://schemas.openxmlformats.org/officeDocument/2006/relationships/hyperlink" Target="https://podminky.urs.cz/item/CS_URS_2023_02/78112101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podminky.urs.cz/item/CS_URS_2023_02/181951111" TargetMode="External"/><Relationship Id="rId13" Type="http://schemas.openxmlformats.org/officeDocument/2006/relationships/hyperlink" Target="https://podminky.urs.cz/item/CS_URS_2023_02/949101112" TargetMode="External"/><Relationship Id="rId18" Type="http://schemas.openxmlformats.org/officeDocument/2006/relationships/drawing" Target="../drawings/drawing7.xml"/><Relationship Id="rId3" Type="http://schemas.openxmlformats.org/officeDocument/2006/relationships/hyperlink" Target="https://podminky.urs.cz/item/CS_URS_2023_01/162751119" TargetMode="External"/><Relationship Id="rId7" Type="http://schemas.openxmlformats.org/officeDocument/2006/relationships/hyperlink" Target="https://podminky.urs.cz/item/CS_URS_2023_02/181411131" TargetMode="External"/><Relationship Id="rId12" Type="http://schemas.openxmlformats.org/officeDocument/2006/relationships/hyperlink" Target="https://podminky.urs.cz/item/CS_URS_2023_01/275361821" TargetMode="External"/><Relationship Id="rId17" Type="http://schemas.openxmlformats.org/officeDocument/2006/relationships/hyperlink" Target="https://podminky.urs.cz/item/CS_URS_2023_01/783327101" TargetMode="External"/><Relationship Id="rId2" Type="http://schemas.openxmlformats.org/officeDocument/2006/relationships/hyperlink" Target="https://podminky.urs.cz/item/CS_URS_2023_01/162751117" TargetMode="External"/><Relationship Id="rId16" Type="http://schemas.openxmlformats.org/officeDocument/2006/relationships/hyperlink" Target="https://podminky.urs.cz/item/CS_URS_2023_01/783324101" TargetMode="External"/><Relationship Id="rId1" Type="http://schemas.openxmlformats.org/officeDocument/2006/relationships/hyperlink" Target="https://podminky.urs.cz/item/CS_URS_2023_01/132251251" TargetMode="External"/><Relationship Id="rId6" Type="http://schemas.openxmlformats.org/officeDocument/2006/relationships/hyperlink" Target="https://podminky.urs.cz/item/CS_URS_2023_02/181311103" TargetMode="External"/><Relationship Id="rId11" Type="http://schemas.openxmlformats.org/officeDocument/2006/relationships/hyperlink" Target="https://podminky.urs.cz/item/CS_URS_2023_01/275351122" TargetMode="External"/><Relationship Id="rId5" Type="http://schemas.openxmlformats.org/officeDocument/2006/relationships/hyperlink" Target="https://podminky.urs.cz/item/CS_URS_2023_02/181151113" TargetMode="External"/><Relationship Id="rId15" Type="http://schemas.openxmlformats.org/officeDocument/2006/relationships/hyperlink" Target="https://podminky.urs.cz/item/CS_URS_2023_01/767995114" TargetMode="External"/><Relationship Id="rId10" Type="http://schemas.openxmlformats.org/officeDocument/2006/relationships/hyperlink" Target="https://podminky.urs.cz/item/CS_URS_2023_01/275351121" TargetMode="External"/><Relationship Id="rId4" Type="http://schemas.openxmlformats.org/officeDocument/2006/relationships/hyperlink" Target="https://podminky.urs.cz/item/CS_URS_2023_01/171201231" TargetMode="External"/><Relationship Id="rId9" Type="http://schemas.openxmlformats.org/officeDocument/2006/relationships/hyperlink" Target="https://podminky.urs.cz/item/CS_URS_2023_01/275321511" TargetMode="External"/><Relationship Id="rId14" Type="http://schemas.openxmlformats.org/officeDocument/2006/relationships/hyperlink" Target="https://podminky.urs.cz/item/CS_URS_2023_01/998011001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podminky.urs.cz/item/CS_URS_2023_01/113202111" TargetMode="External"/><Relationship Id="rId13" Type="http://schemas.openxmlformats.org/officeDocument/2006/relationships/hyperlink" Target="https://podminky.urs.cz/item/CS_URS_2023_01/162251102" TargetMode="External"/><Relationship Id="rId18" Type="http://schemas.openxmlformats.org/officeDocument/2006/relationships/hyperlink" Target="https://podminky.urs.cz/item/CS_URS_2023_01/919731114" TargetMode="External"/><Relationship Id="rId26" Type="http://schemas.openxmlformats.org/officeDocument/2006/relationships/hyperlink" Target="https://podminky.urs.cz/item/CS_URS_2023_01/997221611" TargetMode="External"/><Relationship Id="rId3" Type="http://schemas.openxmlformats.org/officeDocument/2006/relationships/hyperlink" Target="https://podminky.urs.cz/item/CS_URS_2023_01/113107162" TargetMode="External"/><Relationship Id="rId21" Type="http://schemas.openxmlformats.org/officeDocument/2006/relationships/hyperlink" Target="https://podminky.urs.cz/item/CS_URS_2023_01/997221551" TargetMode="External"/><Relationship Id="rId34" Type="http://schemas.openxmlformats.org/officeDocument/2006/relationships/hyperlink" Target="https://podminky.urs.cz/item/CS_URS_2023_01/998225191" TargetMode="External"/><Relationship Id="rId7" Type="http://schemas.openxmlformats.org/officeDocument/2006/relationships/hyperlink" Target="https://podminky.urs.cz/item/CS_URS_2023_01/113107232" TargetMode="External"/><Relationship Id="rId12" Type="http://schemas.openxmlformats.org/officeDocument/2006/relationships/hyperlink" Target="https://podminky.urs.cz/item/CS_URS_2023_01/162201421" TargetMode="External"/><Relationship Id="rId17" Type="http://schemas.openxmlformats.org/officeDocument/2006/relationships/hyperlink" Target="https://podminky.urs.cz/item/CS_URS_2023_01/167151101" TargetMode="External"/><Relationship Id="rId25" Type="http://schemas.openxmlformats.org/officeDocument/2006/relationships/hyperlink" Target="https://podminky.urs.cz/item/CS_URS_2023_01/997221579" TargetMode="External"/><Relationship Id="rId33" Type="http://schemas.openxmlformats.org/officeDocument/2006/relationships/hyperlink" Target="https://podminky.urs.cz/item/CS_URS_2023_01/998225111" TargetMode="External"/><Relationship Id="rId2" Type="http://schemas.openxmlformats.org/officeDocument/2006/relationships/hyperlink" Target="https://podminky.urs.cz/item/CS_URS_2023_01/112251101" TargetMode="External"/><Relationship Id="rId16" Type="http://schemas.openxmlformats.org/officeDocument/2006/relationships/hyperlink" Target="https://podminky.urs.cz/item/CS_URS_2023_01/162301971" TargetMode="External"/><Relationship Id="rId20" Type="http://schemas.openxmlformats.org/officeDocument/2006/relationships/hyperlink" Target="https://podminky.urs.cz/item/CS_URS_2023_01/997221551" TargetMode="External"/><Relationship Id="rId29" Type="http://schemas.openxmlformats.org/officeDocument/2006/relationships/hyperlink" Target="https://podminky.urs.cz/item/CS_URS_2023_01/997221861" TargetMode="External"/><Relationship Id="rId1" Type="http://schemas.openxmlformats.org/officeDocument/2006/relationships/hyperlink" Target="https://podminky.urs.cz/item/CS_URS_2023_01/112101101" TargetMode="External"/><Relationship Id="rId6" Type="http://schemas.openxmlformats.org/officeDocument/2006/relationships/hyperlink" Target="https://podminky.urs.cz/item/CS_URS_2023_01/113107222" TargetMode="External"/><Relationship Id="rId11" Type="http://schemas.openxmlformats.org/officeDocument/2006/relationships/hyperlink" Target="https://podminky.urs.cz/item/CS_URS_2023_01/162201411" TargetMode="External"/><Relationship Id="rId24" Type="http://schemas.openxmlformats.org/officeDocument/2006/relationships/hyperlink" Target="https://podminky.urs.cz/item/CS_URS_2023_01/997221571" TargetMode="External"/><Relationship Id="rId32" Type="http://schemas.openxmlformats.org/officeDocument/2006/relationships/hyperlink" Target="https://podminky.urs.cz/item/CS_URS_2023_01/997221875" TargetMode="External"/><Relationship Id="rId5" Type="http://schemas.openxmlformats.org/officeDocument/2006/relationships/hyperlink" Target="https://podminky.urs.cz/item/CS_URS_2023_01/113107182" TargetMode="External"/><Relationship Id="rId15" Type="http://schemas.openxmlformats.org/officeDocument/2006/relationships/hyperlink" Target="https://podminky.urs.cz/item/CS_URS_2023_01/162301951" TargetMode="External"/><Relationship Id="rId23" Type="http://schemas.openxmlformats.org/officeDocument/2006/relationships/hyperlink" Target="https://podminky.urs.cz/item/CS_URS_2023_01/997221559" TargetMode="External"/><Relationship Id="rId28" Type="http://schemas.openxmlformats.org/officeDocument/2006/relationships/hyperlink" Target="https://podminky.urs.cz/item/CS_URS_2023_01/997221612" TargetMode="External"/><Relationship Id="rId10" Type="http://schemas.openxmlformats.org/officeDocument/2006/relationships/hyperlink" Target="https://podminky.urs.cz/item/CS_URS_2023_01/162201401" TargetMode="External"/><Relationship Id="rId19" Type="http://schemas.openxmlformats.org/officeDocument/2006/relationships/hyperlink" Target="https://podminky.urs.cz/item/CS_URS_2023_01/919735124" TargetMode="External"/><Relationship Id="rId31" Type="http://schemas.openxmlformats.org/officeDocument/2006/relationships/hyperlink" Target="https://podminky.urs.cz/item/CS_URS_2023_01/997221873" TargetMode="External"/><Relationship Id="rId4" Type="http://schemas.openxmlformats.org/officeDocument/2006/relationships/hyperlink" Target="https://podminky.urs.cz/item/CS_URS_2023_01/113107171" TargetMode="External"/><Relationship Id="rId9" Type="http://schemas.openxmlformats.org/officeDocument/2006/relationships/hyperlink" Target="https://podminky.urs.cz/item/CS_URS_2023_01/121151113" TargetMode="External"/><Relationship Id="rId14" Type="http://schemas.openxmlformats.org/officeDocument/2006/relationships/hyperlink" Target="https://podminky.urs.cz/item/CS_URS_2023_01/162301931" TargetMode="External"/><Relationship Id="rId22" Type="http://schemas.openxmlformats.org/officeDocument/2006/relationships/hyperlink" Target="https://podminky.urs.cz/item/CS_URS_2023_01/997221559" TargetMode="External"/><Relationship Id="rId27" Type="http://schemas.openxmlformats.org/officeDocument/2006/relationships/hyperlink" Target="https://podminky.urs.cz/item/CS_URS_2023_01/997221611" TargetMode="External"/><Relationship Id="rId30" Type="http://schemas.openxmlformats.org/officeDocument/2006/relationships/hyperlink" Target="https://podminky.urs.cz/item/CS_URS_2023_01/997221861" TargetMode="External"/><Relationship Id="rId35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podminky.urs.cz/item/CS_URS_2023_01/162751119" TargetMode="External"/><Relationship Id="rId18" Type="http://schemas.openxmlformats.org/officeDocument/2006/relationships/hyperlink" Target="https://podminky.urs.cz/item/CS_URS_2023_01/171251201" TargetMode="External"/><Relationship Id="rId26" Type="http://schemas.openxmlformats.org/officeDocument/2006/relationships/hyperlink" Target="https://podminky.urs.cz/item/CS_URS_2023_01/182111121" TargetMode="External"/><Relationship Id="rId39" Type="http://schemas.openxmlformats.org/officeDocument/2006/relationships/hyperlink" Target="https://podminky.urs.cz/item/CS_URS_2023_01/916231213" TargetMode="External"/><Relationship Id="rId3" Type="http://schemas.openxmlformats.org/officeDocument/2006/relationships/hyperlink" Target="https://podminky.urs.cz/item/CS_URS_2023_01/132251251" TargetMode="External"/><Relationship Id="rId21" Type="http://schemas.openxmlformats.org/officeDocument/2006/relationships/hyperlink" Target="https://podminky.urs.cz/item/CS_URS_2023_01/181351003" TargetMode="External"/><Relationship Id="rId34" Type="http://schemas.openxmlformats.org/officeDocument/2006/relationships/hyperlink" Target="https://podminky.urs.cz/item/CS_URS_2023_01/596211110" TargetMode="External"/><Relationship Id="rId42" Type="http://schemas.openxmlformats.org/officeDocument/2006/relationships/hyperlink" Target="https://podminky.urs.cz/item/CS_URS_2023_01/919121132" TargetMode="External"/><Relationship Id="rId47" Type="http://schemas.openxmlformats.org/officeDocument/2006/relationships/hyperlink" Target="https://podminky.urs.cz/item/CS_URS_2023_01/998225191" TargetMode="External"/><Relationship Id="rId7" Type="http://schemas.openxmlformats.org/officeDocument/2006/relationships/hyperlink" Target="https://podminky.urs.cz/item/CS_URS_2023_01/151201101" TargetMode="External"/><Relationship Id="rId12" Type="http://schemas.openxmlformats.org/officeDocument/2006/relationships/hyperlink" Target="https://podminky.urs.cz/item/CS_URS_2023_01/162751119" TargetMode="External"/><Relationship Id="rId17" Type="http://schemas.openxmlformats.org/officeDocument/2006/relationships/hyperlink" Target="https://podminky.urs.cz/item/CS_URS_2023_01/171201231" TargetMode="External"/><Relationship Id="rId25" Type="http://schemas.openxmlformats.org/officeDocument/2006/relationships/hyperlink" Target="https://podminky.urs.cz/item/CS_URS_2023_01/181951112" TargetMode="External"/><Relationship Id="rId33" Type="http://schemas.openxmlformats.org/officeDocument/2006/relationships/hyperlink" Target="https://podminky.urs.cz/item/CS_URS_2023_01/581141212" TargetMode="External"/><Relationship Id="rId38" Type="http://schemas.openxmlformats.org/officeDocument/2006/relationships/hyperlink" Target="https://podminky.urs.cz/item/CS_URS_2023_01/915491211" TargetMode="External"/><Relationship Id="rId46" Type="http://schemas.openxmlformats.org/officeDocument/2006/relationships/hyperlink" Target="https://podminky.urs.cz/item/CS_URS_2023_01/998225111" TargetMode="External"/><Relationship Id="rId2" Type="http://schemas.openxmlformats.org/officeDocument/2006/relationships/hyperlink" Target="https://podminky.urs.cz/item/CS_URS_2023_01/132251101" TargetMode="External"/><Relationship Id="rId16" Type="http://schemas.openxmlformats.org/officeDocument/2006/relationships/hyperlink" Target="https://podminky.urs.cz/item/CS_URS_2023_01/171201231" TargetMode="External"/><Relationship Id="rId20" Type="http://schemas.openxmlformats.org/officeDocument/2006/relationships/hyperlink" Target="https://podminky.urs.cz/item/CS_URS_2023_01/174151101" TargetMode="External"/><Relationship Id="rId29" Type="http://schemas.openxmlformats.org/officeDocument/2006/relationships/hyperlink" Target="https://podminky.urs.cz/item/CS_URS_2023_01/564861011" TargetMode="External"/><Relationship Id="rId41" Type="http://schemas.openxmlformats.org/officeDocument/2006/relationships/hyperlink" Target="https://podminky.urs.cz/item/CS_URS_2023_01/919111111" TargetMode="External"/><Relationship Id="rId1" Type="http://schemas.openxmlformats.org/officeDocument/2006/relationships/hyperlink" Target="https://podminky.urs.cz/item/CS_URS_2023_01/122251104" TargetMode="External"/><Relationship Id="rId6" Type="http://schemas.openxmlformats.org/officeDocument/2006/relationships/hyperlink" Target="https://podminky.urs.cz/item/CS_URS_2023_01/139001101" TargetMode="External"/><Relationship Id="rId11" Type="http://schemas.openxmlformats.org/officeDocument/2006/relationships/hyperlink" Target="https://podminky.urs.cz/item/CS_URS_2023_01/162751117" TargetMode="External"/><Relationship Id="rId24" Type="http://schemas.openxmlformats.org/officeDocument/2006/relationships/hyperlink" Target="https://podminky.urs.cz/item/CS_URS_2023_01/181951111" TargetMode="External"/><Relationship Id="rId32" Type="http://schemas.openxmlformats.org/officeDocument/2006/relationships/hyperlink" Target="https://podminky.urs.cz/item/CS_URS_2023_01/571908111" TargetMode="External"/><Relationship Id="rId37" Type="http://schemas.openxmlformats.org/officeDocument/2006/relationships/hyperlink" Target="https://podminky.urs.cz/item/CS_URS_2023_01/899231111" TargetMode="External"/><Relationship Id="rId40" Type="http://schemas.openxmlformats.org/officeDocument/2006/relationships/hyperlink" Target="https://podminky.urs.cz/item/CS_URS_2023_01/916991121" TargetMode="External"/><Relationship Id="rId45" Type="http://schemas.openxmlformats.org/officeDocument/2006/relationships/hyperlink" Target="https://podminky.urs.cz/item/CS_URS_2023_01/919726202" TargetMode="External"/><Relationship Id="rId5" Type="http://schemas.openxmlformats.org/officeDocument/2006/relationships/hyperlink" Target="https://podminky.urs.cz/item/CS_URS_2023_01/139001101" TargetMode="External"/><Relationship Id="rId15" Type="http://schemas.openxmlformats.org/officeDocument/2006/relationships/hyperlink" Target="https://podminky.urs.cz/item/CS_URS_2023_01/171151103" TargetMode="External"/><Relationship Id="rId23" Type="http://schemas.openxmlformats.org/officeDocument/2006/relationships/hyperlink" Target="https://podminky.urs.cz/item/CS_URS_2023_01/181411132" TargetMode="External"/><Relationship Id="rId28" Type="http://schemas.openxmlformats.org/officeDocument/2006/relationships/hyperlink" Target="https://podminky.urs.cz/item/CS_URS_2023_01/452386121" TargetMode="External"/><Relationship Id="rId36" Type="http://schemas.openxmlformats.org/officeDocument/2006/relationships/hyperlink" Target="https://podminky.urs.cz/item/CS_URS_2023_01/899204112" TargetMode="External"/><Relationship Id="rId49" Type="http://schemas.openxmlformats.org/officeDocument/2006/relationships/drawing" Target="../drawings/drawing9.xml"/><Relationship Id="rId10" Type="http://schemas.openxmlformats.org/officeDocument/2006/relationships/hyperlink" Target="https://podminky.urs.cz/item/CS_URS_2023_01/162751117" TargetMode="External"/><Relationship Id="rId19" Type="http://schemas.openxmlformats.org/officeDocument/2006/relationships/hyperlink" Target="https://podminky.urs.cz/item/CS_URS_2023_01/171251201" TargetMode="External"/><Relationship Id="rId31" Type="http://schemas.openxmlformats.org/officeDocument/2006/relationships/hyperlink" Target="https://podminky.urs.cz/item/CS_URS_2023_01/564871111" TargetMode="External"/><Relationship Id="rId44" Type="http://schemas.openxmlformats.org/officeDocument/2006/relationships/hyperlink" Target="https://podminky.urs.cz/item/CS_URS_2023_01/919726201" TargetMode="External"/><Relationship Id="rId4" Type="http://schemas.openxmlformats.org/officeDocument/2006/relationships/hyperlink" Target="https://podminky.urs.cz/item/CS_URS_2023_01/139001101" TargetMode="External"/><Relationship Id="rId9" Type="http://schemas.openxmlformats.org/officeDocument/2006/relationships/hyperlink" Target="https://podminky.urs.cz/item/CS_URS_2023_01/162251102" TargetMode="External"/><Relationship Id="rId14" Type="http://schemas.openxmlformats.org/officeDocument/2006/relationships/hyperlink" Target="https://podminky.urs.cz/item/CS_URS_2023_01/167151101" TargetMode="External"/><Relationship Id="rId22" Type="http://schemas.openxmlformats.org/officeDocument/2006/relationships/hyperlink" Target="https://podminky.urs.cz/item/CS_URS_2023_01/181411131" TargetMode="External"/><Relationship Id="rId27" Type="http://schemas.openxmlformats.org/officeDocument/2006/relationships/hyperlink" Target="https://podminky.urs.cz/item/CS_URS_2023_01/182351023" TargetMode="External"/><Relationship Id="rId30" Type="http://schemas.openxmlformats.org/officeDocument/2006/relationships/hyperlink" Target="https://podminky.urs.cz/item/CS_URS_2023_01/564861111" TargetMode="External"/><Relationship Id="rId35" Type="http://schemas.openxmlformats.org/officeDocument/2006/relationships/hyperlink" Target="https://podminky.urs.cz/item/CS_URS_2023_01/895941342" TargetMode="External"/><Relationship Id="rId43" Type="http://schemas.openxmlformats.org/officeDocument/2006/relationships/hyperlink" Target="https://podminky.urs.cz/item/CS_URS_2023_01/919121132" TargetMode="External"/><Relationship Id="rId48" Type="http://schemas.openxmlformats.org/officeDocument/2006/relationships/hyperlink" Target="https://podminky.urs.cz/item/CS_URS_2023_01/043134000" TargetMode="External"/><Relationship Id="rId8" Type="http://schemas.openxmlformats.org/officeDocument/2006/relationships/hyperlink" Target="https://podminky.urs.cz/item/CS_URS_2023_01/151201111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podminky.urs.cz/item/CS_URS_2022_02/175151101" TargetMode="External"/><Relationship Id="rId13" Type="http://schemas.openxmlformats.org/officeDocument/2006/relationships/hyperlink" Target="https://podminky.urs.cz/item/CS_URS_2022_02/452351101" TargetMode="External"/><Relationship Id="rId18" Type="http://schemas.openxmlformats.org/officeDocument/2006/relationships/hyperlink" Target="https://podminky.urs.cz/item/CS_URS_2023_02/877310310" TargetMode="External"/><Relationship Id="rId3" Type="http://schemas.openxmlformats.org/officeDocument/2006/relationships/hyperlink" Target="https://podminky.urs.cz/item/CS_URS_2022_02/151101102" TargetMode="External"/><Relationship Id="rId21" Type="http://schemas.openxmlformats.org/officeDocument/2006/relationships/hyperlink" Target="https://podminky.urs.cz/item/CS_URS_2023_02/895941351" TargetMode="External"/><Relationship Id="rId7" Type="http://schemas.openxmlformats.org/officeDocument/2006/relationships/hyperlink" Target="https://podminky.urs.cz/item/CS_URS_2022_02/174151101" TargetMode="External"/><Relationship Id="rId12" Type="http://schemas.openxmlformats.org/officeDocument/2006/relationships/hyperlink" Target="https://podminky.urs.cz/item/CS_URS_2022_02/452321161" TargetMode="External"/><Relationship Id="rId17" Type="http://schemas.openxmlformats.org/officeDocument/2006/relationships/hyperlink" Target="https://podminky.urs.cz/item/CS_URS_2023_02/871360320" TargetMode="External"/><Relationship Id="rId2" Type="http://schemas.openxmlformats.org/officeDocument/2006/relationships/hyperlink" Target="https://podminky.urs.cz/item/CS_URS_2022_02/132251253" TargetMode="External"/><Relationship Id="rId16" Type="http://schemas.openxmlformats.org/officeDocument/2006/relationships/hyperlink" Target="https://podminky.urs.cz/item/CS_URS_2022_02/871350320" TargetMode="External"/><Relationship Id="rId20" Type="http://schemas.openxmlformats.org/officeDocument/2006/relationships/hyperlink" Target="https://podminky.urs.cz/item/CS_URS_2023_02/895941343" TargetMode="External"/><Relationship Id="rId1" Type="http://schemas.openxmlformats.org/officeDocument/2006/relationships/hyperlink" Target="https://podminky.urs.cz/item/CS_URS_2022_02/131251204" TargetMode="External"/><Relationship Id="rId6" Type="http://schemas.openxmlformats.org/officeDocument/2006/relationships/hyperlink" Target="https://podminky.urs.cz/item/CS_URS_2022_02/171201231" TargetMode="External"/><Relationship Id="rId11" Type="http://schemas.openxmlformats.org/officeDocument/2006/relationships/hyperlink" Target="https://podminky.urs.cz/item/CS_URS_2022_02/451572111" TargetMode="External"/><Relationship Id="rId24" Type="http://schemas.openxmlformats.org/officeDocument/2006/relationships/drawing" Target="../drawings/drawing10.xml"/><Relationship Id="rId5" Type="http://schemas.openxmlformats.org/officeDocument/2006/relationships/hyperlink" Target="https://podminky.urs.cz/item/CS_URS_2022_02/162751119" TargetMode="External"/><Relationship Id="rId15" Type="http://schemas.openxmlformats.org/officeDocument/2006/relationships/hyperlink" Target="https://podminky.urs.cz/item/CS_URS_2023_02/871310320" TargetMode="External"/><Relationship Id="rId23" Type="http://schemas.openxmlformats.org/officeDocument/2006/relationships/hyperlink" Target="https://podminky.urs.cz/item/CS_URS_2023_02/998271301" TargetMode="External"/><Relationship Id="rId10" Type="http://schemas.openxmlformats.org/officeDocument/2006/relationships/hyperlink" Target="https://podminky.urs.cz/item/CS_URS_2022_02/451541111" TargetMode="External"/><Relationship Id="rId19" Type="http://schemas.openxmlformats.org/officeDocument/2006/relationships/hyperlink" Target="https://podminky.urs.cz/item/CS_URS_2023_02/721242106" TargetMode="External"/><Relationship Id="rId4" Type="http://schemas.openxmlformats.org/officeDocument/2006/relationships/hyperlink" Target="https://podminky.urs.cz/item/CS_URS_2022_02/162751117" TargetMode="External"/><Relationship Id="rId9" Type="http://schemas.openxmlformats.org/officeDocument/2006/relationships/hyperlink" Target="https://podminky.urs.cz/item/CS_URS_2023_02/175151201" TargetMode="External"/><Relationship Id="rId14" Type="http://schemas.openxmlformats.org/officeDocument/2006/relationships/hyperlink" Target="https://podminky.urs.cz/item/CS_URS_2022_02/452368211" TargetMode="External"/><Relationship Id="rId22" Type="http://schemas.openxmlformats.org/officeDocument/2006/relationships/hyperlink" Target="https://podminky.urs.cz/item/CS_URS_2023_02/895941366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podminky.urs.cz/item/CS_URS_2022_02/171201231" TargetMode="External"/><Relationship Id="rId13" Type="http://schemas.openxmlformats.org/officeDocument/2006/relationships/hyperlink" Target="https://podminky.urs.cz/item/CS_URS_2023_02/581131115" TargetMode="External"/><Relationship Id="rId18" Type="http://schemas.openxmlformats.org/officeDocument/2006/relationships/hyperlink" Target="https://podminky.urs.cz/item/CS_URS_2023_02/997221645" TargetMode="External"/><Relationship Id="rId3" Type="http://schemas.openxmlformats.org/officeDocument/2006/relationships/hyperlink" Target="https://podminky.urs.cz/item/CS_URS_2022_02/132251253" TargetMode="External"/><Relationship Id="rId7" Type="http://schemas.openxmlformats.org/officeDocument/2006/relationships/hyperlink" Target="https://podminky.urs.cz/item/CS_URS_2022_02/162751119" TargetMode="External"/><Relationship Id="rId12" Type="http://schemas.openxmlformats.org/officeDocument/2006/relationships/hyperlink" Target="https://podminky.urs.cz/item/CS_URS_2023_02/576146311" TargetMode="External"/><Relationship Id="rId17" Type="http://schemas.openxmlformats.org/officeDocument/2006/relationships/hyperlink" Target="https://podminky.urs.cz/item/CS_URS_2023_02/997221615" TargetMode="External"/><Relationship Id="rId2" Type="http://schemas.openxmlformats.org/officeDocument/2006/relationships/hyperlink" Target="https://podminky.urs.cz/item/CS_URS_2023_02/113107443" TargetMode="External"/><Relationship Id="rId16" Type="http://schemas.openxmlformats.org/officeDocument/2006/relationships/hyperlink" Target="https://podminky.urs.cz/item/CS_URS_2023_02/997221579" TargetMode="External"/><Relationship Id="rId1" Type="http://schemas.openxmlformats.org/officeDocument/2006/relationships/hyperlink" Target="https://podminky.urs.cz/item/CS_URS_2023_02/113107432" TargetMode="External"/><Relationship Id="rId6" Type="http://schemas.openxmlformats.org/officeDocument/2006/relationships/hyperlink" Target="https://podminky.urs.cz/item/CS_URS_2022_02/162751117" TargetMode="External"/><Relationship Id="rId11" Type="http://schemas.openxmlformats.org/officeDocument/2006/relationships/hyperlink" Target="https://podminky.urs.cz/item/CS_URS_2023_02/564861011" TargetMode="External"/><Relationship Id="rId5" Type="http://schemas.openxmlformats.org/officeDocument/2006/relationships/hyperlink" Target="https://podminky.urs.cz/item/CS_URS_2022_02/162351103" TargetMode="External"/><Relationship Id="rId15" Type="http://schemas.openxmlformats.org/officeDocument/2006/relationships/hyperlink" Target="https://podminky.urs.cz/item/CS_URS_2023_02/997221571" TargetMode="External"/><Relationship Id="rId10" Type="http://schemas.openxmlformats.org/officeDocument/2006/relationships/hyperlink" Target="https://podminky.urs.cz/item/CS_URS_2022_02/175151101" TargetMode="External"/><Relationship Id="rId19" Type="http://schemas.openxmlformats.org/officeDocument/2006/relationships/drawing" Target="../drawings/drawing11.xml"/><Relationship Id="rId4" Type="http://schemas.openxmlformats.org/officeDocument/2006/relationships/hyperlink" Target="https://podminky.urs.cz/item/CS_URS_2022_02/151101102" TargetMode="External"/><Relationship Id="rId9" Type="http://schemas.openxmlformats.org/officeDocument/2006/relationships/hyperlink" Target="https://podminky.urs.cz/item/CS_URS_2022_02/174151101" TargetMode="External"/><Relationship Id="rId14" Type="http://schemas.openxmlformats.org/officeDocument/2006/relationships/hyperlink" Target="https://podminky.urs.cz/item/CS_URS_2023_02/871241141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podminky.urs.cz/item/CS_URS_2023_02/043002000" TargetMode="External"/><Relationship Id="rId2" Type="http://schemas.openxmlformats.org/officeDocument/2006/relationships/hyperlink" Target="https://podminky.urs.cz/item/CS_URS_2023_02/030001000" TargetMode="External"/><Relationship Id="rId1" Type="http://schemas.openxmlformats.org/officeDocument/2006/relationships/hyperlink" Target="https://podminky.urs.cz/item/CS_URS_2023_02/010001000" TargetMode="External"/><Relationship Id="rId5" Type="http://schemas.openxmlformats.org/officeDocument/2006/relationships/drawing" Target="../drawings/drawing12.xml"/><Relationship Id="rId4" Type="http://schemas.openxmlformats.org/officeDocument/2006/relationships/hyperlink" Target="https://podminky.urs.cz/item/CS_URS_2023_02/045002000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M68"/>
  <sheetViews>
    <sheetView showGridLines="0" topLeftCell="A40" workbookViewId="0">
      <selection activeCell="BE35" sqref="BE35"/>
    </sheetView>
  </sheetViews>
  <sheetFormatPr defaultRowHeight="15"/>
  <cols>
    <col min="1" max="1" width="8.33203125" customWidth="1"/>
    <col min="2" max="2" width="1.6640625" customWidth="1"/>
    <col min="3" max="3" width="4.1640625" customWidth="1"/>
    <col min="4" max="33" width="2.6640625" customWidth="1"/>
    <col min="34" max="34" width="3.33203125" customWidth="1"/>
    <col min="35" max="35" width="31.6640625" customWidth="1"/>
    <col min="36" max="37" width="2.5" customWidth="1"/>
    <col min="38" max="38" width="8.33203125" customWidth="1"/>
    <col min="39" max="39" width="3.33203125" customWidth="1"/>
    <col min="40" max="40" width="13.33203125" customWidth="1"/>
    <col min="41" max="41" width="7.5" customWidth="1"/>
    <col min="42" max="42" width="4.1640625" customWidth="1"/>
    <col min="43" max="43" width="15.6640625" customWidth="1"/>
    <col min="44" max="44" width="13.6640625" customWidth="1"/>
    <col min="45" max="47" width="25.83203125" hidden="1" customWidth="1"/>
    <col min="48" max="49" width="21.6640625" hidden="1" customWidth="1"/>
    <col min="50" max="51" width="25" hidden="1" customWidth="1"/>
    <col min="52" max="52" width="21.6640625" hidden="1" customWidth="1"/>
    <col min="53" max="53" width="19.1640625" hidden="1" customWidth="1"/>
    <col min="54" max="54" width="25" hidden="1" customWidth="1"/>
    <col min="55" max="55" width="21.6640625" hidden="1" customWidth="1"/>
    <col min="56" max="56" width="19.1640625" hidden="1" customWidth="1"/>
    <col min="57" max="57" width="66.5" customWidth="1"/>
    <col min="71" max="91" width="9.33203125" hidden="1"/>
  </cols>
  <sheetData>
    <row r="1" spans="1:74" ht="11.25">
      <c r="A1" s="17" t="s">
        <v>0</v>
      </c>
      <c r="AZ1" s="17" t="s">
        <v>1</v>
      </c>
      <c r="BA1" s="17" t="s">
        <v>2</v>
      </c>
      <c r="BB1" s="17" t="s">
        <v>3</v>
      </c>
      <c r="BT1" s="17" t="s">
        <v>4</v>
      </c>
      <c r="BU1" s="17" t="s">
        <v>4</v>
      </c>
      <c r="BV1" s="17" t="s">
        <v>5</v>
      </c>
    </row>
    <row r="2" spans="1:74" ht="36.950000000000003" customHeight="1">
      <c r="AR2" s="304" t="s">
        <v>6</v>
      </c>
      <c r="AS2" s="289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S2" s="18" t="s">
        <v>7</v>
      </c>
      <c r="BT2" s="18" t="s">
        <v>8</v>
      </c>
    </row>
    <row r="3" spans="1:74" ht="6.9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BS3" s="18" t="s">
        <v>7</v>
      </c>
      <c r="BT3" s="18" t="s">
        <v>9</v>
      </c>
    </row>
    <row r="4" spans="1:74" ht="24.95" customHeight="1">
      <c r="B4" s="21"/>
      <c r="D4" s="22" t="s">
        <v>10</v>
      </c>
      <c r="AR4" s="21"/>
      <c r="AS4" s="23" t="s">
        <v>11</v>
      </c>
      <c r="BE4" s="24" t="s">
        <v>12</v>
      </c>
      <c r="BS4" s="18" t="s">
        <v>13</v>
      </c>
    </row>
    <row r="5" spans="1:74" ht="12" customHeight="1">
      <c r="B5" s="21"/>
      <c r="D5" s="25" t="s">
        <v>14</v>
      </c>
      <c r="K5" s="288" t="s">
        <v>15</v>
      </c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89"/>
      <c r="AB5" s="289"/>
      <c r="AC5" s="289"/>
      <c r="AD5" s="289"/>
      <c r="AE5" s="289"/>
      <c r="AF5" s="289"/>
      <c r="AG5" s="289"/>
      <c r="AH5" s="289"/>
      <c r="AI5" s="289"/>
      <c r="AJ5" s="289"/>
      <c r="AK5" s="289"/>
      <c r="AL5" s="289"/>
      <c r="AM5" s="289"/>
      <c r="AN5" s="289"/>
      <c r="AO5" s="289"/>
      <c r="AR5" s="21"/>
      <c r="BE5" s="285" t="s">
        <v>16</v>
      </c>
      <c r="BS5" s="18" t="s">
        <v>7</v>
      </c>
    </row>
    <row r="6" spans="1:74" ht="36.950000000000003" customHeight="1">
      <c r="B6" s="21"/>
      <c r="D6" s="27" t="s">
        <v>17</v>
      </c>
      <c r="K6" s="290" t="s">
        <v>18</v>
      </c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  <c r="AD6" s="289"/>
      <c r="AE6" s="289"/>
      <c r="AF6" s="289"/>
      <c r="AG6" s="289"/>
      <c r="AH6" s="289"/>
      <c r="AI6" s="289"/>
      <c r="AJ6" s="289"/>
      <c r="AK6" s="289"/>
      <c r="AL6" s="289"/>
      <c r="AM6" s="289"/>
      <c r="AN6" s="289"/>
      <c r="AO6" s="289"/>
      <c r="AR6" s="21"/>
      <c r="BE6" s="286"/>
      <c r="BS6" s="18" t="s">
        <v>7</v>
      </c>
    </row>
    <row r="7" spans="1:74" ht="12" customHeight="1">
      <c r="B7" s="21"/>
      <c r="D7" s="28" t="s">
        <v>19</v>
      </c>
      <c r="K7" s="26" t="s">
        <v>3</v>
      </c>
      <c r="AK7" s="28" t="s">
        <v>20</v>
      </c>
      <c r="AN7" s="26" t="s">
        <v>3</v>
      </c>
      <c r="AR7" s="21"/>
      <c r="BE7" s="286"/>
      <c r="BS7" s="18" t="s">
        <v>7</v>
      </c>
    </row>
    <row r="8" spans="1:74" ht="12" customHeight="1">
      <c r="B8" s="21"/>
      <c r="D8" s="28" t="s">
        <v>21</v>
      </c>
      <c r="K8" s="26" t="s">
        <v>22</v>
      </c>
      <c r="AK8" s="28" t="s">
        <v>23</v>
      </c>
      <c r="AN8" s="331">
        <v>45167</v>
      </c>
      <c r="AR8" s="21"/>
      <c r="BE8" s="286"/>
      <c r="BS8" s="18" t="s">
        <v>7</v>
      </c>
    </row>
    <row r="9" spans="1:74" ht="14.45" customHeight="1">
      <c r="B9" s="21"/>
      <c r="AR9" s="21"/>
      <c r="BE9" s="286"/>
      <c r="BS9" s="18" t="s">
        <v>7</v>
      </c>
    </row>
    <row r="10" spans="1:74" ht="12" customHeight="1">
      <c r="B10" s="21"/>
      <c r="D10" s="28" t="s">
        <v>24</v>
      </c>
      <c r="AK10" s="28" t="s">
        <v>25</v>
      </c>
      <c r="AN10" s="26" t="s">
        <v>3</v>
      </c>
      <c r="AR10" s="21"/>
      <c r="BE10" s="286"/>
      <c r="BS10" s="18" t="s">
        <v>7</v>
      </c>
    </row>
    <row r="11" spans="1:74" ht="18.399999999999999" customHeight="1">
      <c r="B11" s="21"/>
      <c r="E11" s="26" t="s">
        <v>22</v>
      </c>
      <c r="AK11" s="28" t="s">
        <v>26</v>
      </c>
      <c r="AN11" s="26" t="s">
        <v>3</v>
      </c>
      <c r="AR11" s="21"/>
      <c r="BE11" s="286"/>
      <c r="BS11" s="18" t="s">
        <v>7</v>
      </c>
    </row>
    <row r="12" spans="1:74" ht="6.95" customHeight="1">
      <c r="B12" s="21"/>
      <c r="AR12" s="21"/>
      <c r="BE12" s="286"/>
      <c r="BS12" s="18" t="s">
        <v>7</v>
      </c>
    </row>
    <row r="13" spans="1:74" ht="12" customHeight="1">
      <c r="B13" s="21"/>
      <c r="D13" s="28" t="s">
        <v>27</v>
      </c>
      <c r="AK13" s="28" t="s">
        <v>25</v>
      </c>
      <c r="AN13" s="30" t="s">
        <v>28</v>
      </c>
      <c r="AR13" s="21"/>
      <c r="BE13" s="286"/>
      <c r="BS13" s="18" t="s">
        <v>7</v>
      </c>
    </row>
    <row r="14" spans="1:74" ht="12.75">
      <c r="B14" s="21"/>
      <c r="E14" s="291" t="s">
        <v>28</v>
      </c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  <c r="AA14" s="292"/>
      <c r="AB14" s="292"/>
      <c r="AC14" s="292"/>
      <c r="AD14" s="292"/>
      <c r="AE14" s="292"/>
      <c r="AF14" s="292"/>
      <c r="AG14" s="292"/>
      <c r="AH14" s="292"/>
      <c r="AI14" s="292"/>
      <c r="AJ14" s="292"/>
      <c r="AK14" s="28" t="s">
        <v>26</v>
      </c>
      <c r="AN14" s="30" t="s">
        <v>28</v>
      </c>
      <c r="AR14" s="21"/>
      <c r="BE14" s="286"/>
      <c r="BS14" s="18" t="s">
        <v>7</v>
      </c>
    </row>
    <row r="15" spans="1:74" ht="6.95" customHeight="1">
      <c r="B15" s="21"/>
      <c r="AR15" s="21"/>
      <c r="BE15" s="286"/>
      <c r="BS15" s="18" t="s">
        <v>4</v>
      </c>
    </row>
    <row r="16" spans="1:74" ht="12" customHeight="1">
      <c r="B16" s="21"/>
      <c r="D16" s="28" t="s">
        <v>29</v>
      </c>
      <c r="AK16" s="28" t="s">
        <v>25</v>
      </c>
      <c r="AN16" s="26" t="s">
        <v>3</v>
      </c>
      <c r="AR16" s="21"/>
      <c r="BE16" s="286"/>
      <c r="BS16" s="18" t="s">
        <v>4</v>
      </c>
    </row>
    <row r="17" spans="2:71" ht="18.399999999999999" customHeight="1">
      <c r="B17" s="21"/>
      <c r="E17" s="26" t="s">
        <v>22</v>
      </c>
      <c r="AK17" s="28" t="s">
        <v>26</v>
      </c>
      <c r="AN17" s="26" t="s">
        <v>3</v>
      </c>
      <c r="AR17" s="21"/>
      <c r="BE17" s="286"/>
      <c r="BS17" s="18" t="s">
        <v>30</v>
      </c>
    </row>
    <row r="18" spans="2:71" ht="6.95" customHeight="1">
      <c r="B18" s="21"/>
      <c r="AR18" s="21"/>
      <c r="BE18" s="286"/>
      <c r="BS18" s="18" t="s">
        <v>7</v>
      </c>
    </row>
    <row r="19" spans="2:71" ht="12" customHeight="1">
      <c r="B19" s="21"/>
      <c r="D19" s="28" t="s">
        <v>31</v>
      </c>
      <c r="AK19" s="28" t="s">
        <v>25</v>
      </c>
      <c r="AN19" s="26" t="s">
        <v>3</v>
      </c>
      <c r="AR19" s="21"/>
      <c r="BE19" s="286"/>
      <c r="BS19" s="18" t="s">
        <v>7</v>
      </c>
    </row>
    <row r="20" spans="2:71" ht="18.399999999999999" customHeight="1">
      <c r="B20" s="21"/>
      <c r="E20" s="26" t="s">
        <v>32</v>
      </c>
      <c r="AK20" s="28" t="s">
        <v>26</v>
      </c>
      <c r="AN20" s="26" t="s">
        <v>3</v>
      </c>
      <c r="AR20" s="21"/>
      <c r="BE20" s="286"/>
      <c r="BS20" s="18" t="s">
        <v>4</v>
      </c>
    </row>
    <row r="21" spans="2:71" ht="6.95" customHeight="1">
      <c r="B21" s="21"/>
      <c r="AR21" s="21"/>
      <c r="BE21" s="286"/>
    </row>
    <row r="22" spans="2:71" ht="12" customHeight="1">
      <c r="B22" s="21"/>
      <c r="D22" s="28" t="s">
        <v>33</v>
      </c>
      <c r="AR22" s="21"/>
      <c r="BE22" s="286"/>
    </row>
    <row r="23" spans="2:71" ht="47.25" customHeight="1">
      <c r="B23" s="21"/>
      <c r="E23" s="293" t="s">
        <v>34</v>
      </c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293"/>
      <c r="AG23" s="293"/>
      <c r="AH23" s="293"/>
      <c r="AI23" s="293"/>
      <c r="AJ23" s="293"/>
      <c r="AK23" s="293"/>
      <c r="AL23" s="293"/>
      <c r="AM23" s="293"/>
      <c r="AN23" s="293"/>
      <c r="AR23" s="21"/>
      <c r="BE23" s="286"/>
    </row>
    <row r="24" spans="2:71" ht="6.95" customHeight="1">
      <c r="B24" s="21"/>
      <c r="AR24" s="21"/>
      <c r="BE24" s="286"/>
    </row>
    <row r="25" spans="2:71" ht="6.95" customHeight="1">
      <c r="B25" s="21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R25" s="21"/>
      <c r="BE25" s="286"/>
    </row>
    <row r="26" spans="2:71" s="1" customFormat="1" ht="25.9" customHeight="1">
      <c r="B26" s="33"/>
      <c r="D26" s="34" t="s">
        <v>35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294">
        <f>ROUND(AG54,2)</f>
        <v>0</v>
      </c>
      <c r="AL26" s="295"/>
      <c r="AM26" s="295"/>
      <c r="AN26" s="295"/>
      <c r="AO26" s="295"/>
      <c r="AR26" s="33"/>
      <c r="BE26" s="286"/>
    </row>
    <row r="27" spans="2:71" s="1" customFormat="1" ht="6.95" customHeight="1">
      <c r="B27" s="33"/>
      <c r="AR27" s="33"/>
      <c r="BE27" s="286"/>
    </row>
    <row r="28" spans="2:71" s="1" customFormat="1" ht="12.75">
      <c r="B28" s="33"/>
      <c r="L28" s="296" t="s">
        <v>36</v>
      </c>
      <c r="M28" s="296"/>
      <c r="N28" s="296"/>
      <c r="O28" s="296"/>
      <c r="P28" s="296"/>
      <c r="W28" s="296" t="s">
        <v>37</v>
      </c>
      <c r="X28" s="296"/>
      <c r="Y28" s="296"/>
      <c r="Z28" s="296"/>
      <c r="AA28" s="296"/>
      <c r="AB28" s="296"/>
      <c r="AC28" s="296"/>
      <c r="AD28" s="296"/>
      <c r="AE28" s="296"/>
      <c r="AK28" s="296" t="s">
        <v>38</v>
      </c>
      <c r="AL28" s="296"/>
      <c r="AM28" s="296"/>
      <c r="AN28" s="296"/>
      <c r="AO28" s="296"/>
      <c r="AR28" s="33"/>
      <c r="BE28" s="286"/>
    </row>
    <row r="29" spans="2:71" s="2" customFormat="1" ht="14.45" customHeight="1">
      <c r="B29" s="37"/>
      <c r="D29" s="28" t="s">
        <v>39</v>
      </c>
      <c r="F29" s="28" t="s">
        <v>40</v>
      </c>
      <c r="L29" s="299">
        <v>0.21</v>
      </c>
      <c r="M29" s="298"/>
      <c r="N29" s="298"/>
      <c r="O29" s="298"/>
      <c r="P29" s="298"/>
      <c r="W29" s="297">
        <f>ROUND(AZ54, 2)</f>
        <v>0</v>
      </c>
      <c r="X29" s="298"/>
      <c r="Y29" s="298"/>
      <c r="Z29" s="298"/>
      <c r="AA29" s="298"/>
      <c r="AB29" s="298"/>
      <c r="AC29" s="298"/>
      <c r="AD29" s="298"/>
      <c r="AE29" s="298"/>
      <c r="AK29" s="297">
        <f>ROUND(AV54, 2)</f>
        <v>0</v>
      </c>
      <c r="AL29" s="298"/>
      <c r="AM29" s="298"/>
      <c r="AN29" s="298"/>
      <c r="AO29" s="298"/>
      <c r="AR29" s="37"/>
      <c r="BE29" s="287"/>
    </row>
    <row r="30" spans="2:71" s="2" customFormat="1" ht="14.45" customHeight="1">
      <c r="B30" s="37"/>
      <c r="F30" s="28" t="s">
        <v>41</v>
      </c>
      <c r="L30" s="299">
        <v>0.15</v>
      </c>
      <c r="M30" s="298"/>
      <c r="N30" s="298"/>
      <c r="O30" s="298"/>
      <c r="P30" s="298"/>
      <c r="W30" s="297">
        <f>ROUND(BA54, 2)</f>
        <v>0</v>
      </c>
      <c r="X30" s="298"/>
      <c r="Y30" s="298"/>
      <c r="Z30" s="298"/>
      <c r="AA30" s="298"/>
      <c r="AB30" s="298"/>
      <c r="AC30" s="298"/>
      <c r="AD30" s="298"/>
      <c r="AE30" s="298"/>
      <c r="AK30" s="297">
        <f>ROUND(AW54, 2)</f>
        <v>0</v>
      </c>
      <c r="AL30" s="298"/>
      <c r="AM30" s="298"/>
      <c r="AN30" s="298"/>
      <c r="AO30" s="298"/>
      <c r="AR30" s="37"/>
      <c r="BE30" s="287"/>
    </row>
    <row r="31" spans="2:71" s="2" customFormat="1" ht="14.45" hidden="1" customHeight="1">
      <c r="B31" s="37"/>
      <c r="F31" s="28" t="s">
        <v>42</v>
      </c>
      <c r="L31" s="299">
        <v>0.21</v>
      </c>
      <c r="M31" s="298"/>
      <c r="N31" s="298"/>
      <c r="O31" s="298"/>
      <c r="P31" s="298"/>
      <c r="W31" s="297">
        <f>ROUND(BB54, 2)</f>
        <v>0</v>
      </c>
      <c r="X31" s="298"/>
      <c r="Y31" s="298"/>
      <c r="Z31" s="298"/>
      <c r="AA31" s="298"/>
      <c r="AB31" s="298"/>
      <c r="AC31" s="298"/>
      <c r="AD31" s="298"/>
      <c r="AE31" s="298"/>
      <c r="AK31" s="297">
        <v>0</v>
      </c>
      <c r="AL31" s="298"/>
      <c r="AM31" s="298"/>
      <c r="AN31" s="298"/>
      <c r="AO31" s="298"/>
      <c r="AR31" s="37"/>
      <c r="BE31" s="287"/>
    </row>
    <row r="32" spans="2:71" s="2" customFormat="1" ht="14.45" hidden="1" customHeight="1">
      <c r="B32" s="37"/>
      <c r="F32" s="28" t="s">
        <v>43</v>
      </c>
      <c r="L32" s="299">
        <v>0.15</v>
      </c>
      <c r="M32" s="298"/>
      <c r="N32" s="298"/>
      <c r="O32" s="298"/>
      <c r="P32" s="298"/>
      <c r="W32" s="297">
        <f>ROUND(BC54, 2)</f>
        <v>0</v>
      </c>
      <c r="X32" s="298"/>
      <c r="Y32" s="298"/>
      <c r="Z32" s="298"/>
      <c r="AA32" s="298"/>
      <c r="AB32" s="298"/>
      <c r="AC32" s="298"/>
      <c r="AD32" s="298"/>
      <c r="AE32" s="298"/>
      <c r="AK32" s="297">
        <v>0</v>
      </c>
      <c r="AL32" s="298"/>
      <c r="AM32" s="298"/>
      <c r="AN32" s="298"/>
      <c r="AO32" s="298"/>
      <c r="AR32" s="37"/>
      <c r="BE32" s="287"/>
    </row>
    <row r="33" spans="2:44" s="2" customFormat="1" ht="14.45" hidden="1" customHeight="1">
      <c r="B33" s="37"/>
      <c r="F33" s="28" t="s">
        <v>44</v>
      </c>
      <c r="L33" s="299">
        <v>0</v>
      </c>
      <c r="M33" s="298"/>
      <c r="N33" s="298"/>
      <c r="O33" s="298"/>
      <c r="P33" s="298"/>
      <c r="W33" s="297">
        <f>ROUND(BD54, 2)</f>
        <v>0</v>
      </c>
      <c r="X33" s="298"/>
      <c r="Y33" s="298"/>
      <c r="Z33" s="298"/>
      <c r="AA33" s="298"/>
      <c r="AB33" s="298"/>
      <c r="AC33" s="298"/>
      <c r="AD33" s="298"/>
      <c r="AE33" s="298"/>
      <c r="AK33" s="297">
        <v>0</v>
      </c>
      <c r="AL33" s="298"/>
      <c r="AM33" s="298"/>
      <c r="AN33" s="298"/>
      <c r="AO33" s="298"/>
      <c r="AR33" s="37"/>
    </row>
    <row r="34" spans="2:44" s="1" customFormat="1" ht="6.95" customHeight="1">
      <c r="B34" s="33"/>
      <c r="AR34" s="33"/>
    </row>
    <row r="35" spans="2:44" s="1" customFormat="1" ht="25.9" customHeight="1">
      <c r="B35" s="33"/>
      <c r="C35" s="38"/>
      <c r="D35" s="39" t="s">
        <v>45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1" t="s">
        <v>46</v>
      </c>
      <c r="U35" s="40"/>
      <c r="V35" s="40"/>
      <c r="W35" s="40"/>
      <c r="X35" s="303" t="s">
        <v>47</v>
      </c>
      <c r="Y35" s="301"/>
      <c r="Z35" s="301"/>
      <c r="AA35" s="301"/>
      <c r="AB35" s="301"/>
      <c r="AC35" s="40"/>
      <c r="AD35" s="40"/>
      <c r="AE35" s="40"/>
      <c r="AF35" s="40"/>
      <c r="AG35" s="40"/>
      <c r="AH35" s="40"/>
      <c r="AI35" s="40"/>
      <c r="AJ35" s="40"/>
      <c r="AK35" s="300">
        <f>SUM(AK26:AK33)</f>
        <v>0</v>
      </c>
      <c r="AL35" s="301"/>
      <c r="AM35" s="301"/>
      <c r="AN35" s="301"/>
      <c r="AO35" s="302"/>
      <c r="AP35" s="38"/>
      <c r="AQ35" s="38"/>
      <c r="AR35" s="33"/>
    </row>
    <row r="36" spans="2:44" s="1" customFormat="1" ht="6.95" customHeight="1">
      <c r="B36" s="33"/>
      <c r="AR36" s="33"/>
    </row>
    <row r="37" spans="2:44" s="1" customFormat="1" ht="6.95" customHeight="1"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33"/>
    </row>
    <row r="41" spans="2:44" s="1" customFormat="1" ht="6.95" customHeight="1"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33"/>
    </row>
    <row r="42" spans="2:44" s="1" customFormat="1" ht="24.95" customHeight="1">
      <c r="B42" s="33"/>
      <c r="C42" s="22" t="s">
        <v>48</v>
      </c>
      <c r="AR42" s="33"/>
    </row>
    <row r="43" spans="2:44" s="1" customFormat="1" ht="6.95" customHeight="1">
      <c r="B43" s="33"/>
      <c r="AR43" s="33"/>
    </row>
    <row r="44" spans="2:44" s="3" customFormat="1" ht="12" customHeight="1">
      <c r="B44" s="46"/>
      <c r="C44" s="28" t="s">
        <v>14</v>
      </c>
      <c r="L44" s="3" t="str">
        <f>K5</f>
        <v>2023/003</v>
      </c>
      <c r="AR44" s="46"/>
    </row>
    <row r="45" spans="2:44" s="4" customFormat="1" ht="36.950000000000003" customHeight="1">
      <c r="B45" s="47"/>
      <c r="C45" s="48" t="s">
        <v>17</v>
      </c>
      <c r="L45" s="282" t="str">
        <f>K6</f>
        <v>SKLAD ŠKROBU P-001</v>
      </c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83"/>
      <c r="AB45" s="283"/>
      <c r="AC45" s="283"/>
      <c r="AD45" s="283"/>
      <c r="AE45" s="283"/>
      <c r="AF45" s="283"/>
      <c r="AG45" s="283"/>
      <c r="AH45" s="283"/>
      <c r="AI45" s="283"/>
      <c r="AJ45" s="283"/>
      <c r="AK45" s="283"/>
      <c r="AL45" s="283"/>
      <c r="AM45" s="283"/>
      <c r="AN45" s="283"/>
      <c r="AO45" s="283"/>
      <c r="AR45" s="47"/>
    </row>
    <row r="46" spans="2:44" s="1" customFormat="1" ht="6.95" customHeight="1">
      <c r="B46" s="33"/>
      <c r="AR46" s="33"/>
    </row>
    <row r="47" spans="2:44" s="1" customFormat="1" ht="12" customHeight="1">
      <c r="B47" s="33"/>
      <c r="C47" s="28" t="s">
        <v>21</v>
      </c>
      <c r="L47" s="49" t="str">
        <f>IF(K8="","",K8)</f>
        <v xml:space="preserve"> </v>
      </c>
      <c r="AI47" s="28" t="s">
        <v>23</v>
      </c>
      <c r="AM47" s="311">
        <f>IF(AN8= "","",AN8)</f>
        <v>45167</v>
      </c>
      <c r="AN47" s="311"/>
      <c r="AR47" s="33"/>
    </row>
    <row r="48" spans="2:44" s="1" customFormat="1" ht="6.95" customHeight="1">
      <c r="B48" s="33"/>
      <c r="AR48" s="33"/>
    </row>
    <row r="49" spans="1:91" s="1" customFormat="1" ht="15.2" customHeight="1">
      <c r="B49" s="33"/>
      <c r="C49" s="28" t="s">
        <v>24</v>
      </c>
      <c r="L49" s="3" t="str">
        <f>IF(E11= "","",E11)</f>
        <v xml:space="preserve"> </v>
      </c>
      <c r="AI49" s="28" t="s">
        <v>29</v>
      </c>
      <c r="AM49" s="312" t="str">
        <f>IF(E17="","",E17)</f>
        <v xml:space="preserve"> </v>
      </c>
      <c r="AN49" s="313"/>
      <c r="AO49" s="313"/>
      <c r="AP49" s="313"/>
      <c r="AR49" s="33"/>
      <c r="AS49" s="314" t="s">
        <v>49</v>
      </c>
      <c r="AT49" s="315"/>
      <c r="AU49" s="51"/>
      <c r="AV49" s="51"/>
      <c r="AW49" s="51"/>
      <c r="AX49" s="51"/>
      <c r="AY49" s="51"/>
      <c r="AZ49" s="51"/>
      <c r="BA49" s="51"/>
      <c r="BB49" s="51"/>
      <c r="BC49" s="51"/>
      <c r="BD49" s="52"/>
    </row>
    <row r="50" spans="1:91" s="1" customFormat="1" ht="15.2" customHeight="1">
      <c r="B50" s="33"/>
      <c r="C50" s="28" t="s">
        <v>27</v>
      </c>
      <c r="L50" s="3" t="str">
        <f>IF(E14= "Vyplň údaj","",E14)</f>
        <v/>
      </c>
      <c r="AI50" s="28" t="s">
        <v>31</v>
      </c>
      <c r="AM50" s="312" t="str">
        <f>IF(E20="","",E20)</f>
        <v>rostarek s.r.o.</v>
      </c>
      <c r="AN50" s="313"/>
      <c r="AO50" s="313"/>
      <c r="AP50" s="313"/>
      <c r="AR50" s="33"/>
      <c r="AS50" s="316"/>
      <c r="AT50" s="317"/>
      <c r="BD50" s="54"/>
    </row>
    <row r="51" spans="1:91" s="1" customFormat="1" ht="10.9" customHeight="1">
      <c r="B51" s="33"/>
      <c r="AR51" s="33"/>
      <c r="AS51" s="316"/>
      <c r="AT51" s="317"/>
      <c r="BD51" s="54"/>
    </row>
    <row r="52" spans="1:91" s="1" customFormat="1" ht="29.25" customHeight="1">
      <c r="B52" s="33"/>
      <c r="C52" s="277" t="s">
        <v>50</v>
      </c>
      <c r="D52" s="278"/>
      <c r="E52" s="278"/>
      <c r="F52" s="278"/>
      <c r="G52" s="278"/>
      <c r="H52" s="55"/>
      <c r="I52" s="281" t="s">
        <v>51</v>
      </c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8"/>
      <c r="AG52" s="309" t="s">
        <v>52</v>
      </c>
      <c r="AH52" s="278"/>
      <c r="AI52" s="278"/>
      <c r="AJ52" s="278"/>
      <c r="AK52" s="278"/>
      <c r="AL52" s="278"/>
      <c r="AM52" s="278"/>
      <c r="AN52" s="281" t="s">
        <v>53</v>
      </c>
      <c r="AO52" s="278"/>
      <c r="AP52" s="278"/>
      <c r="AQ52" s="56" t="s">
        <v>54</v>
      </c>
      <c r="AR52" s="33"/>
      <c r="AS52" s="57" t="s">
        <v>55</v>
      </c>
      <c r="AT52" s="58" t="s">
        <v>56</v>
      </c>
      <c r="AU52" s="58" t="s">
        <v>57</v>
      </c>
      <c r="AV52" s="58" t="s">
        <v>58</v>
      </c>
      <c r="AW52" s="58" t="s">
        <v>59</v>
      </c>
      <c r="AX52" s="58" t="s">
        <v>60</v>
      </c>
      <c r="AY52" s="58" t="s">
        <v>61</v>
      </c>
      <c r="AZ52" s="58" t="s">
        <v>62</v>
      </c>
      <c r="BA52" s="58" t="s">
        <v>63</v>
      </c>
      <c r="BB52" s="58" t="s">
        <v>64</v>
      </c>
      <c r="BC52" s="58" t="s">
        <v>65</v>
      </c>
      <c r="BD52" s="59" t="s">
        <v>66</v>
      </c>
    </row>
    <row r="53" spans="1:91" s="1" customFormat="1" ht="10.9" customHeight="1">
      <c r="B53" s="33"/>
      <c r="AR53" s="33"/>
      <c r="AS53" s="60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2"/>
    </row>
    <row r="54" spans="1:91" s="5" customFormat="1" ht="32.450000000000003" customHeight="1">
      <c r="B54" s="61"/>
      <c r="C54" s="62" t="s">
        <v>67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284">
        <f>ROUND(AG55+SUM(AG56:AG61)+SUM(AG64:AG66),2)</f>
        <v>0</v>
      </c>
      <c r="AH54" s="284"/>
      <c r="AI54" s="284"/>
      <c r="AJ54" s="284"/>
      <c r="AK54" s="284"/>
      <c r="AL54" s="284"/>
      <c r="AM54" s="284"/>
      <c r="AN54" s="318">
        <f t="shared" ref="AN54:AN66" si="0">SUM(AG54,AT54)</f>
        <v>0</v>
      </c>
      <c r="AO54" s="318"/>
      <c r="AP54" s="318"/>
      <c r="AQ54" s="65" t="s">
        <v>3</v>
      </c>
      <c r="AR54" s="61"/>
      <c r="AS54" s="66">
        <f>ROUND(AS55+SUM(AS56:AS61)+SUM(AS64:AS66),2)</f>
        <v>0</v>
      </c>
      <c r="AT54" s="67">
        <f t="shared" ref="AT54:AT66" si="1">ROUND(SUM(AV54:AW54),2)</f>
        <v>0</v>
      </c>
      <c r="AU54" s="68">
        <f>ROUND(AU55+SUM(AU56:AU61)+SUM(AU64:AU66),5)</f>
        <v>0</v>
      </c>
      <c r="AV54" s="67">
        <f>ROUND(AZ54*L29,2)</f>
        <v>0</v>
      </c>
      <c r="AW54" s="67">
        <f>ROUND(BA54*L30,2)</f>
        <v>0</v>
      </c>
      <c r="AX54" s="67">
        <f>ROUND(BB54*L29,2)</f>
        <v>0</v>
      </c>
      <c r="AY54" s="67">
        <f>ROUND(BC54*L30,2)</f>
        <v>0</v>
      </c>
      <c r="AZ54" s="67">
        <f>ROUND(AZ55+SUM(AZ56:AZ61)+SUM(AZ64:AZ66),2)</f>
        <v>0</v>
      </c>
      <c r="BA54" s="67">
        <f>ROUND(BA55+SUM(BA56:BA61)+SUM(BA64:BA66),2)</f>
        <v>0</v>
      </c>
      <c r="BB54" s="67">
        <f>ROUND(BB55+SUM(BB56:BB61)+SUM(BB64:BB66),2)</f>
        <v>0</v>
      </c>
      <c r="BC54" s="67">
        <f>ROUND(BC55+SUM(BC56:BC61)+SUM(BC64:BC66),2)</f>
        <v>0</v>
      </c>
      <c r="BD54" s="69">
        <f>ROUND(BD55+SUM(BD56:BD61)+SUM(BD64:BD66),2)</f>
        <v>0</v>
      </c>
      <c r="BS54" s="70" t="s">
        <v>68</v>
      </c>
      <c r="BT54" s="70" t="s">
        <v>69</v>
      </c>
      <c r="BU54" s="71" t="s">
        <v>70</v>
      </c>
      <c r="BV54" s="70" t="s">
        <v>71</v>
      </c>
      <c r="BW54" s="70" t="s">
        <v>5</v>
      </c>
      <c r="BX54" s="70" t="s">
        <v>72</v>
      </c>
      <c r="CL54" s="70" t="s">
        <v>3</v>
      </c>
    </row>
    <row r="55" spans="1:91" s="6" customFormat="1" ht="24.75" customHeight="1">
      <c r="A55" s="72" t="s">
        <v>73</v>
      </c>
      <c r="B55" s="73"/>
      <c r="C55" s="74"/>
      <c r="D55" s="279" t="s">
        <v>74</v>
      </c>
      <c r="E55" s="279"/>
      <c r="F55" s="279"/>
      <c r="G55" s="279"/>
      <c r="H55" s="279"/>
      <c r="I55" s="75"/>
      <c r="J55" s="279" t="s">
        <v>75</v>
      </c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  <c r="AA55" s="279"/>
      <c r="AB55" s="279"/>
      <c r="AC55" s="279"/>
      <c r="AD55" s="279"/>
      <c r="AE55" s="279"/>
      <c r="AF55" s="279"/>
      <c r="AG55" s="305">
        <f>'2023-003-a - SO-21 - Stav...'!J30</f>
        <v>0</v>
      </c>
      <c r="AH55" s="306"/>
      <c r="AI55" s="306"/>
      <c r="AJ55" s="306"/>
      <c r="AK55" s="306"/>
      <c r="AL55" s="306"/>
      <c r="AM55" s="306"/>
      <c r="AN55" s="305">
        <f t="shared" si="0"/>
        <v>0</v>
      </c>
      <c r="AO55" s="306"/>
      <c r="AP55" s="306"/>
      <c r="AQ55" s="76" t="s">
        <v>76</v>
      </c>
      <c r="AR55" s="73"/>
      <c r="AS55" s="77">
        <v>0</v>
      </c>
      <c r="AT55" s="78">
        <f t="shared" si="1"/>
        <v>0</v>
      </c>
      <c r="AU55" s="79">
        <f>'2023-003-a - SO-21 - Stav...'!P95</f>
        <v>0</v>
      </c>
      <c r="AV55" s="78">
        <f>'2023-003-a - SO-21 - Stav...'!J33</f>
        <v>0</v>
      </c>
      <c r="AW55" s="78">
        <f>'2023-003-a - SO-21 - Stav...'!J34</f>
        <v>0</v>
      </c>
      <c r="AX55" s="78">
        <f>'2023-003-a - SO-21 - Stav...'!J35</f>
        <v>0</v>
      </c>
      <c r="AY55" s="78">
        <f>'2023-003-a - SO-21 - Stav...'!J36</f>
        <v>0</v>
      </c>
      <c r="AZ55" s="78">
        <f>'2023-003-a - SO-21 - Stav...'!F33</f>
        <v>0</v>
      </c>
      <c r="BA55" s="78">
        <f>'2023-003-a - SO-21 - Stav...'!F34</f>
        <v>0</v>
      </c>
      <c r="BB55" s="78">
        <f>'2023-003-a - SO-21 - Stav...'!F35</f>
        <v>0</v>
      </c>
      <c r="BC55" s="78">
        <f>'2023-003-a - SO-21 - Stav...'!F36</f>
        <v>0</v>
      </c>
      <c r="BD55" s="80">
        <f>'2023-003-a - SO-21 - Stav...'!F37</f>
        <v>0</v>
      </c>
      <c r="BT55" s="81" t="s">
        <v>77</v>
      </c>
      <c r="BV55" s="81" t="s">
        <v>71</v>
      </c>
      <c r="BW55" s="81" t="s">
        <v>78</v>
      </c>
      <c r="BX55" s="81" t="s">
        <v>5</v>
      </c>
      <c r="CL55" s="81" t="s">
        <v>3</v>
      </c>
      <c r="CM55" s="81" t="s">
        <v>79</v>
      </c>
    </row>
    <row r="56" spans="1:91" s="6" customFormat="1" ht="24.75" customHeight="1">
      <c r="A56" s="72" t="s">
        <v>73</v>
      </c>
      <c r="B56" s="73"/>
      <c r="C56" s="74"/>
      <c r="D56" s="279" t="s">
        <v>80</v>
      </c>
      <c r="E56" s="279"/>
      <c r="F56" s="279"/>
      <c r="G56" s="279"/>
      <c r="H56" s="279"/>
      <c r="I56" s="75"/>
      <c r="J56" s="279" t="s">
        <v>81</v>
      </c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  <c r="AA56" s="279"/>
      <c r="AB56" s="279"/>
      <c r="AC56" s="279"/>
      <c r="AD56" s="279"/>
      <c r="AE56" s="279"/>
      <c r="AF56" s="279"/>
      <c r="AG56" s="305">
        <f>'2023-003-b - SO-21 - Elek...'!J30</f>
        <v>0</v>
      </c>
      <c r="AH56" s="306"/>
      <c r="AI56" s="306"/>
      <c r="AJ56" s="306"/>
      <c r="AK56" s="306"/>
      <c r="AL56" s="306"/>
      <c r="AM56" s="306"/>
      <c r="AN56" s="305">
        <f t="shared" si="0"/>
        <v>0</v>
      </c>
      <c r="AO56" s="306"/>
      <c r="AP56" s="306"/>
      <c r="AQ56" s="76" t="s">
        <v>76</v>
      </c>
      <c r="AR56" s="73"/>
      <c r="AS56" s="77">
        <v>0</v>
      </c>
      <c r="AT56" s="78">
        <f t="shared" si="1"/>
        <v>0</v>
      </c>
      <c r="AU56" s="79">
        <f>'2023-003-b - SO-21 - Elek...'!P87</f>
        <v>0</v>
      </c>
      <c r="AV56" s="78">
        <f>'2023-003-b - SO-21 - Elek...'!J33</f>
        <v>0</v>
      </c>
      <c r="AW56" s="78">
        <f>'2023-003-b - SO-21 - Elek...'!J34</f>
        <v>0</v>
      </c>
      <c r="AX56" s="78">
        <f>'2023-003-b - SO-21 - Elek...'!J35</f>
        <v>0</v>
      </c>
      <c r="AY56" s="78">
        <f>'2023-003-b - SO-21 - Elek...'!J36</f>
        <v>0</v>
      </c>
      <c r="AZ56" s="78">
        <f>'2023-003-b - SO-21 - Elek...'!F33</f>
        <v>0</v>
      </c>
      <c r="BA56" s="78">
        <f>'2023-003-b - SO-21 - Elek...'!F34</f>
        <v>0</v>
      </c>
      <c r="BB56" s="78">
        <f>'2023-003-b - SO-21 - Elek...'!F35</f>
        <v>0</v>
      </c>
      <c r="BC56" s="78">
        <f>'2023-003-b - SO-21 - Elek...'!F36</f>
        <v>0</v>
      </c>
      <c r="BD56" s="80">
        <f>'2023-003-b - SO-21 - Elek...'!F37</f>
        <v>0</v>
      </c>
      <c r="BT56" s="81" t="s">
        <v>77</v>
      </c>
      <c r="BV56" s="81" t="s">
        <v>71</v>
      </c>
      <c r="BW56" s="81" t="s">
        <v>82</v>
      </c>
      <c r="BX56" s="81" t="s">
        <v>5</v>
      </c>
      <c r="CL56" s="81" t="s">
        <v>3</v>
      </c>
      <c r="CM56" s="81" t="s">
        <v>79</v>
      </c>
    </row>
    <row r="57" spans="1:91" s="6" customFormat="1" ht="24.75" customHeight="1">
      <c r="A57" s="72" t="s">
        <v>73</v>
      </c>
      <c r="B57" s="73"/>
      <c r="C57" s="74"/>
      <c r="D57" s="279" t="s">
        <v>83</v>
      </c>
      <c r="E57" s="279"/>
      <c r="F57" s="279"/>
      <c r="G57" s="279"/>
      <c r="H57" s="279"/>
      <c r="I57" s="75"/>
      <c r="J57" s="279" t="s">
        <v>84</v>
      </c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  <c r="AA57" s="279"/>
      <c r="AB57" s="279"/>
      <c r="AC57" s="279"/>
      <c r="AD57" s="279"/>
      <c r="AE57" s="279"/>
      <c r="AF57" s="279"/>
      <c r="AG57" s="305">
        <f>'2023-003-c - SO-21 - Zdra...'!J30</f>
        <v>0</v>
      </c>
      <c r="AH57" s="306"/>
      <c r="AI57" s="306"/>
      <c r="AJ57" s="306"/>
      <c r="AK57" s="306"/>
      <c r="AL57" s="306"/>
      <c r="AM57" s="306"/>
      <c r="AN57" s="305">
        <f t="shared" si="0"/>
        <v>0</v>
      </c>
      <c r="AO57" s="306"/>
      <c r="AP57" s="306"/>
      <c r="AQ57" s="76" t="s">
        <v>76</v>
      </c>
      <c r="AR57" s="73"/>
      <c r="AS57" s="77">
        <v>0</v>
      </c>
      <c r="AT57" s="78">
        <f t="shared" si="1"/>
        <v>0</v>
      </c>
      <c r="AU57" s="79">
        <f>'2023-003-c - SO-21 - Zdra...'!P86</f>
        <v>0</v>
      </c>
      <c r="AV57" s="78">
        <f>'2023-003-c - SO-21 - Zdra...'!J33</f>
        <v>0</v>
      </c>
      <c r="AW57" s="78">
        <f>'2023-003-c - SO-21 - Zdra...'!J34</f>
        <v>0</v>
      </c>
      <c r="AX57" s="78">
        <f>'2023-003-c - SO-21 - Zdra...'!J35</f>
        <v>0</v>
      </c>
      <c r="AY57" s="78">
        <f>'2023-003-c - SO-21 - Zdra...'!J36</f>
        <v>0</v>
      </c>
      <c r="AZ57" s="78">
        <f>'2023-003-c - SO-21 - Zdra...'!F33</f>
        <v>0</v>
      </c>
      <c r="BA57" s="78">
        <f>'2023-003-c - SO-21 - Zdra...'!F34</f>
        <v>0</v>
      </c>
      <c r="BB57" s="78">
        <f>'2023-003-c - SO-21 - Zdra...'!F35</f>
        <v>0</v>
      </c>
      <c r="BC57" s="78">
        <f>'2023-003-c - SO-21 - Zdra...'!F36</f>
        <v>0</v>
      </c>
      <c r="BD57" s="80">
        <f>'2023-003-c - SO-21 - Zdra...'!F37</f>
        <v>0</v>
      </c>
      <c r="BT57" s="81" t="s">
        <v>77</v>
      </c>
      <c r="BV57" s="81" t="s">
        <v>71</v>
      </c>
      <c r="BW57" s="81" t="s">
        <v>85</v>
      </c>
      <c r="BX57" s="81" t="s">
        <v>5</v>
      </c>
      <c r="CL57" s="81" t="s">
        <v>3</v>
      </c>
      <c r="CM57" s="81" t="s">
        <v>79</v>
      </c>
    </row>
    <row r="58" spans="1:91" s="6" customFormat="1" ht="24.75" customHeight="1">
      <c r="A58" s="72" t="s">
        <v>73</v>
      </c>
      <c r="B58" s="73"/>
      <c r="C58" s="74"/>
      <c r="D58" s="279" t="s">
        <v>86</v>
      </c>
      <c r="E58" s="279"/>
      <c r="F58" s="279"/>
      <c r="G58" s="279"/>
      <c r="H58" s="279"/>
      <c r="I58" s="75"/>
      <c r="J58" s="279" t="s">
        <v>87</v>
      </c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  <c r="AA58" s="279"/>
      <c r="AB58" s="279"/>
      <c r="AC58" s="279"/>
      <c r="AD58" s="279"/>
      <c r="AE58" s="279"/>
      <c r="AF58" s="279"/>
      <c r="AG58" s="305">
        <f>'2023-003-d - SO-21 - Vytá...'!J30</f>
        <v>0</v>
      </c>
      <c r="AH58" s="306"/>
      <c r="AI58" s="306"/>
      <c r="AJ58" s="306"/>
      <c r="AK58" s="306"/>
      <c r="AL58" s="306"/>
      <c r="AM58" s="306"/>
      <c r="AN58" s="305">
        <f t="shared" si="0"/>
        <v>0</v>
      </c>
      <c r="AO58" s="306"/>
      <c r="AP58" s="306"/>
      <c r="AQ58" s="76" t="s">
        <v>76</v>
      </c>
      <c r="AR58" s="73"/>
      <c r="AS58" s="77">
        <v>0</v>
      </c>
      <c r="AT58" s="78">
        <f t="shared" si="1"/>
        <v>0</v>
      </c>
      <c r="AU58" s="79">
        <f>'2023-003-d - SO-21 - Vytá...'!P83</f>
        <v>0</v>
      </c>
      <c r="AV58" s="78">
        <f>'2023-003-d - SO-21 - Vytá...'!J33</f>
        <v>0</v>
      </c>
      <c r="AW58" s="78">
        <f>'2023-003-d - SO-21 - Vytá...'!J34</f>
        <v>0</v>
      </c>
      <c r="AX58" s="78">
        <f>'2023-003-d - SO-21 - Vytá...'!J35</f>
        <v>0</v>
      </c>
      <c r="AY58" s="78">
        <f>'2023-003-d - SO-21 - Vytá...'!J36</f>
        <v>0</v>
      </c>
      <c r="AZ58" s="78">
        <f>'2023-003-d - SO-21 - Vytá...'!F33</f>
        <v>0</v>
      </c>
      <c r="BA58" s="78">
        <f>'2023-003-d - SO-21 - Vytá...'!F34</f>
        <v>0</v>
      </c>
      <c r="BB58" s="78">
        <f>'2023-003-d - SO-21 - Vytá...'!F35</f>
        <v>0</v>
      </c>
      <c r="BC58" s="78">
        <f>'2023-003-d - SO-21 - Vytá...'!F36</f>
        <v>0</v>
      </c>
      <c r="BD58" s="80">
        <f>'2023-003-d - SO-21 - Vytá...'!F37</f>
        <v>0</v>
      </c>
      <c r="BT58" s="81" t="s">
        <v>77</v>
      </c>
      <c r="BV58" s="81" t="s">
        <v>71</v>
      </c>
      <c r="BW58" s="81" t="s">
        <v>88</v>
      </c>
      <c r="BX58" s="81" t="s">
        <v>5</v>
      </c>
      <c r="CL58" s="81" t="s">
        <v>3</v>
      </c>
      <c r="CM58" s="81" t="s">
        <v>79</v>
      </c>
    </row>
    <row r="59" spans="1:91" s="6" customFormat="1" ht="24.75" customHeight="1">
      <c r="A59" s="72" t="s">
        <v>73</v>
      </c>
      <c r="B59" s="73"/>
      <c r="C59" s="74"/>
      <c r="D59" s="279" t="s">
        <v>89</v>
      </c>
      <c r="E59" s="279"/>
      <c r="F59" s="279"/>
      <c r="G59" s="279"/>
      <c r="H59" s="279"/>
      <c r="I59" s="75"/>
      <c r="J59" s="279" t="s">
        <v>90</v>
      </c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  <c r="AA59" s="279"/>
      <c r="AB59" s="279"/>
      <c r="AC59" s="279"/>
      <c r="AD59" s="279"/>
      <c r="AE59" s="279"/>
      <c r="AF59" s="279"/>
      <c r="AG59" s="305">
        <f>'2023-003-i - SO-21 - bles...'!J30</f>
        <v>0</v>
      </c>
      <c r="AH59" s="306"/>
      <c r="AI59" s="306"/>
      <c r="AJ59" s="306"/>
      <c r="AK59" s="306"/>
      <c r="AL59" s="306"/>
      <c r="AM59" s="306"/>
      <c r="AN59" s="305">
        <f t="shared" si="0"/>
        <v>0</v>
      </c>
      <c r="AO59" s="306"/>
      <c r="AP59" s="306"/>
      <c r="AQ59" s="76" t="s">
        <v>76</v>
      </c>
      <c r="AR59" s="73"/>
      <c r="AS59" s="77">
        <v>0</v>
      </c>
      <c r="AT59" s="78">
        <f t="shared" si="1"/>
        <v>0</v>
      </c>
      <c r="AU59" s="79">
        <f>'2023-003-i - SO-21 - bles...'!P82</f>
        <v>0</v>
      </c>
      <c r="AV59" s="78">
        <f>'2023-003-i - SO-21 - bles...'!J33</f>
        <v>0</v>
      </c>
      <c r="AW59" s="78">
        <f>'2023-003-i - SO-21 - bles...'!J34</f>
        <v>0</v>
      </c>
      <c r="AX59" s="78">
        <f>'2023-003-i - SO-21 - bles...'!J35</f>
        <v>0</v>
      </c>
      <c r="AY59" s="78">
        <f>'2023-003-i - SO-21 - bles...'!J36</f>
        <v>0</v>
      </c>
      <c r="AZ59" s="78">
        <f>'2023-003-i - SO-21 - bles...'!F33</f>
        <v>0</v>
      </c>
      <c r="BA59" s="78">
        <f>'2023-003-i - SO-21 - bles...'!F34</f>
        <v>0</v>
      </c>
      <c r="BB59" s="78">
        <f>'2023-003-i - SO-21 - bles...'!F35</f>
        <v>0</v>
      </c>
      <c r="BC59" s="78">
        <f>'2023-003-i - SO-21 - bles...'!F36</f>
        <v>0</v>
      </c>
      <c r="BD59" s="80">
        <f>'2023-003-i - SO-21 - bles...'!F37</f>
        <v>0</v>
      </c>
      <c r="BT59" s="81" t="s">
        <v>77</v>
      </c>
      <c r="BV59" s="81" t="s">
        <v>71</v>
      </c>
      <c r="BW59" s="81" t="s">
        <v>91</v>
      </c>
      <c r="BX59" s="81" t="s">
        <v>5</v>
      </c>
      <c r="CL59" s="81" t="s">
        <v>3</v>
      </c>
      <c r="CM59" s="81" t="s">
        <v>79</v>
      </c>
    </row>
    <row r="60" spans="1:91" s="6" customFormat="1" ht="24.75" customHeight="1">
      <c r="A60" s="72" t="s">
        <v>73</v>
      </c>
      <c r="B60" s="73"/>
      <c r="C60" s="74"/>
      <c r="D60" s="279" t="s">
        <v>92</v>
      </c>
      <c r="E60" s="279"/>
      <c r="F60" s="279"/>
      <c r="G60" s="279"/>
      <c r="H60" s="279"/>
      <c r="I60" s="75"/>
      <c r="J60" s="279" t="s">
        <v>93</v>
      </c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  <c r="AA60" s="279"/>
      <c r="AB60" s="279"/>
      <c r="AC60" s="279"/>
      <c r="AD60" s="279"/>
      <c r="AE60" s="279"/>
      <c r="AF60" s="279"/>
      <c r="AG60" s="305">
        <f>'2023-003-g - SO-22 - potr...'!J30</f>
        <v>0</v>
      </c>
      <c r="AH60" s="306"/>
      <c r="AI60" s="306"/>
      <c r="AJ60" s="306"/>
      <c r="AK60" s="306"/>
      <c r="AL60" s="306"/>
      <c r="AM60" s="306"/>
      <c r="AN60" s="305">
        <f t="shared" si="0"/>
        <v>0</v>
      </c>
      <c r="AO60" s="306"/>
      <c r="AP60" s="306"/>
      <c r="AQ60" s="76" t="s">
        <v>76</v>
      </c>
      <c r="AR60" s="73"/>
      <c r="AS60" s="77">
        <v>0</v>
      </c>
      <c r="AT60" s="78">
        <f t="shared" si="1"/>
        <v>0</v>
      </c>
      <c r="AU60" s="79">
        <f>'2023-003-g - SO-22 - potr...'!P87</f>
        <v>0</v>
      </c>
      <c r="AV60" s="78">
        <f>'2023-003-g - SO-22 - potr...'!J33</f>
        <v>0</v>
      </c>
      <c r="AW60" s="78">
        <f>'2023-003-g - SO-22 - potr...'!J34</f>
        <v>0</v>
      </c>
      <c r="AX60" s="78">
        <f>'2023-003-g - SO-22 - potr...'!J35</f>
        <v>0</v>
      </c>
      <c r="AY60" s="78">
        <f>'2023-003-g - SO-22 - potr...'!J36</f>
        <v>0</v>
      </c>
      <c r="AZ60" s="78">
        <f>'2023-003-g - SO-22 - potr...'!F33</f>
        <v>0</v>
      </c>
      <c r="BA60" s="78">
        <f>'2023-003-g - SO-22 - potr...'!F34</f>
        <v>0</v>
      </c>
      <c r="BB60" s="78">
        <f>'2023-003-g - SO-22 - potr...'!F35</f>
        <v>0</v>
      </c>
      <c r="BC60" s="78">
        <f>'2023-003-g - SO-22 - potr...'!F36</f>
        <v>0</v>
      </c>
      <c r="BD60" s="80">
        <f>'2023-003-g - SO-22 - potr...'!F37</f>
        <v>0</v>
      </c>
      <c r="BT60" s="81" t="s">
        <v>77</v>
      </c>
      <c r="BV60" s="81" t="s">
        <v>71</v>
      </c>
      <c r="BW60" s="81" t="s">
        <v>94</v>
      </c>
      <c r="BX60" s="81" t="s">
        <v>5</v>
      </c>
      <c r="CL60" s="81" t="s">
        <v>3</v>
      </c>
      <c r="CM60" s="81" t="s">
        <v>79</v>
      </c>
    </row>
    <row r="61" spans="1:91" s="6" customFormat="1" ht="24.75" customHeight="1">
      <c r="B61" s="73"/>
      <c r="C61" s="74"/>
      <c r="D61" s="279" t="s">
        <v>95</v>
      </c>
      <c r="E61" s="279"/>
      <c r="F61" s="279"/>
      <c r="G61" s="279"/>
      <c r="H61" s="279"/>
      <c r="I61" s="75"/>
      <c r="J61" s="279" t="s">
        <v>96</v>
      </c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  <c r="AA61" s="279"/>
      <c r="AB61" s="279"/>
      <c r="AC61" s="279"/>
      <c r="AD61" s="279"/>
      <c r="AE61" s="279"/>
      <c r="AF61" s="279"/>
      <c r="AG61" s="310">
        <f>ROUND(SUM(AG62:AG63),2)</f>
        <v>0</v>
      </c>
      <c r="AH61" s="306"/>
      <c r="AI61" s="306"/>
      <c r="AJ61" s="306"/>
      <c r="AK61" s="306"/>
      <c r="AL61" s="306"/>
      <c r="AM61" s="306"/>
      <c r="AN61" s="305">
        <f t="shared" si="0"/>
        <v>0</v>
      </c>
      <c r="AO61" s="306"/>
      <c r="AP61" s="306"/>
      <c r="AQ61" s="76" t="s">
        <v>76</v>
      </c>
      <c r="AR61" s="73"/>
      <c r="AS61" s="77">
        <f>ROUND(SUM(AS62:AS63),2)</f>
        <v>0</v>
      </c>
      <c r="AT61" s="78">
        <f t="shared" si="1"/>
        <v>0</v>
      </c>
      <c r="AU61" s="79">
        <f>ROUND(SUM(AU62:AU63),5)</f>
        <v>0</v>
      </c>
      <c r="AV61" s="78">
        <f>ROUND(AZ61*L29,2)</f>
        <v>0</v>
      </c>
      <c r="AW61" s="78">
        <f>ROUND(BA61*L30,2)</f>
        <v>0</v>
      </c>
      <c r="AX61" s="78">
        <f>ROUND(BB61*L29,2)</f>
        <v>0</v>
      </c>
      <c r="AY61" s="78">
        <f>ROUND(BC61*L30,2)</f>
        <v>0</v>
      </c>
      <c r="AZ61" s="78">
        <f>ROUND(SUM(AZ62:AZ63),2)</f>
        <v>0</v>
      </c>
      <c r="BA61" s="78">
        <f>ROUND(SUM(BA62:BA63),2)</f>
        <v>0</v>
      </c>
      <c r="BB61" s="78">
        <f>ROUND(SUM(BB62:BB63),2)</f>
        <v>0</v>
      </c>
      <c r="BC61" s="78">
        <f>ROUND(SUM(BC62:BC63),2)</f>
        <v>0</v>
      </c>
      <c r="BD61" s="80">
        <f>ROUND(SUM(BD62:BD63),2)</f>
        <v>0</v>
      </c>
      <c r="BS61" s="81" t="s">
        <v>68</v>
      </c>
      <c r="BT61" s="81" t="s">
        <v>77</v>
      </c>
      <c r="BU61" s="81" t="s">
        <v>70</v>
      </c>
      <c r="BV61" s="81" t="s">
        <v>71</v>
      </c>
      <c r="BW61" s="81" t="s">
        <v>97</v>
      </c>
      <c r="BX61" s="81" t="s">
        <v>5</v>
      </c>
      <c r="CL61" s="81" t="s">
        <v>3</v>
      </c>
      <c r="CM61" s="81" t="s">
        <v>79</v>
      </c>
    </row>
    <row r="62" spans="1:91" s="3" customFormat="1" ht="16.5" customHeight="1">
      <c r="A62" s="72" t="s">
        <v>73</v>
      </c>
      <c r="B62" s="46"/>
      <c r="C62" s="9"/>
      <c r="D62" s="9"/>
      <c r="E62" s="280" t="s">
        <v>98</v>
      </c>
      <c r="F62" s="280"/>
      <c r="G62" s="280"/>
      <c r="H62" s="280"/>
      <c r="I62" s="280"/>
      <c r="J62" s="9"/>
      <c r="K62" s="280" t="s">
        <v>99</v>
      </c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  <c r="AA62" s="280"/>
      <c r="AB62" s="280"/>
      <c r="AC62" s="280"/>
      <c r="AD62" s="280"/>
      <c r="AE62" s="280"/>
      <c r="AF62" s="280"/>
      <c r="AG62" s="307">
        <f>'a - příprava území'!J32</f>
        <v>0</v>
      </c>
      <c r="AH62" s="308"/>
      <c r="AI62" s="308"/>
      <c r="AJ62" s="308"/>
      <c r="AK62" s="308"/>
      <c r="AL62" s="308"/>
      <c r="AM62" s="308"/>
      <c r="AN62" s="307">
        <f t="shared" si="0"/>
        <v>0</v>
      </c>
      <c r="AO62" s="308"/>
      <c r="AP62" s="308"/>
      <c r="AQ62" s="82" t="s">
        <v>100</v>
      </c>
      <c r="AR62" s="46"/>
      <c r="AS62" s="83">
        <v>0</v>
      </c>
      <c r="AT62" s="84">
        <f t="shared" si="1"/>
        <v>0</v>
      </c>
      <c r="AU62" s="85">
        <f>'a - příprava území'!P90</f>
        <v>0</v>
      </c>
      <c r="AV62" s="84">
        <f>'a - příprava území'!J35</f>
        <v>0</v>
      </c>
      <c r="AW62" s="84">
        <f>'a - příprava území'!J36</f>
        <v>0</v>
      </c>
      <c r="AX62" s="84">
        <f>'a - příprava území'!J37</f>
        <v>0</v>
      </c>
      <c r="AY62" s="84">
        <f>'a - příprava území'!J38</f>
        <v>0</v>
      </c>
      <c r="AZ62" s="84">
        <f>'a - příprava území'!F35</f>
        <v>0</v>
      </c>
      <c r="BA62" s="84">
        <f>'a - příprava území'!F36</f>
        <v>0</v>
      </c>
      <c r="BB62" s="84">
        <f>'a - příprava území'!F37</f>
        <v>0</v>
      </c>
      <c r="BC62" s="84">
        <f>'a - příprava území'!F38</f>
        <v>0</v>
      </c>
      <c r="BD62" s="86">
        <f>'a - příprava území'!F39</f>
        <v>0</v>
      </c>
      <c r="BT62" s="26" t="s">
        <v>79</v>
      </c>
      <c r="BV62" s="26" t="s">
        <v>71</v>
      </c>
      <c r="BW62" s="26" t="s">
        <v>101</v>
      </c>
      <c r="BX62" s="26" t="s">
        <v>97</v>
      </c>
      <c r="CL62" s="26" t="s">
        <v>3</v>
      </c>
    </row>
    <row r="63" spans="1:91" s="3" customFormat="1" ht="16.5" customHeight="1">
      <c r="A63" s="72" t="s">
        <v>73</v>
      </c>
      <c r="B63" s="46"/>
      <c r="C63" s="9"/>
      <c r="D63" s="9"/>
      <c r="E63" s="280" t="s">
        <v>102</v>
      </c>
      <c r="F63" s="280"/>
      <c r="G63" s="280"/>
      <c r="H63" s="280"/>
      <c r="I63" s="280"/>
      <c r="J63" s="9"/>
      <c r="K63" s="280" t="s">
        <v>103</v>
      </c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  <c r="AB63" s="280"/>
      <c r="AC63" s="280"/>
      <c r="AD63" s="280"/>
      <c r="AE63" s="280"/>
      <c r="AF63" s="280"/>
      <c r="AG63" s="307">
        <f>'n - návrh'!J32</f>
        <v>0</v>
      </c>
      <c r="AH63" s="308"/>
      <c r="AI63" s="308"/>
      <c r="AJ63" s="308"/>
      <c r="AK63" s="308"/>
      <c r="AL63" s="308"/>
      <c r="AM63" s="308"/>
      <c r="AN63" s="307">
        <f t="shared" si="0"/>
        <v>0</v>
      </c>
      <c r="AO63" s="308"/>
      <c r="AP63" s="308"/>
      <c r="AQ63" s="82" t="s">
        <v>100</v>
      </c>
      <c r="AR63" s="46"/>
      <c r="AS63" s="83">
        <v>0</v>
      </c>
      <c r="AT63" s="84">
        <f t="shared" si="1"/>
        <v>0</v>
      </c>
      <c r="AU63" s="85">
        <f>'n - návrh'!P94</f>
        <v>0</v>
      </c>
      <c r="AV63" s="84">
        <f>'n - návrh'!J35</f>
        <v>0</v>
      </c>
      <c r="AW63" s="84">
        <f>'n - návrh'!J36</f>
        <v>0</v>
      </c>
      <c r="AX63" s="84">
        <f>'n - návrh'!J37</f>
        <v>0</v>
      </c>
      <c r="AY63" s="84">
        <f>'n - návrh'!J38</f>
        <v>0</v>
      </c>
      <c r="AZ63" s="84">
        <f>'n - návrh'!F35</f>
        <v>0</v>
      </c>
      <c r="BA63" s="84">
        <f>'n - návrh'!F36</f>
        <v>0</v>
      </c>
      <c r="BB63" s="84">
        <f>'n - návrh'!F37</f>
        <v>0</v>
      </c>
      <c r="BC63" s="84">
        <f>'n - návrh'!F38</f>
        <v>0</v>
      </c>
      <c r="BD63" s="86">
        <f>'n - návrh'!F39</f>
        <v>0</v>
      </c>
      <c r="BT63" s="26" t="s">
        <v>79</v>
      </c>
      <c r="BV63" s="26" t="s">
        <v>71</v>
      </c>
      <c r="BW63" s="26" t="s">
        <v>104</v>
      </c>
      <c r="BX63" s="26" t="s">
        <v>97</v>
      </c>
      <c r="CL63" s="26" t="s">
        <v>3</v>
      </c>
    </row>
    <row r="64" spans="1:91" s="6" customFormat="1" ht="24.75" customHeight="1">
      <c r="A64" s="72" t="s">
        <v>73</v>
      </c>
      <c r="B64" s="73"/>
      <c r="C64" s="74"/>
      <c r="D64" s="279" t="s">
        <v>105</v>
      </c>
      <c r="E64" s="279"/>
      <c r="F64" s="279"/>
      <c r="G64" s="279"/>
      <c r="H64" s="279"/>
      <c r="I64" s="75"/>
      <c r="J64" s="279" t="s">
        <v>106</v>
      </c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  <c r="AA64" s="279"/>
      <c r="AB64" s="279"/>
      <c r="AC64" s="279"/>
      <c r="AD64" s="279"/>
      <c r="AE64" s="279"/>
      <c r="AF64" s="279"/>
      <c r="AG64" s="305">
        <f>'2023-003-e - SO-24 - dešť...'!J30</f>
        <v>0</v>
      </c>
      <c r="AH64" s="306"/>
      <c r="AI64" s="306"/>
      <c r="AJ64" s="306"/>
      <c r="AK64" s="306"/>
      <c r="AL64" s="306"/>
      <c r="AM64" s="306"/>
      <c r="AN64" s="305">
        <f t="shared" si="0"/>
        <v>0</v>
      </c>
      <c r="AO64" s="306"/>
      <c r="AP64" s="306"/>
      <c r="AQ64" s="76" t="s">
        <v>76</v>
      </c>
      <c r="AR64" s="73"/>
      <c r="AS64" s="77">
        <v>0</v>
      </c>
      <c r="AT64" s="78">
        <f t="shared" si="1"/>
        <v>0</v>
      </c>
      <c r="AU64" s="79">
        <f>'2023-003-e - SO-24 - dešť...'!P84</f>
        <v>0</v>
      </c>
      <c r="AV64" s="78">
        <f>'2023-003-e - SO-24 - dešť...'!J33</f>
        <v>0</v>
      </c>
      <c r="AW64" s="78">
        <f>'2023-003-e - SO-24 - dešť...'!J34</f>
        <v>0</v>
      </c>
      <c r="AX64" s="78">
        <f>'2023-003-e - SO-24 - dešť...'!J35</f>
        <v>0</v>
      </c>
      <c r="AY64" s="78">
        <f>'2023-003-e - SO-24 - dešť...'!J36</f>
        <v>0</v>
      </c>
      <c r="AZ64" s="78">
        <f>'2023-003-e - SO-24 - dešť...'!F33</f>
        <v>0</v>
      </c>
      <c r="BA64" s="78">
        <f>'2023-003-e - SO-24 - dešť...'!F34</f>
        <v>0</v>
      </c>
      <c r="BB64" s="78">
        <f>'2023-003-e - SO-24 - dešť...'!F35</f>
        <v>0</v>
      </c>
      <c r="BC64" s="78">
        <f>'2023-003-e - SO-24 - dešť...'!F36</f>
        <v>0</v>
      </c>
      <c r="BD64" s="80">
        <f>'2023-003-e - SO-24 - dešť...'!F37</f>
        <v>0</v>
      </c>
      <c r="BT64" s="81" t="s">
        <v>77</v>
      </c>
      <c r="BV64" s="81" t="s">
        <v>71</v>
      </c>
      <c r="BW64" s="81" t="s">
        <v>107</v>
      </c>
      <c r="BX64" s="81" t="s">
        <v>5</v>
      </c>
      <c r="CL64" s="81" t="s">
        <v>3</v>
      </c>
      <c r="CM64" s="81" t="s">
        <v>79</v>
      </c>
    </row>
    <row r="65" spans="1:91" s="6" customFormat="1" ht="24.75" customHeight="1">
      <c r="A65" s="72" t="s">
        <v>73</v>
      </c>
      <c r="B65" s="73"/>
      <c r="C65" s="74"/>
      <c r="D65" s="279" t="s">
        <v>108</v>
      </c>
      <c r="E65" s="279"/>
      <c r="F65" s="279"/>
      <c r="G65" s="279"/>
      <c r="H65" s="279"/>
      <c r="I65" s="75"/>
      <c r="J65" s="279" t="s">
        <v>109</v>
      </c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  <c r="AA65" s="279"/>
      <c r="AB65" s="279"/>
      <c r="AC65" s="279"/>
      <c r="AD65" s="279"/>
      <c r="AE65" s="279"/>
      <c r="AF65" s="279"/>
      <c r="AG65" s="305">
        <f>'2023-003-f - SO-25 - vodo...'!J30</f>
        <v>0</v>
      </c>
      <c r="AH65" s="306"/>
      <c r="AI65" s="306"/>
      <c r="AJ65" s="306"/>
      <c r="AK65" s="306"/>
      <c r="AL65" s="306"/>
      <c r="AM65" s="306"/>
      <c r="AN65" s="305">
        <f t="shared" si="0"/>
        <v>0</v>
      </c>
      <c r="AO65" s="306"/>
      <c r="AP65" s="306"/>
      <c r="AQ65" s="76" t="s">
        <v>76</v>
      </c>
      <c r="AR65" s="73"/>
      <c r="AS65" s="77">
        <v>0</v>
      </c>
      <c r="AT65" s="78">
        <f t="shared" si="1"/>
        <v>0</v>
      </c>
      <c r="AU65" s="79">
        <f>'2023-003-f - SO-25 - vodo...'!P84</f>
        <v>0</v>
      </c>
      <c r="AV65" s="78">
        <f>'2023-003-f - SO-25 - vodo...'!J33</f>
        <v>0</v>
      </c>
      <c r="AW65" s="78">
        <f>'2023-003-f - SO-25 - vodo...'!J34</f>
        <v>0</v>
      </c>
      <c r="AX65" s="78">
        <f>'2023-003-f - SO-25 - vodo...'!J35</f>
        <v>0</v>
      </c>
      <c r="AY65" s="78">
        <f>'2023-003-f - SO-25 - vodo...'!J36</f>
        <v>0</v>
      </c>
      <c r="AZ65" s="78">
        <f>'2023-003-f - SO-25 - vodo...'!F33</f>
        <v>0</v>
      </c>
      <c r="BA65" s="78">
        <f>'2023-003-f - SO-25 - vodo...'!F34</f>
        <v>0</v>
      </c>
      <c r="BB65" s="78">
        <f>'2023-003-f - SO-25 - vodo...'!F35</f>
        <v>0</v>
      </c>
      <c r="BC65" s="78">
        <f>'2023-003-f - SO-25 - vodo...'!F36</f>
        <v>0</v>
      </c>
      <c r="BD65" s="80">
        <f>'2023-003-f - SO-25 - vodo...'!F37</f>
        <v>0</v>
      </c>
      <c r="BT65" s="81" t="s">
        <v>77</v>
      </c>
      <c r="BV65" s="81" t="s">
        <v>71</v>
      </c>
      <c r="BW65" s="81" t="s">
        <v>110</v>
      </c>
      <c r="BX65" s="81" t="s">
        <v>5</v>
      </c>
      <c r="CL65" s="81" t="s">
        <v>3</v>
      </c>
      <c r="CM65" s="81" t="s">
        <v>79</v>
      </c>
    </row>
    <row r="66" spans="1:91" s="6" customFormat="1" ht="24.75" customHeight="1">
      <c r="A66" s="72" t="s">
        <v>73</v>
      </c>
      <c r="B66" s="73"/>
      <c r="C66" s="74"/>
      <c r="D66" s="279" t="s">
        <v>111</v>
      </c>
      <c r="E66" s="279"/>
      <c r="F66" s="279"/>
      <c r="G66" s="279"/>
      <c r="H66" s="279"/>
      <c r="I66" s="75"/>
      <c r="J66" s="279" t="s">
        <v>112</v>
      </c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79"/>
      <c r="AG66" s="305">
        <f>'2023-003-j - VRN'!J30</f>
        <v>0</v>
      </c>
      <c r="AH66" s="306"/>
      <c r="AI66" s="306"/>
      <c r="AJ66" s="306"/>
      <c r="AK66" s="306"/>
      <c r="AL66" s="306"/>
      <c r="AM66" s="306"/>
      <c r="AN66" s="305">
        <f t="shared" si="0"/>
        <v>0</v>
      </c>
      <c r="AO66" s="306"/>
      <c r="AP66" s="306"/>
      <c r="AQ66" s="76" t="s">
        <v>76</v>
      </c>
      <c r="AR66" s="73"/>
      <c r="AS66" s="87">
        <v>0</v>
      </c>
      <c r="AT66" s="88">
        <f t="shared" si="1"/>
        <v>0</v>
      </c>
      <c r="AU66" s="89">
        <f>'2023-003-j - VRN'!P83</f>
        <v>0</v>
      </c>
      <c r="AV66" s="88">
        <f>'2023-003-j - VRN'!J33</f>
        <v>0</v>
      </c>
      <c r="AW66" s="88">
        <f>'2023-003-j - VRN'!J34</f>
        <v>0</v>
      </c>
      <c r="AX66" s="88">
        <f>'2023-003-j - VRN'!J35</f>
        <v>0</v>
      </c>
      <c r="AY66" s="88">
        <f>'2023-003-j - VRN'!J36</f>
        <v>0</v>
      </c>
      <c r="AZ66" s="88">
        <f>'2023-003-j - VRN'!F33</f>
        <v>0</v>
      </c>
      <c r="BA66" s="88">
        <f>'2023-003-j - VRN'!F34</f>
        <v>0</v>
      </c>
      <c r="BB66" s="88">
        <f>'2023-003-j - VRN'!F35</f>
        <v>0</v>
      </c>
      <c r="BC66" s="88">
        <f>'2023-003-j - VRN'!F36</f>
        <v>0</v>
      </c>
      <c r="BD66" s="90">
        <f>'2023-003-j - VRN'!F37</f>
        <v>0</v>
      </c>
      <c r="BT66" s="81" t="s">
        <v>77</v>
      </c>
      <c r="BV66" s="81" t="s">
        <v>71</v>
      </c>
      <c r="BW66" s="81" t="s">
        <v>113</v>
      </c>
      <c r="BX66" s="81" t="s">
        <v>5</v>
      </c>
      <c r="CL66" s="81" t="s">
        <v>3</v>
      </c>
      <c r="CM66" s="81" t="s">
        <v>79</v>
      </c>
    </row>
    <row r="67" spans="1:91" s="1" customFormat="1" ht="30" customHeight="1">
      <c r="B67" s="33"/>
      <c r="AR67" s="33"/>
    </row>
    <row r="68" spans="1:91" s="1" customFormat="1" ht="6.95" customHeight="1">
      <c r="B68" s="42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33"/>
    </row>
  </sheetData>
  <mergeCells count="86">
    <mergeCell ref="AS49:AT51"/>
    <mergeCell ref="AN65:AP65"/>
    <mergeCell ref="AG65:AM65"/>
    <mergeCell ref="AN66:AP66"/>
    <mergeCell ref="AG66:AM66"/>
    <mergeCell ref="AN54:AP54"/>
    <mergeCell ref="AR2:BE2"/>
    <mergeCell ref="AG58:AM58"/>
    <mergeCell ref="AG64:AM64"/>
    <mergeCell ref="AG63:AM63"/>
    <mergeCell ref="AG62:AM62"/>
    <mergeCell ref="AG52:AM52"/>
    <mergeCell ref="AG60:AM60"/>
    <mergeCell ref="AG61:AM61"/>
    <mergeCell ref="AG59:AM59"/>
    <mergeCell ref="AG55:AM55"/>
    <mergeCell ref="AG56:AM56"/>
    <mergeCell ref="AG57:AM57"/>
    <mergeCell ref="AM47:AN47"/>
    <mergeCell ref="AM49:AP49"/>
    <mergeCell ref="AM50:AP50"/>
    <mergeCell ref="AN55:AP55"/>
    <mergeCell ref="AK33:AO33"/>
    <mergeCell ref="L33:P33"/>
    <mergeCell ref="W33:AE33"/>
    <mergeCell ref="AK35:AO35"/>
    <mergeCell ref="X35:AB35"/>
    <mergeCell ref="W31:AE31"/>
    <mergeCell ref="AK31:AO31"/>
    <mergeCell ref="AK32:AO32"/>
    <mergeCell ref="L32:P32"/>
    <mergeCell ref="W32:AE32"/>
    <mergeCell ref="BE5:BE32"/>
    <mergeCell ref="K5:AO5"/>
    <mergeCell ref="K6:AO6"/>
    <mergeCell ref="E14:AJ14"/>
    <mergeCell ref="E23:AN23"/>
    <mergeCell ref="AK26:AO26"/>
    <mergeCell ref="L28:P28"/>
    <mergeCell ref="W28:AE28"/>
    <mergeCell ref="AK28:AO28"/>
    <mergeCell ref="W29:AE29"/>
    <mergeCell ref="L29:P29"/>
    <mergeCell ref="AK29:AO29"/>
    <mergeCell ref="AK30:AO30"/>
    <mergeCell ref="L30:P30"/>
    <mergeCell ref="W30:AE30"/>
    <mergeCell ref="L31:P31"/>
    <mergeCell ref="D65:H65"/>
    <mergeCell ref="J65:AF65"/>
    <mergeCell ref="D66:H66"/>
    <mergeCell ref="J66:AF66"/>
    <mergeCell ref="AG54:AM54"/>
    <mergeCell ref="J64:AF64"/>
    <mergeCell ref="J60:AF60"/>
    <mergeCell ref="K62:AF62"/>
    <mergeCell ref="K63:AF63"/>
    <mergeCell ref="L45:AO45"/>
    <mergeCell ref="AN58:AP58"/>
    <mergeCell ref="AN63:AP63"/>
    <mergeCell ref="AN56:AP56"/>
    <mergeCell ref="AN52:AP52"/>
    <mergeCell ref="AN62:AP62"/>
    <mergeCell ref="AN61:AP61"/>
    <mergeCell ref="AN57:AP57"/>
    <mergeCell ref="AN60:AP60"/>
    <mergeCell ref="AN59:AP59"/>
    <mergeCell ref="AN64:AP64"/>
    <mergeCell ref="I52:AF52"/>
    <mergeCell ref="J61:AF61"/>
    <mergeCell ref="J57:AF57"/>
    <mergeCell ref="J59:AF59"/>
    <mergeCell ref="J55:AF55"/>
    <mergeCell ref="J58:AF58"/>
    <mergeCell ref="J56:AF56"/>
    <mergeCell ref="D60:H60"/>
    <mergeCell ref="D57:H57"/>
    <mergeCell ref="D64:H64"/>
    <mergeCell ref="D61:H61"/>
    <mergeCell ref="E62:I62"/>
    <mergeCell ref="E63:I63"/>
    <mergeCell ref="C52:G52"/>
    <mergeCell ref="D58:H58"/>
    <mergeCell ref="D59:H59"/>
    <mergeCell ref="D56:H56"/>
    <mergeCell ref="D55:H55"/>
  </mergeCells>
  <hyperlinks>
    <hyperlink ref="A55" location="'2023-003-a - SO-21 - Stav...'!C2" display="/" xr:uid="{00000000-0004-0000-0000-000000000000}"/>
    <hyperlink ref="A56" location="'2023-003-b - SO-21 - Elek...'!C2" display="/" xr:uid="{00000000-0004-0000-0000-000001000000}"/>
    <hyperlink ref="A57" location="'2023-003-c - SO-21 - Zdra...'!C2" display="/" xr:uid="{00000000-0004-0000-0000-000002000000}"/>
    <hyperlink ref="A58" location="'2023-003-d - SO-21 - Vytá...'!C2" display="/" xr:uid="{00000000-0004-0000-0000-000003000000}"/>
    <hyperlink ref="A59" location="'2023-003-i - SO-21 - bles...'!C2" display="/" xr:uid="{00000000-0004-0000-0000-000004000000}"/>
    <hyperlink ref="A60" location="'2023-003-g - SO-22 - potr...'!C2" display="/" xr:uid="{00000000-0004-0000-0000-000005000000}"/>
    <hyperlink ref="A62" location="'a - příprava území'!C2" display="/" xr:uid="{00000000-0004-0000-0000-000006000000}"/>
    <hyperlink ref="A63" location="'n - návrh'!C2" display="/" xr:uid="{00000000-0004-0000-0000-000007000000}"/>
    <hyperlink ref="A64" location="'2023-003-e - SO-24 - dešť...'!C2" display="/" xr:uid="{00000000-0004-0000-0000-000008000000}"/>
    <hyperlink ref="A65" location="'2023-003-f - SO-25 - vodo...'!C2" display="/" xr:uid="{00000000-0004-0000-0000-000009000000}"/>
    <hyperlink ref="A66" location="'2023-003-j - VRN'!C2" display="/" xr:uid="{00000000-0004-0000-0000-00000A000000}"/>
  </hyperlinks>
  <pageMargins left="0.39374999999999999" right="0.39374999999999999" top="0.39374999999999999" bottom="0.39374999999999999" header="0" footer="0"/>
  <pageSetup paperSize="9" fitToHeight="100" orientation="landscape" blackAndWhite="1"/>
  <headerFooter>
    <oddFooter>&amp;CStrana &amp;P z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BM404"/>
  <sheetViews>
    <sheetView showGridLines="0" tabSelected="1" topLeftCell="A251" workbookViewId="0">
      <selection activeCell="W291" sqref="W291"/>
    </sheetView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10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304" t="s">
        <v>6</v>
      </c>
      <c r="M2" s="289"/>
      <c r="N2" s="289"/>
      <c r="O2" s="289"/>
      <c r="P2" s="289"/>
      <c r="Q2" s="289"/>
      <c r="R2" s="289"/>
      <c r="S2" s="289"/>
      <c r="T2" s="289"/>
      <c r="U2" s="289"/>
      <c r="V2" s="289"/>
      <c r="AT2" s="18" t="s">
        <v>78</v>
      </c>
    </row>
    <row r="3" spans="2:46" ht="6.9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1"/>
      <c r="AT3" s="18" t="s">
        <v>79</v>
      </c>
    </row>
    <row r="4" spans="2:46" ht="24.95" customHeight="1">
      <c r="B4" s="21"/>
      <c r="D4" s="22" t="s">
        <v>114</v>
      </c>
      <c r="L4" s="21"/>
      <c r="M4" s="91" t="s">
        <v>11</v>
      </c>
      <c r="AT4" s="18" t="s">
        <v>4</v>
      </c>
    </row>
    <row r="5" spans="2:46" ht="6.95" customHeight="1">
      <c r="B5" s="21"/>
      <c r="L5" s="21"/>
    </row>
    <row r="6" spans="2:46" ht="12" customHeight="1">
      <c r="B6" s="21"/>
      <c r="D6" s="28" t="s">
        <v>17</v>
      </c>
      <c r="L6" s="21"/>
    </row>
    <row r="7" spans="2:46" ht="16.5" customHeight="1">
      <c r="B7" s="21"/>
      <c r="E7" s="319" t="str">
        <f>'Rekapitulace stavby'!K6</f>
        <v>SKLAD ŠKROBU P-001</v>
      </c>
      <c r="F7" s="320"/>
      <c r="G7" s="320"/>
      <c r="H7" s="320"/>
      <c r="L7" s="21"/>
    </row>
    <row r="8" spans="2:46" s="1" customFormat="1" ht="12" customHeight="1">
      <c r="B8" s="33"/>
      <c r="D8" s="28" t="s">
        <v>115</v>
      </c>
      <c r="L8" s="33"/>
    </row>
    <row r="9" spans="2:46" s="1" customFormat="1" ht="16.5" customHeight="1">
      <c r="B9" s="33"/>
      <c r="E9" s="282" t="s">
        <v>116</v>
      </c>
      <c r="F9" s="321"/>
      <c r="G9" s="321"/>
      <c r="H9" s="321"/>
      <c r="L9" s="33"/>
    </row>
    <row r="10" spans="2:46" s="1" customFormat="1" ht="11.25">
      <c r="B10" s="33"/>
      <c r="L10" s="33"/>
    </row>
    <row r="11" spans="2:46" s="1" customFormat="1" ht="12" customHeight="1">
      <c r="B11" s="33"/>
      <c r="D11" s="28" t="s">
        <v>19</v>
      </c>
      <c r="F11" s="26" t="s">
        <v>3</v>
      </c>
      <c r="I11" s="28" t="s">
        <v>20</v>
      </c>
      <c r="J11" s="26" t="s">
        <v>3</v>
      </c>
      <c r="L11" s="33"/>
    </row>
    <row r="12" spans="2:46" s="1" customFormat="1" ht="12" customHeight="1">
      <c r="B12" s="33"/>
      <c r="D12" s="28" t="s">
        <v>21</v>
      </c>
      <c r="F12" s="26" t="s">
        <v>22</v>
      </c>
      <c r="I12" s="28" t="s">
        <v>23</v>
      </c>
      <c r="J12" s="50">
        <f>'Rekapitulace stavby'!AN8</f>
        <v>45167</v>
      </c>
      <c r="L12" s="33"/>
    </row>
    <row r="13" spans="2:46" s="1" customFormat="1" ht="10.9" customHeight="1">
      <c r="B13" s="33"/>
      <c r="L13" s="33"/>
    </row>
    <row r="14" spans="2:46" s="1" customFormat="1" ht="12" customHeight="1">
      <c r="B14" s="33"/>
      <c r="D14" s="28" t="s">
        <v>24</v>
      </c>
      <c r="I14" s="28" t="s">
        <v>25</v>
      </c>
      <c r="J14" s="26" t="str">
        <f>IF('Rekapitulace stavby'!AN10="","",'Rekapitulace stavby'!AN10)</f>
        <v/>
      </c>
      <c r="L14" s="33"/>
    </row>
    <row r="15" spans="2:46" s="1" customFormat="1" ht="18" customHeight="1">
      <c r="B15" s="33"/>
      <c r="E15" s="26" t="str">
        <f>IF('Rekapitulace stavby'!E11="","",'Rekapitulace stavby'!E11)</f>
        <v xml:space="preserve"> </v>
      </c>
      <c r="I15" s="28" t="s">
        <v>26</v>
      </c>
      <c r="J15" s="26" t="str">
        <f>IF('Rekapitulace stavby'!AN11="","",'Rekapitulace stavby'!AN11)</f>
        <v/>
      </c>
      <c r="L15" s="33"/>
    </row>
    <row r="16" spans="2:46" s="1" customFormat="1" ht="6.95" customHeight="1">
      <c r="B16" s="33"/>
      <c r="L16" s="33"/>
    </row>
    <row r="17" spans="2:12" s="1" customFormat="1" ht="12" customHeight="1">
      <c r="B17" s="33"/>
      <c r="D17" s="28" t="s">
        <v>27</v>
      </c>
      <c r="I17" s="28" t="s">
        <v>25</v>
      </c>
      <c r="J17" s="29" t="str">
        <f>'Rekapitulace stavby'!AN13</f>
        <v>Vyplň údaj</v>
      </c>
      <c r="L17" s="33"/>
    </row>
    <row r="18" spans="2:12" s="1" customFormat="1" ht="18" customHeight="1">
      <c r="B18" s="33"/>
      <c r="E18" s="322" t="str">
        <f>'Rekapitulace stavby'!E14</f>
        <v>Vyplň údaj</v>
      </c>
      <c r="F18" s="288"/>
      <c r="G18" s="288"/>
      <c r="H18" s="288"/>
      <c r="I18" s="28" t="s">
        <v>26</v>
      </c>
      <c r="J18" s="29" t="str">
        <f>'Rekapitulace stavby'!AN14</f>
        <v>Vyplň údaj</v>
      </c>
      <c r="L18" s="33"/>
    </row>
    <row r="19" spans="2:12" s="1" customFormat="1" ht="6.95" customHeight="1">
      <c r="B19" s="33"/>
      <c r="L19" s="33"/>
    </row>
    <row r="20" spans="2:12" s="1" customFormat="1" ht="12" customHeight="1">
      <c r="B20" s="33"/>
      <c r="D20" s="28" t="s">
        <v>29</v>
      </c>
      <c r="I20" s="28" t="s">
        <v>25</v>
      </c>
      <c r="J20" s="26" t="str">
        <f>IF('Rekapitulace stavby'!AN16="","",'Rekapitulace stavby'!AN16)</f>
        <v/>
      </c>
      <c r="L20" s="33"/>
    </row>
    <row r="21" spans="2:12" s="1" customFormat="1" ht="18" customHeight="1">
      <c r="B21" s="33"/>
      <c r="E21" s="26" t="str">
        <f>IF('Rekapitulace stavby'!E17="","",'Rekapitulace stavby'!E17)</f>
        <v xml:space="preserve"> </v>
      </c>
      <c r="I21" s="28" t="s">
        <v>26</v>
      </c>
      <c r="J21" s="26" t="str">
        <f>IF('Rekapitulace stavby'!AN17="","",'Rekapitulace stavby'!AN17)</f>
        <v/>
      </c>
      <c r="L21" s="33"/>
    </row>
    <row r="22" spans="2:12" s="1" customFormat="1" ht="6.95" customHeight="1">
      <c r="B22" s="33"/>
      <c r="L22" s="33"/>
    </row>
    <row r="23" spans="2:12" s="1" customFormat="1" ht="12" customHeight="1">
      <c r="B23" s="33"/>
      <c r="D23" s="28" t="s">
        <v>31</v>
      </c>
      <c r="I23" s="28" t="s">
        <v>25</v>
      </c>
      <c r="J23" s="26" t="str">
        <f>IF('Rekapitulace stavby'!AN19="","",'Rekapitulace stavby'!AN19)</f>
        <v/>
      </c>
      <c r="L23" s="33"/>
    </row>
    <row r="24" spans="2:12" s="1" customFormat="1" ht="18" customHeight="1">
      <c r="B24" s="33"/>
      <c r="E24" s="26" t="str">
        <f>IF('Rekapitulace stavby'!E20="","",'Rekapitulace stavby'!E20)</f>
        <v>rostarek s.r.o.</v>
      </c>
      <c r="I24" s="28" t="s">
        <v>26</v>
      </c>
      <c r="J24" s="26" t="str">
        <f>IF('Rekapitulace stavby'!AN20="","",'Rekapitulace stavby'!AN20)</f>
        <v/>
      </c>
      <c r="L24" s="33"/>
    </row>
    <row r="25" spans="2:12" s="1" customFormat="1" ht="6.95" customHeight="1">
      <c r="B25" s="33"/>
      <c r="L25" s="33"/>
    </row>
    <row r="26" spans="2:12" s="1" customFormat="1" ht="12" customHeight="1">
      <c r="B26" s="33"/>
      <c r="D26" s="28" t="s">
        <v>33</v>
      </c>
      <c r="L26" s="33"/>
    </row>
    <row r="27" spans="2:12" s="7" customFormat="1" ht="16.5" customHeight="1">
      <c r="B27" s="92"/>
      <c r="E27" s="293" t="s">
        <v>3</v>
      </c>
      <c r="F27" s="293"/>
      <c r="G27" s="293"/>
      <c r="H27" s="293"/>
      <c r="L27" s="92"/>
    </row>
    <row r="28" spans="2:12" s="1" customFormat="1" ht="6.95" customHeight="1">
      <c r="B28" s="33"/>
      <c r="L28" s="33"/>
    </row>
    <row r="29" spans="2:12" s="1" customFormat="1" ht="6.95" customHeight="1">
      <c r="B29" s="33"/>
      <c r="D29" s="51"/>
      <c r="E29" s="51"/>
      <c r="F29" s="51"/>
      <c r="G29" s="51"/>
      <c r="H29" s="51"/>
      <c r="I29" s="51"/>
      <c r="J29" s="51"/>
      <c r="K29" s="51"/>
      <c r="L29" s="33"/>
    </row>
    <row r="30" spans="2:12" s="1" customFormat="1" ht="25.35" customHeight="1">
      <c r="B30" s="33"/>
      <c r="D30" s="93" t="s">
        <v>35</v>
      </c>
      <c r="J30" s="64">
        <f>ROUND(J95, 2)</f>
        <v>0</v>
      </c>
      <c r="L30" s="33"/>
    </row>
    <row r="31" spans="2:12" s="1" customFormat="1" ht="6.95" customHeight="1">
      <c r="B31" s="33"/>
      <c r="D31" s="51"/>
      <c r="E31" s="51"/>
      <c r="F31" s="51"/>
      <c r="G31" s="51"/>
      <c r="H31" s="51"/>
      <c r="I31" s="51"/>
      <c r="J31" s="51"/>
      <c r="K31" s="51"/>
      <c r="L31" s="33"/>
    </row>
    <row r="32" spans="2:12" s="1" customFormat="1" ht="14.45" customHeight="1">
      <c r="B32" s="33"/>
      <c r="F32" s="36" t="s">
        <v>37</v>
      </c>
      <c r="I32" s="36" t="s">
        <v>36</v>
      </c>
      <c r="J32" s="36" t="s">
        <v>38</v>
      </c>
      <c r="L32" s="33"/>
    </row>
    <row r="33" spans="2:12" s="1" customFormat="1" ht="14.45" customHeight="1">
      <c r="B33" s="33"/>
      <c r="D33" s="53" t="s">
        <v>39</v>
      </c>
      <c r="E33" s="28" t="s">
        <v>40</v>
      </c>
      <c r="F33" s="84">
        <f>ROUND((SUM(BE95:BE403)),  2)</f>
        <v>0</v>
      </c>
      <c r="I33" s="94">
        <v>0.21</v>
      </c>
      <c r="J33" s="84">
        <f>ROUND(((SUM(BE95:BE403))*I33),  2)</f>
        <v>0</v>
      </c>
      <c r="L33" s="33"/>
    </row>
    <row r="34" spans="2:12" s="1" customFormat="1" ht="14.45" customHeight="1">
      <c r="B34" s="33"/>
      <c r="E34" s="28" t="s">
        <v>41</v>
      </c>
      <c r="F34" s="84">
        <f>ROUND((SUM(BF95:BF403)),  2)</f>
        <v>0</v>
      </c>
      <c r="I34" s="94">
        <v>0.15</v>
      </c>
      <c r="J34" s="84">
        <f>ROUND(((SUM(BF95:BF403))*I34),  2)</f>
        <v>0</v>
      </c>
      <c r="L34" s="33"/>
    </row>
    <row r="35" spans="2:12" s="1" customFormat="1" ht="14.45" hidden="1" customHeight="1">
      <c r="B35" s="33"/>
      <c r="E35" s="28" t="s">
        <v>42</v>
      </c>
      <c r="F35" s="84">
        <f>ROUND((SUM(BG95:BG403)),  2)</f>
        <v>0</v>
      </c>
      <c r="I35" s="94">
        <v>0.21</v>
      </c>
      <c r="J35" s="84">
        <f>0</f>
        <v>0</v>
      </c>
      <c r="L35" s="33"/>
    </row>
    <row r="36" spans="2:12" s="1" customFormat="1" ht="14.45" hidden="1" customHeight="1">
      <c r="B36" s="33"/>
      <c r="E36" s="28" t="s">
        <v>43</v>
      </c>
      <c r="F36" s="84">
        <f>ROUND((SUM(BH95:BH403)),  2)</f>
        <v>0</v>
      </c>
      <c r="I36" s="94">
        <v>0.15</v>
      </c>
      <c r="J36" s="84">
        <f>0</f>
        <v>0</v>
      </c>
      <c r="L36" s="33"/>
    </row>
    <row r="37" spans="2:12" s="1" customFormat="1" ht="14.45" hidden="1" customHeight="1">
      <c r="B37" s="33"/>
      <c r="E37" s="28" t="s">
        <v>44</v>
      </c>
      <c r="F37" s="84">
        <f>ROUND((SUM(BI95:BI403)),  2)</f>
        <v>0</v>
      </c>
      <c r="I37" s="94">
        <v>0</v>
      </c>
      <c r="J37" s="84">
        <f>0</f>
        <v>0</v>
      </c>
      <c r="L37" s="33"/>
    </row>
    <row r="38" spans="2:12" s="1" customFormat="1" ht="6.95" customHeight="1">
      <c r="B38" s="33"/>
      <c r="L38" s="33"/>
    </row>
    <row r="39" spans="2:12" s="1" customFormat="1" ht="25.35" customHeight="1">
      <c r="B39" s="33"/>
      <c r="C39" s="95"/>
      <c r="D39" s="96" t="s">
        <v>45</v>
      </c>
      <c r="E39" s="55"/>
      <c r="F39" s="55"/>
      <c r="G39" s="97" t="s">
        <v>46</v>
      </c>
      <c r="H39" s="98" t="s">
        <v>47</v>
      </c>
      <c r="I39" s="55"/>
      <c r="J39" s="99">
        <f>SUM(J30:J37)</f>
        <v>0</v>
      </c>
      <c r="K39" s="100"/>
      <c r="L39" s="33"/>
    </row>
    <row r="40" spans="2:12" s="1" customFormat="1" ht="14.45" customHeight="1"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33"/>
    </row>
    <row r="44" spans="2:12" s="1" customFormat="1" ht="6.95" customHeight="1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33"/>
    </row>
    <row r="45" spans="2:12" s="1" customFormat="1" ht="24.95" customHeight="1">
      <c r="B45" s="33"/>
      <c r="C45" s="22" t="s">
        <v>117</v>
      </c>
      <c r="L45" s="33"/>
    </row>
    <row r="46" spans="2:12" s="1" customFormat="1" ht="6.95" customHeight="1">
      <c r="B46" s="33"/>
      <c r="L46" s="33"/>
    </row>
    <row r="47" spans="2:12" s="1" customFormat="1" ht="12" customHeight="1">
      <c r="B47" s="33"/>
      <c r="C47" s="28" t="s">
        <v>17</v>
      </c>
      <c r="L47" s="33"/>
    </row>
    <row r="48" spans="2:12" s="1" customFormat="1" ht="16.5" customHeight="1">
      <c r="B48" s="33"/>
      <c r="E48" s="319" t="str">
        <f>E7</f>
        <v>SKLAD ŠKROBU P-001</v>
      </c>
      <c r="F48" s="320"/>
      <c r="G48" s="320"/>
      <c r="H48" s="320"/>
      <c r="L48" s="33"/>
    </row>
    <row r="49" spans="2:47" s="1" customFormat="1" ht="12" customHeight="1">
      <c r="B49" s="33"/>
      <c r="C49" s="28" t="s">
        <v>115</v>
      </c>
      <c r="L49" s="33"/>
    </row>
    <row r="50" spans="2:47" s="1" customFormat="1" ht="16.5" customHeight="1">
      <c r="B50" s="33"/>
      <c r="E50" s="282" t="str">
        <f>E9</f>
        <v>2023/003/a - SO-21 - Stavební a konstrukční část</v>
      </c>
      <c r="F50" s="321"/>
      <c r="G50" s="321"/>
      <c r="H50" s="321"/>
      <c r="L50" s="33"/>
    </row>
    <row r="51" spans="2:47" s="1" customFormat="1" ht="6.95" customHeight="1">
      <c r="B51" s="33"/>
      <c r="L51" s="33"/>
    </row>
    <row r="52" spans="2:47" s="1" customFormat="1" ht="12" customHeight="1">
      <c r="B52" s="33"/>
      <c r="C52" s="28" t="s">
        <v>21</v>
      </c>
      <c r="F52" s="26" t="str">
        <f>F12</f>
        <v xml:space="preserve"> </v>
      </c>
      <c r="I52" s="28" t="s">
        <v>23</v>
      </c>
      <c r="J52" s="50">
        <f>IF(J12="","",J12)</f>
        <v>45167</v>
      </c>
      <c r="L52" s="33"/>
    </row>
    <row r="53" spans="2:47" s="1" customFormat="1" ht="6.95" customHeight="1">
      <c r="B53" s="33"/>
      <c r="L53" s="33"/>
    </row>
    <row r="54" spans="2:47" s="1" customFormat="1" ht="15.2" customHeight="1">
      <c r="B54" s="33"/>
      <c r="C54" s="28" t="s">
        <v>24</v>
      </c>
      <c r="F54" s="26" t="str">
        <f>E15</f>
        <v xml:space="preserve"> </v>
      </c>
      <c r="I54" s="28" t="s">
        <v>29</v>
      </c>
      <c r="J54" s="31" t="str">
        <f>E21</f>
        <v xml:space="preserve"> </v>
      </c>
      <c r="L54" s="33"/>
    </row>
    <row r="55" spans="2:47" s="1" customFormat="1" ht="15.2" customHeight="1">
      <c r="B55" s="33"/>
      <c r="C55" s="28" t="s">
        <v>27</v>
      </c>
      <c r="F55" s="26" t="str">
        <f>IF(E18="","",E18)</f>
        <v>Vyplň údaj</v>
      </c>
      <c r="I55" s="28" t="s">
        <v>31</v>
      </c>
      <c r="J55" s="31" t="str">
        <f>E24</f>
        <v>rostarek s.r.o.</v>
      </c>
      <c r="L55" s="33"/>
    </row>
    <row r="56" spans="2:47" s="1" customFormat="1" ht="10.35" customHeight="1">
      <c r="B56" s="33"/>
      <c r="L56" s="33"/>
    </row>
    <row r="57" spans="2:47" s="1" customFormat="1" ht="29.25" customHeight="1">
      <c r="B57" s="33"/>
      <c r="C57" s="101" t="s">
        <v>118</v>
      </c>
      <c r="D57" s="95"/>
      <c r="E57" s="95"/>
      <c r="F57" s="95"/>
      <c r="G57" s="95"/>
      <c r="H57" s="95"/>
      <c r="I57" s="95"/>
      <c r="J57" s="102" t="s">
        <v>119</v>
      </c>
      <c r="K57" s="95"/>
      <c r="L57" s="33"/>
    </row>
    <row r="58" spans="2:47" s="1" customFormat="1" ht="10.35" customHeight="1">
      <c r="B58" s="33"/>
      <c r="L58" s="33"/>
    </row>
    <row r="59" spans="2:47" s="1" customFormat="1" ht="22.9" customHeight="1">
      <c r="B59" s="33"/>
      <c r="C59" s="103" t="s">
        <v>67</v>
      </c>
      <c r="J59" s="64">
        <f>J95</f>
        <v>0</v>
      </c>
      <c r="L59" s="33"/>
      <c r="AU59" s="18" t="s">
        <v>120</v>
      </c>
    </row>
    <row r="60" spans="2:47" s="8" customFormat="1" ht="24.95" customHeight="1">
      <c r="B60" s="104"/>
      <c r="D60" s="105" t="s">
        <v>121</v>
      </c>
      <c r="E60" s="106"/>
      <c r="F60" s="106"/>
      <c r="G60" s="106"/>
      <c r="H60" s="106"/>
      <c r="I60" s="106"/>
      <c r="J60" s="107">
        <f>J96</f>
        <v>0</v>
      </c>
      <c r="L60" s="104"/>
    </row>
    <row r="61" spans="2:47" s="9" customFormat="1" ht="19.899999999999999" customHeight="1">
      <c r="B61" s="108"/>
      <c r="D61" s="109" t="s">
        <v>122</v>
      </c>
      <c r="E61" s="110"/>
      <c r="F61" s="110"/>
      <c r="G61" s="110"/>
      <c r="H61" s="110"/>
      <c r="I61" s="110"/>
      <c r="J61" s="111">
        <f>J97</f>
        <v>0</v>
      </c>
      <c r="L61" s="108"/>
    </row>
    <row r="62" spans="2:47" s="9" customFormat="1" ht="19.899999999999999" customHeight="1">
      <c r="B62" s="108"/>
      <c r="D62" s="109" t="s">
        <v>123</v>
      </c>
      <c r="E62" s="110"/>
      <c r="F62" s="110"/>
      <c r="G62" s="110"/>
      <c r="H62" s="110"/>
      <c r="I62" s="110"/>
      <c r="J62" s="111">
        <f>J120</f>
        <v>0</v>
      </c>
      <c r="L62" s="108"/>
    </row>
    <row r="63" spans="2:47" s="9" customFormat="1" ht="19.899999999999999" customHeight="1">
      <c r="B63" s="108"/>
      <c r="D63" s="109" t="s">
        <v>124</v>
      </c>
      <c r="E63" s="110"/>
      <c r="F63" s="110"/>
      <c r="G63" s="110"/>
      <c r="H63" s="110"/>
      <c r="I63" s="110"/>
      <c r="J63" s="111">
        <f>J201</f>
        <v>0</v>
      </c>
      <c r="L63" s="108"/>
    </row>
    <row r="64" spans="2:47" s="9" customFormat="1" ht="19.899999999999999" customHeight="1">
      <c r="B64" s="108"/>
      <c r="D64" s="109" t="s">
        <v>125</v>
      </c>
      <c r="E64" s="110"/>
      <c r="F64" s="110"/>
      <c r="G64" s="110"/>
      <c r="H64" s="110"/>
      <c r="I64" s="110"/>
      <c r="J64" s="111">
        <f>J233</f>
        <v>0</v>
      </c>
      <c r="L64" s="108"/>
    </row>
    <row r="65" spans="2:12" s="9" customFormat="1" ht="19.899999999999999" customHeight="1">
      <c r="B65" s="108"/>
      <c r="D65" s="109" t="s">
        <v>126</v>
      </c>
      <c r="E65" s="110"/>
      <c r="F65" s="110"/>
      <c r="G65" s="110"/>
      <c r="H65" s="110"/>
      <c r="I65" s="110"/>
      <c r="J65" s="111">
        <f>J268</f>
        <v>0</v>
      </c>
      <c r="L65" s="108"/>
    </row>
    <row r="66" spans="2:12" s="9" customFormat="1" ht="19.899999999999999" customHeight="1">
      <c r="B66" s="108"/>
      <c r="D66" s="109" t="s">
        <v>127</v>
      </c>
      <c r="E66" s="110"/>
      <c r="F66" s="110"/>
      <c r="G66" s="110"/>
      <c r="H66" s="110"/>
      <c r="I66" s="110"/>
      <c r="J66" s="111">
        <f>J278</f>
        <v>0</v>
      </c>
      <c r="L66" s="108"/>
    </row>
    <row r="67" spans="2:12" s="9" customFormat="1" ht="19.899999999999999" customHeight="1">
      <c r="B67" s="108"/>
      <c r="D67" s="109" t="s">
        <v>128</v>
      </c>
      <c r="E67" s="110"/>
      <c r="F67" s="110"/>
      <c r="G67" s="110"/>
      <c r="H67" s="110"/>
      <c r="I67" s="110"/>
      <c r="J67" s="111">
        <f>J288</f>
        <v>0</v>
      </c>
      <c r="L67" s="108"/>
    </row>
    <row r="68" spans="2:12" s="9" customFormat="1" ht="19.899999999999999" customHeight="1">
      <c r="B68" s="108"/>
      <c r="D68" s="109" t="s">
        <v>129</v>
      </c>
      <c r="E68" s="110"/>
      <c r="F68" s="110"/>
      <c r="G68" s="110"/>
      <c r="H68" s="110"/>
      <c r="I68" s="110"/>
      <c r="J68" s="111">
        <f>J308</f>
        <v>0</v>
      </c>
      <c r="L68" s="108"/>
    </row>
    <row r="69" spans="2:12" s="8" customFormat="1" ht="24.95" customHeight="1">
      <c r="B69" s="104"/>
      <c r="D69" s="105" t="s">
        <v>130</v>
      </c>
      <c r="E69" s="106"/>
      <c r="F69" s="106"/>
      <c r="G69" s="106"/>
      <c r="H69" s="106"/>
      <c r="I69" s="106"/>
      <c r="J69" s="107">
        <f>J311</f>
        <v>0</v>
      </c>
      <c r="L69" s="104"/>
    </row>
    <row r="70" spans="2:12" s="9" customFormat="1" ht="19.899999999999999" customHeight="1">
      <c r="B70" s="108"/>
      <c r="D70" s="109" t="s">
        <v>131</v>
      </c>
      <c r="E70" s="110"/>
      <c r="F70" s="110"/>
      <c r="G70" s="110"/>
      <c r="H70" s="110"/>
      <c r="I70" s="110"/>
      <c r="J70" s="111">
        <f>J312</f>
        <v>0</v>
      </c>
      <c r="L70" s="108"/>
    </row>
    <row r="71" spans="2:12" s="9" customFormat="1" ht="19.899999999999999" customHeight="1">
      <c r="B71" s="108"/>
      <c r="D71" s="109" t="s">
        <v>132</v>
      </c>
      <c r="E71" s="110"/>
      <c r="F71" s="110"/>
      <c r="G71" s="110"/>
      <c r="H71" s="110"/>
      <c r="I71" s="110"/>
      <c r="J71" s="111">
        <f>J329</f>
        <v>0</v>
      </c>
      <c r="L71" s="108"/>
    </row>
    <row r="72" spans="2:12" s="9" customFormat="1" ht="19.899999999999999" customHeight="1">
      <c r="B72" s="108"/>
      <c r="D72" s="109" t="s">
        <v>133</v>
      </c>
      <c r="E72" s="110"/>
      <c r="F72" s="110"/>
      <c r="G72" s="110"/>
      <c r="H72" s="110"/>
      <c r="I72" s="110"/>
      <c r="J72" s="111">
        <f>J352</f>
        <v>0</v>
      </c>
      <c r="L72" s="108"/>
    </row>
    <row r="73" spans="2:12" s="9" customFormat="1" ht="19.899999999999999" customHeight="1">
      <c r="B73" s="108"/>
      <c r="D73" s="109" t="s">
        <v>134</v>
      </c>
      <c r="E73" s="110"/>
      <c r="F73" s="110"/>
      <c r="G73" s="110"/>
      <c r="H73" s="110"/>
      <c r="I73" s="110"/>
      <c r="J73" s="111">
        <f>J361</f>
        <v>0</v>
      </c>
      <c r="L73" s="108"/>
    </row>
    <row r="74" spans="2:12" s="9" customFormat="1" ht="19.899999999999999" customHeight="1">
      <c r="B74" s="108"/>
      <c r="D74" s="109" t="s">
        <v>135</v>
      </c>
      <c r="E74" s="110"/>
      <c r="F74" s="110"/>
      <c r="G74" s="110"/>
      <c r="H74" s="110"/>
      <c r="I74" s="110"/>
      <c r="J74" s="111">
        <f>J375</f>
        <v>0</v>
      </c>
      <c r="L74" s="108"/>
    </row>
    <row r="75" spans="2:12" s="9" customFormat="1" ht="19.899999999999999" customHeight="1">
      <c r="B75" s="108"/>
      <c r="D75" s="109" t="s">
        <v>136</v>
      </c>
      <c r="E75" s="110"/>
      <c r="F75" s="110"/>
      <c r="G75" s="110"/>
      <c r="H75" s="110"/>
      <c r="I75" s="110"/>
      <c r="J75" s="111">
        <f>J389</f>
        <v>0</v>
      </c>
      <c r="L75" s="108"/>
    </row>
    <row r="76" spans="2:12" s="1" customFormat="1" ht="21.75" customHeight="1">
      <c r="B76" s="33"/>
      <c r="L76" s="33"/>
    </row>
    <row r="77" spans="2:12" s="1" customFormat="1" ht="6.95" customHeight="1">
      <c r="B77" s="42"/>
      <c r="C77" s="43"/>
      <c r="D77" s="43"/>
      <c r="E77" s="43"/>
      <c r="F77" s="43"/>
      <c r="G77" s="43"/>
      <c r="H77" s="43"/>
      <c r="I77" s="43"/>
      <c r="J77" s="43"/>
      <c r="K77" s="43"/>
      <c r="L77" s="33"/>
    </row>
    <row r="81" spans="2:63" s="1" customFormat="1" ht="6.95" customHeight="1">
      <c r="B81" s="44"/>
      <c r="C81" s="45"/>
      <c r="D81" s="45"/>
      <c r="E81" s="45"/>
      <c r="F81" s="45"/>
      <c r="G81" s="45"/>
      <c r="H81" s="45"/>
      <c r="I81" s="45"/>
      <c r="J81" s="45"/>
      <c r="K81" s="45"/>
      <c r="L81" s="33"/>
    </row>
    <row r="82" spans="2:63" s="1" customFormat="1" ht="24.95" customHeight="1">
      <c r="B82" s="33"/>
      <c r="C82" s="22" t="s">
        <v>137</v>
      </c>
      <c r="L82" s="33"/>
    </row>
    <row r="83" spans="2:63" s="1" customFormat="1" ht="6.95" customHeight="1">
      <c r="B83" s="33"/>
      <c r="L83" s="33"/>
    </row>
    <row r="84" spans="2:63" s="1" customFormat="1" ht="12" customHeight="1">
      <c r="B84" s="33"/>
      <c r="C84" s="28" t="s">
        <v>17</v>
      </c>
      <c r="L84" s="33"/>
    </row>
    <row r="85" spans="2:63" s="1" customFormat="1" ht="16.5" customHeight="1">
      <c r="B85" s="33"/>
      <c r="E85" s="319" t="str">
        <f>E7</f>
        <v>SKLAD ŠKROBU P-001</v>
      </c>
      <c r="F85" s="320"/>
      <c r="G85" s="320"/>
      <c r="H85" s="320"/>
      <c r="L85" s="33"/>
    </row>
    <row r="86" spans="2:63" s="1" customFormat="1" ht="12" customHeight="1">
      <c r="B86" s="33"/>
      <c r="C86" s="28" t="s">
        <v>115</v>
      </c>
      <c r="L86" s="33"/>
    </row>
    <row r="87" spans="2:63" s="1" customFormat="1" ht="16.5" customHeight="1">
      <c r="B87" s="33"/>
      <c r="E87" s="282" t="str">
        <f>E9</f>
        <v>2023/003/a - SO-21 - Stavební a konstrukční část</v>
      </c>
      <c r="F87" s="321"/>
      <c r="G87" s="321"/>
      <c r="H87" s="321"/>
      <c r="L87" s="33"/>
    </row>
    <row r="88" spans="2:63" s="1" customFormat="1" ht="6.95" customHeight="1">
      <c r="B88" s="33"/>
      <c r="L88" s="33"/>
    </row>
    <row r="89" spans="2:63" s="1" customFormat="1" ht="12" customHeight="1">
      <c r="B89" s="33"/>
      <c r="C89" s="28" t="s">
        <v>21</v>
      </c>
      <c r="F89" s="26" t="str">
        <f>F12</f>
        <v xml:space="preserve"> </v>
      </c>
      <c r="I89" s="28" t="s">
        <v>23</v>
      </c>
      <c r="J89" s="50">
        <f>IF(J12="","",J12)</f>
        <v>45167</v>
      </c>
      <c r="L89" s="33"/>
    </row>
    <row r="90" spans="2:63" s="1" customFormat="1" ht="6.95" customHeight="1">
      <c r="B90" s="33"/>
      <c r="L90" s="33"/>
    </row>
    <row r="91" spans="2:63" s="1" customFormat="1" ht="15.2" customHeight="1">
      <c r="B91" s="33"/>
      <c r="C91" s="28" t="s">
        <v>24</v>
      </c>
      <c r="F91" s="26" t="str">
        <f>E15</f>
        <v xml:space="preserve"> </v>
      </c>
      <c r="I91" s="28" t="s">
        <v>29</v>
      </c>
      <c r="J91" s="31" t="str">
        <f>E21</f>
        <v xml:space="preserve"> </v>
      </c>
      <c r="L91" s="33"/>
    </row>
    <row r="92" spans="2:63" s="1" customFormat="1" ht="15.2" customHeight="1">
      <c r="B92" s="33"/>
      <c r="C92" s="28" t="s">
        <v>27</v>
      </c>
      <c r="F92" s="26" t="str">
        <f>IF(E18="","",E18)</f>
        <v>Vyplň údaj</v>
      </c>
      <c r="I92" s="28" t="s">
        <v>31</v>
      </c>
      <c r="J92" s="31" t="str">
        <f>E24</f>
        <v>rostarek s.r.o.</v>
      </c>
      <c r="L92" s="33"/>
    </row>
    <row r="93" spans="2:63" s="1" customFormat="1" ht="10.35" customHeight="1">
      <c r="B93" s="33"/>
      <c r="L93" s="33"/>
    </row>
    <row r="94" spans="2:63" s="10" customFormat="1" ht="29.25" customHeight="1">
      <c r="B94" s="112"/>
      <c r="C94" s="113" t="s">
        <v>138</v>
      </c>
      <c r="D94" s="114" t="s">
        <v>54</v>
      </c>
      <c r="E94" s="114" t="s">
        <v>50</v>
      </c>
      <c r="F94" s="114" t="s">
        <v>51</v>
      </c>
      <c r="G94" s="114" t="s">
        <v>139</v>
      </c>
      <c r="H94" s="114" t="s">
        <v>140</v>
      </c>
      <c r="I94" s="114" t="s">
        <v>141</v>
      </c>
      <c r="J94" s="114" t="s">
        <v>119</v>
      </c>
      <c r="K94" s="115" t="s">
        <v>142</v>
      </c>
      <c r="L94" s="112"/>
      <c r="M94" s="57" t="s">
        <v>3</v>
      </c>
      <c r="N94" s="58" t="s">
        <v>39</v>
      </c>
      <c r="O94" s="58" t="s">
        <v>143</v>
      </c>
      <c r="P94" s="58" t="s">
        <v>144</v>
      </c>
      <c r="Q94" s="58" t="s">
        <v>145</v>
      </c>
      <c r="R94" s="58" t="s">
        <v>146</v>
      </c>
      <c r="S94" s="58" t="s">
        <v>147</v>
      </c>
      <c r="T94" s="59" t="s">
        <v>148</v>
      </c>
    </row>
    <row r="95" spans="2:63" s="1" customFormat="1" ht="22.9" customHeight="1">
      <c r="B95" s="33"/>
      <c r="C95" s="62" t="s">
        <v>149</v>
      </c>
      <c r="J95" s="116">
        <f>BK95</f>
        <v>0</v>
      </c>
      <c r="L95" s="33"/>
      <c r="M95" s="60"/>
      <c r="N95" s="51"/>
      <c r="O95" s="51"/>
      <c r="P95" s="117">
        <f>P96+P311</f>
        <v>0</v>
      </c>
      <c r="Q95" s="51"/>
      <c r="R95" s="117">
        <f>R96+R311</f>
        <v>2156.9795465699995</v>
      </c>
      <c r="S95" s="51"/>
      <c r="T95" s="118">
        <f>T96+T311</f>
        <v>30</v>
      </c>
      <c r="AT95" s="18" t="s">
        <v>68</v>
      </c>
      <c r="AU95" s="18" t="s">
        <v>120</v>
      </c>
      <c r="BK95" s="119">
        <f>BK96+BK311</f>
        <v>0</v>
      </c>
    </row>
    <row r="96" spans="2:63" s="11" customFormat="1" ht="25.9" customHeight="1">
      <c r="B96" s="120"/>
      <c r="D96" s="121" t="s">
        <v>68</v>
      </c>
      <c r="E96" s="122" t="s">
        <v>150</v>
      </c>
      <c r="F96" s="122" t="s">
        <v>150</v>
      </c>
      <c r="I96" s="123"/>
      <c r="J96" s="124">
        <f>BK96</f>
        <v>0</v>
      </c>
      <c r="L96" s="120"/>
      <c r="M96" s="125"/>
      <c r="P96" s="126">
        <f>P97+P120+P201+P233+P268+P278+P288+P308</f>
        <v>0</v>
      </c>
      <c r="R96" s="126">
        <f>R97+R120+R201+R233+R268+R278+R288+R308</f>
        <v>2148.6546156699997</v>
      </c>
      <c r="T96" s="127">
        <f>T97+T120+T201+T233+T268+T278+T288+T308</f>
        <v>30</v>
      </c>
      <c r="AR96" s="121" t="s">
        <v>77</v>
      </c>
      <c r="AT96" s="128" t="s">
        <v>68</v>
      </c>
      <c r="AU96" s="128" t="s">
        <v>69</v>
      </c>
      <c r="AY96" s="121" t="s">
        <v>151</v>
      </c>
      <c r="BK96" s="129">
        <f>BK97+BK120+BK201+BK233+BK268+BK278+BK288+BK308</f>
        <v>0</v>
      </c>
    </row>
    <row r="97" spans="2:65" s="11" customFormat="1" ht="22.9" customHeight="1">
      <c r="B97" s="120"/>
      <c r="D97" s="121" t="s">
        <v>68</v>
      </c>
      <c r="E97" s="130" t="s">
        <v>77</v>
      </c>
      <c r="F97" s="130" t="s">
        <v>152</v>
      </c>
      <c r="I97" s="123"/>
      <c r="J97" s="131">
        <f>BK97</f>
        <v>0</v>
      </c>
      <c r="L97" s="120"/>
      <c r="M97" s="125"/>
      <c r="P97" s="126">
        <f>SUM(P98:P119)</f>
        <v>0</v>
      </c>
      <c r="R97" s="126">
        <f>SUM(R98:R119)</f>
        <v>0</v>
      </c>
      <c r="T97" s="127">
        <f>SUM(T98:T119)</f>
        <v>0</v>
      </c>
      <c r="AR97" s="121" t="s">
        <v>77</v>
      </c>
      <c r="AT97" s="128" t="s">
        <v>68</v>
      </c>
      <c r="AU97" s="128" t="s">
        <v>77</v>
      </c>
      <c r="AY97" s="121" t="s">
        <v>151</v>
      </c>
      <c r="BK97" s="129">
        <f>SUM(BK98:BK119)</f>
        <v>0</v>
      </c>
    </row>
    <row r="98" spans="2:65" s="1" customFormat="1" ht="24.2" customHeight="1">
      <c r="B98" s="132"/>
      <c r="C98" s="133" t="s">
        <v>79</v>
      </c>
      <c r="D98" s="133" t="s">
        <v>153</v>
      </c>
      <c r="E98" s="134" t="s">
        <v>154</v>
      </c>
      <c r="F98" s="135" t="s">
        <v>155</v>
      </c>
      <c r="G98" s="136" t="s">
        <v>156</v>
      </c>
      <c r="H98" s="137">
        <v>377.7</v>
      </c>
      <c r="I98" s="138"/>
      <c r="J98" s="139">
        <f>ROUND(I98*H98,2)</f>
        <v>0</v>
      </c>
      <c r="K98" s="135" t="s">
        <v>157</v>
      </c>
      <c r="L98" s="33"/>
      <c r="M98" s="140" t="s">
        <v>3</v>
      </c>
      <c r="N98" s="141" t="s">
        <v>40</v>
      </c>
      <c r="P98" s="142">
        <f>O98*H98</f>
        <v>0</v>
      </c>
      <c r="Q98" s="142">
        <v>0</v>
      </c>
      <c r="R98" s="142">
        <f>Q98*H98</f>
        <v>0</v>
      </c>
      <c r="S98" s="142">
        <v>0</v>
      </c>
      <c r="T98" s="143">
        <f>S98*H98</f>
        <v>0</v>
      </c>
      <c r="AR98" s="144" t="s">
        <v>158</v>
      </c>
      <c r="AT98" s="144" t="s">
        <v>153</v>
      </c>
      <c r="AU98" s="144" t="s">
        <v>79</v>
      </c>
      <c r="AY98" s="18" t="s">
        <v>151</v>
      </c>
      <c r="BE98" s="145">
        <f>IF(N98="základní",J98,0)</f>
        <v>0</v>
      </c>
      <c r="BF98" s="145">
        <f>IF(N98="snížená",J98,0)</f>
        <v>0</v>
      </c>
      <c r="BG98" s="145">
        <f>IF(N98="zákl. přenesená",J98,0)</f>
        <v>0</v>
      </c>
      <c r="BH98" s="145">
        <f>IF(N98="sníž. přenesená",J98,0)</f>
        <v>0</v>
      </c>
      <c r="BI98" s="145">
        <f>IF(N98="nulová",J98,0)</f>
        <v>0</v>
      </c>
      <c r="BJ98" s="18" t="s">
        <v>77</v>
      </c>
      <c r="BK98" s="145">
        <f>ROUND(I98*H98,2)</f>
        <v>0</v>
      </c>
      <c r="BL98" s="18" t="s">
        <v>158</v>
      </c>
      <c r="BM98" s="144" t="s">
        <v>159</v>
      </c>
    </row>
    <row r="99" spans="2:65" s="1" customFormat="1" ht="11.25">
      <c r="B99" s="33"/>
      <c r="D99" s="146" t="s">
        <v>160</v>
      </c>
      <c r="F99" s="147" t="s">
        <v>161</v>
      </c>
      <c r="I99" s="148"/>
      <c r="L99" s="33"/>
      <c r="M99" s="149"/>
      <c r="T99" s="54"/>
      <c r="AT99" s="18" t="s">
        <v>160</v>
      </c>
      <c r="AU99" s="18" t="s">
        <v>79</v>
      </c>
    </row>
    <row r="100" spans="2:65" s="12" customFormat="1" ht="11.25">
      <c r="B100" s="150"/>
      <c r="D100" s="151" t="s">
        <v>162</v>
      </c>
      <c r="E100" s="152" t="s">
        <v>3</v>
      </c>
      <c r="F100" s="153" t="s">
        <v>163</v>
      </c>
      <c r="H100" s="154">
        <v>208.63</v>
      </c>
      <c r="I100" s="155"/>
      <c r="L100" s="150"/>
      <c r="M100" s="156"/>
      <c r="T100" s="157"/>
      <c r="AT100" s="152" t="s">
        <v>162</v>
      </c>
      <c r="AU100" s="152" t="s">
        <v>79</v>
      </c>
      <c r="AV100" s="12" t="s">
        <v>79</v>
      </c>
      <c r="AW100" s="12" t="s">
        <v>30</v>
      </c>
      <c r="AX100" s="12" t="s">
        <v>69</v>
      </c>
      <c r="AY100" s="152" t="s">
        <v>151</v>
      </c>
    </row>
    <row r="101" spans="2:65" s="12" customFormat="1" ht="11.25">
      <c r="B101" s="150"/>
      <c r="D101" s="151" t="s">
        <v>162</v>
      </c>
      <c r="E101" s="152" t="s">
        <v>3</v>
      </c>
      <c r="F101" s="153" t="s">
        <v>164</v>
      </c>
      <c r="H101" s="154">
        <v>61.95</v>
      </c>
      <c r="I101" s="155"/>
      <c r="L101" s="150"/>
      <c r="M101" s="156"/>
      <c r="T101" s="157"/>
      <c r="AT101" s="152" t="s">
        <v>162</v>
      </c>
      <c r="AU101" s="152" t="s">
        <v>79</v>
      </c>
      <c r="AV101" s="12" t="s">
        <v>79</v>
      </c>
      <c r="AW101" s="12" t="s">
        <v>30</v>
      </c>
      <c r="AX101" s="12" t="s">
        <v>69</v>
      </c>
      <c r="AY101" s="152" t="s">
        <v>151</v>
      </c>
    </row>
    <row r="102" spans="2:65" s="12" customFormat="1" ht="11.25">
      <c r="B102" s="150"/>
      <c r="D102" s="151" t="s">
        <v>162</v>
      </c>
      <c r="E102" s="152" t="s">
        <v>3</v>
      </c>
      <c r="F102" s="153" t="s">
        <v>165</v>
      </c>
      <c r="H102" s="154">
        <v>47.12</v>
      </c>
      <c r="I102" s="155"/>
      <c r="L102" s="150"/>
      <c r="M102" s="156"/>
      <c r="T102" s="157"/>
      <c r="AT102" s="152" t="s">
        <v>162</v>
      </c>
      <c r="AU102" s="152" t="s">
        <v>79</v>
      </c>
      <c r="AV102" s="12" t="s">
        <v>79</v>
      </c>
      <c r="AW102" s="12" t="s">
        <v>30</v>
      </c>
      <c r="AX102" s="12" t="s">
        <v>69</v>
      </c>
      <c r="AY102" s="152" t="s">
        <v>151</v>
      </c>
    </row>
    <row r="103" spans="2:65" s="12" customFormat="1" ht="11.25">
      <c r="B103" s="150"/>
      <c r="D103" s="151" t="s">
        <v>162</v>
      </c>
      <c r="E103" s="152" t="s">
        <v>3</v>
      </c>
      <c r="F103" s="153" t="s">
        <v>166</v>
      </c>
      <c r="H103" s="154">
        <v>60</v>
      </c>
      <c r="I103" s="155"/>
      <c r="L103" s="150"/>
      <c r="M103" s="156"/>
      <c r="T103" s="157"/>
      <c r="AT103" s="152" t="s">
        <v>162</v>
      </c>
      <c r="AU103" s="152" t="s">
        <v>79</v>
      </c>
      <c r="AV103" s="12" t="s">
        <v>79</v>
      </c>
      <c r="AW103" s="12" t="s">
        <v>30</v>
      </c>
      <c r="AX103" s="12" t="s">
        <v>69</v>
      </c>
      <c r="AY103" s="152" t="s">
        <v>151</v>
      </c>
    </row>
    <row r="104" spans="2:65" s="13" customFormat="1" ht="11.25">
      <c r="B104" s="158"/>
      <c r="D104" s="151" t="s">
        <v>162</v>
      </c>
      <c r="E104" s="159" t="s">
        <v>3</v>
      </c>
      <c r="F104" s="160" t="s">
        <v>167</v>
      </c>
      <c r="H104" s="161">
        <v>377.7</v>
      </c>
      <c r="I104" s="162"/>
      <c r="L104" s="158"/>
      <c r="M104" s="163"/>
      <c r="T104" s="164"/>
      <c r="AT104" s="159" t="s">
        <v>162</v>
      </c>
      <c r="AU104" s="159" t="s">
        <v>79</v>
      </c>
      <c r="AV104" s="13" t="s">
        <v>158</v>
      </c>
      <c r="AW104" s="13" t="s">
        <v>30</v>
      </c>
      <c r="AX104" s="13" t="s">
        <v>77</v>
      </c>
      <c r="AY104" s="159" t="s">
        <v>151</v>
      </c>
    </row>
    <row r="105" spans="2:65" s="1" customFormat="1" ht="37.9" customHeight="1">
      <c r="B105" s="132"/>
      <c r="C105" s="133" t="s">
        <v>168</v>
      </c>
      <c r="D105" s="133" t="s">
        <v>153</v>
      </c>
      <c r="E105" s="134" t="s">
        <v>169</v>
      </c>
      <c r="F105" s="135" t="s">
        <v>170</v>
      </c>
      <c r="G105" s="136" t="s">
        <v>156</v>
      </c>
      <c r="H105" s="137">
        <v>377.7</v>
      </c>
      <c r="I105" s="138"/>
      <c r="J105" s="139">
        <f>ROUND(I105*H105,2)</f>
        <v>0</v>
      </c>
      <c r="K105" s="135" t="s">
        <v>171</v>
      </c>
      <c r="L105" s="33"/>
      <c r="M105" s="140" t="s">
        <v>3</v>
      </c>
      <c r="N105" s="141" t="s">
        <v>40</v>
      </c>
      <c r="P105" s="142">
        <f>O105*H105</f>
        <v>0</v>
      </c>
      <c r="Q105" s="142">
        <v>0</v>
      </c>
      <c r="R105" s="142">
        <f>Q105*H105</f>
        <v>0</v>
      </c>
      <c r="S105" s="142">
        <v>0</v>
      </c>
      <c r="T105" s="143">
        <f>S105*H105</f>
        <v>0</v>
      </c>
      <c r="AR105" s="144" t="s">
        <v>158</v>
      </c>
      <c r="AT105" s="144" t="s">
        <v>153</v>
      </c>
      <c r="AU105" s="144" t="s">
        <v>79</v>
      </c>
      <c r="AY105" s="18" t="s">
        <v>151</v>
      </c>
      <c r="BE105" s="145">
        <f>IF(N105="základní",J105,0)</f>
        <v>0</v>
      </c>
      <c r="BF105" s="145">
        <f>IF(N105="snížená",J105,0)</f>
        <v>0</v>
      </c>
      <c r="BG105" s="145">
        <f>IF(N105="zákl. přenesená",J105,0)</f>
        <v>0</v>
      </c>
      <c r="BH105" s="145">
        <f>IF(N105="sníž. přenesená",J105,0)</f>
        <v>0</v>
      </c>
      <c r="BI105" s="145">
        <f>IF(N105="nulová",J105,0)</f>
        <v>0</v>
      </c>
      <c r="BJ105" s="18" t="s">
        <v>77</v>
      </c>
      <c r="BK105" s="145">
        <f>ROUND(I105*H105,2)</f>
        <v>0</v>
      </c>
      <c r="BL105" s="18" t="s">
        <v>158</v>
      </c>
      <c r="BM105" s="144" t="s">
        <v>172</v>
      </c>
    </row>
    <row r="106" spans="2:65" s="1" customFormat="1" ht="11.25">
      <c r="B106" s="33"/>
      <c r="D106" s="146" t="s">
        <v>160</v>
      </c>
      <c r="F106" s="147" t="s">
        <v>173</v>
      </c>
      <c r="I106" s="148"/>
      <c r="L106" s="33"/>
      <c r="M106" s="149"/>
      <c r="T106" s="54"/>
      <c r="AT106" s="18" t="s">
        <v>160</v>
      </c>
      <c r="AU106" s="18" t="s">
        <v>79</v>
      </c>
    </row>
    <row r="107" spans="2:65" s="12" customFormat="1" ht="11.25">
      <c r="B107" s="150"/>
      <c r="D107" s="151" t="s">
        <v>162</v>
      </c>
      <c r="E107" s="152" t="s">
        <v>3</v>
      </c>
      <c r="F107" s="153" t="s">
        <v>174</v>
      </c>
      <c r="H107" s="154">
        <v>377.7</v>
      </c>
      <c r="I107" s="155"/>
      <c r="L107" s="150"/>
      <c r="M107" s="156"/>
      <c r="T107" s="157"/>
      <c r="AT107" s="152" t="s">
        <v>162</v>
      </c>
      <c r="AU107" s="152" t="s">
        <v>79</v>
      </c>
      <c r="AV107" s="12" t="s">
        <v>79</v>
      </c>
      <c r="AW107" s="12" t="s">
        <v>30</v>
      </c>
      <c r="AX107" s="12" t="s">
        <v>69</v>
      </c>
      <c r="AY107" s="152" t="s">
        <v>151</v>
      </c>
    </row>
    <row r="108" spans="2:65" s="13" customFormat="1" ht="11.25">
      <c r="B108" s="158"/>
      <c r="D108" s="151" t="s">
        <v>162</v>
      </c>
      <c r="E108" s="159" t="s">
        <v>3</v>
      </c>
      <c r="F108" s="160" t="s">
        <v>167</v>
      </c>
      <c r="H108" s="161">
        <v>377.7</v>
      </c>
      <c r="I108" s="162"/>
      <c r="L108" s="158"/>
      <c r="M108" s="163"/>
      <c r="T108" s="164"/>
      <c r="AT108" s="159" t="s">
        <v>162</v>
      </c>
      <c r="AU108" s="159" t="s">
        <v>79</v>
      </c>
      <c r="AV108" s="13" t="s">
        <v>158</v>
      </c>
      <c r="AW108" s="13" t="s">
        <v>30</v>
      </c>
      <c r="AX108" s="13" t="s">
        <v>77</v>
      </c>
      <c r="AY108" s="159" t="s">
        <v>151</v>
      </c>
    </row>
    <row r="109" spans="2:65" s="1" customFormat="1" ht="37.9" customHeight="1">
      <c r="B109" s="132"/>
      <c r="C109" s="133" t="s">
        <v>158</v>
      </c>
      <c r="D109" s="133" t="s">
        <v>153</v>
      </c>
      <c r="E109" s="134" t="s">
        <v>175</v>
      </c>
      <c r="F109" s="135" t="s">
        <v>176</v>
      </c>
      <c r="G109" s="136" t="s">
        <v>156</v>
      </c>
      <c r="H109" s="137">
        <v>7554</v>
      </c>
      <c r="I109" s="138"/>
      <c r="J109" s="139">
        <f>ROUND(I109*H109,2)</f>
        <v>0</v>
      </c>
      <c r="K109" s="135" t="s">
        <v>171</v>
      </c>
      <c r="L109" s="33"/>
      <c r="M109" s="140" t="s">
        <v>3</v>
      </c>
      <c r="N109" s="141" t="s">
        <v>40</v>
      </c>
      <c r="P109" s="142">
        <f>O109*H109</f>
        <v>0</v>
      </c>
      <c r="Q109" s="142">
        <v>0</v>
      </c>
      <c r="R109" s="142">
        <f>Q109*H109</f>
        <v>0</v>
      </c>
      <c r="S109" s="142">
        <v>0</v>
      </c>
      <c r="T109" s="143">
        <f>S109*H109</f>
        <v>0</v>
      </c>
      <c r="AR109" s="144" t="s">
        <v>158</v>
      </c>
      <c r="AT109" s="144" t="s">
        <v>153</v>
      </c>
      <c r="AU109" s="144" t="s">
        <v>79</v>
      </c>
      <c r="AY109" s="18" t="s">
        <v>151</v>
      </c>
      <c r="BE109" s="145">
        <f>IF(N109="základní",J109,0)</f>
        <v>0</v>
      </c>
      <c r="BF109" s="145">
        <f>IF(N109="snížená",J109,0)</f>
        <v>0</v>
      </c>
      <c r="BG109" s="145">
        <f>IF(N109="zákl. přenesená",J109,0)</f>
        <v>0</v>
      </c>
      <c r="BH109" s="145">
        <f>IF(N109="sníž. přenesená",J109,0)</f>
        <v>0</v>
      </c>
      <c r="BI109" s="145">
        <f>IF(N109="nulová",J109,0)</f>
        <v>0</v>
      </c>
      <c r="BJ109" s="18" t="s">
        <v>77</v>
      </c>
      <c r="BK109" s="145">
        <f>ROUND(I109*H109,2)</f>
        <v>0</v>
      </c>
      <c r="BL109" s="18" t="s">
        <v>158</v>
      </c>
      <c r="BM109" s="144" t="s">
        <v>177</v>
      </c>
    </row>
    <row r="110" spans="2:65" s="1" customFormat="1" ht="11.25">
      <c r="B110" s="33"/>
      <c r="D110" s="146" t="s">
        <v>160</v>
      </c>
      <c r="F110" s="147" t="s">
        <v>178</v>
      </c>
      <c r="I110" s="148"/>
      <c r="L110" s="33"/>
      <c r="M110" s="149"/>
      <c r="T110" s="54"/>
      <c r="AT110" s="18" t="s">
        <v>160</v>
      </c>
      <c r="AU110" s="18" t="s">
        <v>79</v>
      </c>
    </row>
    <row r="111" spans="2:65" s="12" customFormat="1" ht="11.25">
      <c r="B111" s="150"/>
      <c r="D111" s="151" t="s">
        <v>162</v>
      </c>
      <c r="E111" s="152" t="s">
        <v>3</v>
      </c>
      <c r="F111" s="153" t="s">
        <v>179</v>
      </c>
      <c r="H111" s="154">
        <v>7554</v>
      </c>
      <c r="I111" s="155"/>
      <c r="L111" s="150"/>
      <c r="M111" s="156"/>
      <c r="T111" s="157"/>
      <c r="AT111" s="152" t="s">
        <v>162</v>
      </c>
      <c r="AU111" s="152" t="s">
        <v>79</v>
      </c>
      <c r="AV111" s="12" t="s">
        <v>79</v>
      </c>
      <c r="AW111" s="12" t="s">
        <v>30</v>
      </c>
      <c r="AX111" s="12" t="s">
        <v>77</v>
      </c>
      <c r="AY111" s="152" t="s">
        <v>151</v>
      </c>
    </row>
    <row r="112" spans="2:65" s="1" customFormat="1" ht="24.2" customHeight="1">
      <c r="B112" s="132"/>
      <c r="C112" s="133" t="s">
        <v>180</v>
      </c>
      <c r="D112" s="133" t="s">
        <v>153</v>
      </c>
      <c r="E112" s="134" t="s">
        <v>181</v>
      </c>
      <c r="F112" s="135" t="s">
        <v>182</v>
      </c>
      <c r="G112" s="136" t="s">
        <v>183</v>
      </c>
      <c r="H112" s="137">
        <v>680.04</v>
      </c>
      <c r="I112" s="138"/>
      <c r="J112" s="139">
        <f>ROUND(I112*H112,2)</f>
        <v>0</v>
      </c>
      <c r="K112" s="135" t="s">
        <v>171</v>
      </c>
      <c r="L112" s="33"/>
      <c r="M112" s="140" t="s">
        <v>3</v>
      </c>
      <c r="N112" s="141" t="s">
        <v>40</v>
      </c>
      <c r="P112" s="142">
        <f>O112*H112</f>
        <v>0</v>
      </c>
      <c r="Q112" s="142">
        <v>0</v>
      </c>
      <c r="R112" s="142">
        <f>Q112*H112</f>
        <v>0</v>
      </c>
      <c r="S112" s="142">
        <v>0</v>
      </c>
      <c r="T112" s="143">
        <f>S112*H112</f>
        <v>0</v>
      </c>
      <c r="AR112" s="144" t="s">
        <v>158</v>
      </c>
      <c r="AT112" s="144" t="s">
        <v>153</v>
      </c>
      <c r="AU112" s="144" t="s">
        <v>79</v>
      </c>
      <c r="AY112" s="18" t="s">
        <v>151</v>
      </c>
      <c r="BE112" s="145">
        <f>IF(N112="základní",J112,0)</f>
        <v>0</v>
      </c>
      <c r="BF112" s="145">
        <f>IF(N112="snížená",J112,0)</f>
        <v>0</v>
      </c>
      <c r="BG112" s="145">
        <f>IF(N112="zákl. přenesená",J112,0)</f>
        <v>0</v>
      </c>
      <c r="BH112" s="145">
        <f>IF(N112="sníž. přenesená",J112,0)</f>
        <v>0</v>
      </c>
      <c r="BI112" s="145">
        <f>IF(N112="nulová",J112,0)</f>
        <v>0</v>
      </c>
      <c r="BJ112" s="18" t="s">
        <v>77</v>
      </c>
      <c r="BK112" s="145">
        <f>ROUND(I112*H112,2)</f>
        <v>0</v>
      </c>
      <c r="BL112" s="18" t="s">
        <v>158</v>
      </c>
      <c r="BM112" s="144" t="s">
        <v>184</v>
      </c>
    </row>
    <row r="113" spans="2:65" s="1" customFormat="1" ht="11.25">
      <c r="B113" s="33"/>
      <c r="D113" s="146" t="s">
        <v>160</v>
      </c>
      <c r="F113" s="147" t="s">
        <v>185</v>
      </c>
      <c r="I113" s="148"/>
      <c r="L113" s="33"/>
      <c r="M113" s="149"/>
      <c r="T113" s="54"/>
      <c r="AT113" s="18" t="s">
        <v>160</v>
      </c>
      <c r="AU113" s="18" t="s">
        <v>79</v>
      </c>
    </row>
    <row r="114" spans="2:65" s="12" customFormat="1" ht="11.25">
      <c r="B114" s="150"/>
      <c r="D114" s="151" t="s">
        <v>162</v>
      </c>
      <c r="E114" s="152" t="s">
        <v>3</v>
      </c>
      <c r="F114" s="153" t="s">
        <v>186</v>
      </c>
      <c r="H114" s="154">
        <v>680.04</v>
      </c>
      <c r="I114" s="155"/>
      <c r="L114" s="150"/>
      <c r="M114" s="156"/>
      <c r="T114" s="157"/>
      <c r="AT114" s="152" t="s">
        <v>162</v>
      </c>
      <c r="AU114" s="152" t="s">
        <v>79</v>
      </c>
      <c r="AV114" s="12" t="s">
        <v>79</v>
      </c>
      <c r="AW114" s="12" t="s">
        <v>30</v>
      </c>
      <c r="AX114" s="12" t="s">
        <v>77</v>
      </c>
      <c r="AY114" s="152" t="s">
        <v>151</v>
      </c>
    </row>
    <row r="115" spans="2:65" s="1" customFormat="1" ht="24.2" customHeight="1">
      <c r="B115" s="132"/>
      <c r="C115" s="133" t="s">
        <v>187</v>
      </c>
      <c r="D115" s="133" t="s">
        <v>153</v>
      </c>
      <c r="E115" s="134" t="s">
        <v>188</v>
      </c>
      <c r="F115" s="135" t="s">
        <v>189</v>
      </c>
      <c r="G115" s="136" t="s">
        <v>156</v>
      </c>
      <c r="H115" s="137">
        <v>65</v>
      </c>
      <c r="I115" s="138"/>
      <c r="J115" s="139">
        <f>ROUND(I115*H115,2)</f>
        <v>0</v>
      </c>
      <c r="K115" s="135" t="s">
        <v>157</v>
      </c>
      <c r="L115" s="33"/>
      <c r="M115" s="140" t="s">
        <v>3</v>
      </c>
      <c r="N115" s="141" t="s">
        <v>40</v>
      </c>
      <c r="P115" s="142">
        <f>O115*H115</f>
        <v>0</v>
      </c>
      <c r="Q115" s="142">
        <v>0</v>
      </c>
      <c r="R115" s="142">
        <f>Q115*H115</f>
        <v>0</v>
      </c>
      <c r="S115" s="142">
        <v>0</v>
      </c>
      <c r="T115" s="143">
        <f>S115*H115</f>
        <v>0</v>
      </c>
      <c r="AR115" s="144" t="s">
        <v>158</v>
      </c>
      <c r="AT115" s="144" t="s">
        <v>153</v>
      </c>
      <c r="AU115" s="144" t="s">
        <v>79</v>
      </c>
      <c r="AY115" s="18" t="s">
        <v>151</v>
      </c>
      <c r="BE115" s="145">
        <f>IF(N115="základní",J115,0)</f>
        <v>0</v>
      </c>
      <c r="BF115" s="145">
        <f>IF(N115="snížená",J115,0)</f>
        <v>0</v>
      </c>
      <c r="BG115" s="145">
        <f>IF(N115="zákl. přenesená",J115,0)</f>
        <v>0</v>
      </c>
      <c r="BH115" s="145">
        <f>IF(N115="sníž. přenesená",J115,0)</f>
        <v>0</v>
      </c>
      <c r="BI115" s="145">
        <f>IF(N115="nulová",J115,0)</f>
        <v>0</v>
      </c>
      <c r="BJ115" s="18" t="s">
        <v>77</v>
      </c>
      <c r="BK115" s="145">
        <f>ROUND(I115*H115,2)</f>
        <v>0</v>
      </c>
      <c r="BL115" s="18" t="s">
        <v>158</v>
      </c>
      <c r="BM115" s="144" t="s">
        <v>190</v>
      </c>
    </row>
    <row r="116" spans="2:65" s="1" customFormat="1" ht="11.25">
      <c r="B116" s="33"/>
      <c r="D116" s="146" t="s">
        <v>160</v>
      </c>
      <c r="F116" s="147" t="s">
        <v>191</v>
      </c>
      <c r="I116" s="148"/>
      <c r="L116" s="33"/>
      <c r="M116" s="149"/>
      <c r="T116" s="54"/>
      <c r="AT116" s="18" t="s">
        <v>160</v>
      </c>
      <c r="AU116" s="18" t="s">
        <v>79</v>
      </c>
    </row>
    <row r="117" spans="2:65" s="14" customFormat="1" ht="11.25">
      <c r="B117" s="165"/>
      <c r="D117" s="151" t="s">
        <v>162</v>
      </c>
      <c r="E117" s="166" t="s">
        <v>3</v>
      </c>
      <c r="F117" s="167" t="s">
        <v>192</v>
      </c>
      <c r="H117" s="166" t="s">
        <v>3</v>
      </c>
      <c r="I117" s="168"/>
      <c r="L117" s="165"/>
      <c r="M117" s="169"/>
      <c r="T117" s="170"/>
      <c r="AT117" s="166" t="s">
        <v>162</v>
      </c>
      <c r="AU117" s="166" t="s">
        <v>79</v>
      </c>
      <c r="AV117" s="14" t="s">
        <v>77</v>
      </c>
      <c r="AW117" s="14" t="s">
        <v>30</v>
      </c>
      <c r="AX117" s="14" t="s">
        <v>69</v>
      </c>
      <c r="AY117" s="166" t="s">
        <v>151</v>
      </c>
    </row>
    <row r="118" spans="2:65" s="12" customFormat="1" ht="11.25">
      <c r="B118" s="150"/>
      <c r="D118" s="151" t="s">
        <v>162</v>
      </c>
      <c r="E118" s="152" t="s">
        <v>3</v>
      </c>
      <c r="F118" s="153" t="s">
        <v>193</v>
      </c>
      <c r="H118" s="154">
        <v>65</v>
      </c>
      <c r="I118" s="155"/>
      <c r="L118" s="150"/>
      <c r="M118" s="156"/>
      <c r="T118" s="157"/>
      <c r="AT118" s="152" t="s">
        <v>162</v>
      </c>
      <c r="AU118" s="152" t="s">
        <v>79</v>
      </c>
      <c r="AV118" s="12" t="s">
        <v>79</v>
      </c>
      <c r="AW118" s="12" t="s">
        <v>30</v>
      </c>
      <c r="AX118" s="12" t="s">
        <v>69</v>
      </c>
      <c r="AY118" s="152" t="s">
        <v>151</v>
      </c>
    </row>
    <row r="119" spans="2:65" s="13" customFormat="1" ht="11.25">
      <c r="B119" s="158"/>
      <c r="D119" s="151" t="s">
        <v>162</v>
      </c>
      <c r="E119" s="159" t="s">
        <v>3</v>
      </c>
      <c r="F119" s="160" t="s">
        <v>167</v>
      </c>
      <c r="H119" s="161">
        <v>65</v>
      </c>
      <c r="I119" s="162"/>
      <c r="L119" s="158"/>
      <c r="M119" s="163"/>
      <c r="T119" s="164"/>
      <c r="AT119" s="159" t="s">
        <v>162</v>
      </c>
      <c r="AU119" s="159" t="s">
        <v>79</v>
      </c>
      <c r="AV119" s="13" t="s">
        <v>158</v>
      </c>
      <c r="AW119" s="13" t="s">
        <v>30</v>
      </c>
      <c r="AX119" s="13" t="s">
        <v>77</v>
      </c>
      <c r="AY119" s="159" t="s">
        <v>151</v>
      </c>
    </row>
    <row r="120" spans="2:65" s="11" customFormat="1" ht="22.9" customHeight="1">
      <c r="B120" s="120"/>
      <c r="D120" s="121" t="s">
        <v>68</v>
      </c>
      <c r="E120" s="130" t="s">
        <v>79</v>
      </c>
      <c r="F120" s="130" t="s">
        <v>194</v>
      </c>
      <c r="I120" s="123"/>
      <c r="J120" s="131">
        <f>BK120</f>
        <v>0</v>
      </c>
      <c r="L120" s="120"/>
      <c r="M120" s="125"/>
      <c r="P120" s="126">
        <f>SUM(P121:P200)</f>
        <v>0</v>
      </c>
      <c r="R120" s="126">
        <f>SUM(R121:R200)</f>
        <v>1821.9810068299998</v>
      </c>
      <c r="T120" s="127">
        <f>SUM(T121:T200)</f>
        <v>0</v>
      </c>
      <c r="AR120" s="121" t="s">
        <v>77</v>
      </c>
      <c r="AT120" s="128" t="s">
        <v>68</v>
      </c>
      <c r="AU120" s="128" t="s">
        <v>77</v>
      </c>
      <c r="AY120" s="121" t="s">
        <v>151</v>
      </c>
      <c r="BK120" s="129">
        <f>SUM(BK121:BK200)</f>
        <v>0</v>
      </c>
    </row>
    <row r="121" spans="2:65" s="1" customFormat="1" ht="33" customHeight="1">
      <c r="B121" s="132"/>
      <c r="C121" s="133" t="s">
        <v>195</v>
      </c>
      <c r="D121" s="133" t="s">
        <v>153</v>
      </c>
      <c r="E121" s="134" t="s">
        <v>196</v>
      </c>
      <c r="F121" s="135" t="s">
        <v>197</v>
      </c>
      <c r="G121" s="136" t="s">
        <v>198</v>
      </c>
      <c r="H121" s="137">
        <v>32</v>
      </c>
      <c r="I121" s="138"/>
      <c r="J121" s="139">
        <f>ROUND(I121*H121,2)</f>
        <v>0</v>
      </c>
      <c r="K121" s="135" t="s">
        <v>157</v>
      </c>
      <c r="L121" s="33"/>
      <c r="M121" s="140" t="s">
        <v>3</v>
      </c>
      <c r="N121" s="141" t="s">
        <v>40</v>
      </c>
      <c r="P121" s="142">
        <f>O121*H121</f>
        <v>0</v>
      </c>
      <c r="Q121" s="142">
        <v>0.27378000000000002</v>
      </c>
      <c r="R121" s="142">
        <f>Q121*H121</f>
        <v>8.7609600000000007</v>
      </c>
      <c r="S121" s="142">
        <v>0</v>
      </c>
      <c r="T121" s="143">
        <f>S121*H121</f>
        <v>0</v>
      </c>
      <c r="AR121" s="144" t="s">
        <v>158</v>
      </c>
      <c r="AT121" s="144" t="s">
        <v>153</v>
      </c>
      <c r="AU121" s="144" t="s">
        <v>79</v>
      </c>
      <c r="AY121" s="18" t="s">
        <v>151</v>
      </c>
      <c r="BE121" s="145">
        <f>IF(N121="základní",J121,0)</f>
        <v>0</v>
      </c>
      <c r="BF121" s="145">
        <f>IF(N121="snížená",J121,0)</f>
        <v>0</v>
      </c>
      <c r="BG121" s="145">
        <f>IF(N121="zákl. přenesená",J121,0)</f>
        <v>0</v>
      </c>
      <c r="BH121" s="145">
        <f>IF(N121="sníž. přenesená",J121,0)</f>
        <v>0</v>
      </c>
      <c r="BI121" s="145">
        <f>IF(N121="nulová",J121,0)</f>
        <v>0</v>
      </c>
      <c r="BJ121" s="18" t="s">
        <v>77</v>
      </c>
      <c r="BK121" s="145">
        <f>ROUND(I121*H121,2)</f>
        <v>0</v>
      </c>
      <c r="BL121" s="18" t="s">
        <v>158</v>
      </c>
      <c r="BM121" s="144" t="s">
        <v>199</v>
      </c>
    </row>
    <row r="122" spans="2:65" s="1" customFormat="1" ht="11.25">
      <c r="B122" s="33"/>
      <c r="D122" s="146" t="s">
        <v>160</v>
      </c>
      <c r="F122" s="147" t="s">
        <v>200</v>
      </c>
      <c r="I122" s="148"/>
      <c r="L122" s="33"/>
      <c r="M122" s="149"/>
      <c r="T122" s="54"/>
      <c r="AT122" s="18" t="s">
        <v>160</v>
      </c>
      <c r="AU122" s="18" t="s">
        <v>79</v>
      </c>
    </row>
    <row r="123" spans="2:65" s="14" customFormat="1" ht="11.25">
      <c r="B123" s="165"/>
      <c r="D123" s="151" t="s">
        <v>162</v>
      </c>
      <c r="E123" s="166" t="s">
        <v>3</v>
      </c>
      <c r="F123" s="167" t="s">
        <v>201</v>
      </c>
      <c r="H123" s="166" t="s">
        <v>3</v>
      </c>
      <c r="I123" s="168"/>
      <c r="L123" s="165"/>
      <c r="M123" s="169"/>
      <c r="T123" s="170"/>
      <c r="AT123" s="166" t="s">
        <v>162</v>
      </c>
      <c r="AU123" s="166" t="s">
        <v>79</v>
      </c>
      <c r="AV123" s="14" t="s">
        <v>77</v>
      </c>
      <c r="AW123" s="14" t="s">
        <v>30</v>
      </c>
      <c r="AX123" s="14" t="s">
        <v>69</v>
      </c>
      <c r="AY123" s="166" t="s">
        <v>151</v>
      </c>
    </row>
    <row r="124" spans="2:65" s="12" customFormat="1" ht="11.25">
      <c r="B124" s="150"/>
      <c r="D124" s="151" t="s">
        <v>162</v>
      </c>
      <c r="E124" s="152" t="s">
        <v>3</v>
      </c>
      <c r="F124" s="153" t="s">
        <v>202</v>
      </c>
      <c r="H124" s="154">
        <v>32</v>
      </c>
      <c r="I124" s="155"/>
      <c r="L124" s="150"/>
      <c r="M124" s="156"/>
      <c r="T124" s="157"/>
      <c r="AT124" s="152" t="s">
        <v>162</v>
      </c>
      <c r="AU124" s="152" t="s">
        <v>79</v>
      </c>
      <c r="AV124" s="12" t="s">
        <v>79</v>
      </c>
      <c r="AW124" s="12" t="s">
        <v>30</v>
      </c>
      <c r="AX124" s="12" t="s">
        <v>69</v>
      </c>
      <c r="AY124" s="152" t="s">
        <v>151</v>
      </c>
    </row>
    <row r="125" spans="2:65" s="13" customFormat="1" ht="11.25">
      <c r="B125" s="158"/>
      <c r="D125" s="151" t="s">
        <v>162</v>
      </c>
      <c r="E125" s="159" t="s">
        <v>3</v>
      </c>
      <c r="F125" s="160" t="s">
        <v>167</v>
      </c>
      <c r="H125" s="161">
        <v>32</v>
      </c>
      <c r="I125" s="162"/>
      <c r="L125" s="158"/>
      <c r="M125" s="163"/>
      <c r="T125" s="164"/>
      <c r="AT125" s="159" t="s">
        <v>162</v>
      </c>
      <c r="AU125" s="159" t="s">
        <v>79</v>
      </c>
      <c r="AV125" s="13" t="s">
        <v>158</v>
      </c>
      <c r="AW125" s="13" t="s">
        <v>30</v>
      </c>
      <c r="AX125" s="13" t="s">
        <v>77</v>
      </c>
      <c r="AY125" s="159" t="s">
        <v>151</v>
      </c>
    </row>
    <row r="126" spans="2:65" s="1" customFormat="1" ht="21.75" customHeight="1">
      <c r="B126" s="132"/>
      <c r="C126" s="133" t="s">
        <v>203</v>
      </c>
      <c r="D126" s="133" t="s">
        <v>153</v>
      </c>
      <c r="E126" s="134" t="s">
        <v>204</v>
      </c>
      <c r="F126" s="135" t="s">
        <v>205</v>
      </c>
      <c r="G126" s="136" t="s">
        <v>156</v>
      </c>
      <c r="H126" s="137">
        <v>358.02</v>
      </c>
      <c r="I126" s="138"/>
      <c r="J126" s="139">
        <f>ROUND(I126*H126,2)</f>
        <v>0</v>
      </c>
      <c r="K126" s="135" t="s">
        <v>157</v>
      </c>
      <c r="L126" s="33"/>
      <c r="M126" s="140" t="s">
        <v>3</v>
      </c>
      <c r="N126" s="141" t="s">
        <v>40</v>
      </c>
      <c r="P126" s="142">
        <f>O126*H126</f>
        <v>0</v>
      </c>
      <c r="Q126" s="142">
        <v>2.16</v>
      </c>
      <c r="R126" s="142">
        <f>Q126*H126</f>
        <v>773.32320000000004</v>
      </c>
      <c r="S126" s="142">
        <v>0</v>
      </c>
      <c r="T126" s="143">
        <f>S126*H126</f>
        <v>0</v>
      </c>
      <c r="AR126" s="144" t="s">
        <v>158</v>
      </c>
      <c r="AT126" s="144" t="s">
        <v>153</v>
      </c>
      <c r="AU126" s="144" t="s">
        <v>79</v>
      </c>
      <c r="AY126" s="18" t="s">
        <v>151</v>
      </c>
      <c r="BE126" s="145">
        <f>IF(N126="základní",J126,0)</f>
        <v>0</v>
      </c>
      <c r="BF126" s="145">
        <f>IF(N126="snížená",J126,0)</f>
        <v>0</v>
      </c>
      <c r="BG126" s="145">
        <f>IF(N126="zákl. přenesená",J126,0)</f>
        <v>0</v>
      </c>
      <c r="BH126" s="145">
        <f>IF(N126="sníž. přenesená",J126,0)</f>
        <v>0</v>
      </c>
      <c r="BI126" s="145">
        <f>IF(N126="nulová",J126,0)</f>
        <v>0</v>
      </c>
      <c r="BJ126" s="18" t="s">
        <v>77</v>
      </c>
      <c r="BK126" s="145">
        <f>ROUND(I126*H126,2)</f>
        <v>0</v>
      </c>
      <c r="BL126" s="18" t="s">
        <v>158</v>
      </c>
      <c r="BM126" s="144" t="s">
        <v>206</v>
      </c>
    </row>
    <row r="127" spans="2:65" s="1" customFormat="1" ht="11.25">
      <c r="B127" s="33"/>
      <c r="D127" s="146" t="s">
        <v>160</v>
      </c>
      <c r="F127" s="147" t="s">
        <v>207</v>
      </c>
      <c r="I127" s="148"/>
      <c r="L127" s="33"/>
      <c r="M127" s="149"/>
      <c r="T127" s="54"/>
      <c r="AT127" s="18" t="s">
        <v>160</v>
      </c>
      <c r="AU127" s="18" t="s">
        <v>79</v>
      </c>
    </row>
    <row r="128" spans="2:65" s="14" customFormat="1" ht="11.25">
      <c r="B128" s="165"/>
      <c r="D128" s="151" t="s">
        <v>162</v>
      </c>
      <c r="E128" s="166" t="s">
        <v>3</v>
      </c>
      <c r="F128" s="167" t="s">
        <v>208</v>
      </c>
      <c r="H128" s="166" t="s">
        <v>3</v>
      </c>
      <c r="I128" s="168"/>
      <c r="L128" s="165"/>
      <c r="M128" s="169"/>
      <c r="T128" s="170"/>
      <c r="AT128" s="166" t="s">
        <v>162</v>
      </c>
      <c r="AU128" s="166" t="s">
        <v>79</v>
      </c>
      <c r="AV128" s="14" t="s">
        <v>77</v>
      </c>
      <c r="AW128" s="14" t="s">
        <v>30</v>
      </c>
      <c r="AX128" s="14" t="s">
        <v>69</v>
      </c>
      <c r="AY128" s="166" t="s">
        <v>151</v>
      </c>
    </row>
    <row r="129" spans="2:65" s="12" customFormat="1" ht="11.25">
      <c r="B129" s="150"/>
      <c r="D129" s="151" t="s">
        <v>162</v>
      </c>
      <c r="E129" s="152" t="s">
        <v>3</v>
      </c>
      <c r="F129" s="153" t="s">
        <v>209</v>
      </c>
      <c r="H129" s="154">
        <v>353.36</v>
      </c>
      <c r="I129" s="155"/>
      <c r="L129" s="150"/>
      <c r="M129" s="156"/>
      <c r="T129" s="157"/>
      <c r="AT129" s="152" t="s">
        <v>162</v>
      </c>
      <c r="AU129" s="152" t="s">
        <v>79</v>
      </c>
      <c r="AV129" s="12" t="s">
        <v>79</v>
      </c>
      <c r="AW129" s="12" t="s">
        <v>30</v>
      </c>
      <c r="AX129" s="12" t="s">
        <v>69</v>
      </c>
      <c r="AY129" s="152" t="s">
        <v>151</v>
      </c>
    </row>
    <row r="130" spans="2:65" s="14" customFormat="1" ht="11.25">
      <c r="B130" s="165"/>
      <c r="D130" s="151" t="s">
        <v>162</v>
      </c>
      <c r="E130" s="166" t="s">
        <v>3</v>
      </c>
      <c r="F130" s="167" t="s">
        <v>210</v>
      </c>
      <c r="H130" s="166" t="s">
        <v>3</v>
      </c>
      <c r="I130" s="168"/>
      <c r="L130" s="165"/>
      <c r="M130" s="169"/>
      <c r="T130" s="170"/>
      <c r="AT130" s="166" t="s">
        <v>162</v>
      </c>
      <c r="AU130" s="166" t="s">
        <v>79</v>
      </c>
      <c r="AV130" s="14" t="s">
        <v>77</v>
      </c>
      <c r="AW130" s="14" t="s">
        <v>30</v>
      </c>
      <c r="AX130" s="14" t="s">
        <v>69</v>
      </c>
      <c r="AY130" s="166" t="s">
        <v>151</v>
      </c>
    </row>
    <row r="131" spans="2:65" s="12" customFormat="1" ht="11.25">
      <c r="B131" s="150"/>
      <c r="D131" s="151" t="s">
        <v>162</v>
      </c>
      <c r="E131" s="152" t="s">
        <v>3</v>
      </c>
      <c r="F131" s="153" t="s">
        <v>211</v>
      </c>
      <c r="H131" s="154">
        <v>0.66</v>
      </c>
      <c r="I131" s="155"/>
      <c r="L131" s="150"/>
      <c r="M131" s="156"/>
      <c r="T131" s="157"/>
      <c r="AT131" s="152" t="s">
        <v>162</v>
      </c>
      <c r="AU131" s="152" t="s">
        <v>79</v>
      </c>
      <c r="AV131" s="12" t="s">
        <v>79</v>
      </c>
      <c r="AW131" s="12" t="s">
        <v>30</v>
      </c>
      <c r="AX131" s="12" t="s">
        <v>69</v>
      </c>
      <c r="AY131" s="152" t="s">
        <v>151</v>
      </c>
    </row>
    <row r="132" spans="2:65" s="14" customFormat="1" ht="11.25">
      <c r="B132" s="165"/>
      <c r="D132" s="151" t="s">
        <v>162</v>
      </c>
      <c r="E132" s="166" t="s">
        <v>3</v>
      </c>
      <c r="F132" s="167" t="s">
        <v>212</v>
      </c>
      <c r="H132" s="166" t="s">
        <v>3</v>
      </c>
      <c r="I132" s="168"/>
      <c r="L132" s="165"/>
      <c r="M132" s="169"/>
      <c r="T132" s="170"/>
      <c r="AT132" s="166" t="s">
        <v>162</v>
      </c>
      <c r="AU132" s="166" t="s">
        <v>79</v>
      </c>
      <c r="AV132" s="14" t="s">
        <v>77</v>
      </c>
      <c r="AW132" s="14" t="s">
        <v>30</v>
      </c>
      <c r="AX132" s="14" t="s">
        <v>69</v>
      </c>
      <c r="AY132" s="166" t="s">
        <v>151</v>
      </c>
    </row>
    <row r="133" spans="2:65" s="12" customFormat="1" ht="11.25">
      <c r="B133" s="150"/>
      <c r="D133" s="151" t="s">
        <v>162</v>
      </c>
      <c r="E133" s="152" t="s">
        <v>3</v>
      </c>
      <c r="F133" s="153" t="s">
        <v>213</v>
      </c>
      <c r="H133" s="154">
        <v>4</v>
      </c>
      <c r="I133" s="155"/>
      <c r="L133" s="150"/>
      <c r="M133" s="156"/>
      <c r="T133" s="157"/>
      <c r="AT133" s="152" t="s">
        <v>162</v>
      </c>
      <c r="AU133" s="152" t="s">
        <v>79</v>
      </c>
      <c r="AV133" s="12" t="s">
        <v>79</v>
      </c>
      <c r="AW133" s="12" t="s">
        <v>30</v>
      </c>
      <c r="AX133" s="12" t="s">
        <v>69</v>
      </c>
      <c r="AY133" s="152" t="s">
        <v>151</v>
      </c>
    </row>
    <row r="134" spans="2:65" s="13" customFormat="1" ht="11.25">
      <c r="B134" s="158"/>
      <c r="D134" s="151" t="s">
        <v>162</v>
      </c>
      <c r="E134" s="159" t="s">
        <v>3</v>
      </c>
      <c r="F134" s="160" t="s">
        <v>167</v>
      </c>
      <c r="H134" s="161">
        <v>358.02000000000004</v>
      </c>
      <c r="I134" s="162"/>
      <c r="L134" s="158"/>
      <c r="M134" s="163"/>
      <c r="T134" s="164"/>
      <c r="AT134" s="159" t="s">
        <v>162</v>
      </c>
      <c r="AU134" s="159" t="s">
        <v>79</v>
      </c>
      <c r="AV134" s="13" t="s">
        <v>158</v>
      </c>
      <c r="AW134" s="13" t="s">
        <v>30</v>
      </c>
      <c r="AX134" s="13" t="s">
        <v>77</v>
      </c>
      <c r="AY134" s="159" t="s">
        <v>151</v>
      </c>
    </row>
    <row r="135" spans="2:65" s="1" customFormat="1" ht="21.75" customHeight="1">
      <c r="B135" s="132"/>
      <c r="C135" s="133" t="s">
        <v>214</v>
      </c>
      <c r="D135" s="133" t="s">
        <v>153</v>
      </c>
      <c r="E135" s="134" t="s">
        <v>215</v>
      </c>
      <c r="F135" s="135" t="s">
        <v>216</v>
      </c>
      <c r="G135" s="136" t="s">
        <v>156</v>
      </c>
      <c r="H135" s="137">
        <v>226.91</v>
      </c>
      <c r="I135" s="138"/>
      <c r="J135" s="139">
        <f>ROUND(I135*H135,2)</f>
        <v>0</v>
      </c>
      <c r="K135" s="135" t="s">
        <v>171</v>
      </c>
      <c r="L135" s="33"/>
      <c r="M135" s="140" t="s">
        <v>3</v>
      </c>
      <c r="N135" s="141" t="s">
        <v>40</v>
      </c>
      <c r="P135" s="142">
        <f>O135*H135</f>
        <v>0</v>
      </c>
      <c r="Q135" s="142">
        <v>2.5018699999999998</v>
      </c>
      <c r="R135" s="142">
        <f>Q135*H135</f>
        <v>567.69932169999993</v>
      </c>
      <c r="S135" s="142">
        <v>0</v>
      </c>
      <c r="T135" s="143">
        <f>S135*H135</f>
        <v>0</v>
      </c>
      <c r="AR135" s="144" t="s">
        <v>158</v>
      </c>
      <c r="AT135" s="144" t="s">
        <v>153</v>
      </c>
      <c r="AU135" s="144" t="s">
        <v>79</v>
      </c>
      <c r="AY135" s="18" t="s">
        <v>151</v>
      </c>
      <c r="BE135" s="145">
        <f>IF(N135="základní",J135,0)</f>
        <v>0</v>
      </c>
      <c r="BF135" s="145">
        <f>IF(N135="snížená",J135,0)</f>
        <v>0</v>
      </c>
      <c r="BG135" s="145">
        <f>IF(N135="zákl. přenesená",J135,0)</f>
        <v>0</v>
      </c>
      <c r="BH135" s="145">
        <f>IF(N135="sníž. přenesená",J135,0)</f>
        <v>0</v>
      </c>
      <c r="BI135" s="145">
        <f>IF(N135="nulová",J135,0)</f>
        <v>0</v>
      </c>
      <c r="BJ135" s="18" t="s">
        <v>77</v>
      </c>
      <c r="BK135" s="145">
        <f>ROUND(I135*H135,2)</f>
        <v>0</v>
      </c>
      <c r="BL135" s="18" t="s">
        <v>158</v>
      </c>
      <c r="BM135" s="144" t="s">
        <v>217</v>
      </c>
    </row>
    <row r="136" spans="2:65" s="1" customFormat="1" ht="11.25">
      <c r="B136" s="33"/>
      <c r="D136" s="146" t="s">
        <v>160</v>
      </c>
      <c r="F136" s="147" t="s">
        <v>218</v>
      </c>
      <c r="I136" s="148"/>
      <c r="L136" s="33"/>
      <c r="M136" s="149"/>
      <c r="T136" s="54"/>
      <c r="AT136" s="18" t="s">
        <v>160</v>
      </c>
      <c r="AU136" s="18" t="s">
        <v>79</v>
      </c>
    </row>
    <row r="137" spans="2:65" s="1" customFormat="1" ht="29.25">
      <c r="B137" s="33"/>
      <c r="D137" s="151" t="s">
        <v>219</v>
      </c>
      <c r="F137" s="171" t="s">
        <v>220</v>
      </c>
      <c r="I137" s="148"/>
      <c r="L137" s="33"/>
      <c r="M137" s="149"/>
      <c r="T137" s="54"/>
      <c r="AT137" s="18" t="s">
        <v>219</v>
      </c>
      <c r="AU137" s="18" t="s">
        <v>79</v>
      </c>
    </row>
    <row r="138" spans="2:65" s="14" customFormat="1" ht="11.25">
      <c r="B138" s="165"/>
      <c r="D138" s="151" t="s">
        <v>162</v>
      </c>
      <c r="E138" s="166" t="s">
        <v>3</v>
      </c>
      <c r="F138" s="167" t="s">
        <v>221</v>
      </c>
      <c r="H138" s="166" t="s">
        <v>3</v>
      </c>
      <c r="I138" s="168"/>
      <c r="L138" s="165"/>
      <c r="M138" s="169"/>
      <c r="T138" s="170"/>
      <c r="AT138" s="166" t="s">
        <v>162</v>
      </c>
      <c r="AU138" s="166" t="s">
        <v>79</v>
      </c>
      <c r="AV138" s="14" t="s">
        <v>77</v>
      </c>
      <c r="AW138" s="14" t="s">
        <v>30</v>
      </c>
      <c r="AX138" s="14" t="s">
        <v>69</v>
      </c>
      <c r="AY138" s="166" t="s">
        <v>151</v>
      </c>
    </row>
    <row r="139" spans="2:65" s="12" customFormat="1" ht="11.25">
      <c r="B139" s="150"/>
      <c r="D139" s="151" t="s">
        <v>162</v>
      </c>
      <c r="E139" s="152" t="s">
        <v>3</v>
      </c>
      <c r="F139" s="153" t="s">
        <v>222</v>
      </c>
      <c r="H139" s="154">
        <v>63.5</v>
      </c>
      <c r="I139" s="155"/>
      <c r="L139" s="150"/>
      <c r="M139" s="156"/>
      <c r="T139" s="157"/>
      <c r="AT139" s="152" t="s">
        <v>162</v>
      </c>
      <c r="AU139" s="152" t="s">
        <v>79</v>
      </c>
      <c r="AV139" s="12" t="s">
        <v>79</v>
      </c>
      <c r="AW139" s="12" t="s">
        <v>30</v>
      </c>
      <c r="AX139" s="12" t="s">
        <v>69</v>
      </c>
      <c r="AY139" s="152" t="s">
        <v>151</v>
      </c>
    </row>
    <row r="140" spans="2:65" s="14" customFormat="1" ht="11.25">
      <c r="B140" s="165"/>
      <c r="D140" s="151" t="s">
        <v>162</v>
      </c>
      <c r="E140" s="166" t="s">
        <v>3</v>
      </c>
      <c r="F140" s="167" t="s">
        <v>223</v>
      </c>
      <c r="H140" s="166" t="s">
        <v>3</v>
      </c>
      <c r="I140" s="168"/>
      <c r="L140" s="165"/>
      <c r="M140" s="169"/>
      <c r="T140" s="170"/>
      <c r="AT140" s="166" t="s">
        <v>162</v>
      </c>
      <c r="AU140" s="166" t="s">
        <v>79</v>
      </c>
      <c r="AV140" s="14" t="s">
        <v>77</v>
      </c>
      <c r="AW140" s="14" t="s">
        <v>30</v>
      </c>
      <c r="AX140" s="14" t="s">
        <v>69</v>
      </c>
      <c r="AY140" s="166" t="s">
        <v>151</v>
      </c>
    </row>
    <row r="141" spans="2:65" s="12" customFormat="1" ht="11.25">
      <c r="B141" s="150"/>
      <c r="D141" s="151" t="s">
        <v>162</v>
      </c>
      <c r="E141" s="152" t="s">
        <v>3</v>
      </c>
      <c r="F141" s="153" t="s">
        <v>224</v>
      </c>
      <c r="H141" s="154">
        <v>158.75</v>
      </c>
      <c r="I141" s="155"/>
      <c r="L141" s="150"/>
      <c r="M141" s="156"/>
      <c r="T141" s="157"/>
      <c r="AT141" s="152" t="s">
        <v>162</v>
      </c>
      <c r="AU141" s="152" t="s">
        <v>79</v>
      </c>
      <c r="AV141" s="12" t="s">
        <v>79</v>
      </c>
      <c r="AW141" s="12" t="s">
        <v>30</v>
      </c>
      <c r="AX141" s="12" t="s">
        <v>69</v>
      </c>
      <c r="AY141" s="152" t="s">
        <v>151</v>
      </c>
    </row>
    <row r="142" spans="2:65" s="14" customFormat="1" ht="11.25">
      <c r="B142" s="165"/>
      <c r="D142" s="151" t="s">
        <v>162</v>
      </c>
      <c r="E142" s="166" t="s">
        <v>3</v>
      </c>
      <c r="F142" s="167" t="s">
        <v>225</v>
      </c>
      <c r="H142" s="166" t="s">
        <v>3</v>
      </c>
      <c r="I142" s="168"/>
      <c r="L142" s="165"/>
      <c r="M142" s="169"/>
      <c r="T142" s="170"/>
      <c r="AT142" s="166" t="s">
        <v>162</v>
      </c>
      <c r="AU142" s="166" t="s">
        <v>79</v>
      </c>
      <c r="AV142" s="14" t="s">
        <v>77</v>
      </c>
      <c r="AW142" s="14" t="s">
        <v>30</v>
      </c>
      <c r="AX142" s="14" t="s">
        <v>69</v>
      </c>
      <c r="AY142" s="166" t="s">
        <v>151</v>
      </c>
    </row>
    <row r="143" spans="2:65" s="12" customFormat="1" ht="11.25">
      <c r="B143" s="150"/>
      <c r="D143" s="151" t="s">
        <v>162</v>
      </c>
      <c r="E143" s="152" t="s">
        <v>3</v>
      </c>
      <c r="F143" s="153" t="s">
        <v>226</v>
      </c>
      <c r="H143" s="154">
        <v>4.66</v>
      </c>
      <c r="I143" s="155"/>
      <c r="L143" s="150"/>
      <c r="M143" s="156"/>
      <c r="T143" s="157"/>
      <c r="AT143" s="152" t="s">
        <v>162</v>
      </c>
      <c r="AU143" s="152" t="s">
        <v>79</v>
      </c>
      <c r="AV143" s="12" t="s">
        <v>79</v>
      </c>
      <c r="AW143" s="12" t="s">
        <v>30</v>
      </c>
      <c r="AX143" s="12" t="s">
        <v>69</v>
      </c>
      <c r="AY143" s="152" t="s">
        <v>151</v>
      </c>
    </row>
    <row r="144" spans="2:65" s="13" customFormat="1" ht="11.25">
      <c r="B144" s="158"/>
      <c r="D144" s="151" t="s">
        <v>162</v>
      </c>
      <c r="E144" s="159" t="s">
        <v>3</v>
      </c>
      <c r="F144" s="160" t="s">
        <v>167</v>
      </c>
      <c r="H144" s="161">
        <v>226.91</v>
      </c>
      <c r="I144" s="162"/>
      <c r="L144" s="158"/>
      <c r="M144" s="163"/>
      <c r="T144" s="164"/>
      <c r="AT144" s="159" t="s">
        <v>162</v>
      </c>
      <c r="AU144" s="159" t="s">
        <v>79</v>
      </c>
      <c r="AV144" s="13" t="s">
        <v>158</v>
      </c>
      <c r="AW144" s="13" t="s">
        <v>30</v>
      </c>
      <c r="AX144" s="13" t="s">
        <v>77</v>
      </c>
      <c r="AY144" s="159" t="s">
        <v>151</v>
      </c>
    </row>
    <row r="145" spans="2:65" s="1" customFormat="1" ht="16.5" customHeight="1">
      <c r="B145" s="132"/>
      <c r="C145" s="133" t="s">
        <v>227</v>
      </c>
      <c r="D145" s="133" t="s">
        <v>153</v>
      </c>
      <c r="E145" s="134" t="s">
        <v>228</v>
      </c>
      <c r="F145" s="135" t="s">
        <v>229</v>
      </c>
      <c r="G145" s="136" t="s">
        <v>230</v>
      </c>
      <c r="H145" s="137">
        <v>31.74</v>
      </c>
      <c r="I145" s="138"/>
      <c r="J145" s="139">
        <f>ROUND(I145*H145,2)</f>
        <v>0</v>
      </c>
      <c r="K145" s="135" t="s">
        <v>171</v>
      </c>
      <c r="L145" s="33"/>
      <c r="M145" s="140" t="s">
        <v>3</v>
      </c>
      <c r="N145" s="141" t="s">
        <v>40</v>
      </c>
      <c r="P145" s="142">
        <f>O145*H145</f>
        <v>0</v>
      </c>
      <c r="Q145" s="142">
        <v>2.47E-3</v>
      </c>
      <c r="R145" s="142">
        <f>Q145*H145</f>
        <v>7.839779999999999E-2</v>
      </c>
      <c r="S145" s="142">
        <v>0</v>
      </c>
      <c r="T145" s="143">
        <f>S145*H145</f>
        <v>0</v>
      </c>
      <c r="AR145" s="144" t="s">
        <v>158</v>
      </c>
      <c r="AT145" s="144" t="s">
        <v>153</v>
      </c>
      <c r="AU145" s="144" t="s">
        <v>79</v>
      </c>
      <c r="AY145" s="18" t="s">
        <v>151</v>
      </c>
      <c r="BE145" s="145">
        <f>IF(N145="základní",J145,0)</f>
        <v>0</v>
      </c>
      <c r="BF145" s="145">
        <f>IF(N145="snížená",J145,0)</f>
        <v>0</v>
      </c>
      <c r="BG145" s="145">
        <f>IF(N145="zákl. přenesená",J145,0)</f>
        <v>0</v>
      </c>
      <c r="BH145" s="145">
        <f>IF(N145="sníž. přenesená",J145,0)</f>
        <v>0</v>
      </c>
      <c r="BI145" s="145">
        <f>IF(N145="nulová",J145,0)</f>
        <v>0</v>
      </c>
      <c r="BJ145" s="18" t="s">
        <v>77</v>
      </c>
      <c r="BK145" s="145">
        <f>ROUND(I145*H145,2)</f>
        <v>0</v>
      </c>
      <c r="BL145" s="18" t="s">
        <v>158</v>
      </c>
      <c r="BM145" s="144" t="s">
        <v>231</v>
      </c>
    </row>
    <row r="146" spans="2:65" s="1" customFormat="1" ht="11.25">
      <c r="B146" s="33"/>
      <c r="D146" s="146" t="s">
        <v>160</v>
      </c>
      <c r="F146" s="147" t="s">
        <v>232</v>
      </c>
      <c r="I146" s="148"/>
      <c r="L146" s="33"/>
      <c r="M146" s="149"/>
      <c r="T146" s="54"/>
      <c r="AT146" s="18" t="s">
        <v>160</v>
      </c>
      <c r="AU146" s="18" t="s">
        <v>79</v>
      </c>
    </row>
    <row r="147" spans="2:65" s="14" customFormat="1" ht="11.25">
      <c r="B147" s="165"/>
      <c r="D147" s="151" t="s">
        <v>162</v>
      </c>
      <c r="E147" s="166" t="s">
        <v>3</v>
      </c>
      <c r="F147" s="167" t="s">
        <v>233</v>
      </c>
      <c r="H147" s="166" t="s">
        <v>3</v>
      </c>
      <c r="I147" s="168"/>
      <c r="L147" s="165"/>
      <c r="M147" s="169"/>
      <c r="T147" s="170"/>
      <c r="AT147" s="166" t="s">
        <v>162</v>
      </c>
      <c r="AU147" s="166" t="s">
        <v>79</v>
      </c>
      <c r="AV147" s="14" t="s">
        <v>77</v>
      </c>
      <c r="AW147" s="14" t="s">
        <v>30</v>
      </c>
      <c r="AX147" s="14" t="s">
        <v>69</v>
      </c>
      <c r="AY147" s="166" t="s">
        <v>151</v>
      </c>
    </row>
    <row r="148" spans="2:65" s="12" customFormat="1" ht="11.25">
      <c r="B148" s="150"/>
      <c r="D148" s="151" t="s">
        <v>162</v>
      </c>
      <c r="E148" s="152" t="s">
        <v>3</v>
      </c>
      <c r="F148" s="153" t="s">
        <v>234</v>
      </c>
      <c r="H148" s="154">
        <v>31.74</v>
      </c>
      <c r="I148" s="155"/>
      <c r="L148" s="150"/>
      <c r="M148" s="156"/>
      <c r="T148" s="157"/>
      <c r="AT148" s="152" t="s">
        <v>162</v>
      </c>
      <c r="AU148" s="152" t="s">
        <v>79</v>
      </c>
      <c r="AV148" s="12" t="s">
        <v>79</v>
      </c>
      <c r="AW148" s="12" t="s">
        <v>30</v>
      </c>
      <c r="AX148" s="12" t="s">
        <v>69</v>
      </c>
      <c r="AY148" s="152" t="s">
        <v>151</v>
      </c>
    </row>
    <row r="149" spans="2:65" s="13" customFormat="1" ht="11.25">
      <c r="B149" s="158"/>
      <c r="D149" s="151" t="s">
        <v>162</v>
      </c>
      <c r="E149" s="159" t="s">
        <v>3</v>
      </c>
      <c r="F149" s="160" t="s">
        <v>167</v>
      </c>
      <c r="H149" s="161">
        <v>31.74</v>
      </c>
      <c r="I149" s="162"/>
      <c r="L149" s="158"/>
      <c r="M149" s="163"/>
      <c r="T149" s="164"/>
      <c r="AT149" s="159" t="s">
        <v>162</v>
      </c>
      <c r="AU149" s="159" t="s">
        <v>79</v>
      </c>
      <c r="AV149" s="13" t="s">
        <v>158</v>
      </c>
      <c r="AW149" s="13" t="s">
        <v>30</v>
      </c>
      <c r="AX149" s="13" t="s">
        <v>77</v>
      </c>
      <c r="AY149" s="159" t="s">
        <v>151</v>
      </c>
    </row>
    <row r="150" spans="2:65" s="1" customFormat="1" ht="16.5" customHeight="1">
      <c r="B150" s="132"/>
      <c r="C150" s="133" t="s">
        <v>235</v>
      </c>
      <c r="D150" s="133" t="s">
        <v>153</v>
      </c>
      <c r="E150" s="134" t="s">
        <v>236</v>
      </c>
      <c r="F150" s="135" t="s">
        <v>237</v>
      </c>
      <c r="G150" s="136" t="s">
        <v>230</v>
      </c>
      <c r="H150" s="137">
        <v>31.74</v>
      </c>
      <c r="I150" s="138"/>
      <c r="J150" s="139">
        <f>ROUND(I150*H150,2)</f>
        <v>0</v>
      </c>
      <c r="K150" s="135" t="s">
        <v>171</v>
      </c>
      <c r="L150" s="33"/>
      <c r="M150" s="140" t="s">
        <v>3</v>
      </c>
      <c r="N150" s="141" t="s">
        <v>40</v>
      </c>
      <c r="P150" s="142">
        <f>O150*H150</f>
        <v>0</v>
      </c>
      <c r="Q150" s="142">
        <v>0</v>
      </c>
      <c r="R150" s="142">
        <f>Q150*H150</f>
        <v>0</v>
      </c>
      <c r="S150" s="142">
        <v>0</v>
      </c>
      <c r="T150" s="143">
        <f>S150*H150</f>
        <v>0</v>
      </c>
      <c r="AR150" s="144" t="s">
        <v>158</v>
      </c>
      <c r="AT150" s="144" t="s">
        <v>153</v>
      </c>
      <c r="AU150" s="144" t="s">
        <v>79</v>
      </c>
      <c r="AY150" s="18" t="s">
        <v>151</v>
      </c>
      <c r="BE150" s="145">
        <f>IF(N150="základní",J150,0)</f>
        <v>0</v>
      </c>
      <c r="BF150" s="145">
        <f>IF(N150="snížená",J150,0)</f>
        <v>0</v>
      </c>
      <c r="BG150" s="145">
        <f>IF(N150="zákl. přenesená",J150,0)</f>
        <v>0</v>
      </c>
      <c r="BH150" s="145">
        <f>IF(N150="sníž. přenesená",J150,0)</f>
        <v>0</v>
      </c>
      <c r="BI150" s="145">
        <f>IF(N150="nulová",J150,0)</f>
        <v>0</v>
      </c>
      <c r="BJ150" s="18" t="s">
        <v>77</v>
      </c>
      <c r="BK150" s="145">
        <f>ROUND(I150*H150,2)</f>
        <v>0</v>
      </c>
      <c r="BL150" s="18" t="s">
        <v>158</v>
      </c>
      <c r="BM150" s="144" t="s">
        <v>238</v>
      </c>
    </row>
    <row r="151" spans="2:65" s="1" customFormat="1" ht="11.25">
      <c r="B151" s="33"/>
      <c r="D151" s="146" t="s">
        <v>160</v>
      </c>
      <c r="F151" s="147" t="s">
        <v>239</v>
      </c>
      <c r="I151" s="148"/>
      <c r="L151" s="33"/>
      <c r="M151" s="149"/>
      <c r="T151" s="54"/>
      <c r="AT151" s="18" t="s">
        <v>160</v>
      </c>
      <c r="AU151" s="18" t="s">
        <v>79</v>
      </c>
    </row>
    <row r="152" spans="2:65" s="1" customFormat="1" ht="16.5" customHeight="1">
      <c r="B152" s="132"/>
      <c r="C152" s="133" t="s">
        <v>240</v>
      </c>
      <c r="D152" s="133" t="s">
        <v>153</v>
      </c>
      <c r="E152" s="134" t="s">
        <v>241</v>
      </c>
      <c r="F152" s="135" t="s">
        <v>242</v>
      </c>
      <c r="G152" s="136" t="s">
        <v>183</v>
      </c>
      <c r="H152" s="137">
        <v>14.669</v>
      </c>
      <c r="I152" s="138"/>
      <c r="J152" s="139">
        <f>ROUND(I152*H152,2)</f>
        <v>0</v>
      </c>
      <c r="K152" s="135" t="s">
        <v>171</v>
      </c>
      <c r="L152" s="33"/>
      <c r="M152" s="140" t="s">
        <v>3</v>
      </c>
      <c r="N152" s="141" t="s">
        <v>40</v>
      </c>
      <c r="P152" s="142">
        <f>O152*H152</f>
        <v>0</v>
      </c>
      <c r="Q152" s="142">
        <v>1.0606199999999999</v>
      </c>
      <c r="R152" s="142">
        <f>Q152*H152</f>
        <v>15.558234779999999</v>
      </c>
      <c r="S152" s="142">
        <v>0</v>
      </c>
      <c r="T152" s="143">
        <f>S152*H152</f>
        <v>0</v>
      </c>
      <c r="AR152" s="144" t="s">
        <v>158</v>
      </c>
      <c r="AT152" s="144" t="s">
        <v>153</v>
      </c>
      <c r="AU152" s="144" t="s">
        <v>79</v>
      </c>
      <c r="AY152" s="18" t="s">
        <v>151</v>
      </c>
      <c r="BE152" s="145">
        <f>IF(N152="základní",J152,0)</f>
        <v>0</v>
      </c>
      <c r="BF152" s="145">
        <f>IF(N152="snížená",J152,0)</f>
        <v>0</v>
      </c>
      <c r="BG152" s="145">
        <f>IF(N152="zákl. přenesená",J152,0)</f>
        <v>0</v>
      </c>
      <c r="BH152" s="145">
        <f>IF(N152="sníž. přenesená",J152,0)</f>
        <v>0</v>
      </c>
      <c r="BI152" s="145">
        <f>IF(N152="nulová",J152,0)</f>
        <v>0</v>
      </c>
      <c r="BJ152" s="18" t="s">
        <v>77</v>
      </c>
      <c r="BK152" s="145">
        <f>ROUND(I152*H152,2)</f>
        <v>0</v>
      </c>
      <c r="BL152" s="18" t="s">
        <v>158</v>
      </c>
      <c r="BM152" s="144" t="s">
        <v>243</v>
      </c>
    </row>
    <row r="153" spans="2:65" s="1" customFormat="1" ht="11.25">
      <c r="B153" s="33"/>
      <c r="D153" s="146" t="s">
        <v>160</v>
      </c>
      <c r="F153" s="147" t="s">
        <v>244</v>
      </c>
      <c r="I153" s="148"/>
      <c r="L153" s="33"/>
      <c r="M153" s="149"/>
      <c r="T153" s="54"/>
      <c r="AT153" s="18" t="s">
        <v>160</v>
      </c>
      <c r="AU153" s="18" t="s">
        <v>79</v>
      </c>
    </row>
    <row r="154" spans="2:65" s="12" customFormat="1" ht="11.25">
      <c r="B154" s="150"/>
      <c r="D154" s="151" t="s">
        <v>162</v>
      </c>
      <c r="E154" s="152" t="s">
        <v>3</v>
      </c>
      <c r="F154" s="153" t="s">
        <v>245</v>
      </c>
      <c r="H154" s="154">
        <v>14.669</v>
      </c>
      <c r="I154" s="155"/>
      <c r="L154" s="150"/>
      <c r="M154" s="156"/>
      <c r="T154" s="157"/>
      <c r="AT154" s="152" t="s">
        <v>162</v>
      </c>
      <c r="AU154" s="152" t="s">
        <v>79</v>
      </c>
      <c r="AV154" s="12" t="s">
        <v>79</v>
      </c>
      <c r="AW154" s="12" t="s">
        <v>30</v>
      </c>
      <c r="AX154" s="12" t="s">
        <v>69</v>
      </c>
      <c r="AY154" s="152" t="s">
        <v>151</v>
      </c>
    </row>
    <row r="155" spans="2:65" s="13" customFormat="1" ht="11.25">
      <c r="B155" s="158"/>
      <c r="D155" s="151" t="s">
        <v>162</v>
      </c>
      <c r="E155" s="159" t="s">
        <v>3</v>
      </c>
      <c r="F155" s="160" t="s">
        <v>167</v>
      </c>
      <c r="H155" s="161">
        <v>14.669</v>
      </c>
      <c r="I155" s="162"/>
      <c r="L155" s="158"/>
      <c r="M155" s="163"/>
      <c r="T155" s="164"/>
      <c r="AT155" s="159" t="s">
        <v>162</v>
      </c>
      <c r="AU155" s="159" t="s">
        <v>79</v>
      </c>
      <c r="AV155" s="13" t="s">
        <v>158</v>
      </c>
      <c r="AW155" s="13" t="s">
        <v>30</v>
      </c>
      <c r="AX155" s="13" t="s">
        <v>77</v>
      </c>
      <c r="AY155" s="159" t="s">
        <v>151</v>
      </c>
    </row>
    <row r="156" spans="2:65" s="1" customFormat="1" ht="16.5" customHeight="1">
      <c r="B156" s="132"/>
      <c r="C156" s="133" t="s">
        <v>246</v>
      </c>
      <c r="D156" s="133" t="s">
        <v>153</v>
      </c>
      <c r="E156" s="134" t="s">
        <v>247</v>
      </c>
      <c r="F156" s="135" t="s">
        <v>248</v>
      </c>
      <c r="G156" s="136" t="s">
        <v>183</v>
      </c>
      <c r="H156" s="137">
        <v>4.13</v>
      </c>
      <c r="I156" s="138"/>
      <c r="J156" s="139">
        <f>ROUND(I156*H156,2)</f>
        <v>0</v>
      </c>
      <c r="K156" s="135" t="s">
        <v>157</v>
      </c>
      <c r="L156" s="33"/>
      <c r="M156" s="140" t="s">
        <v>3</v>
      </c>
      <c r="N156" s="141" t="s">
        <v>40</v>
      </c>
      <c r="P156" s="142">
        <f>O156*H156</f>
        <v>0</v>
      </c>
      <c r="Q156" s="142">
        <v>1.06277</v>
      </c>
      <c r="R156" s="142">
        <f>Q156*H156</f>
        <v>4.3892400999999994</v>
      </c>
      <c r="S156" s="142">
        <v>0</v>
      </c>
      <c r="T156" s="143">
        <f>S156*H156</f>
        <v>0</v>
      </c>
      <c r="AR156" s="144" t="s">
        <v>158</v>
      </c>
      <c r="AT156" s="144" t="s">
        <v>153</v>
      </c>
      <c r="AU156" s="144" t="s">
        <v>79</v>
      </c>
      <c r="AY156" s="18" t="s">
        <v>151</v>
      </c>
      <c r="BE156" s="145">
        <f>IF(N156="základní",J156,0)</f>
        <v>0</v>
      </c>
      <c r="BF156" s="145">
        <f>IF(N156="snížená",J156,0)</f>
        <v>0</v>
      </c>
      <c r="BG156" s="145">
        <f>IF(N156="zákl. přenesená",J156,0)</f>
        <v>0</v>
      </c>
      <c r="BH156" s="145">
        <f>IF(N156="sníž. přenesená",J156,0)</f>
        <v>0</v>
      </c>
      <c r="BI156" s="145">
        <f>IF(N156="nulová",J156,0)</f>
        <v>0</v>
      </c>
      <c r="BJ156" s="18" t="s">
        <v>77</v>
      </c>
      <c r="BK156" s="145">
        <f>ROUND(I156*H156,2)</f>
        <v>0</v>
      </c>
      <c r="BL156" s="18" t="s">
        <v>158</v>
      </c>
      <c r="BM156" s="144" t="s">
        <v>249</v>
      </c>
    </row>
    <row r="157" spans="2:65" s="1" customFormat="1" ht="11.25">
      <c r="B157" s="33"/>
      <c r="D157" s="146" t="s">
        <v>160</v>
      </c>
      <c r="F157" s="147" t="s">
        <v>250</v>
      </c>
      <c r="I157" s="148"/>
      <c r="L157" s="33"/>
      <c r="M157" s="149"/>
      <c r="T157" s="54"/>
      <c r="AT157" s="18" t="s">
        <v>160</v>
      </c>
      <c r="AU157" s="18" t="s">
        <v>79</v>
      </c>
    </row>
    <row r="158" spans="2:65" s="1" customFormat="1" ht="21.75" customHeight="1">
      <c r="B158" s="132"/>
      <c r="C158" s="133" t="s">
        <v>251</v>
      </c>
      <c r="D158" s="133" t="s">
        <v>153</v>
      </c>
      <c r="E158" s="134" t="s">
        <v>252</v>
      </c>
      <c r="F158" s="135" t="s">
        <v>253</v>
      </c>
      <c r="G158" s="136" t="s">
        <v>156</v>
      </c>
      <c r="H158" s="137">
        <v>156.12</v>
      </c>
      <c r="I158" s="138"/>
      <c r="J158" s="139">
        <f>ROUND(I158*H158,2)</f>
        <v>0</v>
      </c>
      <c r="K158" s="135" t="s">
        <v>171</v>
      </c>
      <c r="L158" s="33"/>
      <c r="M158" s="140" t="s">
        <v>3</v>
      </c>
      <c r="N158" s="141" t="s">
        <v>40</v>
      </c>
      <c r="P158" s="142">
        <f>O158*H158</f>
        <v>0</v>
      </c>
      <c r="Q158" s="142">
        <v>2.5018699999999998</v>
      </c>
      <c r="R158" s="142">
        <f>Q158*H158</f>
        <v>390.59194439999999</v>
      </c>
      <c r="S158" s="142">
        <v>0</v>
      </c>
      <c r="T158" s="143">
        <f>S158*H158</f>
        <v>0</v>
      </c>
      <c r="AR158" s="144" t="s">
        <v>158</v>
      </c>
      <c r="AT158" s="144" t="s">
        <v>153</v>
      </c>
      <c r="AU158" s="144" t="s">
        <v>79</v>
      </c>
      <c r="AY158" s="18" t="s">
        <v>151</v>
      </c>
      <c r="BE158" s="145">
        <f>IF(N158="základní",J158,0)</f>
        <v>0</v>
      </c>
      <c r="BF158" s="145">
        <f>IF(N158="snížená",J158,0)</f>
        <v>0</v>
      </c>
      <c r="BG158" s="145">
        <f>IF(N158="zákl. přenesená",J158,0)</f>
        <v>0</v>
      </c>
      <c r="BH158" s="145">
        <f>IF(N158="sníž. přenesená",J158,0)</f>
        <v>0</v>
      </c>
      <c r="BI158" s="145">
        <f>IF(N158="nulová",J158,0)</f>
        <v>0</v>
      </c>
      <c r="BJ158" s="18" t="s">
        <v>77</v>
      </c>
      <c r="BK158" s="145">
        <f>ROUND(I158*H158,2)</f>
        <v>0</v>
      </c>
      <c r="BL158" s="18" t="s">
        <v>158</v>
      </c>
      <c r="BM158" s="144" t="s">
        <v>254</v>
      </c>
    </row>
    <row r="159" spans="2:65" s="1" customFormat="1" ht="11.25">
      <c r="B159" s="33"/>
      <c r="D159" s="146" t="s">
        <v>160</v>
      </c>
      <c r="F159" s="147" t="s">
        <v>255</v>
      </c>
      <c r="I159" s="148"/>
      <c r="L159" s="33"/>
      <c r="M159" s="149"/>
      <c r="T159" s="54"/>
      <c r="AT159" s="18" t="s">
        <v>160</v>
      </c>
      <c r="AU159" s="18" t="s">
        <v>79</v>
      </c>
    </row>
    <row r="160" spans="2:65" s="1" customFormat="1" ht="19.5">
      <c r="B160" s="33"/>
      <c r="D160" s="151" t="s">
        <v>219</v>
      </c>
      <c r="F160" s="171" t="s">
        <v>256</v>
      </c>
      <c r="I160" s="148"/>
      <c r="L160" s="33"/>
      <c r="M160" s="149"/>
      <c r="T160" s="54"/>
      <c r="AT160" s="18" t="s">
        <v>219</v>
      </c>
      <c r="AU160" s="18" t="s">
        <v>79</v>
      </c>
    </row>
    <row r="161" spans="2:65" s="14" customFormat="1" ht="11.25">
      <c r="B161" s="165"/>
      <c r="D161" s="151" t="s">
        <v>162</v>
      </c>
      <c r="E161" s="166" t="s">
        <v>3</v>
      </c>
      <c r="F161" s="167" t="s">
        <v>257</v>
      </c>
      <c r="H161" s="166" t="s">
        <v>3</v>
      </c>
      <c r="I161" s="168"/>
      <c r="L161" s="165"/>
      <c r="M161" s="169"/>
      <c r="T161" s="170"/>
      <c r="AT161" s="166" t="s">
        <v>162</v>
      </c>
      <c r="AU161" s="166" t="s">
        <v>79</v>
      </c>
      <c r="AV161" s="14" t="s">
        <v>77</v>
      </c>
      <c r="AW161" s="14" t="s">
        <v>30</v>
      </c>
      <c r="AX161" s="14" t="s">
        <v>69</v>
      </c>
      <c r="AY161" s="166" t="s">
        <v>151</v>
      </c>
    </row>
    <row r="162" spans="2:65" s="12" customFormat="1" ht="11.25">
      <c r="B162" s="150"/>
      <c r="D162" s="151" t="s">
        <v>162</v>
      </c>
      <c r="E162" s="152" t="s">
        <v>3</v>
      </c>
      <c r="F162" s="153" t="s">
        <v>258</v>
      </c>
      <c r="H162" s="154">
        <v>46.8</v>
      </c>
      <c r="I162" s="155"/>
      <c r="L162" s="150"/>
      <c r="M162" s="156"/>
      <c r="T162" s="157"/>
      <c r="AT162" s="152" t="s">
        <v>162</v>
      </c>
      <c r="AU162" s="152" t="s">
        <v>79</v>
      </c>
      <c r="AV162" s="12" t="s">
        <v>79</v>
      </c>
      <c r="AW162" s="12" t="s">
        <v>30</v>
      </c>
      <c r="AX162" s="12" t="s">
        <v>69</v>
      </c>
      <c r="AY162" s="152" t="s">
        <v>151</v>
      </c>
    </row>
    <row r="163" spans="2:65" s="14" customFormat="1" ht="11.25">
      <c r="B163" s="165"/>
      <c r="D163" s="151" t="s">
        <v>162</v>
      </c>
      <c r="E163" s="166" t="s">
        <v>3</v>
      </c>
      <c r="F163" s="167" t="s">
        <v>259</v>
      </c>
      <c r="H163" s="166" t="s">
        <v>3</v>
      </c>
      <c r="I163" s="168"/>
      <c r="L163" s="165"/>
      <c r="M163" s="169"/>
      <c r="T163" s="170"/>
      <c r="AT163" s="166" t="s">
        <v>162</v>
      </c>
      <c r="AU163" s="166" t="s">
        <v>79</v>
      </c>
      <c r="AV163" s="14" t="s">
        <v>77</v>
      </c>
      <c r="AW163" s="14" t="s">
        <v>30</v>
      </c>
      <c r="AX163" s="14" t="s">
        <v>69</v>
      </c>
      <c r="AY163" s="166" t="s">
        <v>151</v>
      </c>
    </row>
    <row r="164" spans="2:65" s="12" customFormat="1" ht="11.25">
      <c r="B164" s="150"/>
      <c r="D164" s="151" t="s">
        <v>162</v>
      </c>
      <c r="E164" s="152" t="s">
        <v>3</v>
      </c>
      <c r="F164" s="153" t="s">
        <v>260</v>
      </c>
      <c r="H164" s="154">
        <v>73.8</v>
      </c>
      <c r="I164" s="155"/>
      <c r="L164" s="150"/>
      <c r="M164" s="156"/>
      <c r="T164" s="157"/>
      <c r="AT164" s="152" t="s">
        <v>162</v>
      </c>
      <c r="AU164" s="152" t="s">
        <v>79</v>
      </c>
      <c r="AV164" s="12" t="s">
        <v>79</v>
      </c>
      <c r="AW164" s="12" t="s">
        <v>30</v>
      </c>
      <c r="AX164" s="12" t="s">
        <v>69</v>
      </c>
      <c r="AY164" s="152" t="s">
        <v>151</v>
      </c>
    </row>
    <row r="165" spans="2:65" s="14" customFormat="1" ht="11.25">
      <c r="B165" s="165"/>
      <c r="D165" s="151" t="s">
        <v>162</v>
      </c>
      <c r="E165" s="166" t="s">
        <v>3</v>
      </c>
      <c r="F165" s="167" t="s">
        <v>261</v>
      </c>
      <c r="H165" s="166" t="s">
        <v>3</v>
      </c>
      <c r="I165" s="168"/>
      <c r="L165" s="165"/>
      <c r="M165" s="169"/>
      <c r="T165" s="170"/>
      <c r="AT165" s="166" t="s">
        <v>162</v>
      </c>
      <c r="AU165" s="166" t="s">
        <v>79</v>
      </c>
      <c r="AV165" s="14" t="s">
        <v>77</v>
      </c>
      <c r="AW165" s="14" t="s">
        <v>30</v>
      </c>
      <c r="AX165" s="14" t="s">
        <v>69</v>
      </c>
      <c r="AY165" s="166" t="s">
        <v>151</v>
      </c>
    </row>
    <row r="166" spans="2:65" s="12" customFormat="1" ht="11.25">
      <c r="B166" s="150"/>
      <c r="D166" s="151" t="s">
        <v>162</v>
      </c>
      <c r="E166" s="152" t="s">
        <v>3</v>
      </c>
      <c r="F166" s="153" t="s">
        <v>262</v>
      </c>
      <c r="H166" s="154">
        <v>34.9</v>
      </c>
      <c r="I166" s="155"/>
      <c r="L166" s="150"/>
      <c r="M166" s="156"/>
      <c r="T166" s="157"/>
      <c r="AT166" s="152" t="s">
        <v>162</v>
      </c>
      <c r="AU166" s="152" t="s">
        <v>79</v>
      </c>
      <c r="AV166" s="12" t="s">
        <v>79</v>
      </c>
      <c r="AW166" s="12" t="s">
        <v>30</v>
      </c>
      <c r="AX166" s="12" t="s">
        <v>69</v>
      </c>
      <c r="AY166" s="152" t="s">
        <v>151</v>
      </c>
    </row>
    <row r="167" spans="2:65" s="14" customFormat="1" ht="11.25">
      <c r="B167" s="165"/>
      <c r="D167" s="151" t="s">
        <v>162</v>
      </c>
      <c r="E167" s="166" t="s">
        <v>3</v>
      </c>
      <c r="F167" s="167" t="s">
        <v>263</v>
      </c>
      <c r="H167" s="166" t="s">
        <v>3</v>
      </c>
      <c r="I167" s="168"/>
      <c r="L167" s="165"/>
      <c r="M167" s="169"/>
      <c r="T167" s="170"/>
      <c r="AT167" s="166" t="s">
        <v>162</v>
      </c>
      <c r="AU167" s="166" t="s">
        <v>79</v>
      </c>
      <c r="AV167" s="14" t="s">
        <v>77</v>
      </c>
      <c r="AW167" s="14" t="s">
        <v>30</v>
      </c>
      <c r="AX167" s="14" t="s">
        <v>69</v>
      </c>
      <c r="AY167" s="166" t="s">
        <v>151</v>
      </c>
    </row>
    <row r="168" spans="2:65" s="12" customFormat="1" ht="11.25">
      <c r="B168" s="150"/>
      <c r="D168" s="151" t="s">
        <v>162</v>
      </c>
      <c r="E168" s="152" t="s">
        <v>3</v>
      </c>
      <c r="F168" s="153" t="s">
        <v>264</v>
      </c>
      <c r="H168" s="154">
        <v>0.62</v>
      </c>
      <c r="I168" s="155"/>
      <c r="L168" s="150"/>
      <c r="M168" s="156"/>
      <c r="T168" s="157"/>
      <c r="AT168" s="152" t="s">
        <v>162</v>
      </c>
      <c r="AU168" s="152" t="s">
        <v>79</v>
      </c>
      <c r="AV168" s="12" t="s">
        <v>79</v>
      </c>
      <c r="AW168" s="12" t="s">
        <v>30</v>
      </c>
      <c r="AX168" s="12" t="s">
        <v>69</v>
      </c>
      <c r="AY168" s="152" t="s">
        <v>151</v>
      </c>
    </row>
    <row r="169" spans="2:65" s="13" customFormat="1" ht="11.25">
      <c r="B169" s="158"/>
      <c r="D169" s="151" t="s">
        <v>162</v>
      </c>
      <c r="E169" s="159" t="s">
        <v>3</v>
      </c>
      <c r="F169" s="160" t="s">
        <v>167</v>
      </c>
      <c r="H169" s="161">
        <v>156.12</v>
      </c>
      <c r="I169" s="162"/>
      <c r="L169" s="158"/>
      <c r="M169" s="163"/>
      <c r="T169" s="164"/>
      <c r="AT169" s="159" t="s">
        <v>162</v>
      </c>
      <c r="AU169" s="159" t="s">
        <v>79</v>
      </c>
      <c r="AV169" s="13" t="s">
        <v>158</v>
      </c>
      <c r="AW169" s="13" t="s">
        <v>30</v>
      </c>
      <c r="AX169" s="13" t="s">
        <v>77</v>
      </c>
      <c r="AY169" s="159" t="s">
        <v>151</v>
      </c>
    </row>
    <row r="170" spans="2:65" s="1" customFormat="1" ht="16.5" customHeight="1">
      <c r="B170" s="132"/>
      <c r="C170" s="133" t="s">
        <v>265</v>
      </c>
      <c r="D170" s="133" t="s">
        <v>153</v>
      </c>
      <c r="E170" s="134" t="s">
        <v>266</v>
      </c>
      <c r="F170" s="135" t="s">
        <v>267</v>
      </c>
      <c r="G170" s="136" t="s">
        <v>230</v>
      </c>
      <c r="H170" s="137">
        <v>511.7</v>
      </c>
      <c r="I170" s="138"/>
      <c r="J170" s="139">
        <f>ROUND(I170*H170,2)</f>
        <v>0</v>
      </c>
      <c r="K170" s="135" t="s">
        <v>157</v>
      </c>
      <c r="L170" s="33"/>
      <c r="M170" s="140" t="s">
        <v>3</v>
      </c>
      <c r="N170" s="141" t="s">
        <v>40</v>
      </c>
      <c r="P170" s="142">
        <f>O170*H170</f>
        <v>0</v>
      </c>
      <c r="Q170" s="142">
        <v>2.6900000000000001E-3</v>
      </c>
      <c r="R170" s="142">
        <f>Q170*H170</f>
        <v>1.3764730000000001</v>
      </c>
      <c r="S170" s="142">
        <v>0</v>
      </c>
      <c r="T170" s="143">
        <f>S170*H170</f>
        <v>0</v>
      </c>
      <c r="AR170" s="144" t="s">
        <v>158</v>
      </c>
      <c r="AT170" s="144" t="s">
        <v>153</v>
      </c>
      <c r="AU170" s="144" t="s">
        <v>79</v>
      </c>
      <c r="AY170" s="18" t="s">
        <v>151</v>
      </c>
      <c r="BE170" s="145">
        <f>IF(N170="základní",J170,0)</f>
        <v>0</v>
      </c>
      <c r="BF170" s="145">
        <f>IF(N170="snížená",J170,0)</f>
        <v>0</v>
      </c>
      <c r="BG170" s="145">
        <f>IF(N170="zákl. přenesená",J170,0)</f>
        <v>0</v>
      </c>
      <c r="BH170" s="145">
        <f>IF(N170="sníž. přenesená",J170,0)</f>
        <v>0</v>
      </c>
      <c r="BI170" s="145">
        <f>IF(N170="nulová",J170,0)</f>
        <v>0</v>
      </c>
      <c r="BJ170" s="18" t="s">
        <v>77</v>
      </c>
      <c r="BK170" s="145">
        <f>ROUND(I170*H170,2)</f>
        <v>0</v>
      </c>
      <c r="BL170" s="18" t="s">
        <v>158</v>
      </c>
      <c r="BM170" s="144" t="s">
        <v>268</v>
      </c>
    </row>
    <row r="171" spans="2:65" s="1" customFormat="1" ht="11.25">
      <c r="B171" s="33"/>
      <c r="D171" s="146" t="s">
        <v>160</v>
      </c>
      <c r="F171" s="147" t="s">
        <v>269</v>
      </c>
      <c r="I171" s="148"/>
      <c r="L171" s="33"/>
      <c r="M171" s="149"/>
      <c r="T171" s="54"/>
      <c r="AT171" s="18" t="s">
        <v>160</v>
      </c>
      <c r="AU171" s="18" t="s">
        <v>79</v>
      </c>
    </row>
    <row r="172" spans="2:65" s="14" customFormat="1" ht="11.25">
      <c r="B172" s="165"/>
      <c r="D172" s="151" t="s">
        <v>162</v>
      </c>
      <c r="E172" s="166" t="s">
        <v>3</v>
      </c>
      <c r="F172" s="167" t="s">
        <v>270</v>
      </c>
      <c r="H172" s="166" t="s">
        <v>3</v>
      </c>
      <c r="I172" s="168"/>
      <c r="L172" s="165"/>
      <c r="M172" s="169"/>
      <c r="T172" s="170"/>
      <c r="AT172" s="166" t="s">
        <v>162</v>
      </c>
      <c r="AU172" s="166" t="s">
        <v>79</v>
      </c>
      <c r="AV172" s="14" t="s">
        <v>77</v>
      </c>
      <c r="AW172" s="14" t="s">
        <v>30</v>
      </c>
      <c r="AX172" s="14" t="s">
        <v>69</v>
      </c>
      <c r="AY172" s="166" t="s">
        <v>151</v>
      </c>
    </row>
    <row r="173" spans="2:65" s="12" customFormat="1" ht="11.25">
      <c r="B173" s="150"/>
      <c r="D173" s="151" t="s">
        <v>162</v>
      </c>
      <c r="E173" s="152" t="s">
        <v>3</v>
      </c>
      <c r="F173" s="153" t="s">
        <v>271</v>
      </c>
      <c r="H173" s="154">
        <v>116.48</v>
      </c>
      <c r="I173" s="155"/>
      <c r="L173" s="150"/>
      <c r="M173" s="156"/>
      <c r="T173" s="157"/>
      <c r="AT173" s="152" t="s">
        <v>162</v>
      </c>
      <c r="AU173" s="152" t="s">
        <v>79</v>
      </c>
      <c r="AV173" s="12" t="s">
        <v>79</v>
      </c>
      <c r="AW173" s="12" t="s">
        <v>30</v>
      </c>
      <c r="AX173" s="12" t="s">
        <v>69</v>
      </c>
      <c r="AY173" s="152" t="s">
        <v>151</v>
      </c>
    </row>
    <row r="174" spans="2:65" s="14" customFormat="1" ht="11.25">
      <c r="B174" s="165"/>
      <c r="D174" s="151" t="s">
        <v>162</v>
      </c>
      <c r="E174" s="166" t="s">
        <v>3</v>
      </c>
      <c r="F174" s="167" t="s">
        <v>272</v>
      </c>
      <c r="H174" s="166" t="s">
        <v>3</v>
      </c>
      <c r="I174" s="168"/>
      <c r="L174" s="165"/>
      <c r="M174" s="169"/>
      <c r="T174" s="170"/>
      <c r="AT174" s="166" t="s">
        <v>162</v>
      </c>
      <c r="AU174" s="166" t="s">
        <v>79</v>
      </c>
      <c r="AV174" s="14" t="s">
        <v>77</v>
      </c>
      <c r="AW174" s="14" t="s">
        <v>30</v>
      </c>
      <c r="AX174" s="14" t="s">
        <v>69</v>
      </c>
      <c r="AY174" s="166" t="s">
        <v>151</v>
      </c>
    </row>
    <row r="175" spans="2:65" s="12" customFormat="1" ht="11.25">
      <c r="B175" s="150"/>
      <c r="D175" s="151" t="s">
        <v>162</v>
      </c>
      <c r="E175" s="152" t="s">
        <v>3</v>
      </c>
      <c r="F175" s="153" t="s">
        <v>273</v>
      </c>
      <c r="H175" s="154">
        <v>226.82</v>
      </c>
      <c r="I175" s="155"/>
      <c r="L175" s="150"/>
      <c r="M175" s="156"/>
      <c r="T175" s="157"/>
      <c r="AT175" s="152" t="s">
        <v>162</v>
      </c>
      <c r="AU175" s="152" t="s">
        <v>79</v>
      </c>
      <c r="AV175" s="12" t="s">
        <v>79</v>
      </c>
      <c r="AW175" s="12" t="s">
        <v>30</v>
      </c>
      <c r="AX175" s="12" t="s">
        <v>69</v>
      </c>
      <c r="AY175" s="152" t="s">
        <v>151</v>
      </c>
    </row>
    <row r="176" spans="2:65" s="14" customFormat="1" ht="11.25">
      <c r="B176" s="165"/>
      <c r="D176" s="151" t="s">
        <v>162</v>
      </c>
      <c r="E176" s="166" t="s">
        <v>3</v>
      </c>
      <c r="F176" s="167" t="s">
        <v>274</v>
      </c>
      <c r="H176" s="166" t="s">
        <v>3</v>
      </c>
      <c r="I176" s="168"/>
      <c r="L176" s="165"/>
      <c r="M176" s="169"/>
      <c r="T176" s="170"/>
      <c r="AT176" s="166" t="s">
        <v>162</v>
      </c>
      <c r="AU176" s="166" t="s">
        <v>79</v>
      </c>
      <c r="AV176" s="14" t="s">
        <v>77</v>
      </c>
      <c r="AW176" s="14" t="s">
        <v>30</v>
      </c>
      <c r="AX176" s="14" t="s">
        <v>69</v>
      </c>
      <c r="AY176" s="166" t="s">
        <v>151</v>
      </c>
    </row>
    <row r="177" spans="2:65" s="12" customFormat="1" ht="11.25">
      <c r="B177" s="150"/>
      <c r="D177" s="151" t="s">
        <v>162</v>
      </c>
      <c r="E177" s="152" t="s">
        <v>3</v>
      </c>
      <c r="F177" s="153" t="s">
        <v>275</v>
      </c>
      <c r="H177" s="154">
        <v>165.6</v>
      </c>
      <c r="I177" s="155"/>
      <c r="L177" s="150"/>
      <c r="M177" s="156"/>
      <c r="T177" s="157"/>
      <c r="AT177" s="152" t="s">
        <v>162</v>
      </c>
      <c r="AU177" s="152" t="s">
        <v>79</v>
      </c>
      <c r="AV177" s="12" t="s">
        <v>79</v>
      </c>
      <c r="AW177" s="12" t="s">
        <v>30</v>
      </c>
      <c r="AX177" s="12" t="s">
        <v>69</v>
      </c>
      <c r="AY177" s="152" t="s">
        <v>151</v>
      </c>
    </row>
    <row r="178" spans="2:65" s="14" customFormat="1" ht="11.25">
      <c r="B178" s="165"/>
      <c r="D178" s="151" t="s">
        <v>162</v>
      </c>
      <c r="E178" s="166" t="s">
        <v>3</v>
      </c>
      <c r="F178" s="167" t="s">
        <v>276</v>
      </c>
      <c r="H178" s="166" t="s">
        <v>3</v>
      </c>
      <c r="I178" s="168"/>
      <c r="L178" s="165"/>
      <c r="M178" s="169"/>
      <c r="T178" s="170"/>
      <c r="AT178" s="166" t="s">
        <v>162</v>
      </c>
      <c r="AU178" s="166" t="s">
        <v>79</v>
      </c>
      <c r="AV178" s="14" t="s">
        <v>77</v>
      </c>
      <c r="AW178" s="14" t="s">
        <v>30</v>
      </c>
      <c r="AX178" s="14" t="s">
        <v>69</v>
      </c>
      <c r="AY178" s="166" t="s">
        <v>151</v>
      </c>
    </row>
    <row r="179" spans="2:65" s="12" customFormat="1" ht="11.25">
      <c r="B179" s="150"/>
      <c r="D179" s="151" t="s">
        <v>162</v>
      </c>
      <c r="E179" s="152" t="s">
        <v>3</v>
      </c>
      <c r="F179" s="153" t="s">
        <v>277</v>
      </c>
      <c r="H179" s="154">
        <v>2.8</v>
      </c>
      <c r="I179" s="155"/>
      <c r="L179" s="150"/>
      <c r="M179" s="156"/>
      <c r="T179" s="157"/>
      <c r="AT179" s="152" t="s">
        <v>162</v>
      </c>
      <c r="AU179" s="152" t="s">
        <v>79</v>
      </c>
      <c r="AV179" s="12" t="s">
        <v>79</v>
      </c>
      <c r="AW179" s="12" t="s">
        <v>30</v>
      </c>
      <c r="AX179" s="12" t="s">
        <v>69</v>
      </c>
      <c r="AY179" s="152" t="s">
        <v>151</v>
      </c>
    </row>
    <row r="180" spans="2:65" s="13" customFormat="1" ht="11.25">
      <c r="B180" s="158"/>
      <c r="D180" s="151" t="s">
        <v>162</v>
      </c>
      <c r="E180" s="159" t="s">
        <v>3</v>
      </c>
      <c r="F180" s="160" t="s">
        <v>167</v>
      </c>
      <c r="H180" s="161">
        <v>511.7</v>
      </c>
      <c r="I180" s="162"/>
      <c r="L180" s="158"/>
      <c r="M180" s="163"/>
      <c r="T180" s="164"/>
      <c r="AT180" s="159" t="s">
        <v>162</v>
      </c>
      <c r="AU180" s="159" t="s">
        <v>79</v>
      </c>
      <c r="AV180" s="13" t="s">
        <v>158</v>
      </c>
      <c r="AW180" s="13" t="s">
        <v>30</v>
      </c>
      <c r="AX180" s="13" t="s">
        <v>77</v>
      </c>
      <c r="AY180" s="159" t="s">
        <v>151</v>
      </c>
    </row>
    <row r="181" spans="2:65" s="1" customFormat="1" ht="16.5" customHeight="1">
      <c r="B181" s="132"/>
      <c r="C181" s="133" t="s">
        <v>9</v>
      </c>
      <c r="D181" s="133" t="s">
        <v>153</v>
      </c>
      <c r="E181" s="134" t="s">
        <v>278</v>
      </c>
      <c r="F181" s="135" t="s">
        <v>279</v>
      </c>
      <c r="G181" s="136" t="s">
        <v>230</v>
      </c>
      <c r="H181" s="137">
        <v>165.6</v>
      </c>
      <c r="I181" s="138"/>
      <c r="J181" s="139">
        <f>ROUND(I181*H181,2)</f>
        <v>0</v>
      </c>
      <c r="K181" s="135" t="s">
        <v>157</v>
      </c>
      <c r="L181" s="33"/>
      <c r="M181" s="140" t="s">
        <v>3</v>
      </c>
      <c r="N181" s="141" t="s">
        <v>40</v>
      </c>
      <c r="P181" s="142">
        <f>O181*H181</f>
        <v>0</v>
      </c>
      <c r="Q181" s="142">
        <v>0</v>
      </c>
      <c r="R181" s="142">
        <f>Q181*H181</f>
        <v>0</v>
      </c>
      <c r="S181" s="142">
        <v>0</v>
      </c>
      <c r="T181" s="143">
        <f>S181*H181</f>
        <v>0</v>
      </c>
      <c r="AR181" s="144" t="s">
        <v>158</v>
      </c>
      <c r="AT181" s="144" t="s">
        <v>153</v>
      </c>
      <c r="AU181" s="144" t="s">
        <v>79</v>
      </c>
      <c r="AY181" s="18" t="s">
        <v>151</v>
      </c>
      <c r="BE181" s="145">
        <f>IF(N181="základní",J181,0)</f>
        <v>0</v>
      </c>
      <c r="BF181" s="145">
        <f>IF(N181="snížená",J181,0)</f>
        <v>0</v>
      </c>
      <c r="BG181" s="145">
        <f>IF(N181="zákl. přenesená",J181,0)</f>
        <v>0</v>
      </c>
      <c r="BH181" s="145">
        <f>IF(N181="sníž. přenesená",J181,0)</f>
        <v>0</v>
      </c>
      <c r="BI181" s="145">
        <f>IF(N181="nulová",J181,0)</f>
        <v>0</v>
      </c>
      <c r="BJ181" s="18" t="s">
        <v>77</v>
      </c>
      <c r="BK181" s="145">
        <f>ROUND(I181*H181,2)</f>
        <v>0</v>
      </c>
      <c r="BL181" s="18" t="s">
        <v>158</v>
      </c>
      <c r="BM181" s="144" t="s">
        <v>280</v>
      </c>
    </row>
    <row r="182" spans="2:65" s="1" customFormat="1" ht="11.25">
      <c r="B182" s="33"/>
      <c r="D182" s="146" t="s">
        <v>160</v>
      </c>
      <c r="F182" s="147" t="s">
        <v>281</v>
      </c>
      <c r="I182" s="148"/>
      <c r="L182" s="33"/>
      <c r="M182" s="149"/>
      <c r="T182" s="54"/>
      <c r="AT182" s="18" t="s">
        <v>160</v>
      </c>
      <c r="AU182" s="18" t="s">
        <v>79</v>
      </c>
    </row>
    <row r="183" spans="2:65" s="1" customFormat="1" ht="16.5" customHeight="1">
      <c r="B183" s="132"/>
      <c r="C183" s="133" t="s">
        <v>282</v>
      </c>
      <c r="D183" s="133" t="s">
        <v>153</v>
      </c>
      <c r="E183" s="134" t="s">
        <v>283</v>
      </c>
      <c r="F183" s="135" t="s">
        <v>284</v>
      </c>
      <c r="G183" s="136" t="s">
        <v>183</v>
      </c>
      <c r="H183" s="137">
        <v>8.18</v>
      </c>
      <c r="I183" s="138"/>
      <c r="J183" s="139">
        <f>ROUND(I183*H183,2)</f>
        <v>0</v>
      </c>
      <c r="K183" s="135" t="s">
        <v>171</v>
      </c>
      <c r="L183" s="33"/>
      <c r="M183" s="140" t="s">
        <v>3</v>
      </c>
      <c r="N183" s="141" t="s">
        <v>40</v>
      </c>
      <c r="P183" s="142">
        <f>O183*H183</f>
        <v>0</v>
      </c>
      <c r="Q183" s="142">
        <v>1.0606199999999999</v>
      </c>
      <c r="R183" s="142">
        <f>Q183*H183</f>
        <v>8.6758715999999989</v>
      </c>
      <c r="S183" s="142">
        <v>0</v>
      </c>
      <c r="T183" s="143">
        <f>S183*H183</f>
        <v>0</v>
      </c>
      <c r="AR183" s="144" t="s">
        <v>158</v>
      </c>
      <c r="AT183" s="144" t="s">
        <v>153</v>
      </c>
      <c r="AU183" s="144" t="s">
        <v>79</v>
      </c>
      <c r="AY183" s="18" t="s">
        <v>151</v>
      </c>
      <c r="BE183" s="145">
        <f>IF(N183="základní",J183,0)</f>
        <v>0</v>
      </c>
      <c r="BF183" s="145">
        <f>IF(N183="snížená",J183,0)</f>
        <v>0</v>
      </c>
      <c r="BG183" s="145">
        <f>IF(N183="zákl. přenesená",J183,0)</f>
        <v>0</v>
      </c>
      <c r="BH183" s="145">
        <f>IF(N183="sníž. přenesená",J183,0)</f>
        <v>0</v>
      </c>
      <c r="BI183" s="145">
        <f>IF(N183="nulová",J183,0)</f>
        <v>0</v>
      </c>
      <c r="BJ183" s="18" t="s">
        <v>77</v>
      </c>
      <c r="BK183" s="145">
        <f>ROUND(I183*H183,2)</f>
        <v>0</v>
      </c>
      <c r="BL183" s="18" t="s">
        <v>158</v>
      </c>
      <c r="BM183" s="144" t="s">
        <v>285</v>
      </c>
    </row>
    <row r="184" spans="2:65" s="1" customFormat="1" ht="11.25">
      <c r="B184" s="33"/>
      <c r="D184" s="146" t="s">
        <v>160</v>
      </c>
      <c r="F184" s="147" t="s">
        <v>286</v>
      </c>
      <c r="I184" s="148"/>
      <c r="L184" s="33"/>
      <c r="M184" s="149"/>
      <c r="T184" s="54"/>
      <c r="AT184" s="18" t="s">
        <v>160</v>
      </c>
      <c r="AU184" s="18" t="s">
        <v>79</v>
      </c>
    </row>
    <row r="185" spans="2:65" s="1" customFormat="1" ht="16.5" customHeight="1">
      <c r="B185" s="132"/>
      <c r="C185" s="133" t="s">
        <v>287</v>
      </c>
      <c r="D185" s="133" t="s">
        <v>153</v>
      </c>
      <c r="E185" s="134" t="s">
        <v>288</v>
      </c>
      <c r="F185" s="135" t="s">
        <v>289</v>
      </c>
      <c r="G185" s="136" t="s">
        <v>183</v>
      </c>
      <c r="H185" s="137">
        <v>0.28499999999999998</v>
      </c>
      <c r="I185" s="138"/>
      <c r="J185" s="139">
        <f>ROUND(I185*H185,2)</f>
        <v>0</v>
      </c>
      <c r="K185" s="135" t="s">
        <v>157</v>
      </c>
      <c r="L185" s="33"/>
      <c r="M185" s="140" t="s">
        <v>3</v>
      </c>
      <c r="N185" s="141" t="s">
        <v>40</v>
      </c>
      <c r="P185" s="142">
        <f>O185*H185</f>
        <v>0</v>
      </c>
      <c r="Q185" s="142">
        <v>1.06277</v>
      </c>
      <c r="R185" s="142">
        <f>Q185*H185</f>
        <v>0.30288944999999995</v>
      </c>
      <c r="S185" s="142">
        <v>0</v>
      </c>
      <c r="T185" s="143">
        <f>S185*H185</f>
        <v>0</v>
      </c>
      <c r="AR185" s="144" t="s">
        <v>158</v>
      </c>
      <c r="AT185" s="144" t="s">
        <v>153</v>
      </c>
      <c r="AU185" s="144" t="s">
        <v>79</v>
      </c>
      <c r="AY185" s="18" t="s">
        <v>151</v>
      </c>
      <c r="BE185" s="145">
        <f>IF(N185="základní",J185,0)</f>
        <v>0</v>
      </c>
      <c r="BF185" s="145">
        <f>IF(N185="snížená",J185,0)</f>
        <v>0</v>
      </c>
      <c r="BG185" s="145">
        <f>IF(N185="zákl. přenesená",J185,0)</f>
        <v>0</v>
      </c>
      <c r="BH185" s="145">
        <f>IF(N185="sníž. přenesená",J185,0)</f>
        <v>0</v>
      </c>
      <c r="BI185" s="145">
        <f>IF(N185="nulová",J185,0)</f>
        <v>0</v>
      </c>
      <c r="BJ185" s="18" t="s">
        <v>77</v>
      </c>
      <c r="BK185" s="145">
        <f>ROUND(I185*H185,2)</f>
        <v>0</v>
      </c>
      <c r="BL185" s="18" t="s">
        <v>158</v>
      </c>
      <c r="BM185" s="144" t="s">
        <v>290</v>
      </c>
    </row>
    <row r="186" spans="2:65" s="1" customFormat="1" ht="11.25">
      <c r="B186" s="33"/>
      <c r="D186" s="146" t="s">
        <v>160</v>
      </c>
      <c r="F186" s="147" t="s">
        <v>291</v>
      </c>
      <c r="I186" s="148"/>
      <c r="L186" s="33"/>
      <c r="M186" s="149"/>
      <c r="T186" s="54"/>
      <c r="AT186" s="18" t="s">
        <v>160</v>
      </c>
      <c r="AU186" s="18" t="s">
        <v>79</v>
      </c>
    </row>
    <row r="187" spans="2:65" s="14" customFormat="1" ht="11.25">
      <c r="B187" s="165"/>
      <c r="D187" s="151" t="s">
        <v>162</v>
      </c>
      <c r="E187" s="166" t="s">
        <v>3</v>
      </c>
      <c r="F187" s="167" t="s">
        <v>292</v>
      </c>
      <c r="H187" s="166" t="s">
        <v>3</v>
      </c>
      <c r="I187" s="168"/>
      <c r="L187" s="165"/>
      <c r="M187" s="169"/>
      <c r="T187" s="170"/>
      <c r="AT187" s="166" t="s">
        <v>162</v>
      </c>
      <c r="AU187" s="166" t="s">
        <v>79</v>
      </c>
      <c r="AV187" s="14" t="s">
        <v>77</v>
      </c>
      <c r="AW187" s="14" t="s">
        <v>30</v>
      </c>
      <c r="AX187" s="14" t="s">
        <v>69</v>
      </c>
      <c r="AY187" s="166" t="s">
        <v>151</v>
      </c>
    </row>
    <row r="188" spans="2:65" s="12" customFormat="1" ht="11.25">
      <c r="B188" s="150"/>
      <c r="D188" s="151" t="s">
        <v>162</v>
      </c>
      <c r="E188" s="152" t="s">
        <v>3</v>
      </c>
      <c r="F188" s="153" t="s">
        <v>293</v>
      </c>
      <c r="H188" s="154">
        <v>0.28499999999999998</v>
      </c>
      <c r="I188" s="155"/>
      <c r="L188" s="150"/>
      <c r="M188" s="156"/>
      <c r="T188" s="157"/>
      <c r="AT188" s="152" t="s">
        <v>162</v>
      </c>
      <c r="AU188" s="152" t="s">
        <v>79</v>
      </c>
      <c r="AV188" s="12" t="s">
        <v>79</v>
      </c>
      <c r="AW188" s="12" t="s">
        <v>30</v>
      </c>
      <c r="AX188" s="12" t="s">
        <v>69</v>
      </c>
      <c r="AY188" s="152" t="s">
        <v>151</v>
      </c>
    </row>
    <row r="189" spans="2:65" s="13" customFormat="1" ht="11.25">
      <c r="B189" s="158"/>
      <c r="D189" s="151" t="s">
        <v>162</v>
      </c>
      <c r="E189" s="159" t="s">
        <v>3</v>
      </c>
      <c r="F189" s="160" t="s">
        <v>167</v>
      </c>
      <c r="H189" s="161">
        <v>0.28499999999999998</v>
      </c>
      <c r="I189" s="162"/>
      <c r="L189" s="158"/>
      <c r="M189" s="163"/>
      <c r="T189" s="164"/>
      <c r="AT189" s="159" t="s">
        <v>162</v>
      </c>
      <c r="AU189" s="159" t="s">
        <v>79</v>
      </c>
      <c r="AV189" s="13" t="s">
        <v>158</v>
      </c>
      <c r="AW189" s="13" t="s">
        <v>30</v>
      </c>
      <c r="AX189" s="13" t="s">
        <v>77</v>
      </c>
      <c r="AY189" s="159" t="s">
        <v>151</v>
      </c>
    </row>
    <row r="190" spans="2:65" s="1" customFormat="1" ht="24.2" customHeight="1">
      <c r="B190" s="132"/>
      <c r="C190" s="133" t="s">
        <v>294</v>
      </c>
      <c r="D190" s="133" t="s">
        <v>153</v>
      </c>
      <c r="E190" s="134" t="s">
        <v>295</v>
      </c>
      <c r="F190" s="135" t="s">
        <v>296</v>
      </c>
      <c r="G190" s="136" t="s">
        <v>230</v>
      </c>
      <c r="H190" s="137">
        <v>4.7</v>
      </c>
      <c r="I190" s="138"/>
      <c r="J190" s="139">
        <f>ROUND(I190*H190,2)</f>
        <v>0</v>
      </c>
      <c r="K190" s="135" t="s">
        <v>157</v>
      </c>
      <c r="L190" s="33"/>
      <c r="M190" s="140" t="s">
        <v>3</v>
      </c>
      <c r="N190" s="141" t="s">
        <v>40</v>
      </c>
      <c r="P190" s="142">
        <f>O190*H190</f>
        <v>0</v>
      </c>
      <c r="Q190" s="142">
        <v>0.37678</v>
      </c>
      <c r="R190" s="142">
        <f>Q190*H190</f>
        <v>1.7708660000000001</v>
      </c>
      <c r="S190" s="142">
        <v>0</v>
      </c>
      <c r="T190" s="143">
        <f>S190*H190</f>
        <v>0</v>
      </c>
      <c r="AR190" s="144" t="s">
        <v>158</v>
      </c>
      <c r="AT190" s="144" t="s">
        <v>153</v>
      </c>
      <c r="AU190" s="144" t="s">
        <v>79</v>
      </c>
      <c r="AY190" s="18" t="s">
        <v>151</v>
      </c>
      <c r="BE190" s="145">
        <f>IF(N190="základní",J190,0)</f>
        <v>0</v>
      </c>
      <c r="BF190" s="145">
        <f>IF(N190="snížená",J190,0)</f>
        <v>0</v>
      </c>
      <c r="BG190" s="145">
        <f>IF(N190="zákl. přenesená",J190,0)</f>
        <v>0</v>
      </c>
      <c r="BH190" s="145">
        <f>IF(N190="sníž. přenesená",J190,0)</f>
        <v>0</v>
      </c>
      <c r="BI190" s="145">
        <f>IF(N190="nulová",J190,0)</f>
        <v>0</v>
      </c>
      <c r="BJ190" s="18" t="s">
        <v>77</v>
      </c>
      <c r="BK190" s="145">
        <f>ROUND(I190*H190,2)</f>
        <v>0</v>
      </c>
      <c r="BL190" s="18" t="s">
        <v>158</v>
      </c>
      <c r="BM190" s="144" t="s">
        <v>297</v>
      </c>
    </row>
    <row r="191" spans="2:65" s="1" customFormat="1" ht="11.25">
      <c r="B191" s="33"/>
      <c r="D191" s="146" t="s">
        <v>160</v>
      </c>
      <c r="F191" s="147" t="s">
        <v>298</v>
      </c>
      <c r="I191" s="148"/>
      <c r="L191" s="33"/>
      <c r="M191" s="149"/>
      <c r="T191" s="54"/>
      <c r="AT191" s="18" t="s">
        <v>160</v>
      </c>
      <c r="AU191" s="18" t="s">
        <v>79</v>
      </c>
    </row>
    <row r="192" spans="2:65" s="1" customFormat="1" ht="24.2" customHeight="1">
      <c r="B192" s="132"/>
      <c r="C192" s="133" t="s">
        <v>299</v>
      </c>
      <c r="D192" s="133" t="s">
        <v>153</v>
      </c>
      <c r="E192" s="134" t="s">
        <v>300</v>
      </c>
      <c r="F192" s="135" t="s">
        <v>301</v>
      </c>
      <c r="G192" s="136" t="s">
        <v>230</v>
      </c>
      <c r="H192" s="137">
        <v>64.3</v>
      </c>
      <c r="I192" s="138"/>
      <c r="J192" s="139">
        <f>ROUND(I192*H192,2)</f>
        <v>0</v>
      </c>
      <c r="K192" s="135" t="s">
        <v>171</v>
      </c>
      <c r="L192" s="33"/>
      <c r="M192" s="140" t="s">
        <v>3</v>
      </c>
      <c r="N192" s="141" t="s">
        <v>40</v>
      </c>
      <c r="P192" s="142">
        <f>O192*H192</f>
        <v>0</v>
      </c>
      <c r="Q192" s="142">
        <v>0.73404000000000003</v>
      </c>
      <c r="R192" s="142">
        <f>Q192*H192</f>
        <v>47.198771999999998</v>
      </c>
      <c r="S192" s="142">
        <v>0</v>
      </c>
      <c r="T192" s="143">
        <f>S192*H192</f>
        <v>0</v>
      </c>
      <c r="AR192" s="144" t="s">
        <v>158</v>
      </c>
      <c r="AT192" s="144" t="s">
        <v>153</v>
      </c>
      <c r="AU192" s="144" t="s">
        <v>79</v>
      </c>
      <c r="AY192" s="18" t="s">
        <v>151</v>
      </c>
      <c r="BE192" s="145">
        <f>IF(N192="základní",J192,0)</f>
        <v>0</v>
      </c>
      <c r="BF192" s="145">
        <f>IF(N192="snížená",J192,0)</f>
        <v>0</v>
      </c>
      <c r="BG192" s="145">
        <f>IF(N192="zákl. přenesená",J192,0)</f>
        <v>0</v>
      </c>
      <c r="BH192" s="145">
        <f>IF(N192="sníž. přenesená",J192,0)</f>
        <v>0</v>
      </c>
      <c r="BI192" s="145">
        <f>IF(N192="nulová",J192,0)</f>
        <v>0</v>
      </c>
      <c r="BJ192" s="18" t="s">
        <v>77</v>
      </c>
      <c r="BK192" s="145">
        <f>ROUND(I192*H192,2)</f>
        <v>0</v>
      </c>
      <c r="BL192" s="18" t="s">
        <v>158</v>
      </c>
      <c r="BM192" s="144" t="s">
        <v>302</v>
      </c>
    </row>
    <row r="193" spans="2:65" s="1" customFormat="1" ht="11.25">
      <c r="B193" s="33"/>
      <c r="D193" s="146" t="s">
        <v>160</v>
      </c>
      <c r="F193" s="147" t="s">
        <v>303</v>
      </c>
      <c r="I193" s="148"/>
      <c r="L193" s="33"/>
      <c r="M193" s="149"/>
      <c r="T193" s="54"/>
      <c r="AT193" s="18" t="s">
        <v>160</v>
      </c>
      <c r="AU193" s="18" t="s">
        <v>79</v>
      </c>
    </row>
    <row r="194" spans="2:65" s="14" customFormat="1" ht="11.25">
      <c r="B194" s="165"/>
      <c r="D194" s="151" t="s">
        <v>162</v>
      </c>
      <c r="E194" s="166" t="s">
        <v>3</v>
      </c>
      <c r="F194" s="167" t="s">
        <v>304</v>
      </c>
      <c r="H194" s="166" t="s">
        <v>3</v>
      </c>
      <c r="I194" s="168"/>
      <c r="L194" s="165"/>
      <c r="M194" s="169"/>
      <c r="T194" s="170"/>
      <c r="AT194" s="166" t="s">
        <v>162</v>
      </c>
      <c r="AU194" s="166" t="s">
        <v>79</v>
      </c>
      <c r="AV194" s="14" t="s">
        <v>77</v>
      </c>
      <c r="AW194" s="14" t="s">
        <v>30</v>
      </c>
      <c r="AX194" s="14" t="s">
        <v>69</v>
      </c>
      <c r="AY194" s="166" t="s">
        <v>151</v>
      </c>
    </row>
    <row r="195" spans="2:65" s="12" customFormat="1" ht="11.25">
      <c r="B195" s="150"/>
      <c r="D195" s="151" t="s">
        <v>162</v>
      </c>
      <c r="E195" s="152" t="s">
        <v>3</v>
      </c>
      <c r="F195" s="153" t="s">
        <v>305</v>
      </c>
      <c r="H195" s="154">
        <v>64.3</v>
      </c>
      <c r="I195" s="155"/>
      <c r="L195" s="150"/>
      <c r="M195" s="156"/>
      <c r="T195" s="157"/>
      <c r="AT195" s="152" t="s">
        <v>162</v>
      </c>
      <c r="AU195" s="152" t="s">
        <v>79</v>
      </c>
      <c r="AV195" s="12" t="s">
        <v>79</v>
      </c>
      <c r="AW195" s="12" t="s">
        <v>30</v>
      </c>
      <c r="AX195" s="12" t="s">
        <v>69</v>
      </c>
      <c r="AY195" s="152" t="s">
        <v>151</v>
      </c>
    </row>
    <row r="196" spans="2:65" s="13" customFormat="1" ht="11.25">
      <c r="B196" s="158"/>
      <c r="D196" s="151" t="s">
        <v>162</v>
      </c>
      <c r="E196" s="159" t="s">
        <v>3</v>
      </c>
      <c r="F196" s="160" t="s">
        <v>167</v>
      </c>
      <c r="H196" s="161">
        <v>64.3</v>
      </c>
      <c r="I196" s="162"/>
      <c r="L196" s="158"/>
      <c r="M196" s="163"/>
      <c r="T196" s="164"/>
      <c r="AT196" s="159" t="s">
        <v>162</v>
      </c>
      <c r="AU196" s="159" t="s">
        <v>79</v>
      </c>
      <c r="AV196" s="13" t="s">
        <v>158</v>
      </c>
      <c r="AW196" s="13" t="s">
        <v>30</v>
      </c>
      <c r="AX196" s="13" t="s">
        <v>77</v>
      </c>
      <c r="AY196" s="159" t="s">
        <v>151</v>
      </c>
    </row>
    <row r="197" spans="2:65" s="1" customFormat="1" ht="24.2" customHeight="1">
      <c r="B197" s="132"/>
      <c r="C197" s="133" t="s">
        <v>306</v>
      </c>
      <c r="D197" s="133" t="s">
        <v>153</v>
      </c>
      <c r="E197" s="134" t="s">
        <v>307</v>
      </c>
      <c r="F197" s="135" t="s">
        <v>308</v>
      </c>
      <c r="G197" s="136" t="s">
        <v>230</v>
      </c>
      <c r="H197" s="137">
        <v>1.4</v>
      </c>
      <c r="I197" s="138"/>
      <c r="J197" s="139">
        <f>ROUND(I197*H197,2)</f>
        <v>0</v>
      </c>
      <c r="K197" s="135" t="s">
        <v>171</v>
      </c>
      <c r="L197" s="33"/>
      <c r="M197" s="140" t="s">
        <v>3</v>
      </c>
      <c r="N197" s="141" t="s">
        <v>40</v>
      </c>
      <c r="P197" s="142">
        <f>O197*H197</f>
        <v>0</v>
      </c>
      <c r="Q197" s="142">
        <v>1.0203599999999999</v>
      </c>
      <c r="R197" s="142">
        <f>Q197*H197</f>
        <v>1.4285039999999998</v>
      </c>
      <c r="S197" s="142">
        <v>0</v>
      </c>
      <c r="T197" s="143">
        <f>S197*H197</f>
        <v>0</v>
      </c>
      <c r="AR197" s="144" t="s">
        <v>158</v>
      </c>
      <c r="AT197" s="144" t="s">
        <v>153</v>
      </c>
      <c r="AU197" s="144" t="s">
        <v>79</v>
      </c>
      <c r="AY197" s="18" t="s">
        <v>151</v>
      </c>
      <c r="BE197" s="145">
        <f>IF(N197="základní",J197,0)</f>
        <v>0</v>
      </c>
      <c r="BF197" s="145">
        <f>IF(N197="snížená",J197,0)</f>
        <v>0</v>
      </c>
      <c r="BG197" s="145">
        <f>IF(N197="zákl. přenesená",J197,0)</f>
        <v>0</v>
      </c>
      <c r="BH197" s="145">
        <f>IF(N197="sníž. přenesená",J197,0)</f>
        <v>0</v>
      </c>
      <c r="BI197" s="145">
        <f>IF(N197="nulová",J197,0)</f>
        <v>0</v>
      </c>
      <c r="BJ197" s="18" t="s">
        <v>77</v>
      </c>
      <c r="BK197" s="145">
        <f>ROUND(I197*H197,2)</f>
        <v>0</v>
      </c>
      <c r="BL197" s="18" t="s">
        <v>158</v>
      </c>
      <c r="BM197" s="144" t="s">
        <v>309</v>
      </c>
    </row>
    <row r="198" spans="2:65" s="1" customFormat="1" ht="11.25">
      <c r="B198" s="33"/>
      <c r="D198" s="146" t="s">
        <v>160</v>
      </c>
      <c r="F198" s="147" t="s">
        <v>310</v>
      </c>
      <c r="I198" s="148"/>
      <c r="L198" s="33"/>
      <c r="M198" s="149"/>
      <c r="T198" s="54"/>
      <c r="AT198" s="18" t="s">
        <v>160</v>
      </c>
      <c r="AU198" s="18" t="s">
        <v>79</v>
      </c>
    </row>
    <row r="199" spans="2:65" s="1" customFormat="1" ht="33" customHeight="1">
      <c r="B199" s="132"/>
      <c r="C199" s="133" t="s">
        <v>311</v>
      </c>
      <c r="D199" s="133" t="s">
        <v>153</v>
      </c>
      <c r="E199" s="134" t="s">
        <v>312</v>
      </c>
      <c r="F199" s="135" t="s">
        <v>313</v>
      </c>
      <c r="G199" s="136" t="s">
        <v>183</v>
      </c>
      <c r="H199" s="137">
        <v>0.78</v>
      </c>
      <c r="I199" s="138"/>
      <c r="J199" s="139">
        <f>ROUND(I199*H199,2)</f>
        <v>0</v>
      </c>
      <c r="K199" s="135" t="s">
        <v>171</v>
      </c>
      <c r="L199" s="33"/>
      <c r="M199" s="140" t="s">
        <v>3</v>
      </c>
      <c r="N199" s="141" t="s">
        <v>40</v>
      </c>
      <c r="P199" s="142">
        <f>O199*H199</f>
        <v>0</v>
      </c>
      <c r="Q199" s="142">
        <v>1.0593999999999999</v>
      </c>
      <c r="R199" s="142">
        <f>Q199*H199</f>
        <v>0.82633199999999996</v>
      </c>
      <c r="S199" s="142">
        <v>0</v>
      </c>
      <c r="T199" s="143">
        <f>S199*H199</f>
        <v>0</v>
      </c>
      <c r="AR199" s="144" t="s">
        <v>158</v>
      </c>
      <c r="AT199" s="144" t="s">
        <v>153</v>
      </c>
      <c r="AU199" s="144" t="s">
        <v>79</v>
      </c>
      <c r="AY199" s="18" t="s">
        <v>151</v>
      </c>
      <c r="BE199" s="145">
        <f>IF(N199="základní",J199,0)</f>
        <v>0</v>
      </c>
      <c r="BF199" s="145">
        <f>IF(N199="snížená",J199,0)</f>
        <v>0</v>
      </c>
      <c r="BG199" s="145">
        <f>IF(N199="zákl. přenesená",J199,0)</f>
        <v>0</v>
      </c>
      <c r="BH199" s="145">
        <f>IF(N199="sníž. přenesená",J199,0)</f>
        <v>0</v>
      </c>
      <c r="BI199" s="145">
        <f>IF(N199="nulová",J199,0)</f>
        <v>0</v>
      </c>
      <c r="BJ199" s="18" t="s">
        <v>77</v>
      </c>
      <c r="BK199" s="145">
        <f>ROUND(I199*H199,2)</f>
        <v>0</v>
      </c>
      <c r="BL199" s="18" t="s">
        <v>158</v>
      </c>
      <c r="BM199" s="144" t="s">
        <v>314</v>
      </c>
    </row>
    <row r="200" spans="2:65" s="1" customFormat="1" ht="11.25">
      <c r="B200" s="33"/>
      <c r="D200" s="146" t="s">
        <v>160</v>
      </c>
      <c r="F200" s="147" t="s">
        <v>315</v>
      </c>
      <c r="I200" s="148"/>
      <c r="L200" s="33"/>
      <c r="M200" s="149"/>
      <c r="T200" s="54"/>
      <c r="AT200" s="18" t="s">
        <v>160</v>
      </c>
      <c r="AU200" s="18" t="s">
        <v>79</v>
      </c>
    </row>
    <row r="201" spans="2:65" s="11" customFormat="1" ht="22.9" customHeight="1">
      <c r="B201" s="120"/>
      <c r="D201" s="121" t="s">
        <v>68</v>
      </c>
      <c r="E201" s="130" t="s">
        <v>168</v>
      </c>
      <c r="F201" s="130" t="s">
        <v>316</v>
      </c>
      <c r="I201" s="123"/>
      <c r="J201" s="131">
        <f>BK201</f>
        <v>0</v>
      </c>
      <c r="L201" s="120"/>
      <c r="M201" s="125"/>
      <c r="P201" s="126">
        <f>SUM(P202:P232)</f>
        <v>0</v>
      </c>
      <c r="R201" s="126">
        <f>SUM(R202:R232)</f>
        <v>4.3361665399999998</v>
      </c>
      <c r="T201" s="127">
        <f>SUM(T202:T232)</f>
        <v>0</v>
      </c>
      <c r="AR201" s="121" t="s">
        <v>77</v>
      </c>
      <c r="AT201" s="128" t="s">
        <v>68</v>
      </c>
      <c r="AU201" s="128" t="s">
        <v>77</v>
      </c>
      <c r="AY201" s="121" t="s">
        <v>151</v>
      </c>
      <c r="BK201" s="129">
        <f>SUM(BK202:BK232)</f>
        <v>0</v>
      </c>
    </row>
    <row r="202" spans="2:65" s="1" customFormat="1" ht="16.5" customHeight="1">
      <c r="B202" s="132"/>
      <c r="C202" s="133" t="s">
        <v>317</v>
      </c>
      <c r="D202" s="133" t="s">
        <v>153</v>
      </c>
      <c r="E202" s="134" t="s">
        <v>318</v>
      </c>
      <c r="F202" s="135" t="s">
        <v>319</v>
      </c>
      <c r="G202" s="136" t="s">
        <v>156</v>
      </c>
      <c r="H202" s="137">
        <v>15.96</v>
      </c>
      <c r="I202" s="138"/>
      <c r="J202" s="139">
        <f>ROUND(I202*H202,2)</f>
        <v>0</v>
      </c>
      <c r="K202" s="135" t="s">
        <v>157</v>
      </c>
      <c r="L202" s="33"/>
      <c r="M202" s="140" t="s">
        <v>3</v>
      </c>
      <c r="N202" s="141" t="s">
        <v>40</v>
      </c>
      <c r="P202" s="142">
        <f>O202*H202</f>
        <v>0</v>
      </c>
      <c r="Q202" s="142">
        <v>0</v>
      </c>
      <c r="R202" s="142">
        <f>Q202*H202</f>
        <v>0</v>
      </c>
      <c r="S202" s="142">
        <v>0</v>
      </c>
      <c r="T202" s="143">
        <f>S202*H202</f>
        <v>0</v>
      </c>
      <c r="AR202" s="144" t="s">
        <v>158</v>
      </c>
      <c r="AT202" s="144" t="s">
        <v>153</v>
      </c>
      <c r="AU202" s="144" t="s">
        <v>79</v>
      </c>
      <c r="AY202" s="18" t="s">
        <v>151</v>
      </c>
      <c r="BE202" s="145">
        <f>IF(N202="základní",J202,0)</f>
        <v>0</v>
      </c>
      <c r="BF202" s="145">
        <f>IF(N202="snížená",J202,0)</f>
        <v>0</v>
      </c>
      <c r="BG202" s="145">
        <f>IF(N202="zákl. přenesená",J202,0)</f>
        <v>0</v>
      </c>
      <c r="BH202" s="145">
        <f>IF(N202="sníž. přenesená",J202,0)</f>
        <v>0</v>
      </c>
      <c r="BI202" s="145">
        <f>IF(N202="nulová",J202,0)</f>
        <v>0</v>
      </c>
      <c r="BJ202" s="18" t="s">
        <v>77</v>
      </c>
      <c r="BK202" s="145">
        <f>ROUND(I202*H202,2)</f>
        <v>0</v>
      </c>
      <c r="BL202" s="18" t="s">
        <v>158</v>
      </c>
      <c r="BM202" s="144" t="s">
        <v>320</v>
      </c>
    </row>
    <row r="203" spans="2:65" s="1" customFormat="1" ht="11.25">
      <c r="B203" s="33"/>
      <c r="D203" s="146" t="s">
        <v>160</v>
      </c>
      <c r="F203" s="147" t="s">
        <v>321</v>
      </c>
      <c r="I203" s="148"/>
      <c r="L203" s="33"/>
      <c r="M203" s="149"/>
      <c r="T203" s="54"/>
      <c r="AT203" s="18" t="s">
        <v>160</v>
      </c>
      <c r="AU203" s="18" t="s">
        <v>79</v>
      </c>
    </row>
    <row r="204" spans="2:65" s="1" customFormat="1" ht="29.25">
      <c r="B204" s="33"/>
      <c r="D204" s="151" t="s">
        <v>219</v>
      </c>
      <c r="F204" s="171" t="s">
        <v>322</v>
      </c>
      <c r="I204" s="148"/>
      <c r="L204" s="33"/>
      <c r="M204" s="149"/>
      <c r="T204" s="54"/>
      <c r="AT204" s="18" t="s">
        <v>219</v>
      </c>
      <c r="AU204" s="18" t="s">
        <v>79</v>
      </c>
    </row>
    <row r="205" spans="2:65" s="14" customFormat="1" ht="11.25">
      <c r="B205" s="165"/>
      <c r="D205" s="151" t="s">
        <v>162</v>
      </c>
      <c r="E205" s="166" t="s">
        <v>3</v>
      </c>
      <c r="F205" s="167" t="s">
        <v>323</v>
      </c>
      <c r="H205" s="166" t="s">
        <v>3</v>
      </c>
      <c r="I205" s="168"/>
      <c r="L205" s="165"/>
      <c r="M205" s="169"/>
      <c r="T205" s="170"/>
      <c r="AT205" s="166" t="s">
        <v>162</v>
      </c>
      <c r="AU205" s="166" t="s">
        <v>79</v>
      </c>
      <c r="AV205" s="14" t="s">
        <v>77</v>
      </c>
      <c r="AW205" s="14" t="s">
        <v>30</v>
      </c>
      <c r="AX205" s="14" t="s">
        <v>69</v>
      </c>
      <c r="AY205" s="166" t="s">
        <v>151</v>
      </c>
    </row>
    <row r="206" spans="2:65" s="12" customFormat="1" ht="11.25">
      <c r="B206" s="150"/>
      <c r="D206" s="151" t="s">
        <v>162</v>
      </c>
      <c r="E206" s="152" t="s">
        <v>3</v>
      </c>
      <c r="F206" s="153" t="s">
        <v>324</v>
      </c>
      <c r="H206" s="154">
        <v>15.96</v>
      </c>
      <c r="I206" s="155"/>
      <c r="L206" s="150"/>
      <c r="M206" s="156"/>
      <c r="T206" s="157"/>
      <c r="AT206" s="152" t="s">
        <v>162</v>
      </c>
      <c r="AU206" s="152" t="s">
        <v>79</v>
      </c>
      <c r="AV206" s="12" t="s">
        <v>79</v>
      </c>
      <c r="AW206" s="12" t="s">
        <v>30</v>
      </c>
      <c r="AX206" s="12" t="s">
        <v>69</v>
      </c>
      <c r="AY206" s="152" t="s">
        <v>151</v>
      </c>
    </row>
    <row r="207" spans="2:65" s="13" customFormat="1" ht="11.25">
      <c r="B207" s="158"/>
      <c r="D207" s="151" t="s">
        <v>162</v>
      </c>
      <c r="E207" s="159" t="s">
        <v>3</v>
      </c>
      <c r="F207" s="160" t="s">
        <v>167</v>
      </c>
      <c r="H207" s="161">
        <v>15.96</v>
      </c>
      <c r="I207" s="162"/>
      <c r="L207" s="158"/>
      <c r="M207" s="163"/>
      <c r="T207" s="164"/>
      <c r="AT207" s="159" t="s">
        <v>162</v>
      </c>
      <c r="AU207" s="159" t="s">
        <v>79</v>
      </c>
      <c r="AV207" s="13" t="s">
        <v>158</v>
      </c>
      <c r="AW207" s="13" t="s">
        <v>30</v>
      </c>
      <c r="AX207" s="13" t="s">
        <v>77</v>
      </c>
      <c r="AY207" s="159" t="s">
        <v>151</v>
      </c>
    </row>
    <row r="208" spans="2:65" s="1" customFormat="1" ht="16.5" customHeight="1">
      <c r="B208" s="132"/>
      <c r="C208" s="133" t="s">
        <v>325</v>
      </c>
      <c r="D208" s="133" t="s">
        <v>153</v>
      </c>
      <c r="E208" s="134" t="s">
        <v>326</v>
      </c>
      <c r="F208" s="135" t="s">
        <v>327</v>
      </c>
      <c r="G208" s="136" t="s">
        <v>156</v>
      </c>
      <c r="H208" s="137">
        <v>10.198</v>
      </c>
      <c r="I208" s="138"/>
      <c r="J208" s="139">
        <f>ROUND(I208*H208,2)</f>
        <v>0</v>
      </c>
      <c r="K208" s="135" t="s">
        <v>157</v>
      </c>
      <c r="L208" s="33"/>
      <c r="M208" s="140" t="s">
        <v>3</v>
      </c>
      <c r="N208" s="141" t="s">
        <v>40</v>
      </c>
      <c r="P208" s="142">
        <f>O208*H208</f>
        <v>0</v>
      </c>
      <c r="Q208" s="142">
        <v>0</v>
      </c>
      <c r="R208" s="142">
        <f>Q208*H208</f>
        <v>0</v>
      </c>
      <c r="S208" s="142">
        <v>0</v>
      </c>
      <c r="T208" s="143">
        <f>S208*H208</f>
        <v>0</v>
      </c>
      <c r="AR208" s="144" t="s">
        <v>158</v>
      </c>
      <c r="AT208" s="144" t="s">
        <v>153</v>
      </c>
      <c r="AU208" s="144" t="s">
        <v>79</v>
      </c>
      <c r="AY208" s="18" t="s">
        <v>151</v>
      </c>
      <c r="BE208" s="145">
        <f>IF(N208="základní",J208,0)</f>
        <v>0</v>
      </c>
      <c r="BF208" s="145">
        <f>IF(N208="snížená",J208,0)</f>
        <v>0</v>
      </c>
      <c r="BG208" s="145">
        <f>IF(N208="zákl. přenesená",J208,0)</f>
        <v>0</v>
      </c>
      <c r="BH208" s="145">
        <f>IF(N208="sníž. přenesená",J208,0)</f>
        <v>0</v>
      </c>
      <c r="BI208" s="145">
        <f>IF(N208="nulová",J208,0)</f>
        <v>0</v>
      </c>
      <c r="BJ208" s="18" t="s">
        <v>77</v>
      </c>
      <c r="BK208" s="145">
        <f>ROUND(I208*H208,2)</f>
        <v>0</v>
      </c>
      <c r="BL208" s="18" t="s">
        <v>158</v>
      </c>
      <c r="BM208" s="144" t="s">
        <v>328</v>
      </c>
    </row>
    <row r="209" spans="2:65" s="1" customFormat="1" ht="11.25">
      <c r="B209" s="33"/>
      <c r="D209" s="146" t="s">
        <v>160</v>
      </c>
      <c r="F209" s="147" t="s">
        <v>329</v>
      </c>
      <c r="I209" s="148"/>
      <c r="L209" s="33"/>
      <c r="M209" s="149"/>
      <c r="T209" s="54"/>
      <c r="AT209" s="18" t="s">
        <v>160</v>
      </c>
      <c r="AU209" s="18" t="s">
        <v>79</v>
      </c>
    </row>
    <row r="210" spans="2:65" s="1" customFormat="1" ht="39">
      <c r="B210" s="33"/>
      <c r="D210" s="151" t="s">
        <v>219</v>
      </c>
      <c r="F210" s="171" t="s">
        <v>330</v>
      </c>
      <c r="I210" s="148"/>
      <c r="L210" s="33"/>
      <c r="M210" s="149"/>
      <c r="T210" s="54"/>
      <c r="AT210" s="18" t="s">
        <v>219</v>
      </c>
      <c r="AU210" s="18" t="s">
        <v>79</v>
      </c>
    </row>
    <row r="211" spans="2:65" s="14" customFormat="1" ht="11.25">
      <c r="B211" s="165"/>
      <c r="D211" s="151" t="s">
        <v>162</v>
      </c>
      <c r="E211" s="166" t="s">
        <v>3</v>
      </c>
      <c r="F211" s="167" t="s">
        <v>323</v>
      </c>
      <c r="H211" s="166" t="s">
        <v>3</v>
      </c>
      <c r="I211" s="168"/>
      <c r="L211" s="165"/>
      <c r="M211" s="169"/>
      <c r="T211" s="170"/>
      <c r="AT211" s="166" t="s">
        <v>162</v>
      </c>
      <c r="AU211" s="166" t="s">
        <v>79</v>
      </c>
      <c r="AV211" s="14" t="s">
        <v>77</v>
      </c>
      <c r="AW211" s="14" t="s">
        <v>30</v>
      </c>
      <c r="AX211" s="14" t="s">
        <v>69</v>
      </c>
      <c r="AY211" s="166" t="s">
        <v>151</v>
      </c>
    </row>
    <row r="212" spans="2:65" s="12" customFormat="1" ht="11.25">
      <c r="B212" s="150"/>
      <c r="D212" s="151" t="s">
        <v>162</v>
      </c>
      <c r="E212" s="152" t="s">
        <v>3</v>
      </c>
      <c r="F212" s="153" t="s">
        <v>331</v>
      </c>
      <c r="H212" s="154">
        <v>4.2880000000000003</v>
      </c>
      <c r="I212" s="155"/>
      <c r="L212" s="150"/>
      <c r="M212" s="156"/>
      <c r="T212" s="157"/>
      <c r="AT212" s="152" t="s">
        <v>162</v>
      </c>
      <c r="AU212" s="152" t="s">
        <v>79</v>
      </c>
      <c r="AV212" s="12" t="s">
        <v>79</v>
      </c>
      <c r="AW212" s="12" t="s">
        <v>30</v>
      </c>
      <c r="AX212" s="12" t="s">
        <v>69</v>
      </c>
      <c r="AY212" s="152" t="s">
        <v>151</v>
      </c>
    </row>
    <row r="213" spans="2:65" s="12" customFormat="1" ht="11.25">
      <c r="B213" s="150"/>
      <c r="D213" s="151" t="s">
        <v>162</v>
      </c>
      <c r="E213" s="152" t="s">
        <v>3</v>
      </c>
      <c r="F213" s="153" t="s">
        <v>332</v>
      </c>
      <c r="H213" s="154">
        <v>5.91</v>
      </c>
      <c r="I213" s="155"/>
      <c r="L213" s="150"/>
      <c r="M213" s="156"/>
      <c r="T213" s="157"/>
      <c r="AT213" s="152" t="s">
        <v>162</v>
      </c>
      <c r="AU213" s="152" t="s">
        <v>79</v>
      </c>
      <c r="AV213" s="12" t="s">
        <v>79</v>
      </c>
      <c r="AW213" s="12" t="s">
        <v>30</v>
      </c>
      <c r="AX213" s="12" t="s">
        <v>69</v>
      </c>
      <c r="AY213" s="152" t="s">
        <v>151</v>
      </c>
    </row>
    <row r="214" spans="2:65" s="13" customFormat="1" ht="11.25">
      <c r="B214" s="158"/>
      <c r="D214" s="151" t="s">
        <v>162</v>
      </c>
      <c r="E214" s="159" t="s">
        <v>3</v>
      </c>
      <c r="F214" s="160" t="s">
        <v>167</v>
      </c>
      <c r="H214" s="161">
        <v>10.198</v>
      </c>
      <c r="I214" s="162"/>
      <c r="L214" s="158"/>
      <c r="M214" s="163"/>
      <c r="T214" s="164"/>
      <c r="AT214" s="159" t="s">
        <v>162</v>
      </c>
      <c r="AU214" s="159" t="s">
        <v>79</v>
      </c>
      <c r="AV214" s="13" t="s">
        <v>158</v>
      </c>
      <c r="AW214" s="13" t="s">
        <v>30</v>
      </c>
      <c r="AX214" s="13" t="s">
        <v>77</v>
      </c>
      <c r="AY214" s="159" t="s">
        <v>151</v>
      </c>
    </row>
    <row r="215" spans="2:65" s="1" customFormat="1" ht="16.5" customHeight="1">
      <c r="B215" s="132"/>
      <c r="C215" s="133" t="s">
        <v>8</v>
      </c>
      <c r="D215" s="133" t="s">
        <v>153</v>
      </c>
      <c r="E215" s="134" t="s">
        <v>333</v>
      </c>
      <c r="F215" s="135" t="s">
        <v>334</v>
      </c>
      <c r="G215" s="136" t="s">
        <v>230</v>
      </c>
      <c r="H215" s="137">
        <v>73.92</v>
      </c>
      <c r="I215" s="138"/>
      <c r="J215" s="139">
        <f>ROUND(I215*H215,2)</f>
        <v>0</v>
      </c>
      <c r="K215" s="135" t="s">
        <v>171</v>
      </c>
      <c r="L215" s="33"/>
      <c r="M215" s="140" t="s">
        <v>3</v>
      </c>
      <c r="N215" s="141" t="s">
        <v>40</v>
      </c>
      <c r="P215" s="142">
        <f>O215*H215</f>
        <v>0</v>
      </c>
      <c r="Q215" s="142">
        <v>2.3700000000000001E-3</v>
      </c>
      <c r="R215" s="142">
        <f>Q215*H215</f>
        <v>0.17519040000000002</v>
      </c>
      <c r="S215" s="142">
        <v>0</v>
      </c>
      <c r="T215" s="143">
        <f>S215*H215</f>
        <v>0</v>
      </c>
      <c r="AR215" s="144" t="s">
        <v>158</v>
      </c>
      <c r="AT215" s="144" t="s">
        <v>153</v>
      </c>
      <c r="AU215" s="144" t="s">
        <v>79</v>
      </c>
      <c r="AY215" s="18" t="s">
        <v>151</v>
      </c>
      <c r="BE215" s="145">
        <f>IF(N215="základní",J215,0)</f>
        <v>0</v>
      </c>
      <c r="BF215" s="145">
        <f>IF(N215="snížená",J215,0)</f>
        <v>0</v>
      </c>
      <c r="BG215" s="145">
        <f>IF(N215="zákl. přenesená",J215,0)</f>
        <v>0</v>
      </c>
      <c r="BH215" s="145">
        <f>IF(N215="sníž. přenesená",J215,0)</f>
        <v>0</v>
      </c>
      <c r="BI215" s="145">
        <f>IF(N215="nulová",J215,0)</f>
        <v>0</v>
      </c>
      <c r="BJ215" s="18" t="s">
        <v>77</v>
      </c>
      <c r="BK215" s="145">
        <f>ROUND(I215*H215,2)</f>
        <v>0</v>
      </c>
      <c r="BL215" s="18" t="s">
        <v>158</v>
      </c>
      <c r="BM215" s="144" t="s">
        <v>335</v>
      </c>
    </row>
    <row r="216" spans="2:65" s="1" customFormat="1" ht="11.25">
      <c r="B216" s="33"/>
      <c r="D216" s="146" t="s">
        <v>160</v>
      </c>
      <c r="F216" s="147" t="s">
        <v>336</v>
      </c>
      <c r="I216" s="148"/>
      <c r="L216" s="33"/>
      <c r="M216" s="149"/>
      <c r="T216" s="54"/>
      <c r="AT216" s="18" t="s">
        <v>160</v>
      </c>
      <c r="AU216" s="18" t="s">
        <v>79</v>
      </c>
    </row>
    <row r="217" spans="2:65" s="12" customFormat="1" ht="11.25">
      <c r="B217" s="150"/>
      <c r="D217" s="151" t="s">
        <v>162</v>
      </c>
      <c r="E217" s="152" t="s">
        <v>3</v>
      </c>
      <c r="F217" s="153" t="s">
        <v>337</v>
      </c>
      <c r="H217" s="154">
        <v>73.92</v>
      </c>
      <c r="I217" s="155"/>
      <c r="L217" s="150"/>
      <c r="M217" s="156"/>
      <c r="T217" s="157"/>
      <c r="AT217" s="152" t="s">
        <v>162</v>
      </c>
      <c r="AU217" s="152" t="s">
        <v>79</v>
      </c>
      <c r="AV217" s="12" t="s">
        <v>79</v>
      </c>
      <c r="AW217" s="12" t="s">
        <v>30</v>
      </c>
      <c r="AX217" s="12" t="s">
        <v>69</v>
      </c>
      <c r="AY217" s="152" t="s">
        <v>151</v>
      </c>
    </row>
    <row r="218" spans="2:65" s="13" customFormat="1" ht="11.25">
      <c r="B218" s="158"/>
      <c r="D218" s="151" t="s">
        <v>162</v>
      </c>
      <c r="E218" s="159" t="s">
        <v>3</v>
      </c>
      <c r="F218" s="160" t="s">
        <v>167</v>
      </c>
      <c r="H218" s="161">
        <v>73.92</v>
      </c>
      <c r="I218" s="162"/>
      <c r="L218" s="158"/>
      <c r="M218" s="163"/>
      <c r="T218" s="164"/>
      <c r="AT218" s="159" t="s">
        <v>162</v>
      </c>
      <c r="AU218" s="159" t="s">
        <v>79</v>
      </c>
      <c r="AV218" s="13" t="s">
        <v>158</v>
      </c>
      <c r="AW218" s="13" t="s">
        <v>30</v>
      </c>
      <c r="AX218" s="13" t="s">
        <v>77</v>
      </c>
      <c r="AY218" s="159" t="s">
        <v>151</v>
      </c>
    </row>
    <row r="219" spans="2:65" s="1" customFormat="1" ht="16.5" customHeight="1">
      <c r="B219" s="132"/>
      <c r="C219" s="133" t="s">
        <v>338</v>
      </c>
      <c r="D219" s="133" t="s">
        <v>153</v>
      </c>
      <c r="E219" s="134" t="s">
        <v>339</v>
      </c>
      <c r="F219" s="135" t="s">
        <v>340</v>
      </c>
      <c r="G219" s="136" t="s">
        <v>230</v>
      </c>
      <c r="H219" s="137">
        <v>73.92</v>
      </c>
      <c r="I219" s="138"/>
      <c r="J219" s="139">
        <f>ROUND(I219*H219,2)</f>
        <v>0</v>
      </c>
      <c r="K219" s="135" t="s">
        <v>171</v>
      </c>
      <c r="L219" s="33"/>
      <c r="M219" s="140" t="s">
        <v>3</v>
      </c>
      <c r="N219" s="141" t="s">
        <v>40</v>
      </c>
      <c r="P219" s="142">
        <f>O219*H219</f>
        <v>0</v>
      </c>
      <c r="Q219" s="142">
        <v>0</v>
      </c>
      <c r="R219" s="142">
        <f>Q219*H219</f>
        <v>0</v>
      </c>
      <c r="S219" s="142">
        <v>0</v>
      </c>
      <c r="T219" s="143">
        <f>S219*H219</f>
        <v>0</v>
      </c>
      <c r="AR219" s="144" t="s">
        <v>158</v>
      </c>
      <c r="AT219" s="144" t="s">
        <v>153</v>
      </c>
      <c r="AU219" s="144" t="s">
        <v>79</v>
      </c>
      <c r="AY219" s="18" t="s">
        <v>151</v>
      </c>
      <c r="BE219" s="145">
        <f>IF(N219="základní",J219,0)</f>
        <v>0</v>
      </c>
      <c r="BF219" s="145">
        <f>IF(N219="snížená",J219,0)</f>
        <v>0</v>
      </c>
      <c r="BG219" s="145">
        <f>IF(N219="zákl. přenesená",J219,0)</f>
        <v>0</v>
      </c>
      <c r="BH219" s="145">
        <f>IF(N219="sníž. přenesená",J219,0)</f>
        <v>0</v>
      </c>
      <c r="BI219" s="145">
        <f>IF(N219="nulová",J219,0)</f>
        <v>0</v>
      </c>
      <c r="BJ219" s="18" t="s">
        <v>77</v>
      </c>
      <c r="BK219" s="145">
        <f>ROUND(I219*H219,2)</f>
        <v>0</v>
      </c>
      <c r="BL219" s="18" t="s">
        <v>158</v>
      </c>
      <c r="BM219" s="144" t="s">
        <v>341</v>
      </c>
    </row>
    <row r="220" spans="2:65" s="1" customFormat="1" ht="11.25">
      <c r="B220" s="33"/>
      <c r="D220" s="146" t="s">
        <v>160</v>
      </c>
      <c r="F220" s="147" t="s">
        <v>342</v>
      </c>
      <c r="I220" s="148"/>
      <c r="L220" s="33"/>
      <c r="M220" s="149"/>
      <c r="T220" s="54"/>
      <c r="AT220" s="18" t="s">
        <v>160</v>
      </c>
      <c r="AU220" s="18" t="s">
        <v>79</v>
      </c>
    </row>
    <row r="221" spans="2:65" s="1" customFormat="1" ht="16.5" customHeight="1">
      <c r="B221" s="132"/>
      <c r="C221" s="133" t="s">
        <v>343</v>
      </c>
      <c r="D221" s="133" t="s">
        <v>153</v>
      </c>
      <c r="E221" s="134" t="s">
        <v>344</v>
      </c>
      <c r="F221" s="135" t="s">
        <v>345</v>
      </c>
      <c r="G221" s="136" t="s">
        <v>156</v>
      </c>
      <c r="H221" s="137">
        <v>10.198</v>
      </c>
      <c r="I221" s="138"/>
      <c r="J221" s="139">
        <f>ROUND(I221*H221,2)</f>
        <v>0</v>
      </c>
      <c r="K221" s="135" t="s">
        <v>3</v>
      </c>
      <c r="L221" s="33"/>
      <c r="M221" s="140" t="s">
        <v>3</v>
      </c>
      <c r="N221" s="141" t="s">
        <v>40</v>
      </c>
      <c r="P221" s="142">
        <f>O221*H221</f>
        <v>0</v>
      </c>
      <c r="Q221" s="142">
        <v>2.3700000000000001E-3</v>
      </c>
      <c r="R221" s="142">
        <f>Q221*H221</f>
        <v>2.4169260000000001E-2</v>
      </c>
      <c r="S221" s="142">
        <v>0</v>
      </c>
      <c r="T221" s="143">
        <f>S221*H221</f>
        <v>0</v>
      </c>
      <c r="AR221" s="144" t="s">
        <v>158</v>
      </c>
      <c r="AT221" s="144" t="s">
        <v>153</v>
      </c>
      <c r="AU221" s="144" t="s">
        <v>79</v>
      </c>
      <c r="AY221" s="18" t="s">
        <v>151</v>
      </c>
      <c r="BE221" s="145">
        <f>IF(N221="základní",J221,0)</f>
        <v>0</v>
      </c>
      <c r="BF221" s="145">
        <f>IF(N221="snížená",J221,0)</f>
        <v>0</v>
      </c>
      <c r="BG221" s="145">
        <f>IF(N221="zákl. přenesená",J221,0)</f>
        <v>0</v>
      </c>
      <c r="BH221" s="145">
        <f>IF(N221="sníž. přenesená",J221,0)</f>
        <v>0</v>
      </c>
      <c r="BI221" s="145">
        <f>IF(N221="nulová",J221,0)</f>
        <v>0</v>
      </c>
      <c r="BJ221" s="18" t="s">
        <v>77</v>
      </c>
      <c r="BK221" s="145">
        <f>ROUND(I221*H221,2)</f>
        <v>0</v>
      </c>
      <c r="BL221" s="18" t="s">
        <v>158</v>
      </c>
      <c r="BM221" s="144" t="s">
        <v>346</v>
      </c>
    </row>
    <row r="222" spans="2:65" s="1" customFormat="1" ht="16.5" customHeight="1">
      <c r="B222" s="132"/>
      <c r="C222" s="133" t="s">
        <v>347</v>
      </c>
      <c r="D222" s="133" t="s">
        <v>153</v>
      </c>
      <c r="E222" s="134" t="s">
        <v>348</v>
      </c>
      <c r="F222" s="135" t="s">
        <v>349</v>
      </c>
      <c r="G222" s="136" t="s">
        <v>183</v>
      </c>
      <c r="H222" s="137">
        <v>1.86</v>
      </c>
      <c r="I222" s="138"/>
      <c r="J222" s="139">
        <f>ROUND(I222*H222,2)</f>
        <v>0</v>
      </c>
      <c r="K222" s="135" t="s">
        <v>171</v>
      </c>
      <c r="L222" s="33"/>
      <c r="M222" s="140" t="s">
        <v>3</v>
      </c>
      <c r="N222" s="141" t="s">
        <v>40</v>
      </c>
      <c r="P222" s="142">
        <f>O222*H222</f>
        <v>0</v>
      </c>
      <c r="Q222" s="142">
        <v>1.04359</v>
      </c>
      <c r="R222" s="142">
        <f>Q222*H222</f>
        <v>1.9410774000000002</v>
      </c>
      <c r="S222" s="142">
        <v>0</v>
      </c>
      <c r="T222" s="143">
        <f>S222*H222</f>
        <v>0</v>
      </c>
      <c r="AR222" s="144" t="s">
        <v>158</v>
      </c>
      <c r="AT222" s="144" t="s">
        <v>153</v>
      </c>
      <c r="AU222" s="144" t="s">
        <v>79</v>
      </c>
      <c r="AY222" s="18" t="s">
        <v>151</v>
      </c>
      <c r="BE222" s="145">
        <f>IF(N222="základní",J222,0)</f>
        <v>0</v>
      </c>
      <c r="BF222" s="145">
        <f>IF(N222="snížená",J222,0)</f>
        <v>0</v>
      </c>
      <c r="BG222" s="145">
        <f>IF(N222="zákl. přenesená",J222,0)</f>
        <v>0</v>
      </c>
      <c r="BH222" s="145">
        <f>IF(N222="sníž. přenesená",J222,0)</f>
        <v>0</v>
      </c>
      <c r="BI222" s="145">
        <f>IF(N222="nulová",J222,0)</f>
        <v>0</v>
      </c>
      <c r="BJ222" s="18" t="s">
        <v>77</v>
      </c>
      <c r="BK222" s="145">
        <f>ROUND(I222*H222,2)</f>
        <v>0</v>
      </c>
      <c r="BL222" s="18" t="s">
        <v>158</v>
      </c>
      <c r="BM222" s="144" t="s">
        <v>350</v>
      </c>
    </row>
    <row r="223" spans="2:65" s="1" customFormat="1" ht="11.25">
      <c r="B223" s="33"/>
      <c r="D223" s="146" t="s">
        <v>160</v>
      </c>
      <c r="F223" s="147" t="s">
        <v>351</v>
      </c>
      <c r="I223" s="148"/>
      <c r="L223" s="33"/>
      <c r="M223" s="149"/>
      <c r="T223" s="54"/>
      <c r="AT223" s="18" t="s">
        <v>160</v>
      </c>
      <c r="AU223" s="18" t="s">
        <v>79</v>
      </c>
    </row>
    <row r="224" spans="2:65" s="12" customFormat="1" ht="11.25">
      <c r="B224" s="150"/>
      <c r="D224" s="151" t="s">
        <v>162</v>
      </c>
      <c r="E224" s="152" t="s">
        <v>3</v>
      </c>
      <c r="F224" s="153" t="s">
        <v>352</v>
      </c>
      <c r="H224" s="154">
        <v>1.86</v>
      </c>
      <c r="I224" s="155"/>
      <c r="L224" s="150"/>
      <c r="M224" s="156"/>
      <c r="T224" s="157"/>
      <c r="AT224" s="152" t="s">
        <v>162</v>
      </c>
      <c r="AU224" s="152" t="s">
        <v>79</v>
      </c>
      <c r="AV224" s="12" t="s">
        <v>79</v>
      </c>
      <c r="AW224" s="12" t="s">
        <v>30</v>
      </c>
      <c r="AX224" s="12" t="s">
        <v>77</v>
      </c>
      <c r="AY224" s="152" t="s">
        <v>151</v>
      </c>
    </row>
    <row r="225" spans="2:65" s="1" customFormat="1" ht="16.5" customHeight="1">
      <c r="B225" s="132"/>
      <c r="C225" s="133" t="s">
        <v>353</v>
      </c>
      <c r="D225" s="133" t="s">
        <v>153</v>
      </c>
      <c r="E225" s="134" t="s">
        <v>354</v>
      </c>
      <c r="F225" s="135" t="s">
        <v>355</v>
      </c>
      <c r="G225" s="136" t="s">
        <v>183</v>
      </c>
      <c r="H225" s="137">
        <v>0.51800000000000002</v>
      </c>
      <c r="I225" s="138"/>
      <c r="J225" s="139">
        <f>ROUND(I225*H225,2)</f>
        <v>0</v>
      </c>
      <c r="K225" s="135" t="s">
        <v>157</v>
      </c>
      <c r="L225" s="33"/>
      <c r="M225" s="140" t="s">
        <v>3</v>
      </c>
      <c r="N225" s="141" t="s">
        <v>40</v>
      </c>
      <c r="P225" s="142">
        <f>O225*H225</f>
        <v>0</v>
      </c>
      <c r="Q225" s="142">
        <v>1.07636</v>
      </c>
      <c r="R225" s="142">
        <f>Q225*H225</f>
        <v>0.55755447999999996</v>
      </c>
      <c r="S225" s="142">
        <v>0</v>
      </c>
      <c r="T225" s="143">
        <f>S225*H225</f>
        <v>0</v>
      </c>
      <c r="AR225" s="144" t="s">
        <v>158</v>
      </c>
      <c r="AT225" s="144" t="s">
        <v>153</v>
      </c>
      <c r="AU225" s="144" t="s">
        <v>79</v>
      </c>
      <c r="AY225" s="18" t="s">
        <v>151</v>
      </c>
      <c r="BE225" s="145">
        <f>IF(N225="základní",J225,0)</f>
        <v>0</v>
      </c>
      <c r="BF225" s="145">
        <f>IF(N225="snížená",J225,0)</f>
        <v>0</v>
      </c>
      <c r="BG225" s="145">
        <f>IF(N225="zákl. přenesená",J225,0)</f>
        <v>0</v>
      </c>
      <c r="BH225" s="145">
        <f>IF(N225="sníž. přenesená",J225,0)</f>
        <v>0</v>
      </c>
      <c r="BI225" s="145">
        <f>IF(N225="nulová",J225,0)</f>
        <v>0</v>
      </c>
      <c r="BJ225" s="18" t="s">
        <v>77</v>
      </c>
      <c r="BK225" s="145">
        <f>ROUND(I225*H225,2)</f>
        <v>0</v>
      </c>
      <c r="BL225" s="18" t="s">
        <v>158</v>
      </c>
      <c r="BM225" s="144" t="s">
        <v>356</v>
      </c>
    </row>
    <row r="226" spans="2:65" s="1" customFormat="1" ht="11.25">
      <c r="B226" s="33"/>
      <c r="D226" s="146" t="s">
        <v>160</v>
      </c>
      <c r="F226" s="147" t="s">
        <v>357</v>
      </c>
      <c r="I226" s="148"/>
      <c r="L226" s="33"/>
      <c r="M226" s="149"/>
      <c r="T226" s="54"/>
      <c r="AT226" s="18" t="s">
        <v>160</v>
      </c>
      <c r="AU226" s="18" t="s">
        <v>79</v>
      </c>
    </row>
    <row r="227" spans="2:65" s="12" customFormat="1" ht="11.25">
      <c r="B227" s="150"/>
      <c r="D227" s="151" t="s">
        <v>162</v>
      </c>
      <c r="E227" s="152" t="s">
        <v>3</v>
      </c>
      <c r="F227" s="153" t="s">
        <v>358</v>
      </c>
      <c r="H227" s="154">
        <v>0.51800000000000002</v>
      </c>
      <c r="I227" s="155"/>
      <c r="L227" s="150"/>
      <c r="M227" s="156"/>
      <c r="T227" s="157"/>
      <c r="AT227" s="152" t="s">
        <v>162</v>
      </c>
      <c r="AU227" s="152" t="s">
        <v>79</v>
      </c>
      <c r="AV227" s="12" t="s">
        <v>79</v>
      </c>
      <c r="AW227" s="12" t="s">
        <v>30</v>
      </c>
      <c r="AX227" s="12" t="s">
        <v>77</v>
      </c>
      <c r="AY227" s="152" t="s">
        <v>151</v>
      </c>
    </row>
    <row r="228" spans="2:65" s="1" customFormat="1" ht="24.2" customHeight="1">
      <c r="B228" s="132"/>
      <c r="C228" s="133" t="s">
        <v>359</v>
      </c>
      <c r="D228" s="133" t="s">
        <v>153</v>
      </c>
      <c r="E228" s="134" t="s">
        <v>360</v>
      </c>
      <c r="F228" s="135" t="s">
        <v>361</v>
      </c>
      <c r="G228" s="136" t="s">
        <v>230</v>
      </c>
      <c r="H228" s="137">
        <v>14.375</v>
      </c>
      <c r="I228" s="138"/>
      <c r="J228" s="139">
        <f>ROUND(I228*H228,2)</f>
        <v>0</v>
      </c>
      <c r="K228" s="135" t="s">
        <v>157</v>
      </c>
      <c r="L228" s="33"/>
      <c r="M228" s="140" t="s">
        <v>3</v>
      </c>
      <c r="N228" s="141" t="s">
        <v>40</v>
      </c>
      <c r="P228" s="142">
        <f>O228*H228</f>
        <v>0</v>
      </c>
      <c r="Q228" s="142">
        <v>0.11396000000000001</v>
      </c>
      <c r="R228" s="142">
        <f>Q228*H228</f>
        <v>1.6381750000000002</v>
      </c>
      <c r="S228" s="142">
        <v>0</v>
      </c>
      <c r="T228" s="143">
        <f>S228*H228</f>
        <v>0</v>
      </c>
      <c r="AR228" s="144" t="s">
        <v>158</v>
      </c>
      <c r="AT228" s="144" t="s">
        <v>153</v>
      </c>
      <c r="AU228" s="144" t="s">
        <v>79</v>
      </c>
      <c r="AY228" s="18" t="s">
        <v>151</v>
      </c>
      <c r="BE228" s="145">
        <f>IF(N228="základní",J228,0)</f>
        <v>0</v>
      </c>
      <c r="BF228" s="145">
        <f>IF(N228="snížená",J228,0)</f>
        <v>0</v>
      </c>
      <c r="BG228" s="145">
        <f>IF(N228="zákl. přenesená",J228,0)</f>
        <v>0</v>
      </c>
      <c r="BH228" s="145">
        <f>IF(N228="sníž. přenesená",J228,0)</f>
        <v>0</v>
      </c>
      <c r="BI228" s="145">
        <f>IF(N228="nulová",J228,0)</f>
        <v>0</v>
      </c>
      <c r="BJ228" s="18" t="s">
        <v>77</v>
      </c>
      <c r="BK228" s="145">
        <f>ROUND(I228*H228,2)</f>
        <v>0</v>
      </c>
      <c r="BL228" s="18" t="s">
        <v>158</v>
      </c>
      <c r="BM228" s="144" t="s">
        <v>362</v>
      </c>
    </row>
    <row r="229" spans="2:65" s="1" customFormat="1" ht="11.25">
      <c r="B229" s="33"/>
      <c r="D229" s="146" t="s">
        <v>160</v>
      </c>
      <c r="F229" s="147" t="s">
        <v>363</v>
      </c>
      <c r="I229" s="148"/>
      <c r="L229" s="33"/>
      <c r="M229" s="149"/>
      <c r="T229" s="54"/>
      <c r="AT229" s="18" t="s">
        <v>160</v>
      </c>
      <c r="AU229" s="18" t="s">
        <v>79</v>
      </c>
    </row>
    <row r="230" spans="2:65" s="14" customFormat="1" ht="11.25">
      <c r="B230" s="165"/>
      <c r="D230" s="151" t="s">
        <v>162</v>
      </c>
      <c r="E230" s="166" t="s">
        <v>3</v>
      </c>
      <c r="F230" s="167" t="s">
        <v>364</v>
      </c>
      <c r="H230" s="166" t="s">
        <v>3</v>
      </c>
      <c r="I230" s="168"/>
      <c r="L230" s="165"/>
      <c r="M230" s="169"/>
      <c r="T230" s="170"/>
      <c r="AT230" s="166" t="s">
        <v>162</v>
      </c>
      <c r="AU230" s="166" t="s">
        <v>79</v>
      </c>
      <c r="AV230" s="14" t="s">
        <v>77</v>
      </c>
      <c r="AW230" s="14" t="s">
        <v>30</v>
      </c>
      <c r="AX230" s="14" t="s">
        <v>69</v>
      </c>
      <c r="AY230" s="166" t="s">
        <v>151</v>
      </c>
    </row>
    <row r="231" spans="2:65" s="12" customFormat="1" ht="11.25">
      <c r="B231" s="150"/>
      <c r="D231" s="151" t="s">
        <v>162</v>
      </c>
      <c r="E231" s="152" t="s">
        <v>3</v>
      </c>
      <c r="F231" s="153" t="s">
        <v>365</v>
      </c>
      <c r="H231" s="154">
        <v>14.375</v>
      </c>
      <c r="I231" s="155"/>
      <c r="L231" s="150"/>
      <c r="M231" s="156"/>
      <c r="T231" s="157"/>
      <c r="AT231" s="152" t="s">
        <v>162</v>
      </c>
      <c r="AU231" s="152" t="s">
        <v>79</v>
      </c>
      <c r="AV231" s="12" t="s">
        <v>79</v>
      </c>
      <c r="AW231" s="12" t="s">
        <v>30</v>
      </c>
      <c r="AX231" s="12" t="s">
        <v>69</v>
      </c>
      <c r="AY231" s="152" t="s">
        <v>151</v>
      </c>
    </row>
    <row r="232" spans="2:65" s="13" customFormat="1" ht="11.25">
      <c r="B232" s="158"/>
      <c r="D232" s="151" t="s">
        <v>162</v>
      </c>
      <c r="E232" s="159" t="s">
        <v>3</v>
      </c>
      <c r="F232" s="160" t="s">
        <v>167</v>
      </c>
      <c r="H232" s="161">
        <v>14.375</v>
      </c>
      <c r="I232" s="162"/>
      <c r="L232" s="158"/>
      <c r="M232" s="163"/>
      <c r="T232" s="164"/>
      <c r="AT232" s="159" t="s">
        <v>162</v>
      </c>
      <c r="AU232" s="159" t="s">
        <v>79</v>
      </c>
      <c r="AV232" s="13" t="s">
        <v>158</v>
      </c>
      <c r="AW232" s="13" t="s">
        <v>30</v>
      </c>
      <c r="AX232" s="13" t="s">
        <v>77</v>
      </c>
      <c r="AY232" s="159" t="s">
        <v>151</v>
      </c>
    </row>
    <row r="233" spans="2:65" s="11" customFormat="1" ht="22.9" customHeight="1">
      <c r="B233" s="120"/>
      <c r="D233" s="121" t="s">
        <v>68</v>
      </c>
      <c r="E233" s="130" t="s">
        <v>195</v>
      </c>
      <c r="F233" s="130" t="s">
        <v>366</v>
      </c>
      <c r="I233" s="123"/>
      <c r="J233" s="131">
        <f>BK233</f>
        <v>0</v>
      </c>
      <c r="L233" s="120"/>
      <c r="M233" s="125"/>
      <c r="P233" s="126">
        <f>SUM(P234:P267)</f>
        <v>0</v>
      </c>
      <c r="R233" s="126">
        <f>SUM(R234:R267)</f>
        <v>314.5853563</v>
      </c>
      <c r="T233" s="127">
        <f>SUM(T234:T267)</f>
        <v>0</v>
      </c>
      <c r="AR233" s="121" t="s">
        <v>77</v>
      </c>
      <c r="AT233" s="128" t="s">
        <v>68</v>
      </c>
      <c r="AU233" s="128" t="s">
        <v>77</v>
      </c>
      <c r="AY233" s="121" t="s">
        <v>151</v>
      </c>
      <c r="BK233" s="129">
        <f>SUM(BK234:BK267)</f>
        <v>0</v>
      </c>
    </row>
    <row r="234" spans="2:65" s="1" customFormat="1" ht="24.2" customHeight="1">
      <c r="B234" s="132"/>
      <c r="C234" s="133" t="s">
        <v>367</v>
      </c>
      <c r="D234" s="133" t="s">
        <v>153</v>
      </c>
      <c r="E234" s="134" t="s">
        <v>368</v>
      </c>
      <c r="F234" s="135" t="s">
        <v>369</v>
      </c>
      <c r="G234" s="136" t="s">
        <v>230</v>
      </c>
      <c r="H234" s="137">
        <v>190.8</v>
      </c>
      <c r="I234" s="138"/>
      <c r="J234" s="139">
        <f>ROUND(I234*H234,2)</f>
        <v>0</v>
      </c>
      <c r="K234" s="135" t="s">
        <v>171</v>
      </c>
      <c r="L234" s="33"/>
      <c r="M234" s="140" t="s">
        <v>3</v>
      </c>
      <c r="N234" s="141" t="s">
        <v>40</v>
      </c>
      <c r="P234" s="142">
        <f>O234*H234</f>
        <v>0</v>
      </c>
      <c r="Q234" s="142">
        <v>4.3800000000000002E-3</v>
      </c>
      <c r="R234" s="142">
        <f>Q234*H234</f>
        <v>0.83570400000000011</v>
      </c>
      <c r="S234" s="142">
        <v>0</v>
      </c>
      <c r="T234" s="143">
        <f>S234*H234</f>
        <v>0</v>
      </c>
      <c r="AR234" s="144" t="s">
        <v>158</v>
      </c>
      <c r="AT234" s="144" t="s">
        <v>153</v>
      </c>
      <c r="AU234" s="144" t="s">
        <v>79</v>
      </c>
      <c r="AY234" s="18" t="s">
        <v>151</v>
      </c>
      <c r="BE234" s="145">
        <f>IF(N234="základní",J234,0)</f>
        <v>0</v>
      </c>
      <c r="BF234" s="145">
        <f>IF(N234="snížená",J234,0)</f>
        <v>0</v>
      </c>
      <c r="BG234" s="145">
        <f>IF(N234="zákl. přenesená",J234,0)</f>
        <v>0</v>
      </c>
      <c r="BH234" s="145">
        <f>IF(N234="sníž. přenesená",J234,0)</f>
        <v>0</v>
      </c>
      <c r="BI234" s="145">
        <f>IF(N234="nulová",J234,0)</f>
        <v>0</v>
      </c>
      <c r="BJ234" s="18" t="s">
        <v>77</v>
      </c>
      <c r="BK234" s="145">
        <f>ROUND(I234*H234,2)</f>
        <v>0</v>
      </c>
      <c r="BL234" s="18" t="s">
        <v>158</v>
      </c>
      <c r="BM234" s="144" t="s">
        <v>370</v>
      </c>
    </row>
    <row r="235" spans="2:65" s="1" customFormat="1" ht="11.25">
      <c r="B235" s="33"/>
      <c r="D235" s="146" t="s">
        <v>160</v>
      </c>
      <c r="F235" s="147" t="s">
        <v>371</v>
      </c>
      <c r="I235" s="148"/>
      <c r="L235" s="33"/>
      <c r="M235" s="149"/>
      <c r="T235" s="54"/>
      <c r="AT235" s="18" t="s">
        <v>160</v>
      </c>
      <c r="AU235" s="18" t="s">
        <v>79</v>
      </c>
    </row>
    <row r="236" spans="2:65" s="12" customFormat="1" ht="11.25">
      <c r="B236" s="150"/>
      <c r="D236" s="151" t="s">
        <v>162</v>
      </c>
      <c r="E236" s="152" t="s">
        <v>3</v>
      </c>
      <c r="F236" s="153" t="s">
        <v>372</v>
      </c>
      <c r="H236" s="154">
        <v>190.8</v>
      </c>
      <c r="I236" s="155"/>
      <c r="L236" s="150"/>
      <c r="M236" s="156"/>
      <c r="T236" s="157"/>
      <c r="AT236" s="152" t="s">
        <v>162</v>
      </c>
      <c r="AU236" s="152" t="s">
        <v>79</v>
      </c>
      <c r="AV236" s="12" t="s">
        <v>79</v>
      </c>
      <c r="AW236" s="12" t="s">
        <v>30</v>
      </c>
      <c r="AX236" s="12" t="s">
        <v>69</v>
      </c>
      <c r="AY236" s="152" t="s">
        <v>151</v>
      </c>
    </row>
    <row r="237" spans="2:65" s="13" customFormat="1" ht="11.25">
      <c r="B237" s="158"/>
      <c r="D237" s="151" t="s">
        <v>162</v>
      </c>
      <c r="E237" s="159" t="s">
        <v>3</v>
      </c>
      <c r="F237" s="160" t="s">
        <v>167</v>
      </c>
      <c r="H237" s="161">
        <v>190.8</v>
      </c>
      <c r="I237" s="162"/>
      <c r="L237" s="158"/>
      <c r="M237" s="163"/>
      <c r="T237" s="164"/>
      <c r="AT237" s="159" t="s">
        <v>162</v>
      </c>
      <c r="AU237" s="159" t="s">
        <v>79</v>
      </c>
      <c r="AV237" s="13" t="s">
        <v>158</v>
      </c>
      <c r="AW237" s="13" t="s">
        <v>30</v>
      </c>
      <c r="AX237" s="13" t="s">
        <v>77</v>
      </c>
      <c r="AY237" s="159" t="s">
        <v>151</v>
      </c>
    </row>
    <row r="238" spans="2:65" s="1" customFormat="1" ht="16.5" customHeight="1">
      <c r="B238" s="132"/>
      <c r="C238" s="133" t="s">
        <v>373</v>
      </c>
      <c r="D238" s="133" t="s">
        <v>153</v>
      </c>
      <c r="E238" s="134" t="s">
        <v>374</v>
      </c>
      <c r="F238" s="135" t="s">
        <v>375</v>
      </c>
      <c r="G238" s="136" t="s">
        <v>230</v>
      </c>
      <c r="H238" s="137">
        <v>14.375</v>
      </c>
      <c r="I238" s="138"/>
      <c r="J238" s="139">
        <f>ROUND(I238*H238,2)</f>
        <v>0</v>
      </c>
      <c r="K238" s="135" t="s">
        <v>157</v>
      </c>
      <c r="L238" s="33"/>
      <c r="M238" s="140" t="s">
        <v>3</v>
      </c>
      <c r="N238" s="141" t="s">
        <v>40</v>
      </c>
      <c r="P238" s="142">
        <f>O238*H238</f>
        <v>0</v>
      </c>
      <c r="Q238" s="142">
        <v>4.0000000000000001E-3</v>
      </c>
      <c r="R238" s="142">
        <f>Q238*H238</f>
        <v>5.7500000000000002E-2</v>
      </c>
      <c r="S238" s="142">
        <v>0</v>
      </c>
      <c r="T238" s="143">
        <f>S238*H238</f>
        <v>0</v>
      </c>
      <c r="AR238" s="144" t="s">
        <v>158</v>
      </c>
      <c r="AT238" s="144" t="s">
        <v>153</v>
      </c>
      <c r="AU238" s="144" t="s">
        <v>79</v>
      </c>
      <c r="AY238" s="18" t="s">
        <v>151</v>
      </c>
      <c r="BE238" s="145">
        <f>IF(N238="základní",J238,0)</f>
        <v>0</v>
      </c>
      <c r="BF238" s="145">
        <f>IF(N238="snížená",J238,0)</f>
        <v>0</v>
      </c>
      <c r="BG238" s="145">
        <f>IF(N238="zákl. přenesená",J238,0)</f>
        <v>0</v>
      </c>
      <c r="BH238" s="145">
        <f>IF(N238="sníž. přenesená",J238,0)</f>
        <v>0</v>
      </c>
      <c r="BI238" s="145">
        <f>IF(N238="nulová",J238,0)</f>
        <v>0</v>
      </c>
      <c r="BJ238" s="18" t="s">
        <v>77</v>
      </c>
      <c r="BK238" s="145">
        <f>ROUND(I238*H238,2)</f>
        <v>0</v>
      </c>
      <c r="BL238" s="18" t="s">
        <v>158</v>
      </c>
      <c r="BM238" s="144" t="s">
        <v>376</v>
      </c>
    </row>
    <row r="239" spans="2:65" s="1" customFormat="1" ht="11.25">
      <c r="B239" s="33"/>
      <c r="D239" s="146" t="s">
        <v>160</v>
      </c>
      <c r="F239" s="147" t="s">
        <v>377</v>
      </c>
      <c r="I239" s="148"/>
      <c r="L239" s="33"/>
      <c r="M239" s="149"/>
      <c r="T239" s="54"/>
      <c r="AT239" s="18" t="s">
        <v>160</v>
      </c>
      <c r="AU239" s="18" t="s">
        <v>79</v>
      </c>
    </row>
    <row r="240" spans="2:65" s="1" customFormat="1" ht="24.2" customHeight="1">
      <c r="B240" s="132"/>
      <c r="C240" s="133" t="s">
        <v>378</v>
      </c>
      <c r="D240" s="133" t="s">
        <v>153</v>
      </c>
      <c r="E240" s="134" t="s">
        <v>379</v>
      </c>
      <c r="F240" s="135" t="s">
        <v>380</v>
      </c>
      <c r="G240" s="136" t="s">
        <v>230</v>
      </c>
      <c r="H240" s="137">
        <v>14.375</v>
      </c>
      <c r="I240" s="138"/>
      <c r="J240" s="139">
        <f>ROUND(I240*H240,2)</f>
        <v>0</v>
      </c>
      <c r="K240" s="135" t="s">
        <v>157</v>
      </c>
      <c r="L240" s="33"/>
      <c r="M240" s="140" t="s">
        <v>3</v>
      </c>
      <c r="N240" s="141" t="s">
        <v>40</v>
      </c>
      <c r="P240" s="142">
        <f>O240*H240</f>
        <v>0</v>
      </c>
      <c r="Q240" s="142">
        <v>6.5599999999999999E-3</v>
      </c>
      <c r="R240" s="142">
        <f>Q240*H240</f>
        <v>9.4299999999999995E-2</v>
      </c>
      <c r="S240" s="142">
        <v>0</v>
      </c>
      <c r="T240" s="143">
        <f>S240*H240</f>
        <v>0</v>
      </c>
      <c r="AR240" s="144" t="s">
        <v>158</v>
      </c>
      <c r="AT240" s="144" t="s">
        <v>153</v>
      </c>
      <c r="AU240" s="144" t="s">
        <v>79</v>
      </c>
      <c r="AY240" s="18" t="s">
        <v>151</v>
      </c>
      <c r="BE240" s="145">
        <f>IF(N240="základní",J240,0)</f>
        <v>0</v>
      </c>
      <c r="BF240" s="145">
        <f>IF(N240="snížená",J240,0)</f>
        <v>0</v>
      </c>
      <c r="BG240" s="145">
        <f>IF(N240="zákl. přenesená",J240,0)</f>
        <v>0</v>
      </c>
      <c r="BH240" s="145">
        <f>IF(N240="sníž. přenesená",J240,0)</f>
        <v>0</v>
      </c>
      <c r="BI240" s="145">
        <f>IF(N240="nulová",J240,0)</f>
        <v>0</v>
      </c>
      <c r="BJ240" s="18" t="s">
        <v>77</v>
      </c>
      <c r="BK240" s="145">
        <f>ROUND(I240*H240,2)</f>
        <v>0</v>
      </c>
      <c r="BL240" s="18" t="s">
        <v>158</v>
      </c>
      <c r="BM240" s="144" t="s">
        <v>381</v>
      </c>
    </row>
    <row r="241" spans="2:65" s="1" customFormat="1" ht="11.25">
      <c r="B241" s="33"/>
      <c r="D241" s="146" t="s">
        <v>160</v>
      </c>
      <c r="F241" s="147" t="s">
        <v>382</v>
      </c>
      <c r="I241" s="148"/>
      <c r="L241" s="33"/>
      <c r="M241" s="149"/>
      <c r="T241" s="54"/>
      <c r="AT241" s="18" t="s">
        <v>160</v>
      </c>
      <c r="AU241" s="18" t="s">
        <v>79</v>
      </c>
    </row>
    <row r="242" spans="2:65" s="14" customFormat="1" ht="11.25">
      <c r="B242" s="165"/>
      <c r="D242" s="151" t="s">
        <v>162</v>
      </c>
      <c r="E242" s="166" t="s">
        <v>3</v>
      </c>
      <c r="F242" s="167" t="s">
        <v>383</v>
      </c>
      <c r="H242" s="166" t="s">
        <v>3</v>
      </c>
      <c r="I242" s="168"/>
      <c r="L242" s="165"/>
      <c r="M242" s="169"/>
      <c r="T242" s="170"/>
      <c r="AT242" s="166" t="s">
        <v>162</v>
      </c>
      <c r="AU242" s="166" t="s">
        <v>79</v>
      </c>
      <c r="AV242" s="14" t="s">
        <v>77</v>
      </c>
      <c r="AW242" s="14" t="s">
        <v>30</v>
      </c>
      <c r="AX242" s="14" t="s">
        <v>69</v>
      </c>
      <c r="AY242" s="166" t="s">
        <v>151</v>
      </c>
    </row>
    <row r="243" spans="2:65" s="12" customFormat="1" ht="11.25">
      <c r="B243" s="150"/>
      <c r="D243" s="151" t="s">
        <v>162</v>
      </c>
      <c r="E243" s="152" t="s">
        <v>3</v>
      </c>
      <c r="F243" s="153" t="s">
        <v>365</v>
      </c>
      <c r="H243" s="154">
        <v>14.375</v>
      </c>
      <c r="I243" s="155"/>
      <c r="L243" s="150"/>
      <c r="M243" s="156"/>
      <c r="T243" s="157"/>
      <c r="AT243" s="152" t="s">
        <v>162</v>
      </c>
      <c r="AU243" s="152" t="s">
        <v>79</v>
      </c>
      <c r="AV243" s="12" t="s">
        <v>79</v>
      </c>
      <c r="AW243" s="12" t="s">
        <v>30</v>
      </c>
      <c r="AX243" s="12" t="s">
        <v>69</v>
      </c>
      <c r="AY243" s="152" t="s">
        <v>151</v>
      </c>
    </row>
    <row r="244" spans="2:65" s="13" customFormat="1" ht="11.25">
      <c r="B244" s="158"/>
      <c r="D244" s="151" t="s">
        <v>162</v>
      </c>
      <c r="E244" s="159" t="s">
        <v>3</v>
      </c>
      <c r="F244" s="160" t="s">
        <v>167</v>
      </c>
      <c r="H244" s="161">
        <v>14.375</v>
      </c>
      <c r="I244" s="162"/>
      <c r="L244" s="158"/>
      <c r="M244" s="163"/>
      <c r="T244" s="164"/>
      <c r="AT244" s="159" t="s">
        <v>162</v>
      </c>
      <c r="AU244" s="159" t="s">
        <v>79</v>
      </c>
      <c r="AV244" s="13" t="s">
        <v>158</v>
      </c>
      <c r="AW244" s="13" t="s">
        <v>30</v>
      </c>
      <c r="AX244" s="13" t="s">
        <v>77</v>
      </c>
      <c r="AY244" s="159" t="s">
        <v>151</v>
      </c>
    </row>
    <row r="245" spans="2:65" s="1" customFormat="1" ht="24.2" customHeight="1">
      <c r="B245" s="132"/>
      <c r="C245" s="133" t="s">
        <v>384</v>
      </c>
      <c r="D245" s="133" t="s">
        <v>153</v>
      </c>
      <c r="E245" s="134" t="s">
        <v>385</v>
      </c>
      <c r="F245" s="135" t="s">
        <v>386</v>
      </c>
      <c r="G245" s="136" t="s">
        <v>230</v>
      </c>
      <c r="H245" s="137">
        <v>190.8</v>
      </c>
      <c r="I245" s="138"/>
      <c r="J245" s="139">
        <f>ROUND(I245*H245,2)</f>
        <v>0</v>
      </c>
      <c r="K245" s="135" t="s">
        <v>171</v>
      </c>
      <c r="L245" s="33"/>
      <c r="M245" s="140" t="s">
        <v>3</v>
      </c>
      <c r="N245" s="141" t="s">
        <v>40</v>
      </c>
      <c r="P245" s="142">
        <f>O245*H245</f>
        <v>0</v>
      </c>
      <c r="Q245" s="142">
        <v>2.8500000000000001E-3</v>
      </c>
      <c r="R245" s="142">
        <f>Q245*H245</f>
        <v>0.54378000000000004</v>
      </c>
      <c r="S245" s="142">
        <v>0</v>
      </c>
      <c r="T245" s="143">
        <f>S245*H245</f>
        <v>0</v>
      </c>
      <c r="AR245" s="144" t="s">
        <v>158</v>
      </c>
      <c r="AT245" s="144" t="s">
        <v>153</v>
      </c>
      <c r="AU245" s="144" t="s">
        <v>79</v>
      </c>
      <c r="AY245" s="18" t="s">
        <v>151</v>
      </c>
      <c r="BE245" s="145">
        <f>IF(N245="základní",J245,0)</f>
        <v>0</v>
      </c>
      <c r="BF245" s="145">
        <f>IF(N245="snížená",J245,0)</f>
        <v>0</v>
      </c>
      <c r="BG245" s="145">
        <f>IF(N245="zákl. přenesená",J245,0)</f>
        <v>0</v>
      </c>
      <c r="BH245" s="145">
        <f>IF(N245="sníž. přenesená",J245,0)</f>
        <v>0</v>
      </c>
      <c r="BI245" s="145">
        <f>IF(N245="nulová",J245,0)</f>
        <v>0</v>
      </c>
      <c r="BJ245" s="18" t="s">
        <v>77</v>
      </c>
      <c r="BK245" s="145">
        <f>ROUND(I245*H245,2)</f>
        <v>0</v>
      </c>
      <c r="BL245" s="18" t="s">
        <v>158</v>
      </c>
      <c r="BM245" s="144" t="s">
        <v>387</v>
      </c>
    </row>
    <row r="246" spans="2:65" s="1" customFormat="1" ht="11.25">
      <c r="B246" s="33"/>
      <c r="D246" s="146" t="s">
        <v>160</v>
      </c>
      <c r="F246" s="147" t="s">
        <v>388</v>
      </c>
      <c r="I246" s="148"/>
      <c r="L246" s="33"/>
      <c r="M246" s="149"/>
      <c r="T246" s="54"/>
      <c r="AT246" s="18" t="s">
        <v>160</v>
      </c>
      <c r="AU246" s="18" t="s">
        <v>79</v>
      </c>
    </row>
    <row r="247" spans="2:65" s="1" customFormat="1" ht="21.75" customHeight="1">
      <c r="B247" s="132"/>
      <c r="C247" s="133" t="s">
        <v>389</v>
      </c>
      <c r="D247" s="133" t="s">
        <v>153</v>
      </c>
      <c r="E247" s="134" t="s">
        <v>390</v>
      </c>
      <c r="F247" s="135" t="s">
        <v>391</v>
      </c>
      <c r="G247" s="136" t="s">
        <v>156</v>
      </c>
      <c r="H247" s="137">
        <v>119.6</v>
      </c>
      <c r="I247" s="138"/>
      <c r="J247" s="139">
        <f>ROUND(I247*H247,2)</f>
        <v>0</v>
      </c>
      <c r="K247" s="135" t="s">
        <v>157</v>
      </c>
      <c r="L247" s="33"/>
      <c r="M247" s="140" t="s">
        <v>3</v>
      </c>
      <c r="N247" s="141" t="s">
        <v>40</v>
      </c>
      <c r="P247" s="142">
        <f>O247*H247</f>
        <v>0</v>
      </c>
      <c r="Q247" s="142">
        <v>2.5018699999999998</v>
      </c>
      <c r="R247" s="142">
        <f>Q247*H247</f>
        <v>299.22365199999996</v>
      </c>
      <c r="S247" s="142">
        <v>0</v>
      </c>
      <c r="T247" s="143">
        <f>S247*H247</f>
        <v>0</v>
      </c>
      <c r="AR247" s="144" t="s">
        <v>158</v>
      </c>
      <c r="AT247" s="144" t="s">
        <v>153</v>
      </c>
      <c r="AU247" s="144" t="s">
        <v>79</v>
      </c>
      <c r="AY247" s="18" t="s">
        <v>151</v>
      </c>
      <c r="BE247" s="145">
        <f>IF(N247="základní",J247,0)</f>
        <v>0</v>
      </c>
      <c r="BF247" s="145">
        <f>IF(N247="snížená",J247,0)</f>
        <v>0</v>
      </c>
      <c r="BG247" s="145">
        <f>IF(N247="zákl. přenesená",J247,0)</f>
        <v>0</v>
      </c>
      <c r="BH247" s="145">
        <f>IF(N247="sníž. přenesená",J247,0)</f>
        <v>0</v>
      </c>
      <c r="BI247" s="145">
        <f>IF(N247="nulová",J247,0)</f>
        <v>0</v>
      </c>
      <c r="BJ247" s="18" t="s">
        <v>77</v>
      </c>
      <c r="BK247" s="145">
        <f>ROUND(I247*H247,2)</f>
        <v>0</v>
      </c>
      <c r="BL247" s="18" t="s">
        <v>158</v>
      </c>
      <c r="BM247" s="144" t="s">
        <v>392</v>
      </c>
    </row>
    <row r="248" spans="2:65" s="1" customFormat="1" ht="11.25">
      <c r="B248" s="33"/>
      <c r="D248" s="146" t="s">
        <v>160</v>
      </c>
      <c r="F248" s="147" t="s">
        <v>393</v>
      </c>
      <c r="I248" s="148"/>
      <c r="L248" s="33"/>
      <c r="M248" s="149"/>
      <c r="T248" s="54"/>
      <c r="AT248" s="18" t="s">
        <v>160</v>
      </c>
      <c r="AU248" s="18" t="s">
        <v>79</v>
      </c>
    </row>
    <row r="249" spans="2:65" s="1" customFormat="1" ht="39">
      <c r="B249" s="33"/>
      <c r="D249" s="151" t="s">
        <v>219</v>
      </c>
      <c r="F249" s="171" t="s">
        <v>394</v>
      </c>
      <c r="I249" s="148"/>
      <c r="L249" s="33"/>
      <c r="M249" s="149"/>
      <c r="T249" s="54"/>
      <c r="AT249" s="18" t="s">
        <v>219</v>
      </c>
      <c r="AU249" s="18" t="s">
        <v>79</v>
      </c>
    </row>
    <row r="250" spans="2:65" s="12" customFormat="1" ht="11.25">
      <c r="B250" s="150"/>
      <c r="D250" s="151" t="s">
        <v>162</v>
      </c>
      <c r="E250" s="152" t="s">
        <v>3</v>
      </c>
      <c r="F250" s="153" t="s">
        <v>395</v>
      </c>
      <c r="H250" s="154">
        <v>119.6</v>
      </c>
      <c r="I250" s="155"/>
      <c r="L250" s="150"/>
      <c r="M250" s="156"/>
      <c r="T250" s="157"/>
      <c r="AT250" s="152" t="s">
        <v>162</v>
      </c>
      <c r="AU250" s="152" t="s">
        <v>79</v>
      </c>
      <c r="AV250" s="12" t="s">
        <v>79</v>
      </c>
      <c r="AW250" s="12" t="s">
        <v>30</v>
      </c>
      <c r="AX250" s="12" t="s">
        <v>69</v>
      </c>
      <c r="AY250" s="152" t="s">
        <v>151</v>
      </c>
    </row>
    <row r="251" spans="2:65" s="13" customFormat="1" ht="11.25">
      <c r="B251" s="158"/>
      <c r="D251" s="151" t="s">
        <v>162</v>
      </c>
      <c r="E251" s="159" t="s">
        <v>3</v>
      </c>
      <c r="F251" s="160" t="s">
        <v>167</v>
      </c>
      <c r="H251" s="161">
        <v>119.6</v>
      </c>
      <c r="I251" s="162"/>
      <c r="L251" s="158"/>
      <c r="M251" s="163"/>
      <c r="T251" s="164"/>
      <c r="AT251" s="159" t="s">
        <v>162</v>
      </c>
      <c r="AU251" s="159" t="s">
        <v>79</v>
      </c>
      <c r="AV251" s="13" t="s">
        <v>158</v>
      </c>
      <c r="AW251" s="13" t="s">
        <v>30</v>
      </c>
      <c r="AX251" s="13" t="s">
        <v>77</v>
      </c>
      <c r="AY251" s="159" t="s">
        <v>151</v>
      </c>
    </row>
    <row r="252" spans="2:65" s="1" customFormat="1" ht="21.75" customHeight="1">
      <c r="B252" s="132"/>
      <c r="C252" s="133" t="s">
        <v>396</v>
      </c>
      <c r="D252" s="133" t="s">
        <v>153</v>
      </c>
      <c r="E252" s="134" t="s">
        <v>397</v>
      </c>
      <c r="F252" s="135" t="s">
        <v>398</v>
      </c>
      <c r="G252" s="136" t="s">
        <v>156</v>
      </c>
      <c r="H252" s="137">
        <v>119.6</v>
      </c>
      <c r="I252" s="138"/>
      <c r="J252" s="139">
        <f>ROUND(I252*H252,2)</f>
        <v>0</v>
      </c>
      <c r="K252" s="135" t="s">
        <v>171</v>
      </c>
      <c r="L252" s="33"/>
      <c r="M252" s="140" t="s">
        <v>3</v>
      </c>
      <c r="N252" s="141" t="s">
        <v>40</v>
      </c>
      <c r="P252" s="142">
        <f>O252*H252</f>
        <v>0</v>
      </c>
      <c r="Q252" s="142">
        <v>0</v>
      </c>
      <c r="R252" s="142">
        <f>Q252*H252</f>
        <v>0</v>
      </c>
      <c r="S252" s="142">
        <v>0</v>
      </c>
      <c r="T252" s="143">
        <f>S252*H252</f>
        <v>0</v>
      </c>
      <c r="AR252" s="144" t="s">
        <v>158</v>
      </c>
      <c r="AT252" s="144" t="s">
        <v>153</v>
      </c>
      <c r="AU252" s="144" t="s">
        <v>79</v>
      </c>
      <c r="AY252" s="18" t="s">
        <v>151</v>
      </c>
      <c r="BE252" s="145">
        <f>IF(N252="základní",J252,0)</f>
        <v>0</v>
      </c>
      <c r="BF252" s="145">
        <f>IF(N252="snížená",J252,0)</f>
        <v>0</v>
      </c>
      <c r="BG252" s="145">
        <f>IF(N252="zákl. přenesená",J252,0)</f>
        <v>0</v>
      </c>
      <c r="BH252" s="145">
        <f>IF(N252="sníž. přenesená",J252,0)</f>
        <v>0</v>
      </c>
      <c r="BI252" s="145">
        <f>IF(N252="nulová",J252,0)</f>
        <v>0</v>
      </c>
      <c r="BJ252" s="18" t="s">
        <v>77</v>
      </c>
      <c r="BK252" s="145">
        <f>ROUND(I252*H252,2)</f>
        <v>0</v>
      </c>
      <c r="BL252" s="18" t="s">
        <v>158</v>
      </c>
      <c r="BM252" s="144" t="s">
        <v>399</v>
      </c>
    </row>
    <row r="253" spans="2:65" s="1" customFormat="1" ht="11.25">
      <c r="B253" s="33"/>
      <c r="D253" s="146" t="s">
        <v>160</v>
      </c>
      <c r="F253" s="147" t="s">
        <v>400</v>
      </c>
      <c r="I253" s="148"/>
      <c r="L253" s="33"/>
      <c r="M253" s="149"/>
      <c r="T253" s="54"/>
      <c r="AT253" s="18" t="s">
        <v>160</v>
      </c>
      <c r="AU253" s="18" t="s">
        <v>79</v>
      </c>
    </row>
    <row r="254" spans="2:65" s="1" customFormat="1" ht="24.2" customHeight="1">
      <c r="B254" s="132"/>
      <c r="C254" s="133" t="s">
        <v>202</v>
      </c>
      <c r="D254" s="133" t="s">
        <v>153</v>
      </c>
      <c r="E254" s="134" t="s">
        <v>401</v>
      </c>
      <c r="F254" s="135" t="s">
        <v>402</v>
      </c>
      <c r="G254" s="136" t="s">
        <v>156</v>
      </c>
      <c r="H254" s="137">
        <v>119.6</v>
      </c>
      <c r="I254" s="138"/>
      <c r="J254" s="139">
        <f>ROUND(I254*H254,2)</f>
        <v>0</v>
      </c>
      <c r="K254" s="135" t="s">
        <v>171</v>
      </c>
      <c r="L254" s="33"/>
      <c r="M254" s="140" t="s">
        <v>3</v>
      </c>
      <c r="N254" s="141" t="s">
        <v>40</v>
      </c>
      <c r="P254" s="142">
        <f>O254*H254</f>
        <v>0</v>
      </c>
      <c r="Q254" s="142">
        <v>0</v>
      </c>
      <c r="R254" s="142">
        <f>Q254*H254</f>
        <v>0</v>
      </c>
      <c r="S254" s="142">
        <v>0</v>
      </c>
      <c r="T254" s="143">
        <f>S254*H254</f>
        <v>0</v>
      </c>
      <c r="AR254" s="144" t="s">
        <v>158</v>
      </c>
      <c r="AT254" s="144" t="s">
        <v>153</v>
      </c>
      <c r="AU254" s="144" t="s">
        <v>79</v>
      </c>
      <c r="AY254" s="18" t="s">
        <v>151</v>
      </c>
      <c r="BE254" s="145">
        <f>IF(N254="základní",J254,0)</f>
        <v>0</v>
      </c>
      <c r="BF254" s="145">
        <f>IF(N254="snížená",J254,0)</f>
        <v>0</v>
      </c>
      <c r="BG254" s="145">
        <f>IF(N254="zákl. přenesená",J254,0)</f>
        <v>0</v>
      </c>
      <c r="BH254" s="145">
        <f>IF(N254="sníž. přenesená",J254,0)</f>
        <v>0</v>
      </c>
      <c r="BI254" s="145">
        <f>IF(N254="nulová",J254,0)</f>
        <v>0</v>
      </c>
      <c r="BJ254" s="18" t="s">
        <v>77</v>
      </c>
      <c r="BK254" s="145">
        <f>ROUND(I254*H254,2)</f>
        <v>0</v>
      </c>
      <c r="BL254" s="18" t="s">
        <v>158</v>
      </c>
      <c r="BM254" s="144" t="s">
        <v>403</v>
      </c>
    </row>
    <row r="255" spans="2:65" s="1" customFormat="1" ht="11.25">
      <c r="B255" s="33"/>
      <c r="D255" s="146" t="s">
        <v>160</v>
      </c>
      <c r="F255" s="147" t="s">
        <v>404</v>
      </c>
      <c r="I255" s="148"/>
      <c r="L255" s="33"/>
      <c r="M255" s="149"/>
      <c r="T255" s="54"/>
      <c r="AT255" s="18" t="s">
        <v>160</v>
      </c>
      <c r="AU255" s="18" t="s">
        <v>79</v>
      </c>
    </row>
    <row r="256" spans="2:65" s="1" customFormat="1" ht="24.2" customHeight="1">
      <c r="B256" s="132"/>
      <c r="C256" s="133" t="s">
        <v>405</v>
      </c>
      <c r="D256" s="133" t="s">
        <v>153</v>
      </c>
      <c r="E256" s="134" t="s">
        <v>406</v>
      </c>
      <c r="F256" s="135" t="s">
        <v>407</v>
      </c>
      <c r="G256" s="136" t="s">
        <v>156</v>
      </c>
      <c r="H256" s="137">
        <v>119.6</v>
      </c>
      <c r="I256" s="138"/>
      <c r="J256" s="139">
        <f>ROUND(I256*H256,2)</f>
        <v>0</v>
      </c>
      <c r="K256" s="135" t="s">
        <v>171</v>
      </c>
      <c r="L256" s="33"/>
      <c r="M256" s="140" t="s">
        <v>3</v>
      </c>
      <c r="N256" s="141" t="s">
        <v>40</v>
      </c>
      <c r="P256" s="142">
        <f>O256*H256</f>
        <v>0</v>
      </c>
      <c r="Q256" s="142">
        <v>4.0399999999999998E-2</v>
      </c>
      <c r="R256" s="142">
        <f>Q256*H256</f>
        <v>4.8318399999999997</v>
      </c>
      <c r="S256" s="142">
        <v>0</v>
      </c>
      <c r="T256" s="143">
        <f>S256*H256</f>
        <v>0</v>
      </c>
      <c r="AR256" s="144" t="s">
        <v>158</v>
      </c>
      <c r="AT256" s="144" t="s">
        <v>153</v>
      </c>
      <c r="AU256" s="144" t="s">
        <v>79</v>
      </c>
      <c r="AY256" s="18" t="s">
        <v>151</v>
      </c>
      <c r="BE256" s="145">
        <f>IF(N256="základní",J256,0)</f>
        <v>0</v>
      </c>
      <c r="BF256" s="145">
        <f>IF(N256="snížená",J256,0)</f>
        <v>0</v>
      </c>
      <c r="BG256" s="145">
        <f>IF(N256="zákl. přenesená",J256,0)</f>
        <v>0</v>
      </c>
      <c r="BH256" s="145">
        <f>IF(N256="sníž. přenesená",J256,0)</f>
        <v>0</v>
      </c>
      <c r="BI256" s="145">
        <f>IF(N256="nulová",J256,0)</f>
        <v>0</v>
      </c>
      <c r="BJ256" s="18" t="s">
        <v>77</v>
      </c>
      <c r="BK256" s="145">
        <f>ROUND(I256*H256,2)</f>
        <v>0</v>
      </c>
      <c r="BL256" s="18" t="s">
        <v>158</v>
      </c>
      <c r="BM256" s="144" t="s">
        <v>408</v>
      </c>
    </row>
    <row r="257" spans="2:65" s="1" customFormat="1" ht="11.25">
      <c r="B257" s="33"/>
      <c r="D257" s="146" t="s">
        <v>160</v>
      </c>
      <c r="F257" s="147" t="s">
        <v>409</v>
      </c>
      <c r="I257" s="148"/>
      <c r="L257" s="33"/>
      <c r="M257" s="149"/>
      <c r="T257" s="54"/>
      <c r="AT257" s="18" t="s">
        <v>160</v>
      </c>
      <c r="AU257" s="18" t="s">
        <v>79</v>
      </c>
    </row>
    <row r="258" spans="2:65" s="1" customFormat="1" ht="16.5" customHeight="1">
      <c r="B258" s="132"/>
      <c r="C258" s="133" t="s">
        <v>410</v>
      </c>
      <c r="D258" s="133" t="s">
        <v>153</v>
      </c>
      <c r="E258" s="134" t="s">
        <v>411</v>
      </c>
      <c r="F258" s="135" t="s">
        <v>412</v>
      </c>
      <c r="G258" s="136" t="s">
        <v>183</v>
      </c>
      <c r="H258" s="137">
        <v>8.39</v>
      </c>
      <c r="I258" s="138"/>
      <c r="J258" s="139">
        <f>ROUND(I258*H258,2)</f>
        <v>0</v>
      </c>
      <c r="K258" s="135" t="s">
        <v>171</v>
      </c>
      <c r="L258" s="33"/>
      <c r="M258" s="140" t="s">
        <v>3</v>
      </c>
      <c r="N258" s="141" t="s">
        <v>40</v>
      </c>
      <c r="P258" s="142">
        <f>O258*H258</f>
        <v>0</v>
      </c>
      <c r="Q258" s="142">
        <v>1.06277</v>
      </c>
      <c r="R258" s="142">
        <f>Q258*H258</f>
        <v>8.916640300000001</v>
      </c>
      <c r="S258" s="142">
        <v>0</v>
      </c>
      <c r="T258" s="143">
        <f>S258*H258</f>
        <v>0</v>
      </c>
      <c r="AR258" s="144" t="s">
        <v>158</v>
      </c>
      <c r="AT258" s="144" t="s">
        <v>153</v>
      </c>
      <c r="AU258" s="144" t="s">
        <v>79</v>
      </c>
      <c r="AY258" s="18" t="s">
        <v>151</v>
      </c>
      <c r="BE258" s="145">
        <f>IF(N258="základní",J258,0)</f>
        <v>0</v>
      </c>
      <c r="BF258" s="145">
        <f>IF(N258="snížená",J258,0)</f>
        <v>0</v>
      </c>
      <c r="BG258" s="145">
        <f>IF(N258="zákl. přenesená",J258,0)</f>
        <v>0</v>
      </c>
      <c r="BH258" s="145">
        <f>IF(N258="sníž. přenesená",J258,0)</f>
        <v>0</v>
      </c>
      <c r="BI258" s="145">
        <f>IF(N258="nulová",J258,0)</f>
        <v>0</v>
      </c>
      <c r="BJ258" s="18" t="s">
        <v>77</v>
      </c>
      <c r="BK258" s="145">
        <f>ROUND(I258*H258,2)</f>
        <v>0</v>
      </c>
      <c r="BL258" s="18" t="s">
        <v>158</v>
      </c>
      <c r="BM258" s="144" t="s">
        <v>413</v>
      </c>
    </row>
    <row r="259" spans="2:65" s="1" customFormat="1" ht="11.25">
      <c r="B259" s="33"/>
      <c r="D259" s="146" t="s">
        <v>160</v>
      </c>
      <c r="F259" s="147" t="s">
        <v>414</v>
      </c>
      <c r="I259" s="148"/>
      <c r="L259" s="33"/>
      <c r="M259" s="149"/>
      <c r="T259" s="54"/>
      <c r="AT259" s="18" t="s">
        <v>160</v>
      </c>
      <c r="AU259" s="18" t="s">
        <v>79</v>
      </c>
    </row>
    <row r="260" spans="2:65" s="12" customFormat="1" ht="11.25">
      <c r="B260" s="150"/>
      <c r="D260" s="151" t="s">
        <v>162</v>
      </c>
      <c r="E260" s="152" t="s">
        <v>3</v>
      </c>
      <c r="F260" s="153" t="s">
        <v>415</v>
      </c>
      <c r="H260" s="154">
        <v>8.39</v>
      </c>
      <c r="I260" s="155"/>
      <c r="L260" s="150"/>
      <c r="M260" s="156"/>
      <c r="T260" s="157"/>
      <c r="AT260" s="152" t="s">
        <v>162</v>
      </c>
      <c r="AU260" s="152" t="s">
        <v>79</v>
      </c>
      <c r="AV260" s="12" t="s">
        <v>79</v>
      </c>
      <c r="AW260" s="12" t="s">
        <v>30</v>
      </c>
      <c r="AX260" s="12" t="s">
        <v>77</v>
      </c>
      <c r="AY260" s="152" t="s">
        <v>151</v>
      </c>
    </row>
    <row r="261" spans="2:65" s="1" customFormat="1" ht="16.5" customHeight="1">
      <c r="B261" s="132"/>
      <c r="C261" s="133" t="s">
        <v>416</v>
      </c>
      <c r="D261" s="133" t="s">
        <v>153</v>
      </c>
      <c r="E261" s="134" t="s">
        <v>417</v>
      </c>
      <c r="F261" s="135" t="s">
        <v>418</v>
      </c>
      <c r="G261" s="136" t="s">
        <v>230</v>
      </c>
      <c r="H261" s="137">
        <v>598</v>
      </c>
      <c r="I261" s="138"/>
      <c r="J261" s="139">
        <f>ROUND(I261*H261,2)</f>
        <v>0</v>
      </c>
      <c r="K261" s="135" t="s">
        <v>157</v>
      </c>
      <c r="L261" s="33"/>
      <c r="M261" s="140" t="s">
        <v>3</v>
      </c>
      <c r="N261" s="141" t="s">
        <v>40</v>
      </c>
      <c r="P261" s="142">
        <f>O261*H261</f>
        <v>0</v>
      </c>
      <c r="Q261" s="142">
        <v>1.2999999999999999E-4</v>
      </c>
      <c r="R261" s="142">
        <f>Q261*H261</f>
        <v>7.773999999999999E-2</v>
      </c>
      <c r="S261" s="142">
        <v>0</v>
      </c>
      <c r="T261" s="143">
        <f>S261*H261</f>
        <v>0</v>
      </c>
      <c r="AR261" s="144" t="s">
        <v>158</v>
      </c>
      <c r="AT261" s="144" t="s">
        <v>153</v>
      </c>
      <c r="AU261" s="144" t="s">
        <v>79</v>
      </c>
      <c r="AY261" s="18" t="s">
        <v>151</v>
      </c>
      <c r="BE261" s="145">
        <f>IF(N261="základní",J261,0)</f>
        <v>0</v>
      </c>
      <c r="BF261" s="145">
        <f>IF(N261="snížená",J261,0)</f>
        <v>0</v>
      </c>
      <c r="BG261" s="145">
        <f>IF(N261="zákl. přenesená",J261,0)</f>
        <v>0</v>
      </c>
      <c r="BH261" s="145">
        <f>IF(N261="sníž. přenesená",J261,0)</f>
        <v>0</v>
      </c>
      <c r="BI261" s="145">
        <f>IF(N261="nulová",J261,0)</f>
        <v>0</v>
      </c>
      <c r="BJ261" s="18" t="s">
        <v>77</v>
      </c>
      <c r="BK261" s="145">
        <f>ROUND(I261*H261,2)</f>
        <v>0</v>
      </c>
      <c r="BL261" s="18" t="s">
        <v>158</v>
      </c>
      <c r="BM261" s="144" t="s">
        <v>419</v>
      </c>
    </row>
    <row r="262" spans="2:65" s="1" customFormat="1" ht="11.25">
      <c r="B262" s="33"/>
      <c r="D262" s="146" t="s">
        <v>160</v>
      </c>
      <c r="F262" s="147" t="s">
        <v>420</v>
      </c>
      <c r="I262" s="148"/>
      <c r="L262" s="33"/>
      <c r="M262" s="149"/>
      <c r="T262" s="54"/>
      <c r="AT262" s="18" t="s">
        <v>160</v>
      </c>
      <c r="AU262" s="18" t="s">
        <v>79</v>
      </c>
    </row>
    <row r="263" spans="2:65" s="14" customFormat="1" ht="11.25">
      <c r="B263" s="165"/>
      <c r="D263" s="151" t="s">
        <v>162</v>
      </c>
      <c r="E263" s="166" t="s">
        <v>3</v>
      </c>
      <c r="F263" s="167" t="s">
        <v>421</v>
      </c>
      <c r="H263" s="166" t="s">
        <v>3</v>
      </c>
      <c r="I263" s="168"/>
      <c r="L263" s="165"/>
      <c r="M263" s="169"/>
      <c r="T263" s="170"/>
      <c r="AT263" s="166" t="s">
        <v>162</v>
      </c>
      <c r="AU263" s="166" t="s">
        <v>79</v>
      </c>
      <c r="AV263" s="14" t="s">
        <v>77</v>
      </c>
      <c r="AW263" s="14" t="s">
        <v>30</v>
      </c>
      <c r="AX263" s="14" t="s">
        <v>69</v>
      </c>
      <c r="AY263" s="166" t="s">
        <v>151</v>
      </c>
    </row>
    <row r="264" spans="2:65" s="12" customFormat="1" ht="11.25">
      <c r="B264" s="150"/>
      <c r="D264" s="151" t="s">
        <v>162</v>
      </c>
      <c r="E264" s="152" t="s">
        <v>3</v>
      </c>
      <c r="F264" s="153" t="s">
        <v>422</v>
      </c>
      <c r="H264" s="154">
        <v>598</v>
      </c>
      <c r="I264" s="155"/>
      <c r="L264" s="150"/>
      <c r="M264" s="156"/>
      <c r="T264" s="157"/>
      <c r="AT264" s="152" t="s">
        <v>162</v>
      </c>
      <c r="AU264" s="152" t="s">
        <v>79</v>
      </c>
      <c r="AV264" s="12" t="s">
        <v>79</v>
      </c>
      <c r="AW264" s="12" t="s">
        <v>30</v>
      </c>
      <c r="AX264" s="12" t="s">
        <v>69</v>
      </c>
      <c r="AY264" s="152" t="s">
        <v>151</v>
      </c>
    </row>
    <row r="265" spans="2:65" s="13" customFormat="1" ht="11.25">
      <c r="B265" s="158"/>
      <c r="D265" s="151" t="s">
        <v>162</v>
      </c>
      <c r="E265" s="159" t="s">
        <v>3</v>
      </c>
      <c r="F265" s="160" t="s">
        <v>167</v>
      </c>
      <c r="H265" s="161">
        <v>598</v>
      </c>
      <c r="I265" s="162"/>
      <c r="L265" s="158"/>
      <c r="M265" s="163"/>
      <c r="T265" s="164"/>
      <c r="AT265" s="159" t="s">
        <v>162</v>
      </c>
      <c r="AU265" s="159" t="s">
        <v>79</v>
      </c>
      <c r="AV265" s="13" t="s">
        <v>158</v>
      </c>
      <c r="AW265" s="13" t="s">
        <v>30</v>
      </c>
      <c r="AX265" s="13" t="s">
        <v>77</v>
      </c>
      <c r="AY265" s="159" t="s">
        <v>151</v>
      </c>
    </row>
    <row r="266" spans="2:65" s="1" customFormat="1" ht="24.2" customHeight="1">
      <c r="B266" s="132"/>
      <c r="C266" s="133" t="s">
        <v>423</v>
      </c>
      <c r="D266" s="133" t="s">
        <v>153</v>
      </c>
      <c r="E266" s="134" t="s">
        <v>424</v>
      </c>
      <c r="F266" s="135" t="s">
        <v>425</v>
      </c>
      <c r="G266" s="136" t="s">
        <v>198</v>
      </c>
      <c r="H266" s="137">
        <v>105</v>
      </c>
      <c r="I266" s="138"/>
      <c r="J266" s="139">
        <f>ROUND(I266*H266,2)</f>
        <v>0</v>
      </c>
      <c r="K266" s="135" t="s">
        <v>157</v>
      </c>
      <c r="L266" s="33"/>
      <c r="M266" s="140" t="s">
        <v>3</v>
      </c>
      <c r="N266" s="141" t="s">
        <v>40</v>
      </c>
      <c r="P266" s="142">
        <f>O266*H266</f>
        <v>0</v>
      </c>
      <c r="Q266" s="142">
        <v>4.0000000000000003E-5</v>
      </c>
      <c r="R266" s="142">
        <f>Q266*H266</f>
        <v>4.2000000000000006E-3</v>
      </c>
      <c r="S266" s="142">
        <v>0</v>
      </c>
      <c r="T266" s="143">
        <f>S266*H266</f>
        <v>0</v>
      </c>
      <c r="AR266" s="144" t="s">
        <v>158</v>
      </c>
      <c r="AT266" s="144" t="s">
        <v>153</v>
      </c>
      <c r="AU266" s="144" t="s">
        <v>79</v>
      </c>
      <c r="AY266" s="18" t="s">
        <v>151</v>
      </c>
      <c r="BE266" s="145">
        <f>IF(N266="základní",J266,0)</f>
        <v>0</v>
      </c>
      <c r="BF266" s="145">
        <f>IF(N266="snížená",J266,0)</f>
        <v>0</v>
      </c>
      <c r="BG266" s="145">
        <f>IF(N266="zákl. přenesená",J266,0)</f>
        <v>0</v>
      </c>
      <c r="BH266" s="145">
        <f>IF(N266="sníž. přenesená",J266,0)</f>
        <v>0</v>
      </c>
      <c r="BI266" s="145">
        <f>IF(N266="nulová",J266,0)</f>
        <v>0</v>
      </c>
      <c r="BJ266" s="18" t="s">
        <v>77</v>
      </c>
      <c r="BK266" s="145">
        <f>ROUND(I266*H266,2)</f>
        <v>0</v>
      </c>
      <c r="BL266" s="18" t="s">
        <v>158</v>
      </c>
      <c r="BM266" s="144" t="s">
        <v>426</v>
      </c>
    </row>
    <row r="267" spans="2:65" s="1" customFormat="1" ht="11.25">
      <c r="B267" s="33"/>
      <c r="D267" s="146" t="s">
        <v>160</v>
      </c>
      <c r="F267" s="147" t="s">
        <v>427</v>
      </c>
      <c r="I267" s="148"/>
      <c r="L267" s="33"/>
      <c r="M267" s="149"/>
      <c r="T267" s="54"/>
      <c r="AT267" s="18" t="s">
        <v>160</v>
      </c>
      <c r="AU267" s="18" t="s">
        <v>79</v>
      </c>
    </row>
    <row r="268" spans="2:65" s="11" customFormat="1" ht="22.9" customHeight="1">
      <c r="B268" s="120"/>
      <c r="D268" s="121" t="s">
        <v>68</v>
      </c>
      <c r="E268" s="130" t="s">
        <v>227</v>
      </c>
      <c r="F268" s="130" t="s">
        <v>428</v>
      </c>
      <c r="I268" s="123"/>
      <c r="J268" s="131">
        <f>BK268</f>
        <v>0</v>
      </c>
      <c r="L268" s="120"/>
      <c r="M268" s="125"/>
      <c r="P268" s="126">
        <f>SUM(P269:P277)</f>
        <v>0</v>
      </c>
      <c r="R268" s="126">
        <f>SUM(R269:R277)</f>
        <v>7.7520859999999994</v>
      </c>
      <c r="T268" s="127">
        <f>SUM(T269:T277)</f>
        <v>30</v>
      </c>
      <c r="AR268" s="121" t="s">
        <v>77</v>
      </c>
      <c r="AT268" s="128" t="s">
        <v>68</v>
      </c>
      <c r="AU268" s="128" t="s">
        <v>77</v>
      </c>
      <c r="AY268" s="121" t="s">
        <v>151</v>
      </c>
      <c r="BK268" s="129">
        <f>SUM(BK269:BK277)</f>
        <v>0</v>
      </c>
    </row>
    <row r="269" spans="2:65" s="1" customFormat="1" ht="24.2" customHeight="1">
      <c r="B269" s="132"/>
      <c r="C269" s="133" t="s">
        <v>429</v>
      </c>
      <c r="D269" s="133" t="s">
        <v>153</v>
      </c>
      <c r="E269" s="134" t="s">
        <v>430</v>
      </c>
      <c r="F269" s="135" t="s">
        <v>431</v>
      </c>
      <c r="G269" s="136" t="s">
        <v>198</v>
      </c>
      <c r="H269" s="137">
        <v>30.35</v>
      </c>
      <c r="I269" s="138"/>
      <c r="J269" s="139">
        <f>ROUND(I269*H269,2)</f>
        <v>0</v>
      </c>
      <c r="K269" s="135" t="s">
        <v>157</v>
      </c>
      <c r="L269" s="33"/>
      <c r="M269" s="140" t="s">
        <v>3</v>
      </c>
      <c r="N269" s="141" t="s">
        <v>40</v>
      </c>
      <c r="P269" s="142">
        <f>O269*H269</f>
        <v>0</v>
      </c>
      <c r="Q269" s="142">
        <v>0.13095999999999999</v>
      </c>
      <c r="R269" s="142">
        <f>Q269*H269</f>
        <v>3.9746359999999998</v>
      </c>
      <c r="S269" s="142">
        <v>0</v>
      </c>
      <c r="T269" s="143">
        <f>S269*H269</f>
        <v>0</v>
      </c>
      <c r="AR269" s="144" t="s">
        <v>158</v>
      </c>
      <c r="AT269" s="144" t="s">
        <v>153</v>
      </c>
      <c r="AU269" s="144" t="s">
        <v>79</v>
      </c>
      <c r="AY269" s="18" t="s">
        <v>151</v>
      </c>
      <c r="BE269" s="145">
        <f>IF(N269="základní",J269,0)</f>
        <v>0</v>
      </c>
      <c r="BF269" s="145">
        <f>IF(N269="snížená",J269,0)</f>
        <v>0</v>
      </c>
      <c r="BG269" s="145">
        <f>IF(N269="zákl. přenesená",J269,0)</f>
        <v>0</v>
      </c>
      <c r="BH269" s="145">
        <f>IF(N269="sníž. přenesená",J269,0)</f>
        <v>0</v>
      </c>
      <c r="BI269" s="145">
        <f>IF(N269="nulová",J269,0)</f>
        <v>0</v>
      </c>
      <c r="BJ269" s="18" t="s">
        <v>77</v>
      </c>
      <c r="BK269" s="145">
        <f>ROUND(I269*H269,2)</f>
        <v>0</v>
      </c>
      <c r="BL269" s="18" t="s">
        <v>158</v>
      </c>
      <c r="BM269" s="144" t="s">
        <v>432</v>
      </c>
    </row>
    <row r="270" spans="2:65" s="1" customFormat="1" ht="11.25">
      <c r="B270" s="33"/>
      <c r="D270" s="146" t="s">
        <v>160</v>
      </c>
      <c r="F270" s="147" t="s">
        <v>433</v>
      </c>
      <c r="I270" s="148"/>
      <c r="L270" s="33"/>
      <c r="M270" s="149"/>
      <c r="T270" s="54"/>
      <c r="AT270" s="18" t="s">
        <v>160</v>
      </c>
      <c r="AU270" s="18" t="s">
        <v>79</v>
      </c>
    </row>
    <row r="271" spans="2:65" s="1" customFormat="1" ht="19.5">
      <c r="B271" s="33"/>
      <c r="D271" s="151" t="s">
        <v>219</v>
      </c>
      <c r="F271" s="171" t="s">
        <v>434</v>
      </c>
      <c r="I271" s="148"/>
      <c r="L271" s="33"/>
      <c r="M271" s="149"/>
      <c r="T271" s="54"/>
      <c r="AT271" s="18" t="s">
        <v>219</v>
      </c>
      <c r="AU271" s="18" t="s">
        <v>79</v>
      </c>
    </row>
    <row r="272" spans="2:65" s="1" customFormat="1" ht="16.5" customHeight="1">
      <c r="B272" s="132"/>
      <c r="C272" s="172" t="s">
        <v>435</v>
      </c>
      <c r="D272" s="172" t="s">
        <v>436</v>
      </c>
      <c r="E272" s="173" t="s">
        <v>437</v>
      </c>
      <c r="F272" s="174" t="s">
        <v>438</v>
      </c>
      <c r="G272" s="175" t="s">
        <v>198</v>
      </c>
      <c r="H272" s="176">
        <v>30.35</v>
      </c>
      <c r="I272" s="177"/>
      <c r="J272" s="178">
        <f>ROUND(I272*H272,2)</f>
        <v>0</v>
      </c>
      <c r="K272" s="174" t="s">
        <v>157</v>
      </c>
      <c r="L272" s="179"/>
      <c r="M272" s="180" t="s">
        <v>3</v>
      </c>
      <c r="N272" s="181" t="s">
        <v>40</v>
      </c>
      <c r="P272" s="142">
        <f>O272*H272</f>
        <v>0</v>
      </c>
      <c r="Q272" s="142">
        <v>0.12</v>
      </c>
      <c r="R272" s="142">
        <f>Q272*H272</f>
        <v>3.6419999999999999</v>
      </c>
      <c r="S272" s="142">
        <v>0</v>
      </c>
      <c r="T272" s="143">
        <f>S272*H272</f>
        <v>0</v>
      </c>
      <c r="AR272" s="144" t="s">
        <v>214</v>
      </c>
      <c r="AT272" s="144" t="s">
        <v>436</v>
      </c>
      <c r="AU272" s="144" t="s">
        <v>79</v>
      </c>
      <c r="AY272" s="18" t="s">
        <v>151</v>
      </c>
      <c r="BE272" s="145">
        <f>IF(N272="základní",J272,0)</f>
        <v>0</v>
      </c>
      <c r="BF272" s="145">
        <f>IF(N272="snížená",J272,0)</f>
        <v>0</v>
      </c>
      <c r="BG272" s="145">
        <f>IF(N272="zákl. přenesená",J272,0)</f>
        <v>0</v>
      </c>
      <c r="BH272" s="145">
        <f>IF(N272="sníž. přenesená",J272,0)</f>
        <v>0</v>
      </c>
      <c r="BI272" s="145">
        <f>IF(N272="nulová",J272,0)</f>
        <v>0</v>
      </c>
      <c r="BJ272" s="18" t="s">
        <v>77</v>
      </c>
      <c r="BK272" s="145">
        <f>ROUND(I272*H272,2)</f>
        <v>0</v>
      </c>
      <c r="BL272" s="18" t="s">
        <v>158</v>
      </c>
      <c r="BM272" s="144" t="s">
        <v>439</v>
      </c>
    </row>
    <row r="273" spans="2:65" s="1" customFormat="1" ht="24.2" customHeight="1">
      <c r="B273" s="132"/>
      <c r="C273" s="133" t="s">
        <v>440</v>
      </c>
      <c r="D273" s="133" t="s">
        <v>153</v>
      </c>
      <c r="E273" s="134" t="s">
        <v>441</v>
      </c>
      <c r="F273" s="135" t="s">
        <v>442</v>
      </c>
      <c r="G273" s="136" t="s">
        <v>230</v>
      </c>
      <c r="H273" s="137">
        <v>645</v>
      </c>
      <c r="I273" s="138"/>
      <c r="J273" s="139">
        <f>ROUND(I273*H273,2)</f>
        <v>0</v>
      </c>
      <c r="K273" s="135" t="s">
        <v>171</v>
      </c>
      <c r="L273" s="33"/>
      <c r="M273" s="140" t="s">
        <v>3</v>
      </c>
      <c r="N273" s="141" t="s">
        <v>40</v>
      </c>
      <c r="P273" s="142">
        <f>O273*H273</f>
        <v>0</v>
      </c>
      <c r="Q273" s="142">
        <v>2.1000000000000001E-4</v>
      </c>
      <c r="R273" s="142">
        <f>Q273*H273</f>
        <v>0.13545000000000001</v>
      </c>
      <c r="S273" s="142">
        <v>0</v>
      </c>
      <c r="T273" s="143">
        <f>S273*H273</f>
        <v>0</v>
      </c>
      <c r="AR273" s="144" t="s">
        <v>158</v>
      </c>
      <c r="AT273" s="144" t="s">
        <v>153</v>
      </c>
      <c r="AU273" s="144" t="s">
        <v>79</v>
      </c>
      <c r="AY273" s="18" t="s">
        <v>151</v>
      </c>
      <c r="BE273" s="145">
        <f>IF(N273="základní",J273,0)</f>
        <v>0</v>
      </c>
      <c r="BF273" s="145">
        <f>IF(N273="snížená",J273,0)</f>
        <v>0</v>
      </c>
      <c r="BG273" s="145">
        <f>IF(N273="zákl. přenesená",J273,0)</f>
        <v>0</v>
      </c>
      <c r="BH273" s="145">
        <f>IF(N273="sníž. přenesená",J273,0)</f>
        <v>0</v>
      </c>
      <c r="BI273" s="145">
        <f>IF(N273="nulová",J273,0)</f>
        <v>0</v>
      </c>
      <c r="BJ273" s="18" t="s">
        <v>77</v>
      </c>
      <c r="BK273" s="145">
        <f>ROUND(I273*H273,2)</f>
        <v>0</v>
      </c>
      <c r="BL273" s="18" t="s">
        <v>158</v>
      </c>
      <c r="BM273" s="144" t="s">
        <v>443</v>
      </c>
    </row>
    <row r="274" spans="2:65" s="1" customFormat="1" ht="11.25">
      <c r="B274" s="33"/>
      <c r="D274" s="146" t="s">
        <v>160</v>
      </c>
      <c r="F274" s="147" t="s">
        <v>444</v>
      </c>
      <c r="I274" s="148"/>
      <c r="L274" s="33"/>
      <c r="M274" s="149"/>
      <c r="T274" s="54"/>
      <c r="AT274" s="18" t="s">
        <v>160</v>
      </c>
      <c r="AU274" s="18" t="s">
        <v>79</v>
      </c>
    </row>
    <row r="275" spans="2:65" s="1" customFormat="1" ht="16.5" customHeight="1">
      <c r="B275" s="132"/>
      <c r="C275" s="133" t="s">
        <v>445</v>
      </c>
      <c r="D275" s="133" t="s">
        <v>153</v>
      </c>
      <c r="E275" s="134" t="s">
        <v>446</v>
      </c>
      <c r="F275" s="135" t="s">
        <v>447</v>
      </c>
      <c r="G275" s="136" t="s">
        <v>156</v>
      </c>
      <c r="H275" s="137">
        <v>12.5</v>
      </c>
      <c r="I275" s="138"/>
      <c r="J275" s="139">
        <f>ROUND(I275*H275,2)</f>
        <v>0</v>
      </c>
      <c r="K275" s="135" t="s">
        <v>157</v>
      </c>
      <c r="L275" s="33"/>
      <c r="M275" s="140" t="s">
        <v>3</v>
      </c>
      <c r="N275" s="141" t="s">
        <v>40</v>
      </c>
      <c r="P275" s="142">
        <f>O275*H275</f>
        <v>0</v>
      </c>
      <c r="Q275" s="142">
        <v>0</v>
      </c>
      <c r="R275" s="142">
        <f>Q275*H275</f>
        <v>0</v>
      </c>
      <c r="S275" s="142">
        <v>2.4</v>
      </c>
      <c r="T275" s="143">
        <f>S275*H275</f>
        <v>30</v>
      </c>
      <c r="AR275" s="144" t="s">
        <v>158</v>
      </c>
      <c r="AT275" s="144" t="s">
        <v>153</v>
      </c>
      <c r="AU275" s="144" t="s">
        <v>79</v>
      </c>
      <c r="AY275" s="18" t="s">
        <v>151</v>
      </c>
      <c r="BE275" s="145">
        <f>IF(N275="základní",J275,0)</f>
        <v>0</v>
      </c>
      <c r="BF275" s="145">
        <f>IF(N275="snížená",J275,0)</f>
        <v>0</v>
      </c>
      <c r="BG275" s="145">
        <f>IF(N275="zákl. přenesená",J275,0)</f>
        <v>0</v>
      </c>
      <c r="BH275" s="145">
        <f>IF(N275="sníž. přenesená",J275,0)</f>
        <v>0</v>
      </c>
      <c r="BI275" s="145">
        <f>IF(N275="nulová",J275,0)</f>
        <v>0</v>
      </c>
      <c r="BJ275" s="18" t="s">
        <v>77</v>
      </c>
      <c r="BK275" s="145">
        <f>ROUND(I275*H275,2)</f>
        <v>0</v>
      </c>
      <c r="BL275" s="18" t="s">
        <v>158</v>
      </c>
      <c r="BM275" s="144" t="s">
        <v>448</v>
      </c>
    </row>
    <row r="276" spans="2:65" s="1" customFormat="1" ht="11.25">
      <c r="B276" s="33"/>
      <c r="D276" s="146" t="s">
        <v>160</v>
      </c>
      <c r="F276" s="147" t="s">
        <v>449</v>
      </c>
      <c r="I276" s="148"/>
      <c r="L276" s="33"/>
      <c r="M276" s="149"/>
      <c r="T276" s="54"/>
      <c r="AT276" s="18" t="s">
        <v>160</v>
      </c>
      <c r="AU276" s="18" t="s">
        <v>79</v>
      </c>
    </row>
    <row r="277" spans="2:65" s="12" customFormat="1" ht="11.25">
      <c r="B277" s="150"/>
      <c r="D277" s="151" t="s">
        <v>162</v>
      </c>
      <c r="E277" s="152" t="s">
        <v>3</v>
      </c>
      <c r="F277" s="153" t="s">
        <v>450</v>
      </c>
      <c r="H277" s="154">
        <v>12.5</v>
      </c>
      <c r="I277" s="155"/>
      <c r="L277" s="150"/>
      <c r="M277" s="156"/>
      <c r="T277" s="157"/>
      <c r="AT277" s="152" t="s">
        <v>162</v>
      </c>
      <c r="AU277" s="152" t="s">
        <v>79</v>
      </c>
      <c r="AV277" s="12" t="s">
        <v>79</v>
      </c>
      <c r="AW277" s="12" t="s">
        <v>30</v>
      </c>
      <c r="AX277" s="12" t="s">
        <v>77</v>
      </c>
      <c r="AY277" s="152" t="s">
        <v>151</v>
      </c>
    </row>
    <row r="278" spans="2:65" s="11" customFormat="1" ht="22.9" customHeight="1">
      <c r="B278" s="120"/>
      <c r="D278" s="121" t="s">
        <v>68</v>
      </c>
      <c r="E278" s="130" t="s">
        <v>451</v>
      </c>
      <c r="F278" s="130" t="s">
        <v>452</v>
      </c>
      <c r="I278" s="123"/>
      <c r="J278" s="131">
        <f>BK278</f>
        <v>0</v>
      </c>
      <c r="L278" s="120"/>
      <c r="M278" s="125"/>
      <c r="P278" s="126">
        <f>SUM(P279:P287)</f>
        <v>0</v>
      </c>
      <c r="R278" s="126">
        <f>SUM(R279:R287)</f>
        <v>0</v>
      </c>
      <c r="T278" s="127">
        <f>SUM(T279:T287)</f>
        <v>0</v>
      </c>
      <c r="AR278" s="121" t="s">
        <v>77</v>
      </c>
      <c r="AT278" s="128" t="s">
        <v>68</v>
      </c>
      <c r="AU278" s="128" t="s">
        <v>77</v>
      </c>
      <c r="AY278" s="121" t="s">
        <v>151</v>
      </c>
      <c r="BK278" s="129">
        <f>SUM(BK279:BK287)</f>
        <v>0</v>
      </c>
    </row>
    <row r="279" spans="2:65" s="1" customFormat="1" ht="24.2" customHeight="1">
      <c r="B279" s="132"/>
      <c r="C279" s="133" t="s">
        <v>453</v>
      </c>
      <c r="D279" s="133" t="s">
        <v>153</v>
      </c>
      <c r="E279" s="134" t="s">
        <v>454</v>
      </c>
      <c r="F279" s="135" t="s">
        <v>455</v>
      </c>
      <c r="G279" s="136" t="s">
        <v>183</v>
      </c>
      <c r="H279" s="137">
        <v>30</v>
      </c>
      <c r="I279" s="138"/>
      <c r="J279" s="139">
        <f>ROUND(I279*H279,2)</f>
        <v>0</v>
      </c>
      <c r="K279" s="135" t="s">
        <v>157</v>
      </c>
      <c r="L279" s="33"/>
      <c r="M279" s="140" t="s">
        <v>3</v>
      </c>
      <c r="N279" s="141" t="s">
        <v>40</v>
      </c>
      <c r="P279" s="142">
        <f>O279*H279</f>
        <v>0</v>
      </c>
      <c r="Q279" s="142">
        <v>0</v>
      </c>
      <c r="R279" s="142">
        <f>Q279*H279</f>
        <v>0</v>
      </c>
      <c r="S279" s="142">
        <v>0</v>
      </c>
      <c r="T279" s="143">
        <f>S279*H279</f>
        <v>0</v>
      </c>
      <c r="AR279" s="144" t="s">
        <v>158</v>
      </c>
      <c r="AT279" s="144" t="s">
        <v>153</v>
      </c>
      <c r="AU279" s="144" t="s">
        <v>79</v>
      </c>
      <c r="AY279" s="18" t="s">
        <v>151</v>
      </c>
      <c r="BE279" s="145">
        <f>IF(N279="základní",J279,0)</f>
        <v>0</v>
      </c>
      <c r="BF279" s="145">
        <f>IF(N279="snížená",J279,0)</f>
        <v>0</v>
      </c>
      <c r="BG279" s="145">
        <f>IF(N279="zákl. přenesená",J279,0)</f>
        <v>0</v>
      </c>
      <c r="BH279" s="145">
        <f>IF(N279="sníž. přenesená",J279,0)</f>
        <v>0</v>
      </c>
      <c r="BI279" s="145">
        <f>IF(N279="nulová",J279,0)</f>
        <v>0</v>
      </c>
      <c r="BJ279" s="18" t="s">
        <v>77</v>
      </c>
      <c r="BK279" s="145">
        <f>ROUND(I279*H279,2)</f>
        <v>0</v>
      </c>
      <c r="BL279" s="18" t="s">
        <v>158</v>
      </c>
      <c r="BM279" s="144" t="s">
        <v>456</v>
      </c>
    </row>
    <row r="280" spans="2:65" s="1" customFormat="1" ht="11.25">
      <c r="B280" s="33"/>
      <c r="D280" s="146" t="s">
        <v>160</v>
      </c>
      <c r="F280" s="147" t="s">
        <v>457</v>
      </c>
      <c r="I280" s="148"/>
      <c r="L280" s="33"/>
      <c r="M280" s="149"/>
      <c r="T280" s="54"/>
      <c r="AT280" s="18" t="s">
        <v>160</v>
      </c>
      <c r="AU280" s="18" t="s">
        <v>79</v>
      </c>
    </row>
    <row r="281" spans="2:65" s="1" customFormat="1" ht="21.75" customHeight="1">
      <c r="B281" s="132"/>
      <c r="C281" s="133" t="s">
        <v>458</v>
      </c>
      <c r="D281" s="133" t="s">
        <v>153</v>
      </c>
      <c r="E281" s="134" t="s">
        <v>459</v>
      </c>
      <c r="F281" s="135" t="s">
        <v>460</v>
      </c>
      <c r="G281" s="136" t="s">
        <v>183</v>
      </c>
      <c r="H281" s="137">
        <v>30</v>
      </c>
      <c r="I281" s="138"/>
      <c r="J281" s="139">
        <f>ROUND(I281*H281,2)</f>
        <v>0</v>
      </c>
      <c r="K281" s="135" t="s">
        <v>157</v>
      </c>
      <c r="L281" s="33"/>
      <c r="M281" s="140" t="s">
        <v>3</v>
      </c>
      <c r="N281" s="141" t="s">
        <v>40</v>
      </c>
      <c r="P281" s="142">
        <f>O281*H281</f>
        <v>0</v>
      </c>
      <c r="Q281" s="142">
        <v>0</v>
      </c>
      <c r="R281" s="142">
        <f>Q281*H281</f>
        <v>0</v>
      </c>
      <c r="S281" s="142">
        <v>0</v>
      </c>
      <c r="T281" s="143">
        <f>S281*H281</f>
        <v>0</v>
      </c>
      <c r="AR281" s="144" t="s">
        <v>158</v>
      </c>
      <c r="AT281" s="144" t="s">
        <v>153</v>
      </c>
      <c r="AU281" s="144" t="s">
        <v>79</v>
      </c>
      <c r="AY281" s="18" t="s">
        <v>151</v>
      </c>
      <c r="BE281" s="145">
        <f>IF(N281="základní",J281,0)</f>
        <v>0</v>
      </c>
      <c r="BF281" s="145">
        <f>IF(N281="snížená",J281,0)</f>
        <v>0</v>
      </c>
      <c r="BG281" s="145">
        <f>IF(N281="zákl. přenesená",J281,0)</f>
        <v>0</v>
      </c>
      <c r="BH281" s="145">
        <f>IF(N281="sníž. přenesená",J281,0)</f>
        <v>0</v>
      </c>
      <c r="BI281" s="145">
        <f>IF(N281="nulová",J281,0)</f>
        <v>0</v>
      </c>
      <c r="BJ281" s="18" t="s">
        <v>77</v>
      </c>
      <c r="BK281" s="145">
        <f>ROUND(I281*H281,2)</f>
        <v>0</v>
      </c>
      <c r="BL281" s="18" t="s">
        <v>158</v>
      </c>
      <c r="BM281" s="144" t="s">
        <v>461</v>
      </c>
    </row>
    <row r="282" spans="2:65" s="1" customFormat="1" ht="11.25">
      <c r="B282" s="33"/>
      <c r="D282" s="146" t="s">
        <v>160</v>
      </c>
      <c r="F282" s="147" t="s">
        <v>462</v>
      </c>
      <c r="I282" s="148"/>
      <c r="L282" s="33"/>
      <c r="M282" s="149"/>
      <c r="T282" s="54"/>
      <c r="AT282" s="18" t="s">
        <v>160</v>
      </c>
      <c r="AU282" s="18" t="s">
        <v>79</v>
      </c>
    </row>
    <row r="283" spans="2:65" s="1" customFormat="1" ht="24.2" customHeight="1">
      <c r="B283" s="132"/>
      <c r="C283" s="133" t="s">
        <v>463</v>
      </c>
      <c r="D283" s="133" t="s">
        <v>153</v>
      </c>
      <c r="E283" s="134" t="s">
        <v>464</v>
      </c>
      <c r="F283" s="135" t="s">
        <v>465</v>
      </c>
      <c r="G283" s="136" t="s">
        <v>183</v>
      </c>
      <c r="H283" s="137">
        <v>600</v>
      </c>
      <c r="I283" s="138"/>
      <c r="J283" s="139">
        <f>ROUND(I283*H283,2)</f>
        <v>0</v>
      </c>
      <c r="K283" s="135" t="s">
        <v>157</v>
      </c>
      <c r="L283" s="33"/>
      <c r="M283" s="140" t="s">
        <v>3</v>
      </c>
      <c r="N283" s="141" t="s">
        <v>40</v>
      </c>
      <c r="P283" s="142">
        <f>O283*H283</f>
        <v>0</v>
      </c>
      <c r="Q283" s="142">
        <v>0</v>
      </c>
      <c r="R283" s="142">
        <f>Q283*H283</f>
        <v>0</v>
      </c>
      <c r="S283" s="142">
        <v>0</v>
      </c>
      <c r="T283" s="143">
        <f>S283*H283</f>
        <v>0</v>
      </c>
      <c r="AR283" s="144" t="s">
        <v>158</v>
      </c>
      <c r="AT283" s="144" t="s">
        <v>153</v>
      </c>
      <c r="AU283" s="144" t="s">
        <v>79</v>
      </c>
      <c r="AY283" s="18" t="s">
        <v>151</v>
      </c>
      <c r="BE283" s="145">
        <f>IF(N283="základní",J283,0)</f>
        <v>0</v>
      </c>
      <c r="BF283" s="145">
        <f>IF(N283="snížená",J283,0)</f>
        <v>0</v>
      </c>
      <c r="BG283" s="145">
        <f>IF(N283="zákl. přenesená",J283,0)</f>
        <v>0</v>
      </c>
      <c r="BH283" s="145">
        <f>IF(N283="sníž. přenesená",J283,0)</f>
        <v>0</v>
      </c>
      <c r="BI283" s="145">
        <f>IF(N283="nulová",J283,0)</f>
        <v>0</v>
      </c>
      <c r="BJ283" s="18" t="s">
        <v>77</v>
      </c>
      <c r="BK283" s="145">
        <f>ROUND(I283*H283,2)</f>
        <v>0</v>
      </c>
      <c r="BL283" s="18" t="s">
        <v>158</v>
      </c>
      <c r="BM283" s="144" t="s">
        <v>466</v>
      </c>
    </row>
    <row r="284" spans="2:65" s="1" customFormat="1" ht="11.25">
      <c r="B284" s="33"/>
      <c r="D284" s="146" t="s">
        <v>160</v>
      </c>
      <c r="F284" s="147" t="s">
        <v>467</v>
      </c>
      <c r="I284" s="148"/>
      <c r="L284" s="33"/>
      <c r="M284" s="149"/>
      <c r="T284" s="54"/>
      <c r="AT284" s="18" t="s">
        <v>160</v>
      </c>
      <c r="AU284" s="18" t="s">
        <v>79</v>
      </c>
    </row>
    <row r="285" spans="2:65" s="12" customFormat="1" ht="11.25">
      <c r="B285" s="150"/>
      <c r="D285" s="151" t="s">
        <v>162</v>
      </c>
      <c r="E285" s="152" t="s">
        <v>3</v>
      </c>
      <c r="F285" s="153" t="s">
        <v>468</v>
      </c>
      <c r="H285" s="154">
        <v>600</v>
      </c>
      <c r="I285" s="155"/>
      <c r="L285" s="150"/>
      <c r="M285" s="156"/>
      <c r="T285" s="157"/>
      <c r="AT285" s="152" t="s">
        <v>162</v>
      </c>
      <c r="AU285" s="152" t="s">
        <v>79</v>
      </c>
      <c r="AV285" s="12" t="s">
        <v>79</v>
      </c>
      <c r="AW285" s="12" t="s">
        <v>30</v>
      </c>
      <c r="AX285" s="12" t="s">
        <v>77</v>
      </c>
      <c r="AY285" s="152" t="s">
        <v>151</v>
      </c>
    </row>
    <row r="286" spans="2:65" s="1" customFormat="1" ht="24.2" customHeight="1">
      <c r="B286" s="132"/>
      <c r="C286" s="133" t="s">
        <v>469</v>
      </c>
      <c r="D286" s="133" t="s">
        <v>153</v>
      </c>
      <c r="E286" s="134" t="s">
        <v>470</v>
      </c>
      <c r="F286" s="135" t="s">
        <v>471</v>
      </c>
      <c r="G286" s="136" t="s">
        <v>183</v>
      </c>
      <c r="H286" s="137">
        <v>30</v>
      </c>
      <c r="I286" s="138"/>
      <c r="J286" s="139">
        <f>ROUND(I286*H286,2)</f>
        <v>0</v>
      </c>
      <c r="K286" s="135" t="s">
        <v>157</v>
      </c>
      <c r="L286" s="33"/>
      <c r="M286" s="140" t="s">
        <v>3</v>
      </c>
      <c r="N286" s="141" t="s">
        <v>40</v>
      </c>
      <c r="P286" s="142">
        <f>O286*H286</f>
        <v>0</v>
      </c>
      <c r="Q286" s="142">
        <v>0</v>
      </c>
      <c r="R286" s="142">
        <f>Q286*H286</f>
        <v>0</v>
      </c>
      <c r="S286" s="142">
        <v>0</v>
      </c>
      <c r="T286" s="143">
        <f>S286*H286</f>
        <v>0</v>
      </c>
      <c r="AR286" s="144" t="s">
        <v>158</v>
      </c>
      <c r="AT286" s="144" t="s">
        <v>153</v>
      </c>
      <c r="AU286" s="144" t="s">
        <v>79</v>
      </c>
      <c r="AY286" s="18" t="s">
        <v>151</v>
      </c>
      <c r="BE286" s="145">
        <f>IF(N286="základní",J286,0)</f>
        <v>0</v>
      </c>
      <c r="BF286" s="145">
        <f>IF(N286="snížená",J286,0)</f>
        <v>0</v>
      </c>
      <c r="BG286" s="145">
        <f>IF(N286="zákl. přenesená",J286,0)</f>
        <v>0</v>
      </c>
      <c r="BH286" s="145">
        <f>IF(N286="sníž. přenesená",J286,0)</f>
        <v>0</v>
      </c>
      <c r="BI286" s="145">
        <f>IF(N286="nulová",J286,0)</f>
        <v>0</v>
      </c>
      <c r="BJ286" s="18" t="s">
        <v>77</v>
      </c>
      <c r="BK286" s="145">
        <f>ROUND(I286*H286,2)</f>
        <v>0</v>
      </c>
      <c r="BL286" s="18" t="s">
        <v>158</v>
      </c>
      <c r="BM286" s="144" t="s">
        <v>472</v>
      </c>
    </row>
    <row r="287" spans="2:65" s="1" customFormat="1" ht="11.25">
      <c r="B287" s="33"/>
      <c r="D287" s="146" t="s">
        <v>160</v>
      </c>
      <c r="F287" s="147" t="s">
        <v>473</v>
      </c>
      <c r="I287" s="148"/>
      <c r="L287" s="33"/>
      <c r="M287" s="149"/>
      <c r="T287" s="54"/>
      <c r="AT287" s="18" t="s">
        <v>160</v>
      </c>
      <c r="AU287" s="18" t="s">
        <v>79</v>
      </c>
    </row>
    <row r="288" spans="2:65" s="11" customFormat="1" ht="22.9" customHeight="1">
      <c r="B288" s="120"/>
      <c r="D288" s="121" t="s">
        <v>68</v>
      </c>
      <c r="E288" s="130" t="s">
        <v>474</v>
      </c>
      <c r="F288" s="130" t="s">
        <v>475</v>
      </c>
      <c r="I288" s="123"/>
      <c r="J288" s="131">
        <f>BK288</f>
        <v>0</v>
      </c>
      <c r="L288" s="120"/>
      <c r="M288" s="125"/>
      <c r="P288" s="126">
        <f>SUM(P289:P307)</f>
        <v>0</v>
      </c>
      <c r="R288" s="126">
        <f>SUM(R289:R307)</f>
        <v>0</v>
      </c>
      <c r="T288" s="127">
        <f>SUM(T289:T307)</f>
        <v>0</v>
      </c>
      <c r="AR288" s="121" t="s">
        <v>77</v>
      </c>
      <c r="AT288" s="128" t="s">
        <v>68</v>
      </c>
      <c r="AU288" s="128" t="s">
        <v>77</v>
      </c>
      <c r="AY288" s="121" t="s">
        <v>151</v>
      </c>
      <c r="BK288" s="129">
        <f>SUM(BK289:BK307)</f>
        <v>0</v>
      </c>
    </row>
    <row r="289" spans="2:65" s="1" customFormat="1" ht="24.2" customHeight="1">
      <c r="B289" s="132"/>
      <c r="C289" s="332" t="s">
        <v>476</v>
      </c>
      <c r="D289" s="332" t="s">
        <v>153</v>
      </c>
      <c r="E289" s="333" t="s">
        <v>477</v>
      </c>
      <c r="F289" s="334" t="s">
        <v>478</v>
      </c>
      <c r="G289" s="335" t="s">
        <v>479</v>
      </c>
      <c r="H289" s="336">
        <v>44048</v>
      </c>
      <c r="I289" s="138"/>
      <c r="J289" s="139">
        <f t="shared" ref="J289:J307" si="0">ROUND(I289*H289,2)</f>
        <v>0</v>
      </c>
      <c r="K289" s="135" t="s">
        <v>3</v>
      </c>
      <c r="L289" s="33"/>
      <c r="M289" s="140" t="s">
        <v>3</v>
      </c>
      <c r="N289" s="141" t="s">
        <v>40</v>
      </c>
      <c r="P289" s="142">
        <f t="shared" ref="P289:P307" si="1">O289*H289</f>
        <v>0</v>
      </c>
      <c r="Q289" s="142">
        <v>0</v>
      </c>
      <c r="R289" s="142">
        <f t="shared" ref="R289:R307" si="2">Q289*H289</f>
        <v>0</v>
      </c>
      <c r="S289" s="142">
        <v>0</v>
      </c>
      <c r="T289" s="143">
        <f t="shared" ref="T289:T307" si="3">S289*H289</f>
        <v>0</v>
      </c>
      <c r="AR289" s="144" t="s">
        <v>158</v>
      </c>
      <c r="AT289" s="144" t="s">
        <v>153</v>
      </c>
      <c r="AU289" s="144" t="s">
        <v>79</v>
      </c>
      <c r="AY289" s="18" t="s">
        <v>151</v>
      </c>
      <c r="BE289" s="145">
        <f t="shared" ref="BE289:BE307" si="4">IF(N289="základní",J289,0)</f>
        <v>0</v>
      </c>
      <c r="BF289" s="145">
        <f t="shared" ref="BF289:BF307" si="5">IF(N289="snížená",J289,0)</f>
        <v>0</v>
      </c>
      <c r="BG289" s="145">
        <f t="shared" ref="BG289:BG307" si="6">IF(N289="zákl. přenesená",J289,0)</f>
        <v>0</v>
      </c>
      <c r="BH289" s="145">
        <f t="shared" ref="BH289:BH307" si="7">IF(N289="sníž. přenesená",J289,0)</f>
        <v>0</v>
      </c>
      <c r="BI289" s="145">
        <f t="shared" ref="BI289:BI307" si="8">IF(N289="nulová",J289,0)</f>
        <v>0</v>
      </c>
      <c r="BJ289" s="18" t="s">
        <v>77</v>
      </c>
      <c r="BK289" s="145">
        <f t="shared" ref="BK289:BK307" si="9">ROUND(I289*H289,2)</f>
        <v>0</v>
      </c>
      <c r="BL289" s="18" t="s">
        <v>158</v>
      </c>
      <c r="BM289" s="144" t="s">
        <v>480</v>
      </c>
    </row>
    <row r="290" spans="2:65" s="1" customFormat="1" ht="16.5" customHeight="1">
      <c r="B290" s="132"/>
      <c r="C290" s="133" t="s">
        <v>481</v>
      </c>
      <c r="D290" s="133" t="s">
        <v>153</v>
      </c>
      <c r="E290" s="134" t="s">
        <v>482</v>
      </c>
      <c r="F290" s="135" t="s">
        <v>483</v>
      </c>
      <c r="G290" s="136" t="s">
        <v>484</v>
      </c>
      <c r="H290" s="137">
        <v>18</v>
      </c>
      <c r="I290" s="138"/>
      <c r="J290" s="139">
        <f t="shared" si="0"/>
        <v>0</v>
      </c>
      <c r="K290" s="135" t="s">
        <v>3</v>
      </c>
      <c r="L290" s="33"/>
      <c r="M290" s="140" t="s">
        <v>3</v>
      </c>
      <c r="N290" s="141" t="s">
        <v>40</v>
      </c>
      <c r="P290" s="142">
        <f t="shared" si="1"/>
        <v>0</v>
      </c>
      <c r="Q290" s="142">
        <v>0</v>
      </c>
      <c r="R290" s="142">
        <f t="shared" si="2"/>
        <v>0</v>
      </c>
      <c r="S290" s="142">
        <v>0</v>
      </c>
      <c r="T290" s="143">
        <f t="shared" si="3"/>
        <v>0</v>
      </c>
      <c r="AR290" s="144" t="s">
        <v>158</v>
      </c>
      <c r="AT290" s="144" t="s">
        <v>153</v>
      </c>
      <c r="AU290" s="144" t="s">
        <v>79</v>
      </c>
      <c r="AY290" s="18" t="s">
        <v>151</v>
      </c>
      <c r="BE290" s="145">
        <f t="shared" si="4"/>
        <v>0</v>
      </c>
      <c r="BF290" s="145">
        <f t="shared" si="5"/>
        <v>0</v>
      </c>
      <c r="BG290" s="145">
        <f t="shared" si="6"/>
        <v>0</v>
      </c>
      <c r="BH290" s="145">
        <f t="shared" si="7"/>
        <v>0</v>
      </c>
      <c r="BI290" s="145">
        <f t="shared" si="8"/>
        <v>0</v>
      </c>
      <c r="BJ290" s="18" t="s">
        <v>77</v>
      </c>
      <c r="BK290" s="145">
        <f t="shared" si="9"/>
        <v>0</v>
      </c>
      <c r="BL290" s="18" t="s">
        <v>158</v>
      </c>
      <c r="BM290" s="144" t="s">
        <v>485</v>
      </c>
    </row>
    <row r="291" spans="2:65" s="1" customFormat="1" ht="21.75" customHeight="1">
      <c r="B291" s="132"/>
      <c r="C291" s="133" t="s">
        <v>486</v>
      </c>
      <c r="D291" s="133" t="s">
        <v>153</v>
      </c>
      <c r="E291" s="134" t="s">
        <v>487</v>
      </c>
      <c r="F291" s="135" t="s">
        <v>488</v>
      </c>
      <c r="G291" s="136" t="s">
        <v>484</v>
      </c>
      <c r="H291" s="137">
        <v>6</v>
      </c>
      <c r="I291" s="138"/>
      <c r="J291" s="139">
        <f t="shared" si="0"/>
        <v>0</v>
      </c>
      <c r="K291" s="135" t="s">
        <v>3</v>
      </c>
      <c r="L291" s="33"/>
      <c r="M291" s="140" t="s">
        <v>3</v>
      </c>
      <c r="N291" s="141" t="s">
        <v>40</v>
      </c>
      <c r="P291" s="142">
        <f t="shared" si="1"/>
        <v>0</v>
      </c>
      <c r="Q291" s="142">
        <v>0</v>
      </c>
      <c r="R291" s="142">
        <f t="shared" si="2"/>
        <v>0</v>
      </c>
      <c r="S291" s="142">
        <v>0</v>
      </c>
      <c r="T291" s="143">
        <f t="shared" si="3"/>
        <v>0</v>
      </c>
      <c r="AR291" s="144" t="s">
        <v>158</v>
      </c>
      <c r="AT291" s="144" t="s">
        <v>153</v>
      </c>
      <c r="AU291" s="144" t="s">
        <v>79</v>
      </c>
      <c r="AY291" s="18" t="s">
        <v>151</v>
      </c>
      <c r="BE291" s="145">
        <f t="shared" si="4"/>
        <v>0</v>
      </c>
      <c r="BF291" s="145">
        <f t="shared" si="5"/>
        <v>0</v>
      </c>
      <c r="BG291" s="145">
        <f t="shared" si="6"/>
        <v>0</v>
      </c>
      <c r="BH291" s="145">
        <f t="shared" si="7"/>
        <v>0</v>
      </c>
      <c r="BI291" s="145">
        <f t="shared" si="8"/>
        <v>0</v>
      </c>
      <c r="BJ291" s="18" t="s">
        <v>77</v>
      </c>
      <c r="BK291" s="145">
        <f t="shared" si="9"/>
        <v>0</v>
      </c>
      <c r="BL291" s="18" t="s">
        <v>158</v>
      </c>
      <c r="BM291" s="144" t="s">
        <v>489</v>
      </c>
    </row>
    <row r="292" spans="2:65" s="1" customFormat="1" ht="24.2" customHeight="1">
      <c r="B292" s="132"/>
      <c r="C292" s="133" t="s">
        <v>490</v>
      </c>
      <c r="D292" s="133" t="s">
        <v>153</v>
      </c>
      <c r="E292" s="134" t="s">
        <v>491</v>
      </c>
      <c r="F292" s="135" t="s">
        <v>492</v>
      </c>
      <c r="G292" s="136" t="s">
        <v>493</v>
      </c>
      <c r="H292" s="137">
        <v>650</v>
      </c>
      <c r="I292" s="138"/>
      <c r="J292" s="139">
        <f t="shared" si="0"/>
        <v>0</v>
      </c>
      <c r="K292" s="135" t="s">
        <v>3</v>
      </c>
      <c r="L292" s="33"/>
      <c r="M292" s="140" t="s">
        <v>3</v>
      </c>
      <c r="N292" s="141" t="s">
        <v>40</v>
      </c>
      <c r="P292" s="142">
        <f t="shared" si="1"/>
        <v>0</v>
      </c>
      <c r="Q292" s="142">
        <v>0</v>
      </c>
      <c r="R292" s="142">
        <f t="shared" si="2"/>
        <v>0</v>
      </c>
      <c r="S292" s="142">
        <v>0</v>
      </c>
      <c r="T292" s="143">
        <f t="shared" si="3"/>
        <v>0</v>
      </c>
      <c r="AR292" s="144" t="s">
        <v>158</v>
      </c>
      <c r="AT292" s="144" t="s">
        <v>153</v>
      </c>
      <c r="AU292" s="144" t="s">
        <v>79</v>
      </c>
      <c r="AY292" s="18" t="s">
        <v>151</v>
      </c>
      <c r="BE292" s="145">
        <f t="shared" si="4"/>
        <v>0</v>
      </c>
      <c r="BF292" s="145">
        <f t="shared" si="5"/>
        <v>0</v>
      </c>
      <c r="BG292" s="145">
        <f t="shared" si="6"/>
        <v>0</v>
      </c>
      <c r="BH292" s="145">
        <f t="shared" si="7"/>
        <v>0</v>
      </c>
      <c r="BI292" s="145">
        <f t="shared" si="8"/>
        <v>0</v>
      </c>
      <c r="BJ292" s="18" t="s">
        <v>77</v>
      </c>
      <c r="BK292" s="145">
        <f t="shared" si="9"/>
        <v>0</v>
      </c>
      <c r="BL292" s="18" t="s">
        <v>158</v>
      </c>
      <c r="BM292" s="144" t="s">
        <v>494</v>
      </c>
    </row>
    <row r="293" spans="2:65" s="1" customFormat="1" ht="24.2" customHeight="1">
      <c r="B293" s="132"/>
      <c r="C293" s="133" t="s">
        <v>495</v>
      </c>
      <c r="D293" s="133" t="s">
        <v>153</v>
      </c>
      <c r="E293" s="134" t="s">
        <v>496</v>
      </c>
      <c r="F293" s="135" t="s">
        <v>497</v>
      </c>
      <c r="G293" s="136" t="s">
        <v>230</v>
      </c>
      <c r="H293" s="137">
        <v>625</v>
      </c>
      <c r="I293" s="138"/>
      <c r="J293" s="139">
        <f t="shared" si="0"/>
        <v>0</v>
      </c>
      <c r="K293" s="135" t="s">
        <v>3</v>
      </c>
      <c r="L293" s="33"/>
      <c r="M293" s="140" t="s">
        <v>3</v>
      </c>
      <c r="N293" s="141" t="s">
        <v>40</v>
      </c>
      <c r="P293" s="142">
        <f t="shared" si="1"/>
        <v>0</v>
      </c>
      <c r="Q293" s="142">
        <v>0</v>
      </c>
      <c r="R293" s="142">
        <f t="shared" si="2"/>
        <v>0</v>
      </c>
      <c r="S293" s="142">
        <v>0</v>
      </c>
      <c r="T293" s="143">
        <f t="shared" si="3"/>
        <v>0</v>
      </c>
      <c r="AR293" s="144" t="s">
        <v>158</v>
      </c>
      <c r="AT293" s="144" t="s">
        <v>153</v>
      </c>
      <c r="AU293" s="144" t="s">
        <v>79</v>
      </c>
      <c r="AY293" s="18" t="s">
        <v>151</v>
      </c>
      <c r="BE293" s="145">
        <f t="shared" si="4"/>
        <v>0</v>
      </c>
      <c r="BF293" s="145">
        <f t="shared" si="5"/>
        <v>0</v>
      </c>
      <c r="BG293" s="145">
        <f t="shared" si="6"/>
        <v>0</v>
      </c>
      <c r="BH293" s="145">
        <f t="shared" si="7"/>
        <v>0</v>
      </c>
      <c r="BI293" s="145">
        <f t="shared" si="8"/>
        <v>0</v>
      </c>
      <c r="BJ293" s="18" t="s">
        <v>77</v>
      </c>
      <c r="BK293" s="145">
        <f t="shared" si="9"/>
        <v>0</v>
      </c>
      <c r="BL293" s="18" t="s">
        <v>158</v>
      </c>
      <c r="BM293" s="144" t="s">
        <v>498</v>
      </c>
    </row>
    <row r="294" spans="2:65" s="1" customFormat="1" ht="16.5" customHeight="1">
      <c r="B294" s="132"/>
      <c r="C294" s="133" t="s">
        <v>499</v>
      </c>
      <c r="D294" s="133" t="s">
        <v>153</v>
      </c>
      <c r="E294" s="134" t="s">
        <v>500</v>
      </c>
      <c r="F294" s="135" t="s">
        <v>501</v>
      </c>
      <c r="G294" s="136" t="s">
        <v>230</v>
      </c>
      <c r="H294" s="137">
        <v>750</v>
      </c>
      <c r="I294" s="138"/>
      <c r="J294" s="139">
        <f t="shared" si="0"/>
        <v>0</v>
      </c>
      <c r="K294" s="135" t="s">
        <v>3</v>
      </c>
      <c r="L294" s="33"/>
      <c r="M294" s="140" t="s">
        <v>3</v>
      </c>
      <c r="N294" s="141" t="s">
        <v>40</v>
      </c>
      <c r="P294" s="142">
        <f t="shared" si="1"/>
        <v>0</v>
      </c>
      <c r="Q294" s="142">
        <v>0</v>
      </c>
      <c r="R294" s="142">
        <f t="shared" si="2"/>
        <v>0</v>
      </c>
      <c r="S294" s="142">
        <v>0</v>
      </c>
      <c r="T294" s="143">
        <f t="shared" si="3"/>
        <v>0</v>
      </c>
      <c r="AR294" s="144" t="s">
        <v>158</v>
      </c>
      <c r="AT294" s="144" t="s">
        <v>153</v>
      </c>
      <c r="AU294" s="144" t="s">
        <v>79</v>
      </c>
      <c r="AY294" s="18" t="s">
        <v>151</v>
      </c>
      <c r="BE294" s="145">
        <f t="shared" si="4"/>
        <v>0</v>
      </c>
      <c r="BF294" s="145">
        <f t="shared" si="5"/>
        <v>0</v>
      </c>
      <c r="BG294" s="145">
        <f t="shared" si="6"/>
        <v>0</v>
      </c>
      <c r="BH294" s="145">
        <f t="shared" si="7"/>
        <v>0</v>
      </c>
      <c r="BI294" s="145">
        <f t="shared" si="8"/>
        <v>0</v>
      </c>
      <c r="BJ294" s="18" t="s">
        <v>77</v>
      </c>
      <c r="BK294" s="145">
        <f t="shared" si="9"/>
        <v>0</v>
      </c>
      <c r="BL294" s="18" t="s">
        <v>158</v>
      </c>
      <c r="BM294" s="144" t="s">
        <v>502</v>
      </c>
    </row>
    <row r="295" spans="2:65" s="1" customFormat="1" ht="16.5" customHeight="1">
      <c r="B295" s="132"/>
      <c r="C295" s="133" t="s">
        <v>503</v>
      </c>
      <c r="D295" s="133" t="s">
        <v>153</v>
      </c>
      <c r="E295" s="134" t="s">
        <v>504</v>
      </c>
      <c r="F295" s="135" t="s">
        <v>505</v>
      </c>
      <c r="G295" s="136" t="s">
        <v>230</v>
      </c>
      <c r="H295" s="137">
        <v>345</v>
      </c>
      <c r="I295" s="138"/>
      <c r="J295" s="139">
        <f t="shared" si="0"/>
        <v>0</v>
      </c>
      <c r="K295" s="135" t="s">
        <v>3</v>
      </c>
      <c r="L295" s="33"/>
      <c r="M295" s="140" t="s">
        <v>3</v>
      </c>
      <c r="N295" s="141" t="s">
        <v>40</v>
      </c>
      <c r="P295" s="142">
        <f t="shared" si="1"/>
        <v>0</v>
      </c>
      <c r="Q295" s="142">
        <v>0</v>
      </c>
      <c r="R295" s="142">
        <f t="shared" si="2"/>
        <v>0</v>
      </c>
      <c r="S295" s="142">
        <v>0</v>
      </c>
      <c r="T295" s="143">
        <f t="shared" si="3"/>
        <v>0</v>
      </c>
      <c r="AR295" s="144" t="s">
        <v>158</v>
      </c>
      <c r="AT295" s="144" t="s">
        <v>153</v>
      </c>
      <c r="AU295" s="144" t="s">
        <v>79</v>
      </c>
      <c r="AY295" s="18" t="s">
        <v>151</v>
      </c>
      <c r="BE295" s="145">
        <f t="shared" si="4"/>
        <v>0</v>
      </c>
      <c r="BF295" s="145">
        <f t="shared" si="5"/>
        <v>0</v>
      </c>
      <c r="BG295" s="145">
        <f t="shared" si="6"/>
        <v>0</v>
      </c>
      <c r="BH295" s="145">
        <f t="shared" si="7"/>
        <v>0</v>
      </c>
      <c r="BI295" s="145">
        <f t="shared" si="8"/>
        <v>0</v>
      </c>
      <c r="BJ295" s="18" t="s">
        <v>77</v>
      </c>
      <c r="BK295" s="145">
        <f t="shared" si="9"/>
        <v>0</v>
      </c>
      <c r="BL295" s="18" t="s">
        <v>158</v>
      </c>
      <c r="BM295" s="144" t="s">
        <v>506</v>
      </c>
    </row>
    <row r="296" spans="2:65" s="1" customFormat="1" ht="21.75" customHeight="1">
      <c r="B296" s="132"/>
      <c r="C296" s="133" t="s">
        <v>507</v>
      </c>
      <c r="D296" s="133" t="s">
        <v>153</v>
      </c>
      <c r="E296" s="134" t="s">
        <v>508</v>
      </c>
      <c r="F296" s="135" t="s">
        <v>509</v>
      </c>
      <c r="G296" s="136" t="s">
        <v>230</v>
      </c>
      <c r="H296" s="137">
        <v>155</v>
      </c>
      <c r="I296" s="138"/>
      <c r="J296" s="139">
        <f t="shared" si="0"/>
        <v>0</v>
      </c>
      <c r="K296" s="135" t="s">
        <v>3</v>
      </c>
      <c r="L296" s="33"/>
      <c r="M296" s="140" t="s">
        <v>3</v>
      </c>
      <c r="N296" s="141" t="s">
        <v>40</v>
      </c>
      <c r="P296" s="142">
        <f t="shared" si="1"/>
        <v>0</v>
      </c>
      <c r="Q296" s="142">
        <v>0</v>
      </c>
      <c r="R296" s="142">
        <f t="shared" si="2"/>
        <v>0</v>
      </c>
      <c r="S296" s="142">
        <v>0</v>
      </c>
      <c r="T296" s="143">
        <f t="shared" si="3"/>
        <v>0</v>
      </c>
      <c r="AR296" s="144" t="s">
        <v>158</v>
      </c>
      <c r="AT296" s="144" t="s">
        <v>153</v>
      </c>
      <c r="AU296" s="144" t="s">
        <v>79</v>
      </c>
      <c r="AY296" s="18" t="s">
        <v>151</v>
      </c>
      <c r="BE296" s="145">
        <f t="shared" si="4"/>
        <v>0</v>
      </c>
      <c r="BF296" s="145">
        <f t="shared" si="5"/>
        <v>0</v>
      </c>
      <c r="BG296" s="145">
        <f t="shared" si="6"/>
        <v>0</v>
      </c>
      <c r="BH296" s="145">
        <f t="shared" si="7"/>
        <v>0</v>
      </c>
      <c r="BI296" s="145">
        <f t="shared" si="8"/>
        <v>0</v>
      </c>
      <c r="BJ296" s="18" t="s">
        <v>77</v>
      </c>
      <c r="BK296" s="145">
        <f t="shared" si="9"/>
        <v>0</v>
      </c>
      <c r="BL296" s="18" t="s">
        <v>158</v>
      </c>
      <c r="BM296" s="144" t="s">
        <v>510</v>
      </c>
    </row>
    <row r="297" spans="2:65" s="1" customFormat="1" ht="24.2" customHeight="1">
      <c r="B297" s="132"/>
      <c r="C297" s="133" t="s">
        <v>511</v>
      </c>
      <c r="D297" s="133" t="s">
        <v>153</v>
      </c>
      <c r="E297" s="134" t="s">
        <v>512</v>
      </c>
      <c r="F297" s="135" t="s">
        <v>513</v>
      </c>
      <c r="G297" s="136" t="s">
        <v>514</v>
      </c>
      <c r="H297" s="137">
        <v>1241.22</v>
      </c>
      <c r="I297" s="138"/>
      <c r="J297" s="139">
        <f t="shared" si="0"/>
        <v>0</v>
      </c>
      <c r="K297" s="135" t="s">
        <v>3</v>
      </c>
      <c r="L297" s="33"/>
      <c r="M297" s="140" t="s">
        <v>3</v>
      </c>
      <c r="N297" s="141" t="s">
        <v>40</v>
      </c>
      <c r="P297" s="142">
        <f t="shared" si="1"/>
        <v>0</v>
      </c>
      <c r="Q297" s="142">
        <v>0</v>
      </c>
      <c r="R297" s="142">
        <f t="shared" si="2"/>
        <v>0</v>
      </c>
      <c r="S297" s="142">
        <v>0</v>
      </c>
      <c r="T297" s="143">
        <f t="shared" si="3"/>
        <v>0</v>
      </c>
      <c r="AR297" s="144" t="s">
        <v>158</v>
      </c>
      <c r="AT297" s="144" t="s">
        <v>153</v>
      </c>
      <c r="AU297" s="144" t="s">
        <v>79</v>
      </c>
      <c r="AY297" s="18" t="s">
        <v>151</v>
      </c>
      <c r="BE297" s="145">
        <f t="shared" si="4"/>
        <v>0</v>
      </c>
      <c r="BF297" s="145">
        <f t="shared" si="5"/>
        <v>0</v>
      </c>
      <c r="BG297" s="145">
        <f t="shared" si="6"/>
        <v>0</v>
      </c>
      <c r="BH297" s="145">
        <f t="shared" si="7"/>
        <v>0</v>
      </c>
      <c r="BI297" s="145">
        <f t="shared" si="8"/>
        <v>0</v>
      </c>
      <c r="BJ297" s="18" t="s">
        <v>77</v>
      </c>
      <c r="BK297" s="145">
        <f t="shared" si="9"/>
        <v>0</v>
      </c>
      <c r="BL297" s="18" t="s">
        <v>158</v>
      </c>
      <c r="BM297" s="144" t="s">
        <v>515</v>
      </c>
    </row>
    <row r="298" spans="2:65" s="1" customFormat="1" ht="16.5" customHeight="1">
      <c r="B298" s="132"/>
      <c r="C298" s="133" t="s">
        <v>516</v>
      </c>
      <c r="D298" s="133" t="s">
        <v>153</v>
      </c>
      <c r="E298" s="134" t="s">
        <v>517</v>
      </c>
      <c r="F298" s="135" t="s">
        <v>518</v>
      </c>
      <c r="G298" s="136" t="s">
        <v>514</v>
      </c>
      <c r="H298" s="137">
        <v>1241.22</v>
      </c>
      <c r="I298" s="138"/>
      <c r="J298" s="139">
        <f t="shared" si="0"/>
        <v>0</v>
      </c>
      <c r="K298" s="135" t="s">
        <v>3</v>
      </c>
      <c r="L298" s="33"/>
      <c r="M298" s="140" t="s">
        <v>3</v>
      </c>
      <c r="N298" s="141" t="s">
        <v>40</v>
      </c>
      <c r="P298" s="142">
        <f t="shared" si="1"/>
        <v>0</v>
      </c>
      <c r="Q298" s="142">
        <v>0</v>
      </c>
      <c r="R298" s="142">
        <f t="shared" si="2"/>
        <v>0</v>
      </c>
      <c r="S298" s="142">
        <v>0</v>
      </c>
      <c r="T298" s="143">
        <f t="shared" si="3"/>
        <v>0</v>
      </c>
      <c r="AR298" s="144" t="s">
        <v>158</v>
      </c>
      <c r="AT298" s="144" t="s">
        <v>153</v>
      </c>
      <c r="AU298" s="144" t="s">
        <v>79</v>
      </c>
      <c r="AY298" s="18" t="s">
        <v>151</v>
      </c>
      <c r="BE298" s="145">
        <f t="shared" si="4"/>
        <v>0</v>
      </c>
      <c r="BF298" s="145">
        <f t="shared" si="5"/>
        <v>0</v>
      </c>
      <c r="BG298" s="145">
        <f t="shared" si="6"/>
        <v>0</v>
      </c>
      <c r="BH298" s="145">
        <f t="shared" si="7"/>
        <v>0</v>
      </c>
      <c r="BI298" s="145">
        <f t="shared" si="8"/>
        <v>0</v>
      </c>
      <c r="BJ298" s="18" t="s">
        <v>77</v>
      </c>
      <c r="BK298" s="145">
        <f t="shared" si="9"/>
        <v>0</v>
      </c>
      <c r="BL298" s="18" t="s">
        <v>158</v>
      </c>
      <c r="BM298" s="144" t="s">
        <v>519</v>
      </c>
    </row>
    <row r="299" spans="2:65" s="1" customFormat="1" ht="16.5" customHeight="1">
      <c r="B299" s="132"/>
      <c r="C299" s="133" t="s">
        <v>520</v>
      </c>
      <c r="D299" s="133" t="s">
        <v>153</v>
      </c>
      <c r="E299" s="134" t="s">
        <v>521</v>
      </c>
      <c r="F299" s="135" t="s">
        <v>522</v>
      </c>
      <c r="G299" s="136" t="s">
        <v>523</v>
      </c>
      <c r="H299" s="137">
        <v>1</v>
      </c>
      <c r="I299" s="138"/>
      <c r="J299" s="139">
        <f t="shared" si="0"/>
        <v>0</v>
      </c>
      <c r="K299" s="135" t="s">
        <v>3</v>
      </c>
      <c r="L299" s="33"/>
      <c r="M299" s="140" t="s">
        <v>3</v>
      </c>
      <c r="N299" s="141" t="s">
        <v>40</v>
      </c>
      <c r="P299" s="142">
        <f t="shared" si="1"/>
        <v>0</v>
      </c>
      <c r="Q299" s="142">
        <v>0</v>
      </c>
      <c r="R299" s="142">
        <f t="shared" si="2"/>
        <v>0</v>
      </c>
      <c r="S299" s="142">
        <v>0</v>
      </c>
      <c r="T299" s="143">
        <f t="shared" si="3"/>
        <v>0</v>
      </c>
      <c r="AR299" s="144" t="s">
        <v>158</v>
      </c>
      <c r="AT299" s="144" t="s">
        <v>153</v>
      </c>
      <c r="AU299" s="144" t="s">
        <v>79</v>
      </c>
      <c r="AY299" s="18" t="s">
        <v>151</v>
      </c>
      <c r="BE299" s="145">
        <f t="shared" si="4"/>
        <v>0</v>
      </c>
      <c r="BF299" s="145">
        <f t="shared" si="5"/>
        <v>0</v>
      </c>
      <c r="BG299" s="145">
        <f t="shared" si="6"/>
        <v>0</v>
      </c>
      <c r="BH299" s="145">
        <f t="shared" si="7"/>
        <v>0</v>
      </c>
      <c r="BI299" s="145">
        <f t="shared" si="8"/>
        <v>0</v>
      </c>
      <c r="BJ299" s="18" t="s">
        <v>77</v>
      </c>
      <c r="BK299" s="145">
        <f t="shared" si="9"/>
        <v>0</v>
      </c>
      <c r="BL299" s="18" t="s">
        <v>158</v>
      </c>
      <c r="BM299" s="144" t="s">
        <v>524</v>
      </c>
    </row>
    <row r="300" spans="2:65" s="1" customFormat="1" ht="16.5" customHeight="1">
      <c r="B300" s="132"/>
      <c r="C300" s="133" t="s">
        <v>525</v>
      </c>
      <c r="D300" s="133" t="s">
        <v>153</v>
      </c>
      <c r="E300" s="134" t="s">
        <v>526</v>
      </c>
      <c r="F300" s="135" t="s">
        <v>527</v>
      </c>
      <c r="G300" s="136" t="s">
        <v>523</v>
      </c>
      <c r="H300" s="137">
        <v>1</v>
      </c>
      <c r="I300" s="138"/>
      <c r="J300" s="139">
        <f t="shared" si="0"/>
        <v>0</v>
      </c>
      <c r="K300" s="135" t="s">
        <v>3</v>
      </c>
      <c r="L300" s="33"/>
      <c r="M300" s="140" t="s">
        <v>3</v>
      </c>
      <c r="N300" s="141" t="s">
        <v>40</v>
      </c>
      <c r="P300" s="142">
        <f t="shared" si="1"/>
        <v>0</v>
      </c>
      <c r="Q300" s="142">
        <v>0</v>
      </c>
      <c r="R300" s="142">
        <f t="shared" si="2"/>
        <v>0</v>
      </c>
      <c r="S300" s="142">
        <v>0</v>
      </c>
      <c r="T300" s="143">
        <f t="shared" si="3"/>
        <v>0</v>
      </c>
      <c r="AR300" s="144" t="s">
        <v>158</v>
      </c>
      <c r="AT300" s="144" t="s">
        <v>153</v>
      </c>
      <c r="AU300" s="144" t="s">
        <v>79</v>
      </c>
      <c r="AY300" s="18" t="s">
        <v>151</v>
      </c>
      <c r="BE300" s="145">
        <f t="shared" si="4"/>
        <v>0</v>
      </c>
      <c r="BF300" s="145">
        <f t="shared" si="5"/>
        <v>0</v>
      </c>
      <c r="BG300" s="145">
        <f t="shared" si="6"/>
        <v>0</v>
      </c>
      <c r="BH300" s="145">
        <f t="shared" si="7"/>
        <v>0</v>
      </c>
      <c r="BI300" s="145">
        <f t="shared" si="8"/>
        <v>0</v>
      </c>
      <c r="BJ300" s="18" t="s">
        <v>77</v>
      </c>
      <c r="BK300" s="145">
        <f t="shared" si="9"/>
        <v>0</v>
      </c>
      <c r="BL300" s="18" t="s">
        <v>158</v>
      </c>
      <c r="BM300" s="144" t="s">
        <v>528</v>
      </c>
    </row>
    <row r="301" spans="2:65" s="1" customFormat="1" ht="16.5" customHeight="1">
      <c r="B301" s="132"/>
      <c r="C301" s="133" t="s">
        <v>529</v>
      </c>
      <c r="D301" s="133" t="s">
        <v>153</v>
      </c>
      <c r="E301" s="134" t="s">
        <v>530</v>
      </c>
      <c r="F301" s="135" t="s">
        <v>531</v>
      </c>
      <c r="G301" s="136" t="s">
        <v>523</v>
      </c>
      <c r="H301" s="137">
        <v>1</v>
      </c>
      <c r="I301" s="138"/>
      <c r="J301" s="139">
        <f t="shared" si="0"/>
        <v>0</v>
      </c>
      <c r="K301" s="135" t="s">
        <v>3</v>
      </c>
      <c r="L301" s="33"/>
      <c r="M301" s="140" t="s">
        <v>3</v>
      </c>
      <c r="N301" s="141" t="s">
        <v>40</v>
      </c>
      <c r="P301" s="142">
        <f t="shared" si="1"/>
        <v>0</v>
      </c>
      <c r="Q301" s="142">
        <v>0</v>
      </c>
      <c r="R301" s="142">
        <f t="shared" si="2"/>
        <v>0</v>
      </c>
      <c r="S301" s="142">
        <v>0</v>
      </c>
      <c r="T301" s="143">
        <f t="shared" si="3"/>
        <v>0</v>
      </c>
      <c r="AR301" s="144" t="s">
        <v>158</v>
      </c>
      <c r="AT301" s="144" t="s">
        <v>153</v>
      </c>
      <c r="AU301" s="144" t="s">
        <v>79</v>
      </c>
      <c r="AY301" s="18" t="s">
        <v>151</v>
      </c>
      <c r="BE301" s="145">
        <f t="shared" si="4"/>
        <v>0</v>
      </c>
      <c r="BF301" s="145">
        <f t="shared" si="5"/>
        <v>0</v>
      </c>
      <c r="BG301" s="145">
        <f t="shared" si="6"/>
        <v>0</v>
      </c>
      <c r="BH301" s="145">
        <f t="shared" si="7"/>
        <v>0</v>
      </c>
      <c r="BI301" s="145">
        <f t="shared" si="8"/>
        <v>0</v>
      </c>
      <c r="BJ301" s="18" t="s">
        <v>77</v>
      </c>
      <c r="BK301" s="145">
        <f t="shared" si="9"/>
        <v>0</v>
      </c>
      <c r="BL301" s="18" t="s">
        <v>158</v>
      </c>
      <c r="BM301" s="144" t="s">
        <v>532</v>
      </c>
    </row>
    <row r="302" spans="2:65" s="1" customFormat="1" ht="16.5" customHeight="1">
      <c r="B302" s="132"/>
      <c r="C302" s="133" t="s">
        <v>533</v>
      </c>
      <c r="D302" s="133" t="s">
        <v>153</v>
      </c>
      <c r="E302" s="134" t="s">
        <v>534</v>
      </c>
      <c r="F302" s="135" t="s">
        <v>535</v>
      </c>
      <c r="G302" s="136" t="s">
        <v>523</v>
      </c>
      <c r="H302" s="137">
        <v>1</v>
      </c>
      <c r="I302" s="138"/>
      <c r="J302" s="139">
        <f t="shared" si="0"/>
        <v>0</v>
      </c>
      <c r="K302" s="135" t="s">
        <v>3</v>
      </c>
      <c r="L302" s="33"/>
      <c r="M302" s="140" t="s">
        <v>3</v>
      </c>
      <c r="N302" s="141" t="s">
        <v>40</v>
      </c>
      <c r="P302" s="142">
        <f t="shared" si="1"/>
        <v>0</v>
      </c>
      <c r="Q302" s="142">
        <v>0</v>
      </c>
      <c r="R302" s="142">
        <f t="shared" si="2"/>
        <v>0</v>
      </c>
      <c r="S302" s="142">
        <v>0</v>
      </c>
      <c r="T302" s="143">
        <f t="shared" si="3"/>
        <v>0</v>
      </c>
      <c r="AR302" s="144" t="s">
        <v>158</v>
      </c>
      <c r="AT302" s="144" t="s">
        <v>153</v>
      </c>
      <c r="AU302" s="144" t="s">
        <v>79</v>
      </c>
      <c r="AY302" s="18" t="s">
        <v>151</v>
      </c>
      <c r="BE302" s="145">
        <f t="shared" si="4"/>
        <v>0</v>
      </c>
      <c r="BF302" s="145">
        <f t="shared" si="5"/>
        <v>0</v>
      </c>
      <c r="BG302" s="145">
        <f t="shared" si="6"/>
        <v>0</v>
      </c>
      <c r="BH302" s="145">
        <f t="shared" si="7"/>
        <v>0</v>
      </c>
      <c r="BI302" s="145">
        <f t="shared" si="8"/>
        <v>0</v>
      </c>
      <c r="BJ302" s="18" t="s">
        <v>77</v>
      </c>
      <c r="BK302" s="145">
        <f t="shared" si="9"/>
        <v>0</v>
      </c>
      <c r="BL302" s="18" t="s">
        <v>158</v>
      </c>
      <c r="BM302" s="144" t="s">
        <v>536</v>
      </c>
    </row>
    <row r="303" spans="2:65" s="1" customFormat="1" ht="21.75" customHeight="1">
      <c r="B303" s="132"/>
      <c r="C303" s="133" t="s">
        <v>537</v>
      </c>
      <c r="D303" s="133" t="s">
        <v>153</v>
      </c>
      <c r="E303" s="134" t="s">
        <v>538</v>
      </c>
      <c r="F303" s="135" t="s">
        <v>539</v>
      </c>
      <c r="G303" s="136" t="s">
        <v>484</v>
      </c>
      <c r="H303" s="137">
        <v>1</v>
      </c>
      <c r="I303" s="138"/>
      <c r="J303" s="139">
        <f t="shared" si="0"/>
        <v>0</v>
      </c>
      <c r="K303" s="135" t="s">
        <v>3</v>
      </c>
      <c r="L303" s="33"/>
      <c r="M303" s="140" t="s">
        <v>3</v>
      </c>
      <c r="N303" s="141" t="s">
        <v>40</v>
      </c>
      <c r="P303" s="142">
        <f t="shared" si="1"/>
        <v>0</v>
      </c>
      <c r="Q303" s="142">
        <v>0</v>
      </c>
      <c r="R303" s="142">
        <f t="shared" si="2"/>
        <v>0</v>
      </c>
      <c r="S303" s="142">
        <v>0</v>
      </c>
      <c r="T303" s="143">
        <f t="shared" si="3"/>
        <v>0</v>
      </c>
      <c r="AR303" s="144" t="s">
        <v>158</v>
      </c>
      <c r="AT303" s="144" t="s">
        <v>153</v>
      </c>
      <c r="AU303" s="144" t="s">
        <v>79</v>
      </c>
      <c r="AY303" s="18" t="s">
        <v>151</v>
      </c>
      <c r="BE303" s="145">
        <f t="shared" si="4"/>
        <v>0</v>
      </c>
      <c r="BF303" s="145">
        <f t="shared" si="5"/>
        <v>0</v>
      </c>
      <c r="BG303" s="145">
        <f t="shared" si="6"/>
        <v>0</v>
      </c>
      <c r="BH303" s="145">
        <f t="shared" si="7"/>
        <v>0</v>
      </c>
      <c r="BI303" s="145">
        <f t="shared" si="8"/>
        <v>0</v>
      </c>
      <c r="BJ303" s="18" t="s">
        <v>77</v>
      </c>
      <c r="BK303" s="145">
        <f t="shared" si="9"/>
        <v>0</v>
      </c>
      <c r="BL303" s="18" t="s">
        <v>158</v>
      </c>
      <c r="BM303" s="144" t="s">
        <v>540</v>
      </c>
    </row>
    <row r="304" spans="2:65" s="1" customFormat="1" ht="16.5" customHeight="1">
      <c r="B304" s="132"/>
      <c r="C304" s="133" t="s">
        <v>541</v>
      </c>
      <c r="D304" s="133" t="s">
        <v>153</v>
      </c>
      <c r="E304" s="134" t="s">
        <v>542</v>
      </c>
      <c r="F304" s="135" t="s">
        <v>543</v>
      </c>
      <c r="G304" s="136" t="s">
        <v>484</v>
      </c>
      <c r="H304" s="137">
        <v>1</v>
      </c>
      <c r="I304" s="138"/>
      <c r="J304" s="139">
        <f t="shared" si="0"/>
        <v>0</v>
      </c>
      <c r="K304" s="135" t="s">
        <v>3</v>
      </c>
      <c r="L304" s="33"/>
      <c r="M304" s="140" t="s">
        <v>3</v>
      </c>
      <c r="N304" s="141" t="s">
        <v>40</v>
      </c>
      <c r="P304" s="142">
        <f t="shared" si="1"/>
        <v>0</v>
      </c>
      <c r="Q304" s="142">
        <v>0</v>
      </c>
      <c r="R304" s="142">
        <f t="shared" si="2"/>
        <v>0</v>
      </c>
      <c r="S304" s="142">
        <v>0</v>
      </c>
      <c r="T304" s="143">
        <f t="shared" si="3"/>
        <v>0</v>
      </c>
      <c r="AR304" s="144" t="s">
        <v>158</v>
      </c>
      <c r="AT304" s="144" t="s">
        <v>153</v>
      </c>
      <c r="AU304" s="144" t="s">
        <v>79</v>
      </c>
      <c r="AY304" s="18" t="s">
        <v>151</v>
      </c>
      <c r="BE304" s="145">
        <f t="shared" si="4"/>
        <v>0</v>
      </c>
      <c r="BF304" s="145">
        <f t="shared" si="5"/>
        <v>0</v>
      </c>
      <c r="BG304" s="145">
        <f t="shared" si="6"/>
        <v>0</v>
      </c>
      <c r="BH304" s="145">
        <f t="shared" si="7"/>
        <v>0</v>
      </c>
      <c r="BI304" s="145">
        <f t="shared" si="8"/>
        <v>0</v>
      </c>
      <c r="BJ304" s="18" t="s">
        <v>77</v>
      </c>
      <c r="BK304" s="145">
        <f t="shared" si="9"/>
        <v>0</v>
      </c>
      <c r="BL304" s="18" t="s">
        <v>158</v>
      </c>
      <c r="BM304" s="144" t="s">
        <v>544</v>
      </c>
    </row>
    <row r="305" spans="2:65" s="1" customFormat="1" ht="16.5" customHeight="1">
      <c r="B305" s="132"/>
      <c r="C305" s="133" t="s">
        <v>545</v>
      </c>
      <c r="D305" s="133" t="s">
        <v>153</v>
      </c>
      <c r="E305" s="134" t="s">
        <v>546</v>
      </c>
      <c r="F305" s="135" t="s">
        <v>547</v>
      </c>
      <c r="G305" s="136" t="s">
        <v>484</v>
      </c>
      <c r="H305" s="137">
        <v>3</v>
      </c>
      <c r="I305" s="138"/>
      <c r="J305" s="139">
        <f t="shared" si="0"/>
        <v>0</v>
      </c>
      <c r="K305" s="135" t="s">
        <v>3</v>
      </c>
      <c r="L305" s="33"/>
      <c r="M305" s="140" t="s">
        <v>3</v>
      </c>
      <c r="N305" s="141" t="s">
        <v>40</v>
      </c>
      <c r="P305" s="142">
        <f t="shared" si="1"/>
        <v>0</v>
      </c>
      <c r="Q305" s="142">
        <v>0</v>
      </c>
      <c r="R305" s="142">
        <f t="shared" si="2"/>
        <v>0</v>
      </c>
      <c r="S305" s="142">
        <v>0</v>
      </c>
      <c r="T305" s="143">
        <f t="shared" si="3"/>
        <v>0</v>
      </c>
      <c r="AR305" s="144" t="s">
        <v>158</v>
      </c>
      <c r="AT305" s="144" t="s">
        <v>153</v>
      </c>
      <c r="AU305" s="144" t="s">
        <v>79</v>
      </c>
      <c r="AY305" s="18" t="s">
        <v>151</v>
      </c>
      <c r="BE305" s="145">
        <f t="shared" si="4"/>
        <v>0</v>
      </c>
      <c r="BF305" s="145">
        <f t="shared" si="5"/>
        <v>0</v>
      </c>
      <c r="BG305" s="145">
        <f t="shared" si="6"/>
        <v>0</v>
      </c>
      <c r="BH305" s="145">
        <f t="shared" si="7"/>
        <v>0</v>
      </c>
      <c r="BI305" s="145">
        <f t="shared" si="8"/>
        <v>0</v>
      </c>
      <c r="BJ305" s="18" t="s">
        <v>77</v>
      </c>
      <c r="BK305" s="145">
        <f t="shared" si="9"/>
        <v>0</v>
      </c>
      <c r="BL305" s="18" t="s">
        <v>158</v>
      </c>
      <c r="BM305" s="144" t="s">
        <v>548</v>
      </c>
    </row>
    <row r="306" spans="2:65" s="1" customFormat="1" ht="16.5" customHeight="1">
      <c r="B306" s="132"/>
      <c r="C306" s="133" t="s">
        <v>549</v>
      </c>
      <c r="D306" s="133" t="s">
        <v>153</v>
      </c>
      <c r="E306" s="134" t="s">
        <v>550</v>
      </c>
      <c r="F306" s="135" t="s">
        <v>551</v>
      </c>
      <c r="G306" s="136" t="s">
        <v>484</v>
      </c>
      <c r="H306" s="137">
        <v>1</v>
      </c>
      <c r="I306" s="138"/>
      <c r="J306" s="139">
        <f t="shared" si="0"/>
        <v>0</v>
      </c>
      <c r="K306" s="135" t="s">
        <v>3</v>
      </c>
      <c r="L306" s="33"/>
      <c r="M306" s="140" t="s">
        <v>3</v>
      </c>
      <c r="N306" s="141" t="s">
        <v>40</v>
      </c>
      <c r="P306" s="142">
        <f t="shared" si="1"/>
        <v>0</v>
      </c>
      <c r="Q306" s="142">
        <v>0</v>
      </c>
      <c r="R306" s="142">
        <f t="shared" si="2"/>
        <v>0</v>
      </c>
      <c r="S306" s="142">
        <v>0</v>
      </c>
      <c r="T306" s="143">
        <f t="shared" si="3"/>
        <v>0</v>
      </c>
      <c r="AR306" s="144" t="s">
        <v>158</v>
      </c>
      <c r="AT306" s="144" t="s">
        <v>153</v>
      </c>
      <c r="AU306" s="144" t="s">
        <v>79</v>
      </c>
      <c r="AY306" s="18" t="s">
        <v>151</v>
      </c>
      <c r="BE306" s="145">
        <f t="shared" si="4"/>
        <v>0</v>
      </c>
      <c r="BF306" s="145">
        <f t="shared" si="5"/>
        <v>0</v>
      </c>
      <c r="BG306" s="145">
        <f t="shared" si="6"/>
        <v>0</v>
      </c>
      <c r="BH306" s="145">
        <f t="shared" si="7"/>
        <v>0</v>
      </c>
      <c r="BI306" s="145">
        <f t="shared" si="8"/>
        <v>0</v>
      </c>
      <c r="BJ306" s="18" t="s">
        <v>77</v>
      </c>
      <c r="BK306" s="145">
        <f t="shared" si="9"/>
        <v>0</v>
      </c>
      <c r="BL306" s="18" t="s">
        <v>158</v>
      </c>
      <c r="BM306" s="144" t="s">
        <v>552</v>
      </c>
    </row>
    <row r="307" spans="2:65" s="1" customFormat="1" ht="16.5" customHeight="1">
      <c r="B307" s="132"/>
      <c r="C307" s="133" t="s">
        <v>553</v>
      </c>
      <c r="D307" s="133" t="s">
        <v>153</v>
      </c>
      <c r="E307" s="134" t="s">
        <v>554</v>
      </c>
      <c r="F307" s="135" t="s">
        <v>555</v>
      </c>
      <c r="G307" s="136" t="s">
        <v>484</v>
      </c>
      <c r="H307" s="137">
        <v>1</v>
      </c>
      <c r="I307" s="138"/>
      <c r="J307" s="139">
        <f t="shared" si="0"/>
        <v>0</v>
      </c>
      <c r="K307" s="135" t="s">
        <v>3</v>
      </c>
      <c r="L307" s="33"/>
      <c r="M307" s="140" t="s">
        <v>3</v>
      </c>
      <c r="N307" s="141" t="s">
        <v>40</v>
      </c>
      <c r="P307" s="142">
        <f t="shared" si="1"/>
        <v>0</v>
      </c>
      <c r="Q307" s="142">
        <v>0</v>
      </c>
      <c r="R307" s="142">
        <f t="shared" si="2"/>
        <v>0</v>
      </c>
      <c r="S307" s="142">
        <v>0</v>
      </c>
      <c r="T307" s="143">
        <f t="shared" si="3"/>
        <v>0</v>
      </c>
      <c r="AR307" s="144" t="s">
        <v>158</v>
      </c>
      <c r="AT307" s="144" t="s">
        <v>153</v>
      </c>
      <c r="AU307" s="144" t="s">
        <v>79</v>
      </c>
      <c r="AY307" s="18" t="s">
        <v>151</v>
      </c>
      <c r="BE307" s="145">
        <f t="shared" si="4"/>
        <v>0</v>
      </c>
      <c r="BF307" s="145">
        <f t="shared" si="5"/>
        <v>0</v>
      </c>
      <c r="BG307" s="145">
        <f t="shared" si="6"/>
        <v>0</v>
      </c>
      <c r="BH307" s="145">
        <f t="shared" si="7"/>
        <v>0</v>
      </c>
      <c r="BI307" s="145">
        <f t="shared" si="8"/>
        <v>0</v>
      </c>
      <c r="BJ307" s="18" t="s">
        <v>77</v>
      </c>
      <c r="BK307" s="145">
        <f t="shared" si="9"/>
        <v>0</v>
      </c>
      <c r="BL307" s="18" t="s">
        <v>158</v>
      </c>
      <c r="BM307" s="144" t="s">
        <v>556</v>
      </c>
    </row>
    <row r="308" spans="2:65" s="11" customFormat="1" ht="22.9" customHeight="1">
      <c r="B308" s="120"/>
      <c r="D308" s="121" t="s">
        <v>68</v>
      </c>
      <c r="E308" s="130" t="s">
        <v>557</v>
      </c>
      <c r="F308" s="130" t="s">
        <v>558</v>
      </c>
      <c r="I308" s="123"/>
      <c r="J308" s="131">
        <f>BK308</f>
        <v>0</v>
      </c>
      <c r="L308" s="120"/>
      <c r="M308" s="125"/>
      <c r="P308" s="126">
        <f>SUM(P309:P310)</f>
        <v>0</v>
      </c>
      <c r="R308" s="126">
        <f>SUM(R309:R310)</f>
        <v>0</v>
      </c>
      <c r="T308" s="127">
        <f>SUM(T309:T310)</f>
        <v>0</v>
      </c>
      <c r="AR308" s="121" t="s">
        <v>77</v>
      </c>
      <c r="AT308" s="128" t="s">
        <v>68</v>
      </c>
      <c r="AU308" s="128" t="s">
        <v>77</v>
      </c>
      <c r="AY308" s="121" t="s">
        <v>151</v>
      </c>
      <c r="BK308" s="129">
        <f>SUM(BK309:BK310)</f>
        <v>0</v>
      </c>
    </row>
    <row r="309" spans="2:65" s="1" customFormat="1" ht="33" customHeight="1">
      <c r="B309" s="132"/>
      <c r="C309" s="133" t="s">
        <v>559</v>
      </c>
      <c r="D309" s="133" t="s">
        <v>153</v>
      </c>
      <c r="E309" s="134" t="s">
        <v>560</v>
      </c>
      <c r="F309" s="135" t="s">
        <v>561</v>
      </c>
      <c r="G309" s="136" t="s">
        <v>183</v>
      </c>
      <c r="H309" s="137">
        <v>2148.6550000000002</v>
      </c>
      <c r="I309" s="138"/>
      <c r="J309" s="139">
        <f>ROUND(I309*H309,2)</f>
        <v>0</v>
      </c>
      <c r="K309" s="135" t="s">
        <v>171</v>
      </c>
      <c r="L309" s="33"/>
      <c r="M309" s="140" t="s">
        <v>3</v>
      </c>
      <c r="N309" s="141" t="s">
        <v>40</v>
      </c>
      <c r="P309" s="142">
        <f>O309*H309</f>
        <v>0</v>
      </c>
      <c r="Q309" s="142">
        <v>0</v>
      </c>
      <c r="R309" s="142">
        <f>Q309*H309</f>
        <v>0</v>
      </c>
      <c r="S309" s="142">
        <v>0</v>
      </c>
      <c r="T309" s="143">
        <f>S309*H309</f>
        <v>0</v>
      </c>
      <c r="AR309" s="144" t="s">
        <v>158</v>
      </c>
      <c r="AT309" s="144" t="s">
        <v>153</v>
      </c>
      <c r="AU309" s="144" t="s">
        <v>79</v>
      </c>
      <c r="AY309" s="18" t="s">
        <v>151</v>
      </c>
      <c r="BE309" s="145">
        <f>IF(N309="základní",J309,0)</f>
        <v>0</v>
      </c>
      <c r="BF309" s="145">
        <f>IF(N309="snížená",J309,0)</f>
        <v>0</v>
      </c>
      <c r="BG309" s="145">
        <f>IF(N309="zákl. přenesená",J309,0)</f>
        <v>0</v>
      </c>
      <c r="BH309" s="145">
        <f>IF(N309="sníž. přenesená",J309,0)</f>
        <v>0</v>
      </c>
      <c r="BI309" s="145">
        <f>IF(N309="nulová",J309,0)</f>
        <v>0</v>
      </c>
      <c r="BJ309" s="18" t="s">
        <v>77</v>
      </c>
      <c r="BK309" s="145">
        <f>ROUND(I309*H309,2)</f>
        <v>0</v>
      </c>
      <c r="BL309" s="18" t="s">
        <v>158</v>
      </c>
      <c r="BM309" s="144" t="s">
        <v>562</v>
      </c>
    </row>
    <row r="310" spans="2:65" s="1" customFormat="1" ht="11.25">
      <c r="B310" s="33"/>
      <c r="D310" s="146" t="s">
        <v>160</v>
      </c>
      <c r="F310" s="147" t="s">
        <v>563</v>
      </c>
      <c r="I310" s="148"/>
      <c r="L310" s="33"/>
      <c r="M310" s="149"/>
      <c r="T310" s="54"/>
      <c r="AT310" s="18" t="s">
        <v>160</v>
      </c>
      <c r="AU310" s="18" t="s">
        <v>79</v>
      </c>
    </row>
    <row r="311" spans="2:65" s="11" customFormat="1" ht="25.9" customHeight="1">
      <c r="B311" s="120"/>
      <c r="D311" s="121" t="s">
        <v>68</v>
      </c>
      <c r="E311" s="122" t="s">
        <v>564</v>
      </c>
      <c r="F311" s="122" t="s">
        <v>565</v>
      </c>
      <c r="I311" s="123"/>
      <c r="J311" s="124">
        <f>BK311</f>
        <v>0</v>
      </c>
      <c r="L311" s="120"/>
      <c r="M311" s="125"/>
      <c r="P311" s="126">
        <f>P312+P329+P352+P361+P375+P389</f>
        <v>0</v>
      </c>
      <c r="R311" s="126">
        <f>R312+R329+R352+R361+R375+R389</f>
        <v>8.3249309</v>
      </c>
      <c r="T311" s="127">
        <f>T312+T329+T352+T361+T375+T389</f>
        <v>0</v>
      </c>
      <c r="AR311" s="121" t="s">
        <v>79</v>
      </c>
      <c r="AT311" s="128" t="s">
        <v>68</v>
      </c>
      <c r="AU311" s="128" t="s">
        <v>69</v>
      </c>
      <c r="AY311" s="121" t="s">
        <v>151</v>
      </c>
      <c r="BK311" s="129">
        <f>BK312+BK329+BK352+BK361+BK375+BK389</f>
        <v>0</v>
      </c>
    </row>
    <row r="312" spans="2:65" s="11" customFormat="1" ht="22.9" customHeight="1">
      <c r="B312" s="120"/>
      <c r="D312" s="121" t="s">
        <v>68</v>
      </c>
      <c r="E312" s="130" t="s">
        <v>566</v>
      </c>
      <c r="F312" s="130" t="s">
        <v>567</v>
      </c>
      <c r="I312" s="123"/>
      <c r="J312" s="131">
        <f>BK312</f>
        <v>0</v>
      </c>
      <c r="L312" s="120"/>
      <c r="M312" s="125"/>
      <c r="P312" s="126">
        <f>SUM(P313:P328)</f>
        <v>0</v>
      </c>
      <c r="R312" s="126">
        <f>SUM(R313:R328)</f>
        <v>4.7766142</v>
      </c>
      <c r="T312" s="127">
        <f>SUM(T313:T328)</f>
        <v>0</v>
      </c>
      <c r="AR312" s="121" t="s">
        <v>79</v>
      </c>
      <c r="AT312" s="128" t="s">
        <v>68</v>
      </c>
      <c r="AU312" s="128" t="s">
        <v>77</v>
      </c>
      <c r="AY312" s="121" t="s">
        <v>151</v>
      </c>
      <c r="BK312" s="129">
        <f>SUM(BK313:BK328)</f>
        <v>0</v>
      </c>
    </row>
    <row r="313" spans="2:65" s="1" customFormat="1" ht="24.2" customHeight="1">
      <c r="B313" s="132"/>
      <c r="C313" s="133" t="s">
        <v>568</v>
      </c>
      <c r="D313" s="133" t="s">
        <v>153</v>
      </c>
      <c r="E313" s="134" t="s">
        <v>569</v>
      </c>
      <c r="F313" s="135" t="s">
        <v>570</v>
      </c>
      <c r="G313" s="136" t="s">
        <v>230</v>
      </c>
      <c r="H313" s="137">
        <v>645</v>
      </c>
      <c r="I313" s="138"/>
      <c r="J313" s="139">
        <f>ROUND(I313*H313,2)</f>
        <v>0</v>
      </c>
      <c r="K313" s="135" t="s">
        <v>157</v>
      </c>
      <c r="L313" s="33"/>
      <c r="M313" s="140" t="s">
        <v>3</v>
      </c>
      <c r="N313" s="141" t="s">
        <v>40</v>
      </c>
      <c r="P313" s="142">
        <f>O313*H313</f>
        <v>0</v>
      </c>
      <c r="Q313" s="142">
        <v>0</v>
      </c>
      <c r="R313" s="142">
        <f>Q313*H313</f>
        <v>0</v>
      </c>
      <c r="S313" s="142">
        <v>0</v>
      </c>
      <c r="T313" s="143">
        <f>S313*H313</f>
        <v>0</v>
      </c>
      <c r="AR313" s="144" t="s">
        <v>282</v>
      </c>
      <c r="AT313" s="144" t="s">
        <v>153</v>
      </c>
      <c r="AU313" s="144" t="s">
        <v>79</v>
      </c>
      <c r="AY313" s="18" t="s">
        <v>151</v>
      </c>
      <c r="BE313" s="145">
        <f>IF(N313="základní",J313,0)</f>
        <v>0</v>
      </c>
      <c r="BF313" s="145">
        <f>IF(N313="snížená",J313,0)</f>
        <v>0</v>
      </c>
      <c r="BG313" s="145">
        <f>IF(N313="zákl. přenesená",J313,0)</f>
        <v>0</v>
      </c>
      <c r="BH313" s="145">
        <f>IF(N313="sníž. přenesená",J313,0)</f>
        <v>0</v>
      </c>
      <c r="BI313" s="145">
        <f>IF(N313="nulová",J313,0)</f>
        <v>0</v>
      </c>
      <c r="BJ313" s="18" t="s">
        <v>77</v>
      </c>
      <c r="BK313" s="145">
        <f>ROUND(I313*H313,2)</f>
        <v>0</v>
      </c>
      <c r="BL313" s="18" t="s">
        <v>282</v>
      </c>
      <c r="BM313" s="144" t="s">
        <v>571</v>
      </c>
    </row>
    <row r="314" spans="2:65" s="1" customFormat="1" ht="11.25">
      <c r="B314" s="33"/>
      <c r="D314" s="146" t="s">
        <v>160</v>
      </c>
      <c r="F314" s="147" t="s">
        <v>572</v>
      </c>
      <c r="I314" s="148"/>
      <c r="L314" s="33"/>
      <c r="M314" s="149"/>
      <c r="T314" s="54"/>
      <c r="AT314" s="18" t="s">
        <v>160</v>
      </c>
      <c r="AU314" s="18" t="s">
        <v>79</v>
      </c>
    </row>
    <row r="315" spans="2:65" s="1" customFormat="1" ht="16.5" customHeight="1">
      <c r="B315" s="132"/>
      <c r="C315" s="172" t="s">
        <v>573</v>
      </c>
      <c r="D315" s="172" t="s">
        <v>436</v>
      </c>
      <c r="E315" s="173" t="s">
        <v>574</v>
      </c>
      <c r="F315" s="174" t="s">
        <v>575</v>
      </c>
      <c r="G315" s="175" t="s">
        <v>183</v>
      </c>
      <c r="H315" s="176">
        <v>0.252</v>
      </c>
      <c r="I315" s="177"/>
      <c r="J315" s="178">
        <f>ROUND(I315*H315,2)</f>
        <v>0</v>
      </c>
      <c r="K315" s="174" t="s">
        <v>157</v>
      </c>
      <c r="L315" s="179"/>
      <c r="M315" s="180" t="s">
        <v>3</v>
      </c>
      <c r="N315" s="181" t="s">
        <v>40</v>
      </c>
      <c r="P315" s="142">
        <f>O315*H315</f>
        <v>0</v>
      </c>
      <c r="Q315" s="142">
        <v>1</v>
      </c>
      <c r="R315" s="142">
        <f>Q315*H315</f>
        <v>0.252</v>
      </c>
      <c r="S315" s="142">
        <v>0</v>
      </c>
      <c r="T315" s="143">
        <f>S315*H315</f>
        <v>0</v>
      </c>
      <c r="AR315" s="144" t="s">
        <v>202</v>
      </c>
      <c r="AT315" s="144" t="s">
        <v>436</v>
      </c>
      <c r="AU315" s="144" t="s">
        <v>79</v>
      </c>
      <c r="AY315" s="18" t="s">
        <v>151</v>
      </c>
      <c r="BE315" s="145">
        <f>IF(N315="základní",J315,0)</f>
        <v>0</v>
      </c>
      <c r="BF315" s="145">
        <f>IF(N315="snížená",J315,0)</f>
        <v>0</v>
      </c>
      <c r="BG315" s="145">
        <f>IF(N315="zákl. přenesená",J315,0)</f>
        <v>0</v>
      </c>
      <c r="BH315" s="145">
        <f>IF(N315="sníž. přenesená",J315,0)</f>
        <v>0</v>
      </c>
      <c r="BI315" s="145">
        <f>IF(N315="nulová",J315,0)</f>
        <v>0</v>
      </c>
      <c r="BJ315" s="18" t="s">
        <v>77</v>
      </c>
      <c r="BK315" s="145">
        <f>ROUND(I315*H315,2)</f>
        <v>0</v>
      </c>
      <c r="BL315" s="18" t="s">
        <v>282</v>
      </c>
      <c r="BM315" s="144" t="s">
        <v>576</v>
      </c>
    </row>
    <row r="316" spans="2:65" s="12" customFormat="1" ht="11.25">
      <c r="B316" s="150"/>
      <c r="D316" s="151" t="s">
        <v>162</v>
      </c>
      <c r="F316" s="153" t="s">
        <v>577</v>
      </c>
      <c r="H316" s="154">
        <v>0.252</v>
      </c>
      <c r="I316" s="155"/>
      <c r="L316" s="150"/>
      <c r="M316" s="156"/>
      <c r="T316" s="157"/>
      <c r="AT316" s="152" t="s">
        <v>162</v>
      </c>
      <c r="AU316" s="152" t="s">
        <v>79</v>
      </c>
      <c r="AV316" s="12" t="s">
        <v>79</v>
      </c>
      <c r="AW316" s="12" t="s">
        <v>4</v>
      </c>
      <c r="AX316" s="12" t="s">
        <v>77</v>
      </c>
      <c r="AY316" s="152" t="s">
        <v>151</v>
      </c>
    </row>
    <row r="317" spans="2:65" s="1" customFormat="1" ht="16.5" customHeight="1">
      <c r="B317" s="132"/>
      <c r="C317" s="133" t="s">
        <v>578</v>
      </c>
      <c r="D317" s="133" t="s">
        <v>153</v>
      </c>
      <c r="E317" s="134" t="s">
        <v>579</v>
      </c>
      <c r="F317" s="135" t="s">
        <v>580</v>
      </c>
      <c r="G317" s="136" t="s">
        <v>230</v>
      </c>
      <c r="H317" s="137">
        <v>645</v>
      </c>
      <c r="I317" s="138"/>
      <c r="J317" s="139">
        <f>ROUND(I317*H317,2)</f>
        <v>0</v>
      </c>
      <c r="K317" s="135" t="s">
        <v>157</v>
      </c>
      <c r="L317" s="33"/>
      <c r="M317" s="140" t="s">
        <v>3</v>
      </c>
      <c r="N317" s="141" t="s">
        <v>40</v>
      </c>
      <c r="P317" s="142">
        <f>O317*H317</f>
        <v>0</v>
      </c>
      <c r="Q317" s="142">
        <v>4.0000000000000002E-4</v>
      </c>
      <c r="R317" s="142">
        <f>Q317*H317</f>
        <v>0.25800000000000001</v>
      </c>
      <c r="S317" s="142">
        <v>0</v>
      </c>
      <c r="T317" s="143">
        <f>S317*H317</f>
        <v>0</v>
      </c>
      <c r="AR317" s="144" t="s">
        <v>282</v>
      </c>
      <c r="AT317" s="144" t="s">
        <v>153</v>
      </c>
      <c r="AU317" s="144" t="s">
        <v>79</v>
      </c>
      <c r="AY317" s="18" t="s">
        <v>151</v>
      </c>
      <c r="BE317" s="145">
        <f>IF(N317="základní",J317,0)</f>
        <v>0</v>
      </c>
      <c r="BF317" s="145">
        <f>IF(N317="snížená",J317,0)</f>
        <v>0</v>
      </c>
      <c r="BG317" s="145">
        <f>IF(N317="zákl. přenesená",J317,0)</f>
        <v>0</v>
      </c>
      <c r="BH317" s="145">
        <f>IF(N317="sníž. přenesená",J317,0)</f>
        <v>0</v>
      </c>
      <c r="BI317" s="145">
        <f>IF(N317="nulová",J317,0)</f>
        <v>0</v>
      </c>
      <c r="BJ317" s="18" t="s">
        <v>77</v>
      </c>
      <c r="BK317" s="145">
        <f>ROUND(I317*H317,2)</f>
        <v>0</v>
      </c>
      <c r="BL317" s="18" t="s">
        <v>282</v>
      </c>
      <c r="BM317" s="144" t="s">
        <v>581</v>
      </c>
    </row>
    <row r="318" spans="2:65" s="1" customFormat="1" ht="11.25">
      <c r="B318" s="33"/>
      <c r="D318" s="146" t="s">
        <v>160</v>
      </c>
      <c r="F318" s="147" t="s">
        <v>582</v>
      </c>
      <c r="I318" s="148"/>
      <c r="L318" s="33"/>
      <c r="M318" s="149"/>
      <c r="T318" s="54"/>
      <c r="AT318" s="18" t="s">
        <v>160</v>
      </c>
      <c r="AU318" s="18" t="s">
        <v>79</v>
      </c>
    </row>
    <row r="319" spans="2:65" s="1" customFormat="1" ht="24.2" customHeight="1">
      <c r="B319" s="132"/>
      <c r="C319" s="172" t="s">
        <v>583</v>
      </c>
      <c r="D319" s="172" t="s">
        <v>436</v>
      </c>
      <c r="E319" s="173" t="s">
        <v>584</v>
      </c>
      <c r="F319" s="174" t="s">
        <v>585</v>
      </c>
      <c r="G319" s="175" t="s">
        <v>230</v>
      </c>
      <c r="H319" s="176">
        <v>751.74800000000005</v>
      </c>
      <c r="I319" s="177"/>
      <c r="J319" s="178">
        <f>ROUND(I319*H319,2)</f>
        <v>0</v>
      </c>
      <c r="K319" s="174" t="s">
        <v>157</v>
      </c>
      <c r="L319" s="179"/>
      <c r="M319" s="180" t="s">
        <v>3</v>
      </c>
      <c r="N319" s="181" t="s">
        <v>40</v>
      </c>
      <c r="P319" s="142">
        <f>O319*H319</f>
        <v>0</v>
      </c>
      <c r="Q319" s="142">
        <v>5.4000000000000003E-3</v>
      </c>
      <c r="R319" s="142">
        <f>Q319*H319</f>
        <v>4.0594392000000008</v>
      </c>
      <c r="S319" s="142">
        <v>0</v>
      </c>
      <c r="T319" s="143">
        <f>S319*H319</f>
        <v>0</v>
      </c>
      <c r="AR319" s="144" t="s">
        <v>202</v>
      </c>
      <c r="AT319" s="144" t="s">
        <v>436</v>
      </c>
      <c r="AU319" s="144" t="s">
        <v>79</v>
      </c>
      <c r="AY319" s="18" t="s">
        <v>151</v>
      </c>
      <c r="BE319" s="145">
        <f>IF(N319="základní",J319,0)</f>
        <v>0</v>
      </c>
      <c r="BF319" s="145">
        <f>IF(N319="snížená",J319,0)</f>
        <v>0</v>
      </c>
      <c r="BG319" s="145">
        <f>IF(N319="zákl. přenesená",J319,0)</f>
        <v>0</v>
      </c>
      <c r="BH319" s="145">
        <f>IF(N319="sníž. přenesená",J319,0)</f>
        <v>0</v>
      </c>
      <c r="BI319" s="145">
        <f>IF(N319="nulová",J319,0)</f>
        <v>0</v>
      </c>
      <c r="BJ319" s="18" t="s">
        <v>77</v>
      </c>
      <c r="BK319" s="145">
        <f>ROUND(I319*H319,2)</f>
        <v>0</v>
      </c>
      <c r="BL319" s="18" t="s">
        <v>282</v>
      </c>
      <c r="BM319" s="144" t="s">
        <v>586</v>
      </c>
    </row>
    <row r="320" spans="2:65" s="12" customFormat="1" ht="11.25">
      <c r="B320" s="150"/>
      <c r="D320" s="151" t="s">
        <v>162</v>
      </c>
      <c r="F320" s="153" t="s">
        <v>587</v>
      </c>
      <c r="H320" s="154">
        <v>751.74800000000005</v>
      </c>
      <c r="I320" s="155"/>
      <c r="L320" s="150"/>
      <c r="M320" s="156"/>
      <c r="T320" s="157"/>
      <c r="AT320" s="152" t="s">
        <v>162</v>
      </c>
      <c r="AU320" s="152" t="s">
        <v>79</v>
      </c>
      <c r="AV320" s="12" t="s">
        <v>79</v>
      </c>
      <c r="AW320" s="12" t="s">
        <v>4</v>
      </c>
      <c r="AX320" s="12" t="s">
        <v>77</v>
      </c>
      <c r="AY320" s="152" t="s">
        <v>151</v>
      </c>
    </row>
    <row r="321" spans="2:65" s="1" customFormat="1" ht="16.5" customHeight="1">
      <c r="B321" s="132"/>
      <c r="C321" s="133" t="s">
        <v>588</v>
      </c>
      <c r="D321" s="133" t="s">
        <v>153</v>
      </c>
      <c r="E321" s="134" t="s">
        <v>589</v>
      </c>
      <c r="F321" s="135" t="s">
        <v>590</v>
      </c>
      <c r="G321" s="136" t="s">
        <v>230</v>
      </c>
      <c r="H321" s="137">
        <v>645</v>
      </c>
      <c r="I321" s="138"/>
      <c r="J321" s="139">
        <f>ROUND(I321*H321,2)</f>
        <v>0</v>
      </c>
      <c r="K321" s="135" t="s">
        <v>171</v>
      </c>
      <c r="L321" s="33"/>
      <c r="M321" s="140" t="s">
        <v>3</v>
      </c>
      <c r="N321" s="141" t="s">
        <v>40</v>
      </c>
      <c r="P321" s="142">
        <f>O321*H321</f>
        <v>0</v>
      </c>
      <c r="Q321" s="142">
        <v>0</v>
      </c>
      <c r="R321" s="142">
        <f>Q321*H321</f>
        <v>0</v>
      </c>
      <c r="S321" s="142">
        <v>0</v>
      </c>
      <c r="T321" s="143">
        <f>S321*H321</f>
        <v>0</v>
      </c>
      <c r="AR321" s="144" t="s">
        <v>282</v>
      </c>
      <c r="AT321" s="144" t="s">
        <v>153</v>
      </c>
      <c r="AU321" s="144" t="s">
        <v>79</v>
      </c>
      <c r="AY321" s="18" t="s">
        <v>151</v>
      </c>
      <c r="BE321" s="145">
        <f>IF(N321="základní",J321,0)</f>
        <v>0</v>
      </c>
      <c r="BF321" s="145">
        <f>IF(N321="snížená",J321,0)</f>
        <v>0</v>
      </c>
      <c r="BG321" s="145">
        <f>IF(N321="zákl. přenesená",J321,0)</f>
        <v>0</v>
      </c>
      <c r="BH321" s="145">
        <f>IF(N321="sníž. přenesená",J321,0)</f>
        <v>0</v>
      </c>
      <c r="BI321" s="145">
        <f>IF(N321="nulová",J321,0)</f>
        <v>0</v>
      </c>
      <c r="BJ321" s="18" t="s">
        <v>77</v>
      </c>
      <c r="BK321" s="145">
        <f>ROUND(I321*H321,2)</f>
        <v>0</v>
      </c>
      <c r="BL321" s="18" t="s">
        <v>282</v>
      </c>
      <c r="BM321" s="144" t="s">
        <v>591</v>
      </c>
    </row>
    <row r="322" spans="2:65" s="1" customFormat="1" ht="11.25">
      <c r="B322" s="33"/>
      <c r="D322" s="146" t="s">
        <v>160</v>
      </c>
      <c r="F322" s="147" t="s">
        <v>592</v>
      </c>
      <c r="I322" s="148"/>
      <c r="L322" s="33"/>
      <c r="M322" s="149"/>
      <c r="T322" s="54"/>
      <c r="AT322" s="18" t="s">
        <v>160</v>
      </c>
      <c r="AU322" s="18" t="s">
        <v>79</v>
      </c>
    </row>
    <row r="323" spans="2:65" s="1" customFormat="1" ht="16.5" customHeight="1">
      <c r="B323" s="132"/>
      <c r="C323" s="172" t="s">
        <v>593</v>
      </c>
      <c r="D323" s="172" t="s">
        <v>436</v>
      </c>
      <c r="E323" s="173" t="s">
        <v>594</v>
      </c>
      <c r="F323" s="174" t="s">
        <v>595</v>
      </c>
      <c r="G323" s="175" t="s">
        <v>230</v>
      </c>
      <c r="H323" s="176">
        <v>677.25</v>
      </c>
      <c r="I323" s="177"/>
      <c r="J323" s="178">
        <f>ROUND(I323*H323,2)</f>
        <v>0</v>
      </c>
      <c r="K323" s="174" t="s">
        <v>171</v>
      </c>
      <c r="L323" s="179"/>
      <c r="M323" s="180" t="s">
        <v>3</v>
      </c>
      <c r="N323" s="181" t="s">
        <v>40</v>
      </c>
      <c r="P323" s="142">
        <f>O323*H323</f>
        <v>0</v>
      </c>
      <c r="Q323" s="142">
        <v>2.9999999999999997E-4</v>
      </c>
      <c r="R323" s="142">
        <f>Q323*H323</f>
        <v>0.20317499999999999</v>
      </c>
      <c r="S323" s="142">
        <v>0</v>
      </c>
      <c r="T323" s="143">
        <f>S323*H323</f>
        <v>0</v>
      </c>
      <c r="AR323" s="144" t="s">
        <v>202</v>
      </c>
      <c r="AT323" s="144" t="s">
        <v>436</v>
      </c>
      <c r="AU323" s="144" t="s">
        <v>79</v>
      </c>
      <c r="AY323" s="18" t="s">
        <v>151</v>
      </c>
      <c r="BE323" s="145">
        <f>IF(N323="základní",J323,0)</f>
        <v>0</v>
      </c>
      <c r="BF323" s="145">
        <f>IF(N323="snížená",J323,0)</f>
        <v>0</v>
      </c>
      <c r="BG323" s="145">
        <f>IF(N323="zákl. přenesená",J323,0)</f>
        <v>0</v>
      </c>
      <c r="BH323" s="145">
        <f>IF(N323="sníž. přenesená",J323,0)</f>
        <v>0</v>
      </c>
      <c r="BI323" s="145">
        <f>IF(N323="nulová",J323,0)</f>
        <v>0</v>
      </c>
      <c r="BJ323" s="18" t="s">
        <v>77</v>
      </c>
      <c r="BK323" s="145">
        <f>ROUND(I323*H323,2)</f>
        <v>0</v>
      </c>
      <c r="BL323" s="18" t="s">
        <v>282</v>
      </c>
      <c r="BM323" s="144" t="s">
        <v>596</v>
      </c>
    </row>
    <row r="324" spans="2:65" s="12" customFormat="1" ht="11.25">
      <c r="B324" s="150"/>
      <c r="D324" s="151" t="s">
        <v>162</v>
      </c>
      <c r="F324" s="153" t="s">
        <v>597</v>
      </c>
      <c r="H324" s="154">
        <v>677.25</v>
      </c>
      <c r="I324" s="155"/>
      <c r="L324" s="150"/>
      <c r="M324" s="156"/>
      <c r="T324" s="157"/>
      <c r="AT324" s="152" t="s">
        <v>162</v>
      </c>
      <c r="AU324" s="152" t="s">
        <v>79</v>
      </c>
      <c r="AV324" s="12" t="s">
        <v>79</v>
      </c>
      <c r="AW324" s="12" t="s">
        <v>4</v>
      </c>
      <c r="AX324" s="12" t="s">
        <v>77</v>
      </c>
      <c r="AY324" s="152" t="s">
        <v>151</v>
      </c>
    </row>
    <row r="325" spans="2:65" s="1" customFormat="1" ht="21.75" customHeight="1">
      <c r="B325" s="132"/>
      <c r="C325" s="133" t="s">
        <v>598</v>
      </c>
      <c r="D325" s="133" t="s">
        <v>153</v>
      </c>
      <c r="E325" s="134" t="s">
        <v>599</v>
      </c>
      <c r="F325" s="135" t="s">
        <v>600</v>
      </c>
      <c r="G325" s="136" t="s">
        <v>198</v>
      </c>
      <c r="H325" s="137">
        <v>10</v>
      </c>
      <c r="I325" s="138"/>
      <c r="J325" s="139">
        <f>ROUND(I325*H325,2)</f>
        <v>0</v>
      </c>
      <c r="K325" s="135" t="s">
        <v>157</v>
      </c>
      <c r="L325" s="33"/>
      <c r="M325" s="140" t="s">
        <v>3</v>
      </c>
      <c r="N325" s="141" t="s">
        <v>40</v>
      </c>
      <c r="P325" s="142">
        <f>O325*H325</f>
        <v>0</v>
      </c>
      <c r="Q325" s="142">
        <v>4.0000000000000002E-4</v>
      </c>
      <c r="R325" s="142">
        <f>Q325*H325</f>
        <v>4.0000000000000001E-3</v>
      </c>
      <c r="S325" s="142">
        <v>0</v>
      </c>
      <c r="T325" s="143">
        <f>S325*H325</f>
        <v>0</v>
      </c>
      <c r="AR325" s="144" t="s">
        <v>282</v>
      </c>
      <c r="AT325" s="144" t="s">
        <v>153</v>
      </c>
      <c r="AU325" s="144" t="s">
        <v>79</v>
      </c>
      <c r="AY325" s="18" t="s">
        <v>151</v>
      </c>
      <c r="BE325" s="145">
        <f>IF(N325="základní",J325,0)</f>
        <v>0</v>
      </c>
      <c r="BF325" s="145">
        <f>IF(N325="snížená",J325,0)</f>
        <v>0</v>
      </c>
      <c r="BG325" s="145">
        <f>IF(N325="zákl. přenesená",J325,0)</f>
        <v>0</v>
      </c>
      <c r="BH325" s="145">
        <f>IF(N325="sníž. přenesená",J325,0)</f>
        <v>0</v>
      </c>
      <c r="BI325" s="145">
        <f>IF(N325="nulová",J325,0)</f>
        <v>0</v>
      </c>
      <c r="BJ325" s="18" t="s">
        <v>77</v>
      </c>
      <c r="BK325" s="145">
        <f>ROUND(I325*H325,2)</f>
        <v>0</v>
      </c>
      <c r="BL325" s="18" t="s">
        <v>282</v>
      </c>
      <c r="BM325" s="144" t="s">
        <v>601</v>
      </c>
    </row>
    <row r="326" spans="2:65" s="1" customFormat="1" ht="11.25">
      <c r="B326" s="33"/>
      <c r="D326" s="146" t="s">
        <v>160</v>
      </c>
      <c r="F326" s="147" t="s">
        <v>602</v>
      </c>
      <c r="I326" s="148"/>
      <c r="L326" s="33"/>
      <c r="M326" s="149"/>
      <c r="T326" s="54"/>
      <c r="AT326" s="18" t="s">
        <v>160</v>
      </c>
      <c r="AU326" s="18" t="s">
        <v>79</v>
      </c>
    </row>
    <row r="327" spans="2:65" s="1" customFormat="1" ht="24.2" customHeight="1">
      <c r="B327" s="132"/>
      <c r="C327" s="133" t="s">
        <v>193</v>
      </c>
      <c r="D327" s="133" t="s">
        <v>153</v>
      </c>
      <c r="E327" s="134" t="s">
        <v>603</v>
      </c>
      <c r="F327" s="135" t="s">
        <v>604</v>
      </c>
      <c r="G327" s="136" t="s">
        <v>183</v>
      </c>
      <c r="H327" s="137">
        <v>4.7770000000000001</v>
      </c>
      <c r="I327" s="138"/>
      <c r="J327" s="139">
        <f>ROUND(I327*H327,2)</f>
        <v>0</v>
      </c>
      <c r="K327" s="135" t="s">
        <v>171</v>
      </c>
      <c r="L327" s="33"/>
      <c r="M327" s="140" t="s">
        <v>3</v>
      </c>
      <c r="N327" s="141" t="s">
        <v>40</v>
      </c>
      <c r="P327" s="142">
        <f>O327*H327</f>
        <v>0</v>
      </c>
      <c r="Q327" s="142">
        <v>0</v>
      </c>
      <c r="R327" s="142">
        <f>Q327*H327</f>
        <v>0</v>
      </c>
      <c r="S327" s="142">
        <v>0</v>
      </c>
      <c r="T327" s="143">
        <f>S327*H327</f>
        <v>0</v>
      </c>
      <c r="AR327" s="144" t="s">
        <v>282</v>
      </c>
      <c r="AT327" s="144" t="s">
        <v>153</v>
      </c>
      <c r="AU327" s="144" t="s">
        <v>79</v>
      </c>
      <c r="AY327" s="18" t="s">
        <v>151</v>
      </c>
      <c r="BE327" s="145">
        <f>IF(N327="základní",J327,0)</f>
        <v>0</v>
      </c>
      <c r="BF327" s="145">
        <f>IF(N327="snížená",J327,0)</f>
        <v>0</v>
      </c>
      <c r="BG327" s="145">
        <f>IF(N327="zákl. přenesená",J327,0)</f>
        <v>0</v>
      </c>
      <c r="BH327" s="145">
        <f>IF(N327="sníž. přenesená",J327,0)</f>
        <v>0</v>
      </c>
      <c r="BI327" s="145">
        <f>IF(N327="nulová",J327,0)</f>
        <v>0</v>
      </c>
      <c r="BJ327" s="18" t="s">
        <v>77</v>
      </c>
      <c r="BK327" s="145">
        <f>ROUND(I327*H327,2)</f>
        <v>0</v>
      </c>
      <c r="BL327" s="18" t="s">
        <v>282</v>
      </c>
      <c r="BM327" s="144" t="s">
        <v>605</v>
      </c>
    </row>
    <row r="328" spans="2:65" s="1" customFormat="1" ht="11.25">
      <c r="B328" s="33"/>
      <c r="D328" s="146" t="s">
        <v>160</v>
      </c>
      <c r="F328" s="147" t="s">
        <v>606</v>
      </c>
      <c r="I328" s="148"/>
      <c r="L328" s="33"/>
      <c r="M328" s="149"/>
      <c r="T328" s="54"/>
      <c r="AT328" s="18" t="s">
        <v>160</v>
      </c>
      <c r="AU328" s="18" t="s">
        <v>79</v>
      </c>
    </row>
    <row r="329" spans="2:65" s="11" customFormat="1" ht="22.9" customHeight="1">
      <c r="B329" s="120"/>
      <c r="D329" s="121" t="s">
        <v>68</v>
      </c>
      <c r="E329" s="130" t="s">
        <v>607</v>
      </c>
      <c r="F329" s="130" t="s">
        <v>608</v>
      </c>
      <c r="I329" s="123"/>
      <c r="J329" s="131">
        <f>BK329</f>
        <v>0</v>
      </c>
      <c r="L329" s="120"/>
      <c r="M329" s="125"/>
      <c r="P329" s="126">
        <f>SUM(P330:P351)</f>
        <v>0</v>
      </c>
      <c r="R329" s="126">
        <f>SUM(R330:R351)</f>
        <v>3.2047400000000001</v>
      </c>
      <c r="T329" s="127">
        <f>SUM(T330:T351)</f>
        <v>0</v>
      </c>
      <c r="AR329" s="121" t="s">
        <v>79</v>
      </c>
      <c r="AT329" s="128" t="s">
        <v>68</v>
      </c>
      <c r="AU329" s="128" t="s">
        <v>77</v>
      </c>
      <c r="AY329" s="121" t="s">
        <v>151</v>
      </c>
      <c r="BK329" s="129">
        <f>SUM(BK330:BK351)</f>
        <v>0</v>
      </c>
    </row>
    <row r="330" spans="2:65" s="1" customFormat="1" ht="24.2" customHeight="1">
      <c r="B330" s="132"/>
      <c r="C330" s="133" t="s">
        <v>609</v>
      </c>
      <c r="D330" s="133" t="s">
        <v>153</v>
      </c>
      <c r="E330" s="134" t="s">
        <v>610</v>
      </c>
      <c r="F330" s="135" t="s">
        <v>611</v>
      </c>
      <c r="G330" s="136" t="s">
        <v>230</v>
      </c>
      <c r="H330" s="137">
        <v>5</v>
      </c>
      <c r="I330" s="138"/>
      <c r="J330" s="139">
        <f>ROUND(I330*H330,2)</f>
        <v>0</v>
      </c>
      <c r="K330" s="135" t="s">
        <v>157</v>
      </c>
      <c r="L330" s="33"/>
      <c r="M330" s="140" t="s">
        <v>3</v>
      </c>
      <c r="N330" s="141" t="s">
        <v>40</v>
      </c>
      <c r="P330" s="142">
        <f>O330*H330</f>
        <v>0</v>
      </c>
      <c r="Q330" s="142">
        <v>0</v>
      </c>
      <c r="R330" s="142">
        <f>Q330*H330</f>
        <v>0</v>
      </c>
      <c r="S330" s="142">
        <v>0</v>
      </c>
      <c r="T330" s="143">
        <f>S330*H330</f>
        <v>0</v>
      </c>
      <c r="AR330" s="144" t="s">
        <v>282</v>
      </c>
      <c r="AT330" s="144" t="s">
        <v>153</v>
      </c>
      <c r="AU330" s="144" t="s">
        <v>79</v>
      </c>
      <c r="AY330" s="18" t="s">
        <v>151</v>
      </c>
      <c r="BE330" s="145">
        <f>IF(N330="základní",J330,0)</f>
        <v>0</v>
      </c>
      <c r="BF330" s="145">
        <f>IF(N330="snížená",J330,0)</f>
        <v>0</v>
      </c>
      <c r="BG330" s="145">
        <f>IF(N330="zákl. přenesená",J330,0)</f>
        <v>0</v>
      </c>
      <c r="BH330" s="145">
        <f>IF(N330="sníž. přenesená",J330,0)</f>
        <v>0</v>
      </c>
      <c r="BI330" s="145">
        <f>IF(N330="nulová",J330,0)</f>
        <v>0</v>
      </c>
      <c r="BJ330" s="18" t="s">
        <v>77</v>
      </c>
      <c r="BK330" s="145">
        <f>ROUND(I330*H330,2)</f>
        <v>0</v>
      </c>
      <c r="BL330" s="18" t="s">
        <v>282</v>
      </c>
      <c r="BM330" s="144" t="s">
        <v>612</v>
      </c>
    </row>
    <row r="331" spans="2:65" s="1" customFormat="1" ht="11.25">
      <c r="B331" s="33"/>
      <c r="D331" s="146" t="s">
        <v>160</v>
      </c>
      <c r="F331" s="147" t="s">
        <v>613</v>
      </c>
      <c r="I331" s="148"/>
      <c r="L331" s="33"/>
      <c r="M331" s="149"/>
      <c r="T331" s="54"/>
      <c r="AT331" s="18" t="s">
        <v>160</v>
      </c>
      <c r="AU331" s="18" t="s">
        <v>79</v>
      </c>
    </row>
    <row r="332" spans="2:65" s="14" customFormat="1" ht="11.25">
      <c r="B332" s="165"/>
      <c r="D332" s="151" t="s">
        <v>162</v>
      </c>
      <c r="E332" s="166" t="s">
        <v>3</v>
      </c>
      <c r="F332" s="167" t="s">
        <v>614</v>
      </c>
      <c r="H332" s="166" t="s">
        <v>3</v>
      </c>
      <c r="I332" s="168"/>
      <c r="L332" s="165"/>
      <c r="M332" s="169"/>
      <c r="T332" s="170"/>
      <c r="AT332" s="166" t="s">
        <v>162</v>
      </c>
      <c r="AU332" s="166" t="s">
        <v>79</v>
      </c>
      <c r="AV332" s="14" t="s">
        <v>77</v>
      </c>
      <c r="AW332" s="14" t="s">
        <v>30</v>
      </c>
      <c r="AX332" s="14" t="s">
        <v>69</v>
      </c>
      <c r="AY332" s="166" t="s">
        <v>151</v>
      </c>
    </row>
    <row r="333" spans="2:65" s="12" customFormat="1" ht="11.25">
      <c r="B333" s="150"/>
      <c r="D333" s="151" t="s">
        <v>162</v>
      </c>
      <c r="E333" s="152" t="s">
        <v>3</v>
      </c>
      <c r="F333" s="153" t="s">
        <v>615</v>
      </c>
      <c r="H333" s="154">
        <v>5</v>
      </c>
      <c r="I333" s="155"/>
      <c r="L333" s="150"/>
      <c r="M333" s="156"/>
      <c r="T333" s="157"/>
      <c r="AT333" s="152" t="s">
        <v>162</v>
      </c>
      <c r="AU333" s="152" t="s">
        <v>79</v>
      </c>
      <c r="AV333" s="12" t="s">
        <v>79</v>
      </c>
      <c r="AW333" s="12" t="s">
        <v>30</v>
      </c>
      <c r="AX333" s="12" t="s">
        <v>69</v>
      </c>
      <c r="AY333" s="152" t="s">
        <v>151</v>
      </c>
    </row>
    <row r="334" spans="2:65" s="13" customFormat="1" ht="11.25">
      <c r="B334" s="158"/>
      <c r="D334" s="151" t="s">
        <v>162</v>
      </c>
      <c r="E334" s="159" t="s">
        <v>3</v>
      </c>
      <c r="F334" s="160" t="s">
        <v>167</v>
      </c>
      <c r="H334" s="161">
        <v>5</v>
      </c>
      <c r="I334" s="162"/>
      <c r="L334" s="158"/>
      <c r="M334" s="163"/>
      <c r="T334" s="164"/>
      <c r="AT334" s="159" t="s">
        <v>162</v>
      </c>
      <c r="AU334" s="159" t="s">
        <v>79</v>
      </c>
      <c r="AV334" s="13" t="s">
        <v>158</v>
      </c>
      <c r="AW334" s="13" t="s">
        <v>30</v>
      </c>
      <c r="AX334" s="13" t="s">
        <v>77</v>
      </c>
      <c r="AY334" s="159" t="s">
        <v>151</v>
      </c>
    </row>
    <row r="335" spans="2:65" s="1" customFormat="1" ht="16.5" customHeight="1">
      <c r="B335" s="132"/>
      <c r="C335" s="172" t="s">
        <v>616</v>
      </c>
      <c r="D335" s="172" t="s">
        <v>436</v>
      </c>
      <c r="E335" s="173" t="s">
        <v>617</v>
      </c>
      <c r="F335" s="174" t="s">
        <v>618</v>
      </c>
      <c r="G335" s="175" t="s">
        <v>230</v>
      </c>
      <c r="H335" s="176">
        <v>5.25</v>
      </c>
      <c r="I335" s="177"/>
      <c r="J335" s="178">
        <f>ROUND(I335*H335,2)</f>
        <v>0</v>
      </c>
      <c r="K335" s="174" t="s">
        <v>157</v>
      </c>
      <c r="L335" s="179"/>
      <c r="M335" s="180" t="s">
        <v>3</v>
      </c>
      <c r="N335" s="181" t="s">
        <v>40</v>
      </c>
      <c r="P335" s="142">
        <f>O335*H335</f>
        <v>0</v>
      </c>
      <c r="Q335" s="142">
        <v>2.5000000000000001E-3</v>
      </c>
      <c r="R335" s="142">
        <f>Q335*H335</f>
        <v>1.3125E-2</v>
      </c>
      <c r="S335" s="142">
        <v>0</v>
      </c>
      <c r="T335" s="143">
        <f>S335*H335</f>
        <v>0</v>
      </c>
      <c r="AR335" s="144" t="s">
        <v>202</v>
      </c>
      <c r="AT335" s="144" t="s">
        <v>436</v>
      </c>
      <c r="AU335" s="144" t="s">
        <v>79</v>
      </c>
      <c r="AY335" s="18" t="s">
        <v>151</v>
      </c>
      <c r="BE335" s="145">
        <f>IF(N335="základní",J335,0)</f>
        <v>0</v>
      </c>
      <c r="BF335" s="145">
        <f>IF(N335="snížená",J335,0)</f>
        <v>0</v>
      </c>
      <c r="BG335" s="145">
        <f>IF(N335="zákl. přenesená",J335,0)</f>
        <v>0</v>
      </c>
      <c r="BH335" s="145">
        <f>IF(N335="sníž. přenesená",J335,0)</f>
        <v>0</v>
      </c>
      <c r="BI335" s="145">
        <f>IF(N335="nulová",J335,0)</f>
        <v>0</v>
      </c>
      <c r="BJ335" s="18" t="s">
        <v>77</v>
      </c>
      <c r="BK335" s="145">
        <f>ROUND(I335*H335,2)</f>
        <v>0</v>
      </c>
      <c r="BL335" s="18" t="s">
        <v>282</v>
      </c>
      <c r="BM335" s="144" t="s">
        <v>619</v>
      </c>
    </row>
    <row r="336" spans="2:65" s="12" customFormat="1" ht="11.25">
      <c r="B336" s="150"/>
      <c r="D336" s="151" t="s">
        <v>162</v>
      </c>
      <c r="F336" s="153" t="s">
        <v>620</v>
      </c>
      <c r="H336" s="154">
        <v>5.25</v>
      </c>
      <c r="I336" s="155"/>
      <c r="L336" s="150"/>
      <c r="M336" s="156"/>
      <c r="T336" s="157"/>
      <c r="AT336" s="152" t="s">
        <v>162</v>
      </c>
      <c r="AU336" s="152" t="s">
        <v>79</v>
      </c>
      <c r="AV336" s="12" t="s">
        <v>79</v>
      </c>
      <c r="AW336" s="12" t="s">
        <v>4</v>
      </c>
      <c r="AX336" s="12" t="s">
        <v>77</v>
      </c>
      <c r="AY336" s="152" t="s">
        <v>151</v>
      </c>
    </row>
    <row r="337" spans="2:65" s="1" customFormat="1" ht="24.2" customHeight="1">
      <c r="B337" s="132"/>
      <c r="C337" s="133" t="s">
        <v>621</v>
      </c>
      <c r="D337" s="133" t="s">
        <v>153</v>
      </c>
      <c r="E337" s="134" t="s">
        <v>622</v>
      </c>
      <c r="F337" s="135" t="s">
        <v>623</v>
      </c>
      <c r="G337" s="136" t="s">
        <v>230</v>
      </c>
      <c r="H337" s="137">
        <v>296.25</v>
      </c>
      <c r="I337" s="138"/>
      <c r="J337" s="139">
        <f>ROUND(I337*H337,2)</f>
        <v>0</v>
      </c>
      <c r="K337" s="135" t="s">
        <v>171</v>
      </c>
      <c r="L337" s="33"/>
      <c r="M337" s="140" t="s">
        <v>3</v>
      </c>
      <c r="N337" s="141" t="s">
        <v>40</v>
      </c>
      <c r="P337" s="142">
        <f>O337*H337</f>
        <v>0</v>
      </c>
      <c r="Q337" s="142">
        <v>6.0600000000000003E-3</v>
      </c>
      <c r="R337" s="142">
        <f>Q337*H337</f>
        <v>1.7952750000000002</v>
      </c>
      <c r="S337" s="142">
        <v>0</v>
      </c>
      <c r="T337" s="143">
        <f>S337*H337</f>
        <v>0</v>
      </c>
      <c r="AR337" s="144" t="s">
        <v>282</v>
      </c>
      <c r="AT337" s="144" t="s">
        <v>153</v>
      </c>
      <c r="AU337" s="144" t="s">
        <v>79</v>
      </c>
      <c r="AY337" s="18" t="s">
        <v>151</v>
      </c>
      <c r="BE337" s="145">
        <f>IF(N337="základní",J337,0)</f>
        <v>0</v>
      </c>
      <c r="BF337" s="145">
        <f>IF(N337="snížená",J337,0)</f>
        <v>0</v>
      </c>
      <c r="BG337" s="145">
        <f>IF(N337="zákl. přenesená",J337,0)</f>
        <v>0</v>
      </c>
      <c r="BH337" s="145">
        <f>IF(N337="sníž. přenesená",J337,0)</f>
        <v>0</v>
      </c>
      <c r="BI337" s="145">
        <f>IF(N337="nulová",J337,0)</f>
        <v>0</v>
      </c>
      <c r="BJ337" s="18" t="s">
        <v>77</v>
      </c>
      <c r="BK337" s="145">
        <f>ROUND(I337*H337,2)</f>
        <v>0</v>
      </c>
      <c r="BL337" s="18" t="s">
        <v>282</v>
      </c>
      <c r="BM337" s="144" t="s">
        <v>624</v>
      </c>
    </row>
    <row r="338" spans="2:65" s="1" customFormat="1" ht="11.25">
      <c r="B338" s="33"/>
      <c r="D338" s="146" t="s">
        <v>160</v>
      </c>
      <c r="F338" s="147" t="s">
        <v>625</v>
      </c>
      <c r="I338" s="148"/>
      <c r="L338" s="33"/>
      <c r="M338" s="149"/>
      <c r="T338" s="54"/>
      <c r="AT338" s="18" t="s">
        <v>160</v>
      </c>
      <c r="AU338" s="18" t="s">
        <v>79</v>
      </c>
    </row>
    <row r="339" spans="2:65" s="14" customFormat="1" ht="11.25">
      <c r="B339" s="165"/>
      <c r="D339" s="151" t="s">
        <v>162</v>
      </c>
      <c r="E339" s="166" t="s">
        <v>3</v>
      </c>
      <c r="F339" s="167" t="s">
        <v>626</v>
      </c>
      <c r="H339" s="166" t="s">
        <v>3</v>
      </c>
      <c r="I339" s="168"/>
      <c r="L339" s="165"/>
      <c r="M339" s="169"/>
      <c r="T339" s="170"/>
      <c r="AT339" s="166" t="s">
        <v>162</v>
      </c>
      <c r="AU339" s="166" t="s">
        <v>79</v>
      </c>
      <c r="AV339" s="14" t="s">
        <v>77</v>
      </c>
      <c r="AW339" s="14" t="s">
        <v>30</v>
      </c>
      <c r="AX339" s="14" t="s">
        <v>69</v>
      </c>
      <c r="AY339" s="166" t="s">
        <v>151</v>
      </c>
    </row>
    <row r="340" spans="2:65" s="12" customFormat="1" ht="11.25">
      <c r="B340" s="150"/>
      <c r="D340" s="151" t="s">
        <v>162</v>
      </c>
      <c r="E340" s="152" t="s">
        <v>3</v>
      </c>
      <c r="F340" s="153" t="s">
        <v>627</v>
      </c>
      <c r="H340" s="154">
        <v>248</v>
      </c>
      <c r="I340" s="155"/>
      <c r="L340" s="150"/>
      <c r="M340" s="156"/>
      <c r="T340" s="157"/>
      <c r="AT340" s="152" t="s">
        <v>162</v>
      </c>
      <c r="AU340" s="152" t="s">
        <v>79</v>
      </c>
      <c r="AV340" s="12" t="s">
        <v>79</v>
      </c>
      <c r="AW340" s="12" t="s">
        <v>30</v>
      </c>
      <c r="AX340" s="12" t="s">
        <v>69</v>
      </c>
      <c r="AY340" s="152" t="s">
        <v>151</v>
      </c>
    </row>
    <row r="341" spans="2:65" s="14" customFormat="1" ht="11.25">
      <c r="B341" s="165"/>
      <c r="D341" s="151" t="s">
        <v>162</v>
      </c>
      <c r="E341" s="166" t="s">
        <v>3</v>
      </c>
      <c r="F341" s="167" t="s">
        <v>628</v>
      </c>
      <c r="H341" s="166" t="s">
        <v>3</v>
      </c>
      <c r="I341" s="168"/>
      <c r="L341" s="165"/>
      <c r="M341" s="169"/>
      <c r="T341" s="170"/>
      <c r="AT341" s="166" t="s">
        <v>162</v>
      </c>
      <c r="AU341" s="166" t="s">
        <v>79</v>
      </c>
      <c r="AV341" s="14" t="s">
        <v>77</v>
      </c>
      <c r="AW341" s="14" t="s">
        <v>30</v>
      </c>
      <c r="AX341" s="14" t="s">
        <v>69</v>
      </c>
      <c r="AY341" s="166" t="s">
        <v>151</v>
      </c>
    </row>
    <row r="342" spans="2:65" s="12" customFormat="1" ht="11.25">
      <c r="B342" s="150"/>
      <c r="D342" s="151" t="s">
        <v>162</v>
      </c>
      <c r="E342" s="152" t="s">
        <v>3</v>
      </c>
      <c r="F342" s="153" t="s">
        <v>629</v>
      </c>
      <c r="H342" s="154">
        <v>48.25</v>
      </c>
      <c r="I342" s="155"/>
      <c r="L342" s="150"/>
      <c r="M342" s="156"/>
      <c r="T342" s="157"/>
      <c r="AT342" s="152" t="s">
        <v>162</v>
      </c>
      <c r="AU342" s="152" t="s">
        <v>79</v>
      </c>
      <c r="AV342" s="12" t="s">
        <v>79</v>
      </c>
      <c r="AW342" s="12" t="s">
        <v>30</v>
      </c>
      <c r="AX342" s="12" t="s">
        <v>69</v>
      </c>
      <c r="AY342" s="152" t="s">
        <v>151</v>
      </c>
    </row>
    <row r="343" spans="2:65" s="13" customFormat="1" ht="11.25">
      <c r="B343" s="158"/>
      <c r="D343" s="151" t="s">
        <v>162</v>
      </c>
      <c r="E343" s="159" t="s">
        <v>3</v>
      </c>
      <c r="F343" s="160" t="s">
        <v>167</v>
      </c>
      <c r="H343" s="161">
        <v>296.25</v>
      </c>
      <c r="I343" s="162"/>
      <c r="L343" s="158"/>
      <c r="M343" s="163"/>
      <c r="T343" s="164"/>
      <c r="AT343" s="159" t="s">
        <v>162</v>
      </c>
      <c r="AU343" s="159" t="s">
        <v>79</v>
      </c>
      <c r="AV343" s="13" t="s">
        <v>158</v>
      </c>
      <c r="AW343" s="13" t="s">
        <v>30</v>
      </c>
      <c r="AX343" s="13" t="s">
        <v>77</v>
      </c>
      <c r="AY343" s="159" t="s">
        <v>151</v>
      </c>
    </row>
    <row r="344" spans="2:65" s="1" customFormat="1" ht="16.5" customHeight="1">
      <c r="B344" s="132"/>
      <c r="C344" s="172" t="s">
        <v>630</v>
      </c>
      <c r="D344" s="172" t="s">
        <v>436</v>
      </c>
      <c r="E344" s="173" t="s">
        <v>631</v>
      </c>
      <c r="F344" s="174" t="s">
        <v>632</v>
      </c>
      <c r="G344" s="175" t="s">
        <v>230</v>
      </c>
      <c r="H344" s="176">
        <v>248</v>
      </c>
      <c r="I344" s="177"/>
      <c r="J344" s="178">
        <f>ROUND(I344*H344,2)</f>
        <v>0</v>
      </c>
      <c r="K344" s="174" t="s">
        <v>171</v>
      </c>
      <c r="L344" s="179"/>
      <c r="M344" s="180" t="s">
        <v>3</v>
      </c>
      <c r="N344" s="181" t="s">
        <v>40</v>
      </c>
      <c r="P344" s="142">
        <f>O344*H344</f>
        <v>0</v>
      </c>
      <c r="Q344" s="142">
        <v>3.0000000000000001E-3</v>
      </c>
      <c r="R344" s="142">
        <f>Q344*H344</f>
        <v>0.74399999999999999</v>
      </c>
      <c r="S344" s="142">
        <v>0</v>
      </c>
      <c r="T344" s="143">
        <f>S344*H344</f>
        <v>0</v>
      </c>
      <c r="AR344" s="144" t="s">
        <v>202</v>
      </c>
      <c r="AT344" s="144" t="s">
        <v>436</v>
      </c>
      <c r="AU344" s="144" t="s">
        <v>79</v>
      </c>
      <c r="AY344" s="18" t="s">
        <v>151</v>
      </c>
      <c r="BE344" s="145">
        <f>IF(N344="základní",J344,0)</f>
        <v>0</v>
      </c>
      <c r="BF344" s="145">
        <f>IF(N344="snížená",J344,0)</f>
        <v>0</v>
      </c>
      <c r="BG344" s="145">
        <f>IF(N344="zákl. přenesená",J344,0)</f>
        <v>0</v>
      </c>
      <c r="BH344" s="145">
        <f>IF(N344="sníž. přenesená",J344,0)</f>
        <v>0</v>
      </c>
      <c r="BI344" s="145">
        <f>IF(N344="nulová",J344,0)</f>
        <v>0</v>
      </c>
      <c r="BJ344" s="18" t="s">
        <v>77</v>
      </c>
      <c r="BK344" s="145">
        <f>ROUND(I344*H344,2)</f>
        <v>0</v>
      </c>
      <c r="BL344" s="18" t="s">
        <v>282</v>
      </c>
      <c r="BM344" s="144" t="s">
        <v>633</v>
      </c>
    </row>
    <row r="345" spans="2:65" s="1" customFormat="1" ht="16.5" customHeight="1">
      <c r="B345" s="132"/>
      <c r="C345" s="172" t="s">
        <v>634</v>
      </c>
      <c r="D345" s="172" t="s">
        <v>436</v>
      </c>
      <c r="E345" s="173" t="s">
        <v>635</v>
      </c>
      <c r="F345" s="174" t="s">
        <v>636</v>
      </c>
      <c r="G345" s="175" t="s">
        <v>230</v>
      </c>
      <c r="H345" s="176">
        <v>48.25</v>
      </c>
      <c r="I345" s="177"/>
      <c r="J345" s="178">
        <f>ROUND(I345*H345,2)</f>
        <v>0</v>
      </c>
      <c r="K345" s="174" t="s">
        <v>157</v>
      </c>
      <c r="L345" s="179"/>
      <c r="M345" s="180" t="s">
        <v>3</v>
      </c>
      <c r="N345" s="181" t="s">
        <v>40</v>
      </c>
      <c r="P345" s="142">
        <f>O345*H345</f>
        <v>0</v>
      </c>
      <c r="Q345" s="142">
        <v>1.4E-3</v>
      </c>
      <c r="R345" s="142">
        <f>Q345*H345</f>
        <v>6.7549999999999999E-2</v>
      </c>
      <c r="S345" s="142">
        <v>0</v>
      </c>
      <c r="T345" s="143">
        <f>S345*H345</f>
        <v>0</v>
      </c>
      <c r="AR345" s="144" t="s">
        <v>202</v>
      </c>
      <c r="AT345" s="144" t="s">
        <v>436</v>
      </c>
      <c r="AU345" s="144" t="s">
        <v>79</v>
      </c>
      <c r="AY345" s="18" t="s">
        <v>151</v>
      </c>
      <c r="BE345" s="145">
        <f>IF(N345="základní",J345,0)</f>
        <v>0</v>
      </c>
      <c r="BF345" s="145">
        <f>IF(N345="snížená",J345,0)</f>
        <v>0</v>
      </c>
      <c r="BG345" s="145">
        <f>IF(N345="zákl. přenesená",J345,0)</f>
        <v>0</v>
      </c>
      <c r="BH345" s="145">
        <f>IF(N345="sníž. přenesená",J345,0)</f>
        <v>0</v>
      </c>
      <c r="BI345" s="145">
        <f>IF(N345="nulová",J345,0)</f>
        <v>0</v>
      </c>
      <c r="BJ345" s="18" t="s">
        <v>77</v>
      </c>
      <c r="BK345" s="145">
        <f>ROUND(I345*H345,2)</f>
        <v>0</v>
      </c>
      <c r="BL345" s="18" t="s">
        <v>282</v>
      </c>
      <c r="BM345" s="144" t="s">
        <v>637</v>
      </c>
    </row>
    <row r="346" spans="2:65" s="1" customFormat="1" ht="16.5" customHeight="1">
      <c r="B346" s="132"/>
      <c r="C346" s="133" t="s">
        <v>638</v>
      </c>
      <c r="D346" s="133" t="s">
        <v>153</v>
      </c>
      <c r="E346" s="134" t="s">
        <v>639</v>
      </c>
      <c r="F346" s="135" t="s">
        <v>640</v>
      </c>
      <c r="G346" s="136" t="s">
        <v>514</v>
      </c>
      <c r="H346" s="137">
        <v>96.5</v>
      </c>
      <c r="I346" s="138"/>
      <c r="J346" s="139">
        <f>ROUND(I346*H346,2)</f>
        <v>0</v>
      </c>
      <c r="K346" s="135" t="s">
        <v>3</v>
      </c>
      <c r="L346" s="33"/>
      <c r="M346" s="140" t="s">
        <v>3</v>
      </c>
      <c r="N346" s="141" t="s">
        <v>40</v>
      </c>
      <c r="P346" s="142">
        <f>O346*H346</f>
        <v>0</v>
      </c>
      <c r="Q346" s="142">
        <v>6.0600000000000003E-3</v>
      </c>
      <c r="R346" s="142">
        <f>Q346*H346</f>
        <v>0.58479000000000003</v>
      </c>
      <c r="S346" s="142">
        <v>0</v>
      </c>
      <c r="T346" s="143">
        <f>S346*H346</f>
        <v>0</v>
      </c>
      <c r="AR346" s="144" t="s">
        <v>282</v>
      </c>
      <c r="AT346" s="144" t="s">
        <v>153</v>
      </c>
      <c r="AU346" s="144" t="s">
        <v>79</v>
      </c>
      <c r="AY346" s="18" t="s">
        <v>151</v>
      </c>
      <c r="BE346" s="145">
        <f>IF(N346="základní",J346,0)</f>
        <v>0</v>
      </c>
      <c r="BF346" s="145">
        <f>IF(N346="snížená",J346,0)</f>
        <v>0</v>
      </c>
      <c r="BG346" s="145">
        <f>IF(N346="zákl. přenesená",J346,0)</f>
        <v>0</v>
      </c>
      <c r="BH346" s="145">
        <f>IF(N346="sníž. přenesená",J346,0)</f>
        <v>0</v>
      </c>
      <c r="BI346" s="145">
        <f>IF(N346="nulová",J346,0)</f>
        <v>0</v>
      </c>
      <c r="BJ346" s="18" t="s">
        <v>77</v>
      </c>
      <c r="BK346" s="145">
        <f>ROUND(I346*H346,2)</f>
        <v>0</v>
      </c>
      <c r="BL346" s="18" t="s">
        <v>282</v>
      </c>
      <c r="BM346" s="144" t="s">
        <v>641</v>
      </c>
    </row>
    <row r="347" spans="2:65" s="14" customFormat="1" ht="11.25">
      <c r="B347" s="165"/>
      <c r="D347" s="151" t="s">
        <v>162</v>
      </c>
      <c r="E347" s="166" t="s">
        <v>3</v>
      </c>
      <c r="F347" s="167" t="s">
        <v>642</v>
      </c>
      <c r="H347" s="166" t="s">
        <v>3</v>
      </c>
      <c r="I347" s="168"/>
      <c r="L347" s="165"/>
      <c r="M347" s="169"/>
      <c r="T347" s="170"/>
      <c r="AT347" s="166" t="s">
        <v>162</v>
      </c>
      <c r="AU347" s="166" t="s">
        <v>79</v>
      </c>
      <c r="AV347" s="14" t="s">
        <v>77</v>
      </c>
      <c r="AW347" s="14" t="s">
        <v>30</v>
      </c>
      <c r="AX347" s="14" t="s">
        <v>69</v>
      </c>
      <c r="AY347" s="166" t="s">
        <v>151</v>
      </c>
    </row>
    <row r="348" spans="2:65" s="12" customFormat="1" ht="11.25">
      <c r="B348" s="150"/>
      <c r="D348" s="151" t="s">
        <v>162</v>
      </c>
      <c r="E348" s="152" t="s">
        <v>3</v>
      </c>
      <c r="F348" s="153" t="s">
        <v>643</v>
      </c>
      <c r="H348" s="154">
        <v>96.5</v>
      </c>
      <c r="I348" s="155"/>
      <c r="L348" s="150"/>
      <c r="M348" s="156"/>
      <c r="T348" s="157"/>
      <c r="AT348" s="152" t="s">
        <v>162</v>
      </c>
      <c r="AU348" s="152" t="s">
        <v>79</v>
      </c>
      <c r="AV348" s="12" t="s">
        <v>79</v>
      </c>
      <c r="AW348" s="12" t="s">
        <v>30</v>
      </c>
      <c r="AX348" s="12" t="s">
        <v>69</v>
      </c>
      <c r="AY348" s="152" t="s">
        <v>151</v>
      </c>
    </row>
    <row r="349" spans="2:65" s="13" customFormat="1" ht="11.25">
      <c r="B349" s="158"/>
      <c r="D349" s="151" t="s">
        <v>162</v>
      </c>
      <c r="E349" s="159" t="s">
        <v>3</v>
      </c>
      <c r="F349" s="160" t="s">
        <v>167</v>
      </c>
      <c r="H349" s="161">
        <v>96.5</v>
      </c>
      <c r="I349" s="162"/>
      <c r="L349" s="158"/>
      <c r="M349" s="163"/>
      <c r="T349" s="164"/>
      <c r="AT349" s="159" t="s">
        <v>162</v>
      </c>
      <c r="AU349" s="159" t="s">
        <v>79</v>
      </c>
      <c r="AV349" s="13" t="s">
        <v>158</v>
      </c>
      <c r="AW349" s="13" t="s">
        <v>30</v>
      </c>
      <c r="AX349" s="13" t="s">
        <v>77</v>
      </c>
      <c r="AY349" s="159" t="s">
        <v>151</v>
      </c>
    </row>
    <row r="350" spans="2:65" s="1" customFormat="1" ht="24.2" customHeight="1">
      <c r="B350" s="132"/>
      <c r="C350" s="133" t="s">
        <v>644</v>
      </c>
      <c r="D350" s="133" t="s">
        <v>153</v>
      </c>
      <c r="E350" s="134" t="s">
        <v>645</v>
      </c>
      <c r="F350" s="135" t="s">
        <v>646</v>
      </c>
      <c r="G350" s="136" t="s">
        <v>183</v>
      </c>
      <c r="H350" s="137">
        <v>3.2050000000000001</v>
      </c>
      <c r="I350" s="138"/>
      <c r="J350" s="139">
        <f>ROUND(I350*H350,2)</f>
        <v>0</v>
      </c>
      <c r="K350" s="135" t="s">
        <v>157</v>
      </c>
      <c r="L350" s="33"/>
      <c r="M350" s="140" t="s">
        <v>3</v>
      </c>
      <c r="N350" s="141" t="s">
        <v>40</v>
      </c>
      <c r="P350" s="142">
        <f>O350*H350</f>
        <v>0</v>
      </c>
      <c r="Q350" s="142">
        <v>0</v>
      </c>
      <c r="R350" s="142">
        <f>Q350*H350</f>
        <v>0</v>
      </c>
      <c r="S350" s="142">
        <v>0</v>
      </c>
      <c r="T350" s="143">
        <f>S350*H350</f>
        <v>0</v>
      </c>
      <c r="AR350" s="144" t="s">
        <v>282</v>
      </c>
      <c r="AT350" s="144" t="s">
        <v>153</v>
      </c>
      <c r="AU350" s="144" t="s">
        <v>79</v>
      </c>
      <c r="AY350" s="18" t="s">
        <v>151</v>
      </c>
      <c r="BE350" s="145">
        <f>IF(N350="základní",J350,0)</f>
        <v>0</v>
      </c>
      <c r="BF350" s="145">
        <f>IF(N350="snížená",J350,0)</f>
        <v>0</v>
      </c>
      <c r="BG350" s="145">
        <f>IF(N350="zákl. přenesená",J350,0)</f>
        <v>0</v>
      </c>
      <c r="BH350" s="145">
        <f>IF(N350="sníž. přenesená",J350,0)</f>
        <v>0</v>
      </c>
      <c r="BI350" s="145">
        <f>IF(N350="nulová",J350,0)</f>
        <v>0</v>
      </c>
      <c r="BJ350" s="18" t="s">
        <v>77</v>
      </c>
      <c r="BK350" s="145">
        <f>ROUND(I350*H350,2)</f>
        <v>0</v>
      </c>
      <c r="BL350" s="18" t="s">
        <v>282</v>
      </c>
      <c r="BM350" s="144" t="s">
        <v>647</v>
      </c>
    </row>
    <row r="351" spans="2:65" s="1" customFormat="1" ht="11.25">
      <c r="B351" s="33"/>
      <c r="D351" s="146" t="s">
        <v>160</v>
      </c>
      <c r="F351" s="147" t="s">
        <v>648</v>
      </c>
      <c r="I351" s="148"/>
      <c r="L351" s="33"/>
      <c r="M351" s="149"/>
      <c r="T351" s="54"/>
      <c r="AT351" s="18" t="s">
        <v>160</v>
      </c>
      <c r="AU351" s="18" t="s">
        <v>79</v>
      </c>
    </row>
    <row r="352" spans="2:65" s="11" customFormat="1" ht="22.9" customHeight="1">
      <c r="B352" s="120"/>
      <c r="D352" s="121" t="s">
        <v>68</v>
      </c>
      <c r="E352" s="130" t="s">
        <v>649</v>
      </c>
      <c r="F352" s="130" t="s">
        <v>650</v>
      </c>
      <c r="I352" s="123"/>
      <c r="J352" s="131">
        <f>BK352</f>
        <v>0</v>
      </c>
      <c r="L352" s="120"/>
      <c r="M352" s="125"/>
      <c r="P352" s="126">
        <f>SUM(P353:P360)</f>
        <v>0</v>
      </c>
      <c r="R352" s="126">
        <f>SUM(R353:R360)</f>
        <v>6.5549999999999997E-2</v>
      </c>
      <c r="T352" s="127">
        <f>SUM(T353:T360)</f>
        <v>0</v>
      </c>
      <c r="AR352" s="121" t="s">
        <v>79</v>
      </c>
      <c r="AT352" s="128" t="s">
        <v>68</v>
      </c>
      <c r="AU352" s="128" t="s">
        <v>77</v>
      </c>
      <c r="AY352" s="121" t="s">
        <v>151</v>
      </c>
      <c r="BK352" s="129">
        <f>SUM(BK353:BK360)</f>
        <v>0</v>
      </c>
    </row>
    <row r="353" spans="2:65" s="1" customFormat="1" ht="16.5" customHeight="1">
      <c r="B353" s="132"/>
      <c r="C353" s="133" t="s">
        <v>651</v>
      </c>
      <c r="D353" s="133" t="s">
        <v>153</v>
      </c>
      <c r="E353" s="134" t="s">
        <v>652</v>
      </c>
      <c r="F353" s="135" t="s">
        <v>653</v>
      </c>
      <c r="G353" s="136" t="s">
        <v>484</v>
      </c>
      <c r="H353" s="137">
        <v>14</v>
      </c>
      <c r="I353" s="138"/>
      <c r="J353" s="139">
        <f>ROUND(I353*H353,2)</f>
        <v>0</v>
      </c>
      <c r="K353" s="135" t="s">
        <v>3</v>
      </c>
      <c r="L353" s="33"/>
      <c r="M353" s="140" t="s">
        <v>3</v>
      </c>
      <c r="N353" s="141" t="s">
        <v>40</v>
      </c>
      <c r="P353" s="142">
        <f>O353*H353</f>
        <v>0</v>
      </c>
      <c r="Q353" s="142">
        <v>3.4499999999999999E-3</v>
      </c>
      <c r="R353" s="142">
        <f>Q353*H353</f>
        <v>4.8299999999999996E-2</v>
      </c>
      <c r="S353" s="142">
        <v>0</v>
      </c>
      <c r="T353" s="143">
        <f>S353*H353</f>
        <v>0</v>
      </c>
      <c r="AR353" s="144" t="s">
        <v>282</v>
      </c>
      <c r="AT353" s="144" t="s">
        <v>153</v>
      </c>
      <c r="AU353" s="144" t="s">
        <v>79</v>
      </c>
      <c r="AY353" s="18" t="s">
        <v>151</v>
      </c>
      <c r="BE353" s="145">
        <f>IF(N353="základní",J353,0)</f>
        <v>0</v>
      </c>
      <c r="BF353" s="145">
        <f>IF(N353="snížená",J353,0)</f>
        <v>0</v>
      </c>
      <c r="BG353" s="145">
        <f>IF(N353="zákl. přenesená",J353,0)</f>
        <v>0</v>
      </c>
      <c r="BH353" s="145">
        <f>IF(N353="sníž. přenesená",J353,0)</f>
        <v>0</v>
      </c>
      <c r="BI353" s="145">
        <f>IF(N353="nulová",J353,0)</f>
        <v>0</v>
      </c>
      <c r="BJ353" s="18" t="s">
        <v>77</v>
      </c>
      <c r="BK353" s="145">
        <f>ROUND(I353*H353,2)</f>
        <v>0</v>
      </c>
      <c r="BL353" s="18" t="s">
        <v>282</v>
      </c>
      <c r="BM353" s="144" t="s">
        <v>654</v>
      </c>
    </row>
    <row r="354" spans="2:65" s="1" customFormat="1" ht="97.5">
      <c r="B354" s="33"/>
      <c r="D354" s="151" t="s">
        <v>219</v>
      </c>
      <c r="F354" s="171" t="s">
        <v>655</v>
      </c>
      <c r="I354" s="148"/>
      <c r="L354" s="33"/>
      <c r="M354" s="149"/>
      <c r="T354" s="54"/>
      <c r="AT354" s="18" t="s">
        <v>219</v>
      </c>
      <c r="AU354" s="18" t="s">
        <v>79</v>
      </c>
    </row>
    <row r="355" spans="2:65" s="1" customFormat="1" ht="16.5" customHeight="1">
      <c r="B355" s="132"/>
      <c r="C355" s="133" t="s">
        <v>656</v>
      </c>
      <c r="D355" s="133" t="s">
        <v>153</v>
      </c>
      <c r="E355" s="134" t="s">
        <v>657</v>
      </c>
      <c r="F355" s="135" t="s">
        <v>658</v>
      </c>
      <c r="G355" s="136" t="s">
        <v>484</v>
      </c>
      <c r="H355" s="137">
        <v>3</v>
      </c>
      <c r="I355" s="138"/>
      <c r="J355" s="139">
        <f>ROUND(I355*H355,2)</f>
        <v>0</v>
      </c>
      <c r="K355" s="135" t="s">
        <v>3</v>
      </c>
      <c r="L355" s="33"/>
      <c r="M355" s="140" t="s">
        <v>3</v>
      </c>
      <c r="N355" s="141" t="s">
        <v>40</v>
      </c>
      <c r="P355" s="142">
        <f>O355*H355</f>
        <v>0</v>
      </c>
      <c r="Q355" s="142">
        <v>3.4499999999999999E-3</v>
      </c>
      <c r="R355" s="142">
        <f>Q355*H355</f>
        <v>1.035E-2</v>
      </c>
      <c r="S355" s="142">
        <v>0</v>
      </c>
      <c r="T355" s="143">
        <f>S355*H355</f>
        <v>0</v>
      </c>
      <c r="AR355" s="144" t="s">
        <v>282</v>
      </c>
      <c r="AT355" s="144" t="s">
        <v>153</v>
      </c>
      <c r="AU355" s="144" t="s">
        <v>79</v>
      </c>
      <c r="AY355" s="18" t="s">
        <v>151</v>
      </c>
      <c r="BE355" s="145">
        <f>IF(N355="základní",J355,0)</f>
        <v>0</v>
      </c>
      <c r="BF355" s="145">
        <f>IF(N355="snížená",J355,0)</f>
        <v>0</v>
      </c>
      <c r="BG355" s="145">
        <f>IF(N355="zákl. přenesená",J355,0)</f>
        <v>0</v>
      </c>
      <c r="BH355" s="145">
        <f>IF(N355="sníž. přenesená",J355,0)</f>
        <v>0</v>
      </c>
      <c r="BI355" s="145">
        <f>IF(N355="nulová",J355,0)</f>
        <v>0</v>
      </c>
      <c r="BJ355" s="18" t="s">
        <v>77</v>
      </c>
      <c r="BK355" s="145">
        <f>ROUND(I355*H355,2)</f>
        <v>0</v>
      </c>
      <c r="BL355" s="18" t="s">
        <v>282</v>
      </c>
      <c r="BM355" s="144" t="s">
        <v>659</v>
      </c>
    </row>
    <row r="356" spans="2:65" s="1" customFormat="1" ht="78">
      <c r="B356" s="33"/>
      <c r="D356" s="151" t="s">
        <v>219</v>
      </c>
      <c r="F356" s="171" t="s">
        <v>660</v>
      </c>
      <c r="I356" s="148"/>
      <c r="L356" s="33"/>
      <c r="M356" s="149"/>
      <c r="T356" s="54"/>
      <c r="AT356" s="18" t="s">
        <v>219</v>
      </c>
      <c r="AU356" s="18" t="s">
        <v>79</v>
      </c>
    </row>
    <row r="357" spans="2:65" s="1" customFormat="1" ht="16.5" customHeight="1">
      <c r="B357" s="132"/>
      <c r="C357" s="133" t="s">
        <v>661</v>
      </c>
      <c r="D357" s="133" t="s">
        <v>153</v>
      </c>
      <c r="E357" s="134" t="s">
        <v>662</v>
      </c>
      <c r="F357" s="135" t="s">
        <v>663</v>
      </c>
      <c r="G357" s="136" t="s">
        <v>484</v>
      </c>
      <c r="H357" s="137">
        <v>2</v>
      </c>
      <c r="I357" s="138"/>
      <c r="J357" s="139">
        <f>ROUND(I357*H357,2)</f>
        <v>0</v>
      </c>
      <c r="K357" s="135" t="s">
        <v>3</v>
      </c>
      <c r="L357" s="33"/>
      <c r="M357" s="140" t="s">
        <v>3</v>
      </c>
      <c r="N357" s="141" t="s">
        <v>40</v>
      </c>
      <c r="P357" s="142">
        <f>O357*H357</f>
        <v>0</v>
      </c>
      <c r="Q357" s="142">
        <v>3.4499999999999999E-3</v>
      </c>
      <c r="R357" s="142">
        <f>Q357*H357</f>
        <v>6.8999999999999999E-3</v>
      </c>
      <c r="S357" s="142">
        <v>0</v>
      </c>
      <c r="T357" s="143">
        <f>S357*H357</f>
        <v>0</v>
      </c>
      <c r="AR357" s="144" t="s">
        <v>282</v>
      </c>
      <c r="AT357" s="144" t="s">
        <v>153</v>
      </c>
      <c r="AU357" s="144" t="s">
        <v>79</v>
      </c>
      <c r="AY357" s="18" t="s">
        <v>151</v>
      </c>
      <c r="BE357" s="145">
        <f>IF(N357="základní",J357,0)</f>
        <v>0</v>
      </c>
      <c r="BF357" s="145">
        <f>IF(N357="snížená",J357,0)</f>
        <v>0</v>
      </c>
      <c r="BG357" s="145">
        <f>IF(N357="zákl. přenesená",J357,0)</f>
        <v>0</v>
      </c>
      <c r="BH357" s="145">
        <f>IF(N357="sníž. přenesená",J357,0)</f>
        <v>0</v>
      </c>
      <c r="BI357" s="145">
        <f>IF(N357="nulová",J357,0)</f>
        <v>0</v>
      </c>
      <c r="BJ357" s="18" t="s">
        <v>77</v>
      </c>
      <c r="BK357" s="145">
        <f>ROUND(I357*H357,2)</f>
        <v>0</v>
      </c>
      <c r="BL357" s="18" t="s">
        <v>282</v>
      </c>
      <c r="BM357" s="144" t="s">
        <v>664</v>
      </c>
    </row>
    <row r="358" spans="2:65" s="1" customFormat="1" ht="78">
      <c r="B358" s="33"/>
      <c r="D358" s="151" t="s">
        <v>219</v>
      </c>
      <c r="F358" s="171" t="s">
        <v>665</v>
      </c>
      <c r="I358" s="148"/>
      <c r="L358" s="33"/>
      <c r="M358" s="149"/>
      <c r="T358" s="54"/>
      <c r="AT358" s="18" t="s">
        <v>219</v>
      </c>
      <c r="AU358" s="18" t="s">
        <v>79</v>
      </c>
    </row>
    <row r="359" spans="2:65" s="1" customFormat="1" ht="24.2" customHeight="1">
      <c r="B359" s="132"/>
      <c r="C359" s="133" t="s">
        <v>666</v>
      </c>
      <c r="D359" s="133" t="s">
        <v>153</v>
      </c>
      <c r="E359" s="134" t="s">
        <v>667</v>
      </c>
      <c r="F359" s="135" t="s">
        <v>668</v>
      </c>
      <c r="G359" s="136" t="s">
        <v>183</v>
      </c>
      <c r="H359" s="137">
        <v>0.26600000000000001</v>
      </c>
      <c r="I359" s="138"/>
      <c r="J359" s="139">
        <f>ROUND(I359*H359,2)</f>
        <v>0</v>
      </c>
      <c r="K359" s="135" t="s">
        <v>157</v>
      </c>
      <c r="L359" s="33"/>
      <c r="M359" s="140" t="s">
        <v>3</v>
      </c>
      <c r="N359" s="141" t="s">
        <v>40</v>
      </c>
      <c r="P359" s="142">
        <f>O359*H359</f>
        <v>0</v>
      </c>
      <c r="Q359" s="142">
        <v>0</v>
      </c>
      <c r="R359" s="142">
        <f>Q359*H359</f>
        <v>0</v>
      </c>
      <c r="S359" s="142">
        <v>0</v>
      </c>
      <c r="T359" s="143">
        <f>S359*H359</f>
        <v>0</v>
      </c>
      <c r="AR359" s="144" t="s">
        <v>282</v>
      </c>
      <c r="AT359" s="144" t="s">
        <v>153</v>
      </c>
      <c r="AU359" s="144" t="s">
        <v>79</v>
      </c>
      <c r="AY359" s="18" t="s">
        <v>151</v>
      </c>
      <c r="BE359" s="145">
        <f>IF(N359="základní",J359,0)</f>
        <v>0</v>
      </c>
      <c r="BF359" s="145">
        <f>IF(N359="snížená",J359,0)</f>
        <v>0</v>
      </c>
      <c r="BG359" s="145">
        <f>IF(N359="zákl. přenesená",J359,0)</f>
        <v>0</v>
      </c>
      <c r="BH359" s="145">
        <f>IF(N359="sníž. přenesená",J359,0)</f>
        <v>0</v>
      </c>
      <c r="BI359" s="145">
        <f>IF(N359="nulová",J359,0)</f>
        <v>0</v>
      </c>
      <c r="BJ359" s="18" t="s">
        <v>77</v>
      </c>
      <c r="BK359" s="145">
        <f>ROUND(I359*H359,2)</f>
        <v>0</v>
      </c>
      <c r="BL359" s="18" t="s">
        <v>282</v>
      </c>
      <c r="BM359" s="144" t="s">
        <v>669</v>
      </c>
    </row>
    <row r="360" spans="2:65" s="1" customFormat="1" ht="11.25">
      <c r="B360" s="33"/>
      <c r="D360" s="146" t="s">
        <v>160</v>
      </c>
      <c r="F360" s="147" t="s">
        <v>670</v>
      </c>
      <c r="I360" s="148"/>
      <c r="L360" s="33"/>
      <c r="M360" s="149"/>
      <c r="T360" s="54"/>
      <c r="AT360" s="18" t="s">
        <v>160</v>
      </c>
      <c r="AU360" s="18" t="s">
        <v>79</v>
      </c>
    </row>
    <row r="361" spans="2:65" s="11" customFormat="1" ht="22.9" customHeight="1">
      <c r="B361" s="120"/>
      <c r="D361" s="121" t="s">
        <v>68</v>
      </c>
      <c r="E361" s="130" t="s">
        <v>671</v>
      </c>
      <c r="F361" s="130" t="s">
        <v>672</v>
      </c>
      <c r="I361" s="123"/>
      <c r="J361" s="131">
        <f>BK361</f>
        <v>0</v>
      </c>
      <c r="L361" s="120"/>
      <c r="M361" s="125"/>
      <c r="P361" s="126">
        <f>SUM(P362:P374)</f>
        <v>0</v>
      </c>
      <c r="R361" s="126">
        <f>SUM(R362:R374)</f>
        <v>0</v>
      </c>
      <c r="T361" s="127">
        <f>SUM(T362:T374)</f>
        <v>0</v>
      </c>
      <c r="AR361" s="121" t="s">
        <v>79</v>
      </c>
      <c r="AT361" s="128" t="s">
        <v>68</v>
      </c>
      <c r="AU361" s="128" t="s">
        <v>77</v>
      </c>
      <c r="AY361" s="121" t="s">
        <v>151</v>
      </c>
      <c r="BK361" s="129">
        <f>SUM(BK362:BK374)</f>
        <v>0</v>
      </c>
    </row>
    <row r="362" spans="2:65" s="1" customFormat="1" ht="16.5" customHeight="1">
      <c r="B362" s="132"/>
      <c r="C362" s="133" t="s">
        <v>673</v>
      </c>
      <c r="D362" s="133" t="s">
        <v>153</v>
      </c>
      <c r="E362" s="134" t="s">
        <v>674</v>
      </c>
      <c r="F362" s="135" t="s">
        <v>675</v>
      </c>
      <c r="G362" s="136" t="s">
        <v>676</v>
      </c>
      <c r="H362" s="137">
        <v>1</v>
      </c>
      <c r="I362" s="138"/>
      <c r="J362" s="139">
        <f>ROUND(I362*H362,2)</f>
        <v>0</v>
      </c>
      <c r="K362" s="135" t="s">
        <v>3</v>
      </c>
      <c r="L362" s="33"/>
      <c r="M362" s="140" t="s">
        <v>3</v>
      </c>
      <c r="N362" s="141" t="s">
        <v>40</v>
      </c>
      <c r="P362" s="142">
        <f>O362*H362</f>
        <v>0</v>
      </c>
      <c r="Q362" s="142">
        <v>0</v>
      </c>
      <c r="R362" s="142">
        <f>Q362*H362</f>
        <v>0</v>
      </c>
      <c r="S362" s="142">
        <v>0</v>
      </c>
      <c r="T362" s="143">
        <f>S362*H362</f>
        <v>0</v>
      </c>
      <c r="AR362" s="144" t="s">
        <v>282</v>
      </c>
      <c r="AT362" s="144" t="s">
        <v>153</v>
      </c>
      <c r="AU362" s="144" t="s">
        <v>79</v>
      </c>
      <c r="AY362" s="18" t="s">
        <v>151</v>
      </c>
      <c r="BE362" s="145">
        <f>IF(N362="základní",J362,0)</f>
        <v>0</v>
      </c>
      <c r="BF362" s="145">
        <f>IF(N362="snížená",J362,0)</f>
        <v>0</v>
      </c>
      <c r="BG362" s="145">
        <f>IF(N362="zákl. přenesená",J362,0)</f>
        <v>0</v>
      </c>
      <c r="BH362" s="145">
        <f>IF(N362="sníž. přenesená",J362,0)</f>
        <v>0</v>
      </c>
      <c r="BI362" s="145">
        <f>IF(N362="nulová",J362,0)</f>
        <v>0</v>
      </c>
      <c r="BJ362" s="18" t="s">
        <v>77</v>
      </c>
      <c r="BK362" s="145">
        <f>ROUND(I362*H362,2)</f>
        <v>0</v>
      </c>
      <c r="BL362" s="18" t="s">
        <v>282</v>
      </c>
      <c r="BM362" s="144" t="s">
        <v>677</v>
      </c>
    </row>
    <row r="363" spans="2:65" s="1" customFormat="1" ht="126.75">
      <c r="B363" s="33"/>
      <c r="D363" s="151" t="s">
        <v>219</v>
      </c>
      <c r="F363" s="171" t="s">
        <v>678</v>
      </c>
      <c r="I363" s="148"/>
      <c r="L363" s="33"/>
      <c r="M363" s="149"/>
      <c r="T363" s="54"/>
      <c r="AT363" s="18" t="s">
        <v>219</v>
      </c>
      <c r="AU363" s="18" t="s">
        <v>79</v>
      </c>
    </row>
    <row r="364" spans="2:65" s="1" customFormat="1" ht="16.5" customHeight="1">
      <c r="B364" s="132"/>
      <c r="C364" s="133" t="s">
        <v>679</v>
      </c>
      <c r="D364" s="133" t="s">
        <v>153</v>
      </c>
      <c r="E364" s="134" t="s">
        <v>680</v>
      </c>
      <c r="F364" s="135" t="s">
        <v>681</v>
      </c>
      <c r="G364" s="136" t="s">
        <v>676</v>
      </c>
      <c r="H364" s="137">
        <v>1</v>
      </c>
      <c r="I364" s="138"/>
      <c r="J364" s="139">
        <f>ROUND(I364*H364,2)</f>
        <v>0</v>
      </c>
      <c r="K364" s="135" t="s">
        <v>3</v>
      </c>
      <c r="L364" s="33"/>
      <c r="M364" s="140" t="s">
        <v>3</v>
      </c>
      <c r="N364" s="141" t="s">
        <v>40</v>
      </c>
      <c r="P364" s="142">
        <f>O364*H364</f>
        <v>0</v>
      </c>
      <c r="Q364" s="142">
        <v>0</v>
      </c>
      <c r="R364" s="142">
        <f>Q364*H364</f>
        <v>0</v>
      </c>
      <c r="S364" s="142">
        <v>0</v>
      </c>
      <c r="T364" s="143">
        <f>S364*H364</f>
        <v>0</v>
      </c>
      <c r="AR364" s="144" t="s">
        <v>282</v>
      </c>
      <c r="AT364" s="144" t="s">
        <v>153</v>
      </c>
      <c r="AU364" s="144" t="s">
        <v>79</v>
      </c>
      <c r="AY364" s="18" t="s">
        <v>151</v>
      </c>
      <c r="BE364" s="145">
        <f>IF(N364="základní",J364,0)</f>
        <v>0</v>
      </c>
      <c r="BF364" s="145">
        <f>IF(N364="snížená",J364,0)</f>
        <v>0</v>
      </c>
      <c r="BG364" s="145">
        <f>IF(N364="zákl. přenesená",J364,0)</f>
        <v>0</v>
      </c>
      <c r="BH364" s="145">
        <f>IF(N364="sníž. přenesená",J364,0)</f>
        <v>0</v>
      </c>
      <c r="BI364" s="145">
        <f>IF(N364="nulová",J364,0)</f>
        <v>0</v>
      </c>
      <c r="BJ364" s="18" t="s">
        <v>77</v>
      </c>
      <c r="BK364" s="145">
        <f>ROUND(I364*H364,2)</f>
        <v>0</v>
      </c>
      <c r="BL364" s="18" t="s">
        <v>282</v>
      </c>
      <c r="BM364" s="144" t="s">
        <v>682</v>
      </c>
    </row>
    <row r="365" spans="2:65" s="1" customFormat="1" ht="68.25">
      <c r="B365" s="33"/>
      <c r="D365" s="151" t="s">
        <v>219</v>
      </c>
      <c r="F365" s="171" t="s">
        <v>683</v>
      </c>
      <c r="I365" s="148"/>
      <c r="L365" s="33"/>
      <c r="M365" s="149"/>
      <c r="T365" s="54"/>
      <c r="AT365" s="18" t="s">
        <v>219</v>
      </c>
      <c r="AU365" s="18" t="s">
        <v>79</v>
      </c>
    </row>
    <row r="366" spans="2:65" s="1" customFormat="1" ht="16.5" customHeight="1">
      <c r="B366" s="132"/>
      <c r="C366" s="133" t="s">
        <v>684</v>
      </c>
      <c r="D366" s="133" t="s">
        <v>153</v>
      </c>
      <c r="E366" s="134" t="s">
        <v>685</v>
      </c>
      <c r="F366" s="135" t="s">
        <v>686</v>
      </c>
      <c r="G366" s="136" t="s">
        <v>484</v>
      </c>
      <c r="H366" s="137">
        <v>1</v>
      </c>
      <c r="I366" s="138"/>
      <c r="J366" s="139">
        <f>ROUND(I366*H366,2)</f>
        <v>0</v>
      </c>
      <c r="K366" s="135" t="s">
        <v>3</v>
      </c>
      <c r="L366" s="33"/>
      <c r="M366" s="140" t="s">
        <v>3</v>
      </c>
      <c r="N366" s="141" t="s">
        <v>40</v>
      </c>
      <c r="P366" s="142">
        <f>O366*H366</f>
        <v>0</v>
      </c>
      <c r="Q366" s="142">
        <v>0</v>
      </c>
      <c r="R366" s="142">
        <f>Q366*H366</f>
        <v>0</v>
      </c>
      <c r="S366" s="142">
        <v>0</v>
      </c>
      <c r="T366" s="143">
        <f>S366*H366</f>
        <v>0</v>
      </c>
      <c r="AR366" s="144" t="s">
        <v>282</v>
      </c>
      <c r="AT366" s="144" t="s">
        <v>153</v>
      </c>
      <c r="AU366" s="144" t="s">
        <v>79</v>
      </c>
      <c r="AY366" s="18" t="s">
        <v>151</v>
      </c>
      <c r="BE366" s="145">
        <f>IF(N366="základní",J366,0)</f>
        <v>0</v>
      </c>
      <c r="BF366" s="145">
        <f>IF(N366="snížená",J366,0)</f>
        <v>0</v>
      </c>
      <c r="BG366" s="145">
        <f>IF(N366="zákl. přenesená",J366,0)</f>
        <v>0</v>
      </c>
      <c r="BH366" s="145">
        <f>IF(N366="sníž. přenesená",J366,0)</f>
        <v>0</v>
      </c>
      <c r="BI366" s="145">
        <f>IF(N366="nulová",J366,0)</f>
        <v>0</v>
      </c>
      <c r="BJ366" s="18" t="s">
        <v>77</v>
      </c>
      <c r="BK366" s="145">
        <f>ROUND(I366*H366,2)</f>
        <v>0</v>
      </c>
      <c r="BL366" s="18" t="s">
        <v>282</v>
      </c>
      <c r="BM366" s="144" t="s">
        <v>687</v>
      </c>
    </row>
    <row r="367" spans="2:65" s="1" customFormat="1" ht="263.25">
      <c r="B367" s="33"/>
      <c r="D367" s="151" t="s">
        <v>219</v>
      </c>
      <c r="F367" s="171" t="s">
        <v>688</v>
      </c>
      <c r="I367" s="148"/>
      <c r="L367" s="33"/>
      <c r="M367" s="149"/>
      <c r="T367" s="54"/>
      <c r="AT367" s="18" t="s">
        <v>219</v>
      </c>
      <c r="AU367" s="18" t="s">
        <v>79</v>
      </c>
    </row>
    <row r="368" spans="2:65" s="12" customFormat="1" ht="11.25">
      <c r="B368" s="150"/>
      <c r="D368" s="151" t="s">
        <v>162</v>
      </c>
      <c r="E368" s="152" t="s">
        <v>3</v>
      </c>
      <c r="F368" s="153" t="s">
        <v>77</v>
      </c>
      <c r="H368" s="154">
        <v>1</v>
      </c>
      <c r="I368" s="155"/>
      <c r="L368" s="150"/>
      <c r="M368" s="156"/>
      <c r="T368" s="157"/>
      <c r="AT368" s="152" t="s">
        <v>162</v>
      </c>
      <c r="AU368" s="152" t="s">
        <v>79</v>
      </c>
      <c r="AV368" s="12" t="s">
        <v>79</v>
      </c>
      <c r="AW368" s="12" t="s">
        <v>30</v>
      </c>
      <c r="AX368" s="12" t="s">
        <v>77</v>
      </c>
      <c r="AY368" s="152" t="s">
        <v>151</v>
      </c>
    </row>
    <row r="369" spans="2:65" s="1" customFormat="1" ht="16.5" customHeight="1">
      <c r="B369" s="132"/>
      <c r="C369" s="133" t="s">
        <v>689</v>
      </c>
      <c r="D369" s="133" t="s">
        <v>153</v>
      </c>
      <c r="E369" s="134" t="s">
        <v>690</v>
      </c>
      <c r="F369" s="135" t="s">
        <v>691</v>
      </c>
      <c r="G369" s="136" t="s">
        <v>484</v>
      </c>
      <c r="H369" s="137">
        <v>1</v>
      </c>
      <c r="I369" s="138"/>
      <c r="J369" s="139">
        <f>ROUND(I369*H369,2)</f>
        <v>0</v>
      </c>
      <c r="K369" s="135" t="s">
        <v>3</v>
      </c>
      <c r="L369" s="33"/>
      <c r="M369" s="140" t="s">
        <v>3</v>
      </c>
      <c r="N369" s="141" t="s">
        <v>40</v>
      </c>
      <c r="P369" s="142">
        <f>O369*H369</f>
        <v>0</v>
      </c>
      <c r="Q369" s="142">
        <v>0</v>
      </c>
      <c r="R369" s="142">
        <f>Q369*H369</f>
        <v>0</v>
      </c>
      <c r="S369" s="142">
        <v>0</v>
      </c>
      <c r="T369" s="143">
        <f>S369*H369</f>
        <v>0</v>
      </c>
      <c r="AR369" s="144" t="s">
        <v>282</v>
      </c>
      <c r="AT369" s="144" t="s">
        <v>153</v>
      </c>
      <c r="AU369" s="144" t="s">
        <v>79</v>
      </c>
      <c r="AY369" s="18" t="s">
        <v>151</v>
      </c>
      <c r="BE369" s="145">
        <f>IF(N369="základní",J369,0)</f>
        <v>0</v>
      </c>
      <c r="BF369" s="145">
        <f>IF(N369="snížená",J369,0)</f>
        <v>0</v>
      </c>
      <c r="BG369" s="145">
        <f>IF(N369="zákl. přenesená",J369,0)</f>
        <v>0</v>
      </c>
      <c r="BH369" s="145">
        <f>IF(N369="sníž. přenesená",J369,0)</f>
        <v>0</v>
      </c>
      <c r="BI369" s="145">
        <f>IF(N369="nulová",J369,0)</f>
        <v>0</v>
      </c>
      <c r="BJ369" s="18" t="s">
        <v>77</v>
      </c>
      <c r="BK369" s="145">
        <f>ROUND(I369*H369,2)</f>
        <v>0</v>
      </c>
      <c r="BL369" s="18" t="s">
        <v>282</v>
      </c>
      <c r="BM369" s="144" t="s">
        <v>692</v>
      </c>
    </row>
    <row r="370" spans="2:65" s="1" customFormat="1" ht="165.75">
      <c r="B370" s="33"/>
      <c r="D370" s="151" t="s">
        <v>219</v>
      </c>
      <c r="F370" s="171" t="s">
        <v>693</v>
      </c>
      <c r="I370" s="148"/>
      <c r="L370" s="33"/>
      <c r="M370" s="149"/>
      <c r="T370" s="54"/>
      <c r="AT370" s="18" t="s">
        <v>219</v>
      </c>
      <c r="AU370" s="18" t="s">
        <v>79</v>
      </c>
    </row>
    <row r="371" spans="2:65" s="1" customFormat="1" ht="16.5" customHeight="1">
      <c r="B371" s="132"/>
      <c r="C371" s="133" t="s">
        <v>694</v>
      </c>
      <c r="D371" s="133" t="s">
        <v>153</v>
      </c>
      <c r="E371" s="134" t="s">
        <v>695</v>
      </c>
      <c r="F371" s="135" t="s">
        <v>696</v>
      </c>
      <c r="G371" s="136" t="s">
        <v>484</v>
      </c>
      <c r="H371" s="137">
        <v>1</v>
      </c>
      <c r="I371" s="138"/>
      <c r="J371" s="139">
        <f>ROUND(I371*H371,2)</f>
        <v>0</v>
      </c>
      <c r="K371" s="135" t="s">
        <v>3</v>
      </c>
      <c r="L371" s="33"/>
      <c r="M371" s="140" t="s">
        <v>3</v>
      </c>
      <c r="N371" s="141" t="s">
        <v>40</v>
      </c>
      <c r="P371" s="142">
        <f>O371*H371</f>
        <v>0</v>
      </c>
      <c r="Q371" s="142">
        <v>0</v>
      </c>
      <c r="R371" s="142">
        <f>Q371*H371</f>
        <v>0</v>
      </c>
      <c r="S371" s="142">
        <v>0</v>
      </c>
      <c r="T371" s="143">
        <f>S371*H371</f>
        <v>0</v>
      </c>
      <c r="AR371" s="144" t="s">
        <v>282</v>
      </c>
      <c r="AT371" s="144" t="s">
        <v>153</v>
      </c>
      <c r="AU371" s="144" t="s">
        <v>79</v>
      </c>
      <c r="AY371" s="18" t="s">
        <v>151</v>
      </c>
      <c r="BE371" s="145">
        <f>IF(N371="základní",J371,0)</f>
        <v>0</v>
      </c>
      <c r="BF371" s="145">
        <f>IF(N371="snížená",J371,0)</f>
        <v>0</v>
      </c>
      <c r="BG371" s="145">
        <f>IF(N371="zákl. přenesená",J371,0)</f>
        <v>0</v>
      </c>
      <c r="BH371" s="145">
        <f>IF(N371="sníž. přenesená",J371,0)</f>
        <v>0</v>
      </c>
      <c r="BI371" s="145">
        <f>IF(N371="nulová",J371,0)</f>
        <v>0</v>
      </c>
      <c r="BJ371" s="18" t="s">
        <v>77</v>
      </c>
      <c r="BK371" s="145">
        <f>ROUND(I371*H371,2)</f>
        <v>0</v>
      </c>
      <c r="BL371" s="18" t="s">
        <v>282</v>
      </c>
      <c r="BM371" s="144" t="s">
        <v>697</v>
      </c>
    </row>
    <row r="372" spans="2:65" s="1" customFormat="1" ht="224.25">
      <c r="B372" s="33"/>
      <c r="D372" s="151" t="s">
        <v>219</v>
      </c>
      <c r="F372" s="171" t="s">
        <v>698</v>
      </c>
      <c r="I372" s="148"/>
      <c r="L372" s="33"/>
      <c r="M372" s="149"/>
      <c r="T372" s="54"/>
      <c r="AT372" s="18" t="s">
        <v>219</v>
      </c>
      <c r="AU372" s="18" t="s">
        <v>79</v>
      </c>
    </row>
    <row r="373" spans="2:65" s="1" customFormat="1" ht="24.2" customHeight="1">
      <c r="B373" s="132"/>
      <c r="C373" s="133" t="s">
        <v>699</v>
      </c>
      <c r="D373" s="133" t="s">
        <v>153</v>
      </c>
      <c r="E373" s="134" t="s">
        <v>700</v>
      </c>
      <c r="F373" s="135" t="s">
        <v>701</v>
      </c>
      <c r="G373" s="136" t="s">
        <v>183</v>
      </c>
      <c r="H373" s="137">
        <v>1.5</v>
      </c>
      <c r="I373" s="138"/>
      <c r="J373" s="139">
        <f>ROUND(I373*H373,2)</f>
        <v>0</v>
      </c>
      <c r="K373" s="135" t="s">
        <v>157</v>
      </c>
      <c r="L373" s="33"/>
      <c r="M373" s="140" t="s">
        <v>3</v>
      </c>
      <c r="N373" s="141" t="s">
        <v>40</v>
      </c>
      <c r="P373" s="142">
        <f>O373*H373</f>
        <v>0</v>
      </c>
      <c r="Q373" s="142">
        <v>0</v>
      </c>
      <c r="R373" s="142">
        <f>Q373*H373</f>
        <v>0</v>
      </c>
      <c r="S373" s="142">
        <v>0</v>
      </c>
      <c r="T373" s="143">
        <f>S373*H373</f>
        <v>0</v>
      </c>
      <c r="AR373" s="144" t="s">
        <v>282</v>
      </c>
      <c r="AT373" s="144" t="s">
        <v>153</v>
      </c>
      <c r="AU373" s="144" t="s">
        <v>79</v>
      </c>
      <c r="AY373" s="18" t="s">
        <v>151</v>
      </c>
      <c r="BE373" s="145">
        <f>IF(N373="základní",J373,0)</f>
        <v>0</v>
      </c>
      <c r="BF373" s="145">
        <f>IF(N373="snížená",J373,0)</f>
        <v>0</v>
      </c>
      <c r="BG373" s="145">
        <f>IF(N373="zákl. přenesená",J373,0)</f>
        <v>0</v>
      </c>
      <c r="BH373" s="145">
        <f>IF(N373="sníž. přenesená",J373,0)</f>
        <v>0</v>
      </c>
      <c r="BI373" s="145">
        <f>IF(N373="nulová",J373,0)</f>
        <v>0</v>
      </c>
      <c r="BJ373" s="18" t="s">
        <v>77</v>
      </c>
      <c r="BK373" s="145">
        <f>ROUND(I373*H373,2)</f>
        <v>0</v>
      </c>
      <c r="BL373" s="18" t="s">
        <v>282</v>
      </c>
      <c r="BM373" s="144" t="s">
        <v>702</v>
      </c>
    </row>
    <row r="374" spans="2:65" s="1" customFormat="1" ht="11.25">
      <c r="B374" s="33"/>
      <c r="D374" s="146" t="s">
        <v>160</v>
      </c>
      <c r="F374" s="147" t="s">
        <v>703</v>
      </c>
      <c r="I374" s="148"/>
      <c r="L374" s="33"/>
      <c r="M374" s="149"/>
      <c r="T374" s="54"/>
      <c r="AT374" s="18" t="s">
        <v>160</v>
      </c>
      <c r="AU374" s="18" t="s">
        <v>79</v>
      </c>
    </row>
    <row r="375" spans="2:65" s="11" customFormat="1" ht="22.9" customHeight="1">
      <c r="B375" s="120"/>
      <c r="D375" s="121" t="s">
        <v>68</v>
      </c>
      <c r="E375" s="130" t="s">
        <v>704</v>
      </c>
      <c r="F375" s="130" t="s">
        <v>705</v>
      </c>
      <c r="I375" s="123"/>
      <c r="J375" s="131">
        <f>BK375</f>
        <v>0</v>
      </c>
      <c r="L375" s="120"/>
      <c r="M375" s="125"/>
      <c r="P375" s="126">
        <f>SUM(P376:P388)</f>
        <v>0</v>
      </c>
      <c r="R375" s="126">
        <f>SUM(R376:R388)</f>
        <v>0.2309052</v>
      </c>
      <c r="T375" s="127">
        <f>SUM(T376:T388)</f>
        <v>0</v>
      </c>
      <c r="AR375" s="121" t="s">
        <v>79</v>
      </c>
      <c r="AT375" s="128" t="s">
        <v>68</v>
      </c>
      <c r="AU375" s="128" t="s">
        <v>77</v>
      </c>
      <c r="AY375" s="121" t="s">
        <v>151</v>
      </c>
      <c r="BK375" s="129">
        <f>SUM(BK376:BK388)</f>
        <v>0</v>
      </c>
    </row>
    <row r="376" spans="2:65" s="1" customFormat="1" ht="16.5" customHeight="1">
      <c r="B376" s="132"/>
      <c r="C376" s="133" t="s">
        <v>706</v>
      </c>
      <c r="D376" s="133" t="s">
        <v>153</v>
      </c>
      <c r="E376" s="134" t="s">
        <v>707</v>
      </c>
      <c r="F376" s="135" t="s">
        <v>708</v>
      </c>
      <c r="G376" s="136" t="s">
        <v>230</v>
      </c>
      <c r="H376" s="137">
        <v>28.95</v>
      </c>
      <c r="I376" s="138"/>
      <c r="J376" s="139">
        <f>ROUND(I376*H376,2)</f>
        <v>0</v>
      </c>
      <c r="K376" s="135" t="s">
        <v>157</v>
      </c>
      <c r="L376" s="33"/>
      <c r="M376" s="140" t="s">
        <v>3</v>
      </c>
      <c r="N376" s="141" t="s">
        <v>40</v>
      </c>
      <c r="P376" s="142">
        <f>O376*H376</f>
        <v>0</v>
      </c>
      <c r="Q376" s="142">
        <v>0</v>
      </c>
      <c r="R376" s="142">
        <f>Q376*H376</f>
        <v>0</v>
      </c>
      <c r="S376" s="142">
        <v>0</v>
      </c>
      <c r="T376" s="143">
        <f>S376*H376</f>
        <v>0</v>
      </c>
      <c r="AR376" s="144" t="s">
        <v>282</v>
      </c>
      <c r="AT376" s="144" t="s">
        <v>153</v>
      </c>
      <c r="AU376" s="144" t="s">
        <v>79</v>
      </c>
      <c r="AY376" s="18" t="s">
        <v>151</v>
      </c>
      <c r="BE376" s="145">
        <f>IF(N376="základní",J376,0)</f>
        <v>0</v>
      </c>
      <c r="BF376" s="145">
        <f>IF(N376="snížená",J376,0)</f>
        <v>0</v>
      </c>
      <c r="BG376" s="145">
        <f>IF(N376="zákl. přenesená",J376,0)</f>
        <v>0</v>
      </c>
      <c r="BH376" s="145">
        <f>IF(N376="sníž. přenesená",J376,0)</f>
        <v>0</v>
      </c>
      <c r="BI376" s="145">
        <f>IF(N376="nulová",J376,0)</f>
        <v>0</v>
      </c>
      <c r="BJ376" s="18" t="s">
        <v>77</v>
      </c>
      <c r="BK376" s="145">
        <f>ROUND(I376*H376,2)</f>
        <v>0</v>
      </c>
      <c r="BL376" s="18" t="s">
        <v>282</v>
      </c>
      <c r="BM376" s="144" t="s">
        <v>709</v>
      </c>
    </row>
    <row r="377" spans="2:65" s="1" customFormat="1" ht="11.25">
      <c r="B377" s="33"/>
      <c r="D377" s="146" t="s">
        <v>160</v>
      </c>
      <c r="F377" s="147" t="s">
        <v>710</v>
      </c>
      <c r="I377" s="148"/>
      <c r="L377" s="33"/>
      <c r="M377" s="149"/>
      <c r="T377" s="54"/>
      <c r="AT377" s="18" t="s">
        <v>160</v>
      </c>
      <c r="AU377" s="18" t="s">
        <v>79</v>
      </c>
    </row>
    <row r="378" spans="2:65" s="1" customFormat="1" ht="16.5" customHeight="1">
      <c r="B378" s="132"/>
      <c r="C378" s="133" t="s">
        <v>711</v>
      </c>
      <c r="D378" s="133" t="s">
        <v>153</v>
      </c>
      <c r="E378" s="134" t="s">
        <v>712</v>
      </c>
      <c r="F378" s="135" t="s">
        <v>713</v>
      </c>
      <c r="G378" s="136" t="s">
        <v>230</v>
      </c>
      <c r="H378" s="137">
        <v>28.95</v>
      </c>
      <c r="I378" s="138"/>
      <c r="J378" s="139">
        <f>ROUND(I378*H378,2)</f>
        <v>0</v>
      </c>
      <c r="K378" s="135" t="s">
        <v>157</v>
      </c>
      <c r="L378" s="33"/>
      <c r="M378" s="140" t="s">
        <v>3</v>
      </c>
      <c r="N378" s="141" t="s">
        <v>40</v>
      </c>
      <c r="P378" s="142">
        <f>O378*H378</f>
        <v>0</v>
      </c>
      <c r="Q378" s="142">
        <v>2.9999999999999997E-4</v>
      </c>
      <c r="R378" s="142">
        <f>Q378*H378</f>
        <v>8.6849999999999983E-3</v>
      </c>
      <c r="S378" s="142">
        <v>0</v>
      </c>
      <c r="T378" s="143">
        <f>S378*H378</f>
        <v>0</v>
      </c>
      <c r="AR378" s="144" t="s">
        <v>282</v>
      </c>
      <c r="AT378" s="144" t="s">
        <v>153</v>
      </c>
      <c r="AU378" s="144" t="s">
        <v>79</v>
      </c>
      <c r="AY378" s="18" t="s">
        <v>151</v>
      </c>
      <c r="BE378" s="145">
        <f>IF(N378="základní",J378,0)</f>
        <v>0</v>
      </c>
      <c r="BF378" s="145">
        <f>IF(N378="snížená",J378,0)</f>
        <v>0</v>
      </c>
      <c r="BG378" s="145">
        <f>IF(N378="zákl. přenesená",J378,0)</f>
        <v>0</v>
      </c>
      <c r="BH378" s="145">
        <f>IF(N378="sníž. přenesená",J378,0)</f>
        <v>0</v>
      </c>
      <c r="BI378" s="145">
        <f>IF(N378="nulová",J378,0)</f>
        <v>0</v>
      </c>
      <c r="BJ378" s="18" t="s">
        <v>77</v>
      </c>
      <c r="BK378" s="145">
        <f>ROUND(I378*H378,2)</f>
        <v>0</v>
      </c>
      <c r="BL378" s="18" t="s">
        <v>282</v>
      </c>
      <c r="BM378" s="144" t="s">
        <v>714</v>
      </c>
    </row>
    <row r="379" spans="2:65" s="1" customFormat="1" ht="11.25">
      <c r="B379" s="33"/>
      <c r="D379" s="146" t="s">
        <v>160</v>
      </c>
      <c r="F379" s="147" t="s">
        <v>715</v>
      </c>
      <c r="I379" s="148"/>
      <c r="L379" s="33"/>
      <c r="M379" s="149"/>
      <c r="T379" s="54"/>
      <c r="AT379" s="18" t="s">
        <v>160</v>
      </c>
      <c r="AU379" s="18" t="s">
        <v>79</v>
      </c>
    </row>
    <row r="380" spans="2:65" s="1" customFormat="1" ht="24.2" customHeight="1">
      <c r="B380" s="132"/>
      <c r="C380" s="133" t="s">
        <v>716</v>
      </c>
      <c r="D380" s="133" t="s">
        <v>153</v>
      </c>
      <c r="E380" s="134" t="s">
        <v>717</v>
      </c>
      <c r="F380" s="135" t="s">
        <v>718</v>
      </c>
      <c r="G380" s="136" t="s">
        <v>198</v>
      </c>
      <c r="H380" s="137">
        <v>28.95</v>
      </c>
      <c r="I380" s="138"/>
      <c r="J380" s="139">
        <f>ROUND(I380*H380,2)</f>
        <v>0</v>
      </c>
      <c r="K380" s="135" t="s">
        <v>157</v>
      </c>
      <c r="L380" s="33"/>
      <c r="M380" s="140" t="s">
        <v>3</v>
      </c>
      <c r="N380" s="141" t="s">
        <v>40</v>
      </c>
      <c r="P380" s="142">
        <f>O380*H380</f>
        <v>0</v>
      </c>
      <c r="Q380" s="142">
        <v>2E-3</v>
      </c>
      <c r="R380" s="142">
        <f>Q380*H380</f>
        <v>5.79E-2</v>
      </c>
      <c r="S380" s="142">
        <v>0</v>
      </c>
      <c r="T380" s="143">
        <f>S380*H380</f>
        <v>0</v>
      </c>
      <c r="AR380" s="144" t="s">
        <v>282</v>
      </c>
      <c r="AT380" s="144" t="s">
        <v>153</v>
      </c>
      <c r="AU380" s="144" t="s">
        <v>79</v>
      </c>
      <c r="AY380" s="18" t="s">
        <v>151</v>
      </c>
      <c r="BE380" s="145">
        <f>IF(N380="základní",J380,0)</f>
        <v>0</v>
      </c>
      <c r="BF380" s="145">
        <f>IF(N380="snížená",J380,0)</f>
        <v>0</v>
      </c>
      <c r="BG380" s="145">
        <f>IF(N380="zákl. přenesená",J380,0)</f>
        <v>0</v>
      </c>
      <c r="BH380" s="145">
        <f>IF(N380="sníž. přenesená",J380,0)</f>
        <v>0</v>
      </c>
      <c r="BI380" s="145">
        <f>IF(N380="nulová",J380,0)</f>
        <v>0</v>
      </c>
      <c r="BJ380" s="18" t="s">
        <v>77</v>
      </c>
      <c r="BK380" s="145">
        <f>ROUND(I380*H380,2)</f>
        <v>0</v>
      </c>
      <c r="BL380" s="18" t="s">
        <v>282</v>
      </c>
      <c r="BM380" s="144" t="s">
        <v>719</v>
      </c>
    </row>
    <row r="381" spans="2:65" s="1" customFormat="1" ht="11.25">
      <c r="B381" s="33"/>
      <c r="D381" s="146" t="s">
        <v>160</v>
      </c>
      <c r="F381" s="147" t="s">
        <v>720</v>
      </c>
      <c r="I381" s="148"/>
      <c r="L381" s="33"/>
      <c r="M381" s="149"/>
      <c r="T381" s="54"/>
      <c r="AT381" s="18" t="s">
        <v>160</v>
      </c>
      <c r="AU381" s="18" t="s">
        <v>79</v>
      </c>
    </row>
    <row r="382" spans="2:65" s="14" customFormat="1" ht="11.25">
      <c r="B382" s="165"/>
      <c r="D382" s="151" t="s">
        <v>162</v>
      </c>
      <c r="E382" s="166" t="s">
        <v>3</v>
      </c>
      <c r="F382" s="167" t="s">
        <v>721</v>
      </c>
      <c r="H382" s="166" t="s">
        <v>3</v>
      </c>
      <c r="I382" s="168"/>
      <c r="L382" s="165"/>
      <c r="M382" s="169"/>
      <c r="T382" s="170"/>
      <c r="AT382" s="166" t="s">
        <v>162</v>
      </c>
      <c r="AU382" s="166" t="s">
        <v>79</v>
      </c>
      <c r="AV382" s="14" t="s">
        <v>77</v>
      </c>
      <c r="AW382" s="14" t="s">
        <v>30</v>
      </c>
      <c r="AX382" s="14" t="s">
        <v>69</v>
      </c>
      <c r="AY382" s="166" t="s">
        <v>151</v>
      </c>
    </row>
    <row r="383" spans="2:65" s="12" customFormat="1" ht="11.25">
      <c r="B383" s="150"/>
      <c r="D383" s="151" t="s">
        <v>162</v>
      </c>
      <c r="E383" s="152" t="s">
        <v>3</v>
      </c>
      <c r="F383" s="153" t="s">
        <v>722</v>
      </c>
      <c r="H383" s="154">
        <v>28.95</v>
      </c>
      <c r="I383" s="155"/>
      <c r="L383" s="150"/>
      <c r="M383" s="156"/>
      <c r="T383" s="157"/>
      <c r="AT383" s="152" t="s">
        <v>162</v>
      </c>
      <c r="AU383" s="152" t="s">
        <v>79</v>
      </c>
      <c r="AV383" s="12" t="s">
        <v>79</v>
      </c>
      <c r="AW383" s="12" t="s">
        <v>30</v>
      </c>
      <c r="AX383" s="12" t="s">
        <v>69</v>
      </c>
      <c r="AY383" s="152" t="s">
        <v>151</v>
      </c>
    </row>
    <row r="384" spans="2:65" s="13" customFormat="1" ht="11.25">
      <c r="B384" s="158"/>
      <c r="D384" s="151" t="s">
        <v>162</v>
      </c>
      <c r="E384" s="159" t="s">
        <v>3</v>
      </c>
      <c r="F384" s="160" t="s">
        <v>167</v>
      </c>
      <c r="H384" s="161">
        <v>28.95</v>
      </c>
      <c r="I384" s="162"/>
      <c r="L384" s="158"/>
      <c r="M384" s="163"/>
      <c r="T384" s="164"/>
      <c r="AT384" s="159" t="s">
        <v>162</v>
      </c>
      <c r="AU384" s="159" t="s">
        <v>79</v>
      </c>
      <c r="AV384" s="13" t="s">
        <v>158</v>
      </c>
      <c r="AW384" s="13" t="s">
        <v>30</v>
      </c>
      <c r="AX384" s="13" t="s">
        <v>77</v>
      </c>
      <c r="AY384" s="159" t="s">
        <v>151</v>
      </c>
    </row>
    <row r="385" spans="2:65" s="1" customFormat="1" ht="16.5" customHeight="1">
      <c r="B385" s="132"/>
      <c r="C385" s="172" t="s">
        <v>723</v>
      </c>
      <c r="D385" s="172" t="s">
        <v>436</v>
      </c>
      <c r="E385" s="173" t="s">
        <v>724</v>
      </c>
      <c r="F385" s="174" t="s">
        <v>725</v>
      </c>
      <c r="G385" s="175" t="s">
        <v>230</v>
      </c>
      <c r="H385" s="176">
        <v>12.738</v>
      </c>
      <c r="I385" s="177"/>
      <c r="J385" s="178">
        <f>ROUND(I385*H385,2)</f>
        <v>0</v>
      </c>
      <c r="K385" s="174" t="s">
        <v>3</v>
      </c>
      <c r="L385" s="179"/>
      <c r="M385" s="180" t="s">
        <v>3</v>
      </c>
      <c r="N385" s="181" t="s">
        <v>40</v>
      </c>
      <c r="P385" s="142">
        <f>O385*H385</f>
        <v>0</v>
      </c>
      <c r="Q385" s="142">
        <v>1.29E-2</v>
      </c>
      <c r="R385" s="142">
        <f>Q385*H385</f>
        <v>0.1643202</v>
      </c>
      <c r="S385" s="142">
        <v>0</v>
      </c>
      <c r="T385" s="143">
        <f>S385*H385</f>
        <v>0</v>
      </c>
      <c r="AR385" s="144" t="s">
        <v>202</v>
      </c>
      <c r="AT385" s="144" t="s">
        <v>436</v>
      </c>
      <c r="AU385" s="144" t="s">
        <v>79</v>
      </c>
      <c r="AY385" s="18" t="s">
        <v>151</v>
      </c>
      <c r="BE385" s="145">
        <f>IF(N385="základní",J385,0)</f>
        <v>0</v>
      </c>
      <c r="BF385" s="145">
        <f>IF(N385="snížená",J385,0)</f>
        <v>0</v>
      </c>
      <c r="BG385" s="145">
        <f>IF(N385="zákl. přenesená",J385,0)</f>
        <v>0</v>
      </c>
      <c r="BH385" s="145">
        <f>IF(N385="sníž. přenesená",J385,0)</f>
        <v>0</v>
      </c>
      <c r="BI385" s="145">
        <f>IF(N385="nulová",J385,0)</f>
        <v>0</v>
      </c>
      <c r="BJ385" s="18" t="s">
        <v>77</v>
      </c>
      <c r="BK385" s="145">
        <f>ROUND(I385*H385,2)</f>
        <v>0</v>
      </c>
      <c r="BL385" s="18" t="s">
        <v>282</v>
      </c>
      <c r="BM385" s="144" t="s">
        <v>726</v>
      </c>
    </row>
    <row r="386" spans="2:65" s="12" customFormat="1" ht="11.25">
      <c r="B386" s="150"/>
      <c r="D386" s="151" t="s">
        <v>162</v>
      </c>
      <c r="F386" s="153" t="s">
        <v>727</v>
      </c>
      <c r="H386" s="154">
        <v>12.738</v>
      </c>
      <c r="I386" s="155"/>
      <c r="L386" s="150"/>
      <c r="M386" s="156"/>
      <c r="T386" s="157"/>
      <c r="AT386" s="152" t="s">
        <v>162</v>
      </c>
      <c r="AU386" s="152" t="s">
        <v>79</v>
      </c>
      <c r="AV386" s="12" t="s">
        <v>79</v>
      </c>
      <c r="AW386" s="12" t="s">
        <v>4</v>
      </c>
      <c r="AX386" s="12" t="s">
        <v>77</v>
      </c>
      <c r="AY386" s="152" t="s">
        <v>151</v>
      </c>
    </row>
    <row r="387" spans="2:65" s="1" customFormat="1" ht="24.2" customHeight="1">
      <c r="B387" s="132"/>
      <c r="C387" s="133" t="s">
        <v>728</v>
      </c>
      <c r="D387" s="133" t="s">
        <v>153</v>
      </c>
      <c r="E387" s="134" t="s">
        <v>729</v>
      </c>
      <c r="F387" s="135" t="s">
        <v>730</v>
      </c>
      <c r="G387" s="136" t="s">
        <v>183</v>
      </c>
      <c r="H387" s="137">
        <v>0.23100000000000001</v>
      </c>
      <c r="I387" s="138"/>
      <c r="J387" s="139">
        <f>ROUND(I387*H387,2)</f>
        <v>0</v>
      </c>
      <c r="K387" s="135" t="s">
        <v>157</v>
      </c>
      <c r="L387" s="33"/>
      <c r="M387" s="140" t="s">
        <v>3</v>
      </c>
      <c r="N387" s="141" t="s">
        <v>40</v>
      </c>
      <c r="P387" s="142">
        <f>O387*H387</f>
        <v>0</v>
      </c>
      <c r="Q387" s="142">
        <v>0</v>
      </c>
      <c r="R387" s="142">
        <f>Q387*H387</f>
        <v>0</v>
      </c>
      <c r="S387" s="142">
        <v>0</v>
      </c>
      <c r="T387" s="143">
        <f>S387*H387</f>
        <v>0</v>
      </c>
      <c r="AR387" s="144" t="s">
        <v>282</v>
      </c>
      <c r="AT387" s="144" t="s">
        <v>153</v>
      </c>
      <c r="AU387" s="144" t="s">
        <v>79</v>
      </c>
      <c r="AY387" s="18" t="s">
        <v>151</v>
      </c>
      <c r="BE387" s="145">
        <f>IF(N387="základní",J387,0)</f>
        <v>0</v>
      </c>
      <c r="BF387" s="145">
        <f>IF(N387="snížená",J387,0)</f>
        <v>0</v>
      </c>
      <c r="BG387" s="145">
        <f>IF(N387="zákl. přenesená",J387,0)</f>
        <v>0</v>
      </c>
      <c r="BH387" s="145">
        <f>IF(N387="sníž. přenesená",J387,0)</f>
        <v>0</v>
      </c>
      <c r="BI387" s="145">
        <f>IF(N387="nulová",J387,0)</f>
        <v>0</v>
      </c>
      <c r="BJ387" s="18" t="s">
        <v>77</v>
      </c>
      <c r="BK387" s="145">
        <f>ROUND(I387*H387,2)</f>
        <v>0</v>
      </c>
      <c r="BL387" s="18" t="s">
        <v>282</v>
      </c>
      <c r="BM387" s="144" t="s">
        <v>731</v>
      </c>
    </row>
    <row r="388" spans="2:65" s="1" customFormat="1" ht="11.25">
      <c r="B388" s="33"/>
      <c r="D388" s="146" t="s">
        <v>160</v>
      </c>
      <c r="F388" s="147" t="s">
        <v>732</v>
      </c>
      <c r="I388" s="148"/>
      <c r="L388" s="33"/>
      <c r="M388" s="149"/>
      <c r="T388" s="54"/>
      <c r="AT388" s="18" t="s">
        <v>160</v>
      </c>
      <c r="AU388" s="18" t="s">
        <v>79</v>
      </c>
    </row>
    <row r="389" spans="2:65" s="11" customFormat="1" ht="22.9" customHeight="1">
      <c r="B389" s="120"/>
      <c r="D389" s="121" t="s">
        <v>68</v>
      </c>
      <c r="E389" s="130" t="s">
        <v>733</v>
      </c>
      <c r="F389" s="130" t="s">
        <v>734</v>
      </c>
      <c r="I389" s="123"/>
      <c r="J389" s="131">
        <f>BK389</f>
        <v>0</v>
      </c>
      <c r="L389" s="120"/>
      <c r="M389" s="125"/>
      <c r="P389" s="126">
        <f>SUM(P390:P403)</f>
        <v>0</v>
      </c>
      <c r="R389" s="126">
        <f>SUM(R390:R403)</f>
        <v>4.7121499999999997E-2</v>
      </c>
      <c r="T389" s="127">
        <f>SUM(T390:T403)</f>
        <v>0</v>
      </c>
      <c r="AR389" s="121" t="s">
        <v>79</v>
      </c>
      <c r="AT389" s="128" t="s">
        <v>68</v>
      </c>
      <c r="AU389" s="128" t="s">
        <v>77</v>
      </c>
      <c r="AY389" s="121" t="s">
        <v>151</v>
      </c>
      <c r="BK389" s="129">
        <f>SUM(BK390:BK403)</f>
        <v>0</v>
      </c>
    </row>
    <row r="390" spans="2:65" s="1" customFormat="1" ht="24.2" customHeight="1">
      <c r="B390" s="132"/>
      <c r="C390" s="133" t="s">
        <v>735</v>
      </c>
      <c r="D390" s="133" t="s">
        <v>153</v>
      </c>
      <c r="E390" s="134" t="s">
        <v>736</v>
      </c>
      <c r="F390" s="135" t="s">
        <v>737</v>
      </c>
      <c r="G390" s="136" t="s">
        <v>230</v>
      </c>
      <c r="H390" s="137">
        <v>61.875</v>
      </c>
      <c r="I390" s="138"/>
      <c r="J390" s="139">
        <f>ROUND(I390*H390,2)</f>
        <v>0</v>
      </c>
      <c r="K390" s="135" t="s">
        <v>157</v>
      </c>
      <c r="L390" s="33"/>
      <c r="M390" s="140" t="s">
        <v>3</v>
      </c>
      <c r="N390" s="141" t="s">
        <v>40</v>
      </c>
      <c r="P390" s="142">
        <f>O390*H390</f>
        <v>0</v>
      </c>
      <c r="Q390" s="142">
        <v>1.3999999999999999E-4</v>
      </c>
      <c r="R390" s="142">
        <f>Q390*H390</f>
        <v>8.6625000000000001E-3</v>
      </c>
      <c r="S390" s="142">
        <v>0</v>
      </c>
      <c r="T390" s="143">
        <f>S390*H390</f>
        <v>0</v>
      </c>
      <c r="AR390" s="144" t="s">
        <v>282</v>
      </c>
      <c r="AT390" s="144" t="s">
        <v>153</v>
      </c>
      <c r="AU390" s="144" t="s">
        <v>79</v>
      </c>
      <c r="AY390" s="18" t="s">
        <v>151</v>
      </c>
      <c r="BE390" s="145">
        <f>IF(N390="základní",J390,0)</f>
        <v>0</v>
      </c>
      <c r="BF390" s="145">
        <f>IF(N390="snížená",J390,0)</f>
        <v>0</v>
      </c>
      <c r="BG390" s="145">
        <f>IF(N390="zákl. přenesená",J390,0)</f>
        <v>0</v>
      </c>
      <c r="BH390" s="145">
        <f>IF(N390="sníž. přenesená",J390,0)</f>
        <v>0</v>
      </c>
      <c r="BI390" s="145">
        <f>IF(N390="nulová",J390,0)</f>
        <v>0</v>
      </c>
      <c r="BJ390" s="18" t="s">
        <v>77</v>
      </c>
      <c r="BK390" s="145">
        <f>ROUND(I390*H390,2)</f>
        <v>0</v>
      </c>
      <c r="BL390" s="18" t="s">
        <v>282</v>
      </c>
      <c r="BM390" s="144" t="s">
        <v>738</v>
      </c>
    </row>
    <row r="391" spans="2:65" s="1" customFormat="1" ht="11.25">
      <c r="B391" s="33"/>
      <c r="D391" s="146" t="s">
        <v>160</v>
      </c>
      <c r="F391" s="147" t="s">
        <v>739</v>
      </c>
      <c r="I391" s="148"/>
      <c r="L391" s="33"/>
      <c r="M391" s="149"/>
      <c r="T391" s="54"/>
      <c r="AT391" s="18" t="s">
        <v>160</v>
      </c>
      <c r="AU391" s="18" t="s">
        <v>79</v>
      </c>
    </row>
    <row r="392" spans="2:65" s="14" customFormat="1" ht="11.25">
      <c r="B392" s="165"/>
      <c r="D392" s="151" t="s">
        <v>162</v>
      </c>
      <c r="E392" s="166" t="s">
        <v>3</v>
      </c>
      <c r="F392" s="167" t="s">
        <v>740</v>
      </c>
      <c r="H392" s="166" t="s">
        <v>3</v>
      </c>
      <c r="I392" s="168"/>
      <c r="L392" s="165"/>
      <c r="M392" s="169"/>
      <c r="T392" s="170"/>
      <c r="AT392" s="166" t="s">
        <v>162</v>
      </c>
      <c r="AU392" s="166" t="s">
        <v>79</v>
      </c>
      <c r="AV392" s="14" t="s">
        <v>77</v>
      </c>
      <c r="AW392" s="14" t="s">
        <v>30</v>
      </c>
      <c r="AX392" s="14" t="s">
        <v>69</v>
      </c>
      <c r="AY392" s="166" t="s">
        <v>151</v>
      </c>
    </row>
    <row r="393" spans="2:65" s="12" customFormat="1" ht="11.25">
      <c r="B393" s="150"/>
      <c r="D393" s="151" t="s">
        <v>162</v>
      </c>
      <c r="E393" s="152" t="s">
        <v>3</v>
      </c>
      <c r="F393" s="153" t="s">
        <v>741</v>
      </c>
      <c r="H393" s="154">
        <v>14.375</v>
      </c>
      <c r="I393" s="155"/>
      <c r="L393" s="150"/>
      <c r="M393" s="156"/>
      <c r="T393" s="157"/>
      <c r="AT393" s="152" t="s">
        <v>162</v>
      </c>
      <c r="AU393" s="152" t="s">
        <v>79</v>
      </c>
      <c r="AV393" s="12" t="s">
        <v>79</v>
      </c>
      <c r="AW393" s="12" t="s">
        <v>30</v>
      </c>
      <c r="AX393" s="12" t="s">
        <v>69</v>
      </c>
      <c r="AY393" s="152" t="s">
        <v>151</v>
      </c>
    </row>
    <row r="394" spans="2:65" s="14" customFormat="1" ht="11.25">
      <c r="B394" s="165"/>
      <c r="D394" s="151" t="s">
        <v>162</v>
      </c>
      <c r="E394" s="166" t="s">
        <v>3</v>
      </c>
      <c r="F394" s="167" t="s">
        <v>742</v>
      </c>
      <c r="H394" s="166" t="s">
        <v>3</v>
      </c>
      <c r="I394" s="168"/>
      <c r="L394" s="165"/>
      <c r="M394" s="169"/>
      <c r="T394" s="170"/>
      <c r="AT394" s="166" t="s">
        <v>162</v>
      </c>
      <c r="AU394" s="166" t="s">
        <v>79</v>
      </c>
      <c r="AV394" s="14" t="s">
        <v>77</v>
      </c>
      <c r="AW394" s="14" t="s">
        <v>30</v>
      </c>
      <c r="AX394" s="14" t="s">
        <v>69</v>
      </c>
      <c r="AY394" s="166" t="s">
        <v>151</v>
      </c>
    </row>
    <row r="395" spans="2:65" s="12" customFormat="1" ht="11.25">
      <c r="B395" s="150"/>
      <c r="D395" s="151" t="s">
        <v>162</v>
      </c>
      <c r="E395" s="152" t="s">
        <v>3</v>
      </c>
      <c r="F395" s="153" t="s">
        <v>743</v>
      </c>
      <c r="H395" s="154">
        <v>47.5</v>
      </c>
      <c r="I395" s="155"/>
      <c r="L395" s="150"/>
      <c r="M395" s="156"/>
      <c r="T395" s="157"/>
      <c r="AT395" s="152" t="s">
        <v>162</v>
      </c>
      <c r="AU395" s="152" t="s">
        <v>79</v>
      </c>
      <c r="AV395" s="12" t="s">
        <v>79</v>
      </c>
      <c r="AW395" s="12" t="s">
        <v>30</v>
      </c>
      <c r="AX395" s="12" t="s">
        <v>69</v>
      </c>
      <c r="AY395" s="152" t="s">
        <v>151</v>
      </c>
    </row>
    <row r="396" spans="2:65" s="13" customFormat="1" ht="11.25">
      <c r="B396" s="158"/>
      <c r="D396" s="151" t="s">
        <v>162</v>
      </c>
      <c r="E396" s="159" t="s">
        <v>3</v>
      </c>
      <c r="F396" s="160" t="s">
        <v>167</v>
      </c>
      <c r="H396" s="161">
        <v>61.875</v>
      </c>
      <c r="I396" s="162"/>
      <c r="L396" s="158"/>
      <c r="M396" s="163"/>
      <c r="T396" s="164"/>
      <c r="AT396" s="159" t="s">
        <v>162</v>
      </c>
      <c r="AU396" s="159" t="s">
        <v>79</v>
      </c>
      <c r="AV396" s="13" t="s">
        <v>158</v>
      </c>
      <c r="AW396" s="13" t="s">
        <v>30</v>
      </c>
      <c r="AX396" s="13" t="s">
        <v>77</v>
      </c>
      <c r="AY396" s="159" t="s">
        <v>151</v>
      </c>
    </row>
    <row r="397" spans="2:65" s="1" customFormat="1" ht="16.5" customHeight="1">
      <c r="B397" s="132"/>
      <c r="C397" s="133" t="s">
        <v>744</v>
      </c>
      <c r="D397" s="133" t="s">
        <v>153</v>
      </c>
      <c r="E397" s="134" t="s">
        <v>745</v>
      </c>
      <c r="F397" s="135" t="s">
        <v>746</v>
      </c>
      <c r="G397" s="136" t="s">
        <v>230</v>
      </c>
      <c r="H397" s="137">
        <v>57.8</v>
      </c>
      <c r="I397" s="138"/>
      <c r="J397" s="139">
        <f>ROUND(I397*H397,2)</f>
        <v>0</v>
      </c>
      <c r="K397" s="135" t="s">
        <v>157</v>
      </c>
      <c r="L397" s="33"/>
      <c r="M397" s="140" t="s">
        <v>3</v>
      </c>
      <c r="N397" s="141" t="s">
        <v>40</v>
      </c>
      <c r="P397" s="142">
        <f>O397*H397</f>
        <v>0</v>
      </c>
      <c r="Q397" s="142">
        <v>2.7999999999999998E-4</v>
      </c>
      <c r="R397" s="142">
        <f>Q397*H397</f>
        <v>1.6183999999999997E-2</v>
      </c>
      <c r="S397" s="142">
        <v>0</v>
      </c>
      <c r="T397" s="143">
        <f>S397*H397</f>
        <v>0</v>
      </c>
      <c r="AR397" s="144" t="s">
        <v>282</v>
      </c>
      <c r="AT397" s="144" t="s">
        <v>153</v>
      </c>
      <c r="AU397" s="144" t="s">
        <v>79</v>
      </c>
      <c r="AY397" s="18" t="s">
        <v>151</v>
      </c>
      <c r="BE397" s="145">
        <f>IF(N397="základní",J397,0)</f>
        <v>0</v>
      </c>
      <c r="BF397" s="145">
        <f>IF(N397="snížená",J397,0)</f>
        <v>0</v>
      </c>
      <c r="BG397" s="145">
        <f>IF(N397="zákl. přenesená",J397,0)</f>
        <v>0</v>
      </c>
      <c r="BH397" s="145">
        <f>IF(N397="sníž. přenesená",J397,0)</f>
        <v>0</v>
      </c>
      <c r="BI397" s="145">
        <f>IF(N397="nulová",J397,0)</f>
        <v>0</v>
      </c>
      <c r="BJ397" s="18" t="s">
        <v>77</v>
      </c>
      <c r="BK397" s="145">
        <f>ROUND(I397*H397,2)</f>
        <v>0</v>
      </c>
      <c r="BL397" s="18" t="s">
        <v>282</v>
      </c>
      <c r="BM397" s="144" t="s">
        <v>747</v>
      </c>
    </row>
    <row r="398" spans="2:65" s="1" customFormat="1" ht="11.25">
      <c r="B398" s="33"/>
      <c r="D398" s="146" t="s">
        <v>160</v>
      </c>
      <c r="F398" s="147" t="s">
        <v>748</v>
      </c>
      <c r="I398" s="148"/>
      <c r="L398" s="33"/>
      <c r="M398" s="149"/>
      <c r="T398" s="54"/>
      <c r="AT398" s="18" t="s">
        <v>160</v>
      </c>
      <c r="AU398" s="18" t="s">
        <v>79</v>
      </c>
    </row>
    <row r="399" spans="2:65" s="14" customFormat="1" ht="11.25">
      <c r="B399" s="165"/>
      <c r="D399" s="151" t="s">
        <v>162</v>
      </c>
      <c r="E399" s="166" t="s">
        <v>3</v>
      </c>
      <c r="F399" s="167" t="s">
        <v>749</v>
      </c>
      <c r="H399" s="166" t="s">
        <v>3</v>
      </c>
      <c r="I399" s="168"/>
      <c r="L399" s="165"/>
      <c r="M399" s="169"/>
      <c r="T399" s="170"/>
      <c r="AT399" s="166" t="s">
        <v>162</v>
      </c>
      <c r="AU399" s="166" t="s">
        <v>79</v>
      </c>
      <c r="AV399" s="14" t="s">
        <v>77</v>
      </c>
      <c r="AW399" s="14" t="s">
        <v>30</v>
      </c>
      <c r="AX399" s="14" t="s">
        <v>69</v>
      </c>
      <c r="AY399" s="166" t="s">
        <v>151</v>
      </c>
    </row>
    <row r="400" spans="2:65" s="12" customFormat="1" ht="11.25">
      <c r="B400" s="150"/>
      <c r="D400" s="151" t="s">
        <v>162</v>
      </c>
      <c r="E400" s="152" t="s">
        <v>3</v>
      </c>
      <c r="F400" s="153" t="s">
        <v>750</v>
      </c>
      <c r="H400" s="154">
        <v>57.8</v>
      </c>
      <c r="I400" s="155"/>
      <c r="L400" s="150"/>
      <c r="M400" s="156"/>
      <c r="T400" s="157"/>
      <c r="AT400" s="152" t="s">
        <v>162</v>
      </c>
      <c r="AU400" s="152" t="s">
        <v>79</v>
      </c>
      <c r="AV400" s="12" t="s">
        <v>79</v>
      </c>
      <c r="AW400" s="12" t="s">
        <v>30</v>
      </c>
      <c r="AX400" s="12" t="s">
        <v>69</v>
      </c>
      <c r="AY400" s="152" t="s">
        <v>151</v>
      </c>
    </row>
    <row r="401" spans="2:65" s="13" customFormat="1" ht="11.25">
      <c r="B401" s="158"/>
      <c r="D401" s="151" t="s">
        <v>162</v>
      </c>
      <c r="E401" s="159" t="s">
        <v>3</v>
      </c>
      <c r="F401" s="160" t="s">
        <v>167</v>
      </c>
      <c r="H401" s="161">
        <v>57.8</v>
      </c>
      <c r="I401" s="162"/>
      <c r="L401" s="158"/>
      <c r="M401" s="163"/>
      <c r="T401" s="164"/>
      <c r="AT401" s="159" t="s">
        <v>162</v>
      </c>
      <c r="AU401" s="159" t="s">
        <v>79</v>
      </c>
      <c r="AV401" s="13" t="s">
        <v>158</v>
      </c>
      <c r="AW401" s="13" t="s">
        <v>30</v>
      </c>
      <c r="AX401" s="13" t="s">
        <v>77</v>
      </c>
      <c r="AY401" s="159" t="s">
        <v>151</v>
      </c>
    </row>
    <row r="402" spans="2:65" s="1" customFormat="1" ht="24.2" customHeight="1">
      <c r="B402" s="132"/>
      <c r="C402" s="133" t="s">
        <v>751</v>
      </c>
      <c r="D402" s="133" t="s">
        <v>153</v>
      </c>
      <c r="E402" s="134" t="s">
        <v>752</v>
      </c>
      <c r="F402" s="135" t="s">
        <v>753</v>
      </c>
      <c r="G402" s="136" t="s">
        <v>230</v>
      </c>
      <c r="H402" s="137">
        <v>61.875</v>
      </c>
      <c r="I402" s="138"/>
      <c r="J402" s="139">
        <f>ROUND(I402*H402,2)</f>
        <v>0</v>
      </c>
      <c r="K402" s="135" t="s">
        <v>157</v>
      </c>
      <c r="L402" s="33"/>
      <c r="M402" s="140" t="s">
        <v>3</v>
      </c>
      <c r="N402" s="141" t="s">
        <v>40</v>
      </c>
      <c r="P402" s="142">
        <f>O402*H402</f>
        <v>0</v>
      </c>
      <c r="Q402" s="142">
        <v>3.6000000000000002E-4</v>
      </c>
      <c r="R402" s="142">
        <f>Q402*H402</f>
        <v>2.2275000000000003E-2</v>
      </c>
      <c r="S402" s="142">
        <v>0</v>
      </c>
      <c r="T402" s="143">
        <f>S402*H402</f>
        <v>0</v>
      </c>
      <c r="AR402" s="144" t="s">
        <v>282</v>
      </c>
      <c r="AT402" s="144" t="s">
        <v>153</v>
      </c>
      <c r="AU402" s="144" t="s">
        <v>79</v>
      </c>
      <c r="AY402" s="18" t="s">
        <v>151</v>
      </c>
      <c r="BE402" s="145">
        <f>IF(N402="základní",J402,0)</f>
        <v>0</v>
      </c>
      <c r="BF402" s="145">
        <f>IF(N402="snížená",J402,0)</f>
        <v>0</v>
      </c>
      <c r="BG402" s="145">
        <f>IF(N402="zákl. přenesená",J402,0)</f>
        <v>0</v>
      </c>
      <c r="BH402" s="145">
        <f>IF(N402="sníž. přenesená",J402,0)</f>
        <v>0</v>
      </c>
      <c r="BI402" s="145">
        <f>IF(N402="nulová",J402,0)</f>
        <v>0</v>
      </c>
      <c r="BJ402" s="18" t="s">
        <v>77</v>
      </c>
      <c r="BK402" s="145">
        <f>ROUND(I402*H402,2)</f>
        <v>0</v>
      </c>
      <c r="BL402" s="18" t="s">
        <v>282</v>
      </c>
      <c r="BM402" s="144" t="s">
        <v>754</v>
      </c>
    </row>
    <row r="403" spans="2:65" s="1" customFormat="1" ht="11.25">
      <c r="B403" s="33"/>
      <c r="D403" s="146" t="s">
        <v>160</v>
      </c>
      <c r="F403" s="147" t="s">
        <v>755</v>
      </c>
      <c r="I403" s="148"/>
      <c r="L403" s="33"/>
      <c r="M403" s="182"/>
      <c r="N403" s="183"/>
      <c r="O403" s="183"/>
      <c r="P403" s="183"/>
      <c r="Q403" s="183"/>
      <c r="R403" s="183"/>
      <c r="S403" s="183"/>
      <c r="T403" s="184"/>
      <c r="AT403" s="18" t="s">
        <v>160</v>
      </c>
      <c r="AU403" s="18" t="s">
        <v>79</v>
      </c>
    </row>
    <row r="404" spans="2:65" s="1" customFormat="1" ht="6.95" customHeight="1">
      <c r="B404" s="42"/>
      <c r="C404" s="43"/>
      <c r="D404" s="43"/>
      <c r="E404" s="43"/>
      <c r="F404" s="43"/>
      <c r="G404" s="43"/>
      <c r="H404" s="43"/>
      <c r="I404" s="43"/>
      <c r="J404" s="43"/>
      <c r="K404" s="43"/>
      <c r="L404" s="33"/>
    </row>
  </sheetData>
  <autoFilter ref="C94:K403" xr:uid="{00000000-0009-0000-0000-000001000000}"/>
  <mergeCells count="9">
    <mergeCell ref="E50:H50"/>
    <mergeCell ref="E85:H85"/>
    <mergeCell ref="E87:H87"/>
    <mergeCell ref="L2:V2"/>
    <mergeCell ref="E7:H7"/>
    <mergeCell ref="E9:H9"/>
    <mergeCell ref="E18:H18"/>
    <mergeCell ref="E27:H27"/>
    <mergeCell ref="E48:H48"/>
  </mergeCells>
  <hyperlinks>
    <hyperlink ref="F99" r:id="rId1" xr:uid="{00000000-0004-0000-0100-000000000000}"/>
    <hyperlink ref="F106" r:id="rId2" xr:uid="{00000000-0004-0000-0100-000001000000}"/>
    <hyperlink ref="F110" r:id="rId3" xr:uid="{00000000-0004-0000-0100-000002000000}"/>
    <hyperlink ref="F113" r:id="rId4" xr:uid="{00000000-0004-0000-0100-000003000000}"/>
    <hyperlink ref="F116" r:id="rId5" xr:uid="{00000000-0004-0000-0100-000004000000}"/>
    <hyperlink ref="F122" r:id="rId6" xr:uid="{00000000-0004-0000-0100-000005000000}"/>
    <hyperlink ref="F127" r:id="rId7" xr:uid="{00000000-0004-0000-0100-000006000000}"/>
    <hyperlink ref="F136" r:id="rId8" xr:uid="{00000000-0004-0000-0100-000007000000}"/>
    <hyperlink ref="F146" r:id="rId9" xr:uid="{00000000-0004-0000-0100-000008000000}"/>
    <hyperlink ref="F151" r:id="rId10" xr:uid="{00000000-0004-0000-0100-000009000000}"/>
    <hyperlink ref="F153" r:id="rId11" xr:uid="{00000000-0004-0000-0100-00000A000000}"/>
    <hyperlink ref="F157" r:id="rId12" xr:uid="{00000000-0004-0000-0100-00000B000000}"/>
    <hyperlink ref="F159" r:id="rId13" xr:uid="{00000000-0004-0000-0100-00000C000000}"/>
    <hyperlink ref="F171" r:id="rId14" xr:uid="{00000000-0004-0000-0100-00000D000000}"/>
    <hyperlink ref="F182" r:id="rId15" xr:uid="{00000000-0004-0000-0100-00000E000000}"/>
    <hyperlink ref="F184" r:id="rId16" xr:uid="{00000000-0004-0000-0100-00000F000000}"/>
    <hyperlink ref="F186" r:id="rId17" xr:uid="{00000000-0004-0000-0100-000010000000}"/>
    <hyperlink ref="F191" r:id="rId18" xr:uid="{00000000-0004-0000-0100-000011000000}"/>
    <hyperlink ref="F193" r:id="rId19" xr:uid="{00000000-0004-0000-0100-000012000000}"/>
    <hyperlink ref="F198" r:id="rId20" xr:uid="{00000000-0004-0000-0100-000013000000}"/>
    <hyperlink ref="F200" r:id="rId21" xr:uid="{00000000-0004-0000-0100-000014000000}"/>
    <hyperlink ref="F203" r:id="rId22" xr:uid="{00000000-0004-0000-0100-000015000000}"/>
    <hyperlink ref="F209" r:id="rId23" xr:uid="{00000000-0004-0000-0100-000016000000}"/>
    <hyperlink ref="F216" r:id="rId24" xr:uid="{00000000-0004-0000-0100-000017000000}"/>
    <hyperlink ref="F220" r:id="rId25" xr:uid="{00000000-0004-0000-0100-000018000000}"/>
    <hyperlink ref="F223" r:id="rId26" xr:uid="{00000000-0004-0000-0100-000019000000}"/>
    <hyperlink ref="F226" r:id="rId27" xr:uid="{00000000-0004-0000-0100-00001A000000}"/>
    <hyperlink ref="F229" r:id="rId28" xr:uid="{00000000-0004-0000-0100-00001B000000}"/>
    <hyperlink ref="F235" r:id="rId29" xr:uid="{00000000-0004-0000-0100-00001C000000}"/>
    <hyperlink ref="F239" r:id="rId30" xr:uid="{00000000-0004-0000-0100-00001D000000}"/>
    <hyperlink ref="F241" r:id="rId31" xr:uid="{00000000-0004-0000-0100-00001E000000}"/>
    <hyperlink ref="F246" r:id="rId32" xr:uid="{00000000-0004-0000-0100-00001F000000}"/>
    <hyperlink ref="F248" r:id="rId33" xr:uid="{00000000-0004-0000-0100-000020000000}"/>
    <hyperlink ref="F253" r:id="rId34" xr:uid="{00000000-0004-0000-0100-000021000000}"/>
    <hyperlink ref="F255" r:id="rId35" xr:uid="{00000000-0004-0000-0100-000022000000}"/>
    <hyperlink ref="F257" r:id="rId36" xr:uid="{00000000-0004-0000-0100-000023000000}"/>
    <hyperlink ref="F259" r:id="rId37" xr:uid="{00000000-0004-0000-0100-000024000000}"/>
    <hyperlink ref="F262" r:id="rId38" xr:uid="{00000000-0004-0000-0100-000025000000}"/>
    <hyperlink ref="F267" r:id="rId39" xr:uid="{00000000-0004-0000-0100-000026000000}"/>
    <hyperlink ref="F270" r:id="rId40" xr:uid="{00000000-0004-0000-0100-000027000000}"/>
    <hyperlink ref="F274" r:id="rId41" xr:uid="{00000000-0004-0000-0100-000028000000}"/>
    <hyperlink ref="F276" r:id="rId42" xr:uid="{00000000-0004-0000-0100-000029000000}"/>
    <hyperlink ref="F280" r:id="rId43" xr:uid="{00000000-0004-0000-0100-00002A000000}"/>
    <hyperlink ref="F282" r:id="rId44" xr:uid="{00000000-0004-0000-0100-00002B000000}"/>
    <hyperlink ref="F284" r:id="rId45" xr:uid="{00000000-0004-0000-0100-00002C000000}"/>
    <hyperlink ref="F287" r:id="rId46" xr:uid="{00000000-0004-0000-0100-00002D000000}"/>
    <hyperlink ref="F310" r:id="rId47" xr:uid="{00000000-0004-0000-0100-00002E000000}"/>
    <hyperlink ref="F314" r:id="rId48" xr:uid="{00000000-0004-0000-0100-00002F000000}"/>
    <hyperlink ref="F318" r:id="rId49" xr:uid="{00000000-0004-0000-0100-000030000000}"/>
    <hyperlink ref="F322" r:id="rId50" xr:uid="{00000000-0004-0000-0100-000031000000}"/>
    <hyperlink ref="F326" r:id="rId51" xr:uid="{00000000-0004-0000-0100-000032000000}"/>
    <hyperlink ref="F328" r:id="rId52" xr:uid="{00000000-0004-0000-0100-000033000000}"/>
    <hyperlink ref="F331" r:id="rId53" xr:uid="{00000000-0004-0000-0100-000034000000}"/>
    <hyperlink ref="F338" r:id="rId54" xr:uid="{00000000-0004-0000-0100-000035000000}"/>
    <hyperlink ref="F351" r:id="rId55" xr:uid="{00000000-0004-0000-0100-000036000000}"/>
    <hyperlink ref="F360" r:id="rId56" xr:uid="{00000000-0004-0000-0100-000037000000}"/>
    <hyperlink ref="F374" r:id="rId57" xr:uid="{00000000-0004-0000-0100-000038000000}"/>
    <hyperlink ref="F377" r:id="rId58" xr:uid="{00000000-0004-0000-0100-000039000000}"/>
    <hyperlink ref="F379" r:id="rId59" xr:uid="{00000000-0004-0000-0100-00003A000000}"/>
    <hyperlink ref="F381" r:id="rId60" xr:uid="{00000000-0004-0000-0100-00003B000000}"/>
    <hyperlink ref="F388" r:id="rId61" xr:uid="{00000000-0004-0000-0100-00003C000000}"/>
    <hyperlink ref="F391" r:id="rId62" xr:uid="{00000000-0004-0000-0100-00003D000000}"/>
    <hyperlink ref="F398" r:id="rId63" xr:uid="{00000000-0004-0000-0100-00003E000000}"/>
    <hyperlink ref="F403" r:id="rId64" xr:uid="{00000000-0004-0000-0100-00003F000000}"/>
  </hyperlinks>
  <pageMargins left="0.39374999999999999" right="0.39374999999999999" top="0.39374999999999999" bottom="0.39374999999999999" header="0" footer="0"/>
  <pageSetup paperSize="9" fitToHeight="100" orientation="landscape" blackAndWhite="1"/>
  <headerFooter>
    <oddFooter>&amp;CStrana &amp;P z &amp;N</oddFooter>
  </headerFooter>
  <drawing r:id="rId6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BM243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10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304" t="s">
        <v>6</v>
      </c>
      <c r="M2" s="289"/>
      <c r="N2" s="289"/>
      <c r="O2" s="289"/>
      <c r="P2" s="289"/>
      <c r="Q2" s="289"/>
      <c r="R2" s="289"/>
      <c r="S2" s="289"/>
      <c r="T2" s="289"/>
      <c r="U2" s="289"/>
      <c r="V2" s="289"/>
      <c r="AT2" s="18" t="s">
        <v>82</v>
      </c>
    </row>
    <row r="3" spans="2:46" ht="6.9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1"/>
      <c r="AT3" s="18" t="s">
        <v>79</v>
      </c>
    </row>
    <row r="4" spans="2:46" ht="24.95" customHeight="1">
      <c r="B4" s="21"/>
      <c r="D4" s="22" t="s">
        <v>114</v>
      </c>
      <c r="L4" s="21"/>
      <c r="M4" s="91" t="s">
        <v>11</v>
      </c>
      <c r="AT4" s="18" t="s">
        <v>4</v>
      </c>
    </row>
    <row r="5" spans="2:46" ht="6.95" customHeight="1">
      <c r="B5" s="21"/>
      <c r="L5" s="21"/>
    </row>
    <row r="6" spans="2:46" ht="12" customHeight="1">
      <c r="B6" s="21"/>
      <c r="D6" s="28" t="s">
        <v>17</v>
      </c>
      <c r="L6" s="21"/>
    </row>
    <row r="7" spans="2:46" ht="16.5" customHeight="1">
      <c r="B7" s="21"/>
      <c r="E7" s="319" t="str">
        <f>'Rekapitulace stavby'!K6</f>
        <v>SKLAD ŠKROBU P-001</v>
      </c>
      <c r="F7" s="320"/>
      <c r="G7" s="320"/>
      <c r="H7" s="320"/>
      <c r="L7" s="21"/>
    </row>
    <row r="8" spans="2:46" s="1" customFormat="1" ht="12" customHeight="1">
      <c r="B8" s="33"/>
      <c r="D8" s="28" t="s">
        <v>115</v>
      </c>
      <c r="L8" s="33"/>
    </row>
    <row r="9" spans="2:46" s="1" customFormat="1" ht="16.5" customHeight="1">
      <c r="B9" s="33"/>
      <c r="E9" s="282" t="s">
        <v>756</v>
      </c>
      <c r="F9" s="321"/>
      <c r="G9" s="321"/>
      <c r="H9" s="321"/>
      <c r="L9" s="33"/>
    </row>
    <row r="10" spans="2:46" s="1" customFormat="1" ht="11.25">
      <c r="B10" s="33"/>
      <c r="L10" s="33"/>
    </row>
    <row r="11" spans="2:46" s="1" customFormat="1" ht="12" customHeight="1">
      <c r="B11" s="33"/>
      <c r="D11" s="28" t="s">
        <v>19</v>
      </c>
      <c r="F11" s="26" t="s">
        <v>3</v>
      </c>
      <c r="I11" s="28" t="s">
        <v>20</v>
      </c>
      <c r="J11" s="26" t="s">
        <v>3</v>
      </c>
      <c r="L11" s="33"/>
    </row>
    <row r="12" spans="2:46" s="1" customFormat="1" ht="12" customHeight="1">
      <c r="B12" s="33"/>
      <c r="D12" s="28" t="s">
        <v>21</v>
      </c>
      <c r="F12" s="26" t="s">
        <v>22</v>
      </c>
      <c r="I12" s="28" t="s">
        <v>23</v>
      </c>
      <c r="J12" s="50">
        <f>'Rekapitulace stavby'!AN8</f>
        <v>45167</v>
      </c>
      <c r="L12" s="33"/>
    </row>
    <row r="13" spans="2:46" s="1" customFormat="1" ht="10.9" customHeight="1">
      <c r="B13" s="33"/>
      <c r="L13" s="33"/>
    </row>
    <row r="14" spans="2:46" s="1" customFormat="1" ht="12" customHeight="1">
      <c r="B14" s="33"/>
      <c r="D14" s="28" t="s">
        <v>24</v>
      </c>
      <c r="I14" s="28" t="s">
        <v>25</v>
      </c>
      <c r="J14" s="26" t="str">
        <f>IF('Rekapitulace stavby'!AN10="","",'Rekapitulace stavby'!AN10)</f>
        <v/>
      </c>
      <c r="L14" s="33"/>
    </row>
    <row r="15" spans="2:46" s="1" customFormat="1" ht="18" customHeight="1">
      <c r="B15" s="33"/>
      <c r="E15" s="26" t="str">
        <f>IF('Rekapitulace stavby'!E11="","",'Rekapitulace stavby'!E11)</f>
        <v xml:space="preserve"> </v>
      </c>
      <c r="I15" s="28" t="s">
        <v>26</v>
      </c>
      <c r="J15" s="26" t="str">
        <f>IF('Rekapitulace stavby'!AN11="","",'Rekapitulace stavby'!AN11)</f>
        <v/>
      </c>
      <c r="L15" s="33"/>
    </row>
    <row r="16" spans="2:46" s="1" customFormat="1" ht="6.95" customHeight="1">
      <c r="B16" s="33"/>
      <c r="L16" s="33"/>
    </row>
    <row r="17" spans="2:12" s="1" customFormat="1" ht="12" customHeight="1">
      <c r="B17" s="33"/>
      <c r="D17" s="28" t="s">
        <v>27</v>
      </c>
      <c r="I17" s="28" t="s">
        <v>25</v>
      </c>
      <c r="J17" s="29" t="str">
        <f>'Rekapitulace stavby'!AN13</f>
        <v>Vyplň údaj</v>
      </c>
      <c r="L17" s="33"/>
    </row>
    <row r="18" spans="2:12" s="1" customFormat="1" ht="18" customHeight="1">
      <c r="B18" s="33"/>
      <c r="E18" s="322" t="str">
        <f>'Rekapitulace stavby'!E14</f>
        <v>Vyplň údaj</v>
      </c>
      <c r="F18" s="288"/>
      <c r="G18" s="288"/>
      <c r="H18" s="288"/>
      <c r="I18" s="28" t="s">
        <v>26</v>
      </c>
      <c r="J18" s="29" t="str">
        <f>'Rekapitulace stavby'!AN14</f>
        <v>Vyplň údaj</v>
      </c>
      <c r="L18" s="33"/>
    </row>
    <row r="19" spans="2:12" s="1" customFormat="1" ht="6.95" customHeight="1">
      <c r="B19" s="33"/>
      <c r="L19" s="33"/>
    </row>
    <row r="20" spans="2:12" s="1" customFormat="1" ht="12" customHeight="1">
      <c r="B20" s="33"/>
      <c r="D20" s="28" t="s">
        <v>29</v>
      </c>
      <c r="I20" s="28" t="s">
        <v>25</v>
      </c>
      <c r="J20" s="26" t="str">
        <f>IF('Rekapitulace stavby'!AN16="","",'Rekapitulace stavby'!AN16)</f>
        <v/>
      </c>
      <c r="L20" s="33"/>
    </row>
    <row r="21" spans="2:12" s="1" customFormat="1" ht="18" customHeight="1">
      <c r="B21" s="33"/>
      <c r="E21" s="26" t="str">
        <f>IF('Rekapitulace stavby'!E17="","",'Rekapitulace stavby'!E17)</f>
        <v xml:space="preserve"> </v>
      </c>
      <c r="I21" s="28" t="s">
        <v>26</v>
      </c>
      <c r="J21" s="26" t="str">
        <f>IF('Rekapitulace stavby'!AN17="","",'Rekapitulace stavby'!AN17)</f>
        <v/>
      </c>
      <c r="L21" s="33"/>
    </row>
    <row r="22" spans="2:12" s="1" customFormat="1" ht="6.95" customHeight="1">
      <c r="B22" s="33"/>
      <c r="L22" s="33"/>
    </row>
    <row r="23" spans="2:12" s="1" customFormat="1" ht="12" customHeight="1">
      <c r="B23" s="33"/>
      <c r="D23" s="28" t="s">
        <v>31</v>
      </c>
      <c r="I23" s="28" t="s">
        <v>25</v>
      </c>
      <c r="J23" s="26" t="str">
        <f>IF('Rekapitulace stavby'!AN19="","",'Rekapitulace stavby'!AN19)</f>
        <v/>
      </c>
      <c r="L23" s="33"/>
    </row>
    <row r="24" spans="2:12" s="1" customFormat="1" ht="18" customHeight="1">
      <c r="B24" s="33"/>
      <c r="E24" s="26" t="str">
        <f>IF('Rekapitulace stavby'!E20="","",'Rekapitulace stavby'!E20)</f>
        <v>rostarek s.r.o.</v>
      </c>
      <c r="I24" s="28" t="s">
        <v>26</v>
      </c>
      <c r="J24" s="26" t="str">
        <f>IF('Rekapitulace stavby'!AN20="","",'Rekapitulace stavby'!AN20)</f>
        <v/>
      </c>
      <c r="L24" s="33"/>
    </row>
    <row r="25" spans="2:12" s="1" customFormat="1" ht="6.95" customHeight="1">
      <c r="B25" s="33"/>
      <c r="L25" s="33"/>
    </row>
    <row r="26" spans="2:12" s="1" customFormat="1" ht="12" customHeight="1">
      <c r="B26" s="33"/>
      <c r="D26" s="28" t="s">
        <v>33</v>
      </c>
      <c r="L26" s="33"/>
    </row>
    <row r="27" spans="2:12" s="7" customFormat="1" ht="16.5" customHeight="1">
      <c r="B27" s="92"/>
      <c r="E27" s="293" t="s">
        <v>3</v>
      </c>
      <c r="F27" s="293"/>
      <c r="G27" s="293"/>
      <c r="H27" s="293"/>
      <c r="L27" s="92"/>
    </row>
    <row r="28" spans="2:12" s="1" customFormat="1" ht="6.95" customHeight="1">
      <c r="B28" s="33"/>
      <c r="L28" s="33"/>
    </row>
    <row r="29" spans="2:12" s="1" customFormat="1" ht="6.95" customHeight="1">
      <c r="B29" s="33"/>
      <c r="D29" s="51"/>
      <c r="E29" s="51"/>
      <c r="F29" s="51"/>
      <c r="G29" s="51"/>
      <c r="H29" s="51"/>
      <c r="I29" s="51"/>
      <c r="J29" s="51"/>
      <c r="K29" s="51"/>
      <c r="L29" s="33"/>
    </row>
    <row r="30" spans="2:12" s="1" customFormat="1" ht="25.35" customHeight="1">
      <c r="B30" s="33"/>
      <c r="D30" s="93" t="s">
        <v>35</v>
      </c>
      <c r="J30" s="64">
        <f>ROUND(J87, 2)</f>
        <v>0</v>
      </c>
      <c r="L30" s="33"/>
    </row>
    <row r="31" spans="2:12" s="1" customFormat="1" ht="6.95" customHeight="1">
      <c r="B31" s="33"/>
      <c r="D31" s="51"/>
      <c r="E31" s="51"/>
      <c r="F31" s="51"/>
      <c r="G31" s="51"/>
      <c r="H31" s="51"/>
      <c r="I31" s="51"/>
      <c r="J31" s="51"/>
      <c r="K31" s="51"/>
      <c r="L31" s="33"/>
    </row>
    <row r="32" spans="2:12" s="1" customFormat="1" ht="14.45" customHeight="1">
      <c r="B32" s="33"/>
      <c r="F32" s="36" t="s">
        <v>37</v>
      </c>
      <c r="I32" s="36" t="s">
        <v>36</v>
      </c>
      <c r="J32" s="36" t="s">
        <v>38</v>
      </c>
      <c r="L32" s="33"/>
    </row>
    <row r="33" spans="2:12" s="1" customFormat="1" ht="14.45" customHeight="1">
      <c r="B33" s="33"/>
      <c r="D33" s="53" t="s">
        <v>39</v>
      </c>
      <c r="E33" s="28" t="s">
        <v>40</v>
      </c>
      <c r="F33" s="84">
        <f>ROUND((SUM(BE87:BE242)),  2)</f>
        <v>0</v>
      </c>
      <c r="I33" s="94">
        <v>0.21</v>
      </c>
      <c r="J33" s="84">
        <f>ROUND(((SUM(BE87:BE242))*I33),  2)</f>
        <v>0</v>
      </c>
      <c r="L33" s="33"/>
    </row>
    <row r="34" spans="2:12" s="1" customFormat="1" ht="14.45" customHeight="1">
      <c r="B34" s="33"/>
      <c r="E34" s="28" t="s">
        <v>41</v>
      </c>
      <c r="F34" s="84">
        <f>ROUND((SUM(BF87:BF242)),  2)</f>
        <v>0</v>
      </c>
      <c r="I34" s="94">
        <v>0.15</v>
      </c>
      <c r="J34" s="84">
        <f>ROUND(((SUM(BF87:BF242))*I34),  2)</f>
        <v>0</v>
      </c>
      <c r="L34" s="33"/>
    </row>
    <row r="35" spans="2:12" s="1" customFormat="1" ht="14.45" hidden="1" customHeight="1">
      <c r="B35" s="33"/>
      <c r="E35" s="28" t="s">
        <v>42</v>
      </c>
      <c r="F35" s="84">
        <f>ROUND((SUM(BG87:BG242)),  2)</f>
        <v>0</v>
      </c>
      <c r="I35" s="94">
        <v>0.21</v>
      </c>
      <c r="J35" s="84">
        <f>0</f>
        <v>0</v>
      </c>
      <c r="L35" s="33"/>
    </row>
    <row r="36" spans="2:12" s="1" customFormat="1" ht="14.45" hidden="1" customHeight="1">
      <c r="B36" s="33"/>
      <c r="E36" s="28" t="s">
        <v>43</v>
      </c>
      <c r="F36" s="84">
        <f>ROUND((SUM(BH87:BH242)),  2)</f>
        <v>0</v>
      </c>
      <c r="I36" s="94">
        <v>0.15</v>
      </c>
      <c r="J36" s="84">
        <f>0</f>
        <v>0</v>
      </c>
      <c r="L36" s="33"/>
    </row>
    <row r="37" spans="2:12" s="1" customFormat="1" ht="14.45" hidden="1" customHeight="1">
      <c r="B37" s="33"/>
      <c r="E37" s="28" t="s">
        <v>44</v>
      </c>
      <c r="F37" s="84">
        <f>ROUND((SUM(BI87:BI242)),  2)</f>
        <v>0</v>
      </c>
      <c r="I37" s="94">
        <v>0</v>
      </c>
      <c r="J37" s="84">
        <f>0</f>
        <v>0</v>
      </c>
      <c r="L37" s="33"/>
    </row>
    <row r="38" spans="2:12" s="1" customFormat="1" ht="6.95" customHeight="1">
      <c r="B38" s="33"/>
      <c r="L38" s="33"/>
    </row>
    <row r="39" spans="2:12" s="1" customFormat="1" ht="25.35" customHeight="1">
      <c r="B39" s="33"/>
      <c r="C39" s="95"/>
      <c r="D39" s="96" t="s">
        <v>45</v>
      </c>
      <c r="E39" s="55"/>
      <c r="F39" s="55"/>
      <c r="G39" s="97" t="s">
        <v>46</v>
      </c>
      <c r="H39" s="98" t="s">
        <v>47</v>
      </c>
      <c r="I39" s="55"/>
      <c r="J39" s="99">
        <f>SUM(J30:J37)</f>
        <v>0</v>
      </c>
      <c r="K39" s="100"/>
      <c r="L39" s="33"/>
    </row>
    <row r="40" spans="2:12" s="1" customFormat="1" ht="14.45" customHeight="1"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33"/>
    </row>
    <row r="44" spans="2:12" s="1" customFormat="1" ht="6.95" customHeight="1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33"/>
    </row>
    <row r="45" spans="2:12" s="1" customFormat="1" ht="24.95" customHeight="1">
      <c r="B45" s="33"/>
      <c r="C45" s="22" t="s">
        <v>117</v>
      </c>
      <c r="L45" s="33"/>
    </row>
    <row r="46" spans="2:12" s="1" customFormat="1" ht="6.95" customHeight="1">
      <c r="B46" s="33"/>
      <c r="L46" s="33"/>
    </row>
    <row r="47" spans="2:12" s="1" customFormat="1" ht="12" customHeight="1">
      <c r="B47" s="33"/>
      <c r="C47" s="28" t="s">
        <v>17</v>
      </c>
      <c r="L47" s="33"/>
    </row>
    <row r="48" spans="2:12" s="1" customFormat="1" ht="16.5" customHeight="1">
      <c r="B48" s="33"/>
      <c r="E48" s="319" t="str">
        <f>E7</f>
        <v>SKLAD ŠKROBU P-001</v>
      </c>
      <c r="F48" s="320"/>
      <c r="G48" s="320"/>
      <c r="H48" s="320"/>
      <c r="L48" s="33"/>
    </row>
    <row r="49" spans="2:47" s="1" customFormat="1" ht="12" customHeight="1">
      <c r="B49" s="33"/>
      <c r="C49" s="28" t="s">
        <v>115</v>
      </c>
      <c r="L49" s="33"/>
    </row>
    <row r="50" spans="2:47" s="1" customFormat="1" ht="16.5" customHeight="1">
      <c r="B50" s="33"/>
      <c r="E50" s="282" t="str">
        <f>E9</f>
        <v>2023/003/b - SO-21 - Elektroinstalace</v>
      </c>
      <c r="F50" s="321"/>
      <c r="G50" s="321"/>
      <c r="H50" s="321"/>
      <c r="L50" s="33"/>
    </row>
    <row r="51" spans="2:47" s="1" customFormat="1" ht="6.95" customHeight="1">
      <c r="B51" s="33"/>
      <c r="L51" s="33"/>
    </row>
    <row r="52" spans="2:47" s="1" customFormat="1" ht="12" customHeight="1">
      <c r="B52" s="33"/>
      <c r="C52" s="28" t="s">
        <v>21</v>
      </c>
      <c r="F52" s="26" t="str">
        <f>F12</f>
        <v xml:space="preserve"> </v>
      </c>
      <c r="I52" s="28" t="s">
        <v>23</v>
      </c>
      <c r="J52" s="50">
        <f>IF(J12="","",J12)</f>
        <v>45167</v>
      </c>
      <c r="L52" s="33"/>
    </row>
    <row r="53" spans="2:47" s="1" customFormat="1" ht="6.95" customHeight="1">
      <c r="B53" s="33"/>
      <c r="L53" s="33"/>
    </row>
    <row r="54" spans="2:47" s="1" customFormat="1" ht="15.2" customHeight="1">
      <c r="B54" s="33"/>
      <c r="C54" s="28" t="s">
        <v>24</v>
      </c>
      <c r="F54" s="26" t="str">
        <f>E15</f>
        <v xml:space="preserve"> </v>
      </c>
      <c r="I54" s="28" t="s">
        <v>29</v>
      </c>
      <c r="J54" s="31" t="str">
        <f>E21</f>
        <v xml:space="preserve"> </v>
      </c>
      <c r="L54" s="33"/>
    </row>
    <row r="55" spans="2:47" s="1" customFormat="1" ht="15.2" customHeight="1">
      <c r="B55" s="33"/>
      <c r="C55" s="28" t="s">
        <v>27</v>
      </c>
      <c r="F55" s="26" t="str">
        <f>IF(E18="","",E18)</f>
        <v>Vyplň údaj</v>
      </c>
      <c r="I55" s="28" t="s">
        <v>31</v>
      </c>
      <c r="J55" s="31" t="str">
        <f>E24</f>
        <v>rostarek s.r.o.</v>
      </c>
      <c r="L55" s="33"/>
    </row>
    <row r="56" spans="2:47" s="1" customFormat="1" ht="10.35" customHeight="1">
      <c r="B56" s="33"/>
      <c r="L56" s="33"/>
    </row>
    <row r="57" spans="2:47" s="1" customFormat="1" ht="29.25" customHeight="1">
      <c r="B57" s="33"/>
      <c r="C57" s="101" t="s">
        <v>118</v>
      </c>
      <c r="D57" s="95"/>
      <c r="E57" s="95"/>
      <c r="F57" s="95"/>
      <c r="G57" s="95"/>
      <c r="H57" s="95"/>
      <c r="I57" s="95"/>
      <c r="J57" s="102" t="s">
        <v>119</v>
      </c>
      <c r="K57" s="95"/>
      <c r="L57" s="33"/>
    </row>
    <row r="58" spans="2:47" s="1" customFormat="1" ht="10.35" customHeight="1">
      <c r="B58" s="33"/>
      <c r="L58" s="33"/>
    </row>
    <row r="59" spans="2:47" s="1" customFormat="1" ht="22.9" customHeight="1">
      <c r="B59" s="33"/>
      <c r="C59" s="103" t="s">
        <v>67</v>
      </c>
      <c r="J59" s="64">
        <f>J87</f>
        <v>0</v>
      </c>
      <c r="L59" s="33"/>
      <c r="AU59" s="18" t="s">
        <v>120</v>
      </c>
    </row>
    <row r="60" spans="2:47" s="8" customFormat="1" ht="24.95" customHeight="1">
      <c r="B60" s="104"/>
      <c r="D60" s="105" t="s">
        <v>757</v>
      </c>
      <c r="E60" s="106"/>
      <c r="F60" s="106"/>
      <c r="G60" s="106"/>
      <c r="H60" s="106"/>
      <c r="I60" s="106"/>
      <c r="J60" s="107">
        <f>J88</f>
        <v>0</v>
      </c>
      <c r="L60" s="104"/>
    </row>
    <row r="61" spans="2:47" s="9" customFormat="1" ht="19.899999999999999" customHeight="1">
      <c r="B61" s="108"/>
      <c r="D61" s="109" t="s">
        <v>758</v>
      </c>
      <c r="E61" s="110"/>
      <c r="F61" s="110"/>
      <c r="G61" s="110"/>
      <c r="H61" s="110"/>
      <c r="I61" s="110"/>
      <c r="J61" s="111">
        <f>J89</f>
        <v>0</v>
      </c>
      <c r="L61" s="108"/>
    </row>
    <row r="62" spans="2:47" s="9" customFormat="1" ht="19.899999999999999" customHeight="1">
      <c r="B62" s="108"/>
      <c r="D62" s="109" t="s">
        <v>759</v>
      </c>
      <c r="E62" s="110"/>
      <c r="F62" s="110"/>
      <c r="G62" s="110"/>
      <c r="H62" s="110"/>
      <c r="I62" s="110"/>
      <c r="J62" s="111">
        <f>J91</f>
        <v>0</v>
      </c>
      <c r="L62" s="108"/>
    </row>
    <row r="63" spans="2:47" s="9" customFormat="1" ht="19.899999999999999" customHeight="1">
      <c r="B63" s="108"/>
      <c r="D63" s="109" t="s">
        <v>760</v>
      </c>
      <c r="E63" s="110"/>
      <c r="F63" s="110"/>
      <c r="G63" s="110"/>
      <c r="H63" s="110"/>
      <c r="I63" s="110"/>
      <c r="J63" s="111">
        <f>J146</f>
        <v>0</v>
      </c>
      <c r="L63" s="108"/>
    </row>
    <row r="64" spans="2:47" s="9" customFormat="1" ht="14.85" customHeight="1">
      <c r="B64" s="108"/>
      <c r="D64" s="109" t="s">
        <v>761</v>
      </c>
      <c r="E64" s="110"/>
      <c r="F64" s="110"/>
      <c r="G64" s="110"/>
      <c r="H64" s="110"/>
      <c r="I64" s="110"/>
      <c r="J64" s="111">
        <f>J147</f>
        <v>0</v>
      </c>
      <c r="L64" s="108"/>
    </row>
    <row r="65" spans="2:12" s="9" customFormat="1" ht="14.85" customHeight="1">
      <c r="B65" s="108"/>
      <c r="D65" s="109" t="s">
        <v>762</v>
      </c>
      <c r="E65" s="110"/>
      <c r="F65" s="110"/>
      <c r="G65" s="110"/>
      <c r="H65" s="110"/>
      <c r="I65" s="110"/>
      <c r="J65" s="111">
        <f>J186</f>
        <v>0</v>
      </c>
      <c r="L65" s="108"/>
    </row>
    <row r="66" spans="2:12" s="9" customFormat="1" ht="14.85" customHeight="1">
      <c r="B66" s="108"/>
      <c r="D66" s="109" t="s">
        <v>763</v>
      </c>
      <c r="E66" s="110"/>
      <c r="F66" s="110"/>
      <c r="G66" s="110"/>
      <c r="H66" s="110"/>
      <c r="I66" s="110"/>
      <c r="J66" s="111">
        <f>J209</f>
        <v>0</v>
      </c>
      <c r="L66" s="108"/>
    </row>
    <row r="67" spans="2:12" s="9" customFormat="1" ht="19.899999999999999" customHeight="1">
      <c r="B67" s="108"/>
      <c r="D67" s="109" t="s">
        <v>764</v>
      </c>
      <c r="E67" s="110"/>
      <c r="F67" s="110"/>
      <c r="G67" s="110"/>
      <c r="H67" s="110"/>
      <c r="I67" s="110"/>
      <c r="J67" s="111">
        <f>J241</f>
        <v>0</v>
      </c>
      <c r="L67" s="108"/>
    </row>
    <row r="68" spans="2:12" s="1" customFormat="1" ht="21.75" customHeight="1">
      <c r="B68" s="33"/>
      <c r="L68" s="33"/>
    </row>
    <row r="69" spans="2:12" s="1" customFormat="1" ht="6.95" customHeight="1">
      <c r="B69" s="42"/>
      <c r="C69" s="43"/>
      <c r="D69" s="43"/>
      <c r="E69" s="43"/>
      <c r="F69" s="43"/>
      <c r="G69" s="43"/>
      <c r="H69" s="43"/>
      <c r="I69" s="43"/>
      <c r="J69" s="43"/>
      <c r="K69" s="43"/>
      <c r="L69" s="33"/>
    </row>
    <row r="73" spans="2:12" s="1" customFormat="1" ht="6.95" customHeight="1">
      <c r="B73" s="44"/>
      <c r="C73" s="45"/>
      <c r="D73" s="45"/>
      <c r="E73" s="45"/>
      <c r="F73" s="45"/>
      <c r="G73" s="45"/>
      <c r="H73" s="45"/>
      <c r="I73" s="45"/>
      <c r="J73" s="45"/>
      <c r="K73" s="45"/>
      <c r="L73" s="33"/>
    </row>
    <row r="74" spans="2:12" s="1" customFormat="1" ht="24.95" customHeight="1">
      <c r="B74" s="33"/>
      <c r="C74" s="22" t="s">
        <v>137</v>
      </c>
      <c r="L74" s="33"/>
    </row>
    <row r="75" spans="2:12" s="1" customFormat="1" ht="6.95" customHeight="1">
      <c r="B75" s="33"/>
      <c r="L75" s="33"/>
    </row>
    <row r="76" spans="2:12" s="1" customFormat="1" ht="12" customHeight="1">
      <c r="B76" s="33"/>
      <c r="C76" s="28" t="s">
        <v>17</v>
      </c>
      <c r="L76" s="33"/>
    </row>
    <row r="77" spans="2:12" s="1" customFormat="1" ht="16.5" customHeight="1">
      <c r="B77" s="33"/>
      <c r="E77" s="319" t="str">
        <f>E7</f>
        <v>SKLAD ŠKROBU P-001</v>
      </c>
      <c r="F77" s="320"/>
      <c r="G77" s="320"/>
      <c r="H77" s="320"/>
      <c r="L77" s="33"/>
    </row>
    <row r="78" spans="2:12" s="1" customFormat="1" ht="12" customHeight="1">
      <c r="B78" s="33"/>
      <c r="C78" s="28" t="s">
        <v>115</v>
      </c>
      <c r="L78" s="33"/>
    </row>
    <row r="79" spans="2:12" s="1" customFormat="1" ht="16.5" customHeight="1">
      <c r="B79" s="33"/>
      <c r="E79" s="282" t="str">
        <f>E9</f>
        <v>2023/003/b - SO-21 - Elektroinstalace</v>
      </c>
      <c r="F79" s="321"/>
      <c r="G79" s="321"/>
      <c r="H79" s="321"/>
      <c r="L79" s="33"/>
    </row>
    <row r="80" spans="2:12" s="1" customFormat="1" ht="6.95" customHeight="1">
      <c r="B80" s="33"/>
      <c r="L80" s="33"/>
    </row>
    <row r="81" spans="2:65" s="1" customFormat="1" ht="12" customHeight="1">
      <c r="B81" s="33"/>
      <c r="C81" s="28" t="s">
        <v>21</v>
      </c>
      <c r="F81" s="26" t="str">
        <f>F12</f>
        <v xml:space="preserve"> </v>
      </c>
      <c r="I81" s="28" t="s">
        <v>23</v>
      </c>
      <c r="J81" s="50">
        <f>IF(J12="","",J12)</f>
        <v>45167</v>
      </c>
      <c r="L81" s="33"/>
    </row>
    <row r="82" spans="2:65" s="1" customFormat="1" ht="6.95" customHeight="1">
      <c r="B82" s="33"/>
      <c r="L82" s="33"/>
    </row>
    <row r="83" spans="2:65" s="1" customFormat="1" ht="15.2" customHeight="1">
      <c r="B83" s="33"/>
      <c r="C83" s="28" t="s">
        <v>24</v>
      </c>
      <c r="F83" s="26" t="str">
        <f>E15</f>
        <v xml:space="preserve"> </v>
      </c>
      <c r="I83" s="28" t="s">
        <v>29</v>
      </c>
      <c r="J83" s="31" t="str">
        <f>E21</f>
        <v xml:space="preserve"> </v>
      </c>
      <c r="L83" s="33"/>
    </row>
    <row r="84" spans="2:65" s="1" customFormat="1" ht="15.2" customHeight="1">
      <c r="B84" s="33"/>
      <c r="C84" s="28" t="s">
        <v>27</v>
      </c>
      <c r="F84" s="26" t="str">
        <f>IF(E18="","",E18)</f>
        <v>Vyplň údaj</v>
      </c>
      <c r="I84" s="28" t="s">
        <v>31</v>
      </c>
      <c r="J84" s="31" t="str">
        <f>E24</f>
        <v>rostarek s.r.o.</v>
      </c>
      <c r="L84" s="33"/>
    </row>
    <row r="85" spans="2:65" s="1" customFormat="1" ht="10.35" customHeight="1">
      <c r="B85" s="33"/>
      <c r="L85" s="33"/>
    </row>
    <row r="86" spans="2:65" s="10" customFormat="1" ht="29.25" customHeight="1">
      <c r="B86" s="112"/>
      <c r="C86" s="113" t="s">
        <v>138</v>
      </c>
      <c r="D86" s="114" t="s">
        <v>54</v>
      </c>
      <c r="E86" s="114" t="s">
        <v>50</v>
      </c>
      <c r="F86" s="114" t="s">
        <v>51</v>
      </c>
      <c r="G86" s="114" t="s">
        <v>139</v>
      </c>
      <c r="H86" s="114" t="s">
        <v>140</v>
      </c>
      <c r="I86" s="114" t="s">
        <v>141</v>
      </c>
      <c r="J86" s="114" t="s">
        <v>119</v>
      </c>
      <c r="K86" s="115" t="s">
        <v>142</v>
      </c>
      <c r="L86" s="112"/>
      <c r="M86" s="57" t="s">
        <v>3</v>
      </c>
      <c r="N86" s="58" t="s">
        <v>39</v>
      </c>
      <c r="O86" s="58" t="s">
        <v>143</v>
      </c>
      <c r="P86" s="58" t="s">
        <v>144</v>
      </c>
      <c r="Q86" s="58" t="s">
        <v>145</v>
      </c>
      <c r="R86" s="58" t="s">
        <v>146</v>
      </c>
      <c r="S86" s="58" t="s">
        <v>147</v>
      </c>
      <c r="T86" s="59" t="s">
        <v>148</v>
      </c>
    </row>
    <row r="87" spans="2:65" s="1" customFormat="1" ht="22.9" customHeight="1">
      <c r="B87" s="33"/>
      <c r="C87" s="62" t="s">
        <v>149</v>
      </c>
      <c r="J87" s="116">
        <f>BK87</f>
        <v>0</v>
      </c>
      <c r="L87" s="33"/>
      <c r="M87" s="60"/>
      <c r="N87" s="51"/>
      <c r="O87" s="51"/>
      <c r="P87" s="117">
        <f>P88</f>
        <v>0</v>
      </c>
      <c r="Q87" s="51"/>
      <c r="R87" s="117">
        <f>R88</f>
        <v>0</v>
      </c>
      <c r="S87" s="51"/>
      <c r="T87" s="118">
        <f>T88</f>
        <v>0</v>
      </c>
      <c r="AT87" s="18" t="s">
        <v>68</v>
      </c>
      <c r="AU87" s="18" t="s">
        <v>120</v>
      </c>
      <c r="BK87" s="119">
        <f>BK88</f>
        <v>0</v>
      </c>
    </row>
    <row r="88" spans="2:65" s="11" customFormat="1" ht="25.9" customHeight="1">
      <c r="B88" s="120"/>
      <c r="D88" s="121" t="s">
        <v>68</v>
      </c>
      <c r="E88" s="122" t="s">
        <v>765</v>
      </c>
      <c r="F88" s="122" t="s">
        <v>766</v>
      </c>
      <c r="I88" s="123"/>
      <c r="J88" s="124">
        <f>BK88</f>
        <v>0</v>
      </c>
      <c r="L88" s="120"/>
      <c r="M88" s="125"/>
      <c r="P88" s="126">
        <f>P89+P91+P146+P241</f>
        <v>0</v>
      </c>
      <c r="R88" s="126">
        <f>R89+R91+R146+R241</f>
        <v>0</v>
      </c>
      <c r="T88" s="127">
        <f>T89+T91+T146+T241</f>
        <v>0</v>
      </c>
      <c r="AR88" s="121" t="s">
        <v>79</v>
      </c>
      <c r="AT88" s="128" t="s">
        <v>68</v>
      </c>
      <c r="AU88" s="128" t="s">
        <v>69</v>
      </c>
      <c r="AY88" s="121" t="s">
        <v>151</v>
      </c>
      <c r="BK88" s="129">
        <f>BK89+BK91+BK146+BK241</f>
        <v>0</v>
      </c>
    </row>
    <row r="89" spans="2:65" s="11" customFormat="1" ht="22.9" customHeight="1">
      <c r="B89" s="120"/>
      <c r="D89" s="121" t="s">
        <v>68</v>
      </c>
      <c r="E89" s="130" t="s">
        <v>767</v>
      </c>
      <c r="F89" s="130" t="s">
        <v>768</v>
      </c>
      <c r="I89" s="123"/>
      <c r="J89" s="131">
        <f>BK89</f>
        <v>0</v>
      </c>
      <c r="L89" s="120"/>
      <c r="M89" s="125"/>
      <c r="P89" s="126">
        <f>P90</f>
        <v>0</v>
      </c>
      <c r="R89" s="126">
        <f>R90</f>
        <v>0</v>
      </c>
      <c r="T89" s="127">
        <f>T90</f>
        <v>0</v>
      </c>
      <c r="AR89" s="121" t="s">
        <v>77</v>
      </c>
      <c r="AT89" s="128" t="s">
        <v>68</v>
      </c>
      <c r="AU89" s="128" t="s">
        <v>77</v>
      </c>
      <c r="AY89" s="121" t="s">
        <v>151</v>
      </c>
      <c r="BK89" s="129">
        <f>BK90</f>
        <v>0</v>
      </c>
    </row>
    <row r="90" spans="2:65" s="1" customFormat="1" ht="16.5" customHeight="1">
      <c r="B90" s="132"/>
      <c r="C90" s="133" t="s">
        <v>77</v>
      </c>
      <c r="D90" s="133" t="s">
        <v>153</v>
      </c>
      <c r="E90" s="134" t="s">
        <v>769</v>
      </c>
      <c r="F90" s="135" t="s">
        <v>770</v>
      </c>
      <c r="G90" s="136" t="s">
        <v>771</v>
      </c>
      <c r="H90" s="137">
        <v>1</v>
      </c>
      <c r="I90" s="138"/>
      <c r="J90" s="139">
        <f>ROUND(I90*H90,2)</f>
        <v>0</v>
      </c>
      <c r="K90" s="135" t="s">
        <v>3</v>
      </c>
      <c r="L90" s="33"/>
      <c r="M90" s="140" t="s">
        <v>3</v>
      </c>
      <c r="N90" s="141" t="s">
        <v>40</v>
      </c>
      <c r="P90" s="142">
        <f>O90*H90</f>
        <v>0</v>
      </c>
      <c r="Q90" s="142">
        <v>0</v>
      </c>
      <c r="R90" s="142">
        <f>Q90*H90</f>
        <v>0</v>
      </c>
      <c r="S90" s="142">
        <v>0</v>
      </c>
      <c r="T90" s="143">
        <f>S90*H90</f>
        <v>0</v>
      </c>
      <c r="AR90" s="144" t="s">
        <v>158</v>
      </c>
      <c r="AT90" s="144" t="s">
        <v>153</v>
      </c>
      <c r="AU90" s="144" t="s">
        <v>79</v>
      </c>
      <c r="AY90" s="18" t="s">
        <v>151</v>
      </c>
      <c r="BE90" s="145">
        <f>IF(N90="základní",J90,0)</f>
        <v>0</v>
      </c>
      <c r="BF90" s="145">
        <f>IF(N90="snížená",J90,0)</f>
        <v>0</v>
      </c>
      <c r="BG90" s="145">
        <f>IF(N90="zákl. přenesená",J90,0)</f>
        <v>0</v>
      </c>
      <c r="BH90" s="145">
        <f>IF(N90="sníž. přenesená",J90,0)</f>
        <v>0</v>
      </c>
      <c r="BI90" s="145">
        <f>IF(N90="nulová",J90,0)</f>
        <v>0</v>
      </c>
      <c r="BJ90" s="18" t="s">
        <v>77</v>
      </c>
      <c r="BK90" s="145">
        <f>ROUND(I90*H90,2)</f>
        <v>0</v>
      </c>
      <c r="BL90" s="18" t="s">
        <v>158</v>
      </c>
      <c r="BM90" s="144" t="s">
        <v>79</v>
      </c>
    </row>
    <row r="91" spans="2:65" s="11" customFormat="1" ht="22.9" customHeight="1">
      <c r="B91" s="120"/>
      <c r="D91" s="121" t="s">
        <v>68</v>
      </c>
      <c r="E91" s="130" t="s">
        <v>772</v>
      </c>
      <c r="F91" s="130" t="s">
        <v>773</v>
      </c>
      <c r="I91" s="123"/>
      <c r="J91" s="131">
        <f>BK91</f>
        <v>0</v>
      </c>
      <c r="L91" s="120"/>
      <c r="M91" s="125"/>
      <c r="P91" s="126">
        <f>SUM(P92:P145)</f>
        <v>0</v>
      </c>
      <c r="R91" s="126">
        <f>SUM(R92:R145)</f>
        <v>0</v>
      </c>
      <c r="T91" s="127">
        <f>SUM(T92:T145)</f>
        <v>0</v>
      </c>
      <c r="AR91" s="121" t="s">
        <v>77</v>
      </c>
      <c r="AT91" s="128" t="s">
        <v>68</v>
      </c>
      <c r="AU91" s="128" t="s">
        <v>77</v>
      </c>
      <c r="AY91" s="121" t="s">
        <v>151</v>
      </c>
      <c r="BK91" s="129">
        <f>SUM(BK92:BK145)</f>
        <v>0</v>
      </c>
    </row>
    <row r="92" spans="2:65" s="1" customFormat="1" ht="16.5" customHeight="1">
      <c r="B92" s="132"/>
      <c r="C92" s="172" t="s">
        <v>79</v>
      </c>
      <c r="D92" s="172" t="s">
        <v>436</v>
      </c>
      <c r="E92" s="173" t="s">
        <v>774</v>
      </c>
      <c r="F92" s="174" t="s">
        <v>775</v>
      </c>
      <c r="G92" s="175" t="s">
        <v>484</v>
      </c>
      <c r="H92" s="176">
        <v>9</v>
      </c>
      <c r="I92" s="177"/>
      <c r="J92" s="178">
        <f>ROUND(I92*H92,2)</f>
        <v>0</v>
      </c>
      <c r="K92" s="174" t="s">
        <v>3</v>
      </c>
      <c r="L92" s="179"/>
      <c r="M92" s="180" t="s">
        <v>3</v>
      </c>
      <c r="N92" s="181" t="s">
        <v>40</v>
      </c>
      <c r="P92" s="142">
        <f>O92*H92</f>
        <v>0</v>
      </c>
      <c r="Q92" s="142">
        <v>0</v>
      </c>
      <c r="R92" s="142">
        <f>Q92*H92</f>
        <v>0</v>
      </c>
      <c r="S92" s="142">
        <v>0</v>
      </c>
      <c r="T92" s="143">
        <f>S92*H92</f>
        <v>0</v>
      </c>
      <c r="AR92" s="144" t="s">
        <v>214</v>
      </c>
      <c r="AT92" s="144" t="s">
        <v>436</v>
      </c>
      <c r="AU92" s="144" t="s">
        <v>79</v>
      </c>
      <c r="AY92" s="18" t="s">
        <v>151</v>
      </c>
      <c r="BE92" s="145">
        <f>IF(N92="základní",J92,0)</f>
        <v>0</v>
      </c>
      <c r="BF92" s="145">
        <f>IF(N92="snížená",J92,0)</f>
        <v>0</v>
      </c>
      <c r="BG92" s="145">
        <f>IF(N92="zákl. přenesená",J92,0)</f>
        <v>0</v>
      </c>
      <c r="BH92" s="145">
        <f>IF(N92="sníž. přenesená",J92,0)</f>
        <v>0</v>
      </c>
      <c r="BI92" s="145">
        <f>IF(N92="nulová",J92,0)</f>
        <v>0</v>
      </c>
      <c r="BJ92" s="18" t="s">
        <v>77</v>
      </c>
      <c r="BK92" s="145">
        <f>ROUND(I92*H92,2)</f>
        <v>0</v>
      </c>
      <c r="BL92" s="18" t="s">
        <v>158</v>
      </c>
      <c r="BM92" s="144" t="s">
        <v>158</v>
      </c>
    </row>
    <row r="93" spans="2:65" s="1" customFormat="1" ht="19.5">
      <c r="B93" s="33"/>
      <c r="D93" s="151" t="s">
        <v>219</v>
      </c>
      <c r="F93" s="171" t="s">
        <v>776</v>
      </c>
      <c r="I93" s="148"/>
      <c r="L93" s="33"/>
      <c r="M93" s="149"/>
      <c r="T93" s="54"/>
      <c r="AT93" s="18" t="s">
        <v>219</v>
      </c>
      <c r="AU93" s="18" t="s">
        <v>79</v>
      </c>
    </row>
    <row r="94" spans="2:65" s="1" customFormat="1" ht="16.5" customHeight="1">
      <c r="B94" s="132"/>
      <c r="C94" s="172" t="s">
        <v>168</v>
      </c>
      <c r="D94" s="172" t="s">
        <v>436</v>
      </c>
      <c r="E94" s="173" t="s">
        <v>777</v>
      </c>
      <c r="F94" s="174" t="s">
        <v>778</v>
      </c>
      <c r="G94" s="175" t="s">
        <v>484</v>
      </c>
      <c r="H94" s="176">
        <v>1</v>
      </c>
      <c r="I94" s="177"/>
      <c r="J94" s="178">
        <f>ROUND(I94*H94,2)</f>
        <v>0</v>
      </c>
      <c r="K94" s="174" t="s">
        <v>3</v>
      </c>
      <c r="L94" s="179"/>
      <c r="M94" s="180" t="s">
        <v>3</v>
      </c>
      <c r="N94" s="181" t="s">
        <v>40</v>
      </c>
      <c r="P94" s="142">
        <f>O94*H94</f>
        <v>0</v>
      </c>
      <c r="Q94" s="142">
        <v>0</v>
      </c>
      <c r="R94" s="142">
        <f>Q94*H94</f>
        <v>0</v>
      </c>
      <c r="S94" s="142">
        <v>0</v>
      </c>
      <c r="T94" s="143">
        <f>S94*H94</f>
        <v>0</v>
      </c>
      <c r="AR94" s="144" t="s">
        <v>214</v>
      </c>
      <c r="AT94" s="144" t="s">
        <v>436</v>
      </c>
      <c r="AU94" s="144" t="s">
        <v>79</v>
      </c>
      <c r="AY94" s="18" t="s">
        <v>151</v>
      </c>
      <c r="BE94" s="145">
        <f>IF(N94="základní",J94,0)</f>
        <v>0</v>
      </c>
      <c r="BF94" s="145">
        <f>IF(N94="snížená",J94,0)</f>
        <v>0</v>
      </c>
      <c r="BG94" s="145">
        <f>IF(N94="zákl. přenesená",J94,0)</f>
        <v>0</v>
      </c>
      <c r="BH94" s="145">
        <f>IF(N94="sníž. přenesená",J94,0)</f>
        <v>0</v>
      </c>
      <c r="BI94" s="145">
        <f>IF(N94="nulová",J94,0)</f>
        <v>0</v>
      </c>
      <c r="BJ94" s="18" t="s">
        <v>77</v>
      </c>
      <c r="BK94" s="145">
        <f>ROUND(I94*H94,2)</f>
        <v>0</v>
      </c>
      <c r="BL94" s="18" t="s">
        <v>158</v>
      </c>
      <c r="BM94" s="144" t="s">
        <v>195</v>
      </c>
    </row>
    <row r="95" spans="2:65" s="1" customFormat="1" ht="19.5">
      <c r="B95" s="33"/>
      <c r="D95" s="151" t="s">
        <v>219</v>
      </c>
      <c r="F95" s="171" t="s">
        <v>779</v>
      </c>
      <c r="I95" s="148"/>
      <c r="L95" s="33"/>
      <c r="M95" s="149"/>
      <c r="T95" s="54"/>
      <c r="AT95" s="18" t="s">
        <v>219</v>
      </c>
      <c r="AU95" s="18" t="s">
        <v>79</v>
      </c>
    </row>
    <row r="96" spans="2:65" s="1" customFormat="1" ht="16.5" customHeight="1">
      <c r="B96" s="132"/>
      <c r="C96" s="172" t="s">
        <v>158</v>
      </c>
      <c r="D96" s="172" t="s">
        <v>436</v>
      </c>
      <c r="E96" s="173" t="s">
        <v>780</v>
      </c>
      <c r="F96" s="174" t="s">
        <v>778</v>
      </c>
      <c r="G96" s="175" t="s">
        <v>484</v>
      </c>
      <c r="H96" s="176">
        <v>3</v>
      </c>
      <c r="I96" s="177"/>
      <c r="J96" s="178">
        <f>ROUND(I96*H96,2)</f>
        <v>0</v>
      </c>
      <c r="K96" s="174" t="s">
        <v>3</v>
      </c>
      <c r="L96" s="179"/>
      <c r="M96" s="180" t="s">
        <v>3</v>
      </c>
      <c r="N96" s="181" t="s">
        <v>40</v>
      </c>
      <c r="P96" s="142">
        <f>O96*H96</f>
        <v>0</v>
      </c>
      <c r="Q96" s="142">
        <v>0</v>
      </c>
      <c r="R96" s="142">
        <f>Q96*H96</f>
        <v>0</v>
      </c>
      <c r="S96" s="142">
        <v>0</v>
      </c>
      <c r="T96" s="143">
        <f>S96*H96</f>
        <v>0</v>
      </c>
      <c r="AR96" s="144" t="s">
        <v>214</v>
      </c>
      <c r="AT96" s="144" t="s">
        <v>436</v>
      </c>
      <c r="AU96" s="144" t="s">
        <v>79</v>
      </c>
      <c r="AY96" s="18" t="s">
        <v>151</v>
      </c>
      <c r="BE96" s="145">
        <f>IF(N96="základní",J96,0)</f>
        <v>0</v>
      </c>
      <c r="BF96" s="145">
        <f>IF(N96="snížená",J96,0)</f>
        <v>0</v>
      </c>
      <c r="BG96" s="145">
        <f>IF(N96="zákl. přenesená",J96,0)</f>
        <v>0</v>
      </c>
      <c r="BH96" s="145">
        <f>IF(N96="sníž. přenesená",J96,0)</f>
        <v>0</v>
      </c>
      <c r="BI96" s="145">
        <f>IF(N96="nulová",J96,0)</f>
        <v>0</v>
      </c>
      <c r="BJ96" s="18" t="s">
        <v>77</v>
      </c>
      <c r="BK96" s="145">
        <f>ROUND(I96*H96,2)</f>
        <v>0</v>
      </c>
      <c r="BL96" s="18" t="s">
        <v>158</v>
      </c>
      <c r="BM96" s="144" t="s">
        <v>214</v>
      </c>
    </row>
    <row r="97" spans="2:65" s="1" customFormat="1" ht="19.5">
      <c r="B97" s="33"/>
      <c r="D97" s="151" t="s">
        <v>219</v>
      </c>
      <c r="F97" s="171" t="s">
        <v>781</v>
      </c>
      <c r="I97" s="148"/>
      <c r="L97" s="33"/>
      <c r="M97" s="149"/>
      <c r="T97" s="54"/>
      <c r="AT97" s="18" t="s">
        <v>219</v>
      </c>
      <c r="AU97" s="18" t="s">
        <v>79</v>
      </c>
    </row>
    <row r="98" spans="2:65" s="1" customFormat="1" ht="16.5" customHeight="1">
      <c r="B98" s="132"/>
      <c r="C98" s="172" t="s">
        <v>180</v>
      </c>
      <c r="D98" s="172" t="s">
        <v>436</v>
      </c>
      <c r="E98" s="173" t="s">
        <v>782</v>
      </c>
      <c r="F98" s="174" t="s">
        <v>778</v>
      </c>
      <c r="G98" s="175" t="s">
        <v>484</v>
      </c>
      <c r="H98" s="176">
        <v>2</v>
      </c>
      <c r="I98" s="177"/>
      <c r="J98" s="178">
        <f>ROUND(I98*H98,2)</f>
        <v>0</v>
      </c>
      <c r="K98" s="174" t="s">
        <v>3</v>
      </c>
      <c r="L98" s="179"/>
      <c r="M98" s="180" t="s">
        <v>3</v>
      </c>
      <c r="N98" s="181" t="s">
        <v>40</v>
      </c>
      <c r="P98" s="142">
        <f>O98*H98</f>
        <v>0</v>
      </c>
      <c r="Q98" s="142">
        <v>0</v>
      </c>
      <c r="R98" s="142">
        <f>Q98*H98</f>
        <v>0</v>
      </c>
      <c r="S98" s="142">
        <v>0</v>
      </c>
      <c r="T98" s="143">
        <f>S98*H98</f>
        <v>0</v>
      </c>
      <c r="AR98" s="144" t="s">
        <v>214</v>
      </c>
      <c r="AT98" s="144" t="s">
        <v>436</v>
      </c>
      <c r="AU98" s="144" t="s">
        <v>79</v>
      </c>
      <c r="AY98" s="18" t="s">
        <v>151</v>
      </c>
      <c r="BE98" s="145">
        <f>IF(N98="základní",J98,0)</f>
        <v>0</v>
      </c>
      <c r="BF98" s="145">
        <f>IF(N98="snížená",J98,0)</f>
        <v>0</v>
      </c>
      <c r="BG98" s="145">
        <f>IF(N98="zákl. přenesená",J98,0)</f>
        <v>0</v>
      </c>
      <c r="BH98" s="145">
        <f>IF(N98="sníž. přenesená",J98,0)</f>
        <v>0</v>
      </c>
      <c r="BI98" s="145">
        <f>IF(N98="nulová",J98,0)</f>
        <v>0</v>
      </c>
      <c r="BJ98" s="18" t="s">
        <v>77</v>
      </c>
      <c r="BK98" s="145">
        <f>ROUND(I98*H98,2)</f>
        <v>0</v>
      </c>
      <c r="BL98" s="18" t="s">
        <v>158</v>
      </c>
      <c r="BM98" s="144" t="s">
        <v>235</v>
      </c>
    </row>
    <row r="99" spans="2:65" s="1" customFormat="1" ht="19.5">
      <c r="B99" s="33"/>
      <c r="D99" s="151" t="s">
        <v>219</v>
      </c>
      <c r="F99" s="171" t="s">
        <v>783</v>
      </c>
      <c r="I99" s="148"/>
      <c r="L99" s="33"/>
      <c r="M99" s="149"/>
      <c r="T99" s="54"/>
      <c r="AT99" s="18" t="s">
        <v>219</v>
      </c>
      <c r="AU99" s="18" t="s">
        <v>79</v>
      </c>
    </row>
    <row r="100" spans="2:65" s="1" customFormat="1" ht="16.5" customHeight="1">
      <c r="B100" s="132"/>
      <c r="C100" s="172" t="s">
        <v>195</v>
      </c>
      <c r="D100" s="172" t="s">
        <v>436</v>
      </c>
      <c r="E100" s="173" t="s">
        <v>784</v>
      </c>
      <c r="F100" s="174" t="s">
        <v>778</v>
      </c>
      <c r="G100" s="175" t="s">
        <v>484</v>
      </c>
      <c r="H100" s="176">
        <v>2</v>
      </c>
      <c r="I100" s="177"/>
      <c r="J100" s="178">
        <f>ROUND(I100*H100,2)</f>
        <v>0</v>
      </c>
      <c r="K100" s="174" t="s">
        <v>3</v>
      </c>
      <c r="L100" s="179"/>
      <c r="M100" s="180" t="s">
        <v>3</v>
      </c>
      <c r="N100" s="181" t="s">
        <v>40</v>
      </c>
      <c r="P100" s="142">
        <f>O100*H100</f>
        <v>0</v>
      </c>
      <c r="Q100" s="142">
        <v>0</v>
      </c>
      <c r="R100" s="142">
        <f>Q100*H100</f>
        <v>0</v>
      </c>
      <c r="S100" s="142">
        <v>0</v>
      </c>
      <c r="T100" s="143">
        <f>S100*H100</f>
        <v>0</v>
      </c>
      <c r="AR100" s="144" t="s">
        <v>214</v>
      </c>
      <c r="AT100" s="144" t="s">
        <v>436</v>
      </c>
      <c r="AU100" s="144" t="s">
        <v>79</v>
      </c>
      <c r="AY100" s="18" t="s">
        <v>151</v>
      </c>
      <c r="BE100" s="145">
        <f>IF(N100="základní",J100,0)</f>
        <v>0</v>
      </c>
      <c r="BF100" s="145">
        <f>IF(N100="snížená",J100,0)</f>
        <v>0</v>
      </c>
      <c r="BG100" s="145">
        <f>IF(N100="zákl. přenesená",J100,0)</f>
        <v>0</v>
      </c>
      <c r="BH100" s="145">
        <f>IF(N100="sníž. přenesená",J100,0)</f>
        <v>0</v>
      </c>
      <c r="BI100" s="145">
        <f>IF(N100="nulová",J100,0)</f>
        <v>0</v>
      </c>
      <c r="BJ100" s="18" t="s">
        <v>77</v>
      </c>
      <c r="BK100" s="145">
        <f>ROUND(I100*H100,2)</f>
        <v>0</v>
      </c>
      <c r="BL100" s="18" t="s">
        <v>158</v>
      </c>
      <c r="BM100" s="144" t="s">
        <v>246</v>
      </c>
    </row>
    <row r="101" spans="2:65" s="1" customFormat="1" ht="19.5">
      <c r="B101" s="33"/>
      <c r="D101" s="151" t="s">
        <v>219</v>
      </c>
      <c r="F101" s="171" t="s">
        <v>785</v>
      </c>
      <c r="I101" s="148"/>
      <c r="L101" s="33"/>
      <c r="M101" s="149"/>
      <c r="T101" s="54"/>
      <c r="AT101" s="18" t="s">
        <v>219</v>
      </c>
      <c r="AU101" s="18" t="s">
        <v>79</v>
      </c>
    </row>
    <row r="102" spans="2:65" s="1" customFormat="1" ht="16.5" customHeight="1">
      <c r="B102" s="132"/>
      <c r="C102" s="172" t="s">
        <v>203</v>
      </c>
      <c r="D102" s="172" t="s">
        <v>436</v>
      </c>
      <c r="E102" s="173" t="s">
        <v>786</v>
      </c>
      <c r="F102" s="174" t="s">
        <v>778</v>
      </c>
      <c r="G102" s="175" t="s">
        <v>484</v>
      </c>
      <c r="H102" s="176">
        <v>1</v>
      </c>
      <c r="I102" s="177"/>
      <c r="J102" s="178">
        <f>ROUND(I102*H102,2)</f>
        <v>0</v>
      </c>
      <c r="K102" s="174" t="s">
        <v>3</v>
      </c>
      <c r="L102" s="179"/>
      <c r="M102" s="180" t="s">
        <v>3</v>
      </c>
      <c r="N102" s="181" t="s">
        <v>40</v>
      </c>
      <c r="P102" s="142">
        <f>O102*H102</f>
        <v>0</v>
      </c>
      <c r="Q102" s="142">
        <v>0</v>
      </c>
      <c r="R102" s="142">
        <f>Q102*H102</f>
        <v>0</v>
      </c>
      <c r="S102" s="142">
        <v>0</v>
      </c>
      <c r="T102" s="143">
        <f>S102*H102</f>
        <v>0</v>
      </c>
      <c r="AR102" s="144" t="s">
        <v>214</v>
      </c>
      <c r="AT102" s="144" t="s">
        <v>436</v>
      </c>
      <c r="AU102" s="144" t="s">
        <v>79</v>
      </c>
      <c r="AY102" s="18" t="s">
        <v>151</v>
      </c>
      <c r="BE102" s="145">
        <f>IF(N102="základní",J102,0)</f>
        <v>0</v>
      </c>
      <c r="BF102" s="145">
        <f>IF(N102="snížená",J102,0)</f>
        <v>0</v>
      </c>
      <c r="BG102" s="145">
        <f>IF(N102="zákl. přenesená",J102,0)</f>
        <v>0</v>
      </c>
      <c r="BH102" s="145">
        <f>IF(N102="sníž. přenesená",J102,0)</f>
        <v>0</v>
      </c>
      <c r="BI102" s="145">
        <f>IF(N102="nulová",J102,0)</f>
        <v>0</v>
      </c>
      <c r="BJ102" s="18" t="s">
        <v>77</v>
      </c>
      <c r="BK102" s="145">
        <f>ROUND(I102*H102,2)</f>
        <v>0</v>
      </c>
      <c r="BL102" s="18" t="s">
        <v>158</v>
      </c>
      <c r="BM102" s="144" t="s">
        <v>265</v>
      </c>
    </row>
    <row r="103" spans="2:65" s="1" customFormat="1" ht="19.5">
      <c r="B103" s="33"/>
      <c r="D103" s="151" t="s">
        <v>219</v>
      </c>
      <c r="F103" s="171" t="s">
        <v>787</v>
      </c>
      <c r="I103" s="148"/>
      <c r="L103" s="33"/>
      <c r="M103" s="149"/>
      <c r="T103" s="54"/>
      <c r="AT103" s="18" t="s">
        <v>219</v>
      </c>
      <c r="AU103" s="18" t="s">
        <v>79</v>
      </c>
    </row>
    <row r="104" spans="2:65" s="1" customFormat="1" ht="16.5" customHeight="1">
      <c r="B104" s="132"/>
      <c r="C104" s="172" t="s">
        <v>214</v>
      </c>
      <c r="D104" s="172" t="s">
        <v>436</v>
      </c>
      <c r="E104" s="173" t="s">
        <v>788</v>
      </c>
      <c r="F104" s="174" t="s">
        <v>778</v>
      </c>
      <c r="G104" s="175" t="s">
        <v>484</v>
      </c>
      <c r="H104" s="176">
        <v>2</v>
      </c>
      <c r="I104" s="177"/>
      <c r="J104" s="178">
        <f>ROUND(I104*H104,2)</f>
        <v>0</v>
      </c>
      <c r="K104" s="174" t="s">
        <v>3</v>
      </c>
      <c r="L104" s="179"/>
      <c r="M104" s="180" t="s">
        <v>3</v>
      </c>
      <c r="N104" s="181" t="s">
        <v>40</v>
      </c>
      <c r="P104" s="142">
        <f>O104*H104</f>
        <v>0</v>
      </c>
      <c r="Q104" s="142">
        <v>0</v>
      </c>
      <c r="R104" s="142">
        <f>Q104*H104</f>
        <v>0</v>
      </c>
      <c r="S104" s="142">
        <v>0</v>
      </c>
      <c r="T104" s="143">
        <f>S104*H104</f>
        <v>0</v>
      </c>
      <c r="AR104" s="144" t="s">
        <v>214</v>
      </c>
      <c r="AT104" s="144" t="s">
        <v>436</v>
      </c>
      <c r="AU104" s="144" t="s">
        <v>79</v>
      </c>
      <c r="AY104" s="18" t="s">
        <v>151</v>
      </c>
      <c r="BE104" s="145">
        <f>IF(N104="základní",J104,0)</f>
        <v>0</v>
      </c>
      <c r="BF104" s="145">
        <f>IF(N104="snížená",J104,0)</f>
        <v>0</v>
      </c>
      <c r="BG104" s="145">
        <f>IF(N104="zákl. přenesená",J104,0)</f>
        <v>0</v>
      </c>
      <c r="BH104" s="145">
        <f>IF(N104="sníž. přenesená",J104,0)</f>
        <v>0</v>
      </c>
      <c r="BI104" s="145">
        <f>IF(N104="nulová",J104,0)</f>
        <v>0</v>
      </c>
      <c r="BJ104" s="18" t="s">
        <v>77</v>
      </c>
      <c r="BK104" s="145">
        <f>ROUND(I104*H104,2)</f>
        <v>0</v>
      </c>
      <c r="BL104" s="18" t="s">
        <v>158</v>
      </c>
      <c r="BM104" s="144" t="s">
        <v>282</v>
      </c>
    </row>
    <row r="105" spans="2:65" s="1" customFormat="1" ht="19.5">
      <c r="B105" s="33"/>
      <c r="D105" s="151" t="s">
        <v>219</v>
      </c>
      <c r="F105" s="171" t="s">
        <v>789</v>
      </c>
      <c r="I105" s="148"/>
      <c r="L105" s="33"/>
      <c r="M105" s="149"/>
      <c r="T105" s="54"/>
      <c r="AT105" s="18" t="s">
        <v>219</v>
      </c>
      <c r="AU105" s="18" t="s">
        <v>79</v>
      </c>
    </row>
    <row r="106" spans="2:65" s="1" customFormat="1" ht="16.5" customHeight="1">
      <c r="B106" s="132"/>
      <c r="C106" s="172" t="s">
        <v>227</v>
      </c>
      <c r="D106" s="172" t="s">
        <v>436</v>
      </c>
      <c r="E106" s="173" t="s">
        <v>790</v>
      </c>
      <c r="F106" s="174" t="s">
        <v>778</v>
      </c>
      <c r="G106" s="175" t="s">
        <v>484</v>
      </c>
      <c r="H106" s="176">
        <v>2</v>
      </c>
      <c r="I106" s="177"/>
      <c r="J106" s="178">
        <f>ROUND(I106*H106,2)</f>
        <v>0</v>
      </c>
      <c r="K106" s="174" t="s">
        <v>3</v>
      </c>
      <c r="L106" s="179"/>
      <c r="M106" s="180" t="s">
        <v>3</v>
      </c>
      <c r="N106" s="181" t="s">
        <v>40</v>
      </c>
      <c r="P106" s="142">
        <f>O106*H106</f>
        <v>0</v>
      </c>
      <c r="Q106" s="142">
        <v>0</v>
      </c>
      <c r="R106" s="142">
        <f>Q106*H106</f>
        <v>0</v>
      </c>
      <c r="S106" s="142">
        <v>0</v>
      </c>
      <c r="T106" s="143">
        <f>S106*H106</f>
        <v>0</v>
      </c>
      <c r="AR106" s="144" t="s">
        <v>214</v>
      </c>
      <c r="AT106" s="144" t="s">
        <v>436</v>
      </c>
      <c r="AU106" s="144" t="s">
        <v>79</v>
      </c>
      <c r="AY106" s="18" t="s">
        <v>151</v>
      </c>
      <c r="BE106" s="145">
        <f>IF(N106="základní",J106,0)</f>
        <v>0</v>
      </c>
      <c r="BF106" s="145">
        <f>IF(N106="snížená",J106,0)</f>
        <v>0</v>
      </c>
      <c r="BG106" s="145">
        <f>IF(N106="zákl. přenesená",J106,0)</f>
        <v>0</v>
      </c>
      <c r="BH106" s="145">
        <f>IF(N106="sníž. přenesená",J106,0)</f>
        <v>0</v>
      </c>
      <c r="BI106" s="145">
        <f>IF(N106="nulová",J106,0)</f>
        <v>0</v>
      </c>
      <c r="BJ106" s="18" t="s">
        <v>77</v>
      </c>
      <c r="BK106" s="145">
        <f>ROUND(I106*H106,2)</f>
        <v>0</v>
      </c>
      <c r="BL106" s="18" t="s">
        <v>158</v>
      </c>
      <c r="BM106" s="144" t="s">
        <v>299</v>
      </c>
    </row>
    <row r="107" spans="2:65" s="1" customFormat="1" ht="19.5">
      <c r="B107" s="33"/>
      <c r="D107" s="151" t="s">
        <v>219</v>
      </c>
      <c r="F107" s="171" t="s">
        <v>791</v>
      </c>
      <c r="I107" s="148"/>
      <c r="L107" s="33"/>
      <c r="M107" s="149"/>
      <c r="T107" s="54"/>
      <c r="AT107" s="18" t="s">
        <v>219</v>
      </c>
      <c r="AU107" s="18" t="s">
        <v>79</v>
      </c>
    </row>
    <row r="108" spans="2:65" s="1" customFormat="1" ht="16.5" customHeight="1">
      <c r="B108" s="132"/>
      <c r="C108" s="172" t="s">
        <v>235</v>
      </c>
      <c r="D108" s="172" t="s">
        <v>436</v>
      </c>
      <c r="E108" s="173" t="s">
        <v>792</v>
      </c>
      <c r="F108" s="174" t="s">
        <v>793</v>
      </c>
      <c r="G108" s="175" t="s">
        <v>484</v>
      </c>
      <c r="H108" s="176">
        <v>1</v>
      </c>
      <c r="I108" s="177"/>
      <c r="J108" s="178">
        <f>ROUND(I108*H108,2)</f>
        <v>0</v>
      </c>
      <c r="K108" s="174" t="s">
        <v>3</v>
      </c>
      <c r="L108" s="179"/>
      <c r="M108" s="180" t="s">
        <v>3</v>
      </c>
      <c r="N108" s="181" t="s">
        <v>40</v>
      </c>
      <c r="P108" s="142">
        <f>O108*H108</f>
        <v>0</v>
      </c>
      <c r="Q108" s="142">
        <v>0</v>
      </c>
      <c r="R108" s="142">
        <f>Q108*H108</f>
        <v>0</v>
      </c>
      <c r="S108" s="142">
        <v>0</v>
      </c>
      <c r="T108" s="143">
        <f>S108*H108</f>
        <v>0</v>
      </c>
      <c r="AR108" s="144" t="s">
        <v>214</v>
      </c>
      <c r="AT108" s="144" t="s">
        <v>436</v>
      </c>
      <c r="AU108" s="144" t="s">
        <v>79</v>
      </c>
      <c r="AY108" s="18" t="s">
        <v>151</v>
      </c>
      <c r="BE108" s="145">
        <f>IF(N108="základní",J108,0)</f>
        <v>0</v>
      </c>
      <c r="BF108" s="145">
        <f>IF(N108="snížená",J108,0)</f>
        <v>0</v>
      </c>
      <c r="BG108" s="145">
        <f>IF(N108="zákl. přenesená",J108,0)</f>
        <v>0</v>
      </c>
      <c r="BH108" s="145">
        <f>IF(N108="sníž. přenesená",J108,0)</f>
        <v>0</v>
      </c>
      <c r="BI108" s="145">
        <f>IF(N108="nulová",J108,0)</f>
        <v>0</v>
      </c>
      <c r="BJ108" s="18" t="s">
        <v>77</v>
      </c>
      <c r="BK108" s="145">
        <f>ROUND(I108*H108,2)</f>
        <v>0</v>
      </c>
      <c r="BL108" s="18" t="s">
        <v>158</v>
      </c>
      <c r="BM108" s="144" t="s">
        <v>317</v>
      </c>
    </row>
    <row r="109" spans="2:65" s="1" customFormat="1" ht="19.5">
      <c r="B109" s="33"/>
      <c r="D109" s="151" t="s">
        <v>219</v>
      </c>
      <c r="F109" s="171" t="s">
        <v>794</v>
      </c>
      <c r="I109" s="148"/>
      <c r="L109" s="33"/>
      <c r="M109" s="149"/>
      <c r="T109" s="54"/>
      <c r="AT109" s="18" t="s">
        <v>219</v>
      </c>
      <c r="AU109" s="18" t="s">
        <v>79</v>
      </c>
    </row>
    <row r="110" spans="2:65" s="1" customFormat="1" ht="16.5" customHeight="1">
      <c r="B110" s="132"/>
      <c r="C110" s="172" t="s">
        <v>240</v>
      </c>
      <c r="D110" s="172" t="s">
        <v>436</v>
      </c>
      <c r="E110" s="173" t="s">
        <v>795</v>
      </c>
      <c r="F110" s="174" t="s">
        <v>796</v>
      </c>
      <c r="G110" s="175" t="s">
        <v>484</v>
      </c>
      <c r="H110" s="176">
        <v>2</v>
      </c>
      <c r="I110" s="177"/>
      <c r="J110" s="178">
        <f>ROUND(I110*H110,2)</f>
        <v>0</v>
      </c>
      <c r="K110" s="174" t="s">
        <v>3</v>
      </c>
      <c r="L110" s="179"/>
      <c r="M110" s="180" t="s">
        <v>3</v>
      </c>
      <c r="N110" s="181" t="s">
        <v>40</v>
      </c>
      <c r="P110" s="142">
        <f>O110*H110</f>
        <v>0</v>
      </c>
      <c r="Q110" s="142">
        <v>0</v>
      </c>
      <c r="R110" s="142">
        <f>Q110*H110</f>
        <v>0</v>
      </c>
      <c r="S110" s="142">
        <v>0</v>
      </c>
      <c r="T110" s="143">
        <f>S110*H110</f>
        <v>0</v>
      </c>
      <c r="AR110" s="144" t="s">
        <v>214</v>
      </c>
      <c r="AT110" s="144" t="s">
        <v>436</v>
      </c>
      <c r="AU110" s="144" t="s">
        <v>79</v>
      </c>
      <c r="AY110" s="18" t="s">
        <v>151</v>
      </c>
      <c r="BE110" s="145">
        <f>IF(N110="základní",J110,0)</f>
        <v>0</v>
      </c>
      <c r="BF110" s="145">
        <f>IF(N110="snížená",J110,0)</f>
        <v>0</v>
      </c>
      <c r="BG110" s="145">
        <f>IF(N110="zákl. přenesená",J110,0)</f>
        <v>0</v>
      </c>
      <c r="BH110" s="145">
        <f>IF(N110="sníž. přenesená",J110,0)</f>
        <v>0</v>
      </c>
      <c r="BI110" s="145">
        <f>IF(N110="nulová",J110,0)</f>
        <v>0</v>
      </c>
      <c r="BJ110" s="18" t="s">
        <v>77</v>
      </c>
      <c r="BK110" s="145">
        <f>ROUND(I110*H110,2)</f>
        <v>0</v>
      </c>
      <c r="BL110" s="18" t="s">
        <v>158</v>
      </c>
      <c r="BM110" s="144" t="s">
        <v>338</v>
      </c>
    </row>
    <row r="111" spans="2:65" s="1" customFormat="1" ht="19.5">
      <c r="B111" s="33"/>
      <c r="D111" s="151" t="s">
        <v>219</v>
      </c>
      <c r="F111" s="171" t="s">
        <v>797</v>
      </c>
      <c r="I111" s="148"/>
      <c r="L111" s="33"/>
      <c r="M111" s="149"/>
      <c r="T111" s="54"/>
      <c r="AT111" s="18" t="s">
        <v>219</v>
      </c>
      <c r="AU111" s="18" t="s">
        <v>79</v>
      </c>
    </row>
    <row r="112" spans="2:65" s="1" customFormat="1" ht="16.5" customHeight="1">
      <c r="B112" s="132"/>
      <c r="C112" s="172" t="s">
        <v>246</v>
      </c>
      <c r="D112" s="172" t="s">
        <v>436</v>
      </c>
      <c r="E112" s="173" t="s">
        <v>798</v>
      </c>
      <c r="F112" s="174" t="s">
        <v>799</v>
      </c>
      <c r="G112" s="175" t="s">
        <v>484</v>
      </c>
      <c r="H112" s="176">
        <v>10</v>
      </c>
      <c r="I112" s="177"/>
      <c r="J112" s="178">
        <f>ROUND(I112*H112,2)</f>
        <v>0</v>
      </c>
      <c r="K112" s="174" t="s">
        <v>3</v>
      </c>
      <c r="L112" s="179"/>
      <c r="M112" s="180" t="s">
        <v>3</v>
      </c>
      <c r="N112" s="181" t="s">
        <v>40</v>
      </c>
      <c r="P112" s="142">
        <f>O112*H112</f>
        <v>0</v>
      </c>
      <c r="Q112" s="142">
        <v>0</v>
      </c>
      <c r="R112" s="142">
        <f>Q112*H112</f>
        <v>0</v>
      </c>
      <c r="S112" s="142">
        <v>0</v>
      </c>
      <c r="T112" s="143">
        <f>S112*H112</f>
        <v>0</v>
      </c>
      <c r="AR112" s="144" t="s">
        <v>214</v>
      </c>
      <c r="AT112" s="144" t="s">
        <v>436</v>
      </c>
      <c r="AU112" s="144" t="s">
        <v>79</v>
      </c>
      <c r="AY112" s="18" t="s">
        <v>151</v>
      </c>
      <c r="BE112" s="145">
        <f>IF(N112="základní",J112,0)</f>
        <v>0</v>
      </c>
      <c r="BF112" s="145">
        <f>IF(N112="snížená",J112,0)</f>
        <v>0</v>
      </c>
      <c r="BG112" s="145">
        <f>IF(N112="zákl. přenesená",J112,0)</f>
        <v>0</v>
      </c>
      <c r="BH112" s="145">
        <f>IF(N112="sníž. přenesená",J112,0)</f>
        <v>0</v>
      </c>
      <c r="BI112" s="145">
        <f>IF(N112="nulová",J112,0)</f>
        <v>0</v>
      </c>
      <c r="BJ112" s="18" t="s">
        <v>77</v>
      </c>
      <c r="BK112" s="145">
        <f>ROUND(I112*H112,2)</f>
        <v>0</v>
      </c>
      <c r="BL112" s="18" t="s">
        <v>158</v>
      </c>
      <c r="BM112" s="144" t="s">
        <v>347</v>
      </c>
    </row>
    <row r="113" spans="2:65" s="1" customFormat="1" ht="19.5">
      <c r="B113" s="33"/>
      <c r="D113" s="151" t="s">
        <v>219</v>
      </c>
      <c r="F113" s="171" t="s">
        <v>800</v>
      </c>
      <c r="I113" s="148"/>
      <c r="L113" s="33"/>
      <c r="M113" s="149"/>
      <c r="T113" s="54"/>
      <c r="AT113" s="18" t="s">
        <v>219</v>
      </c>
      <c r="AU113" s="18" t="s">
        <v>79</v>
      </c>
    </row>
    <row r="114" spans="2:65" s="1" customFormat="1" ht="16.5" customHeight="1">
      <c r="B114" s="132"/>
      <c r="C114" s="172" t="s">
        <v>251</v>
      </c>
      <c r="D114" s="172" t="s">
        <v>436</v>
      </c>
      <c r="E114" s="173" t="s">
        <v>801</v>
      </c>
      <c r="F114" s="174" t="s">
        <v>799</v>
      </c>
      <c r="G114" s="175" t="s">
        <v>484</v>
      </c>
      <c r="H114" s="176">
        <v>5</v>
      </c>
      <c r="I114" s="177"/>
      <c r="J114" s="178">
        <f>ROUND(I114*H114,2)</f>
        <v>0</v>
      </c>
      <c r="K114" s="174" t="s">
        <v>3</v>
      </c>
      <c r="L114" s="179"/>
      <c r="M114" s="180" t="s">
        <v>3</v>
      </c>
      <c r="N114" s="181" t="s">
        <v>40</v>
      </c>
      <c r="P114" s="142">
        <f>O114*H114</f>
        <v>0</v>
      </c>
      <c r="Q114" s="142">
        <v>0</v>
      </c>
      <c r="R114" s="142">
        <f>Q114*H114</f>
        <v>0</v>
      </c>
      <c r="S114" s="142">
        <v>0</v>
      </c>
      <c r="T114" s="143">
        <f>S114*H114</f>
        <v>0</v>
      </c>
      <c r="AR114" s="144" t="s">
        <v>214</v>
      </c>
      <c r="AT114" s="144" t="s">
        <v>436</v>
      </c>
      <c r="AU114" s="144" t="s">
        <v>79</v>
      </c>
      <c r="AY114" s="18" t="s">
        <v>151</v>
      </c>
      <c r="BE114" s="145">
        <f>IF(N114="základní",J114,0)</f>
        <v>0</v>
      </c>
      <c r="BF114" s="145">
        <f>IF(N114="snížená",J114,0)</f>
        <v>0</v>
      </c>
      <c r="BG114" s="145">
        <f>IF(N114="zákl. přenesená",J114,0)</f>
        <v>0</v>
      </c>
      <c r="BH114" s="145">
        <f>IF(N114="sníž. přenesená",J114,0)</f>
        <v>0</v>
      </c>
      <c r="BI114" s="145">
        <f>IF(N114="nulová",J114,0)</f>
        <v>0</v>
      </c>
      <c r="BJ114" s="18" t="s">
        <v>77</v>
      </c>
      <c r="BK114" s="145">
        <f>ROUND(I114*H114,2)</f>
        <v>0</v>
      </c>
      <c r="BL114" s="18" t="s">
        <v>158</v>
      </c>
      <c r="BM114" s="144" t="s">
        <v>367</v>
      </c>
    </row>
    <row r="115" spans="2:65" s="1" customFormat="1" ht="19.5">
      <c r="B115" s="33"/>
      <c r="D115" s="151" t="s">
        <v>219</v>
      </c>
      <c r="F115" s="171" t="s">
        <v>802</v>
      </c>
      <c r="I115" s="148"/>
      <c r="L115" s="33"/>
      <c r="M115" s="149"/>
      <c r="T115" s="54"/>
      <c r="AT115" s="18" t="s">
        <v>219</v>
      </c>
      <c r="AU115" s="18" t="s">
        <v>79</v>
      </c>
    </row>
    <row r="116" spans="2:65" s="1" customFormat="1" ht="16.5" customHeight="1">
      <c r="B116" s="132"/>
      <c r="C116" s="172" t="s">
        <v>265</v>
      </c>
      <c r="D116" s="172" t="s">
        <v>436</v>
      </c>
      <c r="E116" s="173" t="s">
        <v>803</v>
      </c>
      <c r="F116" s="174" t="s">
        <v>804</v>
      </c>
      <c r="G116" s="175" t="s">
        <v>484</v>
      </c>
      <c r="H116" s="176">
        <v>1</v>
      </c>
      <c r="I116" s="177"/>
      <c r="J116" s="178">
        <f>ROUND(I116*H116,2)</f>
        <v>0</v>
      </c>
      <c r="K116" s="174" t="s">
        <v>3</v>
      </c>
      <c r="L116" s="179"/>
      <c r="M116" s="180" t="s">
        <v>3</v>
      </c>
      <c r="N116" s="181" t="s">
        <v>40</v>
      </c>
      <c r="P116" s="142">
        <f>O116*H116</f>
        <v>0</v>
      </c>
      <c r="Q116" s="142">
        <v>0</v>
      </c>
      <c r="R116" s="142">
        <f>Q116*H116</f>
        <v>0</v>
      </c>
      <c r="S116" s="142">
        <v>0</v>
      </c>
      <c r="T116" s="143">
        <f>S116*H116</f>
        <v>0</v>
      </c>
      <c r="AR116" s="144" t="s">
        <v>214</v>
      </c>
      <c r="AT116" s="144" t="s">
        <v>436</v>
      </c>
      <c r="AU116" s="144" t="s">
        <v>79</v>
      </c>
      <c r="AY116" s="18" t="s">
        <v>151</v>
      </c>
      <c r="BE116" s="145">
        <f>IF(N116="základní",J116,0)</f>
        <v>0</v>
      </c>
      <c r="BF116" s="145">
        <f>IF(N116="snížená",J116,0)</f>
        <v>0</v>
      </c>
      <c r="BG116" s="145">
        <f>IF(N116="zákl. přenesená",J116,0)</f>
        <v>0</v>
      </c>
      <c r="BH116" s="145">
        <f>IF(N116="sníž. přenesená",J116,0)</f>
        <v>0</v>
      </c>
      <c r="BI116" s="145">
        <f>IF(N116="nulová",J116,0)</f>
        <v>0</v>
      </c>
      <c r="BJ116" s="18" t="s">
        <v>77</v>
      </c>
      <c r="BK116" s="145">
        <f>ROUND(I116*H116,2)</f>
        <v>0</v>
      </c>
      <c r="BL116" s="18" t="s">
        <v>158</v>
      </c>
      <c r="BM116" s="144" t="s">
        <v>378</v>
      </c>
    </row>
    <row r="117" spans="2:65" s="1" customFormat="1" ht="19.5">
      <c r="B117" s="33"/>
      <c r="D117" s="151" t="s">
        <v>219</v>
      </c>
      <c r="F117" s="171" t="s">
        <v>805</v>
      </c>
      <c r="I117" s="148"/>
      <c r="L117" s="33"/>
      <c r="M117" s="149"/>
      <c r="T117" s="54"/>
      <c r="AT117" s="18" t="s">
        <v>219</v>
      </c>
      <c r="AU117" s="18" t="s">
        <v>79</v>
      </c>
    </row>
    <row r="118" spans="2:65" s="1" customFormat="1" ht="16.5" customHeight="1">
      <c r="B118" s="132"/>
      <c r="C118" s="172" t="s">
        <v>9</v>
      </c>
      <c r="D118" s="172" t="s">
        <v>436</v>
      </c>
      <c r="E118" s="173" t="s">
        <v>806</v>
      </c>
      <c r="F118" s="174" t="s">
        <v>807</v>
      </c>
      <c r="G118" s="175" t="s">
        <v>484</v>
      </c>
      <c r="H118" s="176">
        <v>1</v>
      </c>
      <c r="I118" s="177"/>
      <c r="J118" s="178">
        <f>ROUND(I118*H118,2)</f>
        <v>0</v>
      </c>
      <c r="K118" s="174" t="s">
        <v>3</v>
      </c>
      <c r="L118" s="179"/>
      <c r="M118" s="180" t="s">
        <v>3</v>
      </c>
      <c r="N118" s="181" t="s">
        <v>40</v>
      </c>
      <c r="P118" s="142">
        <f>O118*H118</f>
        <v>0</v>
      </c>
      <c r="Q118" s="142">
        <v>0</v>
      </c>
      <c r="R118" s="142">
        <f>Q118*H118</f>
        <v>0</v>
      </c>
      <c r="S118" s="142">
        <v>0</v>
      </c>
      <c r="T118" s="143">
        <f>S118*H118</f>
        <v>0</v>
      </c>
      <c r="AR118" s="144" t="s">
        <v>214</v>
      </c>
      <c r="AT118" s="144" t="s">
        <v>436</v>
      </c>
      <c r="AU118" s="144" t="s">
        <v>79</v>
      </c>
      <c r="AY118" s="18" t="s">
        <v>151</v>
      </c>
      <c r="BE118" s="145">
        <f>IF(N118="základní",J118,0)</f>
        <v>0</v>
      </c>
      <c r="BF118" s="145">
        <f>IF(N118="snížená",J118,0)</f>
        <v>0</v>
      </c>
      <c r="BG118" s="145">
        <f>IF(N118="zákl. přenesená",J118,0)</f>
        <v>0</v>
      </c>
      <c r="BH118" s="145">
        <f>IF(N118="sníž. přenesená",J118,0)</f>
        <v>0</v>
      </c>
      <c r="BI118" s="145">
        <f>IF(N118="nulová",J118,0)</f>
        <v>0</v>
      </c>
      <c r="BJ118" s="18" t="s">
        <v>77</v>
      </c>
      <c r="BK118" s="145">
        <f>ROUND(I118*H118,2)</f>
        <v>0</v>
      </c>
      <c r="BL118" s="18" t="s">
        <v>158</v>
      </c>
      <c r="BM118" s="144" t="s">
        <v>808</v>
      </c>
    </row>
    <row r="119" spans="2:65" s="1" customFormat="1" ht="19.5">
      <c r="B119" s="33"/>
      <c r="D119" s="151" t="s">
        <v>219</v>
      </c>
      <c r="F119" s="171" t="s">
        <v>809</v>
      </c>
      <c r="I119" s="148"/>
      <c r="L119" s="33"/>
      <c r="M119" s="149"/>
      <c r="T119" s="54"/>
      <c r="AT119" s="18" t="s">
        <v>219</v>
      </c>
      <c r="AU119" s="18" t="s">
        <v>79</v>
      </c>
    </row>
    <row r="120" spans="2:65" s="1" customFormat="1" ht="16.5" customHeight="1">
      <c r="B120" s="132"/>
      <c r="C120" s="172" t="s">
        <v>282</v>
      </c>
      <c r="D120" s="172" t="s">
        <v>436</v>
      </c>
      <c r="E120" s="173" t="s">
        <v>810</v>
      </c>
      <c r="F120" s="174" t="s">
        <v>811</v>
      </c>
      <c r="G120" s="175" t="s">
        <v>484</v>
      </c>
      <c r="H120" s="176">
        <v>1</v>
      </c>
      <c r="I120" s="177"/>
      <c r="J120" s="178">
        <f>ROUND(I120*H120,2)</f>
        <v>0</v>
      </c>
      <c r="K120" s="174" t="s">
        <v>3</v>
      </c>
      <c r="L120" s="179"/>
      <c r="M120" s="180" t="s">
        <v>3</v>
      </c>
      <c r="N120" s="181" t="s">
        <v>40</v>
      </c>
      <c r="P120" s="142">
        <f>O120*H120</f>
        <v>0</v>
      </c>
      <c r="Q120" s="142">
        <v>0</v>
      </c>
      <c r="R120" s="142">
        <f>Q120*H120</f>
        <v>0</v>
      </c>
      <c r="S120" s="142">
        <v>0</v>
      </c>
      <c r="T120" s="143">
        <f>S120*H120</f>
        <v>0</v>
      </c>
      <c r="AR120" s="144" t="s">
        <v>214</v>
      </c>
      <c r="AT120" s="144" t="s">
        <v>436</v>
      </c>
      <c r="AU120" s="144" t="s">
        <v>79</v>
      </c>
      <c r="AY120" s="18" t="s">
        <v>151</v>
      </c>
      <c r="BE120" s="145">
        <f>IF(N120="základní",J120,0)</f>
        <v>0</v>
      </c>
      <c r="BF120" s="145">
        <f>IF(N120="snížená",J120,0)</f>
        <v>0</v>
      </c>
      <c r="BG120" s="145">
        <f>IF(N120="zákl. přenesená",J120,0)</f>
        <v>0</v>
      </c>
      <c r="BH120" s="145">
        <f>IF(N120="sníž. přenesená",J120,0)</f>
        <v>0</v>
      </c>
      <c r="BI120" s="145">
        <f>IF(N120="nulová",J120,0)</f>
        <v>0</v>
      </c>
      <c r="BJ120" s="18" t="s">
        <v>77</v>
      </c>
      <c r="BK120" s="145">
        <f>ROUND(I120*H120,2)</f>
        <v>0</v>
      </c>
      <c r="BL120" s="18" t="s">
        <v>158</v>
      </c>
      <c r="BM120" s="144" t="s">
        <v>202</v>
      </c>
    </row>
    <row r="121" spans="2:65" s="1" customFormat="1" ht="19.5">
      <c r="B121" s="33"/>
      <c r="D121" s="151" t="s">
        <v>219</v>
      </c>
      <c r="F121" s="171" t="s">
        <v>812</v>
      </c>
      <c r="I121" s="148"/>
      <c r="L121" s="33"/>
      <c r="M121" s="149"/>
      <c r="T121" s="54"/>
      <c r="AT121" s="18" t="s">
        <v>219</v>
      </c>
      <c r="AU121" s="18" t="s">
        <v>79</v>
      </c>
    </row>
    <row r="122" spans="2:65" s="1" customFormat="1" ht="16.5" customHeight="1">
      <c r="B122" s="132"/>
      <c r="C122" s="172" t="s">
        <v>287</v>
      </c>
      <c r="D122" s="172" t="s">
        <v>436</v>
      </c>
      <c r="E122" s="173" t="s">
        <v>813</v>
      </c>
      <c r="F122" s="174" t="s">
        <v>814</v>
      </c>
      <c r="G122" s="175" t="s">
        <v>484</v>
      </c>
      <c r="H122" s="176">
        <v>1</v>
      </c>
      <c r="I122" s="177"/>
      <c r="J122" s="178">
        <f>ROUND(I122*H122,2)</f>
        <v>0</v>
      </c>
      <c r="K122" s="174" t="s">
        <v>3</v>
      </c>
      <c r="L122" s="179"/>
      <c r="M122" s="180" t="s">
        <v>3</v>
      </c>
      <c r="N122" s="181" t="s">
        <v>40</v>
      </c>
      <c r="P122" s="142">
        <f>O122*H122</f>
        <v>0</v>
      </c>
      <c r="Q122" s="142">
        <v>0</v>
      </c>
      <c r="R122" s="142">
        <f>Q122*H122</f>
        <v>0</v>
      </c>
      <c r="S122" s="142">
        <v>0</v>
      </c>
      <c r="T122" s="143">
        <f>S122*H122</f>
        <v>0</v>
      </c>
      <c r="AR122" s="144" t="s">
        <v>214</v>
      </c>
      <c r="AT122" s="144" t="s">
        <v>436</v>
      </c>
      <c r="AU122" s="144" t="s">
        <v>79</v>
      </c>
      <c r="AY122" s="18" t="s">
        <v>151</v>
      </c>
      <c r="BE122" s="145">
        <f>IF(N122="základní",J122,0)</f>
        <v>0</v>
      </c>
      <c r="BF122" s="145">
        <f>IF(N122="snížená",J122,0)</f>
        <v>0</v>
      </c>
      <c r="BG122" s="145">
        <f>IF(N122="zákl. přenesená",J122,0)</f>
        <v>0</v>
      </c>
      <c r="BH122" s="145">
        <f>IF(N122="sníž. přenesená",J122,0)</f>
        <v>0</v>
      </c>
      <c r="BI122" s="145">
        <f>IF(N122="nulová",J122,0)</f>
        <v>0</v>
      </c>
      <c r="BJ122" s="18" t="s">
        <v>77</v>
      </c>
      <c r="BK122" s="145">
        <f>ROUND(I122*H122,2)</f>
        <v>0</v>
      </c>
      <c r="BL122" s="18" t="s">
        <v>158</v>
      </c>
      <c r="BM122" s="144" t="s">
        <v>410</v>
      </c>
    </row>
    <row r="123" spans="2:65" s="1" customFormat="1" ht="19.5">
      <c r="B123" s="33"/>
      <c r="D123" s="151" t="s">
        <v>219</v>
      </c>
      <c r="F123" s="171" t="s">
        <v>815</v>
      </c>
      <c r="I123" s="148"/>
      <c r="L123" s="33"/>
      <c r="M123" s="149"/>
      <c r="T123" s="54"/>
      <c r="AT123" s="18" t="s">
        <v>219</v>
      </c>
      <c r="AU123" s="18" t="s">
        <v>79</v>
      </c>
    </row>
    <row r="124" spans="2:65" s="1" customFormat="1" ht="16.5" customHeight="1">
      <c r="B124" s="132"/>
      <c r="C124" s="172" t="s">
        <v>299</v>
      </c>
      <c r="D124" s="172" t="s">
        <v>436</v>
      </c>
      <c r="E124" s="173" t="s">
        <v>816</v>
      </c>
      <c r="F124" s="174" t="s">
        <v>817</v>
      </c>
      <c r="G124" s="175" t="s">
        <v>484</v>
      </c>
      <c r="H124" s="176">
        <v>1</v>
      </c>
      <c r="I124" s="177"/>
      <c r="J124" s="178">
        <f>ROUND(I124*H124,2)</f>
        <v>0</v>
      </c>
      <c r="K124" s="174" t="s">
        <v>3</v>
      </c>
      <c r="L124" s="179"/>
      <c r="M124" s="180" t="s">
        <v>3</v>
      </c>
      <c r="N124" s="181" t="s">
        <v>40</v>
      </c>
      <c r="P124" s="142">
        <f>O124*H124</f>
        <v>0</v>
      </c>
      <c r="Q124" s="142">
        <v>0</v>
      </c>
      <c r="R124" s="142">
        <f>Q124*H124</f>
        <v>0</v>
      </c>
      <c r="S124" s="142">
        <v>0</v>
      </c>
      <c r="T124" s="143">
        <f>S124*H124</f>
        <v>0</v>
      </c>
      <c r="AR124" s="144" t="s">
        <v>214</v>
      </c>
      <c r="AT124" s="144" t="s">
        <v>436</v>
      </c>
      <c r="AU124" s="144" t="s">
        <v>79</v>
      </c>
      <c r="AY124" s="18" t="s">
        <v>151</v>
      </c>
      <c r="BE124" s="145">
        <f>IF(N124="základní",J124,0)</f>
        <v>0</v>
      </c>
      <c r="BF124" s="145">
        <f>IF(N124="snížená",J124,0)</f>
        <v>0</v>
      </c>
      <c r="BG124" s="145">
        <f>IF(N124="zákl. přenesená",J124,0)</f>
        <v>0</v>
      </c>
      <c r="BH124" s="145">
        <f>IF(N124="sníž. přenesená",J124,0)</f>
        <v>0</v>
      </c>
      <c r="BI124" s="145">
        <f>IF(N124="nulová",J124,0)</f>
        <v>0</v>
      </c>
      <c r="BJ124" s="18" t="s">
        <v>77</v>
      </c>
      <c r="BK124" s="145">
        <f>ROUND(I124*H124,2)</f>
        <v>0</v>
      </c>
      <c r="BL124" s="18" t="s">
        <v>158</v>
      </c>
      <c r="BM124" s="144" t="s">
        <v>423</v>
      </c>
    </row>
    <row r="125" spans="2:65" s="1" customFormat="1" ht="19.5">
      <c r="B125" s="33"/>
      <c r="D125" s="151" t="s">
        <v>219</v>
      </c>
      <c r="F125" s="171" t="s">
        <v>818</v>
      </c>
      <c r="I125" s="148"/>
      <c r="L125" s="33"/>
      <c r="M125" s="149"/>
      <c r="T125" s="54"/>
      <c r="AT125" s="18" t="s">
        <v>219</v>
      </c>
      <c r="AU125" s="18" t="s">
        <v>79</v>
      </c>
    </row>
    <row r="126" spans="2:65" s="1" customFormat="1" ht="16.5" customHeight="1">
      <c r="B126" s="132"/>
      <c r="C126" s="172" t="s">
        <v>306</v>
      </c>
      <c r="D126" s="172" t="s">
        <v>436</v>
      </c>
      <c r="E126" s="173" t="s">
        <v>819</v>
      </c>
      <c r="F126" s="174" t="s">
        <v>820</v>
      </c>
      <c r="G126" s="175" t="s">
        <v>484</v>
      </c>
      <c r="H126" s="176">
        <v>1</v>
      </c>
      <c r="I126" s="177"/>
      <c r="J126" s="178">
        <f>ROUND(I126*H126,2)</f>
        <v>0</v>
      </c>
      <c r="K126" s="174" t="s">
        <v>3</v>
      </c>
      <c r="L126" s="179"/>
      <c r="M126" s="180" t="s">
        <v>3</v>
      </c>
      <c r="N126" s="181" t="s">
        <v>40</v>
      </c>
      <c r="P126" s="142">
        <f>O126*H126</f>
        <v>0</v>
      </c>
      <c r="Q126" s="142">
        <v>0</v>
      </c>
      <c r="R126" s="142">
        <f>Q126*H126</f>
        <v>0</v>
      </c>
      <c r="S126" s="142">
        <v>0</v>
      </c>
      <c r="T126" s="143">
        <f>S126*H126</f>
        <v>0</v>
      </c>
      <c r="AR126" s="144" t="s">
        <v>214</v>
      </c>
      <c r="AT126" s="144" t="s">
        <v>436</v>
      </c>
      <c r="AU126" s="144" t="s">
        <v>79</v>
      </c>
      <c r="AY126" s="18" t="s">
        <v>151</v>
      </c>
      <c r="BE126" s="145">
        <f>IF(N126="základní",J126,0)</f>
        <v>0</v>
      </c>
      <c r="BF126" s="145">
        <f>IF(N126="snížená",J126,0)</f>
        <v>0</v>
      </c>
      <c r="BG126" s="145">
        <f>IF(N126="zákl. přenesená",J126,0)</f>
        <v>0</v>
      </c>
      <c r="BH126" s="145">
        <f>IF(N126="sníž. přenesená",J126,0)</f>
        <v>0</v>
      </c>
      <c r="BI126" s="145">
        <f>IF(N126="nulová",J126,0)</f>
        <v>0</v>
      </c>
      <c r="BJ126" s="18" t="s">
        <v>77</v>
      </c>
      <c r="BK126" s="145">
        <f>ROUND(I126*H126,2)</f>
        <v>0</v>
      </c>
      <c r="BL126" s="18" t="s">
        <v>158</v>
      </c>
      <c r="BM126" s="144" t="s">
        <v>476</v>
      </c>
    </row>
    <row r="127" spans="2:65" s="1" customFormat="1" ht="19.5">
      <c r="B127" s="33"/>
      <c r="D127" s="151" t="s">
        <v>219</v>
      </c>
      <c r="F127" s="171" t="s">
        <v>821</v>
      </c>
      <c r="I127" s="148"/>
      <c r="L127" s="33"/>
      <c r="M127" s="149"/>
      <c r="T127" s="54"/>
      <c r="AT127" s="18" t="s">
        <v>219</v>
      </c>
      <c r="AU127" s="18" t="s">
        <v>79</v>
      </c>
    </row>
    <row r="128" spans="2:65" s="1" customFormat="1" ht="16.5" customHeight="1">
      <c r="B128" s="132"/>
      <c r="C128" s="172" t="s">
        <v>317</v>
      </c>
      <c r="D128" s="172" t="s">
        <v>436</v>
      </c>
      <c r="E128" s="173" t="s">
        <v>822</v>
      </c>
      <c r="F128" s="174" t="s">
        <v>823</v>
      </c>
      <c r="G128" s="175" t="s">
        <v>484</v>
      </c>
      <c r="H128" s="176">
        <v>1</v>
      </c>
      <c r="I128" s="177"/>
      <c r="J128" s="178">
        <f>ROUND(I128*H128,2)</f>
        <v>0</v>
      </c>
      <c r="K128" s="174" t="s">
        <v>3</v>
      </c>
      <c r="L128" s="179"/>
      <c r="M128" s="180" t="s">
        <v>3</v>
      </c>
      <c r="N128" s="181" t="s">
        <v>40</v>
      </c>
      <c r="P128" s="142">
        <f>O128*H128</f>
        <v>0</v>
      </c>
      <c r="Q128" s="142">
        <v>0</v>
      </c>
      <c r="R128" s="142">
        <f>Q128*H128</f>
        <v>0</v>
      </c>
      <c r="S128" s="142">
        <v>0</v>
      </c>
      <c r="T128" s="143">
        <f>S128*H128</f>
        <v>0</v>
      </c>
      <c r="AR128" s="144" t="s">
        <v>214</v>
      </c>
      <c r="AT128" s="144" t="s">
        <v>436</v>
      </c>
      <c r="AU128" s="144" t="s">
        <v>79</v>
      </c>
      <c r="AY128" s="18" t="s">
        <v>151</v>
      </c>
      <c r="BE128" s="145">
        <f>IF(N128="základní",J128,0)</f>
        <v>0</v>
      </c>
      <c r="BF128" s="145">
        <f>IF(N128="snížená",J128,0)</f>
        <v>0</v>
      </c>
      <c r="BG128" s="145">
        <f>IF(N128="zákl. přenesená",J128,0)</f>
        <v>0</v>
      </c>
      <c r="BH128" s="145">
        <f>IF(N128="sníž. přenesená",J128,0)</f>
        <v>0</v>
      </c>
      <c r="BI128" s="145">
        <f>IF(N128="nulová",J128,0)</f>
        <v>0</v>
      </c>
      <c r="BJ128" s="18" t="s">
        <v>77</v>
      </c>
      <c r="BK128" s="145">
        <f>ROUND(I128*H128,2)</f>
        <v>0</v>
      </c>
      <c r="BL128" s="18" t="s">
        <v>158</v>
      </c>
      <c r="BM128" s="144" t="s">
        <v>486</v>
      </c>
    </row>
    <row r="129" spans="2:65" s="1" customFormat="1" ht="19.5">
      <c r="B129" s="33"/>
      <c r="D129" s="151" t="s">
        <v>219</v>
      </c>
      <c r="F129" s="171" t="s">
        <v>824</v>
      </c>
      <c r="I129" s="148"/>
      <c r="L129" s="33"/>
      <c r="M129" s="149"/>
      <c r="T129" s="54"/>
      <c r="AT129" s="18" t="s">
        <v>219</v>
      </c>
      <c r="AU129" s="18" t="s">
        <v>79</v>
      </c>
    </row>
    <row r="130" spans="2:65" s="1" customFormat="1" ht="16.5" customHeight="1">
      <c r="B130" s="132"/>
      <c r="C130" s="172" t="s">
        <v>8</v>
      </c>
      <c r="D130" s="172" t="s">
        <v>436</v>
      </c>
      <c r="E130" s="173" t="s">
        <v>825</v>
      </c>
      <c r="F130" s="174" t="s">
        <v>826</v>
      </c>
      <c r="G130" s="175" t="s">
        <v>484</v>
      </c>
      <c r="H130" s="176">
        <v>57</v>
      </c>
      <c r="I130" s="177"/>
      <c r="J130" s="178">
        <f>ROUND(I130*H130,2)</f>
        <v>0</v>
      </c>
      <c r="K130" s="174" t="s">
        <v>3</v>
      </c>
      <c r="L130" s="179"/>
      <c r="M130" s="180" t="s">
        <v>3</v>
      </c>
      <c r="N130" s="181" t="s">
        <v>40</v>
      </c>
      <c r="P130" s="142">
        <f>O130*H130</f>
        <v>0</v>
      </c>
      <c r="Q130" s="142">
        <v>0</v>
      </c>
      <c r="R130" s="142">
        <f>Q130*H130</f>
        <v>0</v>
      </c>
      <c r="S130" s="142">
        <v>0</v>
      </c>
      <c r="T130" s="143">
        <f>S130*H130</f>
        <v>0</v>
      </c>
      <c r="AR130" s="144" t="s">
        <v>214</v>
      </c>
      <c r="AT130" s="144" t="s">
        <v>436</v>
      </c>
      <c r="AU130" s="144" t="s">
        <v>79</v>
      </c>
      <c r="AY130" s="18" t="s">
        <v>151</v>
      </c>
      <c r="BE130" s="145">
        <f>IF(N130="základní",J130,0)</f>
        <v>0</v>
      </c>
      <c r="BF130" s="145">
        <f>IF(N130="snížená",J130,0)</f>
        <v>0</v>
      </c>
      <c r="BG130" s="145">
        <f>IF(N130="zákl. přenesená",J130,0)</f>
        <v>0</v>
      </c>
      <c r="BH130" s="145">
        <f>IF(N130="sníž. přenesená",J130,0)</f>
        <v>0</v>
      </c>
      <c r="BI130" s="145">
        <f>IF(N130="nulová",J130,0)</f>
        <v>0</v>
      </c>
      <c r="BJ130" s="18" t="s">
        <v>77</v>
      </c>
      <c r="BK130" s="145">
        <f>ROUND(I130*H130,2)</f>
        <v>0</v>
      </c>
      <c r="BL130" s="18" t="s">
        <v>158</v>
      </c>
      <c r="BM130" s="144" t="s">
        <v>495</v>
      </c>
    </row>
    <row r="131" spans="2:65" s="1" customFormat="1" ht="19.5">
      <c r="B131" s="33"/>
      <c r="D131" s="151" t="s">
        <v>219</v>
      </c>
      <c r="F131" s="171" t="s">
        <v>827</v>
      </c>
      <c r="I131" s="148"/>
      <c r="L131" s="33"/>
      <c r="M131" s="149"/>
      <c r="T131" s="54"/>
      <c r="AT131" s="18" t="s">
        <v>219</v>
      </c>
      <c r="AU131" s="18" t="s">
        <v>79</v>
      </c>
    </row>
    <row r="132" spans="2:65" s="1" customFormat="1" ht="16.5" customHeight="1">
      <c r="B132" s="132"/>
      <c r="C132" s="172" t="s">
        <v>338</v>
      </c>
      <c r="D132" s="172" t="s">
        <v>436</v>
      </c>
      <c r="E132" s="173" t="s">
        <v>825</v>
      </c>
      <c r="F132" s="174" t="s">
        <v>826</v>
      </c>
      <c r="G132" s="175" t="s">
        <v>484</v>
      </c>
      <c r="H132" s="176">
        <v>13</v>
      </c>
      <c r="I132" s="177"/>
      <c r="J132" s="178">
        <f>ROUND(I132*H132,2)</f>
        <v>0</v>
      </c>
      <c r="K132" s="174" t="s">
        <v>3</v>
      </c>
      <c r="L132" s="179"/>
      <c r="M132" s="180" t="s">
        <v>3</v>
      </c>
      <c r="N132" s="181" t="s">
        <v>40</v>
      </c>
      <c r="P132" s="142">
        <f>O132*H132</f>
        <v>0</v>
      </c>
      <c r="Q132" s="142">
        <v>0</v>
      </c>
      <c r="R132" s="142">
        <f>Q132*H132</f>
        <v>0</v>
      </c>
      <c r="S132" s="142">
        <v>0</v>
      </c>
      <c r="T132" s="143">
        <f>S132*H132</f>
        <v>0</v>
      </c>
      <c r="AR132" s="144" t="s">
        <v>214</v>
      </c>
      <c r="AT132" s="144" t="s">
        <v>436</v>
      </c>
      <c r="AU132" s="144" t="s">
        <v>79</v>
      </c>
      <c r="AY132" s="18" t="s">
        <v>151</v>
      </c>
      <c r="BE132" s="145">
        <f>IF(N132="základní",J132,0)</f>
        <v>0</v>
      </c>
      <c r="BF132" s="145">
        <f>IF(N132="snížená",J132,0)</f>
        <v>0</v>
      </c>
      <c r="BG132" s="145">
        <f>IF(N132="zákl. přenesená",J132,0)</f>
        <v>0</v>
      </c>
      <c r="BH132" s="145">
        <f>IF(N132="sníž. přenesená",J132,0)</f>
        <v>0</v>
      </c>
      <c r="BI132" s="145">
        <f>IF(N132="nulová",J132,0)</f>
        <v>0</v>
      </c>
      <c r="BJ132" s="18" t="s">
        <v>77</v>
      </c>
      <c r="BK132" s="145">
        <f>ROUND(I132*H132,2)</f>
        <v>0</v>
      </c>
      <c r="BL132" s="18" t="s">
        <v>158</v>
      </c>
      <c r="BM132" s="144" t="s">
        <v>503</v>
      </c>
    </row>
    <row r="133" spans="2:65" s="1" customFormat="1" ht="19.5">
      <c r="B133" s="33"/>
      <c r="D133" s="151" t="s">
        <v>219</v>
      </c>
      <c r="F133" s="171" t="s">
        <v>828</v>
      </c>
      <c r="I133" s="148"/>
      <c r="L133" s="33"/>
      <c r="M133" s="149"/>
      <c r="T133" s="54"/>
      <c r="AT133" s="18" t="s">
        <v>219</v>
      </c>
      <c r="AU133" s="18" t="s">
        <v>79</v>
      </c>
    </row>
    <row r="134" spans="2:65" s="1" customFormat="1" ht="16.5" customHeight="1">
      <c r="B134" s="132"/>
      <c r="C134" s="172" t="s">
        <v>343</v>
      </c>
      <c r="D134" s="172" t="s">
        <v>436</v>
      </c>
      <c r="E134" s="173" t="s">
        <v>829</v>
      </c>
      <c r="F134" s="174" t="s">
        <v>826</v>
      </c>
      <c r="G134" s="175" t="s">
        <v>484</v>
      </c>
      <c r="H134" s="176">
        <v>13</v>
      </c>
      <c r="I134" s="177"/>
      <c r="J134" s="178">
        <f>ROUND(I134*H134,2)</f>
        <v>0</v>
      </c>
      <c r="K134" s="174" t="s">
        <v>3</v>
      </c>
      <c r="L134" s="179"/>
      <c r="M134" s="180" t="s">
        <v>3</v>
      </c>
      <c r="N134" s="181" t="s">
        <v>40</v>
      </c>
      <c r="P134" s="142">
        <f>O134*H134</f>
        <v>0</v>
      </c>
      <c r="Q134" s="142">
        <v>0</v>
      </c>
      <c r="R134" s="142">
        <f>Q134*H134</f>
        <v>0</v>
      </c>
      <c r="S134" s="142">
        <v>0</v>
      </c>
      <c r="T134" s="143">
        <f>S134*H134</f>
        <v>0</v>
      </c>
      <c r="AR134" s="144" t="s">
        <v>214</v>
      </c>
      <c r="AT134" s="144" t="s">
        <v>436</v>
      </c>
      <c r="AU134" s="144" t="s">
        <v>79</v>
      </c>
      <c r="AY134" s="18" t="s">
        <v>151</v>
      </c>
      <c r="BE134" s="145">
        <f>IF(N134="základní",J134,0)</f>
        <v>0</v>
      </c>
      <c r="BF134" s="145">
        <f>IF(N134="snížená",J134,0)</f>
        <v>0</v>
      </c>
      <c r="BG134" s="145">
        <f>IF(N134="zákl. přenesená",J134,0)</f>
        <v>0</v>
      </c>
      <c r="BH134" s="145">
        <f>IF(N134="sníž. přenesená",J134,0)</f>
        <v>0</v>
      </c>
      <c r="BI134" s="145">
        <f>IF(N134="nulová",J134,0)</f>
        <v>0</v>
      </c>
      <c r="BJ134" s="18" t="s">
        <v>77</v>
      </c>
      <c r="BK134" s="145">
        <f>ROUND(I134*H134,2)</f>
        <v>0</v>
      </c>
      <c r="BL134" s="18" t="s">
        <v>158</v>
      </c>
      <c r="BM134" s="144" t="s">
        <v>511</v>
      </c>
    </row>
    <row r="135" spans="2:65" s="1" customFormat="1" ht="19.5">
      <c r="B135" s="33"/>
      <c r="D135" s="151" t="s">
        <v>219</v>
      </c>
      <c r="F135" s="171" t="s">
        <v>830</v>
      </c>
      <c r="I135" s="148"/>
      <c r="L135" s="33"/>
      <c r="M135" s="149"/>
      <c r="T135" s="54"/>
      <c r="AT135" s="18" t="s">
        <v>219</v>
      </c>
      <c r="AU135" s="18" t="s">
        <v>79</v>
      </c>
    </row>
    <row r="136" spans="2:65" s="1" customFormat="1" ht="16.5" customHeight="1">
      <c r="B136" s="132"/>
      <c r="C136" s="172" t="s">
        <v>347</v>
      </c>
      <c r="D136" s="172" t="s">
        <v>436</v>
      </c>
      <c r="E136" s="173" t="s">
        <v>831</v>
      </c>
      <c r="F136" s="174" t="s">
        <v>826</v>
      </c>
      <c r="G136" s="175" t="s">
        <v>484</v>
      </c>
      <c r="H136" s="176">
        <v>15</v>
      </c>
      <c r="I136" s="177"/>
      <c r="J136" s="178">
        <f>ROUND(I136*H136,2)</f>
        <v>0</v>
      </c>
      <c r="K136" s="174" t="s">
        <v>3</v>
      </c>
      <c r="L136" s="179"/>
      <c r="M136" s="180" t="s">
        <v>3</v>
      </c>
      <c r="N136" s="181" t="s">
        <v>40</v>
      </c>
      <c r="P136" s="142">
        <f>O136*H136</f>
        <v>0</v>
      </c>
      <c r="Q136" s="142">
        <v>0</v>
      </c>
      <c r="R136" s="142">
        <f>Q136*H136</f>
        <v>0</v>
      </c>
      <c r="S136" s="142">
        <v>0</v>
      </c>
      <c r="T136" s="143">
        <f>S136*H136</f>
        <v>0</v>
      </c>
      <c r="AR136" s="144" t="s">
        <v>214</v>
      </c>
      <c r="AT136" s="144" t="s">
        <v>436</v>
      </c>
      <c r="AU136" s="144" t="s">
        <v>79</v>
      </c>
      <c r="AY136" s="18" t="s">
        <v>151</v>
      </c>
      <c r="BE136" s="145">
        <f>IF(N136="základní",J136,0)</f>
        <v>0</v>
      </c>
      <c r="BF136" s="145">
        <f>IF(N136="snížená",J136,0)</f>
        <v>0</v>
      </c>
      <c r="BG136" s="145">
        <f>IF(N136="zákl. přenesená",J136,0)</f>
        <v>0</v>
      </c>
      <c r="BH136" s="145">
        <f>IF(N136="sníž. přenesená",J136,0)</f>
        <v>0</v>
      </c>
      <c r="BI136" s="145">
        <f>IF(N136="nulová",J136,0)</f>
        <v>0</v>
      </c>
      <c r="BJ136" s="18" t="s">
        <v>77</v>
      </c>
      <c r="BK136" s="145">
        <f>ROUND(I136*H136,2)</f>
        <v>0</v>
      </c>
      <c r="BL136" s="18" t="s">
        <v>158</v>
      </c>
      <c r="BM136" s="144" t="s">
        <v>520</v>
      </c>
    </row>
    <row r="137" spans="2:65" s="1" customFormat="1" ht="19.5">
      <c r="B137" s="33"/>
      <c r="D137" s="151" t="s">
        <v>219</v>
      </c>
      <c r="F137" s="171" t="s">
        <v>832</v>
      </c>
      <c r="I137" s="148"/>
      <c r="L137" s="33"/>
      <c r="M137" s="149"/>
      <c r="T137" s="54"/>
      <c r="AT137" s="18" t="s">
        <v>219</v>
      </c>
      <c r="AU137" s="18" t="s">
        <v>79</v>
      </c>
    </row>
    <row r="138" spans="2:65" s="1" customFormat="1" ht="16.5" customHeight="1">
      <c r="B138" s="132"/>
      <c r="C138" s="172" t="s">
        <v>359</v>
      </c>
      <c r="D138" s="172" t="s">
        <v>436</v>
      </c>
      <c r="E138" s="173" t="s">
        <v>831</v>
      </c>
      <c r="F138" s="174" t="s">
        <v>826</v>
      </c>
      <c r="G138" s="175" t="s">
        <v>484</v>
      </c>
      <c r="H138" s="176">
        <v>5</v>
      </c>
      <c r="I138" s="177"/>
      <c r="J138" s="178">
        <f>ROUND(I138*H138,2)</f>
        <v>0</v>
      </c>
      <c r="K138" s="174" t="s">
        <v>3</v>
      </c>
      <c r="L138" s="179"/>
      <c r="M138" s="180" t="s">
        <v>3</v>
      </c>
      <c r="N138" s="181" t="s">
        <v>40</v>
      </c>
      <c r="P138" s="142">
        <f>O138*H138</f>
        <v>0</v>
      </c>
      <c r="Q138" s="142">
        <v>0</v>
      </c>
      <c r="R138" s="142">
        <f>Q138*H138</f>
        <v>0</v>
      </c>
      <c r="S138" s="142">
        <v>0</v>
      </c>
      <c r="T138" s="143">
        <f>S138*H138</f>
        <v>0</v>
      </c>
      <c r="AR138" s="144" t="s">
        <v>214</v>
      </c>
      <c r="AT138" s="144" t="s">
        <v>436</v>
      </c>
      <c r="AU138" s="144" t="s">
        <v>79</v>
      </c>
      <c r="AY138" s="18" t="s">
        <v>151</v>
      </c>
      <c r="BE138" s="145">
        <f>IF(N138="základní",J138,0)</f>
        <v>0</v>
      </c>
      <c r="BF138" s="145">
        <f>IF(N138="snížená",J138,0)</f>
        <v>0</v>
      </c>
      <c r="BG138" s="145">
        <f>IF(N138="zákl. přenesená",J138,0)</f>
        <v>0</v>
      </c>
      <c r="BH138" s="145">
        <f>IF(N138="sníž. přenesená",J138,0)</f>
        <v>0</v>
      </c>
      <c r="BI138" s="145">
        <f>IF(N138="nulová",J138,0)</f>
        <v>0</v>
      </c>
      <c r="BJ138" s="18" t="s">
        <v>77</v>
      </c>
      <c r="BK138" s="145">
        <f>ROUND(I138*H138,2)</f>
        <v>0</v>
      </c>
      <c r="BL138" s="18" t="s">
        <v>158</v>
      </c>
      <c r="BM138" s="144" t="s">
        <v>529</v>
      </c>
    </row>
    <row r="139" spans="2:65" s="1" customFormat="1" ht="19.5">
      <c r="B139" s="33"/>
      <c r="D139" s="151" t="s">
        <v>219</v>
      </c>
      <c r="F139" s="171" t="s">
        <v>833</v>
      </c>
      <c r="I139" s="148"/>
      <c r="L139" s="33"/>
      <c r="M139" s="149"/>
      <c r="T139" s="54"/>
      <c r="AT139" s="18" t="s">
        <v>219</v>
      </c>
      <c r="AU139" s="18" t="s">
        <v>79</v>
      </c>
    </row>
    <row r="140" spans="2:65" s="1" customFormat="1" ht="16.5" customHeight="1">
      <c r="B140" s="132"/>
      <c r="C140" s="172" t="s">
        <v>367</v>
      </c>
      <c r="D140" s="172" t="s">
        <v>436</v>
      </c>
      <c r="E140" s="173" t="s">
        <v>834</v>
      </c>
      <c r="F140" s="174" t="s">
        <v>826</v>
      </c>
      <c r="G140" s="175" t="s">
        <v>484</v>
      </c>
      <c r="H140" s="176">
        <v>5</v>
      </c>
      <c r="I140" s="177"/>
      <c r="J140" s="178">
        <f>ROUND(I140*H140,2)</f>
        <v>0</v>
      </c>
      <c r="K140" s="174" t="s">
        <v>3</v>
      </c>
      <c r="L140" s="179"/>
      <c r="M140" s="180" t="s">
        <v>3</v>
      </c>
      <c r="N140" s="181" t="s">
        <v>40</v>
      </c>
      <c r="P140" s="142">
        <f>O140*H140</f>
        <v>0</v>
      </c>
      <c r="Q140" s="142">
        <v>0</v>
      </c>
      <c r="R140" s="142">
        <f>Q140*H140</f>
        <v>0</v>
      </c>
      <c r="S140" s="142">
        <v>0</v>
      </c>
      <c r="T140" s="143">
        <f>S140*H140</f>
        <v>0</v>
      </c>
      <c r="AR140" s="144" t="s">
        <v>214</v>
      </c>
      <c r="AT140" s="144" t="s">
        <v>436</v>
      </c>
      <c r="AU140" s="144" t="s">
        <v>79</v>
      </c>
      <c r="AY140" s="18" t="s">
        <v>151</v>
      </c>
      <c r="BE140" s="145">
        <f>IF(N140="základní",J140,0)</f>
        <v>0</v>
      </c>
      <c r="BF140" s="145">
        <f>IF(N140="snížená",J140,0)</f>
        <v>0</v>
      </c>
      <c r="BG140" s="145">
        <f>IF(N140="zákl. přenesená",J140,0)</f>
        <v>0</v>
      </c>
      <c r="BH140" s="145">
        <f>IF(N140="sníž. přenesená",J140,0)</f>
        <v>0</v>
      </c>
      <c r="BI140" s="145">
        <f>IF(N140="nulová",J140,0)</f>
        <v>0</v>
      </c>
      <c r="BJ140" s="18" t="s">
        <v>77</v>
      </c>
      <c r="BK140" s="145">
        <f>ROUND(I140*H140,2)</f>
        <v>0</v>
      </c>
      <c r="BL140" s="18" t="s">
        <v>158</v>
      </c>
      <c r="BM140" s="144" t="s">
        <v>537</v>
      </c>
    </row>
    <row r="141" spans="2:65" s="1" customFormat="1" ht="19.5">
      <c r="B141" s="33"/>
      <c r="D141" s="151" t="s">
        <v>219</v>
      </c>
      <c r="F141" s="171" t="s">
        <v>835</v>
      </c>
      <c r="I141" s="148"/>
      <c r="L141" s="33"/>
      <c r="M141" s="149"/>
      <c r="T141" s="54"/>
      <c r="AT141" s="18" t="s">
        <v>219</v>
      </c>
      <c r="AU141" s="18" t="s">
        <v>79</v>
      </c>
    </row>
    <row r="142" spans="2:65" s="1" customFormat="1" ht="16.5" customHeight="1">
      <c r="B142" s="132"/>
      <c r="C142" s="172" t="s">
        <v>373</v>
      </c>
      <c r="D142" s="172" t="s">
        <v>436</v>
      </c>
      <c r="E142" s="173" t="s">
        <v>836</v>
      </c>
      <c r="F142" s="174" t="s">
        <v>837</v>
      </c>
      <c r="G142" s="175" t="s">
        <v>484</v>
      </c>
      <c r="H142" s="176">
        <v>10</v>
      </c>
      <c r="I142" s="177"/>
      <c r="J142" s="178">
        <f>ROUND(I142*H142,2)</f>
        <v>0</v>
      </c>
      <c r="K142" s="174" t="s">
        <v>3</v>
      </c>
      <c r="L142" s="179"/>
      <c r="M142" s="180" t="s">
        <v>3</v>
      </c>
      <c r="N142" s="181" t="s">
        <v>40</v>
      </c>
      <c r="P142" s="142">
        <f>O142*H142</f>
        <v>0</v>
      </c>
      <c r="Q142" s="142">
        <v>0</v>
      </c>
      <c r="R142" s="142">
        <f>Q142*H142</f>
        <v>0</v>
      </c>
      <c r="S142" s="142">
        <v>0</v>
      </c>
      <c r="T142" s="143">
        <f>S142*H142</f>
        <v>0</v>
      </c>
      <c r="AR142" s="144" t="s">
        <v>214</v>
      </c>
      <c r="AT142" s="144" t="s">
        <v>436</v>
      </c>
      <c r="AU142" s="144" t="s">
        <v>79</v>
      </c>
      <c r="AY142" s="18" t="s">
        <v>151</v>
      </c>
      <c r="BE142" s="145">
        <f>IF(N142="základní",J142,0)</f>
        <v>0</v>
      </c>
      <c r="BF142" s="145">
        <f>IF(N142="snížená",J142,0)</f>
        <v>0</v>
      </c>
      <c r="BG142" s="145">
        <f>IF(N142="zákl. přenesená",J142,0)</f>
        <v>0</v>
      </c>
      <c r="BH142" s="145">
        <f>IF(N142="sníž. přenesená",J142,0)</f>
        <v>0</v>
      </c>
      <c r="BI142" s="145">
        <f>IF(N142="nulová",J142,0)</f>
        <v>0</v>
      </c>
      <c r="BJ142" s="18" t="s">
        <v>77</v>
      </c>
      <c r="BK142" s="145">
        <f>ROUND(I142*H142,2)</f>
        <v>0</v>
      </c>
      <c r="BL142" s="18" t="s">
        <v>158</v>
      </c>
      <c r="BM142" s="144" t="s">
        <v>545</v>
      </c>
    </row>
    <row r="143" spans="2:65" s="1" customFormat="1" ht="19.5">
      <c r="B143" s="33"/>
      <c r="D143" s="151" t="s">
        <v>219</v>
      </c>
      <c r="F143" s="171" t="s">
        <v>838</v>
      </c>
      <c r="I143" s="148"/>
      <c r="L143" s="33"/>
      <c r="M143" s="149"/>
      <c r="T143" s="54"/>
      <c r="AT143" s="18" t="s">
        <v>219</v>
      </c>
      <c r="AU143" s="18" t="s">
        <v>79</v>
      </c>
    </row>
    <row r="144" spans="2:65" s="1" customFormat="1" ht="16.5" customHeight="1">
      <c r="B144" s="132"/>
      <c r="C144" s="172" t="s">
        <v>378</v>
      </c>
      <c r="D144" s="172" t="s">
        <v>436</v>
      </c>
      <c r="E144" s="173" t="s">
        <v>839</v>
      </c>
      <c r="F144" s="174" t="s">
        <v>840</v>
      </c>
      <c r="G144" s="175" t="s">
        <v>771</v>
      </c>
      <c r="H144" s="176">
        <v>1</v>
      </c>
      <c r="I144" s="177"/>
      <c r="J144" s="178">
        <f>ROUND(I144*H144,2)</f>
        <v>0</v>
      </c>
      <c r="K144" s="174" t="s">
        <v>3</v>
      </c>
      <c r="L144" s="179"/>
      <c r="M144" s="180" t="s">
        <v>3</v>
      </c>
      <c r="N144" s="181" t="s">
        <v>40</v>
      </c>
      <c r="P144" s="142">
        <f>O144*H144</f>
        <v>0</v>
      </c>
      <c r="Q144" s="142">
        <v>0</v>
      </c>
      <c r="R144" s="142">
        <f>Q144*H144</f>
        <v>0</v>
      </c>
      <c r="S144" s="142">
        <v>0</v>
      </c>
      <c r="T144" s="143">
        <f>S144*H144</f>
        <v>0</v>
      </c>
      <c r="AR144" s="144" t="s">
        <v>214</v>
      </c>
      <c r="AT144" s="144" t="s">
        <v>436</v>
      </c>
      <c r="AU144" s="144" t="s">
        <v>79</v>
      </c>
      <c r="AY144" s="18" t="s">
        <v>151</v>
      </c>
      <c r="BE144" s="145">
        <f>IF(N144="základní",J144,0)</f>
        <v>0</v>
      </c>
      <c r="BF144" s="145">
        <f>IF(N144="snížená",J144,0)</f>
        <v>0</v>
      </c>
      <c r="BG144" s="145">
        <f>IF(N144="zákl. přenesená",J144,0)</f>
        <v>0</v>
      </c>
      <c r="BH144" s="145">
        <f>IF(N144="sníž. přenesená",J144,0)</f>
        <v>0</v>
      </c>
      <c r="BI144" s="145">
        <f>IF(N144="nulová",J144,0)</f>
        <v>0</v>
      </c>
      <c r="BJ144" s="18" t="s">
        <v>77</v>
      </c>
      <c r="BK144" s="145">
        <f>ROUND(I144*H144,2)</f>
        <v>0</v>
      </c>
      <c r="BL144" s="18" t="s">
        <v>158</v>
      </c>
      <c r="BM144" s="144" t="s">
        <v>553</v>
      </c>
    </row>
    <row r="145" spans="2:65" s="1" customFormat="1" ht="16.5" customHeight="1">
      <c r="B145" s="132"/>
      <c r="C145" s="133" t="s">
        <v>384</v>
      </c>
      <c r="D145" s="133" t="s">
        <v>153</v>
      </c>
      <c r="E145" s="134" t="s">
        <v>841</v>
      </c>
      <c r="F145" s="135" t="s">
        <v>842</v>
      </c>
      <c r="G145" s="136" t="s">
        <v>771</v>
      </c>
      <c r="H145" s="137">
        <v>1</v>
      </c>
      <c r="I145" s="138"/>
      <c r="J145" s="139">
        <f>ROUND(I145*H145,2)</f>
        <v>0</v>
      </c>
      <c r="K145" s="135" t="s">
        <v>3</v>
      </c>
      <c r="L145" s="33"/>
      <c r="M145" s="140" t="s">
        <v>3</v>
      </c>
      <c r="N145" s="141" t="s">
        <v>40</v>
      </c>
      <c r="P145" s="142">
        <f>O145*H145</f>
        <v>0</v>
      </c>
      <c r="Q145" s="142">
        <v>0</v>
      </c>
      <c r="R145" s="142">
        <f>Q145*H145</f>
        <v>0</v>
      </c>
      <c r="S145" s="142">
        <v>0</v>
      </c>
      <c r="T145" s="143">
        <f>S145*H145</f>
        <v>0</v>
      </c>
      <c r="AR145" s="144" t="s">
        <v>158</v>
      </c>
      <c r="AT145" s="144" t="s">
        <v>153</v>
      </c>
      <c r="AU145" s="144" t="s">
        <v>79</v>
      </c>
      <c r="AY145" s="18" t="s">
        <v>151</v>
      </c>
      <c r="BE145" s="145">
        <f>IF(N145="základní",J145,0)</f>
        <v>0</v>
      </c>
      <c r="BF145" s="145">
        <f>IF(N145="snížená",J145,0)</f>
        <v>0</v>
      </c>
      <c r="BG145" s="145">
        <f>IF(N145="zákl. přenesená",J145,0)</f>
        <v>0</v>
      </c>
      <c r="BH145" s="145">
        <f>IF(N145="sníž. přenesená",J145,0)</f>
        <v>0</v>
      </c>
      <c r="BI145" s="145">
        <f>IF(N145="nulová",J145,0)</f>
        <v>0</v>
      </c>
      <c r="BJ145" s="18" t="s">
        <v>77</v>
      </c>
      <c r="BK145" s="145">
        <f>ROUND(I145*H145,2)</f>
        <v>0</v>
      </c>
      <c r="BL145" s="18" t="s">
        <v>158</v>
      </c>
      <c r="BM145" s="144" t="s">
        <v>568</v>
      </c>
    </row>
    <row r="146" spans="2:65" s="11" customFormat="1" ht="22.9" customHeight="1">
      <c r="B146" s="120"/>
      <c r="D146" s="121" t="s">
        <v>68</v>
      </c>
      <c r="E146" s="130" t="s">
        <v>843</v>
      </c>
      <c r="F146" s="130" t="s">
        <v>844</v>
      </c>
      <c r="I146" s="123"/>
      <c r="J146" s="131">
        <f>BK146</f>
        <v>0</v>
      </c>
      <c r="L146" s="120"/>
      <c r="M146" s="125"/>
      <c r="P146" s="126">
        <f>P147+P186+P209</f>
        <v>0</v>
      </c>
      <c r="R146" s="126">
        <f>R147+R186+R209</f>
        <v>0</v>
      </c>
      <c r="T146" s="127">
        <f>T147+T186+T209</f>
        <v>0</v>
      </c>
      <c r="AR146" s="121" t="s">
        <v>77</v>
      </c>
      <c r="AT146" s="128" t="s">
        <v>68</v>
      </c>
      <c r="AU146" s="128" t="s">
        <v>77</v>
      </c>
      <c r="AY146" s="121" t="s">
        <v>151</v>
      </c>
      <c r="BK146" s="129">
        <f>BK147+BK186+BK209</f>
        <v>0</v>
      </c>
    </row>
    <row r="147" spans="2:65" s="11" customFormat="1" ht="20.85" customHeight="1">
      <c r="B147" s="120"/>
      <c r="D147" s="121" t="s">
        <v>68</v>
      </c>
      <c r="E147" s="130" t="s">
        <v>845</v>
      </c>
      <c r="F147" s="130" t="s">
        <v>846</v>
      </c>
      <c r="I147" s="123"/>
      <c r="J147" s="131">
        <f>BK147</f>
        <v>0</v>
      </c>
      <c r="L147" s="120"/>
      <c r="M147" s="125"/>
      <c r="P147" s="126">
        <f>SUM(P148:P185)</f>
        <v>0</v>
      </c>
      <c r="R147" s="126">
        <f>SUM(R148:R185)</f>
        <v>0</v>
      </c>
      <c r="T147" s="127">
        <f>SUM(T148:T185)</f>
        <v>0</v>
      </c>
      <c r="AR147" s="121" t="s">
        <v>77</v>
      </c>
      <c r="AT147" s="128" t="s">
        <v>68</v>
      </c>
      <c r="AU147" s="128" t="s">
        <v>79</v>
      </c>
      <c r="AY147" s="121" t="s">
        <v>151</v>
      </c>
      <c r="BK147" s="129">
        <f>SUM(BK148:BK185)</f>
        <v>0</v>
      </c>
    </row>
    <row r="148" spans="2:65" s="1" customFormat="1" ht="16.5" customHeight="1">
      <c r="B148" s="132"/>
      <c r="C148" s="172" t="s">
        <v>808</v>
      </c>
      <c r="D148" s="172" t="s">
        <v>436</v>
      </c>
      <c r="E148" s="173" t="s">
        <v>847</v>
      </c>
      <c r="F148" s="174" t="s">
        <v>848</v>
      </c>
      <c r="G148" s="175" t="s">
        <v>3</v>
      </c>
      <c r="H148" s="176">
        <v>2</v>
      </c>
      <c r="I148" s="177"/>
      <c r="J148" s="178">
        <f>ROUND(I148*H148,2)</f>
        <v>0</v>
      </c>
      <c r="K148" s="174" t="s">
        <v>3</v>
      </c>
      <c r="L148" s="179"/>
      <c r="M148" s="180" t="s">
        <v>3</v>
      </c>
      <c r="N148" s="181" t="s">
        <v>40</v>
      </c>
      <c r="P148" s="142">
        <f>O148*H148</f>
        <v>0</v>
      </c>
      <c r="Q148" s="142">
        <v>0</v>
      </c>
      <c r="R148" s="142">
        <f>Q148*H148</f>
        <v>0</v>
      </c>
      <c r="S148" s="142">
        <v>0</v>
      </c>
      <c r="T148" s="143">
        <f>S148*H148</f>
        <v>0</v>
      </c>
      <c r="AR148" s="144" t="s">
        <v>214</v>
      </c>
      <c r="AT148" s="144" t="s">
        <v>436</v>
      </c>
      <c r="AU148" s="144" t="s">
        <v>168</v>
      </c>
      <c r="AY148" s="18" t="s">
        <v>151</v>
      </c>
      <c r="BE148" s="145">
        <f>IF(N148="základní",J148,0)</f>
        <v>0</v>
      </c>
      <c r="BF148" s="145">
        <f>IF(N148="snížená",J148,0)</f>
        <v>0</v>
      </c>
      <c r="BG148" s="145">
        <f>IF(N148="zákl. přenesená",J148,0)</f>
        <v>0</v>
      </c>
      <c r="BH148" s="145">
        <f>IF(N148="sníž. přenesená",J148,0)</f>
        <v>0</v>
      </c>
      <c r="BI148" s="145">
        <f>IF(N148="nulová",J148,0)</f>
        <v>0</v>
      </c>
      <c r="BJ148" s="18" t="s">
        <v>77</v>
      </c>
      <c r="BK148" s="145">
        <f>ROUND(I148*H148,2)</f>
        <v>0</v>
      </c>
      <c r="BL148" s="18" t="s">
        <v>158</v>
      </c>
      <c r="BM148" s="144" t="s">
        <v>578</v>
      </c>
    </row>
    <row r="149" spans="2:65" s="1" customFormat="1" ht="19.5">
      <c r="B149" s="33"/>
      <c r="D149" s="151" t="s">
        <v>219</v>
      </c>
      <c r="F149" s="171" t="s">
        <v>849</v>
      </c>
      <c r="I149" s="148"/>
      <c r="L149" s="33"/>
      <c r="M149" s="149"/>
      <c r="T149" s="54"/>
      <c r="AT149" s="18" t="s">
        <v>219</v>
      </c>
      <c r="AU149" s="18" t="s">
        <v>168</v>
      </c>
    </row>
    <row r="150" spans="2:65" s="1" customFormat="1" ht="16.5" customHeight="1">
      <c r="B150" s="132"/>
      <c r="C150" s="172" t="s">
        <v>396</v>
      </c>
      <c r="D150" s="172" t="s">
        <v>436</v>
      </c>
      <c r="E150" s="173" t="s">
        <v>850</v>
      </c>
      <c r="F150" s="174" t="s">
        <v>851</v>
      </c>
      <c r="G150" s="175" t="s">
        <v>3</v>
      </c>
      <c r="H150" s="176">
        <v>2</v>
      </c>
      <c r="I150" s="177"/>
      <c r="J150" s="178">
        <f>ROUND(I150*H150,2)</f>
        <v>0</v>
      </c>
      <c r="K150" s="174" t="s">
        <v>3</v>
      </c>
      <c r="L150" s="179"/>
      <c r="M150" s="180" t="s">
        <v>3</v>
      </c>
      <c r="N150" s="181" t="s">
        <v>40</v>
      </c>
      <c r="P150" s="142">
        <f>O150*H150</f>
        <v>0</v>
      </c>
      <c r="Q150" s="142">
        <v>0</v>
      </c>
      <c r="R150" s="142">
        <f>Q150*H150</f>
        <v>0</v>
      </c>
      <c r="S150" s="142">
        <v>0</v>
      </c>
      <c r="T150" s="143">
        <f>S150*H150</f>
        <v>0</v>
      </c>
      <c r="AR150" s="144" t="s">
        <v>214</v>
      </c>
      <c r="AT150" s="144" t="s">
        <v>436</v>
      </c>
      <c r="AU150" s="144" t="s">
        <v>168</v>
      </c>
      <c r="AY150" s="18" t="s">
        <v>151</v>
      </c>
      <c r="BE150" s="145">
        <f>IF(N150="základní",J150,0)</f>
        <v>0</v>
      </c>
      <c r="BF150" s="145">
        <f>IF(N150="snížená",J150,0)</f>
        <v>0</v>
      </c>
      <c r="BG150" s="145">
        <f>IF(N150="zákl. přenesená",J150,0)</f>
        <v>0</v>
      </c>
      <c r="BH150" s="145">
        <f>IF(N150="sníž. přenesená",J150,0)</f>
        <v>0</v>
      </c>
      <c r="BI150" s="145">
        <f>IF(N150="nulová",J150,0)</f>
        <v>0</v>
      </c>
      <c r="BJ150" s="18" t="s">
        <v>77</v>
      </c>
      <c r="BK150" s="145">
        <f>ROUND(I150*H150,2)</f>
        <v>0</v>
      </c>
      <c r="BL150" s="18" t="s">
        <v>158</v>
      </c>
      <c r="BM150" s="144" t="s">
        <v>588</v>
      </c>
    </row>
    <row r="151" spans="2:65" s="1" customFormat="1" ht="19.5">
      <c r="B151" s="33"/>
      <c r="D151" s="151" t="s">
        <v>219</v>
      </c>
      <c r="F151" s="171" t="s">
        <v>852</v>
      </c>
      <c r="I151" s="148"/>
      <c r="L151" s="33"/>
      <c r="M151" s="149"/>
      <c r="T151" s="54"/>
      <c r="AT151" s="18" t="s">
        <v>219</v>
      </c>
      <c r="AU151" s="18" t="s">
        <v>168</v>
      </c>
    </row>
    <row r="152" spans="2:65" s="1" customFormat="1" ht="16.5" customHeight="1">
      <c r="B152" s="132"/>
      <c r="C152" s="172" t="s">
        <v>202</v>
      </c>
      <c r="D152" s="172" t="s">
        <v>436</v>
      </c>
      <c r="E152" s="173" t="s">
        <v>853</v>
      </c>
      <c r="F152" s="174" t="s">
        <v>854</v>
      </c>
      <c r="G152" s="175" t="s">
        <v>3</v>
      </c>
      <c r="H152" s="176">
        <v>1</v>
      </c>
      <c r="I152" s="177"/>
      <c r="J152" s="178">
        <f>ROUND(I152*H152,2)</f>
        <v>0</v>
      </c>
      <c r="K152" s="174" t="s">
        <v>3</v>
      </c>
      <c r="L152" s="179"/>
      <c r="M152" s="180" t="s">
        <v>3</v>
      </c>
      <c r="N152" s="181" t="s">
        <v>40</v>
      </c>
      <c r="P152" s="142">
        <f>O152*H152</f>
        <v>0</v>
      </c>
      <c r="Q152" s="142">
        <v>0</v>
      </c>
      <c r="R152" s="142">
        <f>Q152*H152</f>
        <v>0</v>
      </c>
      <c r="S152" s="142">
        <v>0</v>
      </c>
      <c r="T152" s="143">
        <f>S152*H152</f>
        <v>0</v>
      </c>
      <c r="AR152" s="144" t="s">
        <v>214</v>
      </c>
      <c r="AT152" s="144" t="s">
        <v>436</v>
      </c>
      <c r="AU152" s="144" t="s">
        <v>168</v>
      </c>
      <c r="AY152" s="18" t="s">
        <v>151</v>
      </c>
      <c r="BE152" s="145">
        <f>IF(N152="základní",J152,0)</f>
        <v>0</v>
      </c>
      <c r="BF152" s="145">
        <f>IF(N152="snížená",J152,0)</f>
        <v>0</v>
      </c>
      <c r="BG152" s="145">
        <f>IF(N152="zákl. přenesená",J152,0)</f>
        <v>0</v>
      </c>
      <c r="BH152" s="145">
        <f>IF(N152="sníž. přenesená",J152,0)</f>
        <v>0</v>
      </c>
      <c r="BI152" s="145">
        <f>IF(N152="nulová",J152,0)</f>
        <v>0</v>
      </c>
      <c r="BJ152" s="18" t="s">
        <v>77</v>
      </c>
      <c r="BK152" s="145">
        <f>ROUND(I152*H152,2)</f>
        <v>0</v>
      </c>
      <c r="BL152" s="18" t="s">
        <v>158</v>
      </c>
      <c r="BM152" s="144" t="s">
        <v>598</v>
      </c>
    </row>
    <row r="153" spans="2:65" s="1" customFormat="1" ht="19.5">
      <c r="B153" s="33"/>
      <c r="D153" s="151" t="s">
        <v>219</v>
      </c>
      <c r="F153" s="171" t="s">
        <v>855</v>
      </c>
      <c r="I153" s="148"/>
      <c r="L153" s="33"/>
      <c r="M153" s="149"/>
      <c r="T153" s="54"/>
      <c r="AT153" s="18" t="s">
        <v>219</v>
      </c>
      <c r="AU153" s="18" t="s">
        <v>168</v>
      </c>
    </row>
    <row r="154" spans="2:65" s="1" customFormat="1" ht="16.5" customHeight="1">
      <c r="B154" s="132"/>
      <c r="C154" s="172" t="s">
        <v>405</v>
      </c>
      <c r="D154" s="172" t="s">
        <v>436</v>
      </c>
      <c r="E154" s="173" t="s">
        <v>856</v>
      </c>
      <c r="F154" s="174" t="s">
        <v>857</v>
      </c>
      <c r="G154" s="175" t="s">
        <v>3</v>
      </c>
      <c r="H154" s="176">
        <v>3</v>
      </c>
      <c r="I154" s="177"/>
      <c r="J154" s="178">
        <f>ROUND(I154*H154,2)</f>
        <v>0</v>
      </c>
      <c r="K154" s="174" t="s">
        <v>3</v>
      </c>
      <c r="L154" s="179"/>
      <c r="M154" s="180" t="s">
        <v>3</v>
      </c>
      <c r="N154" s="181" t="s">
        <v>40</v>
      </c>
      <c r="P154" s="142">
        <f>O154*H154</f>
        <v>0</v>
      </c>
      <c r="Q154" s="142">
        <v>0</v>
      </c>
      <c r="R154" s="142">
        <f>Q154*H154</f>
        <v>0</v>
      </c>
      <c r="S154" s="142">
        <v>0</v>
      </c>
      <c r="T154" s="143">
        <f>S154*H154</f>
        <v>0</v>
      </c>
      <c r="AR154" s="144" t="s">
        <v>214</v>
      </c>
      <c r="AT154" s="144" t="s">
        <v>436</v>
      </c>
      <c r="AU154" s="144" t="s">
        <v>168</v>
      </c>
      <c r="AY154" s="18" t="s">
        <v>151</v>
      </c>
      <c r="BE154" s="145">
        <f>IF(N154="základní",J154,0)</f>
        <v>0</v>
      </c>
      <c r="BF154" s="145">
        <f>IF(N154="snížená",J154,0)</f>
        <v>0</v>
      </c>
      <c r="BG154" s="145">
        <f>IF(N154="zákl. přenesená",J154,0)</f>
        <v>0</v>
      </c>
      <c r="BH154" s="145">
        <f>IF(N154="sníž. přenesená",J154,0)</f>
        <v>0</v>
      </c>
      <c r="BI154" s="145">
        <f>IF(N154="nulová",J154,0)</f>
        <v>0</v>
      </c>
      <c r="BJ154" s="18" t="s">
        <v>77</v>
      </c>
      <c r="BK154" s="145">
        <f>ROUND(I154*H154,2)</f>
        <v>0</v>
      </c>
      <c r="BL154" s="18" t="s">
        <v>158</v>
      </c>
      <c r="BM154" s="144" t="s">
        <v>609</v>
      </c>
    </row>
    <row r="155" spans="2:65" s="1" customFormat="1" ht="19.5">
      <c r="B155" s="33"/>
      <c r="D155" s="151" t="s">
        <v>219</v>
      </c>
      <c r="F155" s="171" t="s">
        <v>858</v>
      </c>
      <c r="I155" s="148"/>
      <c r="L155" s="33"/>
      <c r="M155" s="149"/>
      <c r="T155" s="54"/>
      <c r="AT155" s="18" t="s">
        <v>219</v>
      </c>
      <c r="AU155" s="18" t="s">
        <v>168</v>
      </c>
    </row>
    <row r="156" spans="2:65" s="1" customFormat="1" ht="16.5" customHeight="1">
      <c r="B156" s="132"/>
      <c r="C156" s="172" t="s">
        <v>410</v>
      </c>
      <c r="D156" s="172" t="s">
        <v>436</v>
      </c>
      <c r="E156" s="173" t="s">
        <v>859</v>
      </c>
      <c r="F156" s="174" t="s">
        <v>860</v>
      </c>
      <c r="G156" s="175" t="s">
        <v>3</v>
      </c>
      <c r="H156" s="176">
        <v>3</v>
      </c>
      <c r="I156" s="177"/>
      <c r="J156" s="178">
        <f>ROUND(I156*H156,2)</f>
        <v>0</v>
      </c>
      <c r="K156" s="174" t="s">
        <v>3</v>
      </c>
      <c r="L156" s="179"/>
      <c r="M156" s="180" t="s">
        <v>3</v>
      </c>
      <c r="N156" s="181" t="s">
        <v>40</v>
      </c>
      <c r="P156" s="142">
        <f>O156*H156</f>
        <v>0</v>
      </c>
      <c r="Q156" s="142">
        <v>0</v>
      </c>
      <c r="R156" s="142">
        <f>Q156*H156</f>
        <v>0</v>
      </c>
      <c r="S156" s="142">
        <v>0</v>
      </c>
      <c r="T156" s="143">
        <f>S156*H156</f>
        <v>0</v>
      </c>
      <c r="AR156" s="144" t="s">
        <v>214</v>
      </c>
      <c r="AT156" s="144" t="s">
        <v>436</v>
      </c>
      <c r="AU156" s="144" t="s">
        <v>168</v>
      </c>
      <c r="AY156" s="18" t="s">
        <v>151</v>
      </c>
      <c r="BE156" s="145">
        <f>IF(N156="základní",J156,0)</f>
        <v>0</v>
      </c>
      <c r="BF156" s="145">
        <f>IF(N156="snížená",J156,0)</f>
        <v>0</v>
      </c>
      <c r="BG156" s="145">
        <f>IF(N156="zákl. přenesená",J156,0)</f>
        <v>0</v>
      </c>
      <c r="BH156" s="145">
        <f>IF(N156="sníž. přenesená",J156,0)</f>
        <v>0</v>
      </c>
      <c r="BI156" s="145">
        <f>IF(N156="nulová",J156,0)</f>
        <v>0</v>
      </c>
      <c r="BJ156" s="18" t="s">
        <v>77</v>
      </c>
      <c r="BK156" s="145">
        <f>ROUND(I156*H156,2)</f>
        <v>0</v>
      </c>
      <c r="BL156" s="18" t="s">
        <v>158</v>
      </c>
      <c r="BM156" s="144" t="s">
        <v>621</v>
      </c>
    </row>
    <row r="157" spans="2:65" s="1" customFormat="1" ht="19.5">
      <c r="B157" s="33"/>
      <c r="D157" s="151" t="s">
        <v>219</v>
      </c>
      <c r="F157" s="171" t="s">
        <v>861</v>
      </c>
      <c r="I157" s="148"/>
      <c r="L157" s="33"/>
      <c r="M157" s="149"/>
      <c r="T157" s="54"/>
      <c r="AT157" s="18" t="s">
        <v>219</v>
      </c>
      <c r="AU157" s="18" t="s">
        <v>168</v>
      </c>
    </row>
    <row r="158" spans="2:65" s="1" customFormat="1" ht="16.5" customHeight="1">
      <c r="B158" s="132"/>
      <c r="C158" s="172" t="s">
        <v>416</v>
      </c>
      <c r="D158" s="172" t="s">
        <v>436</v>
      </c>
      <c r="E158" s="173" t="s">
        <v>862</v>
      </c>
      <c r="F158" s="174" t="s">
        <v>863</v>
      </c>
      <c r="G158" s="175" t="s">
        <v>3</v>
      </c>
      <c r="H158" s="176">
        <v>11</v>
      </c>
      <c r="I158" s="177"/>
      <c r="J158" s="178">
        <f>ROUND(I158*H158,2)</f>
        <v>0</v>
      </c>
      <c r="K158" s="174" t="s">
        <v>3</v>
      </c>
      <c r="L158" s="179"/>
      <c r="M158" s="180" t="s">
        <v>3</v>
      </c>
      <c r="N158" s="181" t="s">
        <v>40</v>
      </c>
      <c r="P158" s="142">
        <f>O158*H158</f>
        <v>0</v>
      </c>
      <c r="Q158" s="142">
        <v>0</v>
      </c>
      <c r="R158" s="142">
        <f>Q158*H158</f>
        <v>0</v>
      </c>
      <c r="S158" s="142">
        <v>0</v>
      </c>
      <c r="T158" s="143">
        <f>S158*H158</f>
        <v>0</v>
      </c>
      <c r="AR158" s="144" t="s">
        <v>214</v>
      </c>
      <c r="AT158" s="144" t="s">
        <v>436</v>
      </c>
      <c r="AU158" s="144" t="s">
        <v>168</v>
      </c>
      <c r="AY158" s="18" t="s">
        <v>151</v>
      </c>
      <c r="BE158" s="145">
        <f>IF(N158="základní",J158,0)</f>
        <v>0</v>
      </c>
      <c r="BF158" s="145">
        <f>IF(N158="snížená",J158,0)</f>
        <v>0</v>
      </c>
      <c r="BG158" s="145">
        <f>IF(N158="zákl. přenesená",J158,0)</f>
        <v>0</v>
      </c>
      <c r="BH158" s="145">
        <f>IF(N158="sníž. přenesená",J158,0)</f>
        <v>0</v>
      </c>
      <c r="BI158" s="145">
        <f>IF(N158="nulová",J158,0)</f>
        <v>0</v>
      </c>
      <c r="BJ158" s="18" t="s">
        <v>77</v>
      </c>
      <c r="BK158" s="145">
        <f>ROUND(I158*H158,2)</f>
        <v>0</v>
      </c>
      <c r="BL158" s="18" t="s">
        <v>158</v>
      </c>
      <c r="BM158" s="144" t="s">
        <v>634</v>
      </c>
    </row>
    <row r="159" spans="2:65" s="1" customFormat="1" ht="19.5">
      <c r="B159" s="33"/>
      <c r="D159" s="151" t="s">
        <v>219</v>
      </c>
      <c r="F159" s="171" t="s">
        <v>864</v>
      </c>
      <c r="I159" s="148"/>
      <c r="L159" s="33"/>
      <c r="M159" s="149"/>
      <c r="T159" s="54"/>
      <c r="AT159" s="18" t="s">
        <v>219</v>
      </c>
      <c r="AU159" s="18" t="s">
        <v>168</v>
      </c>
    </row>
    <row r="160" spans="2:65" s="1" customFormat="1" ht="16.5" customHeight="1">
      <c r="B160" s="132"/>
      <c r="C160" s="172" t="s">
        <v>423</v>
      </c>
      <c r="D160" s="172" t="s">
        <v>436</v>
      </c>
      <c r="E160" s="173" t="s">
        <v>865</v>
      </c>
      <c r="F160" s="174" t="s">
        <v>866</v>
      </c>
      <c r="G160" s="175" t="s">
        <v>3</v>
      </c>
      <c r="H160" s="176">
        <v>1</v>
      </c>
      <c r="I160" s="177"/>
      <c r="J160" s="178">
        <f>ROUND(I160*H160,2)</f>
        <v>0</v>
      </c>
      <c r="K160" s="174" t="s">
        <v>3</v>
      </c>
      <c r="L160" s="179"/>
      <c r="M160" s="180" t="s">
        <v>3</v>
      </c>
      <c r="N160" s="181" t="s">
        <v>40</v>
      </c>
      <c r="P160" s="142">
        <f>O160*H160</f>
        <v>0</v>
      </c>
      <c r="Q160" s="142">
        <v>0</v>
      </c>
      <c r="R160" s="142">
        <f>Q160*H160</f>
        <v>0</v>
      </c>
      <c r="S160" s="142">
        <v>0</v>
      </c>
      <c r="T160" s="143">
        <f>S160*H160</f>
        <v>0</v>
      </c>
      <c r="AR160" s="144" t="s">
        <v>214</v>
      </c>
      <c r="AT160" s="144" t="s">
        <v>436</v>
      </c>
      <c r="AU160" s="144" t="s">
        <v>168</v>
      </c>
      <c r="AY160" s="18" t="s">
        <v>151</v>
      </c>
      <c r="BE160" s="145">
        <f>IF(N160="základní",J160,0)</f>
        <v>0</v>
      </c>
      <c r="BF160" s="145">
        <f>IF(N160="snížená",J160,0)</f>
        <v>0</v>
      </c>
      <c r="BG160" s="145">
        <f>IF(N160="zákl. přenesená",J160,0)</f>
        <v>0</v>
      </c>
      <c r="BH160" s="145">
        <f>IF(N160="sníž. přenesená",J160,0)</f>
        <v>0</v>
      </c>
      <c r="BI160" s="145">
        <f>IF(N160="nulová",J160,0)</f>
        <v>0</v>
      </c>
      <c r="BJ160" s="18" t="s">
        <v>77</v>
      </c>
      <c r="BK160" s="145">
        <f>ROUND(I160*H160,2)</f>
        <v>0</v>
      </c>
      <c r="BL160" s="18" t="s">
        <v>158</v>
      </c>
      <c r="BM160" s="144" t="s">
        <v>644</v>
      </c>
    </row>
    <row r="161" spans="2:65" s="1" customFormat="1" ht="19.5">
      <c r="B161" s="33"/>
      <c r="D161" s="151" t="s">
        <v>219</v>
      </c>
      <c r="F161" s="171" t="s">
        <v>867</v>
      </c>
      <c r="I161" s="148"/>
      <c r="L161" s="33"/>
      <c r="M161" s="149"/>
      <c r="T161" s="54"/>
      <c r="AT161" s="18" t="s">
        <v>219</v>
      </c>
      <c r="AU161" s="18" t="s">
        <v>168</v>
      </c>
    </row>
    <row r="162" spans="2:65" s="1" customFormat="1" ht="16.5" customHeight="1">
      <c r="B162" s="132"/>
      <c r="C162" s="172" t="s">
        <v>440</v>
      </c>
      <c r="D162" s="172" t="s">
        <v>436</v>
      </c>
      <c r="E162" s="173" t="s">
        <v>868</v>
      </c>
      <c r="F162" s="174" t="s">
        <v>869</v>
      </c>
      <c r="G162" s="175" t="s">
        <v>3</v>
      </c>
      <c r="H162" s="176">
        <v>6</v>
      </c>
      <c r="I162" s="177"/>
      <c r="J162" s="178">
        <f>ROUND(I162*H162,2)</f>
        <v>0</v>
      </c>
      <c r="K162" s="174" t="s">
        <v>3</v>
      </c>
      <c r="L162" s="179"/>
      <c r="M162" s="180" t="s">
        <v>3</v>
      </c>
      <c r="N162" s="181" t="s">
        <v>40</v>
      </c>
      <c r="P162" s="142">
        <f>O162*H162</f>
        <v>0</v>
      </c>
      <c r="Q162" s="142">
        <v>0</v>
      </c>
      <c r="R162" s="142">
        <f>Q162*H162</f>
        <v>0</v>
      </c>
      <c r="S162" s="142">
        <v>0</v>
      </c>
      <c r="T162" s="143">
        <f>S162*H162</f>
        <v>0</v>
      </c>
      <c r="AR162" s="144" t="s">
        <v>214</v>
      </c>
      <c r="AT162" s="144" t="s">
        <v>436</v>
      </c>
      <c r="AU162" s="144" t="s">
        <v>168</v>
      </c>
      <c r="AY162" s="18" t="s">
        <v>151</v>
      </c>
      <c r="BE162" s="145">
        <f>IF(N162="základní",J162,0)</f>
        <v>0</v>
      </c>
      <c r="BF162" s="145">
        <f>IF(N162="snížená",J162,0)</f>
        <v>0</v>
      </c>
      <c r="BG162" s="145">
        <f>IF(N162="zákl. přenesená",J162,0)</f>
        <v>0</v>
      </c>
      <c r="BH162" s="145">
        <f>IF(N162="sníž. přenesená",J162,0)</f>
        <v>0</v>
      </c>
      <c r="BI162" s="145">
        <f>IF(N162="nulová",J162,0)</f>
        <v>0</v>
      </c>
      <c r="BJ162" s="18" t="s">
        <v>77</v>
      </c>
      <c r="BK162" s="145">
        <f>ROUND(I162*H162,2)</f>
        <v>0</v>
      </c>
      <c r="BL162" s="18" t="s">
        <v>158</v>
      </c>
      <c r="BM162" s="144" t="s">
        <v>656</v>
      </c>
    </row>
    <row r="163" spans="2:65" s="1" customFormat="1" ht="19.5">
      <c r="B163" s="33"/>
      <c r="D163" s="151" t="s">
        <v>219</v>
      </c>
      <c r="F163" s="171" t="s">
        <v>870</v>
      </c>
      <c r="I163" s="148"/>
      <c r="L163" s="33"/>
      <c r="M163" s="149"/>
      <c r="T163" s="54"/>
      <c r="AT163" s="18" t="s">
        <v>219</v>
      </c>
      <c r="AU163" s="18" t="s">
        <v>168</v>
      </c>
    </row>
    <row r="164" spans="2:65" s="1" customFormat="1" ht="16.5" customHeight="1">
      <c r="B164" s="132"/>
      <c r="C164" s="172" t="s">
        <v>476</v>
      </c>
      <c r="D164" s="172" t="s">
        <v>436</v>
      </c>
      <c r="E164" s="173" t="s">
        <v>871</v>
      </c>
      <c r="F164" s="174" t="s">
        <v>872</v>
      </c>
      <c r="G164" s="175" t="s">
        <v>3</v>
      </c>
      <c r="H164" s="176">
        <v>2</v>
      </c>
      <c r="I164" s="177"/>
      <c r="J164" s="178">
        <f>ROUND(I164*H164,2)</f>
        <v>0</v>
      </c>
      <c r="K164" s="174" t="s">
        <v>3</v>
      </c>
      <c r="L164" s="179"/>
      <c r="M164" s="180" t="s">
        <v>3</v>
      </c>
      <c r="N164" s="181" t="s">
        <v>40</v>
      </c>
      <c r="P164" s="142">
        <f>O164*H164</f>
        <v>0</v>
      </c>
      <c r="Q164" s="142">
        <v>0</v>
      </c>
      <c r="R164" s="142">
        <f>Q164*H164</f>
        <v>0</v>
      </c>
      <c r="S164" s="142">
        <v>0</v>
      </c>
      <c r="T164" s="143">
        <f>S164*H164</f>
        <v>0</v>
      </c>
      <c r="AR164" s="144" t="s">
        <v>214</v>
      </c>
      <c r="AT164" s="144" t="s">
        <v>436</v>
      </c>
      <c r="AU164" s="144" t="s">
        <v>168</v>
      </c>
      <c r="AY164" s="18" t="s">
        <v>151</v>
      </c>
      <c r="BE164" s="145">
        <f>IF(N164="základní",J164,0)</f>
        <v>0</v>
      </c>
      <c r="BF164" s="145">
        <f>IF(N164="snížená",J164,0)</f>
        <v>0</v>
      </c>
      <c r="BG164" s="145">
        <f>IF(N164="zákl. přenesená",J164,0)</f>
        <v>0</v>
      </c>
      <c r="BH164" s="145">
        <f>IF(N164="sníž. přenesená",J164,0)</f>
        <v>0</v>
      </c>
      <c r="BI164" s="145">
        <f>IF(N164="nulová",J164,0)</f>
        <v>0</v>
      </c>
      <c r="BJ164" s="18" t="s">
        <v>77</v>
      </c>
      <c r="BK164" s="145">
        <f>ROUND(I164*H164,2)</f>
        <v>0</v>
      </c>
      <c r="BL164" s="18" t="s">
        <v>158</v>
      </c>
      <c r="BM164" s="144" t="s">
        <v>666</v>
      </c>
    </row>
    <row r="165" spans="2:65" s="1" customFormat="1" ht="19.5">
      <c r="B165" s="33"/>
      <c r="D165" s="151" t="s">
        <v>219</v>
      </c>
      <c r="F165" s="171" t="s">
        <v>873</v>
      </c>
      <c r="I165" s="148"/>
      <c r="L165" s="33"/>
      <c r="M165" s="149"/>
      <c r="T165" s="54"/>
      <c r="AT165" s="18" t="s">
        <v>219</v>
      </c>
      <c r="AU165" s="18" t="s">
        <v>168</v>
      </c>
    </row>
    <row r="166" spans="2:65" s="1" customFormat="1" ht="16.5" customHeight="1">
      <c r="B166" s="132"/>
      <c r="C166" s="172" t="s">
        <v>481</v>
      </c>
      <c r="D166" s="172" t="s">
        <v>436</v>
      </c>
      <c r="E166" s="173" t="s">
        <v>874</v>
      </c>
      <c r="F166" s="174" t="s">
        <v>875</v>
      </c>
      <c r="G166" s="175" t="s">
        <v>3</v>
      </c>
      <c r="H166" s="176">
        <v>4</v>
      </c>
      <c r="I166" s="177"/>
      <c r="J166" s="178">
        <f>ROUND(I166*H166,2)</f>
        <v>0</v>
      </c>
      <c r="K166" s="174" t="s">
        <v>3</v>
      </c>
      <c r="L166" s="179"/>
      <c r="M166" s="180" t="s">
        <v>3</v>
      </c>
      <c r="N166" s="181" t="s">
        <v>40</v>
      </c>
      <c r="P166" s="142">
        <f>O166*H166</f>
        <v>0</v>
      </c>
      <c r="Q166" s="142">
        <v>0</v>
      </c>
      <c r="R166" s="142">
        <f>Q166*H166</f>
        <v>0</v>
      </c>
      <c r="S166" s="142">
        <v>0</v>
      </c>
      <c r="T166" s="143">
        <f>S166*H166</f>
        <v>0</v>
      </c>
      <c r="AR166" s="144" t="s">
        <v>214</v>
      </c>
      <c r="AT166" s="144" t="s">
        <v>436</v>
      </c>
      <c r="AU166" s="144" t="s">
        <v>168</v>
      </c>
      <c r="AY166" s="18" t="s">
        <v>151</v>
      </c>
      <c r="BE166" s="145">
        <f>IF(N166="základní",J166,0)</f>
        <v>0</v>
      </c>
      <c r="BF166" s="145">
        <f>IF(N166="snížená",J166,0)</f>
        <v>0</v>
      </c>
      <c r="BG166" s="145">
        <f>IF(N166="zákl. přenesená",J166,0)</f>
        <v>0</v>
      </c>
      <c r="BH166" s="145">
        <f>IF(N166="sníž. přenesená",J166,0)</f>
        <v>0</v>
      </c>
      <c r="BI166" s="145">
        <f>IF(N166="nulová",J166,0)</f>
        <v>0</v>
      </c>
      <c r="BJ166" s="18" t="s">
        <v>77</v>
      </c>
      <c r="BK166" s="145">
        <f>ROUND(I166*H166,2)</f>
        <v>0</v>
      </c>
      <c r="BL166" s="18" t="s">
        <v>158</v>
      </c>
      <c r="BM166" s="144" t="s">
        <v>679</v>
      </c>
    </row>
    <row r="167" spans="2:65" s="1" customFormat="1" ht="19.5">
      <c r="B167" s="33"/>
      <c r="D167" s="151" t="s">
        <v>219</v>
      </c>
      <c r="F167" s="171" t="s">
        <v>876</v>
      </c>
      <c r="I167" s="148"/>
      <c r="L167" s="33"/>
      <c r="M167" s="149"/>
      <c r="T167" s="54"/>
      <c r="AT167" s="18" t="s">
        <v>219</v>
      </c>
      <c r="AU167" s="18" t="s">
        <v>168</v>
      </c>
    </row>
    <row r="168" spans="2:65" s="1" customFormat="1" ht="16.5" customHeight="1">
      <c r="B168" s="132"/>
      <c r="C168" s="172" t="s">
        <v>486</v>
      </c>
      <c r="D168" s="172" t="s">
        <v>436</v>
      </c>
      <c r="E168" s="173" t="s">
        <v>877</v>
      </c>
      <c r="F168" s="174" t="s">
        <v>878</v>
      </c>
      <c r="G168" s="175" t="s">
        <v>3</v>
      </c>
      <c r="H168" s="176">
        <v>10</v>
      </c>
      <c r="I168" s="177"/>
      <c r="J168" s="178">
        <f>ROUND(I168*H168,2)</f>
        <v>0</v>
      </c>
      <c r="K168" s="174" t="s">
        <v>3</v>
      </c>
      <c r="L168" s="179"/>
      <c r="M168" s="180" t="s">
        <v>3</v>
      </c>
      <c r="N168" s="181" t="s">
        <v>40</v>
      </c>
      <c r="P168" s="142">
        <f>O168*H168</f>
        <v>0</v>
      </c>
      <c r="Q168" s="142">
        <v>0</v>
      </c>
      <c r="R168" s="142">
        <f>Q168*H168</f>
        <v>0</v>
      </c>
      <c r="S168" s="142">
        <v>0</v>
      </c>
      <c r="T168" s="143">
        <f>S168*H168</f>
        <v>0</v>
      </c>
      <c r="AR168" s="144" t="s">
        <v>214</v>
      </c>
      <c r="AT168" s="144" t="s">
        <v>436</v>
      </c>
      <c r="AU168" s="144" t="s">
        <v>168</v>
      </c>
      <c r="AY168" s="18" t="s">
        <v>151</v>
      </c>
      <c r="BE168" s="145">
        <f>IF(N168="základní",J168,0)</f>
        <v>0</v>
      </c>
      <c r="BF168" s="145">
        <f>IF(N168="snížená",J168,0)</f>
        <v>0</v>
      </c>
      <c r="BG168" s="145">
        <f>IF(N168="zákl. přenesená",J168,0)</f>
        <v>0</v>
      </c>
      <c r="BH168" s="145">
        <f>IF(N168="sníž. přenesená",J168,0)</f>
        <v>0</v>
      </c>
      <c r="BI168" s="145">
        <f>IF(N168="nulová",J168,0)</f>
        <v>0</v>
      </c>
      <c r="BJ168" s="18" t="s">
        <v>77</v>
      </c>
      <c r="BK168" s="145">
        <f>ROUND(I168*H168,2)</f>
        <v>0</v>
      </c>
      <c r="BL168" s="18" t="s">
        <v>158</v>
      </c>
      <c r="BM168" s="144" t="s">
        <v>689</v>
      </c>
    </row>
    <row r="169" spans="2:65" s="1" customFormat="1" ht="19.5">
      <c r="B169" s="33"/>
      <c r="D169" s="151" t="s">
        <v>219</v>
      </c>
      <c r="F169" s="171" t="s">
        <v>879</v>
      </c>
      <c r="I169" s="148"/>
      <c r="L169" s="33"/>
      <c r="M169" s="149"/>
      <c r="T169" s="54"/>
      <c r="AT169" s="18" t="s">
        <v>219</v>
      </c>
      <c r="AU169" s="18" t="s">
        <v>168</v>
      </c>
    </row>
    <row r="170" spans="2:65" s="1" customFormat="1" ht="16.5" customHeight="1">
      <c r="B170" s="132"/>
      <c r="C170" s="172" t="s">
        <v>490</v>
      </c>
      <c r="D170" s="172" t="s">
        <v>436</v>
      </c>
      <c r="E170" s="173" t="s">
        <v>880</v>
      </c>
      <c r="F170" s="174" t="s">
        <v>881</v>
      </c>
      <c r="G170" s="175" t="s">
        <v>3</v>
      </c>
      <c r="H170" s="176">
        <v>10</v>
      </c>
      <c r="I170" s="177"/>
      <c r="J170" s="178">
        <f>ROUND(I170*H170,2)</f>
        <v>0</v>
      </c>
      <c r="K170" s="174" t="s">
        <v>3</v>
      </c>
      <c r="L170" s="179"/>
      <c r="M170" s="180" t="s">
        <v>3</v>
      </c>
      <c r="N170" s="181" t="s">
        <v>40</v>
      </c>
      <c r="P170" s="142">
        <f>O170*H170</f>
        <v>0</v>
      </c>
      <c r="Q170" s="142">
        <v>0</v>
      </c>
      <c r="R170" s="142">
        <f>Q170*H170</f>
        <v>0</v>
      </c>
      <c r="S170" s="142">
        <v>0</v>
      </c>
      <c r="T170" s="143">
        <f>S170*H170</f>
        <v>0</v>
      </c>
      <c r="AR170" s="144" t="s">
        <v>214</v>
      </c>
      <c r="AT170" s="144" t="s">
        <v>436</v>
      </c>
      <c r="AU170" s="144" t="s">
        <v>168</v>
      </c>
      <c r="AY170" s="18" t="s">
        <v>151</v>
      </c>
      <c r="BE170" s="145">
        <f>IF(N170="základní",J170,0)</f>
        <v>0</v>
      </c>
      <c r="BF170" s="145">
        <f>IF(N170="snížená",J170,0)</f>
        <v>0</v>
      </c>
      <c r="BG170" s="145">
        <f>IF(N170="zákl. přenesená",J170,0)</f>
        <v>0</v>
      </c>
      <c r="BH170" s="145">
        <f>IF(N170="sníž. přenesená",J170,0)</f>
        <v>0</v>
      </c>
      <c r="BI170" s="145">
        <f>IF(N170="nulová",J170,0)</f>
        <v>0</v>
      </c>
      <c r="BJ170" s="18" t="s">
        <v>77</v>
      </c>
      <c r="BK170" s="145">
        <f>ROUND(I170*H170,2)</f>
        <v>0</v>
      </c>
      <c r="BL170" s="18" t="s">
        <v>158</v>
      </c>
      <c r="BM170" s="144" t="s">
        <v>699</v>
      </c>
    </row>
    <row r="171" spans="2:65" s="1" customFormat="1" ht="19.5">
      <c r="B171" s="33"/>
      <c r="D171" s="151" t="s">
        <v>219</v>
      </c>
      <c r="F171" s="171" t="s">
        <v>882</v>
      </c>
      <c r="I171" s="148"/>
      <c r="L171" s="33"/>
      <c r="M171" s="149"/>
      <c r="T171" s="54"/>
      <c r="AT171" s="18" t="s">
        <v>219</v>
      </c>
      <c r="AU171" s="18" t="s">
        <v>168</v>
      </c>
    </row>
    <row r="172" spans="2:65" s="1" customFormat="1" ht="16.5" customHeight="1">
      <c r="B172" s="132"/>
      <c r="C172" s="172" t="s">
        <v>495</v>
      </c>
      <c r="D172" s="172" t="s">
        <v>436</v>
      </c>
      <c r="E172" s="173" t="s">
        <v>883</v>
      </c>
      <c r="F172" s="174" t="s">
        <v>884</v>
      </c>
      <c r="G172" s="175" t="s">
        <v>3</v>
      </c>
      <c r="H172" s="176">
        <v>10</v>
      </c>
      <c r="I172" s="177"/>
      <c r="J172" s="178">
        <f>ROUND(I172*H172,2)</f>
        <v>0</v>
      </c>
      <c r="K172" s="174" t="s">
        <v>3</v>
      </c>
      <c r="L172" s="179"/>
      <c r="M172" s="180" t="s">
        <v>3</v>
      </c>
      <c r="N172" s="181" t="s">
        <v>40</v>
      </c>
      <c r="P172" s="142">
        <f>O172*H172</f>
        <v>0</v>
      </c>
      <c r="Q172" s="142">
        <v>0</v>
      </c>
      <c r="R172" s="142">
        <f>Q172*H172</f>
        <v>0</v>
      </c>
      <c r="S172" s="142">
        <v>0</v>
      </c>
      <c r="T172" s="143">
        <f>S172*H172</f>
        <v>0</v>
      </c>
      <c r="AR172" s="144" t="s">
        <v>214</v>
      </c>
      <c r="AT172" s="144" t="s">
        <v>436</v>
      </c>
      <c r="AU172" s="144" t="s">
        <v>168</v>
      </c>
      <c r="AY172" s="18" t="s">
        <v>151</v>
      </c>
      <c r="BE172" s="145">
        <f>IF(N172="základní",J172,0)</f>
        <v>0</v>
      </c>
      <c r="BF172" s="145">
        <f>IF(N172="snížená",J172,0)</f>
        <v>0</v>
      </c>
      <c r="BG172" s="145">
        <f>IF(N172="zákl. přenesená",J172,0)</f>
        <v>0</v>
      </c>
      <c r="BH172" s="145">
        <f>IF(N172="sníž. přenesená",J172,0)</f>
        <v>0</v>
      </c>
      <c r="BI172" s="145">
        <f>IF(N172="nulová",J172,0)</f>
        <v>0</v>
      </c>
      <c r="BJ172" s="18" t="s">
        <v>77</v>
      </c>
      <c r="BK172" s="145">
        <f>ROUND(I172*H172,2)</f>
        <v>0</v>
      </c>
      <c r="BL172" s="18" t="s">
        <v>158</v>
      </c>
      <c r="BM172" s="144" t="s">
        <v>711</v>
      </c>
    </row>
    <row r="173" spans="2:65" s="1" customFormat="1" ht="19.5">
      <c r="B173" s="33"/>
      <c r="D173" s="151" t="s">
        <v>219</v>
      </c>
      <c r="F173" s="171" t="s">
        <v>885</v>
      </c>
      <c r="I173" s="148"/>
      <c r="L173" s="33"/>
      <c r="M173" s="149"/>
      <c r="T173" s="54"/>
      <c r="AT173" s="18" t="s">
        <v>219</v>
      </c>
      <c r="AU173" s="18" t="s">
        <v>168</v>
      </c>
    </row>
    <row r="174" spans="2:65" s="1" customFormat="1" ht="16.5" customHeight="1">
      <c r="B174" s="132"/>
      <c r="C174" s="172" t="s">
        <v>499</v>
      </c>
      <c r="D174" s="172" t="s">
        <v>436</v>
      </c>
      <c r="E174" s="173" t="s">
        <v>886</v>
      </c>
      <c r="F174" s="174" t="s">
        <v>887</v>
      </c>
      <c r="G174" s="175" t="s">
        <v>3</v>
      </c>
      <c r="H174" s="176">
        <v>10</v>
      </c>
      <c r="I174" s="177"/>
      <c r="J174" s="178">
        <f>ROUND(I174*H174,2)</f>
        <v>0</v>
      </c>
      <c r="K174" s="174" t="s">
        <v>3</v>
      </c>
      <c r="L174" s="179"/>
      <c r="M174" s="180" t="s">
        <v>3</v>
      </c>
      <c r="N174" s="181" t="s">
        <v>40</v>
      </c>
      <c r="P174" s="142">
        <f>O174*H174</f>
        <v>0</v>
      </c>
      <c r="Q174" s="142">
        <v>0</v>
      </c>
      <c r="R174" s="142">
        <f>Q174*H174</f>
        <v>0</v>
      </c>
      <c r="S174" s="142">
        <v>0</v>
      </c>
      <c r="T174" s="143">
        <f>S174*H174</f>
        <v>0</v>
      </c>
      <c r="AR174" s="144" t="s">
        <v>214</v>
      </c>
      <c r="AT174" s="144" t="s">
        <v>436</v>
      </c>
      <c r="AU174" s="144" t="s">
        <v>168</v>
      </c>
      <c r="AY174" s="18" t="s">
        <v>151</v>
      </c>
      <c r="BE174" s="145">
        <f>IF(N174="základní",J174,0)</f>
        <v>0</v>
      </c>
      <c r="BF174" s="145">
        <f>IF(N174="snížená",J174,0)</f>
        <v>0</v>
      </c>
      <c r="BG174" s="145">
        <f>IF(N174="zákl. přenesená",J174,0)</f>
        <v>0</v>
      </c>
      <c r="BH174" s="145">
        <f>IF(N174="sníž. přenesená",J174,0)</f>
        <v>0</v>
      </c>
      <c r="BI174" s="145">
        <f>IF(N174="nulová",J174,0)</f>
        <v>0</v>
      </c>
      <c r="BJ174" s="18" t="s">
        <v>77</v>
      </c>
      <c r="BK174" s="145">
        <f>ROUND(I174*H174,2)</f>
        <v>0</v>
      </c>
      <c r="BL174" s="18" t="s">
        <v>158</v>
      </c>
      <c r="BM174" s="144" t="s">
        <v>723</v>
      </c>
    </row>
    <row r="175" spans="2:65" s="1" customFormat="1" ht="19.5">
      <c r="B175" s="33"/>
      <c r="D175" s="151" t="s">
        <v>219</v>
      </c>
      <c r="F175" s="171" t="s">
        <v>888</v>
      </c>
      <c r="I175" s="148"/>
      <c r="L175" s="33"/>
      <c r="M175" s="149"/>
      <c r="T175" s="54"/>
      <c r="AT175" s="18" t="s">
        <v>219</v>
      </c>
      <c r="AU175" s="18" t="s">
        <v>168</v>
      </c>
    </row>
    <row r="176" spans="2:65" s="1" customFormat="1" ht="16.5" customHeight="1">
      <c r="B176" s="132"/>
      <c r="C176" s="172" t="s">
        <v>503</v>
      </c>
      <c r="D176" s="172" t="s">
        <v>436</v>
      </c>
      <c r="E176" s="173" t="s">
        <v>889</v>
      </c>
      <c r="F176" s="174" t="s">
        <v>890</v>
      </c>
      <c r="G176" s="175" t="s">
        <v>3</v>
      </c>
      <c r="H176" s="176">
        <v>14</v>
      </c>
      <c r="I176" s="177"/>
      <c r="J176" s="178">
        <f>ROUND(I176*H176,2)</f>
        <v>0</v>
      </c>
      <c r="K176" s="174" t="s">
        <v>3</v>
      </c>
      <c r="L176" s="179"/>
      <c r="M176" s="180" t="s">
        <v>3</v>
      </c>
      <c r="N176" s="181" t="s">
        <v>40</v>
      </c>
      <c r="P176" s="142">
        <f>O176*H176</f>
        <v>0</v>
      </c>
      <c r="Q176" s="142">
        <v>0</v>
      </c>
      <c r="R176" s="142">
        <f>Q176*H176</f>
        <v>0</v>
      </c>
      <c r="S176" s="142">
        <v>0</v>
      </c>
      <c r="T176" s="143">
        <f>S176*H176</f>
        <v>0</v>
      </c>
      <c r="AR176" s="144" t="s">
        <v>214</v>
      </c>
      <c r="AT176" s="144" t="s">
        <v>436</v>
      </c>
      <c r="AU176" s="144" t="s">
        <v>168</v>
      </c>
      <c r="AY176" s="18" t="s">
        <v>151</v>
      </c>
      <c r="BE176" s="145">
        <f>IF(N176="základní",J176,0)</f>
        <v>0</v>
      </c>
      <c r="BF176" s="145">
        <f>IF(N176="snížená",J176,0)</f>
        <v>0</v>
      </c>
      <c r="BG176" s="145">
        <f>IF(N176="zákl. přenesená",J176,0)</f>
        <v>0</v>
      </c>
      <c r="BH176" s="145">
        <f>IF(N176="sníž. přenesená",J176,0)</f>
        <v>0</v>
      </c>
      <c r="BI176" s="145">
        <f>IF(N176="nulová",J176,0)</f>
        <v>0</v>
      </c>
      <c r="BJ176" s="18" t="s">
        <v>77</v>
      </c>
      <c r="BK176" s="145">
        <f>ROUND(I176*H176,2)</f>
        <v>0</v>
      </c>
      <c r="BL176" s="18" t="s">
        <v>158</v>
      </c>
      <c r="BM176" s="144" t="s">
        <v>735</v>
      </c>
    </row>
    <row r="177" spans="2:65" s="1" customFormat="1" ht="19.5">
      <c r="B177" s="33"/>
      <c r="D177" s="151" t="s">
        <v>219</v>
      </c>
      <c r="F177" s="171" t="s">
        <v>891</v>
      </c>
      <c r="I177" s="148"/>
      <c r="L177" s="33"/>
      <c r="M177" s="149"/>
      <c r="T177" s="54"/>
      <c r="AT177" s="18" t="s">
        <v>219</v>
      </c>
      <c r="AU177" s="18" t="s">
        <v>168</v>
      </c>
    </row>
    <row r="178" spans="2:65" s="1" customFormat="1" ht="16.5" customHeight="1">
      <c r="B178" s="132"/>
      <c r="C178" s="172" t="s">
        <v>507</v>
      </c>
      <c r="D178" s="172" t="s">
        <v>436</v>
      </c>
      <c r="E178" s="173" t="s">
        <v>892</v>
      </c>
      <c r="F178" s="174" t="s">
        <v>890</v>
      </c>
      <c r="G178" s="175" t="s">
        <v>3</v>
      </c>
      <c r="H178" s="176">
        <v>3</v>
      </c>
      <c r="I178" s="177"/>
      <c r="J178" s="178">
        <f>ROUND(I178*H178,2)</f>
        <v>0</v>
      </c>
      <c r="K178" s="174" t="s">
        <v>3</v>
      </c>
      <c r="L178" s="179"/>
      <c r="M178" s="180" t="s">
        <v>3</v>
      </c>
      <c r="N178" s="181" t="s">
        <v>40</v>
      </c>
      <c r="P178" s="142">
        <f>O178*H178</f>
        <v>0</v>
      </c>
      <c r="Q178" s="142">
        <v>0</v>
      </c>
      <c r="R178" s="142">
        <f>Q178*H178</f>
        <v>0</v>
      </c>
      <c r="S178" s="142">
        <v>0</v>
      </c>
      <c r="T178" s="143">
        <f>S178*H178</f>
        <v>0</v>
      </c>
      <c r="AR178" s="144" t="s">
        <v>214</v>
      </c>
      <c r="AT178" s="144" t="s">
        <v>436</v>
      </c>
      <c r="AU178" s="144" t="s">
        <v>168</v>
      </c>
      <c r="AY178" s="18" t="s">
        <v>151</v>
      </c>
      <c r="BE178" s="145">
        <f>IF(N178="základní",J178,0)</f>
        <v>0</v>
      </c>
      <c r="BF178" s="145">
        <f>IF(N178="snížená",J178,0)</f>
        <v>0</v>
      </c>
      <c r="BG178" s="145">
        <f>IF(N178="zákl. přenesená",J178,0)</f>
        <v>0</v>
      </c>
      <c r="BH178" s="145">
        <f>IF(N178="sníž. přenesená",J178,0)</f>
        <v>0</v>
      </c>
      <c r="BI178" s="145">
        <f>IF(N178="nulová",J178,0)</f>
        <v>0</v>
      </c>
      <c r="BJ178" s="18" t="s">
        <v>77</v>
      </c>
      <c r="BK178" s="145">
        <f>ROUND(I178*H178,2)</f>
        <v>0</v>
      </c>
      <c r="BL178" s="18" t="s">
        <v>158</v>
      </c>
      <c r="BM178" s="144" t="s">
        <v>751</v>
      </c>
    </row>
    <row r="179" spans="2:65" s="1" customFormat="1" ht="19.5">
      <c r="B179" s="33"/>
      <c r="D179" s="151" t="s">
        <v>219</v>
      </c>
      <c r="F179" s="171" t="s">
        <v>893</v>
      </c>
      <c r="I179" s="148"/>
      <c r="L179" s="33"/>
      <c r="M179" s="149"/>
      <c r="T179" s="54"/>
      <c r="AT179" s="18" t="s">
        <v>219</v>
      </c>
      <c r="AU179" s="18" t="s">
        <v>168</v>
      </c>
    </row>
    <row r="180" spans="2:65" s="1" customFormat="1" ht="16.5" customHeight="1">
      <c r="B180" s="132"/>
      <c r="C180" s="172" t="s">
        <v>511</v>
      </c>
      <c r="D180" s="172" t="s">
        <v>436</v>
      </c>
      <c r="E180" s="173" t="s">
        <v>894</v>
      </c>
      <c r="F180" s="174" t="s">
        <v>890</v>
      </c>
      <c r="G180" s="175" t="s">
        <v>3</v>
      </c>
      <c r="H180" s="176">
        <v>7</v>
      </c>
      <c r="I180" s="177"/>
      <c r="J180" s="178">
        <f>ROUND(I180*H180,2)</f>
        <v>0</v>
      </c>
      <c r="K180" s="174" t="s">
        <v>3</v>
      </c>
      <c r="L180" s="179"/>
      <c r="M180" s="180" t="s">
        <v>3</v>
      </c>
      <c r="N180" s="181" t="s">
        <v>40</v>
      </c>
      <c r="P180" s="142">
        <f>O180*H180</f>
        <v>0</v>
      </c>
      <c r="Q180" s="142">
        <v>0</v>
      </c>
      <c r="R180" s="142">
        <f>Q180*H180</f>
        <v>0</v>
      </c>
      <c r="S180" s="142">
        <v>0</v>
      </c>
      <c r="T180" s="143">
        <f>S180*H180</f>
        <v>0</v>
      </c>
      <c r="AR180" s="144" t="s">
        <v>214</v>
      </c>
      <c r="AT180" s="144" t="s">
        <v>436</v>
      </c>
      <c r="AU180" s="144" t="s">
        <v>168</v>
      </c>
      <c r="AY180" s="18" t="s">
        <v>151</v>
      </c>
      <c r="BE180" s="145">
        <f>IF(N180="základní",J180,0)</f>
        <v>0</v>
      </c>
      <c r="BF180" s="145">
        <f>IF(N180="snížená",J180,0)</f>
        <v>0</v>
      </c>
      <c r="BG180" s="145">
        <f>IF(N180="zákl. přenesená",J180,0)</f>
        <v>0</v>
      </c>
      <c r="BH180" s="145">
        <f>IF(N180="sníž. přenesená",J180,0)</f>
        <v>0</v>
      </c>
      <c r="BI180" s="145">
        <f>IF(N180="nulová",J180,0)</f>
        <v>0</v>
      </c>
      <c r="BJ180" s="18" t="s">
        <v>77</v>
      </c>
      <c r="BK180" s="145">
        <f>ROUND(I180*H180,2)</f>
        <v>0</v>
      </c>
      <c r="BL180" s="18" t="s">
        <v>158</v>
      </c>
      <c r="BM180" s="144" t="s">
        <v>389</v>
      </c>
    </row>
    <row r="181" spans="2:65" s="1" customFormat="1" ht="19.5">
      <c r="B181" s="33"/>
      <c r="D181" s="151" t="s">
        <v>219</v>
      </c>
      <c r="F181" s="171" t="s">
        <v>895</v>
      </c>
      <c r="I181" s="148"/>
      <c r="L181" s="33"/>
      <c r="M181" s="149"/>
      <c r="T181" s="54"/>
      <c r="AT181" s="18" t="s">
        <v>219</v>
      </c>
      <c r="AU181" s="18" t="s">
        <v>168</v>
      </c>
    </row>
    <row r="182" spans="2:65" s="1" customFormat="1" ht="16.5" customHeight="1">
      <c r="B182" s="132"/>
      <c r="C182" s="172" t="s">
        <v>516</v>
      </c>
      <c r="D182" s="172" t="s">
        <v>436</v>
      </c>
      <c r="E182" s="173" t="s">
        <v>896</v>
      </c>
      <c r="F182" s="174" t="s">
        <v>890</v>
      </c>
      <c r="G182" s="175" t="s">
        <v>3</v>
      </c>
      <c r="H182" s="176">
        <v>1</v>
      </c>
      <c r="I182" s="177"/>
      <c r="J182" s="178">
        <f>ROUND(I182*H182,2)</f>
        <v>0</v>
      </c>
      <c r="K182" s="174" t="s">
        <v>3</v>
      </c>
      <c r="L182" s="179"/>
      <c r="M182" s="180" t="s">
        <v>3</v>
      </c>
      <c r="N182" s="181" t="s">
        <v>40</v>
      </c>
      <c r="P182" s="142">
        <f>O182*H182</f>
        <v>0</v>
      </c>
      <c r="Q182" s="142">
        <v>0</v>
      </c>
      <c r="R182" s="142">
        <f>Q182*H182</f>
        <v>0</v>
      </c>
      <c r="S182" s="142">
        <v>0</v>
      </c>
      <c r="T182" s="143">
        <f>S182*H182</f>
        <v>0</v>
      </c>
      <c r="AR182" s="144" t="s">
        <v>214</v>
      </c>
      <c r="AT182" s="144" t="s">
        <v>436</v>
      </c>
      <c r="AU182" s="144" t="s">
        <v>168</v>
      </c>
      <c r="AY182" s="18" t="s">
        <v>151</v>
      </c>
      <c r="BE182" s="145">
        <f>IF(N182="základní",J182,0)</f>
        <v>0</v>
      </c>
      <c r="BF182" s="145">
        <f>IF(N182="snížená",J182,0)</f>
        <v>0</v>
      </c>
      <c r="BG182" s="145">
        <f>IF(N182="zákl. přenesená",J182,0)</f>
        <v>0</v>
      </c>
      <c r="BH182" s="145">
        <f>IF(N182="sníž. přenesená",J182,0)</f>
        <v>0</v>
      </c>
      <c r="BI182" s="145">
        <f>IF(N182="nulová",J182,0)</f>
        <v>0</v>
      </c>
      <c r="BJ182" s="18" t="s">
        <v>77</v>
      </c>
      <c r="BK182" s="145">
        <f>ROUND(I182*H182,2)</f>
        <v>0</v>
      </c>
      <c r="BL182" s="18" t="s">
        <v>158</v>
      </c>
      <c r="BM182" s="144" t="s">
        <v>311</v>
      </c>
    </row>
    <row r="183" spans="2:65" s="1" customFormat="1" ht="19.5">
      <c r="B183" s="33"/>
      <c r="D183" s="151" t="s">
        <v>219</v>
      </c>
      <c r="F183" s="171" t="s">
        <v>897</v>
      </c>
      <c r="I183" s="148"/>
      <c r="L183" s="33"/>
      <c r="M183" s="149"/>
      <c r="T183" s="54"/>
      <c r="AT183" s="18" t="s">
        <v>219</v>
      </c>
      <c r="AU183" s="18" t="s">
        <v>168</v>
      </c>
    </row>
    <row r="184" spans="2:65" s="1" customFormat="1" ht="16.5" customHeight="1">
      <c r="B184" s="132"/>
      <c r="C184" s="172" t="s">
        <v>520</v>
      </c>
      <c r="D184" s="172" t="s">
        <v>436</v>
      </c>
      <c r="E184" s="173" t="s">
        <v>898</v>
      </c>
      <c r="F184" s="174" t="s">
        <v>890</v>
      </c>
      <c r="G184" s="175" t="s">
        <v>3</v>
      </c>
      <c r="H184" s="176">
        <v>13</v>
      </c>
      <c r="I184" s="177"/>
      <c r="J184" s="178">
        <f>ROUND(I184*H184,2)</f>
        <v>0</v>
      </c>
      <c r="K184" s="174" t="s">
        <v>3</v>
      </c>
      <c r="L184" s="179"/>
      <c r="M184" s="180" t="s">
        <v>3</v>
      </c>
      <c r="N184" s="181" t="s">
        <v>40</v>
      </c>
      <c r="P184" s="142">
        <f>O184*H184</f>
        <v>0</v>
      </c>
      <c r="Q184" s="142">
        <v>0</v>
      </c>
      <c r="R184" s="142">
        <f>Q184*H184</f>
        <v>0</v>
      </c>
      <c r="S184" s="142">
        <v>0</v>
      </c>
      <c r="T184" s="143">
        <f>S184*H184</f>
        <v>0</v>
      </c>
      <c r="AR184" s="144" t="s">
        <v>214</v>
      </c>
      <c r="AT184" s="144" t="s">
        <v>436</v>
      </c>
      <c r="AU184" s="144" t="s">
        <v>168</v>
      </c>
      <c r="AY184" s="18" t="s">
        <v>151</v>
      </c>
      <c r="BE184" s="145">
        <f>IF(N184="základní",J184,0)</f>
        <v>0</v>
      </c>
      <c r="BF184" s="145">
        <f>IF(N184="snížená",J184,0)</f>
        <v>0</v>
      </c>
      <c r="BG184" s="145">
        <f>IF(N184="zákl. přenesená",J184,0)</f>
        <v>0</v>
      </c>
      <c r="BH184" s="145">
        <f>IF(N184="sníž. přenesená",J184,0)</f>
        <v>0</v>
      </c>
      <c r="BI184" s="145">
        <f>IF(N184="nulová",J184,0)</f>
        <v>0</v>
      </c>
      <c r="BJ184" s="18" t="s">
        <v>77</v>
      </c>
      <c r="BK184" s="145">
        <f>ROUND(I184*H184,2)</f>
        <v>0</v>
      </c>
      <c r="BL184" s="18" t="s">
        <v>158</v>
      </c>
      <c r="BM184" s="144" t="s">
        <v>187</v>
      </c>
    </row>
    <row r="185" spans="2:65" s="1" customFormat="1" ht="19.5">
      <c r="B185" s="33"/>
      <c r="D185" s="151" t="s">
        <v>219</v>
      </c>
      <c r="F185" s="171" t="s">
        <v>899</v>
      </c>
      <c r="I185" s="148"/>
      <c r="L185" s="33"/>
      <c r="M185" s="149"/>
      <c r="T185" s="54"/>
      <c r="AT185" s="18" t="s">
        <v>219</v>
      </c>
      <c r="AU185" s="18" t="s">
        <v>168</v>
      </c>
    </row>
    <row r="186" spans="2:65" s="11" customFormat="1" ht="20.85" customHeight="1">
      <c r="B186" s="120"/>
      <c r="D186" s="121" t="s">
        <v>68</v>
      </c>
      <c r="E186" s="130" t="s">
        <v>900</v>
      </c>
      <c r="F186" s="130" t="s">
        <v>901</v>
      </c>
      <c r="I186" s="123"/>
      <c r="J186" s="131">
        <f>BK186</f>
        <v>0</v>
      </c>
      <c r="L186" s="120"/>
      <c r="M186" s="125"/>
      <c r="P186" s="126">
        <f>SUM(P187:P208)</f>
        <v>0</v>
      </c>
      <c r="R186" s="126">
        <f>SUM(R187:R208)</f>
        <v>0</v>
      </c>
      <c r="T186" s="127">
        <f>SUM(T187:T208)</f>
        <v>0</v>
      </c>
      <c r="AR186" s="121" t="s">
        <v>77</v>
      </c>
      <c r="AT186" s="128" t="s">
        <v>68</v>
      </c>
      <c r="AU186" s="128" t="s">
        <v>79</v>
      </c>
      <c r="AY186" s="121" t="s">
        <v>151</v>
      </c>
      <c r="BK186" s="129">
        <f>SUM(BK187:BK208)</f>
        <v>0</v>
      </c>
    </row>
    <row r="187" spans="2:65" s="1" customFormat="1" ht="16.5" customHeight="1">
      <c r="B187" s="132"/>
      <c r="C187" s="172" t="s">
        <v>525</v>
      </c>
      <c r="D187" s="172" t="s">
        <v>436</v>
      </c>
      <c r="E187" s="173" t="s">
        <v>902</v>
      </c>
      <c r="F187" s="174" t="s">
        <v>903</v>
      </c>
      <c r="G187" s="175" t="s">
        <v>198</v>
      </c>
      <c r="H187" s="176">
        <v>15</v>
      </c>
      <c r="I187" s="177"/>
      <c r="J187" s="178">
        <f>ROUND(I187*H187,2)</f>
        <v>0</v>
      </c>
      <c r="K187" s="174" t="s">
        <v>3</v>
      </c>
      <c r="L187" s="179"/>
      <c r="M187" s="180" t="s">
        <v>3</v>
      </c>
      <c r="N187" s="181" t="s">
        <v>40</v>
      </c>
      <c r="P187" s="142">
        <f>O187*H187</f>
        <v>0</v>
      </c>
      <c r="Q187" s="142">
        <v>0</v>
      </c>
      <c r="R187" s="142">
        <f>Q187*H187</f>
        <v>0</v>
      </c>
      <c r="S187" s="142">
        <v>0</v>
      </c>
      <c r="T187" s="143">
        <f>S187*H187</f>
        <v>0</v>
      </c>
      <c r="AR187" s="144" t="s">
        <v>214</v>
      </c>
      <c r="AT187" s="144" t="s">
        <v>436</v>
      </c>
      <c r="AU187" s="144" t="s">
        <v>168</v>
      </c>
      <c r="AY187" s="18" t="s">
        <v>151</v>
      </c>
      <c r="BE187" s="145">
        <f>IF(N187="základní",J187,0)</f>
        <v>0</v>
      </c>
      <c r="BF187" s="145">
        <f>IF(N187="snížená",J187,0)</f>
        <v>0</v>
      </c>
      <c r="BG187" s="145">
        <f>IF(N187="zákl. přenesená",J187,0)</f>
        <v>0</v>
      </c>
      <c r="BH187" s="145">
        <f>IF(N187="sníž. přenesená",J187,0)</f>
        <v>0</v>
      </c>
      <c r="BI187" s="145">
        <f>IF(N187="nulová",J187,0)</f>
        <v>0</v>
      </c>
      <c r="BJ187" s="18" t="s">
        <v>77</v>
      </c>
      <c r="BK187" s="145">
        <f>ROUND(I187*H187,2)</f>
        <v>0</v>
      </c>
      <c r="BL187" s="18" t="s">
        <v>158</v>
      </c>
      <c r="BM187" s="144" t="s">
        <v>435</v>
      </c>
    </row>
    <row r="188" spans="2:65" s="1" customFormat="1" ht="19.5">
      <c r="B188" s="33"/>
      <c r="D188" s="151" t="s">
        <v>219</v>
      </c>
      <c r="F188" s="171" t="s">
        <v>904</v>
      </c>
      <c r="I188" s="148"/>
      <c r="L188" s="33"/>
      <c r="M188" s="149"/>
      <c r="T188" s="54"/>
      <c r="AT188" s="18" t="s">
        <v>219</v>
      </c>
      <c r="AU188" s="18" t="s">
        <v>168</v>
      </c>
    </row>
    <row r="189" spans="2:65" s="1" customFormat="1" ht="16.5" customHeight="1">
      <c r="B189" s="132"/>
      <c r="C189" s="172" t="s">
        <v>529</v>
      </c>
      <c r="D189" s="172" t="s">
        <v>436</v>
      </c>
      <c r="E189" s="173" t="s">
        <v>905</v>
      </c>
      <c r="F189" s="174" t="s">
        <v>903</v>
      </c>
      <c r="G189" s="175" t="s">
        <v>198</v>
      </c>
      <c r="H189" s="176">
        <v>400</v>
      </c>
      <c r="I189" s="177"/>
      <c r="J189" s="178">
        <f>ROUND(I189*H189,2)</f>
        <v>0</v>
      </c>
      <c r="K189" s="174" t="s">
        <v>3</v>
      </c>
      <c r="L189" s="179"/>
      <c r="M189" s="180" t="s">
        <v>3</v>
      </c>
      <c r="N189" s="181" t="s">
        <v>40</v>
      </c>
      <c r="P189" s="142">
        <f>O189*H189</f>
        <v>0</v>
      </c>
      <c r="Q189" s="142">
        <v>0</v>
      </c>
      <c r="R189" s="142">
        <f>Q189*H189</f>
        <v>0</v>
      </c>
      <c r="S189" s="142">
        <v>0</v>
      </c>
      <c r="T189" s="143">
        <f>S189*H189</f>
        <v>0</v>
      </c>
      <c r="AR189" s="144" t="s">
        <v>214</v>
      </c>
      <c r="AT189" s="144" t="s">
        <v>436</v>
      </c>
      <c r="AU189" s="144" t="s">
        <v>168</v>
      </c>
      <c r="AY189" s="18" t="s">
        <v>151</v>
      </c>
      <c r="BE189" s="145">
        <f>IF(N189="základní",J189,0)</f>
        <v>0</v>
      </c>
      <c r="BF189" s="145">
        <f>IF(N189="snížená",J189,0)</f>
        <v>0</v>
      </c>
      <c r="BG189" s="145">
        <f>IF(N189="zákl. přenesená",J189,0)</f>
        <v>0</v>
      </c>
      <c r="BH189" s="145">
        <f>IF(N189="sníž. přenesená",J189,0)</f>
        <v>0</v>
      </c>
      <c r="BI189" s="145">
        <f>IF(N189="nulová",J189,0)</f>
        <v>0</v>
      </c>
      <c r="BJ189" s="18" t="s">
        <v>77</v>
      </c>
      <c r="BK189" s="145">
        <f>ROUND(I189*H189,2)</f>
        <v>0</v>
      </c>
      <c r="BL189" s="18" t="s">
        <v>158</v>
      </c>
      <c r="BM189" s="144" t="s">
        <v>453</v>
      </c>
    </row>
    <row r="190" spans="2:65" s="1" customFormat="1" ht="19.5">
      <c r="B190" s="33"/>
      <c r="D190" s="151" t="s">
        <v>219</v>
      </c>
      <c r="F190" s="171" t="s">
        <v>906</v>
      </c>
      <c r="I190" s="148"/>
      <c r="L190" s="33"/>
      <c r="M190" s="149"/>
      <c r="T190" s="54"/>
      <c r="AT190" s="18" t="s">
        <v>219</v>
      </c>
      <c r="AU190" s="18" t="s">
        <v>168</v>
      </c>
    </row>
    <row r="191" spans="2:65" s="1" customFormat="1" ht="16.5" customHeight="1">
      <c r="B191" s="132"/>
      <c r="C191" s="172" t="s">
        <v>533</v>
      </c>
      <c r="D191" s="172" t="s">
        <v>436</v>
      </c>
      <c r="E191" s="173" t="s">
        <v>907</v>
      </c>
      <c r="F191" s="174" t="s">
        <v>903</v>
      </c>
      <c r="G191" s="175" t="s">
        <v>198</v>
      </c>
      <c r="H191" s="176">
        <v>269</v>
      </c>
      <c r="I191" s="177"/>
      <c r="J191" s="178">
        <f>ROUND(I191*H191,2)</f>
        <v>0</v>
      </c>
      <c r="K191" s="174" t="s">
        <v>3</v>
      </c>
      <c r="L191" s="179"/>
      <c r="M191" s="180" t="s">
        <v>3</v>
      </c>
      <c r="N191" s="181" t="s">
        <v>40</v>
      </c>
      <c r="P191" s="142">
        <f>O191*H191</f>
        <v>0</v>
      </c>
      <c r="Q191" s="142">
        <v>0</v>
      </c>
      <c r="R191" s="142">
        <f>Q191*H191</f>
        <v>0</v>
      </c>
      <c r="S191" s="142">
        <v>0</v>
      </c>
      <c r="T191" s="143">
        <f>S191*H191</f>
        <v>0</v>
      </c>
      <c r="AR191" s="144" t="s">
        <v>214</v>
      </c>
      <c r="AT191" s="144" t="s">
        <v>436</v>
      </c>
      <c r="AU191" s="144" t="s">
        <v>168</v>
      </c>
      <c r="AY191" s="18" t="s">
        <v>151</v>
      </c>
      <c r="BE191" s="145">
        <f>IF(N191="základní",J191,0)</f>
        <v>0</v>
      </c>
      <c r="BF191" s="145">
        <f>IF(N191="snížená",J191,0)</f>
        <v>0</v>
      </c>
      <c r="BG191" s="145">
        <f>IF(N191="zákl. přenesená",J191,0)</f>
        <v>0</v>
      </c>
      <c r="BH191" s="145">
        <f>IF(N191="sníž. přenesená",J191,0)</f>
        <v>0</v>
      </c>
      <c r="BI191" s="145">
        <f>IF(N191="nulová",J191,0)</f>
        <v>0</v>
      </c>
      <c r="BJ191" s="18" t="s">
        <v>77</v>
      </c>
      <c r="BK191" s="145">
        <f>ROUND(I191*H191,2)</f>
        <v>0</v>
      </c>
      <c r="BL191" s="18" t="s">
        <v>158</v>
      </c>
      <c r="BM191" s="144" t="s">
        <v>463</v>
      </c>
    </row>
    <row r="192" spans="2:65" s="1" customFormat="1" ht="19.5">
      <c r="B192" s="33"/>
      <c r="D192" s="151" t="s">
        <v>219</v>
      </c>
      <c r="F192" s="171" t="s">
        <v>908</v>
      </c>
      <c r="I192" s="148"/>
      <c r="L192" s="33"/>
      <c r="M192" s="149"/>
      <c r="T192" s="54"/>
      <c r="AT192" s="18" t="s">
        <v>219</v>
      </c>
      <c r="AU192" s="18" t="s">
        <v>168</v>
      </c>
    </row>
    <row r="193" spans="2:65" s="1" customFormat="1" ht="16.5" customHeight="1">
      <c r="B193" s="132"/>
      <c r="C193" s="172" t="s">
        <v>537</v>
      </c>
      <c r="D193" s="172" t="s">
        <v>436</v>
      </c>
      <c r="E193" s="173" t="s">
        <v>909</v>
      </c>
      <c r="F193" s="174" t="s">
        <v>903</v>
      </c>
      <c r="G193" s="175" t="s">
        <v>198</v>
      </c>
      <c r="H193" s="176">
        <v>230</v>
      </c>
      <c r="I193" s="177"/>
      <c r="J193" s="178">
        <f>ROUND(I193*H193,2)</f>
        <v>0</v>
      </c>
      <c r="K193" s="174" t="s">
        <v>3</v>
      </c>
      <c r="L193" s="179"/>
      <c r="M193" s="180" t="s">
        <v>3</v>
      </c>
      <c r="N193" s="181" t="s">
        <v>40</v>
      </c>
      <c r="P193" s="142">
        <f>O193*H193</f>
        <v>0</v>
      </c>
      <c r="Q193" s="142">
        <v>0</v>
      </c>
      <c r="R193" s="142">
        <f>Q193*H193</f>
        <v>0</v>
      </c>
      <c r="S193" s="142">
        <v>0</v>
      </c>
      <c r="T193" s="143">
        <f>S193*H193</f>
        <v>0</v>
      </c>
      <c r="AR193" s="144" t="s">
        <v>214</v>
      </c>
      <c r="AT193" s="144" t="s">
        <v>436</v>
      </c>
      <c r="AU193" s="144" t="s">
        <v>168</v>
      </c>
      <c r="AY193" s="18" t="s">
        <v>151</v>
      </c>
      <c r="BE193" s="145">
        <f>IF(N193="základní",J193,0)</f>
        <v>0</v>
      </c>
      <c r="BF193" s="145">
        <f>IF(N193="snížená",J193,0)</f>
        <v>0</v>
      </c>
      <c r="BG193" s="145">
        <f>IF(N193="zákl. přenesená",J193,0)</f>
        <v>0</v>
      </c>
      <c r="BH193" s="145">
        <f>IF(N193="sníž. přenesená",J193,0)</f>
        <v>0</v>
      </c>
      <c r="BI193" s="145">
        <f>IF(N193="nulová",J193,0)</f>
        <v>0</v>
      </c>
      <c r="BJ193" s="18" t="s">
        <v>77</v>
      </c>
      <c r="BK193" s="145">
        <f>ROUND(I193*H193,2)</f>
        <v>0</v>
      </c>
      <c r="BL193" s="18" t="s">
        <v>158</v>
      </c>
      <c r="BM193" s="144" t="s">
        <v>910</v>
      </c>
    </row>
    <row r="194" spans="2:65" s="1" customFormat="1" ht="19.5">
      <c r="B194" s="33"/>
      <c r="D194" s="151" t="s">
        <v>219</v>
      </c>
      <c r="F194" s="171" t="s">
        <v>911</v>
      </c>
      <c r="I194" s="148"/>
      <c r="L194" s="33"/>
      <c r="M194" s="149"/>
      <c r="T194" s="54"/>
      <c r="AT194" s="18" t="s">
        <v>219</v>
      </c>
      <c r="AU194" s="18" t="s">
        <v>168</v>
      </c>
    </row>
    <row r="195" spans="2:65" s="1" customFormat="1" ht="16.5" customHeight="1">
      <c r="B195" s="132"/>
      <c r="C195" s="172" t="s">
        <v>541</v>
      </c>
      <c r="D195" s="172" t="s">
        <v>436</v>
      </c>
      <c r="E195" s="173" t="s">
        <v>912</v>
      </c>
      <c r="F195" s="174" t="s">
        <v>903</v>
      </c>
      <c r="G195" s="175" t="s">
        <v>198</v>
      </c>
      <c r="H195" s="176">
        <v>90</v>
      </c>
      <c r="I195" s="177"/>
      <c r="J195" s="178">
        <f>ROUND(I195*H195,2)</f>
        <v>0</v>
      </c>
      <c r="K195" s="174" t="s">
        <v>3</v>
      </c>
      <c r="L195" s="179"/>
      <c r="M195" s="180" t="s">
        <v>3</v>
      </c>
      <c r="N195" s="181" t="s">
        <v>40</v>
      </c>
      <c r="P195" s="142">
        <f>O195*H195</f>
        <v>0</v>
      </c>
      <c r="Q195" s="142">
        <v>0</v>
      </c>
      <c r="R195" s="142">
        <f>Q195*H195</f>
        <v>0</v>
      </c>
      <c r="S195" s="142">
        <v>0</v>
      </c>
      <c r="T195" s="143">
        <f>S195*H195</f>
        <v>0</v>
      </c>
      <c r="AR195" s="144" t="s">
        <v>214</v>
      </c>
      <c r="AT195" s="144" t="s">
        <v>436</v>
      </c>
      <c r="AU195" s="144" t="s">
        <v>168</v>
      </c>
      <c r="AY195" s="18" t="s">
        <v>151</v>
      </c>
      <c r="BE195" s="145">
        <f>IF(N195="základní",J195,0)</f>
        <v>0</v>
      </c>
      <c r="BF195" s="145">
        <f>IF(N195="snížená",J195,0)</f>
        <v>0</v>
      </c>
      <c r="BG195" s="145">
        <f>IF(N195="zákl. přenesená",J195,0)</f>
        <v>0</v>
      </c>
      <c r="BH195" s="145">
        <f>IF(N195="sníž. přenesená",J195,0)</f>
        <v>0</v>
      </c>
      <c r="BI195" s="145">
        <f>IF(N195="nulová",J195,0)</f>
        <v>0</v>
      </c>
      <c r="BJ195" s="18" t="s">
        <v>77</v>
      </c>
      <c r="BK195" s="145">
        <f>ROUND(I195*H195,2)</f>
        <v>0</v>
      </c>
      <c r="BL195" s="18" t="s">
        <v>158</v>
      </c>
      <c r="BM195" s="144" t="s">
        <v>913</v>
      </c>
    </row>
    <row r="196" spans="2:65" s="1" customFormat="1" ht="19.5">
      <c r="B196" s="33"/>
      <c r="D196" s="151" t="s">
        <v>219</v>
      </c>
      <c r="F196" s="171" t="s">
        <v>914</v>
      </c>
      <c r="I196" s="148"/>
      <c r="L196" s="33"/>
      <c r="M196" s="149"/>
      <c r="T196" s="54"/>
      <c r="AT196" s="18" t="s">
        <v>219</v>
      </c>
      <c r="AU196" s="18" t="s">
        <v>168</v>
      </c>
    </row>
    <row r="197" spans="2:65" s="1" customFormat="1" ht="16.5" customHeight="1">
      <c r="B197" s="132"/>
      <c r="C197" s="172" t="s">
        <v>545</v>
      </c>
      <c r="D197" s="172" t="s">
        <v>436</v>
      </c>
      <c r="E197" s="173" t="s">
        <v>915</v>
      </c>
      <c r="F197" s="174" t="s">
        <v>903</v>
      </c>
      <c r="G197" s="175" t="s">
        <v>198</v>
      </c>
      <c r="H197" s="176">
        <v>5</v>
      </c>
      <c r="I197" s="177"/>
      <c r="J197" s="178">
        <f>ROUND(I197*H197,2)</f>
        <v>0</v>
      </c>
      <c r="K197" s="174" t="s">
        <v>3</v>
      </c>
      <c r="L197" s="179"/>
      <c r="M197" s="180" t="s">
        <v>3</v>
      </c>
      <c r="N197" s="181" t="s">
        <v>40</v>
      </c>
      <c r="P197" s="142">
        <f>O197*H197</f>
        <v>0</v>
      </c>
      <c r="Q197" s="142">
        <v>0</v>
      </c>
      <c r="R197" s="142">
        <f>Q197*H197</f>
        <v>0</v>
      </c>
      <c r="S197" s="142">
        <v>0</v>
      </c>
      <c r="T197" s="143">
        <f>S197*H197</f>
        <v>0</v>
      </c>
      <c r="AR197" s="144" t="s">
        <v>214</v>
      </c>
      <c r="AT197" s="144" t="s">
        <v>436</v>
      </c>
      <c r="AU197" s="144" t="s">
        <v>168</v>
      </c>
      <c r="AY197" s="18" t="s">
        <v>151</v>
      </c>
      <c r="BE197" s="145">
        <f>IF(N197="základní",J197,0)</f>
        <v>0</v>
      </c>
      <c r="BF197" s="145">
        <f>IF(N197="snížená",J197,0)</f>
        <v>0</v>
      </c>
      <c r="BG197" s="145">
        <f>IF(N197="zákl. přenesená",J197,0)</f>
        <v>0</v>
      </c>
      <c r="BH197" s="145">
        <f>IF(N197="sníž. přenesená",J197,0)</f>
        <v>0</v>
      </c>
      <c r="BI197" s="145">
        <f>IF(N197="nulová",J197,0)</f>
        <v>0</v>
      </c>
      <c r="BJ197" s="18" t="s">
        <v>77</v>
      </c>
      <c r="BK197" s="145">
        <f>ROUND(I197*H197,2)</f>
        <v>0</v>
      </c>
      <c r="BL197" s="18" t="s">
        <v>158</v>
      </c>
      <c r="BM197" s="144" t="s">
        <v>916</v>
      </c>
    </row>
    <row r="198" spans="2:65" s="1" customFormat="1" ht="19.5">
      <c r="B198" s="33"/>
      <c r="D198" s="151" t="s">
        <v>219</v>
      </c>
      <c r="F198" s="171" t="s">
        <v>917</v>
      </c>
      <c r="I198" s="148"/>
      <c r="L198" s="33"/>
      <c r="M198" s="149"/>
      <c r="T198" s="54"/>
      <c r="AT198" s="18" t="s">
        <v>219</v>
      </c>
      <c r="AU198" s="18" t="s">
        <v>168</v>
      </c>
    </row>
    <row r="199" spans="2:65" s="1" customFormat="1" ht="16.5" customHeight="1">
      <c r="B199" s="132"/>
      <c r="C199" s="172" t="s">
        <v>549</v>
      </c>
      <c r="D199" s="172" t="s">
        <v>436</v>
      </c>
      <c r="E199" s="173" t="s">
        <v>918</v>
      </c>
      <c r="F199" s="174" t="s">
        <v>903</v>
      </c>
      <c r="G199" s="175" t="s">
        <v>198</v>
      </c>
      <c r="H199" s="176">
        <v>225</v>
      </c>
      <c r="I199" s="177"/>
      <c r="J199" s="178">
        <f>ROUND(I199*H199,2)</f>
        <v>0</v>
      </c>
      <c r="K199" s="174" t="s">
        <v>3</v>
      </c>
      <c r="L199" s="179"/>
      <c r="M199" s="180" t="s">
        <v>3</v>
      </c>
      <c r="N199" s="181" t="s">
        <v>40</v>
      </c>
      <c r="P199" s="142">
        <f>O199*H199</f>
        <v>0</v>
      </c>
      <c r="Q199" s="142">
        <v>0</v>
      </c>
      <c r="R199" s="142">
        <f>Q199*H199</f>
        <v>0</v>
      </c>
      <c r="S199" s="142">
        <v>0</v>
      </c>
      <c r="T199" s="143">
        <f>S199*H199</f>
        <v>0</v>
      </c>
      <c r="AR199" s="144" t="s">
        <v>214</v>
      </c>
      <c r="AT199" s="144" t="s">
        <v>436</v>
      </c>
      <c r="AU199" s="144" t="s">
        <v>168</v>
      </c>
      <c r="AY199" s="18" t="s">
        <v>151</v>
      </c>
      <c r="BE199" s="145">
        <f>IF(N199="základní",J199,0)</f>
        <v>0</v>
      </c>
      <c r="BF199" s="145">
        <f>IF(N199="snížená",J199,0)</f>
        <v>0</v>
      </c>
      <c r="BG199" s="145">
        <f>IF(N199="zákl. přenesená",J199,0)</f>
        <v>0</v>
      </c>
      <c r="BH199" s="145">
        <f>IF(N199="sníž. přenesená",J199,0)</f>
        <v>0</v>
      </c>
      <c r="BI199" s="145">
        <f>IF(N199="nulová",J199,0)</f>
        <v>0</v>
      </c>
      <c r="BJ199" s="18" t="s">
        <v>77</v>
      </c>
      <c r="BK199" s="145">
        <f>ROUND(I199*H199,2)</f>
        <v>0</v>
      </c>
      <c r="BL199" s="18" t="s">
        <v>158</v>
      </c>
      <c r="BM199" s="144" t="s">
        <v>919</v>
      </c>
    </row>
    <row r="200" spans="2:65" s="1" customFormat="1" ht="19.5">
      <c r="B200" s="33"/>
      <c r="D200" s="151" t="s">
        <v>219</v>
      </c>
      <c r="F200" s="171" t="s">
        <v>920</v>
      </c>
      <c r="I200" s="148"/>
      <c r="L200" s="33"/>
      <c r="M200" s="149"/>
      <c r="T200" s="54"/>
      <c r="AT200" s="18" t="s">
        <v>219</v>
      </c>
      <c r="AU200" s="18" t="s">
        <v>168</v>
      </c>
    </row>
    <row r="201" spans="2:65" s="1" customFormat="1" ht="16.5" customHeight="1">
      <c r="B201" s="132"/>
      <c r="C201" s="172" t="s">
        <v>553</v>
      </c>
      <c r="D201" s="172" t="s">
        <v>436</v>
      </c>
      <c r="E201" s="173" t="s">
        <v>921</v>
      </c>
      <c r="F201" s="174" t="s">
        <v>903</v>
      </c>
      <c r="G201" s="175" t="s">
        <v>198</v>
      </c>
      <c r="H201" s="176">
        <v>70</v>
      </c>
      <c r="I201" s="177"/>
      <c r="J201" s="178">
        <f>ROUND(I201*H201,2)</f>
        <v>0</v>
      </c>
      <c r="K201" s="174" t="s">
        <v>3</v>
      </c>
      <c r="L201" s="179"/>
      <c r="M201" s="180" t="s">
        <v>3</v>
      </c>
      <c r="N201" s="181" t="s">
        <v>40</v>
      </c>
      <c r="P201" s="142">
        <f>O201*H201</f>
        <v>0</v>
      </c>
      <c r="Q201" s="142">
        <v>0</v>
      </c>
      <c r="R201" s="142">
        <f>Q201*H201</f>
        <v>0</v>
      </c>
      <c r="S201" s="142">
        <v>0</v>
      </c>
      <c r="T201" s="143">
        <f>S201*H201</f>
        <v>0</v>
      </c>
      <c r="AR201" s="144" t="s">
        <v>214</v>
      </c>
      <c r="AT201" s="144" t="s">
        <v>436</v>
      </c>
      <c r="AU201" s="144" t="s">
        <v>168</v>
      </c>
      <c r="AY201" s="18" t="s">
        <v>151</v>
      </c>
      <c r="BE201" s="145">
        <f>IF(N201="základní",J201,0)</f>
        <v>0</v>
      </c>
      <c r="BF201" s="145">
        <f>IF(N201="snížená",J201,0)</f>
        <v>0</v>
      </c>
      <c r="BG201" s="145">
        <f>IF(N201="zákl. přenesená",J201,0)</f>
        <v>0</v>
      </c>
      <c r="BH201" s="145">
        <f>IF(N201="sníž. přenesená",J201,0)</f>
        <v>0</v>
      </c>
      <c r="BI201" s="145">
        <f>IF(N201="nulová",J201,0)</f>
        <v>0</v>
      </c>
      <c r="BJ201" s="18" t="s">
        <v>77</v>
      </c>
      <c r="BK201" s="145">
        <f>ROUND(I201*H201,2)</f>
        <v>0</v>
      </c>
      <c r="BL201" s="18" t="s">
        <v>158</v>
      </c>
      <c r="BM201" s="144" t="s">
        <v>922</v>
      </c>
    </row>
    <row r="202" spans="2:65" s="1" customFormat="1" ht="19.5">
      <c r="B202" s="33"/>
      <c r="D202" s="151" t="s">
        <v>219</v>
      </c>
      <c r="F202" s="171" t="s">
        <v>923</v>
      </c>
      <c r="I202" s="148"/>
      <c r="L202" s="33"/>
      <c r="M202" s="149"/>
      <c r="T202" s="54"/>
      <c r="AT202" s="18" t="s">
        <v>219</v>
      </c>
      <c r="AU202" s="18" t="s">
        <v>168</v>
      </c>
    </row>
    <row r="203" spans="2:65" s="1" customFormat="1" ht="16.5" customHeight="1">
      <c r="B203" s="132"/>
      <c r="C203" s="172" t="s">
        <v>559</v>
      </c>
      <c r="D203" s="172" t="s">
        <v>436</v>
      </c>
      <c r="E203" s="173" t="s">
        <v>924</v>
      </c>
      <c r="F203" s="174" t="s">
        <v>903</v>
      </c>
      <c r="G203" s="175" t="s">
        <v>198</v>
      </c>
      <c r="H203" s="176">
        <v>160</v>
      </c>
      <c r="I203" s="177"/>
      <c r="J203" s="178">
        <f>ROUND(I203*H203,2)</f>
        <v>0</v>
      </c>
      <c r="K203" s="174" t="s">
        <v>3</v>
      </c>
      <c r="L203" s="179"/>
      <c r="M203" s="180" t="s">
        <v>3</v>
      </c>
      <c r="N203" s="181" t="s">
        <v>40</v>
      </c>
      <c r="P203" s="142">
        <f>O203*H203</f>
        <v>0</v>
      </c>
      <c r="Q203" s="142">
        <v>0</v>
      </c>
      <c r="R203" s="142">
        <f>Q203*H203</f>
        <v>0</v>
      </c>
      <c r="S203" s="142">
        <v>0</v>
      </c>
      <c r="T203" s="143">
        <f>S203*H203</f>
        <v>0</v>
      </c>
      <c r="AR203" s="144" t="s">
        <v>214</v>
      </c>
      <c r="AT203" s="144" t="s">
        <v>436</v>
      </c>
      <c r="AU203" s="144" t="s">
        <v>168</v>
      </c>
      <c r="AY203" s="18" t="s">
        <v>151</v>
      </c>
      <c r="BE203" s="145">
        <f>IF(N203="základní",J203,0)</f>
        <v>0</v>
      </c>
      <c r="BF203" s="145">
        <f>IF(N203="snížená",J203,0)</f>
        <v>0</v>
      </c>
      <c r="BG203" s="145">
        <f>IF(N203="zákl. přenesená",J203,0)</f>
        <v>0</v>
      </c>
      <c r="BH203" s="145">
        <f>IF(N203="sníž. přenesená",J203,0)</f>
        <v>0</v>
      </c>
      <c r="BI203" s="145">
        <f>IF(N203="nulová",J203,0)</f>
        <v>0</v>
      </c>
      <c r="BJ203" s="18" t="s">
        <v>77</v>
      </c>
      <c r="BK203" s="145">
        <f>ROUND(I203*H203,2)</f>
        <v>0</v>
      </c>
      <c r="BL203" s="18" t="s">
        <v>158</v>
      </c>
      <c r="BM203" s="144" t="s">
        <v>925</v>
      </c>
    </row>
    <row r="204" spans="2:65" s="1" customFormat="1" ht="19.5">
      <c r="B204" s="33"/>
      <c r="D204" s="151" t="s">
        <v>219</v>
      </c>
      <c r="F204" s="171" t="s">
        <v>926</v>
      </c>
      <c r="I204" s="148"/>
      <c r="L204" s="33"/>
      <c r="M204" s="149"/>
      <c r="T204" s="54"/>
      <c r="AT204" s="18" t="s">
        <v>219</v>
      </c>
      <c r="AU204" s="18" t="s">
        <v>168</v>
      </c>
    </row>
    <row r="205" spans="2:65" s="1" customFormat="1" ht="16.5" customHeight="1">
      <c r="B205" s="132"/>
      <c r="C205" s="172" t="s">
        <v>568</v>
      </c>
      <c r="D205" s="172" t="s">
        <v>436</v>
      </c>
      <c r="E205" s="173" t="s">
        <v>927</v>
      </c>
      <c r="F205" s="174" t="s">
        <v>928</v>
      </c>
      <c r="G205" s="175" t="s">
        <v>198</v>
      </c>
      <c r="H205" s="176">
        <v>100</v>
      </c>
      <c r="I205" s="177"/>
      <c r="J205" s="178">
        <f>ROUND(I205*H205,2)</f>
        <v>0</v>
      </c>
      <c r="K205" s="174" t="s">
        <v>3</v>
      </c>
      <c r="L205" s="179"/>
      <c r="M205" s="180" t="s">
        <v>3</v>
      </c>
      <c r="N205" s="181" t="s">
        <v>40</v>
      </c>
      <c r="P205" s="142">
        <f>O205*H205</f>
        <v>0</v>
      </c>
      <c r="Q205" s="142">
        <v>0</v>
      </c>
      <c r="R205" s="142">
        <f>Q205*H205</f>
        <v>0</v>
      </c>
      <c r="S205" s="142">
        <v>0</v>
      </c>
      <c r="T205" s="143">
        <f>S205*H205</f>
        <v>0</v>
      </c>
      <c r="AR205" s="144" t="s">
        <v>214</v>
      </c>
      <c r="AT205" s="144" t="s">
        <v>436</v>
      </c>
      <c r="AU205" s="144" t="s">
        <v>168</v>
      </c>
      <c r="AY205" s="18" t="s">
        <v>151</v>
      </c>
      <c r="BE205" s="145">
        <f>IF(N205="základní",J205,0)</f>
        <v>0</v>
      </c>
      <c r="BF205" s="145">
        <f>IF(N205="snížená",J205,0)</f>
        <v>0</v>
      </c>
      <c r="BG205" s="145">
        <f>IF(N205="zákl. přenesená",J205,0)</f>
        <v>0</v>
      </c>
      <c r="BH205" s="145">
        <f>IF(N205="sníž. přenesená",J205,0)</f>
        <v>0</v>
      </c>
      <c r="BI205" s="145">
        <f>IF(N205="nulová",J205,0)</f>
        <v>0</v>
      </c>
      <c r="BJ205" s="18" t="s">
        <v>77</v>
      </c>
      <c r="BK205" s="145">
        <f>ROUND(I205*H205,2)</f>
        <v>0</v>
      </c>
      <c r="BL205" s="18" t="s">
        <v>158</v>
      </c>
      <c r="BM205" s="144" t="s">
        <v>929</v>
      </c>
    </row>
    <row r="206" spans="2:65" s="1" customFormat="1" ht="19.5">
      <c r="B206" s="33"/>
      <c r="D206" s="151" t="s">
        <v>219</v>
      </c>
      <c r="F206" s="171" t="s">
        <v>930</v>
      </c>
      <c r="I206" s="148"/>
      <c r="L206" s="33"/>
      <c r="M206" s="149"/>
      <c r="T206" s="54"/>
      <c r="AT206" s="18" t="s">
        <v>219</v>
      </c>
      <c r="AU206" s="18" t="s">
        <v>168</v>
      </c>
    </row>
    <row r="207" spans="2:65" s="1" customFormat="1" ht="16.5" customHeight="1">
      <c r="B207" s="132"/>
      <c r="C207" s="172" t="s">
        <v>573</v>
      </c>
      <c r="D207" s="172" t="s">
        <v>436</v>
      </c>
      <c r="E207" s="173" t="s">
        <v>931</v>
      </c>
      <c r="F207" s="174" t="s">
        <v>928</v>
      </c>
      <c r="G207" s="175" t="s">
        <v>198</v>
      </c>
      <c r="H207" s="176">
        <v>100</v>
      </c>
      <c r="I207" s="177"/>
      <c r="J207" s="178">
        <f>ROUND(I207*H207,2)</f>
        <v>0</v>
      </c>
      <c r="K207" s="174" t="s">
        <v>3</v>
      </c>
      <c r="L207" s="179"/>
      <c r="M207" s="180" t="s">
        <v>3</v>
      </c>
      <c r="N207" s="181" t="s">
        <v>40</v>
      </c>
      <c r="P207" s="142">
        <f>O207*H207</f>
        <v>0</v>
      </c>
      <c r="Q207" s="142">
        <v>0</v>
      </c>
      <c r="R207" s="142">
        <f>Q207*H207</f>
        <v>0</v>
      </c>
      <c r="S207" s="142">
        <v>0</v>
      </c>
      <c r="T207" s="143">
        <f>S207*H207</f>
        <v>0</v>
      </c>
      <c r="AR207" s="144" t="s">
        <v>214</v>
      </c>
      <c r="AT207" s="144" t="s">
        <v>436</v>
      </c>
      <c r="AU207" s="144" t="s">
        <v>168</v>
      </c>
      <c r="AY207" s="18" t="s">
        <v>151</v>
      </c>
      <c r="BE207" s="145">
        <f>IF(N207="základní",J207,0)</f>
        <v>0</v>
      </c>
      <c r="BF207" s="145">
        <f>IF(N207="snížená",J207,0)</f>
        <v>0</v>
      </c>
      <c r="BG207" s="145">
        <f>IF(N207="zákl. přenesená",J207,0)</f>
        <v>0</v>
      </c>
      <c r="BH207" s="145">
        <f>IF(N207="sníž. přenesená",J207,0)</f>
        <v>0</v>
      </c>
      <c r="BI207" s="145">
        <f>IF(N207="nulová",J207,0)</f>
        <v>0</v>
      </c>
      <c r="BJ207" s="18" t="s">
        <v>77</v>
      </c>
      <c r="BK207" s="145">
        <f>ROUND(I207*H207,2)</f>
        <v>0</v>
      </c>
      <c r="BL207" s="18" t="s">
        <v>158</v>
      </c>
      <c r="BM207" s="144" t="s">
        <v>932</v>
      </c>
    </row>
    <row r="208" spans="2:65" s="1" customFormat="1" ht="19.5">
      <c r="B208" s="33"/>
      <c r="D208" s="151" t="s">
        <v>219</v>
      </c>
      <c r="F208" s="171" t="s">
        <v>933</v>
      </c>
      <c r="I208" s="148"/>
      <c r="L208" s="33"/>
      <c r="M208" s="149"/>
      <c r="T208" s="54"/>
      <c r="AT208" s="18" t="s">
        <v>219</v>
      </c>
      <c r="AU208" s="18" t="s">
        <v>168</v>
      </c>
    </row>
    <row r="209" spans="2:65" s="11" customFormat="1" ht="20.85" customHeight="1">
      <c r="B209" s="120"/>
      <c r="D209" s="121" t="s">
        <v>68</v>
      </c>
      <c r="E209" s="130" t="s">
        <v>934</v>
      </c>
      <c r="F209" s="130" t="s">
        <v>935</v>
      </c>
      <c r="I209" s="123"/>
      <c r="J209" s="131">
        <f>BK209</f>
        <v>0</v>
      </c>
      <c r="L209" s="120"/>
      <c r="M209" s="125"/>
      <c r="P209" s="126">
        <f>SUM(P210:P240)</f>
        <v>0</v>
      </c>
      <c r="R209" s="126">
        <f>SUM(R210:R240)</f>
        <v>0</v>
      </c>
      <c r="T209" s="127">
        <f>SUM(T210:T240)</f>
        <v>0</v>
      </c>
      <c r="AR209" s="121" t="s">
        <v>77</v>
      </c>
      <c r="AT209" s="128" t="s">
        <v>68</v>
      </c>
      <c r="AU209" s="128" t="s">
        <v>79</v>
      </c>
      <c r="AY209" s="121" t="s">
        <v>151</v>
      </c>
      <c r="BK209" s="129">
        <f>SUM(BK210:BK240)</f>
        <v>0</v>
      </c>
    </row>
    <row r="210" spans="2:65" s="1" customFormat="1" ht="16.5" customHeight="1">
      <c r="B210" s="132"/>
      <c r="C210" s="172" t="s">
        <v>578</v>
      </c>
      <c r="D210" s="172" t="s">
        <v>436</v>
      </c>
      <c r="E210" s="173" t="s">
        <v>936</v>
      </c>
      <c r="F210" s="174" t="s">
        <v>937</v>
      </c>
      <c r="G210" s="175" t="s">
        <v>198</v>
      </c>
      <c r="H210" s="176">
        <v>90</v>
      </c>
      <c r="I210" s="177"/>
      <c r="J210" s="178">
        <f>ROUND(I210*H210,2)</f>
        <v>0</v>
      </c>
      <c r="K210" s="174" t="s">
        <v>3</v>
      </c>
      <c r="L210" s="179"/>
      <c r="M210" s="180" t="s">
        <v>3</v>
      </c>
      <c r="N210" s="181" t="s">
        <v>40</v>
      </c>
      <c r="P210" s="142">
        <f>O210*H210</f>
        <v>0</v>
      </c>
      <c r="Q210" s="142">
        <v>0</v>
      </c>
      <c r="R210" s="142">
        <f>Q210*H210</f>
        <v>0</v>
      </c>
      <c r="S210" s="142">
        <v>0</v>
      </c>
      <c r="T210" s="143">
        <f>S210*H210</f>
        <v>0</v>
      </c>
      <c r="AR210" s="144" t="s">
        <v>214</v>
      </c>
      <c r="AT210" s="144" t="s">
        <v>436</v>
      </c>
      <c r="AU210" s="144" t="s">
        <v>168</v>
      </c>
      <c r="AY210" s="18" t="s">
        <v>151</v>
      </c>
      <c r="BE210" s="145">
        <f>IF(N210="základní",J210,0)</f>
        <v>0</v>
      </c>
      <c r="BF210" s="145">
        <f>IF(N210="snížená",J210,0)</f>
        <v>0</v>
      </c>
      <c r="BG210" s="145">
        <f>IF(N210="zákl. přenesená",J210,0)</f>
        <v>0</v>
      </c>
      <c r="BH210" s="145">
        <f>IF(N210="sníž. přenesená",J210,0)</f>
        <v>0</v>
      </c>
      <c r="BI210" s="145">
        <f>IF(N210="nulová",J210,0)</f>
        <v>0</v>
      </c>
      <c r="BJ210" s="18" t="s">
        <v>77</v>
      </c>
      <c r="BK210" s="145">
        <f>ROUND(I210*H210,2)</f>
        <v>0</v>
      </c>
      <c r="BL210" s="18" t="s">
        <v>158</v>
      </c>
      <c r="BM210" s="144" t="s">
        <v>938</v>
      </c>
    </row>
    <row r="211" spans="2:65" s="1" customFormat="1" ht="19.5">
      <c r="B211" s="33"/>
      <c r="D211" s="151" t="s">
        <v>219</v>
      </c>
      <c r="F211" s="171" t="s">
        <v>939</v>
      </c>
      <c r="I211" s="148"/>
      <c r="L211" s="33"/>
      <c r="M211" s="149"/>
      <c r="T211" s="54"/>
      <c r="AT211" s="18" t="s">
        <v>219</v>
      </c>
      <c r="AU211" s="18" t="s">
        <v>168</v>
      </c>
    </row>
    <row r="212" spans="2:65" s="1" customFormat="1" ht="16.5" customHeight="1">
      <c r="B212" s="132"/>
      <c r="C212" s="172" t="s">
        <v>583</v>
      </c>
      <c r="D212" s="172" t="s">
        <v>436</v>
      </c>
      <c r="E212" s="173" t="s">
        <v>940</v>
      </c>
      <c r="F212" s="174" t="s">
        <v>937</v>
      </c>
      <c r="G212" s="175" t="s">
        <v>198</v>
      </c>
      <c r="H212" s="176">
        <v>40</v>
      </c>
      <c r="I212" s="177"/>
      <c r="J212" s="178">
        <f>ROUND(I212*H212,2)</f>
        <v>0</v>
      </c>
      <c r="K212" s="174" t="s">
        <v>3</v>
      </c>
      <c r="L212" s="179"/>
      <c r="M212" s="180" t="s">
        <v>3</v>
      </c>
      <c r="N212" s="181" t="s">
        <v>40</v>
      </c>
      <c r="P212" s="142">
        <f>O212*H212</f>
        <v>0</v>
      </c>
      <c r="Q212" s="142">
        <v>0</v>
      </c>
      <c r="R212" s="142">
        <f>Q212*H212</f>
        <v>0</v>
      </c>
      <c r="S212" s="142">
        <v>0</v>
      </c>
      <c r="T212" s="143">
        <f>S212*H212</f>
        <v>0</v>
      </c>
      <c r="AR212" s="144" t="s">
        <v>214</v>
      </c>
      <c r="AT212" s="144" t="s">
        <v>436</v>
      </c>
      <c r="AU212" s="144" t="s">
        <v>168</v>
      </c>
      <c r="AY212" s="18" t="s">
        <v>151</v>
      </c>
      <c r="BE212" s="145">
        <f>IF(N212="základní",J212,0)</f>
        <v>0</v>
      </c>
      <c r="BF212" s="145">
        <f>IF(N212="snížená",J212,0)</f>
        <v>0</v>
      </c>
      <c r="BG212" s="145">
        <f>IF(N212="zákl. přenesená",J212,0)</f>
        <v>0</v>
      </c>
      <c r="BH212" s="145">
        <f>IF(N212="sníž. přenesená",J212,0)</f>
        <v>0</v>
      </c>
      <c r="BI212" s="145">
        <f>IF(N212="nulová",J212,0)</f>
        <v>0</v>
      </c>
      <c r="BJ212" s="18" t="s">
        <v>77</v>
      </c>
      <c r="BK212" s="145">
        <f>ROUND(I212*H212,2)</f>
        <v>0</v>
      </c>
      <c r="BL212" s="18" t="s">
        <v>158</v>
      </c>
      <c r="BM212" s="144" t="s">
        <v>941</v>
      </c>
    </row>
    <row r="213" spans="2:65" s="1" customFormat="1" ht="19.5">
      <c r="B213" s="33"/>
      <c r="D213" s="151" t="s">
        <v>219</v>
      </c>
      <c r="F213" s="171" t="s">
        <v>942</v>
      </c>
      <c r="I213" s="148"/>
      <c r="L213" s="33"/>
      <c r="M213" s="149"/>
      <c r="T213" s="54"/>
      <c r="AT213" s="18" t="s">
        <v>219</v>
      </c>
      <c r="AU213" s="18" t="s">
        <v>168</v>
      </c>
    </row>
    <row r="214" spans="2:65" s="1" customFormat="1" ht="16.5" customHeight="1">
      <c r="B214" s="132"/>
      <c r="C214" s="172" t="s">
        <v>588</v>
      </c>
      <c r="D214" s="172" t="s">
        <v>436</v>
      </c>
      <c r="E214" s="173" t="s">
        <v>943</v>
      </c>
      <c r="F214" s="174" t="s">
        <v>937</v>
      </c>
      <c r="G214" s="175" t="s">
        <v>198</v>
      </c>
      <c r="H214" s="176">
        <v>150</v>
      </c>
      <c r="I214" s="177"/>
      <c r="J214" s="178">
        <f>ROUND(I214*H214,2)</f>
        <v>0</v>
      </c>
      <c r="K214" s="174" t="s">
        <v>3</v>
      </c>
      <c r="L214" s="179"/>
      <c r="M214" s="180" t="s">
        <v>3</v>
      </c>
      <c r="N214" s="181" t="s">
        <v>40</v>
      </c>
      <c r="P214" s="142">
        <f>O214*H214</f>
        <v>0</v>
      </c>
      <c r="Q214" s="142">
        <v>0</v>
      </c>
      <c r="R214" s="142">
        <f>Q214*H214</f>
        <v>0</v>
      </c>
      <c r="S214" s="142">
        <v>0</v>
      </c>
      <c r="T214" s="143">
        <f>S214*H214</f>
        <v>0</v>
      </c>
      <c r="AR214" s="144" t="s">
        <v>214</v>
      </c>
      <c r="AT214" s="144" t="s">
        <v>436</v>
      </c>
      <c r="AU214" s="144" t="s">
        <v>168</v>
      </c>
      <c r="AY214" s="18" t="s">
        <v>151</v>
      </c>
      <c r="BE214" s="145">
        <f>IF(N214="základní",J214,0)</f>
        <v>0</v>
      </c>
      <c r="BF214" s="145">
        <f>IF(N214="snížená",J214,0)</f>
        <v>0</v>
      </c>
      <c r="BG214" s="145">
        <f>IF(N214="zákl. přenesená",J214,0)</f>
        <v>0</v>
      </c>
      <c r="BH214" s="145">
        <f>IF(N214="sníž. přenesená",J214,0)</f>
        <v>0</v>
      </c>
      <c r="BI214" s="145">
        <f>IF(N214="nulová",J214,0)</f>
        <v>0</v>
      </c>
      <c r="BJ214" s="18" t="s">
        <v>77</v>
      </c>
      <c r="BK214" s="145">
        <f>ROUND(I214*H214,2)</f>
        <v>0</v>
      </c>
      <c r="BL214" s="18" t="s">
        <v>158</v>
      </c>
      <c r="BM214" s="144" t="s">
        <v>944</v>
      </c>
    </row>
    <row r="215" spans="2:65" s="1" customFormat="1" ht="19.5">
      <c r="B215" s="33"/>
      <c r="D215" s="151" t="s">
        <v>219</v>
      </c>
      <c r="F215" s="171" t="s">
        <v>945</v>
      </c>
      <c r="I215" s="148"/>
      <c r="L215" s="33"/>
      <c r="M215" s="149"/>
      <c r="T215" s="54"/>
      <c r="AT215" s="18" t="s">
        <v>219</v>
      </c>
      <c r="AU215" s="18" t="s">
        <v>168</v>
      </c>
    </row>
    <row r="216" spans="2:65" s="1" customFormat="1" ht="16.5" customHeight="1">
      <c r="B216" s="132"/>
      <c r="C216" s="172" t="s">
        <v>593</v>
      </c>
      <c r="D216" s="172" t="s">
        <v>436</v>
      </c>
      <c r="E216" s="173" t="s">
        <v>946</v>
      </c>
      <c r="F216" s="174" t="s">
        <v>947</v>
      </c>
      <c r="G216" s="175" t="s">
        <v>484</v>
      </c>
      <c r="H216" s="176">
        <v>200</v>
      </c>
      <c r="I216" s="177"/>
      <c r="J216" s="178">
        <f>ROUND(I216*H216,2)</f>
        <v>0</v>
      </c>
      <c r="K216" s="174" t="s">
        <v>3</v>
      </c>
      <c r="L216" s="179"/>
      <c r="M216" s="180" t="s">
        <v>3</v>
      </c>
      <c r="N216" s="181" t="s">
        <v>40</v>
      </c>
      <c r="P216" s="142">
        <f>O216*H216</f>
        <v>0</v>
      </c>
      <c r="Q216" s="142">
        <v>0</v>
      </c>
      <c r="R216" s="142">
        <f>Q216*H216</f>
        <v>0</v>
      </c>
      <c r="S216" s="142">
        <v>0</v>
      </c>
      <c r="T216" s="143">
        <f>S216*H216</f>
        <v>0</v>
      </c>
      <c r="AR216" s="144" t="s">
        <v>214</v>
      </c>
      <c r="AT216" s="144" t="s">
        <v>436</v>
      </c>
      <c r="AU216" s="144" t="s">
        <v>168</v>
      </c>
      <c r="AY216" s="18" t="s">
        <v>151</v>
      </c>
      <c r="BE216" s="145">
        <f>IF(N216="základní",J216,0)</f>
        <v>0</v>
      </c>
      <c r="BF216" s="145">
        <f>IF(N216="snížená",J216,0)</f>
        <v>0</v>
      </c>
      <c r="BG216" s="145">
        <f>IF(N216="zákl. přenesená",J216,0)</f>
        <v>0</v>
      </c>
      <c r="BH216" s="145">
        <f>IF(N216="sníž. přenesená",J216,0)</f>
        <v>0</v>
      </c>
      <c r="BI216" s="145">
        <f>IF(N216="nulová",J216,0)</f>
        <v>0</v>
      </c>
      <c r="BJ216" s="18" t="s">
        <v>77</v>
      </c>
      <c r="BK216" s="145">
        <f>ROUND(I216*H216,2)</f>
        <v>0</v>
      </c>
      <c r="BL216" s="18" t="s">
        <v>158</v>
      </c>
      <c r="BM216" s="144" t="s">
        <v>948</v>
      </c>
    </row>
    <row r="217" spans="2:65" s="1" customFormat="1" ht="19.5">
      <c r="B217" s="33"/>
      <c r="D217" s="151" t="s">
        <v>219</v>
      </c>
      <c r="F217" s="171" t="s">
        <v>949</v>
      </c>
      <c r="I217" s="148"/>
      <c r="L217" s="33"/>
      <c r="M217" s="149"/>
      <c r="T217" s="54"/>
      <c r="AT217" s="18" t="s">
        <v>219</v>
      </c>
      <c r="AU217" s="18" t="s">
        <v>168</v>
      </c>
    </row>
    <row r="218" spans="2:65" s="1" customFormat="1" ht="16.5" customHeight="1">
      <c r="B218" s="132"/>
      <c r="C218" s="172" t="s">
        <v>598</v>
      </c>
      <c r="D218" s="172" t="s">
        <v>436</v>
      </c>
      <c r="E218" s="173" t="s">
        <v>950</v>
      </c>
      <c r="F218" s="174" t="s">
        <v>947</v>
      </c>
      <c r="G218" s="175" t="s">
        <v>484</v>
      </c>
      <c r="H218" s="176">
        <v>120</v>
      </c>
      <c r="I218" s="177"/>
      <c r="J218" s="178">
        <f>ROUND(I218*H218,2)</f>
        <v>0</v>
      </c>
      <c r="K218" s="174" t="s">
        <v>3</v>
      </c>
      <c r="L218" s="179"/>
      <c r="M218" s="180" t="s">
        <v>3</v>
      </c>
      <c r="N218" s="181" t="s">
        <v>40</v>
      </c>
      <c r="P218" s="142">
        <f>O218*H218</f>
        <v>0</v>
      </c>
      <c r="Q218" s="142">
        <v>0</v>
      </c>
      <c r="R218" s="142">
        <f>Q218*H218</f>
        <v>0</v>
      </c>
      <c r="S218" s="142">
        <v>0</v>
      </c>
      <c r="T218" s="143">
        <f>S218*H218</f>
        <v>0</v>
      </c>
      <c r="AR218" s="144" t="s">
        <v>214</v>
      </c>
      <c r="AT218" s="144" t="s">
        <v>436</v>
      </c>
      <c r="AU218" s="144" t="s">
        <v>168</v>
      </c>
      <c r="AY218" s="18" t="s">
        <v>151</v>
      </c>
      <c r="BE218" s="145">
        <f>IF(N218="základní",J218,0)</f>
        <v>0</v>
      </c>
      <c r="BF218" s="145">
        <f>IF(N218="snížená",J218,0)</f>
        <v>0</v>
      </c>
      <c r="BG218" s="145">
        <f>IF(N218="zákl. přenesená",J218,0)</f>
        <v>0</v>
      </c>
      <c r="BH218" s="145">
        <f>IF(N218="sníž. přenesená",J218,0)</f>
        <v>0</v>
      </c>
      <c r="BI218" s="145">
        <f>IF(N218="nulová",J218,0)</f>
        <v>0</v>
      </c>
      <c r="BJ218" s="18" t="s">
        <v>77</v>
      </c>
      <c r="BK218" s="145">
        <f>ROUND(I218*H218,2)</f>
        <v>0</v>
      </c>
      <c r="BL218" s="18" t="s">
        <v>158</v>
      </c>
      <c r="BM218" s="144" t="s">
        <v>951</v>
      </c>
    </row>
    <row r="219" spans="2:65" s="1" customFormat="1" ht="19.5">
      <c r="B219" s="33"/>
      <c r="D219" s="151" t="s">
        <v>219</v>
      </c>
      <c r="F219" s="171" t="s">
        <v>952</v>
      </c>
      <c r="I219" s="148"/>
      <c r="L219" s="33"/>
      <c r="M219" s="149"/>
      <c r="T219" s="54"/>
      <c r="AT219" s="18" t="s">
        <v>219</v>
      </c>
      <c r="AU219" s="18" t="s">
        <v>168</v>
      </c>
    </row>
    <row r="220" spans="2:65" s="1" customFormat="1" ht="16.5" customHeight="1">
      <c r="B220" s="132"/>
      <c r="C220" s="172" t="s">
        <v>193</v>
      </c>
      <c r="D220" s="172" t="s">
        <v>436</v>
      </c>
      <c r="E220" s="173" t="s">
        <v>953</v>
      </c>
      <c r="F220" s="174" t="s">
        <v>947</v>
      </c>
      <c r="G220" s="175" t="s">
        <v>484</v>
      </c>
      <c r="H220" s="176">
        <v>200</v>
      </c>
      <c r="I220" s="177"/>
      <c r="J220" s="178">
        <f>ROUND(I220*H220,2)</f>
        <v>0</v>
      </c>
      <c r="K220" s="174" t="s">
        <v>3</v>
      </c>
      <c r="L220" s="179"/>
      <c r="M220" s="180" t="s">
        <v>3</v>
      </c>
      <c r="N220" s="181" t="s">
        <v>40</v>
      </c>
      <c r="P220" s="142">
        <f>O220*H220</f>
        <v>0</v>
      </c>
      <c r="Q220" s="142">
        <v>0</v>
      </c>
      <c r="R220" s="142">
        <f>Q220*H220</f>
        <v>0</v>
      </c>
      <c r="S220" s="142">
        <v>0</v>
      </c>
      <c r="T220" s="143">
        <f>S220*H220</f>
        <v>0</v>
      </c>
      <c r="AR220" s="144" t="s">
        <v>214</v>
      </c>
      <c r="AT220" s="144" t="s">
        <v>436</v>
      </c>
      <c r="AU220" s="144" t="s">
        <v>168</v>
      </c>
      <c r="AY220" s="18" t="s">
        <v>151</v>
      </c>
      <c r="BE220" s="145">
        <f>IF(N220="základní",J220,0)</f>
        <v>0</v>
      </c>
      <c r="BF220" s="145">
        <f>IF(N220="snížená",J220,0)</f>
        <v>0</v>
      </c>
      <c r="BG220" s="145">
        <f>IF(N220="zákl. přenesená",J220,0)</f>
        <v>0</v>
      </c>
      <c r="BH220" s="145">
        <f>IF(N220="sníž. přenesená",J220,0)</f>
        <v>0</v>
      </c>
      <c r="BI220" s="145">
        <f>IF(N220="nulová",J220,0)</f>
        <v>0</v>
      </c>
      <c r="BJ220" s="18" t="s">
        <v>77</v>
      </c>
      <c r="BK220" s="145">
        <f>ROUND(I220*H220,2)</f>
        <v>0</v>
      </c>
      <c r="BL220" s="18" t="s">
        <v>158</v>
      </c>
      <c r="BM220" s="144" t="s">
        <v>954</v>
      </c>
    </row>
    <row r="221" spans="2:65" s="1" customFormat="1" ht="19.5">
      <c r="B221" s="33"/>
      <c r="D221" s="151" t="s">
        <v>219</v>
      </c>
      <c r="F221" s="171" t="s">
        <v>955</v>
      </c>
      <c r="I221" s="148"/>
      <c r="L221" s="33"/>
      <c r="M221" s="149"/>
      <c r="T221" s="54"/>
      <c r="AT221" s="18" t="s">
        <v>219</v>
      </c>
      <c r="AU221" s="18" t="s">
        <v>168</v>
      </c>
    </row>
    <row r="222" spans="2:65" s="1" customFormat="1" ht="16.5" customHeight="1">
      <c r="B222" s="132"/>
      <c r="C222" s="172" t="s">
        <v>609</v>
      </c>
      <c r="D222" s="172" t="s">
        <v>436</v>
      </c>
      <c r="E222" s="173" t="s">
        <v>956</v>
      </c>
      <c r="F222" s="174" t="s">
        <v>957</v>
      </c>
      <c r="G222" s="175" t="s">
        <v>484</v>
      </c>
      <c r="H222" s="176">
        <v>200</v>
      </c>
      <c r="I222" s="177"/>
      <c r="J222" s="178">
        <f>ROUND(I222*H222,2)</f>
        <v>0</v>
      </c>
      <c r="K222" s="174" t="s">
        <v>3</v>
      </c>
      <c r="L222" s="179"/>
      <c r="M222" s="180" t="s">
        <v>3</v>
      </c>
      <c r="N222" s="181" t="s">
        <v>40</v>
      </c>
      <c r="P222" s="142">
        <f>O222*H222</f>
        <v>0</v>
      </c>
      <c r="Q222" s="142">
        <v>0</v>
      </c>
      <c r="R222" s="142">
        <f>Q222*H222</f>
        <v>0</v>
      </c>
      <c r="S222" s="142">
        <v>0</v>
      </c>
      <c r="T222" s="143">
        <f>S222*H222</f>
        <v>0</v>
      </c>
      <c r="AR222" s="144" t="s">
        <v>214</v>
      </c>
      <c r="AT222" s="144" t="s">
        <v>436</v>
      </c>
      <c r="AU222" s="144" t="s">
        <v>168</v>
      </c>
      <c r="AY222" s="18" t="s">
        <v>151</v>
      </c>
      <c r="BE222" s="145">
        <f>IF(N222="základní",J222,0)</f>
        <v>0</v>
      </c>
      <c r="BF222" s="145">
        <f>IF(N222="snížená",J222,0)</f>
        <v>0</v>
      </c>
      <c r="BG222" s="145">
        <f>IF(N222="zákl. přenesená",J222,0)</f>
        <v>0</v>
      </c>
      <c r="BH222" s="145">
        <f>IF(N222="sníž. přenesená",J222,0)</f>
        <v>0</v>
      </c>
      <c r="BI222" s="145">
        <f>IF(N222="nulová",J222,0)</f>
        <v>0</v>
      </c>
      <c r="BJ222" s="18" t="s">
        <v>77</v>
      </c>
      <c r="BK222" s="145">
        <f>ROUND(I222*H222,2)</f>
        <v>0</v>
      </c>
      <c r="BL222" s="18" t="s">
        <v>158</v>
      </c>
      <c r="BM222" s="144" t="s">
        <v>958</v>
      </c>
    </row>
    <row r="223" spans="2:65" s="1" customFormat="1" ht="19.5">
      <c r="B223" s="33"/>
      <c r="D223" s="151" t="s">
        <v>219</v>
      </c>
      <c r="F223" s="171" t="s">
        <v>959</v>
      </c>
      <c r="I223" s="148"/>
      <c r="L223" s="33"/>
      <c r="M223" s="149"/>
      <c r="T223" s="54"/>
      <c r="AT223" s="18" t="s">
        <v>219</v>
      </c>
      <c r="AU223" s="18" t="s">
        <v>168</v>
      </c>
    </row>
    <row r="224" spans="2:65" s="1" customFormat="1" ht="16.5" customHeight="1">
      <c r="B224" s="132"/>
      <c r="C224" s="172" t="s">
        <v>616</v>
      </c>
      <c r="D224" s="172" t="s">
        <v>436</v>
      </c>
      <c r="E224" s="173" t="s">
        <v>960</v>
      </c>
      <c r="F224" s="174" t="s">
        <v>957</v>
      </c>
      <c r="G224" s="175" t="s">
        <v>484</v>
      </c>
      <c r="H224" s="176">
        <v>200</v>
      </c>
      <c r="I224" s="177"/>
      <c r="J224" s="178">
        <f>ROUND(I224*H224,2)</f>
        <v>0</v>
      </c>
      <c r="K224" s="174" t="s">
        <v>3</v>
      </c>
      <c r="L224" s="179"/>
      <c r="M224" s="180" t="s">
        <v>3</v>
      </c>
      <c r="N224" s="181" t="s">
        <v>40</v>
      </c>
      <c r="P224" s="142">
        <f>O224*H224</f>
        <v>0</v>
      </c>
      <c r="Q224" s="142">
        <v>0</v>
      </c>
      <c r="R224" s="142">
        <f>Q224*H224</f>
        <v>0</v>
      </c>
      <c r="S224" s="142">
        <v>0</v>
      </c>
      <c r="T224" s="143">
        <f>S224*H224</f>
        <v>0</v>
      </c>
      <c r="AR224" s="144" t="s">
        <v>214</v>
      </c>
      <c r="AT224" s="144" t="s">
        <v>436</v>
      </c>
      <c r="AU224" s="144" t="s">
        <v>168</v>
      </c>
      <c r="AY224" s="18" t="s">
        <v>151</v>
      </c>
      <c r="BE224" s="145">
        <f>IF(N224="základní",J224,0)</f>
        <v>0</v>
      </c>
      <c r="BF224" s="145">
        <f>IF(N224="snížená",J224,0)</f>
        <v>0</v>
      </c>
      <c r="BG224" s="145">
        <f>IF(N224="zákl. přenesená",J224,0)</f>
        <v>0</v>
      </c>
      <c r="BH224" s="145">
        <f>IF(N224="sníž. přenesená",J224,0)</f>
        <v>0</v>
      </c>
      <c r="BI224" s="145">
        <f>IF(N224="nulová",J224,0)</f>
        <v>0</v>
      </c>
      <c r="BJ224" s="18" t="s">
        <v>77</v>
      </c>
      <c r="BK224" s="145">
        <f>ROUND(I224*H224,2)</f>
        <v>0</v>
      </c>
      <c r="BL224" s="18" t="s">
        <v>158</v>
      </c>
      <c r="BM224" s="144" t="s">
        <v>961</v>
      </c>
    </row>
    <row r="225" spans="2:65" s="1" customFormat="1" ht="19.5">
      <c r="B225" s="33"/>
      <c r="D225" s="151" t="s">
        <v>219</v>
      </c>
      <c r="F225" s="171" t="s">
        <v>962</v>
      </c>
      <c r="I225" s="148"/>
      <c r="L225" s="33"/>
      <c r="M225" s="149"/>
      <c r="T225" s="54"/>
      <c r="AT225" s="18" t="s">
        <v>219</v>
      </c>
      <c r="AU225" s="18" t="s">
        <v>168</v>
      </c>
    </row>
    <row r="226" spans="2:65" s="1" customFormat="1" ht="16.5" customHeight="1">
      <c r="B226" s="132"/>
      <c r="C226" s="172" t="s">
        <v>621</v>
      </c>
      <c r="D226" s="172" t="s">
        <v>436</v>
      </c>
      <c r="E226" s="173" t="s">
        <v>963</v>
      </c>
      <c r="F226" s="174" t="s">
        <v>964</v>
      </c>
      <c r="G226" s="175" t="s">
        <v>484</v>
      </c>
      <c r="H226" s="176">
        <v>800</v>
      </c>
      <c r="I226" s="177"/>
      <c r="J226" s="178">
        <f>ROUND(I226*H226,2)</f>
        <v>0</v>
      </c>
      <c r="K226" s="174" t="s">
        <v>3</v>
      </c>
      <c r="L226" s="179"/>
      <c r="M226" s="180" t="s">
        <v>3</v>
      </c>
      <c r="N226" s="181" t="s">
        <v>40</v>
      </c>
      <c r="P226" s="142">
        <f>O226*H226</f>
        <v>0</v>
      </c>
      <c r="Q226" s="142">
        <v>0</v>
      </c>
      <c r="R226" s="142">
        <f>Q226*H226</f>
        <v>0</v>
      </c>
      <c r="S226" s="142">
        <v>0</v>
      </c>
      <c r="T226" s="143">
        <f>S226*H226</f>
        <v>0</v>
      </c>
      <c r="AR226" s="144" t="s">
        <v>214</v>
      </c>
      <c r="AT226" s="144" t="s">
        <v>436</v>
      </c>
      <c r="AU226" s="144" t="s">
        <v>168</v>
      </c>
      <c r="AY226" s="18" t="s">
        <v>151</v>
      </c>
      <c r="BE226" s="145">
        <f>IF(N226="základní",J226,0)</f>
        <v>0</v>
      </c>
      <c r="BF226" s="145">
        <f>IF(N226="snížená",J226,0)</f>
        <v>0</v>
      </c>
      <c r="BG226" s="145">
        <f>IF(N226="zákl. přenesená",J226,0)</f>
        <v>0</v>
      </c>
      <c r="BH226" s="145">
        <f>IF(N226="sníž. přenesená",J226,0)</f>
        <v>0</v>
      </c>
      <c r="BI226" s="145">
        <f>IF(N226="nulová",J226,0)</f>
        <v>0</v>
      </c>
      <c r="BJ226" s="18" t="s">
        <v>77</v>
      </c>
      <c r="BK226" s="145">
        <f>ROUND(I226*H226,2)</f>
        <v>0</v>
      </c>
      <c r="BL226" s="18" t="s">
        <v>158</v>
      </c>
      <c r="BM226" s="144" t="s">
        <v>965</v>
      </c>
    </row>
    <row r="227" spans="2:65" s="1" customFormat="1" ht="19.5">
      <c r="B227" s="33"/>
      <c r="D227" s="151" t="s">
        <v>219</v>
      </c>
      <c r="F227" s="171" t="s">
        <v>966</v>
      </c>
      <c r="I227" s="148"/>
      <c r="L227" s="33"/>
      <c r="M227" s="149"/>
      <c r="T227" s="54"/>
      <c r="AT227" s="18" t="s">
        <v>219</v>
      </c>
      <c r="AU227" s="18" t="s">
        <v>168</v>
      </c>
    </row>
    <row r="228" spans="2:65" s="1" customFormat="1" ht="16.5" customHeight="1">
      <c r="B228" s="132"/>
      <c r="C228" s="172" t="s">
        <v>630</v>
      </c>
      <c r="D228" s="172" t="s">
        <v>436</v>
      </c>
      <c r="E228" s="173" t="s">
        <v>967</v>
      </c>
      <c r="F228" s="174" t="s">
        <v>968</v>
      </c>
      <c r="G228" s="175" t="s">
        <v>484</v>
      </c>
      <c r="H228" s="176">
        <v>50</v>
      </c>
      <c r="I228" s="177"/>
      <c r="J228" s="178">
        <f>ROUND(I228*H228,2)</f>
        <v>0</v>
      </c>
      <c r="K228" s="174" t="s">
        <v>3</v>
      </c>
      <c r="L228" s="179"/>
      <c r="M228" s="180" t="s">
        <v>3</v>
      </c>
      <c r="N228" s="181" t="s">
        <v>40</v>
      </c>
      <c r="P228" s="142">
        <f>O228*H228</f>
        <v>0</v>
      </c>
      <c r="Q228" s="142">
        <v>0</v>
      </c>
      <c r="R228" s="142">
        <f>Q228*H228</f>
        <v>0</v>
      </c>
      <c r="S228" s="142">
        <v>0</v>
      </c>
      <c r="T228" s="143">
        <f>S228*H228</f>
        <v>0</v>
      </c>
      <c r="AR228" s="144" t="s">
        <v>214</v>
      </c>
      <c r="AT228" s="144" t="s">
        <v>436</v>
      </c>
      <c r="AU228" s="144" t="s">
        <v>168</v>
      </c>
      <c r="AY228" s="18" t="s">
        <v>151</v>
      </c>
      <c r="BE228" s="145">
        <f>IF(N228="základní",J228,0)</f>
        <v>0</v>
      </c>
      <c r="BF228" s="145">
        <f>IF(N228="snížená",J228,0)</f>
        <v>0</v>
      </c>
      <c r="BG228" s="145">
        <f>IF(N228="zákl. přenesená",J228,0)</f>
        <v>0</v>
      </c>
      <c r="BH228" s="145">
        <f>IF(N228="sníž. přenesená",J228,0)</f>
        <v>0</v>
      </c>
      <c r="BI228" s="145">
        <f>IF(N228="nulová",J228,0)</f>
        <v>0</v>
      </c>
      <c r="BJ228" s="18" t="s">
        <v>77</v>
      </c>
      <c r="BK228" s="145">
        <f>ROUND(I228*H228,2)</f>
        <v>0</v>
      </c>
      <c r="BL228" s="18" t="s">
        <v>158</v>
      </c>
      <c r="BM228" s="144" t="s">
        <v>969</v>
      </c>
    </row>
    <row r="229" spans="2:65" s="1" customFormat="1" ht="19.5">
      <c r="B229" s="33"/>
      <c r="D229" s="151" t="s">
        <v>219</v>
      </c>
      <c r="F229" s="171" t="s">
        <v>970</v>
      </c>
      <c r="I229" s="148"/>
      <c r="L229" s="33"/>
      <c r="M229" s="149"/>
      <c r="T229" s="54"/>
      <c r="AT229" s="18" t="s">
        <v>219</v>
      </c>
      <c r="AU229" s="18" t="s">
        <v>168</v>
      </c>
    </row>
    <row r="230" spans="2:65" s="1" customFormat="1" ht="16.5" customHeight="1">
      <c r="B230" s="132"/>
      <c r="C230" s="172" t="s">
        <v>634</v>
      </c>
      <c r="D230" s="172" t="s">
        <v>436</v>
      </c>
      <c r="E230" s="173" t="s">
        <v>971</v>
      </c>
      <c r="F230" s="174" t="s">
        <v>972</v>
      </c>
      <c r="G230" s="175" t="s">
        <v>484</v>
      </c>
      <c r="H230" s="176">
        <v>300</v>
      </c>
      <c r="I230" s="177"/>
      <c r="J230" s="178">
        <f>ROUND(I230*H230,2)</f>
        <v>0</v>
      </c>
      <c r="K230" s="174" t="s">
        <v>3</v>
      </c>
      <c r="L230" s="179"/>
      <c r="M230" s="180" t="s">
        <v>3</v>
      </c>
      <c r="N230" s="181" t="s">
        <v>40</v>
      </c>
      <c r="P230" s="142">
        <f>O230*H230</f>
        <v>0</v>
      </c>
      <c r="Q230" s="142">
        <v>0</v>
      </c>
      <c r="R230" s="142">
        <f>Q230*H230</f>
        <v>0</v>
      </c>
      <c r="S230" s="142">
        <v>0</v>
      </c>
      <c r="T230" s="143">
        <f>S230*H230</f>
        <v>0</v>
      </c>
      <c r="AR230" s="144" t="s">
        <v>214</v>
      </c>
      <c r="AT230" s="144" t="s">
        <v>436</v>
      </c>
      <c r="AU230" s="144" t="s">
        <v>168</v>
      </c>
      <c r="AY230" s="18" t="s">
        <v>151</v>
      </c>
      <c r="BE230" s="145">
        <f>IF(N230="základní",J230,0)</f>
        <v>0</v>
      </c>
      <c r="BF230" s="145">
        <f>IF(N230="snížená",J230,0)</f>
        <v>0</v>
      </c>
      <c r="BG230" s="145">
        <f>IF(N230="zákl. přenesená",J230,0)</f>
        <v>0</v>
      </c>
      <c r="BH230" s="145">
        <f>IF(N230="sníž. přenesená",J230,0)</f>
        <v>0</v>
      </c>
      <c r="BI230" s="145">
        <f>IF(N230="nulová",J230,0)</f>
        <v>0</v>
      </c>
      <c r="BJ230" s="18" t="s">
        <v>77</v>
      </c>
      <c r="BK230" s="145">
        <f>ROUND(I230*H230,2)</f>
        <v>0</v>
      </c>
      <c r="BL230" s="18" t="s">
        <v>158</v>
      </c>
      <c r="BM230" s="144" t="s">
        <v>973</v>
      </c>
    </row>
    <row r="231" spans="2:65" s="1" customFormat="1" ht="19.5">
      <c r="B231" s="33"/>
      <c r="D231" s="151" t="s">
        <v>219</v>
      </c>
      <c r="F231" s="171" t="s">
        <v>974</v>
      </c>
      <c r="I231" s="148"/>
      <c r="L231" s="33"/>
      <c r="M231" s="149"/>
      <c r="T231" s="54"/>
      <c r="AT231" s="18" t="s">
        <v>219</v>
      </c>
      <c r="AU231" s="18" t="s">
        <v>168</v>
      </c>
    </row>
    <row r="232" spans="2:65" s="1" customFormat="1" ht="16.5" customHeight="1">
      <c r="B232" s="132"/>
      <c r="C232" s="172" t="s">
        <v>638</v>
      </c>
      <c r="D232" s="172" t="s">
        <v>436</v>
      </c>
      <c r="E232" s="173" t="s">
        <v>975</v>
      </c>
      <c r="F232" s="174" t="s">
        <v>976</v>
      </c>
      <c r="G232" s="175" t="s">
        <v>771</v>
      </c>
      <c r="H232" s="176">
        <v>1</v>
      </c>
      <c r="I232" s="177"/>
      <c r="J232" s="178">
        <f>ROUND(I232*H232,2)</f>
        <v>0</v>
      </c>
      <c r="K232" s="174" t="s">
        <v>3</v>
      </c>
      <c r="L232" s="179"/>
      <c r="M232" s="180" t="s">
        <v>3</v>
      </c>
      <c r="N232" s="181" t="s">
        <v>40</v>
      </c>
      <c r="P232" s="142">
        <f>O232*H232</f>
        <v>0</v>
      </c>
      <c r="Q232" s="142">
        <v>0</v>
      </c>
      <c r="R232" s="142">
        <f>Q232*H232</f>
        <v>0</v>
      </c>
      <c r="S232" s="142">
        <v>0</v>
      </c>
      <c r="T232" s="143">
        <f>S232*H232</f>
        <v>0</v>
      </c>
      <c r="AR232" s="144" t="s">
        <v>214</v>
      </c>
      <c r="AT232" s="144" t="s">
        <v>436</v>
      </c>
      <c r="AU232" s="144" t="s">
        <v>168</v>
      </c>
      <c r="AY232" s="18" t="s">
        <v>151</v>
      </c>
      <c r="BE232" s="145">
        <f>IF(N232="základní",J232,0)</f>
        <v>0</v>
      </c>
      <c r="BF232" s="145">
        <f>IF(N232="snížená",J232,0)</f>
        <v>0</v>
      </c>
      <c r="BG232" s="145">
        <f>IF(N232="zákl. přenesená",J232,0)</f>
        <v>0</v>
      </c>
      <c r="BH232" s="145">
        <f>IF(N232="sníž. přenesená",J232,0)</f>
        <v>0</v>
      </c>
      <c r="BI232" s="145">
        <f>IF(N232="nulová",J232,0)</f>
        <v>0</v>
      </c>
      <c r="BJ232" s="18" t="s">
        <v>77</v>
      </c>
      <c r="BK232" s="145">
        <f>ROUND(I232*H232,2)</f>
        <v>0</v>
      </c>
      <c r="BL232" s="18" t="s">
        <v>158</v>
      </c>
      <c r="BM232" s="144" t="s">
        <v>977</v>
      </c>
    </row>
    <row r="233" spans="2:65" s="1" customFormat="1" ht="19.5">
      <c r="B233" s="33"/>
      <c r="D233" s="151" t="s">
        <v>219</v>
      </c>
      <c r="F233" s="171" t="s">
        <v>978</v>
      </c>
      <c r="I233" s="148"/>
      <c r="L233" s="33"/>
      <c r="M233" s="149"/>
      <c r="T233" s="54"/>
      <c r="AT233" s="18" t="s">
        <v>219</v>
      </c>
      <c r="AU233" s="18" t="s">
        <v>168</v>
      </c>
    </row>
    <row r="234" spans="2:65" s="1" customFormat="1" ht="16.5" customHeight="1">
      <c r="B234" s="132"/>
      <c r="C234" s="172" t="s">
        <v>644</v>
      </c>
      <c r="D234" s="172" t="s">
        <v>436</v>
      </c>
      <c r="E234" s="173" t="s">
        <v>979</v>
      </c>
      <c r="F234" s="174" t="s">
        <v>980</v>
      </c>
      <c r="G234" s="175" t="s">
        <v>771</v>
      </c>
      <c r="H234" s="176">
        <v>1</v>
      </c>
      <c r="I234" s="177"/>
      <c r="J234" s="178">
        <f>ROUND(I234*H234,2)</f>
        <v>0</v>
      </c>
      <c r="K234" s="174" t="s">
        <v>3</v>
      </c>
      <c r="L234" s="179"/>
      <c r="M234" s="180" t="s">
        <v>3</v>
      </c>
      <c r="N234" s="181" t="s">
        <v>40</v>
      </c>
      <c r="P234" s="142">
        <f>O234*H234</f>
        <v>0</v>
      </c>
      <c r="Q234" s="142">
        <v>0</v>
      </c>
      <c r="R234" s="142">
        <f>Q234*H234</f>
        <v>0</v>
      </c>
      <c r="S234" s="142">
        <v>0</v>
      </c>
      <c r="T234" s="143">
        <f>S234*H234</f>
        <v>0</v>
      </c>
      <c r="AR234" s="144" t="s">
        <v>214</v>
      </c>
      <c r="AT234" s="144" t="s">
        <v>436</v>
      </c>
      <c r="AU234" s="144" t="s">
        <v>168</v>
      </c>
      <c r="AY234" s="18" t="s">
        <v>151</v>
      </c>
      <c r="BE234" s="145">
        <f>IF(N234="základní",J234,0)</f>
        <v>0</v>
      </c>
      <c r="BF234" s="145">
        <f>IF(N234="snížená",J234,0)</f>
        <v>0</v>
      </c>
      <c r="BG234" s="145">
        <f>IF(N234="zákl. přenesená",J234,0)</f>
        <v>0</v>
      </c>
      <c r="BH234" s="145">
        <f>IF(N234="sníž. přenesená",J234,0)</f>
        <v>0</v>
      </c>
      <c r="BI234" s="145">
        <f>IF(N234="nulová",J234,0)</f>
        <v>0</v>
      </c>
      <c r="BJ234" s="18" t="s">
        <v>77</v>
      </c>
      <c r="BK234" s="145">
        <f>ROUND(I234*H234,2)</f>
        <v>0</v>
      </c>
      <c r="BL234" s="18" t="s">
        <v>158</v>
      </c>
      <c r="BM234" s="144" t="s">
        <v>981</v>
      </c>
    </row>
    <row r="235" spans="2:65" s="1" customFormat="1" ht="19.5">
      <c r="B235" s="33"/>
      <c r="D235" s="151" t="s">
        <v>219</v>
      </c>
      <c r="F235" s="171" t="s">
        <v>978</v>
      </c>
      <c r="I235" s="148"/>
      <c r="L235" s="33"/>
      <c r="M235" s="149"/>
      <c r="T235" s="54"/>
      <c r="AT235" s="18" t="s">
        <v>219</v>
      </c>
      <c r="AU235" s="18" t="s">
        <v>168</v>
      </c>
    </row>
    <row r="236" spans="2:65" s="1" customFormat="1" ht="16.5" customHeight="1">
      <c r="B236" s="132"/>
      <c r="C236" s="172" t="s">
        <v>651</v>
      </c>
      <c r="D236" s="172" t="s">
        <v>436</v>
      </c>
      <c r="E236" s="173" t="s">
        <v>982</v>
      </c>
      <c r="F236" s="174" t="s">
        <v>983</v>
      </c>
      <c r="G236" s="175" t="s">
        <v>771</v>
      </c>
      <c r="H236" s="176">
        <v>1</v>
      </c>
      <c r="I236" s="177"/>
      <c r="J236" s="178">
        <f>ROUND(I236*H236,2)</f>
        <v>0</v>
      </c>
      <c r="K236" s="174" t="s">
        <v>3</v>
      </c>
      <c r="L236" s="179"/>
      <c r="M236" s="180" t="s">
        <v>3</v>
      </c>
      <c r="N236" s="181" t="s">
        <v>40</v>
      </c>
      <c r="P236" s="142">
        <f>O236*H236</f>
        <v>0</v>
      </c>
      <c r="Q236" s="142">
        <v>0</v>
      </c>
      <c r="R236" s="142">
        <f>Q236*H236</f>
        <v>0</v>
      </c>
      <c r="S236" s="142">
        <v>0</v>
      </c>
      <c r="T236" s="143">
        <f>S236*H236</f>
        <v>0</v>
      </c>
      <c r="AR236" s="144" t="s">
        <v>214</v>
      </c>
      <c r="AT236" s="144" t="s">
        <v>436</v>
      </c>
      <c r="AU236" s="144" t="s">
        <v>168</v>
      </c>
      <c r="AY236" s="18" t="s">
        <v>151</v>
      </c>
      <c r="BE236" s="145">
        <f>IF(N236="základní",J236,0)</f>
        <v>0</v>
      </c>
      <c r="BF236" s="145">
        <f>IF(N236="snížená",J236,0)</f>
        <v>0</v>
      </c>
      <c r="BG236" s="145">
        <f>IF(N236="zákl. přenesená",J236,0)</f>
        <v>0</v>
      </c>
      <c r="BH236" s="145">
        <f>IF(N236="sníž. přenesená",J236,0)</f>
        <v>0</v>
      </c>
      <c r="BI236" s="145">
        <f>IF(N236="nulová",J236,0)</f>
        <v>0</v>
      </c>
      <c r="BJ236" s="18" t="s">
        <v>77</v>
      </c>
      <c r="BK236" s="145">
        <f>ROUND(I236*H236,2)</f>
        <v>0</v>
      </c>
      <c r="BL236" s="18" t="s">
        <v>158</v>
      </c>
      <c r="BM236" s="144" t="s">
        <v>984</v>
      </c>
    </row>
    <row r="237" spans="2:65" s="1" customFormat="1" ht="19.5">
      <c r="B237" s="33"/>
      <c r="D237" s="151" t="s">
        <v>219</v>
      </c>
      <c r="F237" s="171" t="s">
        <v>978</v>
      </c>
      <c r="I237" s="148"/>
      <c r="L237" s="33"/>
      <c r="M237" s="149"/>
      <c r="T237" s="54"/>
      <c r="AT237" s="18" t="s">
        <v>219</v>
      </c>
      <c r="AU237" s="18" t="s">
        <v>168</v>
      </c>
    </row>
    <row r="238" spans="2:65" s="1" customFormat="1" ht="16.5" customHeight="1">
      <c r="B238" s="132"/>
      <c r="C238" s="133" t="s">
        <v>656</v>
      </c>
      <c r="D238" s="133" t="s">
        <v>153</v>
      </c>
      <c r="E238" s="134" t="s">
        <v>985</v>
      </c>
      <c r="F238" s="135" t="s">
        <v>986</v>
      </c>
      <c r="G238" s="136" t="s">
        <v>771</v>
      </c>
      <c r="H238" s="137">
        <v>1</v>
      </c>
      <c r="I238" s="138"/>
      <c r="J238" s="139">
        <f>ROUND(I238*H238,2)</f>
        <v>0</v>
      </c>
      <c r="K238" s="135" t="s">
        <v>3</v>
      </c>
      <c r="L238" s="33"/>
      <c r="M238" s="140" t="s">
        <v>3</v>
      </c>
      <c r="N238" s="141" t="s">
        <v>40</v>
      </c>
      <c r="P238" s="142">
        <f>O238*H238</f>
        <v>0</v>
      </c>
      <c r="Q238" s="142">
        <v>0</v>
      </c>
      <c r="R238" s="142">
        <f>Q238*H238</f>
        <v>0</v>
      </c>
      <c r="S238" s="142">
        <v>0</v>
      </c>
      <c r="T238" s="143">
        <f>S238*H238</f>
        <v>0</v>
      </c>
      <c r="AR238" s="144" t="s">
        <v>158</v>
      </c>
      <c r="AT238" s="144" t="s">
        <v>153</v>
      </c>
      <c r="AU238" s="144" t="s">
        <v>168</v>
      </c>
      <c r="AY238" s="18" t="s">
        <v>151</v>
      </c>
      <c r="BE238" s="145">
        <f>IF(N238="základní",J238,0)</f>
        <v>0</v>
      </c>
      <c r="BF238" s="145">
        <f>IF(N238="snížená",J238,0)</f>
        <v>0</v>
      </c>
      <c r="BG238" s="145">
        <f>IF(N238="zákl. přenesená",J238,0)</f>
        <v>0</v>
      </c>
      <c r="BH238" s="145">
        <f>IF(N238="sníž. přenesená",J238,0)</f>
        <v>0</v>
      </c>
      <c r="BI238" s="145">
        <f>IF(N238="nulová",J238,0)</f>
        <v>0</v>
      </c>
      <c r="BJ238" s="18" t="s">
        <v>77</v>
      </c>
      <c r="BK238" s="145">
        <f>ROUND(I238*H238,2)</f>
        <v>0</v>
      </c>
      <c r="BL238" s="18" t="s">
        <v>158</v>
      </c>
      <c r="BM238" s="144" t="s">
        <v>987</v>
      </c>
    </row>
    <row r="239" spans="2:65" s="1" customFormat="1" ht="16.5" customHeight="1">
      <c r="B239" s="132"/>
      <c r="C239" s="133" t="s">
        <v>661</v>
      </c>
      <c r="D239" s="133" t="s">
        <v>153</v>
      </c>
      <c r="E239" s="134" t="s">
        <v>988</v>
      </c>
      <c r="F239" s="135" t="s">
        <v>989</v>
      </c>
      <c r="G239" s="136" t="s">
        <v>771</v>
      </c>
      <c r="H239" s="137">
        <v>1</v>
      </c>
      <c r="I239" s="138"/>
      <c r="J239" s="139">
        <f>ROUND(I239*H239,2)</f>
        <v>0</v>
      </c>
      <c r="K239" s="135" t="s">
        <v>3</v>
      </c>
      <c r="L239" s="33"/>
      <c r="M239" s="140" t="s">
        <v>3</v>
      </c>
      <c r="N239" s="141" t="s">
        <v>40</v>
      </c>
      <c r="P239" s="142">
        <f>O239*H239</f>
        <v>0</v>
      </c>
      <c r="Q239" s="142">
        <v>0</v>
      </c>
      <c r="R239" s="142">
        <f>Q239*H239</f>
        <v>0</v>
      </c>
      <c r="S239" s="142">
        <v>0</v>
      </c>
      <c r="T239" s="143">
        <f>S239*H239</f>
        <v>0</v>
      </c>
      <c r="AR239" s="144" t="s">
        <v>158</v>
      </c>
      <c r="AT239" s="144" t="s">
        <v>153</v>
      </c>
      <c r="AU239" s="144" t="s">
        <v>168</v>
      </c>
      <c r="AY239" s="18" t="s">
        <v>151</v>
      </c>
      <c r="BE239" s="145">
        <f>IF(N239="základní",J239,0)</f>
        <v>0</v>
      </c>
      <c r="BF239" s="145">
        <f>IF(N239="snížená",J239,0)</f>
        <v>0</v>
      </c>
      <c r="BG239" s="145">
        <f>IF(N239="zákl. přenesená",J239,0)</f>
        <v>0</v>
      </c>
      <c r="BH239" s="145">
        <f>IF(N239="sníž. přenesená",J239,0)</f>
        <v>0</v>
      </c>
      <c r="BI239" s="145">
        <f>IF(N239="nulová",J239,0)</f>
        <v>0</v>
      </c>
      <c r="BJ239" s="18" t="s">
        <v>77</v>
      </c>
      <c r="BK239" s="145">
        <f>ROUND(I239*H239,2)</f>
        <v>0</v>
      </c>
      <c r="BL239" s="18" t="s">
        <v>158</v>
      </c>
      <c r="BM239" s="144" t="s">
        <v>990</v>
      </c>
    </row>
    <row r="240" spans="2:65" s="1" customFormat="1" ht="16.5" customHeight="1">
      <c r="B240" s="132"/>
      <c r="C240" s="133" t="s">
        <v>666</v>
      </c>
      <c r="D240" s="133" t="s">
        <v>153</v>
      </c>
      <c r="E240" s="134" t="s">
        <v>991</v>
      </c>
      <c r="F240" s="135" t="s">
        <v>992</v>
      </c>
      <c r="G240" s="136" t="s">
        <v>771</v>
      </c>
      <c r="H240" s="137">
        <v>1</v>
      </c>
      <c r="I240" s="138"/>
      <c r="J240" s="139">
        <f>ROUND(I240*H240,2)</f>
        <v>0</v>
      </c>
      <c r="K240" s="135" t="s">
        <v>3</v>
      </c>
      <c r="L240" s="33"/>
      <c r="M240" s="140" t="s">
        <v>3</v>
      </c>
      <c r="N240" s="141" t="s">
        <v>40</v>
      </c>
      <c r="P240" s="142">
        <f>O240*H240</f>
        <v>0</v>
      </c>
      <c r="Q240" s="142">
        <v>0</v>
      </c>
      <c r="R240" s="142">
        <f>Q240*H240</f>
        <v>0</v>
      </c>
      <c r="S240" s="142">
        <v>0</v>
      </c>
      <c r="T240" s="143">
        <f>S240*H240</f>
        <v>0</v>
      </c>
      <c r="AR240" s="144" t="s">
        <v>158</v>
      </c>
      <c r="AT240" s="144" t="s">
        <v>153</v>
      </c>
      <c r="AU240" s="144" t="s">
        <v>168</v>
      </c>
      <c r="AY240" s="18" t="s">
        <v>151</v>
      </c>
      <c r="BE240" s="145">
        <f>IF(N240="základní",J240,0)</f>
        <v>0</v>
      </c>
      <c r="BF240" s="145">
        <f>IF(N240="snížená",J240,0)</f>
        <v>0</v>
      </c>
      <c r="BG240" s="145">
        <f>IF(N240="zákl. přenesená",J240,0)</f>
        <v>0</v>
      </c>
      <c r="BH240" s="145">
        <f>IF(N240="sníž. přenesená",J240,0)</f>
        <v>0</v>
      </c>
      <c r="BI240" s="145">
        <f>IF(N240="nulová",J240,0)</f>
        <v>0</v>
      </c>
      <c r="BJ240" s="18" t="s">
        <v>77</v>
      </c>
      <c r="BK240" s="145">
        <f>ROUND(I240*H240,2)</f>
        <v>0</v>
      </c>
      <c r="BL240" s="18" t="s">
        <v>158</v>
      </c>
      <c r="BM240" s="144" t="s">
        <v>993</v>
      </c>
    </row>
    <row r="241" spans="2:65" s="11" customFormat="1" ht="22.9" customHeight="1">
      <c r="B241" s="120"/>
      <c r="D241" s="121" t="s">
        <v>68</v>
      </c>
      <c r="E241" s="130" t="s">
        <v>994</v>
      </c>
      <c r="F241" s="130" t="s">
        <v>995</v>
      </c>
      <c r="I241" s="123"/>
      <c r="J241" s="131">
        <f>BK241</f>
        <v>0</v>
      </c>
      <c r="L241" s="120"/>
      <c r="M241" s="125"/>
      <c r="P241" s="126">
        <f>P242</f>
        <v>0</v>
      </c>
      <c r="R241" s="126">
        <f>R242</f>
        <v>0</v>
      </c>
      <c r="T241" s="127">
        <f>T242</f>
        <v>0</v>
      </c>
      <c r="AR241" s="121" t="s">
        <v>77</v>
      </c>
      <c r="AT241" s="128" t="s">
        <v>68</v>
      </c>
      <c r="AU241" s="128" t="s">
        <v>77</v>
      </c>
      <c r="AY241" s="121" t="s">
        <v>151</v>
      </c>
      <c r="BK241" s="129">
        <f>BK242</f>
        <v>0</v>
      </c>
    </row>
    <row r="242" spans="2:65" s="1" customFormat="1" ht="16.5" customHeight="1">
      <c r="B242" s="132"/>
      <c r="C242" s="133" t="s">
        <v>673</v>
      </c>
      <c r="D242" s="133" t="s">
        <v>153</v>
      </c>
      <c r="E242" s="134" t="s">
        <v>996</v>
      </c>
      <c r="F242" s="135" t="s">
        <v>997</v>
      </c>
      <c r="G242" s="136" t="s">
        <v>771</v>
      </c>
      <c r="H242" s="137">
        <v>1</v>
      </c>
      <c r="I242" s="138"/>
      <c r="J242" s="139">
        <f>ROUND(I242*H242,2)</f>
        <v>0</v>
      </c>
      <c r="K242" s="135" t="s">
        <v>3</v>
      </c>
      <c r="L242" s="33"/>
      <c r="M242" s="185" t="s">
        <v>3</v>
      </c>
      <c r="N242" s="186" t="s">
        <v>40</v>
      </c>
      <c r="O242" s="183"/>
      <c r="P242" s="187">
        <f>O242*H242</f>
        <v>0</v>
      </c>
      <c r="Q242" s="187">
        <v>0</v>
      </c>
      <c r="R242" s="187">
        <f>Q242*H242</f>
        <v>0</v>
      </c>
      <c r="S242" s="187">
        <v>0</v>
      </c>
      <c r="T242" s="188">
        <f>S242*H242</f>
        <v>0</v>
      </c>
      <c r="AR242" s="144" t="s">
        <v>158</v>
      </c>
      <c r="AT242" s="144" t="s">
        <v>153</v>
      </c>
      <c r="AU242" s="144" t="s">
        <v>79</v>
      </c>
      <c r="AY242" s="18" t="s">
        <v>151</v>
      </c>
      <c r="BE242" s="145">
        <f>IF(N242="základní",J242,0)</f>
        <v>0</v>
      </c>
      <c r="BF242" s="145">
        <f>IF(N242="snížená",J242,0)</f>
        <v>0</v>
      </c>
      <c r="BG242" s="145">
        <f>IF(N242="zákl. přenesená",J242,0)</f>
        <v>0</v>
      </c>
      <c r="BH242" s="145">
        <f>IF(N242="sníž. přenesená",J242,0)</f>
        <v>0</v>
      </c>
      <c r="BI242" s="145">
        <f>IF(N242="nulová",J242,0)</f>
        <v>0</v>
      </c>
      <c r="BJ242" s="18" t="s">
        <v>77</v>
      </c>
      <c r="BK242" s="145">
        <f>ROUND(I242*H242,2)</f>
        <v>0</v>
      </c>
      <c r="BL242" s="18" t="s">
        <v>158</v>
      </c>
      <c r="BM242" s="144" t="s">
        <v>998</v>
      </c>
    </row>
    <row r="243" spans="2:65" s="1" customFormat="1" ht="6.95" customHeight="1">
      <c r="B243" s="42"/>
      <c r="C243" s="43"/>
      <c r="D243" s="43"/>
      <c r="E243" s="43"/>
      <c r="F243" s="43"/>
      <c r="G243" s="43"/>
      <c r="H243" s="43"/>
      <c r="I243" s="43"/>
      <c r="J243" s="43"/>
      <c r="K243" s="43"/>
      <c r="L243" s="33"/>
    </row>
  </sheetData>
  <autoFilter ref="C86:K242" xr:uid="{00000000-0009-0000-0000-000002000000}"/>
  <mergeCells count="9">
    <mergeCell ref="E50:H50"/>
    <mergeCell ref="E77:H77"/>
    <mergeCell ref="E79:H79"/>
    <mergeCell ref="L2:V2"/>
    <mergeCell ref="E7:H7"/>
    <mergeCell ref="E9:H9"/>
    <mergeCell ref="E18:H18"/>
    <mergeCell ref="E27:H27"/>
    <mergeCell ref="E48:H48"/>
  </mergeCells>
  <pageMargins left="0.39374999999999999" right="0.39374999999999999" top="0.39374999999999999" bottom="0.39374999999999999" header="0" footer="0"/>
  <pageSetup paperSize="9" fitToHeight="100" orientation="landscape" blackAndWhite="1"/>
  <headerFooter>
    <oddFooter>&amp;CStrana &amp;P z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BM114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10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304" t="s">
        <v>6</v>
      </c>
      <c r="M2" s="289"/>
      <c r="N2" s="289"/>
      <c r="O2" s="289"/>
      <c r="P2" s="289"/>
      <c r="Q2" s="289"/>
      <c r="R2" s="289"/>
      <c r="S2" s="289"/>
      <c r="T2" s="289"/>
      <c r="U2" s="289"/>
      <c r="V2" s="289"/>
      <c r="AT2" s="18" t="s">
        <v>85</v>
      </c>
    </row>
    <row r="3" spans="2:46" ht="6.9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1"/>
      <c r="AT3" s="18" t="s">
        <v>79</v>
      </c>
    </row>
    <row r="4" spans="2:46" ht="24.95" customHeight="1">
      <c r="B4" s="21"/>
      <c r="D4" s="22" t="s">
        <v>114</v>
      </c>
      <c r="L4" s="21"/>
      <c r="M4" s="91" t="s">
        <v>11</v>
      </c>
      <c r="AT4" s="18" t="s">
        <v>4</v>
      </c>
    </row>
    <row r="5" spans="2:46" ht="6.95" customHeight="1">
      <c r="B5" s="21"/>
      <c r="L5" s="21"/>
    </row>
    <row r="6" spans="2:46" ht="12" customHeight="1">
      <c r="B6" s="21"/>
      <c r="D6" s="28" t="s">
        <v>17</v>
      </c>
      <c r="L6" s="21"/>
    </row>
    <row r="7" spans="2:46" ht="16.5" customHeight="1">
      <c r="B7" s="21"/>
      <c r="E7" s="319" t="str">
        <f>'Rekapitulace stavby'!K6</f>
        <v>SKLAD ŠKROBU P-001</v>
      </c>
      <c r="F7" s="320"/>
      <c r="G7" s="320"/>
      <c r="H7" s="320"/>
      <c r="L7" s="21"/>
    </row>
    <row r="8" spans="2:46" s="1" customFormat="1" ht="12" customHeight="1">
      <c r="B8" s="33"/>
      <c r="D8" s="28" t="s">
        <v>115</v>
      </c>
      <c r="L8" s="33"/>
    </row>
    <row r="9" spans="2:46" s="1" customFormat="1" ht="16.5" customHeight="1">
      <c r="B9" s="33"/>
      <c r="E9" s="282" t="s">
        <v>999</v>
      </c>
      <c r="F9" s="321"/>
      <c r="G9" s="321"/>
      <c r="H9" s="321"/>
      <c r="L9" s="33"/>
    </row>
    <row r="10" spans="2:46" s="1" customFormat="1" ht="11.25">
      <c r="B10" s="33"/>
      <c r="L10" s="33"/>
    </row>
    <row r="11" spans="2:46" s="1" customFormat="1" ht="12" customHeight="1">
      <c r="B11" s="33"/>
      <c r="D11" s="28" t="s">
        <v>19</v>
      </c>
      <c r="F11" s="26" t="s">
        <v>3</v>
      </c>
      <c r="I11" s="28" t="s">
        <v>20</v>
      </c>
      <c r="J11" s="26" t="s">
        <v>3</v>
      </c>
      <c r="L11" s="33"/>
    </row>
    <row r="12" spans="2:46" s="1" customFormat="1" ht="12" customHeight="1">
      <c r="B12" s="33"/>
      <c r="D12" s="28" t="s">
        <v>21</v>
      </c>
      <c r="F12" s="26" t="s">
        <v>22</v>
      </c>
      <c r="I12" s="28" t="s">
        <v>23</v>
      </c>
      <c r="J12" s="50">
        <f>'Rekapitulace stavby'!AN8</f>
        <v>45167</v>
      </c>
      <c r="L12" s="33"/>
    </row>
    <row r="13" spans="2:46" s="1" customFormat="1" ht="10.9" customHeight="1">
      <c r="B13" s="33"/>
      <c r="L13" s="33"/>
    </row>
    <row r="14" spans="2:46" s="1" customFormat="1" ht="12" customHeight="1">
      <c r="B14" s="33"/>
      <c r="D14" s="28" t="s">
        <v>24</v>
      </c>
      <c r="I14" s="28" t="s">
        <v>25</v>
      </c>
      <c r="J14" s="26" t="str">
        <f>IF('Rekapitulace stavby'!AN10="","",'Rekapitulace stavby'!AN10)</f>
        <v/>
      </c>
      <c r="L14" s="33"/>
    </row>
    <row r="15" spans="2:46" s="1" customFormat="1" ht="18" customHeight="1">
      <c r="B15" s="33"/>
      <c r="E15" s="26" t="str">
        <f>IF('Rekapitulace stavby'!E11="","",'Rekapitulace stavby'!E11)</f>
        <v xml:space="preserve"> </v>
      </c>
      <c r="I15" s="28" t="s">
        <v>26</v>
      </c>
      <c r="J15" s="26" t="str">
        <f>IF('Rekapitulace stavby'!AN11="","",'Rekapitulace stavby'!AN11)</f>
        <v/>
      </c>
      <c r="L15" s="33"/>
    </row>
    <row r="16" spans="2:46" s="1" customFormat="1" ht="6.95" customHeight="1">
      <c r="B16" s="33"/>
      <c r="L16" s="33"/>
    </row>
    <row r="17" spans="2:12" s="1" customFormat="1" ht="12" customHeight="1">
      <c r="B17" s="33"/>
      <c r="D17" s="28" t="s">
        <v>27</v>
      </c>
      <c r="I17" s="28" t="s">
        <v>25</v>
      </c>
      <c r="J17" s="29" t="str">
        <f>'Rekapitulace stavby'!AN13</f>
        <v>Vyplň údaj</v>
      </c>
      <c r="L17" s="33"/>
    </row>
    <row r="18" spans="2:12" s="1" customFormat="1" ht="18" customHeight="1">
      <c r="B18" s="33"/>
      <c r="E18" s="322" t="str">
        <f>'Rekapitulace stavby'!E14</f>
        <v>Vyplň údaj</v>
      </c>
      <c r="F18" s="288"/>
      <c r="G18" s="288"/>
      <c r="H18" s="288"/>
      <c r="I18" s="28" t="s">
        <v>26</v>
      </c>
      <c r="J18" s="29" t="str">
        <f>'Rekapitulace stavby'!AN14</f>
        <v>Vyplň údaj</v>
      </c>
      <c r="L18" s="33"/>
    </row>
    <row r="19" spans="2:12" s="1" customFormat="1" ht="6.95" customHeight="1">
      <c r="B19" s="33"/>
      <c r="L19" s="33"/>
    </row>
    <row r="20" spans="2:12" s="1" customFormat="1" ht="12" customHeight="1">
      <c r="B20" s="33"/>
      <c r="D20" s="28" t="s">
        <v>29</v>
      </c>
      <c r="I20" s="28" t="s">
        <v>25</v>
      </c>
      <c r="J20" s="26" t="str">
        <f>IF('Rekapitulace stavby'!AN16="","",'Rekapitulace stavby'!AN16)</f>
        <v/>
      </c>
      <c r="L20" s="33"/>
    </row>
    <row r="21" spans="2:12" s="1" customFormat="1" ht="18" customHeight="1">
      <c r="B21" s="33"/>
      <c r="E21" s="26" t="str">
        <f>IF('Rekapitulace stavby'!E17="","",'Rekapitulace stavby'!E17)</f>
        <v xml:space="preserve"> </v>
      </c>
      <c r="I21" s="28" t="s">
        <v>26</v>
      </c>
      <c r="J21" s="26" t="str">
        <f>IF('Rekapitulace stavby'!AN17="","",'Rekapitulace stavby'!AN17)</f>
        <v/>
      </c>
      <c r="L21" s="33"/>
    </row>
    <row r="22" spans="2:12" s="1" customFormat="1" ht="6.95" customHeight="1">
      <c r="B22" s="33"/>
      <c r="L22" s="33"/>
    </row>
    <row r="23" spans="2:12" s="1" customFormat="1" ht="12" customHeight="1">
      <c r="B23" s="33"/>
      <c r="D23" s="28" t="s">
        <v>31</v>
      </c>
      <c r="I23" s="28" t="s">
        <v>25</v>
      </c>
      <c r="J23" s="26" t="str">
        <f>IF('Rekapitulace stavby'!AN19="","",'Rekapitulace stavby'!AN19)</f>
        <v/>
      </c>
      <c r="L23" s="33"/>
    </row>
    <row r="24" spans="2:12" s="1" customFormat="1" ht="18" customHeight="1">
      <c r="B24" s="33"/>
      <c r="E24" s="26" t="str">
        <f>IF('Rekapitulace stavby'!E20="","",'Rekapitulace stavby'!E20)</f>
        <v>rostarek s.r.o.</v>
      </c>
      <c r="I24" s="28" t="s">
        <v>26</v>
      </c>
      <c r="J24" s="26" t="str">
        <f>IF('Rekapitulace stavby'!AN20="","",'Rekapitulace stavby'!AN20)</f>
        <v/>
      </c>
      <c r="L24" s="33"/>
    </row>
    <row r="25" spans="2:12" s="1" customFormat="1" ht="6.95" customHeight="1">
      <c r="B25" s="33"/>
      <c r="L25" s="33"/>
    </row>
    <row r="26" spans="2:12" s="1" customFormat="1" ht="12" customHeight="1">
      <c r="B26" s="33"/>
      <c r="D26" s="28" t="s">
        <v>33</v>
      </c>
      <c r="L26" s="33"/>
    </row>
    <row r="27" spans="2:12" s="7" customFormat="1" ht="16.5" customHeight="1">
      <c r="B27" s="92"/>
      <c r="E27" s="293" t="s">
        <v>3</v>
      </c>
      <c r="F27" s="293"/>
      <c r="G27" s="293"/>
      <c r="H27" s="293"/>
      <c r="L27" s="92"/>
    </row>
    <row r="28" spans="2:12" s="1" customFormat="1" ht="6.95" customHeight="1">
      <c r="B28" s="33"/>
      <c r="L28" s="33"/>
    </row>
    <row r="29" spans="2:12" s="1" customFormat="1" ht="6.95" customHeight="1">
      <c r="B29" s="33"/>
      <c r="D29" s="51"/>
      <c r="E29" s="51"/>
      <c r="F29" s="51"/>
      <c r="G29" s="51"/>
      <c r="H29" s="51"/>
      <c r="I29" s="51"/>
      <c r="J29" s="51"/>
      <c r="K29" s="51"/>
      <c r="L29" s="33"/>
    </row>
    <row r="30" spans="2:12" s="1" customFormat="1" ht="25.35" customHeight="1">
      <c r="B30" s="33"/>
      <c r="D30" s="93" t="s">
        <v>35</v>
      </c>
      <c r="J30" s="64">
        <f>ROUND(J86, 2)</f>
        <v>0</v>
      </c>
      <c r="L30" s="33"/>
    </row>
    <row r="31" spans="2:12" s="1" customFormat="1" ht="6.95" customHeight="1">
      <c r="B31" s="33"/>
      <c r="D31" s="51"/>
      <c r="E31" s="51"/>
      <c r="F31" s="51"/>
      <c r="G31" s="51"/>
      <c r="H31" s="51"/>
      <c r="I31" s="51"/>
      <c r="J31" s="51"/>
      <c r="K31" s="51"/>
      <c r="L31" s="33"/>
    </row>
    <row r="32" spans="2:12" s="1" customFormat="1" ht="14.45" customHeight="1">
      <c r="B32" s="33"/>
      <c r="F32" s="36" t="s">
        <v>37</v>
      </c>
      <c r="I32" s="36" t="s">
        <v>36</v>
      </c>
      <c r="J32" s="36" t="s">
        <v>38</v>
      </c>
      <c r="L32" s="33"/>
    </row>
    <row r="33" spans="2:12" s="1" customFormat="1" ht="14.45" customHeight="1">
      <c r="B33" s="33"/>
      <c r="D33" s="53" t="s">
        <v>39</v>
      </c>
      <c r="E33" s="28" t="s">
        <v>40</v>
      </c>
      <c r="F33" s="84">
        <f>ROUND((SUM(BE86:BE113)),  2)</f>
        <v>0</v>
      </c>
      <c r="I33" s="94">
        <v>0.21</v>
      </c>
      <c r="J33" s="84">
        <f>ROUND(((SUM(BE86:BE113))*I33),  2)</f>
        <v>0</v>
      </c>
      <c r="L33" s="33"/>
    </row>
    <row r="34" spans="2:12" s="1" customFormat="1" ht="14.45" customHeight="1">
      <c r="B34" s="33"/>
      <c r="E34" s="28" t="s">
        <v>41</v>
      </c>
      <c r="F34" s="84">
        <f>ROUND((SUM(BF86:BF113)),  2)</f>
        <v>0</v>
      </c>
      <c r="I34" s="94">
        <v>0.15</v>
      </c>
      <c r="J34" s="84">
        <f>ROUND(((SUM(BF86:BF113))*I34),  2)</f>
        <v>0</v>
      </c>
      <c r="L34" s="33"/>
    </row>
    <row r="35" spans="2:12" s="1" customFormat="1" ht="14.45" hidden="1" customHeight="1">
      <c r="B35" s="33"/>
      <c r="E35" s="28" t="s">
        <v>42</v>
      </c>
      <c r="F35" s="84">
        <f>ROUND((SUM(BG86:BG113)),  2)</f>
        <v>0</v>
      </c>
      <c r="I35" s="94">
        <v>0.21</v>
      </c>
      <c r="J35" s="84">
        <f>0</f>
        <v>0</v>
      </c>
      <c r="L35" s="33"/>
    </row>
    <row r="36" spans="2:12" s="1" customFormat="1" ht="14.45" hidden="1" customHeight="1">
      <c r="B36" s="33"/>
      <c r="E36" s="28" t="s">
        <v>43</v>
      </c>
      <c r="F36" s="84">
        <f>ROUND((SUM(BH86:BH113)),  2)</f>
        <v>0</v>
      </c>
      <c r="I36" s="94">
        <v>0.15</v>
      </c>
      <c r="J36" s="84">
        <f>0</f>
        <v>0</v>
      </c>
      <c r="L36" s="33"/>
    </row>
    <row r="37" spans="2:12" s="1" customFormat="1" ht="14.45" hidden="1" customHeight="1">
      <c r="B37" s="33"/>
      <c r="E37" s="28" t="s">
        <v>44</v>
      </c>
      <c r="F37" s="84">
        <f>ROUND((SUM(BI86:BI113)),  2)</f>
        <v>0</v>
      </c>
      <c r="I37" s="94">
        <v>0</v>
      </c>
      <c r="J37" s="84">
        <f>0</f>
        <v>0</v>
      </c>
      <c r="L37" s="33"/>
    </row>
    <row r="38" spans="2:12" s="1" customFormat="1" ht="6.95" customHeight="1">
      <c r="B38" s="33"/>
      <c r="L38" s="33"/>
    </row>
    <row r="39" spans="2:12" s="1" customFormat="1" ht="25.35" customHeight="1">
      <c r="B39" s="33"/>
      <c r="C39" s="95"/>
      <c r="D39" s="96" t="s">
        <v>45</v>
      </c>
      <c r="E39" s="55"/>
      <c r="F39" s="55"/>
      <c r="G39" s="97" t="s">
        <v>46</v>
      </c>
      <c r="H39" s="98" t="s">
        <v>47</v>
      </c>
      <c r="I39" s="55"/>
      <c r="J39" s="99">
        <f>SUM(J30:J37)</f>
        <v>0</v>
      </c>
      <c r="K39" s="100"/>
      <c r="L39" s="33"/>
    </row>
    <row r="40" spans="2:12" s="1" customFormat="1" ht="14.45" customHeight="1"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33"/>
    </row>
    <row r="44" spans="2:12" s="1" customFormat="1" ht="6.95" customHeight="1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33"/>
    </row>
    <row r="45" spans="2:12" s="1" customFormat="1" ht="24.95" customHeight="1">
      <c r="B45" s="33"/>
      <c r="C45" s="22" t="s">
        <v>117</v>
      </c>
      <c r="L45" s="33"/>
    </row>
    <row r="46" spans="2:12" s="1" customFormat="1" ht="6.95" customHeight="1">
      <c r="B46" s="33"/>
      <c r="L46" s="33"/>
    </row>
    <row r="47" spans="2:12" s="1" customFormat="1" ht="12" customHeight="1">
      <c r="B47" s="33"/>
      <c r="C47" s="28" t="s">
        <v>17</v>
      </c>
      <c r="L47" s="33"/>
    </row>
    <row r="48" spans="2:12" s="1" customFormat="1" ht="16.5" customHeight="1">
      <c r="B48" s="33"/>
      <c r="E48" s="319" t="str">
        <f>E7</f>
        <v>SKLAD ŠKROBU P-001</v>
      </c>
      <c r="F48" s="320"/>
      <c r="G48" s="320"/>
      <c r="H48" s="320"/>
      <c r="L48" s="33"/>
    </row>
    <row r="49" spans="2:47" s="1" customFormat="1" ht="12" customHeight="1">
      <c r="B49" s="33"/>
      <c r="C49" s="28" t="s">
        <v>115</v>
      </c>
      <c r="L49" s="33"/>
    </row>
    <row r="50" spans="2:47" s="1" customFormat="1" ht="16.5" customHeight="1">
      <c r="B50" s="33"/>
      <c r="E50" s="282" t="str">
        <f>E9</f>
        <v>2023/003/c - SO-21 - Zdravotechnika</v>
      </c>
      <c r="F50" s="321"/>
      <c r="G50" s="321"/>
      <c r="H50" s="321"/>
      <c r="L50" s="33"/>
    </row>
    <row r="51" spans="2:47" s="1" customFormat="1" ht="6.95" customHeight="1">
      <c r="B51" s="33"/>
      <c r="L51" s="33"/>
    </row>
    <row r="52" spans="2:47" s="1" customFormat="1" ht="12" customHeight="1">
      <c r="B52" s="33"/>
      <c r="C52" s="28" t="s">
        <v>21</v>
      </c>
      <c r="F52" s="26" t="str">
        <f>F12</f>
        <v xml:space="preserve"> </v>
      </c>
      <c r="I52" s="28" t="s">
        <v>23</v>
      </c>
      <c r="J52" s="50">
        <f>IF(J12="","",J12)</f>
        <v>45167</v>
      </c>
      <c r="L52" s="33"/>
    </row>
    <row r="53" spans="2:47" s="1" customFormat="1" ht="6.95" customHeight="1">
      <c r="B53" s="33"/>
      <c r="L53" s="33"/>
    </row>
    <row r="54" spans="2:47" s="1" customFormat="1" ht="15.2" customHeight="1">
      <c r="B54" s="33"/>
      <c r="C54" s="28" t="s">
        <v>24</v>
      </c>
      <c r="F54" s="26" t="str">
        <f>E15</f>
        <v xml:space="preserve"> </v>
      </c>
      <c r="I54" s="28" t="s">
        <v>29</v>
      </c>
      <c r="J54" s="31" t="str">
        <f>E21</f>
        <v xml:space="preserve"> </v>
      </c>
      <c r="L54" s="33"/>
    </row>
    <row r="55" spans="2:47" s="1" customFormat="1" ht="15.2" customHeight="1">
      <c r="B55" s="33"/>
      <c r="C55" s="28" t="s">
        <v>27</v>
      </c>
      <c r="F55" s="26" t="str">
        <f>IF(E18="","",E18)</f>
        <v>Vyplň údaj</v>
      </c>
      <c r="I55" s="28" t="s">
        <v>31</v>
      </c>
      <c r="J55" s="31" t="str">
        <f>E24</f>
        <v>rostarek s.r.o.</v>
      </c>
      <c r="L55" s="33"/>
    </row>
    <row r="56" spans="2:47" s="1" customFormat="1" ht="10.35" customHeight="1">
      <c r="B56" s="33"/>
      <c r="L56" s="33"/>
    </row>
    <row r="57" spans="2:47" s="1" customFormat="1" ht="29.25" customHeight="1">
      <c r="B57" s="33"/>
      <c r="C57" s="101" t="s">
        <v>118</v>
      </c>
      <c r="D57" s="95"/>
      <c r="E57" s="95"/>
      <c r="F57" s="95"/>
      <c r="G57" s="95"/>
      <c r="H57" s="95"/>
      <c r="I57" s="95"/>
      <c r="J57" s="102" t="s">
        <v>119</v>
      </c>
      <c r="K57" s="95"/>
      <c r="L57" s="33"/>
    </row>
    <row r="58" spans="2:47" s="1" customFormat="1" ht="10.35" customHeight="1">
      <c r="B58" s="33"/>
      <c r="L58" s="33"/>
    </row>
    <row r="59" spans="2:47" s="1" customFormat="1" ht="22.9" customHeight="1">
      <c r="B59" s="33"/>
      <c r="C59" s="103" t="s">
        <v>67</v>
      </c>
      <c r="J59" s="64">
        <f>J86</f>
        <v>0</v>
      </c>
      <c r="L59" s="33"/>
      <c r="AU59" s="18" t="s">
        <v>120</v>
      </c>
    </row>
    <row r="60" spans="2:47" s="8" customFormat="1" ht="24.95" customHeight="1">
      <c r="B60" s="104"/>
      <c r="D60" s="105" t="s">
        <v>1000</v>
      </c>
      <c r="E60" s="106"/>
      <c r="F60" s="106"/>
      <c r="G60" s="106"/>
      <c r="H60" s="106"/>
      <c r="I60" s="106"/>
      <c r="J60" s="107">
        <f>J87</f>
        <v>0</v>
      </c>
      <c r="L60" s="104"/>
    </row>
    <row r="61" spans="2:47" s="9" customFormat="1" ht="19.899999999999999" customHeight="1">
      <c r="B61" s="108"/>
      <c r="D61" s="109" t="s">
        <v>1001</v>
      </c>
      <c r="E61" s="110"/>
      <c r="F61" s="110"/>
      <c r="G61" s="110"/>
      <c r="H61" s="110"/>
      <c r="I61" s="110"/>
      <c r="J61" s="111">
        <f>J88</f>
        <v>0</v>
      </c>
      <c r="L61" s="108"/>
    </row>
    <row r="62" spans="2:47" s="9" customFormat="1" ht="14.85" customHeight="1">
      <c r="B62" s="108"/>
      <c r="D62" s="109" t="s">
        <v>1002</v>
      </c>
      <c r="E62" s="110"/>
      <c r="F62" s="110"/>
      <c r="G62" s="110"/>
      <c r="H62" s="110"/>
      <c r="I62" s="110"/>
      <c r="J62" s="111">
        <f>J89</f>
        <v>0</v>
      </c>
      <c r="L62" s="108"/>
    </row>
    <row r="63" spans="2:47" s="9" customFormat="1" ht="21.75" customHeight="1">
      <c r="B63" s="108"/>
      <c r="D63" s="109" t="s">
        <v>1003</v>
      </c>
      <c r="E63" s="110"/>
      <c r="F63" s="110"/>
      <c r="G63" s="110"/>
      <c r="H63" s="110"/>
      <c r="I63" s="110"/>
      <c r="J63" s="111">
        <f>J95</f>
        <v>0</v>
      </c>
      <c r="L63" s="108"/>
    </row>
    <row r="64" spans="2:47" s="9" customFormat="1" ht="21.75" customHeight="1">
      <c r="B64" s="108"/>
      <c r="D64" s="109" t="s">
        <v>1004</v>
      </c>
      <c r="E64" s="110"/>
      <c r="F64" s="110"/>
      <c r="G64" s="110"/>
      <c r="H64" s="110"/>
      <c r="I64" s="110"/>
      <c r="J64" s="111">
        <f>J97</f>
        <v>0</v>
      </c>
      <c r="L64" s="108"/>
    </row>
    <row r="65" spans="2:12" s="9" customFormat="1" ht="14.85" customHeight="1">
      <c r="B65" s="108"/>
      <c r="D65" s="109" t="s">
        <v>1005</v>
      </c>
      <c r="E65" s="110"/>
      <c r="F65" s="110"/>
      <c r="G65" s="110"/>
      <c r="H65" s="110"/>
      <c r="I65" s="110"/>
      <c r="J65" s="111">
        <f>J101</f>
        <v>0</v>
      </c>
      <c r="L65" s="108"/>
    </row>
    <row r="66" spans="2:12" s="9" customFormat="1" ht="14.85" customHeight="1">
      <c r="B66" s="108"/>
      <c r="D66" s="109" t="s">
        <v>1006</v>
      </c>
      <c r="E66" s="110"/>
      <c r="F66" s="110"/>
      <c r="G66" s="110"/>
      <c r="H66" s="110"/>
      <c r="I66" s="110"/>
      <c r="J66" s="111">
        <f>J107</f>
        <v>0</v>
      </c>
      <c r="L66" s="108"/>
    </row>
    <row r="67" spans="2:12" s="1" customFormat="1" ht="21.75" customHeight="1">
      <c r="B67" s="33"/>
      <c r="L67" s="33"/>
    </row>
    <row r="68" spans="2:12" s="1" customFormat="1" ht="6.95" customHeight="1">
      <c r="B68" s="42"/>
      <c r="C68" s="43"/>
      <c r="D68" s="43"/>
      <c r="E68" s="43"/>
      <c r="F68" s="43"/>
      <c r="G68" s="43"/>
      <c r="H68" s="43"/>
      <c r="I68" s="43"/>
      <c r="J68" s="43"/>
      <c r="K68" s="43"/>
      <c r="L68" s="33"/>
    </row>
    <row r="72" spans="2:12" s="1" customFormat="1" ht="6.95" customHeight="1">
      <c r="B72" s="44"/>
      <c r="C72" s="45"/>
      <c r="D72" s="45"/>
      <c r="E72" s="45"/>
      <c r="F72" s="45"/>
      <c r="G72" s="45"/>
      <c r="H72" s="45"/>
      <c r="I72" s="45"/>
      <c r="J72" s="45"/>
      <c r="K72" s="45"/>
      <c r="L72" s="33"/>
    </row>
    <row r="73" spans="2:12" s="1" customFormat="1" ht="24.95" customHeight="1">
      <c r="B73" s="33"/>
      <c r="C73" s="22" t="s">
        <v>137</v>
      </c>
      <c r="L73" s="33"/>
    </row>
    <row r="74" spans="2:12" s="1" customFormat="1" ht="6.95" customHeight="1">
      <c r="B74" s="33"/>
      <c r="L74" s="33"/>
    </row>
    <row r="75" spans="2:12" s="1" customFormat="1" ht="12" customHeight="1">
      <c r="B75" s="33"/>
      <c r="C75" s="28" t="s">
        <v>17</v>
      </c>
      <c r="L75" s="33"/>
    </row>
    <row r="76" spans="2:12" s="1" customFormat="1" ht="16.5" customHeight="1">
      <c r="B76" s="33"/>
      <c r="E76" s="319" t="str">
        <f>E7</f>
        <v>SKLAD ŠKROBU P-001</v>
      </c>
      <c r="F76" s="320"/>
      <c r="G76" s="320"/>
      <c r="H76" s="320"/>
      <c r="L76" s="33"/>
    </row>
    <row r="77" spans="2:12" s="1" customFormat="1" ht="12" customHeight="1">
      <c r="B77" s="33"/>
      <c r="C77" s="28" t="s">
        <v>115</v>
      </c>
      <c r="L77" s="33"/>
    </row>
    <row r="78" spans="2:12" s="1" customFormat="1" ht="16.5" customHeight="1">
      <c r="B78" s="33"/>
      <c r="E78" s="282" t="str">
        <f>E9</f>
        <v>2023/003/c - SO-21 - Zdravotechnika</v>
      </c>
      <c r="F78" s="321"/>
      <c r="G78" s="321"/>
      <c r="H78" s="321"/>
      <c r="L78" s="33"/>
    </row>
    <row r="79" spans="2:12" s="1" customFormat="1" ht="6.95" customHeight="1">
      <c r="B79" s="33"/>
      <c r="L79" s="33"/>
    </row>
    <row r="80" spans="2:12" s="1" customFormat="1" ht="12" customHeight="1">
      <c r="B80" s="33"/>
      <c r="C80" s="28" t="s">
        <v>21</v>
      </c>
      <c r="F80" s="26" t="str">
        <f>F12</f>
        <v xml:space="preserve"> </v>
      </c>
      <c r="I80" s="28" t="s">
        <v>23</v>
      </c>
      <c r="J80" s="50">
        <f>IF(J12="","",J12)</f>
        <v>45167</v>
      </c>
      <c r="L80" s="33"/>
    </row>
    <row r="81" spans="2:65" s="1" customFormat="1" ht="6.95" customHeight="1">
      <c r="B81" s="33"/>
      <c r="L81" s="33"/>
    </row>
    <row r="82" spans="2:65" s="1" customFormat="1" ht="15.2" customHeight="1">
      <c r="B82" s="33"/>
      <c r="C82" s="28" t="s">
        <v>24</v>
      </c>
      <c r="F82" s="26" t="str">
        <f>E15</f>
        <v xml:space="preserve"> </v>
      </c>
      <c r="I82" s="28" t="s">
        <v>29</v>
      </c>
      <c r="J82" s="31" t="str">
        <f>E21</f>
        <v xml:space="preserve"> </v>
      </c>
      <c r="L82" s="33"/>
    </row>
    <row r="83" spans="2:65" s="1" customFormat="1" ht="15.2" customHeight="1">
      <c r="B83" s="33"/>
      <c r="C83" s="28" t="s">
        <v>27</v>
      </c>
      <c r="F83" s="26" t="str">
        <f>IF(E18="","",E18)</f>
        <v>Vyplň údaj</v>
      </c>
      <c r="I83" s="28" t="s">
        <v>31</v>
      </c>
      <c r="J83" s="31" t="str">
        <f>E24</f>
        <v>rostarek s.r.o.</v>
      </c>
      <c r="L83" s="33"/>
    </row>
    <row r="84" spans="2:65" s="1" customFormat="1" ht="10.35" customHeight="1">
      <c r="B84" s="33"/>
      <c r="L84" s="33"/>
    </row>
    <row r="85" spans="2:65" s="10" customFormat="1" ht="29.25" customHeight="1">
      <c r="B85" s="112"/>
      <c r="C85" s="113" t="s">
        <v>138</v>
      </c>
      <c r="D85" s="114" t="s">
        <v>54</v>
      </c>
      <c r="E85" s="114" t="s">
        <v>50</v>
      </c>
      <c r="F85" s="114" t="s">
        <v>51</v>
      </c>
      <c r="G85" s="114" t="s">
        <v>139</v>
      </c>
      <c r="H85" s="114" t="s">
        <v>140</v>
      </c>
      <c r="I85" s="114" t="s">
        <v>141</v>
      </c>
      <c r="J85" s="114" t="s">
        <v>119</v>
      </c>
      <c r="K85" s="115" t="s">
        <v>142</v>
      </c>
      <c r="L85" s="112"/>
      <c r="M85" s="57" t="s">
        <v>3</v>
      </c>
      <c r="N85" s="58" t="s">
        <v>39</v>
      </c>
      <c r="O85" s="58" t="s">
        <v>143</v>
      </c>
      <c r="P85" s="58" t="s">
        <v>144</v>
      </c>
      <c r="Q85" s="58" t="s">
        <v>145</v>
      </c>
      <c r="R85" s="58" t="s">
        <v>146</v>
      </c>
      <c r="S85" s="58" t="s">
        <v>147</v>
      </c>
      <c r="T85" s="59" t="s">
        <v>148</v>
      </c>
    </row>
    <row r="86" spans="2:65" s="1" customFormat="1" ht="22.9" customHeight="1">
      <c r="B86" s="33"/>
      <c r="C86" s="62" t="s">
        <v>149</v>
      </c>
      <c r="J86" s="116">
        <f>BK86</f>
        <v>0</v>
      </c>
      <c r="L86" s="33"/>
      <c r="M86" s="60"/>
      <c r="N86" s="51"/>
      <c r="O86" s="51"/>
      <c r="P86" s="117">
        <f>P87</f>
        <v>0</v>
      </c>
      <c r="Q86" s="51"/>
      <c r="R86" s="117">
        <f>R87</f>
        <v>0</v>
      </c>
      <c r="S86" s="51"/>
      <c r="T86" s="118">
        <f>T87</f>
        <v>0</v>
      </c>
      <c r="AT86" s="18" t="s">
        <v>68</v>
      </c>
      <c r="AU86" s="18" t="s">
        <v>120</v>
      </c>
      <c r="BK86" s="119">
        <f>BK87</f>
        <v>0</v>
      </c>
    </row>
    <row r="87" spans="2:65" s="11" customFormat="1" ht="25.9" customHeight="1">
      <c r="B87" s="120"/>
      <c r="D87" s="121" t="s">
        <v>68</v>
      </c>
      <c r="E87" s="122" t="s">
        <v>767</v>
      </c>
      <c r="F87" s="122" t="s">
        <v>1007</v>
      </c>
      <c r="I87" s="123"/>
      <c r="J87" s="124">
        <f>BK87</f>
        <v>0</v>
      </c>
      <c r="L87" s="120"/>
      <c r="M87" s="125"/>
      <c r="P87" s="126">
        <f>P88</f>
        <v>0</v>
      </c>
      <c r="R87" s="126">
        <f>R88</f>
        <v>0</v>
      </c>
      <c r="T87" s="127">
        <f>T88</f>
        <v>0</v>
      </c>
      <c r="AR87" s="121" t="s">
        <v>77</v>
      </c>
      <c r="AT87" s="128" t="s">
        <v>68</v>
      </c>
      <c r="AU87" s="128" t="s">
        <v>69</v>
      </c>
      <c r="AY87" s="121" t="s">
        <v>151</v>
      </c>
      <c r="BK87" s="129">
        <f>BK88</f>
        <v>0</v>
      </c>
    </row>
    <row r="88" spans="2:65" s="11" customFormat="1" ht="22.9" customHeight="1">
      <c r="B88" s="120"/>
      <c r="D88" s="121" t="s">
        <v>68</v>
      </c>
      <c r="E88" s="130" t="s">
        <v>772</v>
      </c>
      <c r="F88" s="130" t="s">
        <v>1008</v>
      </c>
      <c r="I88" s="123"/>
      <c r="J88" s="131">
        <f>BK88</f>
        <v>0</v>
      </c>
      <c r="L88" s="120"/>
      <c r="M88" s="125"/>
      <c r="P88" s="126">
        <f>P89+P101+P107</f>
        <v>0</v>
      </c>
      <c r="R88" s="126">
        <f>R89+R101+R107</f>
        <v>0</v>
      </c>
      <c r="T88" s="127">
        <f>T89+T101+T107</f>
        <v>0</v>
      </c>
      <c r="AR88" s="121" t="s">
        <v>77</v>
      </c>
      <c r="AT88" s="128" t="s">
        <v>68</v>
      </c>
      <c r="AU88" s="128" t="s">
        <v>77</v>
      </c>
      <c r="AY88" s="121" t="s">
        <v>151</v>
      </c>
      <c r="BK88" s="129">
        <f>BK89+BK101+BK107</f>
        <v>0</v>
      </c>
    </row>
    <row r="89" spans="2:65" s="11" customFormat="1" ht="20.85" customHeight="1">
      <c r="B89" s="120"/>
      <c r="D89" s="121" t="s">
        <v>68</v>
      </c>
      <c r="E89" s="130" t="s">
        <v>843</v>
      </c>
      <c r="F89" s="130" t="s">
        <v>1009</v>
      </c>
      <c r="I89" s="123"/>
      <c r="J89" s="131">
        <f>BK89</f>
        <v>0</v>
      </c>
      <c r="L89" s="120"/>
      <c r="M89" s="125"/>
      <c r="P89" s="126">
        <f>P90+SUM(P91:P95)+P97</f>
        <v>0</v>
      </c>
      <c r="R89" s="126">
        <f>R90+SUM(R91:R95)+R97</f>
        <v>0</v>
      </c>
      <c r="T89" s="127">
        <f>T90+SUM(T91:T95)+T97</f>
        <v>0</v>
      </c>
      <c r="AR89" s="121" t="s">
        <v>77</v>
      </c>
      <c r="AT89" s="128" t="s">
        <v>68</v>
      </c>
      <c r="AU89" s="128" t="s">
        <v>79</v>
      </c>
      <c r="AY89" s="121" t="s">
        <v>151</v>
      </c>
      <c r="BK89" s="129">
        <f>BK90+SUM(BK91:BK95)+BK97</f>
        <v>0</v>
      </c>
    </row>
    <row r="90" spans="2:65" s="1" customFormat="1" ht="24.2" customHeight="1">
      <c r="B90" s="132"/>
      <c r="C90" s="133" t="s">
        <v>77</v>
      </c>
      <c r="D90" s="133" t="s">
        <v>153</v>
      </c>
      <c r="E90" s="134" t="s">
        <v>1010</v>
      </c>
      <c r="F90" s="135" t="s">
        <v>1011</v>
      </c>
      <c r="G90" s="136" t="s">
        <v>198</v>
      </c>
      <c r="H90" s="137">
        <v>1</v>
      </c>
      <c r="I90" s="138"/>
      <c r="J90" s="139">
        <f>ROUND(I90*H90,2)</f>
        <v>0</v>
      </c>
      <c r="K90" s="135" t="s">
        <v>3</v>
      </c>
      <c r="L90" s="33"/>
      <c r="M90" s="140" t="s">
        <v>3</v>
      </c>
      <c r="N90" s="141" t="s">
        <v>40</v>
      </c>
      <c r="P90" s="142">
        <f>O90*H90</f>
        <v>0</v>
      </c>
      <c r="Q90" s="142">
        <v>0</v>
      </c>
      <c r="R90" s="142">
        <f>Q90*H90</f>
        <v>0</v>
      </c>
      <c r="S90" s="142">
        <v>0</v>
      </c>
      <c r="T90" s="143">
        <f>S90*H90</f>
        <v>0</v>
      </c>
      <c r="AR90" s="144" t="s">
        <v>158</v>
      </c>
      <c r="AT90" s="144" t="s">
        <v>153</v>
      </c>
      <c r="AU90" s="144" t="s">
        <v>168</v>
      </c>
      <c r="AY90" s="18" t="s">
        <v>151</v>
      </c>
      <c r="BE90" s="145">
        <f>IF(N90="základní",J90,0)</f>
        <v>0</v>
      </c>
      <c r="BF90" s="145">
        <f>IF(N90="snížená",J90,0)</f>
        <v>0</v>
      </c>
      <c r="BG90" s="145">
        <f>IF(N90="zákl. přenesená",J90,0)</f>
        <v>0</v>
      </c>
      <c r="BH90" s="145">
        <f>IF(N90="sníž. přenesená",J90,0)</f>
        <v>0</v>
      </c>
      <c r="BI90" s="145">
        <f>IF(N90="nulová",J90,0)</f>
        <v>0</v>
      </c>
      <c r="BJ90" s="18" t="s">
        <v>77</v>
      </c>
      <c r="BK90" s="145">
        <f>ROUND(I90*H90,2)</f>
        <v>0</v>
      </c>
      <c r="BL90" s="18" t="s">
        <v>158</v>
      </c>
      <c r="BM90" s="144" t="s">
        <v>79</v>
      </c>
    </row>
    <row r="91" spans="2:65" s="1" customFormat="1" ht="24.2" customHeight="1">
      <c r="B91" s="132"/>
      <c r="C91" s="133" t="s">
        <v>79</v>
      </c>
      <c r="D91" s="133" t="s">
        <v>153</v>
      </c>
      <c r="E91" s="134" t="s">
        <v>1012</v>
      </c>
      <c r="F91" s="135" t="s">
        <v>1013</v>
      </c>
      <c r="G91" s="136" t="s">
        <v>198</v>
      </c>
      <c r="H91" s="137">
        <v>2</v>
      </c>
      <c r="I91" s="138"/>
      <c r="J91" s="139">
        <f>ROUND(I91*H91,2)</f>
        <v>0</v>
      </c>
      <c r="K91" s="135" t="s">
        <v>3</v>
      </c>
      <c r="L91" s="33"/>
      <c r="M91" s="140" t="s">
        <v>3</v>
      </c>
      <c r="N91" s="141" t="s">
        <v>40</v>
      </c>
      <c r="P91" s="142">
        <f>O91*H91</f>
        <v>0</v>
      </c>
      <c r="Q91" s="142">
        <v>0</v>
      </c>
      <c r="R91" s="142">
        <f>Q91*H91</f>
        <v>0</v>
      </c>
      <c r="S91" s="142">
        <v>0</v>
      </c>
      <c r="T91" s="143">
        <f>S91*H91</f>
        <v>0</v>
      </c>
      <c r="AR91" s="144" t="s">
        <v>158</v>
      </c>
      <c r="AT91" s="144" t="s">
        <v>153</v>
      </c>
      <c r="AU91" s="144" t="s">
        <v>168</v>
      </c>
      <c r="AY91" s="18" t="s">
        <v>151</v>
      </c>
      <c r="BE91" s="145">
        <f>IF(N91="základní",J91,0)</f>
        <v>0</v>
      </c>
      <c r="BF91" s="145">
        <f>IF(N91="snížená",J91,0)</f>
        <v>0</v>
      </c>
      <c r="BG91" s="145">
        <f>IF(N91="zákl. přenesená",J91,0)</f>
        <v>0</v>
      </c>
      <c r="BH91" s="145">
        <f>IF(N91="sníž. přenesená",J91,0)</f>
        <v>0</v>
      </c>
      <c r="BI91" s="145">
        <f>IF(N91="nulová",J91,0)</f>
        <v>0</v>
      </c>
      <c r="BJ91" s="18" t="s">
        <v>77</v>
      </c>
      <c r="BK91" s="145">
        <f>ROUND(I91*H91,2)</f>
        <v>0</v>
      </c>
      <c r="BL91" s="18" t="s">
        <v>158</v>
      </c>
      <c r="BM91" s="144" t="s">
        <v>158</v>
      </c>
    </row>
    <row r="92" spans="2:65" s="1" customFormat="1" ht="24.2" customHeight="1">
      <c r="B92" s="132"/>
      <c r="C92" s="133" t="s">
        <v>168</v>
      </c>
      <c r="D92" s="133" t="s">
        <v>153</v>
      </c>
      <c r="E92" s="134" t="s">
        <v>1014</v>
      </c>
      <c r="F92" s="135" t="s">
        <v>1015</v>
      </c>
      <c r="G92" s="136" t="s">
        <v>198</v>
      </c>
      <c r="H92" s="137">
        <v>42</v>
      </c>
      <c r="I92" s="138"/>
      <c r="J92" s="139">
        <f>ROUND(I92*H92,2)</f>
        <v>0</v>
      </c>
      <c r="K92" s="135" t="s">
        <v>3</v>
      </c>
      <c r="L92" s="33"/>
      <c r="M92" s="140" t="s">
        <v>3</v>
      </c>
      <c r="N92" s="141" t="s">
        <v>40</v>
      </c>
      <c r="P92" s="142">
        <f>O92*H92</f>
        <v>0</v>
      </c>
      <c r="Q92" s="142">
        <v>0</v>
      </c>
      <c r="R92" s="142">
        <f>Q92*H92</f>
        <v>0</v>
      </c>
      <c r="S92" s="142">
        <v>0</v>
      </c>
      <c r="T92" s="143">
        <f>S92*H92</f>
        <v>0</v>
      </c>
      <c r="AR92" s="144" t="s">
        <v>158</v>
      </c>
      <c r="AT92" s="144" t="s">
        <v>153</v>
      </c>
      <c r="AU92" s="144" t="s">
        <v>168</v>
      </c>
      <c r="AY92" s="18" t="s">
        <v>151</v>
      </c>
      <c r="BE92" s="145">
        <f>IF(N92="základní",J92,0)</f>
        <v>0</v>
      </c>
      <c r="BF92" s="145">
        <f>IF(N92="snížená",J92,0)</f>
        <v>0</v>
      </c>
      <c r="BG92" s="145">
        <f>IF(N92="zákl. přenesená",J92,0)</f>
        <v>0</v>
      </c>
      <c r="BH92" s="145">
        <f>IF(N92="sníž. přenesená",J92,0)</f>
        <v>0</v>
      </c>
      <c r="BI92" s="145">
        <f>IF(N92="nulová",J92,0)</f>
        <v>0</v>
      </c>
      <c r="BJ92" s="18" t="s">
        <v>77</v>
      </c>
      <c r="BK92" s="145">
        <f>ROUND(I92*H92,2)</f>
        <v>0</v>
      </c>
      <c r="BL92" s="18" t="s">
        <v>158</v>
      </c>
      <c r="BM92" s="144" t="s">
        <v>195</v>
      </c>
    </row>
    <row r="93" spans="2:65" s="1" customFormat="1" ht="24.2" customHeight="1">
      <c r="B93" s="132"/>
      <c r="C93" s="133" t="s">
        <v>158</v>
      </c>
      <c r="D93" s="133" t="s">
        <v>153</v>
      </c>
      <c r="E93" s="134" t="s">
        <v>1016</v>
      </c>
      <c r="F93" s="135" t="s">
        <v>1017</v>
      </c>
      <c r="G93" s="136" t="s">
        <v>198</v>
      </c>
      <c r="H93" s="137">
        <v>2</v>
      </c>
      <c r="I93" s="138"/>
      <c r="J93" s="139">
        <f>ROUND(I93*H93,2)</f>
        <v>0</v>
      </c>
      <c r="K93" s="135" t="s">
        <v>3</v>
      </c>
      <c r="L93" s="33"/>
      <c r="M93" s="140" t="s">
        <v>3</v>
      </c>
      <c r="N93" s="141" t="s">
        <v>40</v>
      </c>
      <c r="P93" s="142">
        <f>O93*H93</f>
        <v>0</v>
      </c>
      <c r="Q93" s="142">
        <v>0</v>
      </c>
      <c r="R93" s="142">
        <f>Q93*H93</f>
        <v>0</v>
      </c>
      <c r="S93" s="142">
        <v>0</v>
      </c>
      <c r="T93" s="143">
        <f>S93*H93</f>
        <v>0</v>
      </c>
      <c r="AR93" s="144" t="s">
        <v>158</v>
      </c>
      <c r="AT93" s="144" t="s">
        <v>153</v>
      </c>
      <c r="AU93" s="144" t="s">
        <v>168</v>
      </c>
      <c r="AY93" s="18" t="s">
        <v>151</v>
      </c>
      <c r="BE93" s="145">
        <f>IF(N93="základní",J93,0)</f>
        <v>0</v>
      </c>
      <c r="BF93" s="145">
        <f>IF(N93="snížená",J93,0)</f>
        <v>0</v>
      </c>
      <c r="BG93" s="145">
        <f>IF(N93="zákl. přenesená",J93,0)</f>
        <v>0</v>
      </c>
      <c r="BH93" s="145">
        <f>IF(N93="sníž. přenesená",J93,0)</f>
        <v>0</v>
      </c>
      <c r="BI93" s="145">
        <f>IF(N93="nulová",J93,0)</f>
        <v>0</v>
      </c>
      <c r="BJ93" s="18" t="s">
        <v>77</v>
      </c>
      <c r="BK93" s="145">
        <f>ROUND(I93*H93,2)</f>
        <v>0</v>
      </c>
      <c r="BL93" s="18" t="s">
        <v>158</v>
      </c>
      <c r="BM93" s="144" t="s">
        <v>214</v>
      </c>
    </row>
    <row r="94" spans="2:65" s="1" customFormat="1" ht="24.2" customHeight="1">
      <c r="B94" s="132"/>
      <c r="C94" s="133" t="s">
        <v>180</v>
      </c>
      <c r="D94" s="133" t="s">
        <v>153</v>
      </c>
      <c r="E94" s="134" t="s">
        <v>1018</v>
      </c>
      <c r="F94" s="135" t="s">
        <v>1019</v>
      </c>
      <c r="G94" s="136" t="s">
        <v>198</v>
      </c>
      <c r="H94" s="137">
        <v>1</v>
      </c>
      <c r="I94" s="138"/>
      <c r="J94" s="139">
        <f>ROUND(I94*H94,2)</f>
        <v>0</v>
      </c>
      <c r="K94" s="135" t="s">
        <v>3</v>
      </c>
      <c r="L94" s="33"/>
      <c r="M94" s="140" t="s">
        <v>3</v>
      </c>
      <c r="N94" s="141" t="s">
        <v>40</v>
      </c>
      <c r="P94" s="142">
        <f>O94*H94</f>
        <v>0</v>
      </c>
      <c r="Q94" s="142">
        <v>0</v>
      </c>
      <c r="R94" s="142">
        <f>Q94*H94</f>
        <v>0</v>
      </c>
      <c r="S94" s="142">
        <v>0</v>
      </c>
      <c r="T94" s="143">
        <f>S94*H94</f>
        <v>0</v>
      </c>
      <c r="AR94" s="144" t="s">
        <v>158</v>
      </c>
      <c r="AT94" s="144" t="s">
        <v>153</v>
      </c>
      <c r="AU94" s="144" t="s">
        <v>168</v>
      </c>
      <c r="AY94" s="18" t="s">
        <v>151</v>
      </c>
      <c r="BE94" s="145">
        <f>IF(N94="základní",J94,0)</f>
        <v>0</v>
      </c>
      <c r="BF94" s="145">
        <f>IF(N94="snížená",J94,0)</f>
        <v>0</v>
      </c>
      <c r="BG94" s="145">
        <f>IF(N94="zákl. přenesená",J94,0)</f>
        <v>0</v>
      </c>
      <c r="BH94" s="145">
        <f>IF(N94="sníž. přenesená",J94,0)</f>
        <v>0</v>
      </c>
      <c r="BI94" s="145">
        <f>IF(N94="nulová",J94,0)</f>
        <v>0</v>
      </c>
      <c r="BJ94" s="18" t="s">
        <v>77</v>
      </c>
      <c r="BK94" s="145">
        <f>ROUND(I94*H94,2)</f>
        <v>0</v>
      </c>
      <c r="BL94" s="18" t="s">
        <v>158</v>
      </c>
      <c r="BM94" s="144" t="s">
        <v>235</v>
      </c>
    </row>
    <row r="95" spans="2:65" s="15" customFormat="1" ht="20.85" customHeight="1">
      <c r="B95" s="189"/>
      <c r="D95" s="190" t="s">
        <v>68</v>
      </c>
      <c r="E95" s="190" t="s">
        <v>845</v>
      </c>
      <c r="F95" s="190" t="s">
        <v>1020</v>
      </c>
      <c r="I95" s="191"/>
      <c r="J95" s="192">
        <f>BK95</f>
        <v>0</v>
      </c>
      <c r="L95" s="189"/>
      <c r="M95" s="193"/>
      <c r="P95" s="194">
        <f>P96</f>
        <v>0</v>
      </c>
      <c r="R95" s="194">
        <f>R96</f>
        <v>0</v>
      </c>
      <c r="T95" s="195">
        <f>T96</f>
        <v>0</v>
      </c>
      <c r="AR95" s="190" t="s">
        <v>77</v>
      </c>
      <c r="AT95" s="196" t="s">
        <v>68</v>
      </c>
      <c r="AU95" s="196" t="s">
        <v>168</v>
      </c>
      <c r="AY95" s="190" t="s">
        <v>151</v>
      </c>
      <c r="BK95" s="197">
        <f>BK96</f>
        <v>0</v>
      </c>
    </row>
    <row r="96" spans="2:65" s="1" customFormat="1" ht="16.5" customHeight="1">
      <c r="B96" s="132"/>
      <c r="C96" s="133" t="s">
        <v>195</v>
      </c>
      <c r="D96" s="133" t="s">
        <v>153</v>
      </c>
      <c r="E96" s="134" t="s">
        <v>1021</v>
      </c>
      <c r="F96" s="135" t="s">
        <v>1022</v>
      </c>
      <c r="G96" s="136" t="s">
        <v>198</v>
      </c>
      <c r="H96" s="137">
        <v>2</v>
      </c>
      <c r="I96" s="138"/>
      <c r="J96" s="139">
        <f>ROUND(I96*H96,2)</f>
        <v>0</v>
      </c>
      <c r="K96" s="135" t="s">
        <v>3</v>
      </c>
      <c r="L96" s="33"/>
      <c r="M96" s="140" t="s">
        <v>3</v>
      </c>
      <c r="N96" s="141" t="s">
        <v>40</v>
      </c>
      <c r="P96" s="142">
        <f>O96*H96</f>
        <v>0</v>
      </c>
      <c r="Q96" s="142">
        <v>0</v>
      </c>
      <c r="R96" s="142">
        <f>Q96*H96</f>
        <v>0</v>
      </c>
      <c r="S96" s="142">
        <v>0</v>
      </c>
      <c r="T96" s="143">
        <f>S96*H96</f>
        <v>0</v>
      </c>
      <c r="AR96" s="144" t="s">
        <v>158</v>
      </c>
      <c r="AT96" s="144" t="s">
        <v>153</v>
      </c>
      <c r="AU96" s="144" t="s">
        <v>158</v>
      </c>
      <c r="AY96" s="18" t="s">
        <v>151</v>
      </c>
      <c r="BE96" s="145">
        <f>IF(N96="základní",J96,0)</f>
        <v>0</v>
      </c>
      <c r="BF96" s="145">
        <f>IF(N96="snížená",J96,0)</f>
        <v>0</v>
      </c>
      <c r="BG96" s="145">
        <f>IF(N96="zákl. přenesená",J96,0)</f>
        <v>0</v>
      </c>
      <c r="BH96" s="145">
        <f>IF(N96="sníž. přenesená",J96,0)</f>
        <v>0</v>
      </c>
      <c r="BI96" s="145">
        <f>IF(N96="nulová",J96,0)</f>
        <v>0</v>
      </c>
      <c r="BJ96" s="18" t="s">
        <v>77</v>
      </c>
      <c r="BK96" s="145">
        <f>ROUND(I96*H96,2)</f>
        <v>0</v>
      </c>
      <c r="BL96" s="18" t="s">
        <v>158</v>
      </c>
      <c r="BM96" s="144" t="s">
        <v>246</v>
      </c>
    </row>
    <row r="97" spans="2:65" s="15" customFormat="1" ht="20.85" customHeight="1">
      <c r="B97" s="189"/>
      <c r="D97" s="190" t="s">
        <v>68</v>
      </c>
      <c r="E97" s="190" t="s">
        <v>900</v>
      </c>
      <c r="F97" s="190" t="s">
        <v>1023</v>
      </c>
      <c r="I97" s="191"/>
      <c r="J97" s="192">
        <f>BK97</f>
        <v>0</v>
      </c>
      <c r="L97" s="189"/>
      <c r="M97" s="193"/>
      <c r="P97" s="194">
        <f>SUM(P98:P100)</f>
        <v>0</v>
      </c>
      <c r="R97" s="194">
        <f>SUM(R98:R100)</f>
        <v>0</v>
      </c>
      <c r="T97" s="195">
        <f>SUM(T98:T100)</f>
        <v>0</v>
      </c>
      <c r="AR97" s="190" t="s">
        <v>77</v>
      </c>
      <c r="AT97" s="196" t="s">
        <v>68</v>
      </c>
      <c r="AU97" s="196" t="s">
        <v>168</v>
      </c>
      <c r="AY97" s="190" t="s">
        <v>151</v>
      </c>
      <c r="BK97" s="197">
        <f>SUM(BK98:BK100)</f>
        <v>0</v>
      </c>
    </row>
    <row r="98" spans="2:65" s="1" customFormat="1" ht="16.5" customHeight="1">
      <c r="B98" s="132"/>
      <c r="C98" s="133" t="s">
        <v>203</v>
      </c>
      <c r="D98" s="133" t="s">
        <v>153</v>
      </c>
      <c r="E98" s="134" t="s">
        <v>1024</v>
      </c>
      <c r="F98" s="135" t="s">
        <v>1025</v>
      </c>
      <c r="G98" s="136" t="s">
        <v>484</v>
      </c>
      <c r="H98" s="137">
        <v>1</v>
      </c>
      <c r="I98" s="138"/>
      <c r="J98" s="139">
        <f>ROUND(I98*H98,2)</f>
        <v>0</v>
      </c>
      <c r="K98" s="135" t="s">
        <v>3</v>
      </c>
      <c r="L98" s="33"/>
      <c r="M98" s="140" t="s">
        <v>3</v>
      </c>
      <c r="N98" s="141" t="s">
        <v>40</v>
      </c>
      <c r="P98" s="142">
        <f>O98*H98</f>
        <v>0</v>
      </c>
      <c r="Q98" s="142">
        <v>0</v>
      </c>
      <c r="R98" s="142">
        <f>Q98*H98</f>
        <v>0</v>
      </c>
      <c r="S98" s="142">
        <v>0</v>
      </c>
      <c r="T98" s="143">
        <f>S98*H98</f>
        <v>0</v>
      </c>
      <c r="AR98" s="144" t="s">
        <v>158</v>
      </c>
      <c r="AT98" s="144" t="s">
        <v>153</v>
      </c>
      <c r="AU98" s="144" t="s">
        <v>158</v>
      </c>
      <c r="AY98" s="18" t="s">
        <v>151</v>
      </c>
      <c r="BE98" s="145">
        <f>IF(N98="základní",J98,0)</f>
        <v>0</v>
      </c>
      <c r="BF98" s="145">
        <f>IF(N98="snížená",J98,0)</f>
        <v>0</v>
      </c>
      <c r="BG98" s="145">
        <f>IF(N98="zákl. přenesená",J98,0)</f>
        <v>0</v>
      </c>
      <c r="BH98" s="145">
        <f>IF(N98="sníž. přenesená",J98,0)</f>
        <v>0</v>
      </c>
      <c r="BI98" s="145">
        <f>IF(N98="nulová",J98,0)</f>
        <v>0</v>
      </c>
      <c r="BJ98" s="18" t="s">
        <v>77</v>
      </c>
      <c r="BK98" s="145">
        <f>ROUND(I98*H98,2)</f>
        <v>0</v>
      </c>
      <c r="BL98" s="18" t="s">
        <v>158</v>
      </c>
      <c r="BM98" s="144" t="s">
        <v>265</v>
      </c>
    </row>
    <row r="99" spans="2:65" s="1" customFormat="1" ht="16.5" customHeight="1">
      <c r="B99" s="132"/>
      <c r="C99" s="133" t="s">
        <v>214</v>
      </c>
      <c r="D99" s="133" t="s">
        <v>153</v>
      </c>
      <c r="E99" s="134" t="s">
        <v>1026</v>
      </c>
      <c r="F99" s="135" t="s">
        <v>1027</v>
      </c>
      <c r="G99" s="136" t="s">
        <v>484</v>
      </c>
      <c r="H99" s="137">
        <v>1</v>
      </c>
      <c r="I99" s="138"/>
      <c r="J99" s="139">
        <f>ROUND(I99*H99,2)</f>
        <v>0</v>
      </c>
      <c r="K99" s="135" t="s">
        <v>3</v>
      </c>
      <c r="L99" s="33"/>
      <c r="M99" s="140" t="s">
        <v>3</v>
      </c>
      <c r="N99" s="141" t="s">
        <v>40</v>
      </c>
      <c r="P99" s="142">
        <f>O99*H99</f>
        <v>0</v>
      </c>
      <c r="Q99" s="142">
        <v>0</v>
      </c>
      <c r="R99" s="142">
        <f>Q99*H99</f>
        <v>0</v>
      </c>
      <c r="S99" s="142">
        <v>0</v>
      </c>
      <c r="T99" s="143">
        <f>S99*H99</f>
        <v>0</v>
      </c>
      <c r="AR99" s="144" t="s">
        <v>158</v>
      </c>
      <c r="AT99" s="144" t="s">
        <v>153</v>
      </c>
      <c r="AU99" s="144" t="s">
        <v>158</v>
      </c>
      <c r="AY99" s="18" t="s">
        <v>151</v>
      </c>
      <c r="BE99" s="145">
        <f>IF(N99="základní",J99,0)</f>
        <v>0</v>
      </c>
      <c r="BF99" s="145">
        <f>IF(N99="snížená",J99,0)</f>
        <v>0</v>
      </c>
      <c r="BG99" s="145">
        <f>IF(N99="zákl. přenesená",J99,0)</f>
        <v>0</v>
      </c>
      <c r="BH99" s="145">
        <f>IF(N99="sníž. přenesená",J99,0)</f>
        <v>0</v>
      </c>
      <c r="BI99" s="145">
        <f>IF(N99="nulová",J99,0)</f>
        <v>0</v>
      </c>
      <c r="BJ99" s="18" t="s">
        <v>77</v>
      </c>
      <c r="BK99" s="145">
        <f>ROUND(I99*H99,2)</f>
        <v>0</v>
      </c>
      <c r="BL99" s="18" t="s">
        <v>158</v>
      </c>
      <c r="BM99" s="144" t="s">
        <v>282</v>
      </c>
    </row>
    <row r="100" spans="2:65" s="1" customFormat="1" ht="16.5" customHeight="1">
      <c r="B100" s="132"/>
      <c r="C100" s="133" t="s">
        <v>227</v>
      </c>
      <c r="D100" s="133" t="s">
        <v>153</v>
      </c>
      <c r="E100" s="134" t="s">
        <v>1028</v>
      </c>
      <c r="F100" s="135" t="s">
        <v>1029</v>
      </c>
      <c r="G100" s="136" t="s">
        <v>484</v>
      </c>
      <c r="H100" s="137">
        <v>1</v>
      </c>
      <c r="I100" s="138"/>
      <c r="J100" s="139">
        <f>ROUND(I100*H100,2)</f>
        <v>0</v>
      </c>
      <c r="K100" s="135" t="s">
        <v>3</v>
      </c>
      <c r="L100" s="33"/>
      <c r="M100" s="140" t="s">
        <v>3</v>
      </c>
      <c r="N100" s="141" t="s">
        <v>40</v>
      </c>
      <c r="P100" s="142">
        <f>O100*H100</f>
        <v>0</v>
      </c>
      <c r="Q100" s="142">
        <v>0</v>
      </c>
      <c r="R100" s="142">
        <f>Q100*H100</f>
        <v>0</v>
      </c>
      <c r="S100" s="142">
        <v>0</v>
      </c>
      <c r="T100" s="143">
        <f>S100*H100</f>
        <v>0</v>
      </c>
      <c r="AR100" s="144" t="s">
        <v>158</v>
      </c>
      <c r="AT100" s="144" t="s">
        <v>153</v>
      </c>
      <c r="AU100" s="144" t="s">
        <v>158</v>
      </c>
      <c r="AY100" s="18" t="s">
        <v>151</v>
      </c>
      <c r="BE100" s="145">
        <f>IF(N100="základní",J100,0)</f>
        <v>0</v>
      </c>
      <c r="BF100" s="145">
        <f>IF(N100="snížená",J100,0)</f>
        <v>0</v>
      </c>
      <c r="BG100" s="145">
        <f>IF(N100="zákl. přenesená",J100,0)</f>
        <v>0</v>
      </c>
      <c r="BH100" s="145">
        <f>IF(N100="sníž. přenesená",J100,0)</f>
        <v>0</v>
      </c>
      <c r="BI100" s="145">
        <f>IF(N100="nulová",J100,0)</f>
        <v>0</v>
      </c>
      <c r="BJ100" s="18" t="s">
        <v>77</v>
      </c>
      <c r="BK100" s="145">
        <f>ROUND(I100*H100,2)</f>
        <v>0</v>
      </c>
      <c r="BL100" s="18" t="s">
        <v>158</v>
      </c>
      <c r="BM100" s="144" t="s">
        <v>299</v>
      </c>
    </row>
    <row r="101" spans="2:65" s="11" customFormat="1" ht="20.85" customHeight="1">
      <c r="B101" s="120"/>
      <c r="D101" s="121" t="s">
        <v>68</v>
      </c>
      <c r="E101" s="130" t="s">
        <v>934</v>
      </c>
      <c r="F101" s="130" t="s">
        <v>1030</v>
      </c>
      <c r="I101" s="123"/>
      <c r="J101" s="131">
        <f>BK101</f>
        <v>0</v>
      </c>
      <c r="L101" s="120"/>
      <c r="M101" s="125"/>
      <c r="P101" s="126">
        <f>SUM(P102:P106)</f>
        <v>0</v>
      </c>
      <c r="R101" s="126">
        <f>SUM(R102:R106)</f>
        <v>0</v>
      </c>
      <c r="T101" s="127">
        <f>SUM(T102:T106)</f>
        <v>0</v>
      </c>
      <c r="AR101" s="121" t="s">
        <v>77</v>
      </c>
      <c r="AT101" s="128" t="s">
        <v>68</v>
      </c>
      <c r="AU101" s="128" t="s">
        <v>79</v>
      </c>
      <c r="AY101" s="121" t="s">
        <v>151</v>
      </c>
      <c r="BK101" s="129">
        <f>SUM(BK102:BK106)</f>
        <v>0</v>
      </c>
    </row>
    <row r="102" spans="2:65" s="1" customFormat="1" ht="16.5" customHeight="1">
      <c r="B102" s="132"/>
      <c r="C102" s="133" t="s">
        <v>235</v>
      </c>
      <c r="D102" s="133" t="s">
        <v>153</v>
      </c>
      <c r="E102" s="134" t="s">
        <v>1031</v>
      </c>
      <c r="F102" s="135" t="s">
        <v>1032</v>
      </c>
      <c r="G102" s="136" t="s">
        <v>484</v>
      </c>
      <c r="H102" s="137">
        <v>1</v>
      </c>
      <c r="I102" s="138"/>
      <c r="J102" s="139">
        <f>ROUND(I102*H102,2)</f>
        <v>0</v>
      </c>
      <c r="K102" s="135" t="s">
        <v>3</v>
      </c>
      <c r="L102" s="33"/>
      <c r="M102" s="140" t="s">
        <v>3</v>
      </c>
      <c r="N102" s="141" t="s">
        <v>40</v>
      </c>
      <c r="P102" s="142">
        <f>O102*H102</f>
        <v>0</v>
      </c>
      <c r="Q102" s="142">
        <v>0</v>
      </c>
      <c r="R102" s="142">
        <f>Q102*H102</f>
        <v>0</v>
      </c>
      <c r="S102" s="142">
        <v>0</v>
      </c>
      <c r="T102" s="143">
        <f>S102*H102</f>
        <v>0</v>
      </c>
      <c r="AR102" s="144" t="s">
        <v>158</v>
      </c>
      <c r="AT102" s="144" t="s">
        <v>153</v>
      </c>
      <c r="AU102" s="144" t="s">
        <v>168</v>
      </c>
      <c r="AY102" s="18" t="s">
        <v>151</v>
      </c>
      <c r="BE102" s="145">
        <f>IF(N102="základní",J102,0)</f>
        <v>0</v>
      </c>
      <c r="BF102" s="145">
        <f>IF(N102="snížená",J102,0)</f>
        <v>0</v>
      </c>
      <c r="BG102" s="145">
        <f>IF(N102="zákl. přenesená",J102,0)</f>
        <v>0</v>
      </c>
      <c r="BH102" s="145">
        <f>IF(N102="sníž. přenesená",J102,0)</f>
        <v>0</v>
      </c>
      <c r="BI102" s="145">
        <f>IF(N102="nulová",J102,0)</f>
        <v>0</v>
      </c>
      <c r="BJ102" s="18" t="s">
        <v>77</v>
      </c>
      <c r="BK102" s="145">
        <f>ROUND(I102*H102,2)</f>
        <v>0</v>
      </c>
      <c r="BL102" s="18" t="s">
        <v>158</v>
      </c>
      <c r="BM102" s="144" t="s">
        <v>317</v>
      </c>
    </row>
    <row r="103" spans="2:65" s="1" customFormat="1" ht="16.5" customHeight="1">
      <c r="B103" s="132"/>
      <c r="C103" s="133" t="s">
        <v>240</v>
      </c>
      <c r="D103" s="133" t="s">
        <v>153</v>
      </c>
      <c r="E103" s="134" t="s">
        <v>1033</v>
      </c>
      <c r="F103" s="135" t="s">
        <v>1034</v>
      </c>
      <c r="G103" s="136" t="s">
        <v>484</v>
      </c>
      <c r="H103" s="137">
        <v>1</v>
      </c>
      <c r="I103" s="138"/>
      <c r="J103" s="139">
        <f>ROUND(I103*H103,2)</f>
        <v>0</v>
      </c>
      <c r="K103" s="135" t="s">
        <v>3</v>
      </c>
      <c r="L103" s="33"/>
      <c r="M103" s="140" t="s">
        <v>3</v>
      </c>
      <c r="N103" s="141" t="s">
        <v>40</v>
      </c>
      <c r="P103" s="142">
        <f>O103*H103</f>
        <v>0</v>
      </c>
      <c r="Q103" s="142">
        <v>0</v>
      </c>
      <c r="R103" s="142">
        <f>Q103*H103</f>
        <v>0</v>
      </c>
      <c r="S103" s="142">
        <v>0</v>
      </c>
      <c r="T103" s="143">
        <f>S103*H103</f>
        <v>0</v>
      </c>
      <c r="AR103" s="144" t="s">
        <v>158</v>
      </c>
      <c r="AT103" s="144" t="s">
        <v>153</v>
      </c>
      <c r="AU103" s="144" t="s">
        <v>168</v>
      </c>
      <c r="AY103" s="18" t="s">
        <v>151</v>
      </c>
      <c r="BE103" s="145">
        <f>IF(N103="základní",J103,0)</f>
        <v>0</v>
      </c>
      <c r="BF103" s="145">
        <f>IF(N103="snížená",J103,0)</f>
        <v>0</v>
      </c>
      <c r="BG103" s="145">
        <f>IF(N103="zákl. přenesená",J103,0)</f>
        <v>0</v>
      </c>
      <c r="BH103" s="145">
        <f>IF(N103="sníž. přenesená",J103,0)</f>
        <v>0</v>
      </c>
      <c r="BI103" s="145">
        <f>IF(N103="nulová",J103,0)</f>
        <v>0</v>
      </c>
      <c r="BJ103" s="18" t="s">
        <v>77</v>
      </c>
      <c r="BK103" s="145">
        <f>ROUND(I103*H103,2)</f>
        <v>0</v>
      </c>
      <c r="BL103" s="18" t="s">
        <v>158</v>
      </c>
      <c r="BM103" s="144" t="s">
        <v>338</v>
      </c>
    </row>
    <row r="104" spans="2:65" s="1" customFormat="1" ht="16.5" customHeight="1">
      <c r="B104" s="132"/>
      <c r="C104" s="133" t="s">
        <v>246</v>
      </c>
      <c r="D104" s="133" t="s">
        <v>153</v>
      </c>
      <c r="E104" s="134" t="s">
        <v>1035</v>
      </c>
      <c r="F104" s="135" t="s">
        <v>1036</v>
      </c>
      <c r="G104" s="136" t="s">
        <v>484</v>
      </c>
      <c r="H104" s="137">
        <v>1</v>
      </c>
      <c r="I104" s="138"/>
      <c r="J104" s="139">
        <f>ROUND(I104*H104,2)</f>
        <v>0</v>
      </c>
      <c r="K104" s="135" t="s">
        <v>3</v>
      </c>
      <c r="L104" s="33"/>
      <c r="M104" s="140" t="s">
        <v>3</v>
      </c>
      <c r="N104" s="141" t="s">
        <v>40</v>
      </c>
      <c r="P104" s="142">
        <f>O104*H104</f>
        <v>0</v>
      </c>
      <c r="Q104" s="142">
        <v>0</v>
      </c>
      <c r="R104" s="142">
        <f>Q104*H104</f>
        <v>0</v>
      </c>
      <c r="S104" s="142">
        <v>0</v>
      </c>
      <c r="T104" s="143">
        <f>S104*H104</f>
        <v>0</v>
      </c>
      <c r="AR104" s="144" t="s">
        <v>158</v>
      </c>
      <c r="AT104" s="144" t="s">
        <v>153</v>
      </c>
      <c r="AU104" s="144" t="s">
        <v>168</v>
      </c>
      <c r="AY104" s="18" t="s">
        <v>151</v>
      </c>
      <c r="BE104" s="145">
        <f>IF(N104="základní",J104,0)</f>
        <v>0</v>
      </c>
      <c r="BF104" s="145">
        <f>IF(N104="snížená",J104,0)</f>
        <v>0</v>
      </c>
      <c r="BG104" s="145">
        <f>IF(N104="zákl. přenesená",J104,0)</f>
        <v>0</v>
      </c>
      <c r="BH104" s="145">
        <f>IF(N104="sníž. přenesená",J104,0)</f>
        <v>0</v>
      </c>
      <c r="BI104" s="145">
        <f>IF(N104="nulová",J104,0)</f>
        <v>0</v>
      </c>
      <c r="BJ104" s="18" t="s">
        <v>77</v>
      </c>
      <c r="BK104" s="145">
        <f>ROUND(I104*H104,2)</f>
        <v>0</v>
      </c>
      <c r="BL104" s="18" t="s">
        <v>158</v>
      </c>
      <c r="BM104" s="144" t="s">
        <v>347</v>
      </c>
    </row>
    <row r="105" spans="2:65" s="1" customFormat="1" ht="16.5" customHeight="1">
      <c r="B105" s="132"/>
      <c r="C105" s="133" t="s">
        <v>251</v>
      </c>
      <c r="D105" s="133" t="s">
        <v>153</v>
      </c>
      <c r="E105" s="134" t="s">
        <v>1037</v>
      </c>
      <c r="F105" s="135" t="s">
        <v>1038</v>
      </c>
      <c r="G105" s="136" t="s">
        <v>484</v>
      </c>
      <c r="H105" s="137">
        <v>1</v>
      </c>
      <c r="I105" s="138"/>
      <c r="J105" s="139">
        <f>ROUND(I105*H105,2)</f>
        <v>0</v>
      </c>
      <c r="K105" s="135" t="s">
        <v>3</v>
      </c>
      <c r="L105" s="33"/>
      <c r="M105" s="140" t="s">
        <v>3</v>
      </c>
      <c r="N105" s="141" t="s">
        <v>40</v>
      </c>
      <c r="P105" s="142">
        <f>O105*H105</f>
        <v>0</v>
      </c>
      <c r="Q105" s="142">
        <v>0</v>
      </c>
      <c r="R105" s="142">
        <f>Q105*H105</f>
        <v>0</v>
      </c>
      <c r="S105" s="142">
        <v>0</v>
      </c>
      <c r="T105" s="143">
        <f>S105*H105</f>
        <v>0</v>
      </c>
      <c r="AR105" s="144" t="s">
        <v>158</v>
      </c>
      <c r="AT105" s="144" t="s">
        <v>153</v>
      </c>
      <c r="AU105" s="144" t="s">
        <v>168</v>
      </c>
      <c r="AY105" s="18" t="s">
        <v>151</v>
      </c>
      <c r="BE105" s="145">
        <f>IF(N105="základní",J105,0)</f>
        <v>0</v>
      </c>
      <c r="BF105" s="145">
        <f>IF(N105="snížená",J105,0)</f>
        <v>0</v>
      </c>
      <c r="BG105" s="145">
        <f>IF(N105="zákl. přenesená",J105,0)</f>
        <v>0</v>
      </c>
      <c r="BH105" s="145">
        <f>IF(N105="sníž. přenesená",J105,0)</f>
        <v>0</v>
      </c>
      <c r="BI105" s="145">
        <f>IF(N105="nulová",J105,0)</f>
        <v>0</v>
      </c>
      <c r="BJ105" s="18" t="s">
        <v>77</v>
      </c>
      <c r="BK105" s="145">
        <f>ROUND(I105*H105,2)</f>
        <v>0</v>
      </c>
      <c r="BL105" s="18" t="s">
        <v>158</v>
      </c>
      <c r="BM105" s="144" t="s">
        <v>367</v>
      </c>
    </row>
    <row r="106" spans="2:65" s="1" customFormat="1" ht="16.5" customHeight="1">
      <c r="B106" s="132"/>
      <c r="C106" s="133" t="s">
        <v>265</v>
      </c>
      <c r="D106" s="133" t="s">
        <v>153</v>
      </c>
      <c r="E106" s="134" t="s">
        <v>1039</v>
      </c>
      <c r="F106" s="135" t="s">
        <v>1040</v>
      </c>
      <c r="G106" s="136" t="s">
        <v>484</v>
      </c>
      <c r="H106" s="137">
        <v>1</v>
      </c>
      <c r="I106" s="138"/>
      <c r="J106" s="139">
        <f>ROUND(I106*H106,2)</f>
        <v>0</v>
      </c>
      <c r="K106" s="135" t="s">
        <v>3</v>
      </c>
      <c r="L106" s="33"/>
      <c r="M106" s="140" t="s">
        <v>3</v>
      </c>
      <c r="N106" s="141" t="s">
        <v>40</v>
      </c>
      <c r="P106" s="142">
        <f>O106*H106</f>
        <v>0</v>
      </c>
      <c r="Q106" s="142">
        <v>0</v>
      </c>
      <c r="R106" s="142">
        <f>Q106*H106</f>
        <v>0</v>
      </c>
      <c r="S106" s="142">
        <v>0</v>
      </c>
      <c r="T106" s="143">
        <f>S106*H106</f>
        <v>0</v>
      </c>
      <c r="AR106" s="144" t="s">
        <v>158</v>
      </c>
      <c r="AT106" s="144" t="s">
        <v>153</v>
      </c>
      <c r="AU106" s="144" t="s">
        <v>168</v>
      </c>
      <c r="AY106" s="18" t="s">
        <v>151</v>
      </c>
      <c r="BE106" s="145">
        <f>IF(N106="základní",J106,0)</f>
        <v>0</v>
      </c>
      <c r="BF106" s="145">
        <f>IF(N106="snížená",J106,0)</f>
        <v>0</v>
      </c>
      <c r="BG106" s="145">
        <f>IF(N106="zákl. přenesená",J106,0)</f>
        <v>0</v>
      </c>
      <c r="BH106" s="145">
        <f>IF(N106="sníž. přenesená",J106,0)</f>
        <v>0</v>
      </c>
      <c r="BI106" s="145">
        <f>IF(N106="nulová",J106,0)</f>
        <v>0</v>
      </c>
      <c r="BJ106" s="18" t="s">
        <v>77</v>
      </c>
      <c r="BK106" s="145">
        <f>ROUND(I106*H106,2)</f>
        <v>0</v>
      </c>
      <c r="BL106" s="18" t="s">
        <v>158</v>
      </c>
      <c r="BM106" s="144" t="s">
        <v>378</v>
      </c>
    </row>
    <row r="107" spans="2:65" s="11" customFormat="1" ht="20.85" customHeight="1">
      <c r="B107" s="120"/>
      <c r="D107" s="121" t="s">
        <v>68</v>
      </c>
      <c r="E107" s="130" t="s">
        <v>994</v>
      </c>
      <c r="F107" s="130" t="s">
        <v>1041</v>
      </c>
      <c r="I107" s="123"/>
      <c r="J107" s="131">
        <f>BK107</f>
        <v>0</v>
      </c>
      <c r="L107" s="120"/>
      <c r="M107" s="125"/>
      <c r="P107" s="126">
        <f>SUM(P108:P113)</f>
        <v>0</v>
      </c>
      <c r="R107" s="126">
        <f>SUM(R108:R113)</f>
        <v>0</v>
      </c>
      <c r="T107" s="127">
        <f>SUM(T108:T113)</f>
        <v>0</v>
      </c>
      <c r="AR107" s="121" t="s">
        <v>77</v>
      </c>
      <c r="AT107" s="128" t="s">
        <v>68</v>
      </c>
      <c r="AU107" s="128" t="s">
        <v>79</v>
      </c>
      <c r="AY107" s="121" t="s">
        <v>151</v>
      </c>
      <c r="BK107" s="129">
        <f>SUM(BK108:BK113)</f>
        <v>0</v>
      </c>
    </row>
    <row r="108" spans="2:65" s="1" customFormat="1" ht="16.5" customHeight="1">
      <c r="B108" s="132"/>
      <c r="C108" s="133" t="s">
        <v>9</v>
      </c>
      <c r="D108" s="133" t="s">
        <v>153</v>
      </c>
      <c r="E108" s="134" t="s">
        <v>1042</v>
      </c>
      <c r="F108" s="135" t="s">
        <v>1043</v>
      </c>
      <c r="G108" s="136" t="s">
        <v>484</v>
      </c>
      <c r="H108" s="137">
        <v>1</v>
      </c>
      <c r="I108" s="138"/>
      <c r="J108" s="139">
        <f t="shared" ref="J108:J113" si="0">ROUND(I108*H108,2)</f>
        <v>0</v>
      </c>
      <c r="K108" s="135" t="s">
        <v>3</v>
      </c>
      <c r="L108" s="33"/>
      <c r="M108" s="140" t="s">
        <v>3</v>
      </c>
      <c r="N108" s="141" t="s">
        <v>40</v>
      </c>
      <c r="P108" s="142">
        <f t="shared" ref="P108:P113" si="1">O108*H108</f>
        <v>0</v>
      </c>
      <c r="Q108" s="142">
        <v>0</v>
      </c>
      <c r="R108" s="142">
        <f t="shared" ref="R108:R113" si="2">Q108*H108</f>
        <v>0</v>
      </c>
      <c r="S108" s="142">
        <v>0</v>
      </c>
      <c r="T108" s="143">
        <f t="shared" ref="T108:T113" si="3">S108*H108</f>
        <v>0</v>
      </c>
      <c r="AR108" s="144" t="s">
        <v>158</v>
      </c>
      <c r="AT108" s="144" t="s">
        <v>153</v>
      </c>
      <c r="AU108" s="144" t="s">
        <v>168</v>
      </c>
      <c r="AY108" s="18" t="s">
        <v>151</v>
      </c>
      <c r="BE108" s="145">
        <f t="shared" ref="BE108:BE113" si="4">IF(N108="základní",J108,0)</f>
        <v>0</v>
      </c>
      <c r="BF108" s="145">
        <f t="shared" ref="BF108:BF113" si="5">IF(N108="snížená",J108,0)</f>
        <v>0</v>
      </c>
      <c r="BG108" s="145">
        <f t="shared" ref="BG108:BG113" si="6">IF(N108="zákl. přenesená",J108,0)</f>
        <v>0</v>
      </c>
      <c r="BH108" s="145">
        <f t="shared" ref="BH108:BH113" si="7">IF(N108="sníž. přenesená",J108,0)</f>
        <v>0</v>
      </c>
      <c r="BI108" s="145">
        <f t="shared" ref="BI108:BI113" si="8">IF(N108="nulová",J108,0)</f>
        <v>0</v>
      </c>
      <c r="BJ108" s="18" t="s">
        <v>77</v>
      </c>
      <c r="BK108" s="145">
        <f t="shared" ref="BK108:BK113" si="9">ROUND(I108*H108,2)</f>
        <v>0</v>
      </c>
      <c r="BL108" s="18" t="s">
        <v>158</v>
      </c>
      <c r="BM108" s="144" t="s">
        <v>808</v>
      </c>
    </row>
    <row r="109" spans="2:65" s="1" customFormat="1" ht="16.5" customHeight="1">
      <c r="B109" s="132"/>
      <c r="C109" s="133" t="s">
        <v>282</v>
      </c>
      <c r="D109" s="133" t="s">
        <v>153</v>
      </c>
      <c r="E109" s="134" t="s">
        <v>1044</v>
      </c>
      <c r="F109" s="135" t="s">
        <v>1045</v>
      </c>
      <c r="G109" s="136" t="s">
        <v>484</v>
      </c>
      <c r="H109" s="137">
        <v>1</v>
      </c>
      <c r="I109" s="138"/>
      <c r="J109" s="139">
        <f t="shared" si="0"/>
        <v>0</v>
      </c>
      <c r="K109" s="135" t="s">
        <v>3</v>
      </c>
      <c r="L109" s="33"/>
      <c r="M109" s="140" t="s">
        <v>3</v>
      </c>
      <c r="N109" s="141" t="s">
        <v>40</v>
      </c>
      <c r="P109" s="142">
        <f t="shared" si="1"/>
        <v>0</v>
      </c>
      <c r="Q109" s="142">
        <v>0</v>
      </c>
      <c r="R109" s="142">
        <f t="shared" si="2"/>
        <v>0</v>
      </c>
      <c r="S109" s="142">
        <v>0</v>
      </c>
      <c r="T109" s="143">
        <f t="shared" si="3"/>
        <v>0</v>
      </c>
      <c r="AR109" s="144" t="s">
        <v>158</v>
      </c>
      <c r="AT109" s="144" t="s">
        <v>153</v>
      </c>
      <c r="AU109" s="144" t="s">
        <v>168</v>
      </c>
      <c r="AY109" s="18" t="s">
        <v>151</v>
      </c>
      <c r="BE109" s="145">
        <f t="shared" si="4"/>
        <v>0</v>
      </c>
      <c r="BF109" s="145">
        <f t="shared" si="5"/>
        <v>0</v>
      </c>
      <c r="BG109" s="145">
        <f t="shared" si="6"/>
        <v>0</v>
      </c>
      <c r="BH109" s="145">
        <f t="shared" si="7"/>
        <v>0</v>
      </c>
      <c r="BI109" s="145">
        <f t="shared" si="8"/>
        <v>0</v>
      </c>
      <c r="BJ109" s="18" t="s">
        <v>77</v>
      </c>
      <c r="BK109" s="145">
        <f t="shared" si="9"/>
        <v>0</v>
      </c>
      <c r="BL109" s="18" t="s">
        <v>158</v>
      </c>
      <c r="BM109" s="144" t="s">
        <v>202</v>
      </c>
    </row>
    <row r="110" spans="2:65" s="1" customFormat="1" ht="37.9" customHeight="1">
      <c r="B110" s="132"/>
      <c r="C110" s="133" t="s">
        <v>287</v>
      </c>
      <c r="D110" s="133" t="s">
        <v>153</v>
      </c>
      <c r="E110" s="134" t="s">
        <v>1046</v>
      </c>
      <c r="F110" s="135" t="s">
        <v>1047</v>
      </c>
      <c r="G110" s="136" t="s">
        <v>479</v>
      </c>
      <c r="H110" s="137">
        <v>110</v>
      </c>
      <c r="I110" s="138"/>
      <c r="J110" s="139">
        <f t="shared" si="0"/>
        <v>0</v>
      </c>
      <c r="K110" s="135" t="s">
        <v>3</v>
      </c>
      <c r="L110" s="33"/>
      <c r="M110" s="140" t="s">
        <v>3</v>
      </c>
      <c r="N110" s="141" t="s">
        <v>40</v>
      </c>
      <c r="P110" s="142">
        <f t="shared" si="1"/>
        <v>0</v>
      </c>
      <c r="Q110" s="142">
        <v>0</v>
      </c>
      <c r="R110" s="142">
        <f t="shared" si="2"/>
        <v>0</v>
      </c>
      <c r="S110" s="142">
        <v>0</v>
      </c>
      <c r="T110" s="143">
        <f t="shared" si="3"/>
        <v>0</v>
      </c>
      <c r="AR110" s="144" t="s">
        <v>158</v>
      </c>
      <c r="AT110" s="144" t="s">
        <v>153</v>
      </c>
      <c r="AU110" s="144" t="s">
        <v>168</v>
      </c>
      <c r="AY110" s="18" t="s">
        <v>151</v>
      </c>
      <c r="BE110" s="145">
        <f t="shared" si="4"/>
        <v>0</v>
      </c>
      <c r="BF110" s="145">
        <f t="shared" si="5"/>
        <v>0</v>
      </c>
      <c r="BG110" s="145">
        <f t="shared" si="6"/>
        <v>0</v>
      </c>
      <c r="BH110" s="145">
        <f t="shared" si="7"/>
        <v>0</v>
      </c>
      <c r="BI110" s="145">
        <f t="shared" si="8"/>
        <v>0</v>
      </c>
      <c r="BJ110" s="18" t="s">
        <v>77</v>
      </c>
      <c r="BK110" s="145">
        <f t="shared" si="9"/>
        <v>0</v>
      </c>
      <c r="BL110" s="18" t="s">
        <v>158</v>
      </c>
      <c r="BM110" s="144" t="s">
        <v>410</v>
      </c>
    </row>
    <row r="111" spans="2:65" s="1" customFormat="1" ht="16.5" customHeight="1">
      <c r="B111" s="132"/>
      <c r="C111" s="133" t="s">
        <v>299</v>
      </c>
      <c r="D111" s="133" t="s">
        <v>153</v>
      </c>
      <c r="E111" s="134" t="s">
        <v>1048</v>
      </c>
      <c r="F111" s="135" t="s">
        <v>1049</v>
      </c>
      <c r="G111" s="136" t="s">
        <v>484</v>
      </c>
      <c r="H111" s="137">
        <v>1</v>
      </c>
      <c r="I111" s="138"/>
      <c r="J111" s="139">
        <f t="shared" si="0"/>
        <v>0</v>
      </c>
      <c r="K111" s="135" t="s">
        <v>3</v>
      </c>
      <c r="L111" s="33"/>
      <c r="M111" s="140" t="s">
        <v>3</v>
      </c>
      <c r="N111" s="141" t="s">
        <v>40</v>
      </c>
      <c r="P111" s="142">
        <f t="shared" si="1"/>
        <v>0</v>
      </c>
      <c r="Q111" s="142">
        <v>0</v>
      </c>
      <c r="R111" s="142">
        <f t="shared" si="2"/>
        <v>0</v>
      </c>
      <c r="S111" s="142">
        <v>0</v>
      </c>
      <c r="T111" s="143">
        <f t="shared" si="3"/>
        <v>0</v>
      </c>
      <c r="AR111" s="144" t="s">
        <v>158</v>
      </c>
      <c r="AT111" s="144" t="s">
        <v>153</v>
      </c>
      <c r="AU111" s="144" t="s">
        <v>168</v>
      </c>
      <c r="AY111" s="18" t="s">
        <v>151</v>
      </c>
      <c r="BE111" s="145">
        <f t="shared" si="4"/>
        <v>0</v>
      </c>
      <c r="BF111" s="145">
        <f t="shared" si="5"/>
        <v>0</v>
      </c>
      <c r="BG111" s="145">
        <f t="shared" si="6"/>
        <v>0</v>
      </c>
      <c r="BH111" s="145">
        <f t="shared" si="7"/>
        <v>0</v>
      </c>
      <c r="BI111" s="145">
        <f t="shared" si="8"/>
        <v>0</v>
      </c>
      <c r="BJ111" s="18" t="s">
        <v>77</v>
      </c>
      <c r="BK111" s="145">
        <f t="shared" si="9"/>
        <v>0</v>
      </c>
      <c r="BL111" s="18" t="s">
        <v>158</v>
      </c>
      <c r="BM111" s="144" t="s">
        <v>423</v>
      </c>
    </row>
    <row r="112" spans="2:65" s="1" customFormat="1" ht="16.5" customHeight="1">
      <c r="B112" s="132"/>
      <c r="C112" s="133" t="s">
        <v>306</v>
      </c>
      <c r="D112" s="133" t="s">
        <v>153</v>
      </c>
      <c r="E112" s="134" t="s">
        <v>1050</v>
      </c>
      <c r="F112" s="135" t="s">
        <v>1051</v>
      </c>
      <c r="G112" s="136" t="s">
        <v>484</v>
      </c>
      <c r="H112" s="137">
        <v>1</v>
      </c>
      <c r="I112" s="138"/>
      <c r="J112" s="139">
        <f t="shared" si="0"/>
        <v>0</v>
      </c>
      <c r="K112" s="135" t="s">
        <v>3</v>
      </c>
      <c r="L112" s="33"/>
      <c r="M112" s="140" t="s">
        <v>3</v>
      </c>
      <c r="N112" s="141" t="s">
        <v>40</v>
      </c>
      <c r="P112" s="142">
        <f t="shared" si="1"/>
        <v>0</v>
      </c>
      <c r="Q112" s="142">
        <v>0</v>
      </c>
      <c r="R112" s="142">
        <f t="shared" si="2"/>
        <v>0</v>
      </c>
      <c r="S112" s="142">
        <v>0</v>
      </c>
      <c r="T112" s="143">
        <f t="shared" si="3"/>
        <v>0</v>
      </c>
      <c r="AR112" s="144" t="s">
        <v>158</v>
      </c>
      <c r="AT112" s="144" t="s">
        <v>153</v>
      </c>
      <c r="AU112" s="144" t="s">
        <v>168</v>
      </c>
      <c r="AY112" s="18" t="s">
        <v>151</v>
      </c>
      <c r="BE112" s="145">
        <f t="shared" si="4"/>
        <v>0</v>
      </c>
      <c r="BF112" s="145">
        <f t="shared" si="5"/>
        <v>0</v>
      </c>
      <c r="BG112" s="145">
        <f t="shared" si="6"/>
        <v>0</v>
      </c>
      <c r="BH112" s="145">
        <f t="shared" si="7"/>
        <v>0</v>
      </c>
      <c r="BI112" s="145">
        <f t="shared" si="8"/>
        <v>0</v>
      </c>
      <c r="BJ112" s="18" t="s">
        <v>77</v>
      </c>
      <c r="BK112" s="145">
        <f t="shared" si="9"/>
        <v>0</v>
      </c>
      <c r="BL112" s="18" t="s">
        <v>158</v>
      </c>
      <c r="BM112" s="144" t="s">
        <v>476</v>
      </c>
    </row>
    <row r="113" spans="2:65" s="1" customFormat="1" ht="16.5" customHeight="1">
      <c r="B113" s="132"/>
      <c r="C113" s="133" t="s">
        <v>317</v>
      </c>
      <c r="D113" s="133" t="s">
        <v>153</v>
      </c>
      <c r="E113" s="134" t="s">
        <v>1052</v>
      </c>
      <c r="F113" s="135" t="s">
        <v>1053</v>
      </c>
      <c r="G113" s="136" t="s">
        <v>484</v>
      </c>
      <c r="H113" s="137">
        <v>1</v>
      </c>
      <c r="I113" s="138"/>
      <c r="J113" s="139">
        <f t="shared" si="0"/>
        <v>0</v>
      </c>
      <c r="K113" s="135" t="s">
        <v>3</v>
      </c>
      <c r="L113" s="33"/>
      <c r="M113" s="185" t="s">
        <v>3</v>
      </c>
      <c r="N113" s="186" t="s">
        <v>40</v>
      </c>
      <c r="O113" s="183"/>
      <c r="P113" s="187">
        <f t="shared" si="1"/>
        <v>0</v>
      </c>
      <c r="Q113" s="187">
        <v>0</v>
      </c>
      <c r="R113" s="187">
        <f t="shared" si="2"/>
        <v>0</v>
      </c>
      <c r="S113" s="187">
        <v>0</v>
      </c>
      <c r="T113" s="188">
        <f t="shared" si="3"/>
        <v>0</v>
      </c>
      <c r="AR113" s="144" t="s">
        <v>158</v>
      </c>
      <c r="AT113" s="144" t="s">
        <v>153</v>
      </c>
      <c r="AU113" s="144" t="s">
        <v>168</v>
      </c>
      <c r="AY113" s="18" t="s">
        <v>151</v>
      </c>
      <c r="BE113" s="145">
        <f t="shared" si="4"/>
        <v>0</v>
      </c>
      <c r="BF113" s="145">
        <f t="shared" si="5"/>
        <v>0</v>
      </c>
      <c r="BG113" s="145">
        <f t="shared" si="6"/>
        <v>0</v>
      </c>
      <c r="BH113" s="145">
        <f t="shared" si="7"/>
        <v>0</v>
      </c>
      <c r="BI113" s="145">
        <f t="shared" si="8"/>
        <v>0</v>
      </c>
      <c r="BJ113" s="18" t="s">
        <v>77</v>
      </c>
      <c r="BK113" s="145">
        <f t="shared" si="9"/>
        <v>0</v>
      </c>
      <c r="BL113" s="18" t="s">
        <v>158</v>
      </c>
      <c r="BM113" s="144" t="s">
        <v>486</v>
      </c>
    </row>
    <row r="114" spans="2:65" s="1" customFormat="1" ht="6.95" customHeight="1">
      <c r="B114" s="42"/>
      <c r="C114" s="43"/>
      <c r="D114" s="43"/>
      <c r="E114" s="43"/>
      <c r="F114" s="43"/>
      <c r="G114" s="43"/>
      <c r="H114" s="43"/>
      <c r="I114" s="43"/>
      <c r="J114" s="43"/>
      <c r="K114" s="43"/>
      <c r="L114" s="33"/>
    </row>
  </sheetData>
  <autoFilter ref="C85:K113" xr:uid="{00000000-0009-0000-0000-000003000000}"/>
  <mergeCells count="9">
    <mergeCell ref="E50:H50"/>
    <mergeCell ref="E76:H76"/>
    <mergeCell ref="E78:H78"/>
    <mergeCell ref="L2:V2"/>
    <mergeCell ref="E7:H7"/>
    <mergeCell ref="E9:H9"/>
    <mergeCell ref="E18:H18"/>
    <mergeCell ref="E27:H27"/>
    <mergeCell ref="E48:H48"/>
  </mergeCells>
  <pageMargins left="0.39374999999999999" right="0.39374999999999999" top="0.39374999999999999" bottom="0.39374999999999999" header="0" footer="0"/>
  <pageSetup paperSize="9" fitToHeight="100" orientation="landscape" blackAndWhite="1"/>
  <headerFooter>
    <oddFooter>&amp;CStrana &amp;P z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BM102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10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304" t="s">
        <v>6</v>
      </c>
      <c r="M2" s="289"/>
      <c r="N2" s="289"/>
      <c r="O2" s="289"/>
      <c r="P2" s="289"/>
      <c r="Q2" s="289"/>
      <c r="R2" s="289"/>
      <c r="S2" s="289"/>
      <c r="T2" s="289"/>
      <c r="U2" s="289"/>
      <c r="V2" s="289"/>
      <c r="AT2" s="18" t="s">
        <v>88</v>
      </c>
    </row>
    <row r="3" spans="2:46" ht="6.9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1"/>
      <c r="AT3" s="18" t="s">
        <v>79</v>
      </c>
    </row>
    <row r="4" spans="2:46" ht="24.95" customHeight="1">
      <c r="B4" s="21"/>
      <c r="D4" s="22" t="s">
        <v>114</v>
      </c>
      <c r="L4" s="21"/>
      <c r="M4" s="91" t="s">
        <v>11</v>
      </c>
      <c r="AT4" s="18" t="s">
        <v>4</v>
      </c>
    </row>
    <row r="5" spans="2:46" ht="6.95" customHeight="1">
      <c r="B5" s="21"/>
      <c r="L5" s="21"/>
    </row>
    <row r="6" spans="2:46" ht="12" customHeight="1">
      <c r="B6" s="21"/>
      <c r="D6" s="28" t="s">
        <v>17</v>
      </c>
      <c r="L6" s="21"/>
    </row>
    <row r="7" spans="2:46" ht="16.5" customHeight="1">
      <c r="B7" s="21"/>
      <c r="E7" s="319" t="str">
        <f>'Rekapitulace stavby'!K6</f>
        <v>SKLAD ŠKROBU P-001</v>
      </c>
      <c r="F7" s="320"/>
      <c r="G7" s="320"/>
      <c r="H7" s="320"/>
      <c r="L7" s="21"/>
    </row>
    <row r="8" spans="2:46" s="1" customFormat="1" ht="12" customHeight="1">
      <c r="B8" s="33"/>
      <c r="D8" s="28" t="s">
        <v>115</v>
      </c>
      <c r="L8" s="33"/>
    </row>
    <row r="9" spans="2:46" s="1" customFormat="1" ht="16.5" customHeight="1">
      <c r="B9" s="33"/>
      <c r="E9" s="282" t="s">
        <v>1054</v>
      </c>
      <c r="F9" s="321"/>
      <c r="G9" s="321"/>
      <c r="H9" s="321"/>
      <c r="L9" s="33"/>
    </row>
    <row r="10" spans="2:46" s="1" customFormat="1" ht="11.25">
      <c r="B10" s="33"/>
      <c r="L10" s="33"/>
    </row>
    <row r="11" spans="2:46" s="1" customFormat="1" ht="12" customHeight="1">
      <c r="B11" s="33"/>
      <c r="D11" s="28" t="s">
        <v>19</v>
      </c>
      <c r="F11" s="26" t="s">
        <v>3</v>
      </c>
      <c r="I11" s="28" t="s">
        <v>20</v>
      </c>
      <c r="J11" s="26" t="s">
        <v>3</v>
      </c>
      <c r="L11" s="33"/>
    </row>
    <row r="12" spans="2:46" s="1" customFormat="1" ht="12" customHeight="1">
      <c r="B12" s="33"/>
      <c r="D12" s="28" t="s">
        <v>21</v>
      </c>
      <c r="F12" s="26" t="s">
        <v>22</v>
      </c>
      <c r="I12" s="28" t="s">
        <v>23</v>
      </c>
      <c r="J12" s="50">
        <f>'Rekapitulace stavby'!AN8</f>
        <v>45167</v>
      </c>
      <c r="L12" s="33"/>
    </row>
    <row r="13" spans="2:46" s="1" customFormat="1" ht="10.9" customHeight="1">
      <c r="B13" s="33"/>
      <c r="L13" s="33"/>
    </row>
    <row r="14" spans="2:46" s="1" customFormat="1" ht="12" customHeight="1">
      <c r="B14" s="33"/>
      <c r="D14" s="28" t="s">
        <v>24</v>
      </c>
      <c r="I14" s="28" t="s">
        <v>25</v>
      </c>
      <c r="J14" s="26" t="str">
        <f>IF('Rekapitulace stavby'!AN10="","",'Rekapitulace stavby'!AN10)</f>
        <v/>
      </c>
      <c r="L14" s="33"/>
    </row>
    <row r="15" spans="2:46" s="1" customFormat="1" ht="18" customHeight="1">
      <c r="B15" s="33"/>
      <c r="E15" s="26" t="str">
        <f>IF('Rekapitulace stavby'!E11="","",'Rekapitulace stavby'!E11)</f>
        <v xml:space="preserve"> </v>
      </c>
      <c r="I15" s="28" t="s">
        <v>26</v>
      </c>
      <c r="J15" s="26" t="str">
        <f>IF('Rekapitulace stavby'!AN11="","",'Rekapitulace stavby'!AN11)</f>
        <v/>
      </c>
      <c r="L15" s="33"/>
    </row>
    <row r="16" spans="2:46" s="1" customFormat="1" ht="6.95" customHeight="1">
      <c r="B16" s="33"/>
      <c r="L16" s="33"/>
    </row>
    <row r="17" spans="2:12" s="1" customFormat="1" ht="12" customHeight="1">
      <c r="B17" s="33"/>
      <c r="D17" s="28" t="s">
        <v>27</v>
      </c>
      <c r="I17" s="28" t="s">
        <v>25</v>
      </c>
      <c r="J17" s="29" t="str">
        <f>'Rekapitulace stavby'!AN13</f>
        <v>Vyplň údaj</v>
      </c>
      <c r="L17" s="33"/>
    </row>
    <row r="18" spans="2:12" s="1" customFormat="1" ht="18" customHeight="1">
      <c r="B18" s="33"/>
      <c r="E18" s="322" t="str">
        <f>'Rekapitulace stavby'!E14</f>
        <v>Vyplň údaj</v>
      </c>
      <c r="F18" s="288"/>
      <c r="G18" s="288"/>
      <c r="H18" s="288"/>
      <c r="I18" s="28" t="s">
        <v>26</v>
      </c>
      <c r="J18" s="29" t="str">
        <f>'Rekapitulace stavby'!AN14</f>
        <v>Vyplň údaj</v>
      </c>
      <c r="L18" s="33"/>
    </row>
    <row r="19" spans="2:12" s="1" customFormat="1" ht="6.95" customHeight="1">
      <c r="B19" s="33"/>
      <c r="L19" s="33"/>
    </row>
    <row r="20" spans="2:12" s="1" customFormat="1" ht="12" customHeight="1">
      <c r="B20" s="33"/>
      <c r="D20" s="28" t="s">
        <v>29</v>
      </c>
      <c r="I20" s="28" t="s">
        <v>25</v>
      </c>
      <c r="J20" s="26" t="str">
        <f>IF('Rekapitulace stavby'!AN16="","",'Rekapitulace stavby'!AN16)</f>
        <v/>
      </c>
      <c r="L20" s="33"/>
    </row>
    <row r="21" spans="2:12" s="1" customFormat="1" ht="18" customHeight="1">
      <c r="B21" s="33"/>
      <c r="E21" s="26" t="str">
        <f>IF('Rekapitulace stavby'!E17="","",'Rekapitulace stavby'!E17)</f>
        <v xml:space="preserve"> </v>
      </c>
      <c r="I21" s="28" t="s">
        <v>26</v>
      </c>
      <c r="J21" s="26" t="str">
        <f>IF('Rekapitulace stavby'!AN17="","",'Rekapitulace stavby'!AN17)</f>
        <v/>
      </c>
      <c r="L21" s="33"/>
    </row>
    <row r="22" spans="2:12" s="1" customFormat="1" ht="6.95" customHeight="1">
      <c r="B22" s="33"/>
      <c r="L22" s="33"/>
    </row>
    <row r="23" spans="2:12" s="1" customFormat="1" ht="12" customHeight="1">
      <c r="B23" s="33"/>
      <c r="D23" s="28" t="s">
        <v>31</v>
      </c>
      <c r="I23" s="28" t="s">
        <v>25</v>
      </c>
      <c r="J23" s="26" t="str">
        <f>IF('Rekapitulace stavby'!AN19="","",'Rekapitulace stavby'!AN19)</f>
        <v/>
      </c>
      <c r="L23" s="33"/>
    </row>
    <row r="24" spans="2:12" s="1" customFormat="1" ht="18" customHeight="1">
      <c r="B24" s="33"/>
      <c r="E24" s="26" t="str">
        <f>IF('Rekapitulace stavby'!E20="","",'Rekapitulace stavby'!E20)</f>
        <v>rostarek s.r.o.</v>
      </c>
      <c r="I24" s="28" t="s">
        <v>26</v>
      </c>
      <c r="J24" s="26" t="str">
        <f>IF('Rekapitulace stavby'!AN20="","",'Rekapitulace stavby'!AN20)</f>
        <v/>
      </c>
      <c r="L24" s="33"/>
    </row>
    <row r="25" spans="2:12" s="1" customFormat="1" ht="6.95" customHeight="1">
      <c r="B25" s="33"/>
      <c r="L25" s="33"/>
    </row>
    <row r="26" spans="2:12" s="1" customFormat="1" ht="12" customHeight="1">
      <c r="B26" s="33"/>
      <c r="D26" s="28" t="s">
        <v>33</v>
      </c>
      <c r="L26" s="33"/>
    </row>
    <row r="27" spans="2:12" s="7" customFormat="1" ht="16.5" customHeight="1">
      <c r="B27" s="92"/>
      <c r="E27" s="293" t="s">
        <v>3</v>
      </c>
      <c r="F27" s="293"/>
      <c r="G27" s="293"/>
      <c r="H27" s="293"/>
      <c r="L27" s="92"/>
    </row>
    <row r="28" spans="2:12" s="1" customFormat="1" ht="6.95" customHeight="1">
      <c r="B28" s="33"/>
      <c r="L28" s="33"/>
    </row>
    <row r="29" spans="2:12" s="1" customFormat="1" ht="6.95" customHeight="1">
      <c r="B29" s="33"/>
      <c r="D29" s="51"/>
      <c r="E29" s="51"/>
      <c r="F29" s="51"/>
      <c r="G29" s="51"/>
      <c r="H29" s="51"/>
      <c r="I29" s="51"/>
      <c r="J29" s="51"/>
      <c r="K29" s="51"/>
      <c r="L29" s="33"/>
    </row>
    <row r="30" spans="2:12" s="1" customFormat="1" ht="25.35" customHeight="1">
      <c r="B30" s="33"/>
      <c r="D30" s="93" t="s">
        <v>35</v>
      </c>
      <c r="J30" s="64">
        <f>ROUND(J83, 2)</f>
        <v>0</v>
      </c>
      <c r="L30" s="33"/>
    </row>
    <row r="31" spans="2:12" s="1" customFormat="1" ht="6.95" customHeight="1">
      <c r="B31" s="33"/>
      <c r="D31" s="51"/>
      <c r="E31" s="51"/>
      <c r="F31" s="51"/>
      <c r="G31" s="51"/>
      <c r="H31" s="51"/>
      <c r="I31" s="51"/>
      <c r="J31" s="51"/>
      <c r="K31" s="51"/>
      <c r="L31" s="33"/>
    </row>
    <row r="32" spans="2:12" s="1" customFormat="1" ht="14.45" customHeight="1">
      <c r="B32" s="33"/>
      <c r="F32" s="36" t="s">
        <v>37</v>
      </c>
      <c r="I32" s="36" t="s">
        <v>36</v>
      </c>
      <c r="J32" s="36" t="s">
        <v>38</v>
      </c>
      <c r="L32" s="33"/>
    </row>
    <row r="33" spans="2:12" s="1" customFormat="1" ht="14.45" customHeight="1">
      <c r="B33" s="33"/>
      <c r="D33" s="53" t="s">
        <v>39</v>
      </c>
      <c r="E33" s="28" t="s">
        <v>40</v>
      </c>
      <c r="F33" s="84">
        <f>ROUND((SUM(BE83:BE101)),  2)</f>
        <v>0</v>
      </c>
      <c r="I33" s="94">
        <v>0.21</v>
      </c>
      <c r="J33" s="84">
        <f>ROUND(((SUM(BE83:BE101))*I33),  2)</f>
        <v>0</v>
      </c>
      <c r="L33" s="33"/>
    </row>
    <row r="34" spans="2:12" s="1" customFormat="1" ht="14.45" customHeight="1">
      <c r="B34" s="33"/>
      <c r="E34" s="28" t="s">
        <v>41</v>
      </c>
      <c r="F34" s="84">
        <f>ROUND((SUM(BF83:BF101)),  2)</f>
        <v>0</v>
      </c>
      <c r="I34" s="94">
        <v>0.15</v>
      </c>
      <c r="J34" s="84">
        <f>ROUND(((SUM(BF83:BF101))*I34),  2)</f>
        <v>0</v>
      </c>
      <c r="L34" s="33"/>
    </row>
    <row r="35" spans="2:12" s="1" customFormat="1" ht="14.45" hidden="1" customHeight="1">
      <c r="B35" s="33"/>
      <c r="E35" s="28" t="s">
        <v>42</v>
      </c>
      <c r="F35" s="84">
        <f>ROUND((SUM(BG83:BG101)),  2)</f>
        <v>0</v>
      </c>
      <c r="I35" s="94">
        <v>0.21</v>
      </c>
      <c r="J35" s="84">
        <f>0</f>
        <v>0</v>
      </c>
      <c r="L35" s="33"/>
    </row>
    <row r="36" spans="2:12" s="1" customFormat="1" ht="14.45" hidden="1" customHeight="1">
      <c r="B36" s="33"/>
      <c r="E36" s="28" t="s">
        <v>43</v>
      </c>
      <c r="F36" s="84">
        <f>ROUND((SUM(BH83:BH101)),  2)</f>
        <v>0</v>
      </c>
      <c r="I36" s="94">
        <v>0.15</v>
      </c>
      <c r="J36" s="84">
        <f>0</f>
        <v>0</v>
      </c>
      <c r="L36" s="33"/>
    </row>
    <row r="37" spans="2:12" s="1" customFormat="1" ht="14.45" hidden="1" customHeight="1">
      <c r="B37" s="33"/>
      <c r="E37" s="28" t="s">
        <v>44</v>
      </c>
      <c r="F37" s="84">
        <f>ROUND((SUM(BI83:BI101)),  2)</f>
        <v>0</v>
      </c>
      <c r="I37" s="94">
        <v>0</v>
      </c>
      <c r="J37" s="84">
        <f>0</f>
        <v>0</v>
      </c>
      <c r="L37" s="33"/>
    </row>
    <row r="38" spans="2:12" s="1" customFormat="1" ht="6.95" customHeight="1">
      <c r="B38" s="33"/>
      <c r="L38" s="33"/>
    </row>
    <row r="39" spans="2:12" s="1" customFormat="1" ht="25.35" customHeight="1">
      <c r="B39" s="33"/>
      <c r="C39" s="95"/>
      <c r="D39" s="96" t="s">
        <v>45</v>
      </c>
      <c r="E39" s="55"/>
      <c r="F39" s="55"/>
      <c r="G39" s="97" t="s">
        <v>46</v>
      </c>
      <c r="H39" s="98" t="s">
        <v>47</v>
      </c>
      <c r="I39" s="55"/>
      <c r="J39" s="99">
        <f>SUM(J30:J37)</f>
        <v>0</v>
      </c>
      <c r="K39" s="100"/>
      <c r="L39" s="33"/>
    </row>
    <row r="40" spans="2:12" s="1" customFormat="1" ht="14.45" customHeight="1"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33"/>
    </row>
    <row r="44" spans="2:12" s="1" customFormat="1" ht="6.95" customHeight="1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33"/>
    </row>
    <row r="45" spans="2:12" s="1" customFormat="1" ht="24.95" customHeight="1">
      <c r="B45" s="33"/>
      <c r="C45" s="22" t="s">
        <v>117</v>
      </c>
      <c r="L45" s="33"/>
    </row>
    <row r="46" spans="2:12" s="1" customFormat="1" ht="6.95" customHeight="1">
      <c r="B46" s="33"/>
      <c r="L46" s="33"/>
    </row>
    <row r="47" spans="2:12" s="1" customFormat="1" ht="12" customHeight="1">
      <c r="B47" s="33"/>
      <c r="C47" s="28" t="s">
        <v>17</v>
      </c>
      <c r="L47" s="33"/>
    </row>
    <row r="48" spans="2:12" s="1" customFormat="1" ht="16.5" customHeight="1">
      <c r="B48" s="33"/>
      <c r="E48" s="319" t="str">
        <f>E7</f>
        <v>SKLAD ŠKROBU P-001</v>
      </c>
      <c r="F48" s="320"/>
      <c r="G48" s="320"/>
      <c r="H48" s="320"/>
      <c r="L48" s="33"/>
    </row>
    <row r="49" spans="2:47" s="1" customFormat="1" ht="12" customHeight="1">
      <c r="B49" s="33"/>
      <c r="C49" s="28" t="s">
        <v>115</v>
      </c>
      <c r="L49" s="33"/>
    </row>
    <row r="50" spans="2:47" s="1" customFormat="1" ht="16.5" customHeight="1">
      <c r="B50" s="33"/>
      <c r="E50" s="282" t="str">
        <f>E9</f>
        <v>2023/003/d - SO-21 - Vytápění</v>
      </c>
      <c r="F50" s="321"/>
      <c r="G50" s="321"/>
      <c r="H50" s="321"/>
      <c r="L50" s="33"/>
    </row>
    <row r="51" spans="2:47" s="1" customFormat="1" ht="6.95" customHeight="1">
      <c r="B51" s="33"/>
      <c r="L51" s="33"/>
    </row>
    <row r="52" spans="2:47" s="1" customFormat="1" ht="12" customHeight="1">
      <c r="B52" s="33"/>
      <c r="C52" s="28" t="s">
        <v>21</v>
      </c>
      <c r="F52" s="26" t="str">
        <f>F12</f>
        <v xml:space="preserve"> </v>
      </c>
      <c r="I52" s="28" t="s">
        <v>23</v>
      </c>
      <c r="J52" s="50">
        <f>IF(J12="","",J12)</f>
        <v>45167</v>
      </c>
      <c r="L52" s="33"/>
    </row>
    <row r="53" spans="2:47" s="1" customFormat="1" ht="6.95" customHeight="1">
      <c r="B53" s="33"/>
      <c r="L53" s="33"/>
    </row>
    <row r="54" spans="2:47" s="1" customFormat="1" ht="15.2" customHeight="1">
      <c r="B54" s="33"/>
      <c r="C54" s="28" t="s">
        <v>24</v>
      </c>
      <c r="F54" s="26" t="str">
        <f>E15</f>
        <v xml:space="preserve"> </v>
      </c>
      <c r="I54" s="28" t="s">
        <v>29</v>
      </c>
      <c r="J54" s="31" t="str">
        <f>E21</f>
        <v xml:space="preserve"> </v>
      </c>
      <c r="L54" s="33"/>
    </row>
    <row r="55" spans="2:47" s="1" customFormat="1" ht="15.2" customHeight="1">
      <c r="B55" s="33"/>
      <c r="C55" s="28" t="s">
        <v>27</v>
      </c>
      <c r="F55" s="26" t="str">
        <f>IF(E18="","",E18)</f>
        <v>Vyplň údaj</v>
      </c>
      <c r="I55" s="28" t="s">
        <v>31</v>
      </c>
      <c r="J55" s="31" t="str">
        <f>E24</f>
        <v>rostarek s.r.o.</v>
      </c>
      <c r="L55" s="33"/>
    </row>
    <row r="56" spans="2:47" s="1" customFormat="1" ht="10.35" customHeight="1">
      <c r="B56" s="33"/>
      <c r="L56" s="33"/>
    </row>
    <row r="57" spans="2:47" s="1" customFormat="1" ht="29.25" customHeight="1">
      <c r="B57" s="33"/>
      <c r="C57" s="101" t="s">
        <v>118</v>
      </c>
      <c r="D57" s="95"/>
      <c r="E57" s="95"/>
      <c r="F57" s="95"/>
      <c r="G57" s="95"/>
      <c r="H57" s="95"/>
      <c r="I57" s="95"/>
      <c r="J57" s="102" t="s">
        <v>119</v>
      </c>
      <c r="K57" s="95"/>
      <c r="L57" s="33"/>
    </row>
    <row r="58" spans="2:47" s="1" customFormat="1" ht="10.35" customHeight="1">
      <c r="B58" s="33"/>
      <c r="L58" s="33"/>
    </row>
    <row r="59" spans="2:47" s="1" customFormat="1" ht="22.9" customHeight="1">
      <c r="B59" s="33"/>
      <c r="C59" s="103" t="s">
        <v>67</v>
      </c>
      <c r="J59" s="64">
        <f>J83</f>
        <v>0</v>
      </c>
      <c r="L59" s="33"/>
      <c r="AU59" s="18" t="s">
        <v>120</v>
      </c>
    </row>
    <row r="60" spans="2:47" s="8" customFormat="1" ht="24.95" customHeight="1">
      <c r="B60" s="104"/>
      <c r="D60" s="105" t="s">
        <v>1055</v>
      </c>
      <c r="E60" s="106"/>
      <c r="F60" s="106"/>
      <c r="G60" s="106"/>
      <c r="H60" s="106"/>
      <c r="I60" s="106"/>
      <c r="J60" s="107">
        <f>J84</f>
        <v>0</v>
      </c>
      <c r="L60" s="104"/>
    </row>
    <row r="61" spans="2:47" s="9" customFormat="1" ht="19.899999999999999" customHeight="1">
      <c r="B61" s="108"/>
      <c r="D61" s="109" t="s">
        <v>1056</v>
      </c>
      <c r="E61" s="110"/>
      <c r="F61" s="110"/>
      <c r="G61" s="110"/>
      <c r="H61" s="110"/>
      <c r="I61" s="110"/>
      <c r="J61" s="111">
        <f>J85</f>
        <v>0</v>
      </c>
      <c r="L61" s="108"/>
    </row>
    <row r="62" spans="2:47" s="9" customFormat="1" ht="19.899999999999999" customHeight="1">
      <c r="B62" s="108"/>
      <c r="D62" s="109" t="s">
        <v>1057</v>
      </c>
      <c r="E62" s="110"/>
      <c r="F62" s="110"/>
      <c r="G62" s="110"/>
      <c r="H62" s="110"/>
      <c r="I62" s="110"/>
      <c r="J62" s="111">
        <f>J90</f>
        <v>0</v>
      </c>
      <c r="L62" s="108"/>
    </row>
    <row r="63" spans="2:47" s="9" customFormat="1" ht="14.85" customHeight="1">
      <c r="B63" s="108"/>
      <c r="D63" s="109" t="s">
        <v>1058</v>
      </c>
      <c r="E63" s="110"/>
      <c r="F63" s="110"/>
      <c r="G63" s="110"/>
      <c r="H63" s="110"/>
      <c r="I63" s="110"/>
      <c r="J63" s="111">
        <f>J100</f>
        <v>0</v>
      </c>
      <c r="L63" s="108"/>
    </row>
    <row r="64" spans="2:47" s="1" customFormat="1" ht="21.75" customHeight="1">
      <c r="B64" s="33"/>
      <c r="L64" s="33"/>
    </row>
    <row r="65" spans="2:12" s="1" customFormat="1" ht="6.95" customHeight="1">
      <c r="B65" s="42"/>
      <c r="C65" s="43"/>
      <c r="D65" s="43"/>
      <c r="E65" s="43"/>
      <c r="F65" s="43"/>
      <c r="G65" s="43"/>
      <c r="H65" s="43"/>
      <c r="I65" s="43"/>
      <c r="J65" s="43"/>
      <c r="K65" s="43"/>
      <c r="L65" s="33"/>
    </row>
    <row r="69" spans="2:12" s="1" customFormat="1" ht="6.95" customHeight="1">
      <c r="B69" s="44"/>
      <c r="C69" s="45"/>
      <c r="D69" s="45"/>
      <c r="E69" s="45"/>
      <c r="F69" s="45"/>
      <c r="G69" s="45"/>
      <c r="H69" s="45"/>
      <c r="I69" s="45"/>
      <c r="J69" s="45"/>
      <c r="K69" s="45"/>
      <c r="L69" s="33"/>
    </row>
    <row r="70" spans="2:12" s="1" customFormat="1" ht="24.95" customHeight="1">
      <c r="B70" s="33"/>
      <c r="C70" s="22" t="s">
        <v>137</v>
      </c>
      <c r="L70" s="33"/>
    </row>
    <row r="71" spans="2:12" s="1" customFormat="1" ht="6.95" customHeight="1">
      <c r="B71" s="33"/>
      <c r="L71" s="33"/>
    </row>
    <row r="72" spans="2:12" s="1" customFormat="1" ht="12" customHeight="1">
      <c r="B72" s="33"/>
      <c r="C72" s="28" t="s">
        <v>17</v>
      </c>
      <c r="L72" s="33"/>
    </row>
    <row r="73" spans="2:12" s="1" customFormat="1" ht="16.5" customHeight="1">
      <c r="B73" s="33"/>
      <c r="E73" s="319" t="str">
        <f>E7</f>
        <v>SKLAD ŠKROBU P-001</v>
      </c>
      <c r="F73" s="320"/>
      <c r="G73" s="320"/>
      <c r="H73" s="320"/>
      <c r="L73" s="33"/>
    </row>
    <row r="74" spans="2:12" s="1" customFormat="1" ht="12" customHeight="1">
      <c r="B74" s="33"/>
      <c r="C74" s="28" t="s">
        <v>115</v>
      </c>
      <c r="L74" s="33"/>
    </row>
    <row r="75" spans="2:12" s="1" customFormat="1" ht="16.5" customHeight="1">
      <c r="B75" s="33"/>
      <c r="E75" s="282" t="str">
        <f>E9</f>
        <v>2023/003/d - SO-21 - Vytápění</v>
      </c>
      <c r="F75" s="321"/>
      <c r="G75" s="321"/>
      <c r="H75" s="321"/>
      <c r="L75" s="33"/>
    </row>
    <row r="76" spans="2:12" s="1" customFormat="1" ht="6.95" customHeight="1">
      <c r="B76" s="33"/>
      <c r="L76" s="33"/>
    </row>
    <row r="77" spans="2:12" s="1" customFormat="1" ht="12" customHeight="1">
      <c r="B77" s="33"/>
      <c r="C77" s="28" t="s">
        <v>21</v>
      </c>
      <c r="F77" s="26" t="str">
        <f>F12</f>
        <v xml:space="preserve"> </v>
      </c>
      <c r="I77" s="28" t="s">
        <v>23</v>
      </c>
      <c r="J77" s="50">
        <f>IF(J12="","",J12)</f>
        <v>45167</v>
      </c>
      <c r="L77" s="33"/>
    </row>
    <row r="78" spans="2:12" s="1" customFormat="1" ht="6.95" customHeight="1">
      <c r="B78" s="33"/>
      <c r="L78" s="33"/>
    </row>
    <row r="79" spans="2:12" s="1" customFormat="1" ht="15.2" customHeight="1">
      <c r="B79" s="33"/>
      <c r="C79" s="28" t="s">
        <v>24</v>
      </c>
      <c r="F79" s="26" t="str">
        <f>E15</f>
        <v xml:space="preserve"> </v>
      </c>
      <c r="I79" s="28" t="s">
        <v>29</v>
      </c>
      <c r="J79" s="31" t="str">
        <f>E21</f>
        <v xml:space="preserve"> </v>
      </c>
      <c r="L79" s="33"/>
    </row>
    <row r="80" spans="2:12" s="1" customFormat="1" ht="15.2" customHeight="1">
      <c r="B80" s="33"/>
      <c r="C80" s="28" t="s">
        <v>27</v>
      </c>
      <c r="F80" s="26" t="str">
        <f>IF(E18="","",E18)</f>
        <v>Vyplň údaj</v>
      </c>
      <c r="I80" s="28" t="s">
        <v>31</v>
      </c>
      <c r="J80" s="31" t="str">
        <f>E24</f>
        <v>rostarek s.r.o.</v>
      </c>
      <c r="L80" s="33"/>
    </row>
    <row r="81" spans="2:65" s="1" customFormat="1" ht="10.35" customHeight="1">
      <c r="B81" s="33"/>
      <c r="L81" s="33"/>
    </row>
    <row r="82" spans="2:65" s="10" customFormat="1" ht="29.25" customHeight="1">
      <c r="B82" s="112"/>
      <c r="C82" s="113" t="s">
        <v>138</v>
      </c>
      <c r="D82" s="114" t="s">
        <v>54</v>
      </c>
      <c r="E82" s="114" t="s">
        <v>50</v>
      </c>
      <c r="F82" s="114" t="s">
        <v>51</v>
      </c>
      <c r="G82" s="114" t="s">
        <v>139</v>
      </c>
      <c r="H82" s="114" t="s">
        <v>140</v>
      </c>
      <c r="I82" s="114" t="s">
        <v>141</v>
      </c>
      <c r="J82" s="114" t="s">
        <v>119</v>
      </c>
      <c r="K82" s="115" t="s">
        <v>142</v>
      </c>
      <c r="L82" s="112"/>
      <c r="M82" s="57" t="s">
        <v>3</v>
      </c>
      <c r="N82" s="58" t="s">
        <v>39</v>
      </c>
      <c r="O82" s="58" t="s">
        <v>143</v>
      </c>
      <c r="P82" s="58" t="s">
        <v>144</v>
      </c>
      <c r="Q82" s="58" t="s">
        <v>145</v>
      </c>
      <c r="R82" s="58" t="s">
        <v>146</v>
      </c>
      <c r="S82" s="58" t="s">
        <v>147</v>
      </c>
      <c r="T82" s="59" t="s">
        <v>148</v>
      </c>
    </row>
    <row r="83" spans="2:65" s="1" customFormat="1" ht="22.9" customHeight="1">
      <c r="B83" s="33"/>
      <c r="C83" s="62" t="s">
        <v>149</v>
      </c>
      <c r="J83" s="116">
        <f>BK83</f>
        <v>0</v>
      </c>
      <c r="L83" s="33"/>
      <c r="M83" s="60"/>
      <c r="N83" s="51"/>
      <c r="O83" s="51"/>
      <c r="P83" s="117">
        <f>P84</f>
        <v>0</v>
      </c>
      <c r="Q83" s="51"/>
      <c r="R83" s="117">
        <f>R84</f>
        <v>0</v>
      </c>
      <c r="S83" s="51"/>
      <c r="T83" s="118">
        <f>T84</f>
        <v>0</v>
      </c>
      <c r="AT83" s="18" t="s">
        <v>68</v>
      </c>
      <c r="AU83" s="18" t="s">
        <v>120</v>
      </c>
      <c r="BK83" s="119">
        <f>BK84</f>
        <v>0</v>
      </c>
    </row>
    <row r="84" spans="2:65" s="11" customFormat="1" ht="25.9" customHeight="1">
      <c r="B84" s="120"/>
      <c r="D84" s="121" t="s">
        <v>68</v>
      </c>
      <c r="E84" s="122" t="s">
        <v>1059</v>
      </c>
      <c r="F84" s="122" t="s">
        <v>1060</v>
      </c>
      <c r="I84" s="123"/>
      <c r="J84" s="124">
        <f>BK84</f>
        <v>0</v>
      </c>
      <c r="L84" s="120"/>
      <c r="M84" s="125"/>
      <c r="P84" s="126">
        <f>P85+P90</f>
        <v>0</v>
      </c>
      <c r="R84" s="126">
        <f>R85+R90</f>
        <v>0</v>
      </c>
      <c r="T84" s="127">
        <f>T85+T90</f>
        <v>0</v>
      </c>
      <c r="AR84" s="121" t="s">
        <v>79</v>
      </c>
      <c r="AT84" s="128" t="s">
        <v>68</v>
      </c>
      <c r="AU84" s="128" t="s">
        <v>69</v>
      </c>
      <c r="AY84" s="121" t="s">
        <v>151</v>
      </c>
      <c r="BK84" s="129">
        <f>BK85+BK90</f>
        <v>0</v>
      </c>
    </row>
    <row r="85" spans="2:65" s="11" customFormat="1" ht="22.9" customHeight="1">
      <c r="B85" s="120"/>
      <c r="D85" s="121" t="s">
        <v>68</v>
      </c>
      <c r="E85" s="130" t="s">
        <v>767</v>
      </c>
      <c r="F85" s="130" t="s">
        <v>1061</v>
      </c>
      <c r="I85" s="123"/>
      <c r="J85" s="131">
        <f>BK85</f>
        <v>0</v>
      </c>
      <c r="L85" s="120"/>
      <c r="M85" s="125"/>
      <c r="P85" s="126">
        <f>SUM(P86:P89)</f>
        <v>0</v>
      </c>
      <c r="R85" s="126">
        <f>SUM(R86:R89)</f>
        <v>0</v>
      </c>
      <c r="T85" s="127">
        <f>SUM(T86:T89)</f>
        <v>0</v>
      </c>
      <c r="AR85" s="121" t="s">
        <v>77</v>
      </c>
      <c r="AT85" s="128" t="s">
        <v>68</v>
      </c>
      <c r="AU85" s="128" t="s">
        <v>77</v>
      </c>
      <c r="AY85" s="121" t="s">
        <v>151</v>
      </c>
      <c r="BK85" s="129">
        <f>SUM(BK86:BK89)</f>
        <v>0</v>
      </c>
    </row>
    <row r="86" spans="2:65" s="1" customFormat="1" ht="16.5" customHeight="1">
      <c r="B86" s="132"/>
      <c r="C86" s="172" t="s">
        <v>77</v>
      </c>
      <c r="D86" s="172" t="s">
        <v>436</v>
      </c>
      <c r="E86" s="173" t="s">
        <v>1062</v>
      </c>
      <c r="F86" s="174" t="s">
        <v>1063</v>
      </c>
      <c r="G86" s="175" t="s">
        <v>523</v>
      </c>
      <c r="H86" s="176">
        <v>1</v>
      </c>
      <c r="I86" s="177"/>
      <c r="J86" s="178">
        <f>ROUND(I86*H86,2)</f>
        <v>0</v>
      </c>
      <c r="K86" s="174" t="s">
        <v>3</v>
      </c>
      <c r="L86" s="179"/>
      <c r="M86" s="180" t="s">
        <v>3</v>
      </c>
      <c r="N86" s="181" t="s">
        <v>40</v>
      </c>
      <c r="P86" s="142">
        <f>O86*H86</f>
        <v>0</v>
      </c>
      <c r="Q86" s="142">
        <v>0</v>
      </c>
      <c r="R86" s="142">
        <f>Q86*H86</f>
        <v>0</v>
      </c>
      <c r="S86" s="142">
        <v>0</v>
      </c>
      <c r="T86" s="143">
        <f>S86*H86</f>
        <v>0</v>
      </c>
      <c r="AR86" s="144" t="s">
        <v>214</v>
      </c>
      <c r="AT86" s="144" t="s">
        <v>436</v>
      </c>
      <c r="AU86" s="144" t="s">
        <v>79</v>
      </c>
      <c r="AY86" s="18" t="s">
        <v>151</v>
      </c>
      <c r="BE86" s="145">
        <f>IF(N86="základní",J86,0)</f>
        <v>0</v>
      </c>
      <c r="BF86" s="145">
        <f>IF(N86="snížená",J86,0)</f>
        <v>0</v>
      </c>
      <c r="BG86" s="145">
        <f>IF(N86="zákl. přenesená",J86,0)</f>
        <v>0</v>
      </c>
      <c r="BH86" s="145">
        <f>IF(N86="sníž. přenesená",J86,0)</f>
        <v>0</v>
      </c>
      <c r="BI86" s="145">
        <f>IF(N86="nulová",J86,0)</f>
        <v>0</v>
      </c>
      <c r="BJ86" s="18" t="s">
        <v>77</v>
      </c>
      <c r="BK86" s="145">
        <f>ROUND(I86*H86,2)</f>
        <v>0</v>
      </c>
      <c r="BL86" s="18" t="s">
        <v>158</v>
      </c>
      <c r="BM86" s="144" t="s">
        <v>1064</v>
      </c>
    </row>
    <row r="87" spans="2:65" s="1" customFormat="1" ht="16.5" customHeight="1">
      <c r="B87" s="132"/>
      <c r="C87" s="172" t="s">
        <v>79</v>
      </c>
      <c r="D87" s="172" t="s">
        <v>436</v>
      </c>
      <c r="E87" s="173" t="s">
        <v>1065</v>
      </c>
      <c r="F87" s="174" t="s">
        <v>1066</v>
      </c>
      <c r="G87" s="175" t="s">
        <v>484</v>
      </c>
      <c r="H87" s="176">
        <v>1</v>
      </c>
      <c r="I87" s="177"/>
      <c r="J87" s="178">
        <f>ROUND(I87*H87,2)</f>
        <v>0</v>
      </c>
      <c r="K87" s="174" t="s">
        <v>3</v>
      </c>
      <c r="L87" s="179"/>
      <c r="M87" s="180" t="s">
        <v>3</v>
      </c>
      <c r="N87" s="181" t="s">
        <v>40</v>
      </c>
      <c r="P87" s="142">
        <f>O87*H87</f>
        <v>0</v>
      </c>
      <c r="Q87" s="142">
        <v>0</v>
      </c>
      <c r="R87" s="142">
        <f>Q87*H87</f>
        <v>0</v>
      </c>
      <c r="S87" s="142">
        <v>0</v>
      </c>
      <c r="T87" s="143">
        <f>S87*H87</f>
        <v>0</v>
      </c>
      <c r="AR87" s="144" t="s">
        <v>214</v>
      </c>
      <c r="AT87" s="144" t="s">
        <v>436</v>
      </c>
      <c r="AU87" s="144" t="s">
        <v>79</v>
      </c>
      <c r="AY87" s="18" t="s">
        <v>151</v>
      </c>
      <c r="BE87" s="145">
        <f>IF(N87="základní",J87,0)</f>
        <v>0</v>
      </c>
      <c r="BF87" s="145">
        <f>IF(N87="snížená",J87,0)</f>
        <v>0</v>
      </c>
      <c r="BG87" s="145">
        <f>IF(N87="zákl. přenesená",J87,0)</f>
        <v>0</v>
      </c>
      <c r="BH87" s="145">
        <f>IF(N87="sníž. přenesená",J87,0)</f>
        <v>0</v>
      </c>
      <c r="BI87" s="145">
        <f>IF(N87="nulová",J87,0)</f>
        <v>0</v>
      </c>
      <c r="BJ87" s="18" t="s">
        <v>77</v>
      </c>
      <c r="BK87" s="145">
        <f>ROUND(I87*H87,2)</f>
        <v>0</v>
      </c>
      <c r="BL87" s="18" t="s">
        <v>158</v>
      </c>
      <c r="BM87" s="144" t="s">
        <v>1067</v>
      </c>
    </row>
    <row r="88" spans="2:65" s="1" customFormat="1" ht="16.5" customHeight="1">
      <c r="B88" s="132"/>
      <c r="C88" s="172" t="s">
        <v>168</v>
      </c>
      <c r="D88" s="172" t="s">
        <v>436</v>
      </c>
      <c r="E88" s="173" t="s">
        <v>1068</v>
      </c>
      <c r="F88" s="174" t="s">
        <v>1069</v>
      </c>
      <c r="G88" s="175" t="s">
        <v>484</v>
      </c>
      <c r="H88" s="176">
        <v>1</v>
      </c>
      <c r="I88" s="177"/>
      <c r="J88" s="178">
        <f>ROUND(I88*H88,2)</f>
        <v>0</v>
      </c>
      <c r="K88" s="174" t="s">
        <v>3</v>
      </c>
      <c r="L88" s="179"/>
      <c r="M88" s="180" t="s">
        <v>3</v>
      </c>
      <c r="N88" s="181" t="s">
        <v>40</v>
      </c>
      <c r="P88" s="142">
        <f>O88*H88</f>
        <v>0</v>
      </c>
      <c r="Q88" s="142">
        <v>0</v>
      </c>
      <c r="R88" s="142">
        <f>Q88*H88</f>
        <v>0</v>
      </c>
      <c r="S88" s="142">
        <v>0</v>
      </c>
      <c r="T88" s="143">
        <f>S88*H88</f>
        <v>0</v>
      </c>
      <c r="AR88" s="144" t="s">
        <v>214</v>
      </c>
      <c r="AT88" s="144" t="s">
        <v>436</v>
      </c>
      <c r="AU88" s="144" t="s">
        <v>79</v>
      </c>
      <c r="AY88" s="18" t="s">
        <v>151</v>
      </c>
      <c r="BE88" s="145">
        <f>IF(N88="základní",J88,0)</f>
        <v>0</v>
      </c>
      <c r="BF88" s="145">
        <f>IF(N88="snížená",J88,0)</f>
        <v>0</v>
      </c>
      <c r="BG88" s="145">
        <f>IF(N88="zákl. přenesená",J88,0)</f>
        <v>0</v>
      </c>
      <c r="BH88" s="145">
        <f>IF(N88="sníž. přenesená",J88,0)</f>
        <v>0</v>
      </c>
      <c r="BI88" s="145">
        <f>IF(N88="nulová",J88,0)</f>
        <v>0</v>
      </c>
      <c r="BJ88" s="18" t="s">
        <v>77</v>
      </c>
      <c r="BK88" s="145">
        <f>ROUND(I88*H88,2)</f>
        <v>0</v>
      </c>
      <c r="BL88" s="18" t="s">
        <v>158</v>
      </c>
      <c r="BM88" s="144" t="s">
        <v>1070</v>
      </c>
    </row>
    <row r="89" spans="2:65" s="1" customFormat="1" ht="16.5" customHeight="1">
      <c r="B89" s="132"/>
      <c r="C89" s="172" t="s">
        <v>158</v>
      </c>
      <c r="D89" s="172" t="s">
        <v>436</v>
      </c>
      <c r="E89" s="173" t="s">
        <v>1071</v>
      </c>
      <c r="F89" s="174" t="s">
        <v>1072</v>
      </c>
      <c r="G89" s="175" t="s">
        <v>484</v>
      </c>
      <c r="H89" s="176">
        <v>1</v>
      </c>
      <c r="I89" s="177"/>
      <c r="J89" s="178">
        <f>ROUND(I89*H89,2)</f>
        <v>0</v>
      </c>
      <c r="K89" s="174" t="s">
        <v>3</v>
      </c>
      <c r="L89" s="179"/>
      <c r="M89" s="180" t="s">
        <v>3</v>
      </c>
      <c r="N89" s="181" t="s">
        <v>40</v>
      </c>
      <c r="P89" s="142">
        <f>O89*H89</f>
        <v>0</v>
      </c>
      <c r="Q89" s="142">
        <v>0</v>
      </c>
      <c r="R89" s="142">
        <f>Q89*H89</f>
        <v>0</v>
      </c>
      <c r="S89" s="142">
        <v>0</v>
      </c>
      <c r="T89" s="143">
        <f>S89*H89</f>
        <v>0</v>
      </c>
      <c r="AR89" s="144" t="s">
        <v>214</v>
      </c>
      <c r="AT89" s="144" t="s">
        <v>436</v>
      </c>
      <c r="AU89" s="144" t="s">
        <v>79</v>
      </c>
      <c r="AY89" s="18" t="s">
        <v>151</v>
      </c>
      <c r="BE89" s="145">
        <f>IF(N89="základní",J89,0)</f>
        <v>0</v>
      </c>
      <c r="BF89" s="145">
        <f>IF(N89="snížená",J89,0)</f>
        <v>0</v>
      </c>
      <c r="BG89" s="145">
        <f>IF(N89="zákl. přenesená",J89,0)</f>
        <v>0</v>
      </c>
      <c r="BH89" s="145">
        <f>IF(N89="sníž. přenesená",J89,0)</f>
        <v>0</v>
      </c>
      <c r="BI89" s="145">
        <f>IF(N89="nulová",J89,0)</f>
        <v>0</v>
      </c>
      <c r="BJ89" s="18" t="s">
        <v>77</v>
      </c>
      <c r="BK89" s="145">
        <f>ROUND(I89*H89,2)</f>
        <v>0</v>
      </c>
      <c r="BL89" s="18" t="s">
        <v>158</v>
      </c>
      <c r="BM89" s="144" t="s">
        <v>1073</v>
      </c>
    </row>
    <row r="90" spans="2:65" s="11" customFormat="1" ht="22.9" customHeight="1">
      <c r="B90" s="120"/>
      <c r="D90" s="121" t="s">
        <v>68</v>
      </c>
      <c r="E90" s="130" t="s">
        <v>772</v>
      </c>
      <c r="F90" s="130" t="s">
        <v>1074</v>
      </c>
      <c r="I90" s="123"/>
      <c r="J90" s="131">
        <f>BK90</f>
        <v>0</v>
      </c>
      <c r="L90" s="120"/>
      <c r="M90" s="125"/>
      <c r="P90" s="126">
        <f>P91+SUM(P92:P100)</f>
        <v>0</v>
      </c>
      <c r="R90" s="126">
        <f>R91+SUM(R92:R100)</f>
        <v>0</v>
      </c>
      <c r="T90" s="127">
        <f>T91+SUM(T92:T100)</f>
        <v>0</v>
      </c>
      <c r="AR90" s="121" t="s">
        <v>77</v>
      </c>
      <c r="AT90" s="128" t="s">
        <v>68</v>
      </c>
      <c r="AU90" s="128" t="s">
        <v>77</v>
      </c>
      <c r="AY90" s="121" t="s">
        <v>151</v>
      </c>
      <c r="BK90" s="129">
        <f>BK91+SUM(BK92:BK100)</f>
        <v>0</v>
      </c>
    </row>
    <row r="91" spans="2:65" s="1" customFormat="1" ht="16.5" customHeight="1">
      <c r="B91" s="132"/>
      <c r="C91" s="172" t="s">
        <v>180</v>
      </c>
      <c r="D91" s="172" t="s">
        <v>436</v>
      </c>
      <c r="E91" s="173" t="s">
        <v>1075</v>
      </c>
      <c r="F91" s="174" t="s">
        <v>1063</v>
      </c>
      <c r="G91" s="175" t="s">
        <v>523</v>
      </c>
      <c r="H91" s="176">
        <v>1</v>
      </c>
      <c r="I91" s="177"/>
      <c r="J91" s="178">
        <f t="shared" ref="J91:J99" si="0">ROUND(I91*H91,2)</f>
        <v>0</v>
      </c>
      <c r="K91" s="174" t="s">
        <v>3</v>
      </c>
      <c r="L91" s="179"/>
      <c r="M91" s="180" t="s">
        <v>3</v>
      </c>
      <c r="N91" s="181" t="s">
        <v>40</v>
      </c>
      <c r="P91" s="142">
        <f t="shared" ref="P91:P99" si="1">O91*H91</f>
        <v>0</v>
      </c>
      <c r="Q91" s="142">
        <v>0</v>
      </c>
      <c r="R91" s="142">
        <f t="shared" ref="R91:R99" si="2">Q91*H91</f>
        <v>0</v>
      </c>
      <c r="S91" s="142">
        <v>0</v>
      </c>
      <c r="T91" s="143">
        <f t="shared" ref="T91:T99" si="3">S91*H91</f>
        <v>0</v>
      </c>
      <c r="AR91" s="144" t="s">
        <v>214</v>
      </c>
      <c r="AT91" s="144" t="s">
        <v>436</v>
      </c>
      <c r="AU91" s="144" t="s">
        <v>79</v>
      </c>
      <c r="AY91" s="18" t="s">
        <v>151</v>
      </c>
      <c r="BE91" s="145">
        <f t="shared" ref="BE91:BE99" si="4">IF(N91="základní",J91,0)</f>
        <v>0</v>
      </c>
      <c r="BF91" s="145">
        <f t="shared" ref="BF91:BF99" si="5">IF(N91="snížená",J91,0)</f>
        <v>0</v>
      </c>
      <c r="BG91" s="145">
        <f t="shared" ref="BG91:BG99" si="6">IF(N91="zákl. přenesená",J91,0)</f>
        <v>0</v>
      </c>
      <c r="BH91" s="145">
        <f t="shared" ref="BH91:BH99" si="7">IF(N91="sníž. přenesená",J91,0)</f>
        <v>0</v>
      </c>
      <c r="BI91" s="145">
        <f t="shared" ref="BI91:BI99" si="8">IF(N91="nulová",J91,0)</f>
        <v>0</v>
      </c>
      <c r="BJ91" s="18" t="s">
        <v>77</v>
      </c>
      <c r="BK91" s="145">
        <f t="shared" ref="BK91:BK99" si="9">ROUND(I91*H91,2)</f>
        <v>0</v>
      </c>
      <c r="BL91" s="18" t="s">
        <v>158</v>
      </c>
      <c r="BM91" s="144" t="s">
        <v>1076</v>
      </c>
    </row>
    <row r="92" spans="2:65" s="1" customFormat="1" ht="16.5" customHeight="1">
      <c r="B92" s="132"/>
      <c r="C92" s="172" t="s">
        <v>195</v>
      </c>
      <c r="D92" s="172" t="s">
        <v>436</v>
      </c>
      <c r="E92" s="173" t="s">
        <v>1077</v>
      </c>
      <c r="F92" s="174" t="s">
        <v>1078</v>
      </c>
      <c r="G92" s="175" t="s">
        <v>484</v>
      </c>
      <c r="H92" s="176">
        <v>1</v>
      </c>
      <c r="I92" s="177"/>
      <c r="J92" s="178">
        <f t="shared" si="0"/>
        <v>0</v>
      </c>
      <c r="K92" s="174" t="s">
        <v>3</v>
      </c>
      <c r="L92" s="179"/>
      <c r="M92" s="180" t="s">
        <v>3</v>
      </c>
      <c r="N92" s="181" t="s">
        <v>40</v>
      </c>
      <c r="P92" s="142">
        <f t="shared" si="1"/>
        <v>0</v>
      </c>
      <c r="Q92" s="142">
        <v>0</v>
      </c>
      <c r="R92" s="142">
        <f t="shared" si="2"/>
        <v>0</v>
      </c>
      <c r="S92" s="142">
        <v>0</v>
      </c>
      <c r="T92" s="143">
        <f t="shared" si="3"/>
        <v>0</v>
      </c>
      <c r="AR92" s="144" t="s">
        <v>214</v>
      </c>
      <c r="AT92" s="144" t="s">
        <v>436</v>
      </c>
      <c r="AU92" s="144" t="s">
        <v>79</v>
      </c>
      <c r="AY92" s="18" t="s">
        <v>151</v>
      </c>
      <c r="BE92" s="145">
        <f t="shared" si="4"/>
        <v>0</v>
      </c>
      <c r="BF92" s="145">
        <f t="shared" si="5"/>
        <v>0</v>
      </c>
      <c r="BG92" s="145">
        <f t="shared" si="6"/>
        <v>0</v>
      </c>
      <c r="BH92" s="145">
        <f t="shared" si="7"/>
        <v>0</v>
      </c>
      <c r="BI92" s="145">
        <f t="shared" si="8"/>
        <v>0</v>
      </c>
      <c r="BJ92" s="18" t="s">
        <v>77</v>
      </c>
      <c r="BK92" s="145">
        <f t="shared" si="9"/>
        <v>0</v>
      </c>
      <c r="BL92" s="18" t="s">
        <v>158</v>
      </c>
      <c r="BM92" s="144" t="s">
        <v>1079</v>
      </c>
    </row>
    <row r="93" spans="2:65" s="1" customFormat="1" ht="16.5" customHeight="1">
      <c r="B93" s="132"/>
      <c r="C93" s="172" t="s">
        <v>203</v>
      </c>
      <c r="D93" s="172" t="s">
        <v>436</v>
      </c>
      <c r="E93" s="173" t="s">
        <v>1080</v>
      </c>
      <c r="F93" s="174" t="s">
        <v>1081</v>
      </c>
      <c r="G93" s="175" t="s">
        <v>484</v>
      </c>
      <c r="H93" s="176">
        <v>1</v>
      </c>
      <c r="I93" s="177"/>
      <c r="J93" s="178">
        <f t="shared" si="0"/>
        <v>0</v>
      </c>
      <c r="K93" s="174" t="s">
        <v>3</v>
      </c>
      <c r="L93" s="179"/>
      <c r="M93" s="180" t="s">
        <v>3</v>
      </c>
      <c r="N93" s="181" t="s">
        <v>40</v>
      </c>
      <c r="P93" s="142">
        <f t="shared" si="1"/>
        <v>0</v>
      </c>
      <c r="Q93" s="142">
        <v>0</v>
      </c>
      <c r="R93" s="142">
        <f t="shared" si="2"/>
        <v>0</v>
      </c>
      <c r="S93" s="142">
        <v>0</v>
      </c>
      <c r="T93" s="143">
        <f t="shared" si="3"/>
        <v>0</v>
      </c>
      <c r="AR93" s="144" t="s">
        <v>214</v>
      </c>
      <c r="AT93" s="144" t="s">
        <v>436</v>
      </c>
      <c r="AU93" s="144" t="s">
        <v>79</v>
      </c>
      <c r="AY93" s="18" t="s">
        <v>151</v>
      </c>
      <c r="BE93" s="145">
        <f t="shared" si="4"/>
        <v>0</v>
      </c>
      <c r="BF93" s="145">
        <f t="shared" si="5"/>
        <v>0</v>
      </c>
      <c r="BG93" s="145">
        <f t="shared" si="6"/>
        <v>0</v>
      </c>
      <c r="BH93" s="145">
        <f t="shared" si="7"/>
        <v>0</v>
      </c>
      <c r="BI93" s="145">
        <f t="shared" si="8"/>
        <v>0</v>
      </c>
      <c r="BJ93" s="18" t="s">
        <v>77</v>
      </c>
      <c r="BK93" s="145">
        <f t="shared" si="9"/>
        <v>0</v>
      </c>
      <c r="BL93" s="18" t="s">
        <v>158</v>
      </c>
      <c r="BM93" s="144" t="s">
        <v>1082</v>
      </c>
    </row>
    <row r="94" spans="2:65" s="1" customFormat="1" ht="16.5" customHeight="1">
      <c r="B94" s="132"/>
      <c r="C94" s="172" t="s">
        <v>214</v>
      </c>
      <c r="D94" s="172" t="s">
        <v>436</v>
      </c>
      <c r="E94" s="173" t="s">
        <v>1083</v>
      </c>
      <c r="F94" s="174" t="s">
        <v>1084</v>
      </c>
      <c r="G94" s="175" t="s">
        <v>484</v>
      </c>
      <c r="H94" s="176">
        <v>1</v>
      </c>
      <c r="I94" s="177"/>
      <c r="J94" s="178">
        <f t="shared" si="0"/>
        <v>0</v>
      </c>
      <c r="K94" s="174" t="s">
        <v>3</v>
      </c>
      <c r="L94" s="179"/>
      <c r="M94" s="180" t="s">
        <v>3</v>
      </c>
      <c r="N94" s="181" t="s">
        <v>40</v>
      </c>
      <c r="P94" s="142">
        <f t="shared" si="1"/>
        <v>0</v>
      </c>
      <c r="Q94" s="142">
        <v>0</v>
      </c>
      <c r="R94" s="142">
        <f t="shared" si="2"/>
        <v>0</v>
      </c>
      <c r="S94" s="142">
        <v>0</v>
      </c>
      <c r="T94" s="143">
        <f t="shared" si="3"/>
        <v>0</v>
      </c>
      <c r="AR94" s="144" t="s">
        <v>214</v>
      </c>
      <c r="AT94" s="144" t="s">
        <v>436</v>
      </c>
      <c r="AU94" s="144" t="s">
        <v>79</v>
      </c>
      <c r="AY94" s="18" t="s">
        <v>151</v>
      </c>
      <c r="BE94" s="145">
        <f t="shared" si="4"/>
        <v>0</v>
      </c>
      <c r="BF94" s="145">
        <f t="shared" si="5"/>
        <v>0</v>
      </c>
      <c r="BG94" s="145">
        <f t="shared" si="6"/>
        <v>0</v>
      </c>
      <c r="BH94" s="145">
        <f t="shared" si="7"/>
        <v>0</v>
      </c>
      <c r="BI94" s="145">
        <f t="shared" si="8"/>
        <v>0</v>
      </c>
      <c r="BJ94" s="18" t="s">
        <v>77</v>
      </c>
      <c r="BK94" s="145">
        <f t="shared" si="9"/>
        <v>0</v>
      </c>
      <c r="BL94" s="18" t="s">
        <v>158</v>
      </c>
      <c r="BM94" s="144" t="s">
        <v>1085</v>
      </c>
    </row>
    <row r="95" spans="2:65" s="1" customFormat="1" ht="16.5" customHeight="1">
      <c r="B95" s="132"/>
      <c r="C95" s="172" t="s">
        <v>227</v>
      </c>
      <c r="D95" s="172" t="s">
        <v>436</v>
      </c>
      <c r="E95" s="173" t="s">
        <v>1086</v>
      </c>
      <c r="F95" s="174" t="s">
        <v>1087</v>
      </c>
      <c r="G95" s="175" t="s">
        <v>484</v>
      </c>
      <c r="H95" s="176">
        <v>1</v>
      </c>
      <c r="I95" s="177"/>
      <c r="J95" s="178">
        <f t="shared" si="0"/>
        <v>0</v>
      </c>
      <c r="K95" s="174" t="s">
        <v>3</v>
      </c>
      <c r="L95" s="179"/>
      <c r="M95" s="180" t="s">
        <v>3</v>
      </c>
      <c r="N95" s="181" t="s">
        <v>40</v>
      </c>
      <c r="P95" s="142">
        <f t="shared" si="1"/>
        <v>0</v>
      </c>
      <c r="Q95" s="142">
        <v>0</v>
      </c>
      <c r="R95" s="142">
        <f t="shared" si="2"/>
        <v>0</v>
      </c>
      <c r="S95" s="142">
        <v>0</v>
      </c>
      <c r="T95" s="143">
        <f t="shared" si="3"/>
        <v>0</v>
      </c>
      <c r="AR95" s="144" t="s">
        <v>214</v>
      </c>
      <c r="AT95" s="144" t="s">
        <v>436</v>
      </c>
      <c r="AU95" s="144" t="s">
        <v>79</v>
      </c>
      <c r="AY95" s="18" t="s">
        <v>151</v>
      </c>
      <c r="BE95" s="145">
        <f t="shared" si="4"/>
        <v>0</v>
      </c>
      <c r="BF95" s="145">
        <f t="shared" si="5"/>
        <v>0</v>
      </c>
      <c r="BG95" s="145">
        <f t="shared" si="6"/>
        <v>0</v>
      </c>
      <c r="BH95" s="145">
        <f t="shared" si="7"/>
        <v>0</v>
      </c>
      <c r="BI95" s="145">
        <f t="shared" si="8"/>
        <v>0</v>
      </c>
      <c r="BJ95" s="18" t="s">
        <v>77</v>
      </c>
      <c r="BK95" s="145">
        <f t="shared" si="9"/>
        <v>0</v>
      </c>
      <c r="BL95" s="18" t="s">
        <v>158</v>
      </c>
      <c r="BM95" s="144" t="s">
        <v>1088</v>
      </c>
    </row>
    <row r="96" spans="2:65" s="1" customFormat="1" ht="16.5" customHeight="1">
      <c r="B96" s="132"/>
      <c r="C96" s="172" t="s">
        <v>235</v>
      </c>
      <c r="D96" s="172" t="s">
        <v>436</v>
      </c>
      <c r="E96" s="173" t="s">
        <v>1089</v>
      </c>
      <c r="F96" s="174" t="s">
        <v>1090</v>
      </c>
      <c r="G96" s="175" t="s">
        <v>484</v>
      </c>
      <c r="H96" s="176">
        <v>1</v>
      </c>
      <c r="I96" s="177"/>
      <c r="J96" s="178">
        <f t="shared" si="0"/>
        <v>0</v>
      </c>
      <c r="K96" s="174" t="s">
        <v>3</v>
      </c>
      <c r="L96" s="179"/>
      <c r="M96" s="180" t="s">
        <v>3</v>
      </c>
      <c r="N96" s="181" t="s">
        <v>40</v>
      </c>
      <c r="P96" s="142">
        <f t="shared" si="1"/>
        <v>0</v>
      </c>
      <c r="Q96" s="142">
        <v>0</v>
      </c>
      <c r="R96" s="142">
        <f t="shared" si="2"/>
        <v>0</v>
      </c>
      <c r="S96" s="142">
        <v>0</v>
      </c>
      <c r="T96" s="143">
        <f t="shared" si="3"/>
        <v>0</v>
      </c>
      <c r="AR96" s="144" t="s">
        <v>214</v>
      </c>
      <c r="AT96" s="144" t="s">
        <v>436</v>
      </c>
      <c r="AU96" s="144" t="s">
        <v>79</v>
      </c>
      <c r="AY96" s="18" t="s">
        <v>151</v>
      </c>
      <c r="BE96" s="145">
        <f t="shared" si="4"/>
        <v>0</v>
      </c>
      <c r="BF96" s="145">
        <f t="shared" si="5"/>
        <v>0</v>
      </c>
      <c r="BG96" s="145">
        <f t="shared" si="6"/>
        <v>0</v>
      </c>
      <c r="BH96" s="145">
        <f t="shared" si="7"/>
        <v>0</v>
      </c>
      <c r="BI96" s="145">
        <f t="shared" si="8"/>
        <v>0</v>
      </c>
      <c r="BJ96" s="18" t="s">
        <v>77</v>
      </c>
      <c r="BK96" s="145">
        <f t="shared" si="9"/>
        <v>0</v>
      </c>
      <c r="BL96" s="18" t="s">
        <v>158</v>
      </c>
      <c r="BM96" s="144" t="s">
        <v>1091</v>
      </c>
    </row>
    <row r="97" spans="2:65" s="1" customFormat="1" ht="16.5" customHeight="1">
      <c r="B97" s="132"/>
      <c r="C97" s="172" t="s">
        <v>240</v>
      </c>
      <c r="D97" s="172" t="s">
        <v>436</v>
      </c>
      <c r="E97" s="173" t="s">
        <v>1092</v>
      </c>
      <c r="F97" s="174" t="s">
        <v>1093</v>
      </c>
      <c r="G97" s="175" t="s">
        <v>484</v>
      </c>
      <c r="H97" s="176">
        <v>1</v>
      </c>
      <c r="I97" s="177"/>
      <c r="J97" s="178">
        <f t="shared" si="0"/>
        <v>0</v>
      </c>
      <c r="K97" s="174" t="s">
        <v>3</v>
      </c>
      <c r="L97" s="179"/>
      <c r="M97" s="180" t="s">
        <v>3</v>
      </c>
      <c r="N97" s="181" t="s">
        <v>40</v>
      </c>
      <c r="P97" s="142">
        <f t="shared" si="1"/>
        <v>0</v>
      </c>
      <c r="Q97" s="142">
        <v>0</v>
      </c>
      <c r="R97" s="142">
        <f t="shared" si="2"/>
        <v>0</v>
      </c>
      <c r="S97" s="142">
        <v>0</v>
      </c>
      <c r="T97" s="143">
        <f t="shared" si="3"/>
        <v>0</v>
      </c>
      <c r="AR97" s="144" t="s">
        <v>214</v>
      </c>
      <c r="AT97" s="144" t="s">
        <v>436</v>
      </c>
      <c r="AU97" s="144" t="s">
        <v>79</v>
      </c>
      <c r="AY97" s="18" t="s">
        <v>151</v>
      </c>
      <c r="BE97" s="145">
        <f t="shared" si="4"/>
        <v>0</v>
      </c>
      <c r="BF97" s="145">
        <f t="shared" si="5"/>
        <v>0</v>
      </c>
      <c r="BG97" s="145">
        <f t="shared" si="6"/>
        <v>0</v>
      </c>
      <c r="BH97" s="145">
        <f t="shared" si="7"/>
        <v>0</v>
      </c>
      <c r="BI97" s="145">
        <f t="shared" si="8"/>
        <v>0</v>
      </c>
      <c r="BJ97" s="18" t="s">
        <v>77</v>
      </c>
      <c r="BK97" s="145">
        <f t="shared" si="9"/>
        <v>0</v>
      </c>
      <c r="BL97" s="18" t="s">
        <v>158</v>
      </c>
      <c r="BM97" s="144" t="s">
        <v>1094</v>
      </c>
    </row>
    <row r="98" spans="2:65" s="1" customFormat="1" ht="16.5" customHeight="1">
      <c r="B98" s="132"/>
      <c r="C98" s="172" t="s">
        <v>246</v>
      </c>
      <c r="D98" s="172" t="s">
        <v>436</v>
      </c>
      <c r="E98" s="173" t="s">
        <v>1095</v>
      </c>
      <c r="F98" s="174" t="s">
        <v>1069</v>
      </c>
      <c r="G98" s="175" t="s">
        <v>484</v>
      </c>
      <c r="H98" s="176">
        <v>1</v>
      </c>
      <c r="I98" s="177"/>
      <c r="J98" s="178">
        <f t="shared" si="0"/>
        <v>0</v>
      </c>
      <c r="K98" s="174" t="s">
        <v>3</v>
      </c>
      <c r="L98" s="179"/>
      <c r="M98" s="180" t="s">
        <v>3</v>
      </c>
      <c r="N98" s="181" t="s">
        <v>40</v>
      </c>
      <c r="P98" s="142">
        <f t="shared" si="1"/>
        <v>0</v>
      </c>
      <c r="Q98" s="142">
        <v>0</v>
      </c>
      <c r="R98" s="142">
        <f t="shared" si="2"/>
        <v>0</v>
      </c>
      <c r="S98" s="142">
        <v>0</v>
      </c>
      <c r="T98" s="143">
        <f t="shared" si="3"/>
        <v>0</v>
      </c>
      <c r="AR98" s="144" t="s">
        <v>214</v>
      </c>
      <c r="AT98" s="144" t="s">
        <v>436</v>
      </c>
      <c r="AU98" s="144" t="s">
        <v>79</v>
      </c>
      <c r="AY98" s="18" t="s">
        <v>151</v>
      </c>
      <c r="BE98" s="145">
        <f t="shared" si="4"/>
        <v>0</v>
      </c>
      <c r="BF98" s="145">
        <f t="shared" si="5"/>
        <v>0</v>
      </c>
      <c r="BG98" s="145">
        <f t="shared" si="6"/>
        <v>0</v>
      </c>
      <c r="BH98" s="145">
        <f t="shared" si="7"/>
        <v>0</v>
      </c>
      <c r="BI98" s="145">
        <f t="shared" si="8"/>
        <v>0</v>
      </c>
      <c r="BJ98" s="18" t="s">
        <v>77</v>
      </c>
      <c r="BK98" s="145">
        <f t="shared" si="9"/>
        <v>0</v>
      </c>
      <c r="BL98" s="18" t="s">
        <v>158</v>
      </c>
      <c r="BM98" s="144" t="s">
        <v>1096</v>
      </c>
    </row>
    <row r="99" spans="2:65" s="1" customFormat="1" ht="16.5" customHeight="1">
      <c r="B99" s="132"/>
      <c r="C99" s="172" t="s">
        <v>251</v>
      </c>
      <c r="D99" s="172" t="s">
        <v>436</v>
      </c>
      <c r="E99" s="173" t="s">
        <v>1097</v>
      </c>
      <c r="F99" s="174" t="s">
        <v>1072</v>
      </c>
      <c r="G99" s="175" t="s">
        <v>484</v>
      </c>
      <c r="H99" s="176">
        <v>1</v>
      </c>
      <c r="I99" s="177"/>
      <c r="J99" s="178">
        <f t="shared" si="0"/>
        <v>0</v>
      </c>
      <c r="K99" s="174" t="s">
        <v>3</v>
      </c>
      <c r="L99" s="179"/>
      <c r="M99" s="180" t="s">
        <v>3</v>
      </c>
      <c r="N99" s="181" t="s">
        <v>40</v>
      </c>
      <c r="P99" s="142">
        <f t="shared" si="1"/>
        <v>0</v>
      </c>
      <c r="Q99" s="142">
        <v>0</v>
      </c>
      <c r="R99" s="142">
        <f t="shared" si="2"/>
        <v>0</v>
      </c>
      <c r="S99" s="142">
        <v>0</v>
      </c>
      <c r="T99" s="143">
        <f t="shared" si="3"/>
        <v>0</v>
      </c>
      <c r="AR99" s="144" t="s">
        <v>214</v>
      </c>
      <c r="AT99" s="144" t="s">
        <v>436</v>
      </c>
      <c r="AU99" s="144" t="s">
        <v>79</v>
      </c>
      <c r="AY99" s="18" t="s">
        <v>151</v>
      </c>
      <c r="BE99" s="145">
        <f t="shared" si="4"/>
        <v>0</v>
      </c>
      <c r="BF99" s="145">
        <f t="shared" si="5"/>
        <v>0</v>
      </c>
      <c r="BG99" s="145">
        <f t="shared" si="6"/>
        <v>0</v>
      </c>
      <c r="BH99" s="145">
        <f t="shared" si="7"/>
        <v>0</v>
      </c>
      <c r="BI99" s="145">
        <f t="shared" si="8"/>
        <v>0</v>
      </c>
      <c r="BJ99" s="18" t="s">
        <v>77</v>
      </c>
      <c r="BK99" s="145">
        <f t="shared" si="9"/>
        <v>0</v>
      </c>
      <c r="BL99" s="18" t="s">
        <v>158</v>
      </c>
      <c r="BM99" s="144" t="s">
        <v>1098</v>
      </c>
    </row>
    <row r="100" spans="2:65" s="11" customFormat="1" ht="20.85" customHeight="1">
      <c r="B100" s="120"/>
      <c r="D100" s="121" t="s">
        <v>68</v>
      </c>
      <c r="E100" s="130" t="s">
        <v>843</v>
      </c>
      <c r="F100" s="130" t="s">
        <v>1099</v>
      </c>
      <c r="I100" s="123"/>
      <c r="J100" s="131">
        <f>BK100</f>
        <v>0</v>
      </c>
      <c r="L100" s="120"/>
      <c r="M100" s="125"/>
      <c r="P100" s="126">
        <f>P101</f>
        <v>0</v>
      </c>
      <c r="R100" s="126">
        <f>R101</f>
        <v>0</v>
      </c>
      <c r="T100" s="127">
        <f>T101</f>
        <v>0</v>
      </c>
      <c r="AR100" s="121" t="s">
        <v>77</v>
      </c>
      <c r="AT100" s="128" t="s">
        <v>68</v>
      </c>
      <c r="AU100" s="128" t="s">
        <v>79</v>
      </c>
      <c r="AY100" s="121" t="s">
        <v>151</v>
      </c>
      <c r="BK100" s="129">
        <f>BK101</f>
        <v>0</v>
      </c>
    </row>
    <row r="101" spans="2:65" s="1" customFormat="1" ht="16.5" customHeight="1">
      <c r="B101" s="132"/>
      <c r="C101" s="133" t="s">
        <v>265</v>
      </c>
      <c r="D101" s="133" t="s">
        <v>153</v>
      </c>
      <c r="E101" s="134" t="s">
        <v>1100</v>
      </c>
      <c r="F101" s="135" t="s">
        <v>1101</v>
      </c>
      <c r="G101" s="136" t="s">
        <v>523</v>
      </c>
      <c r="H101" s="137">
        <v>2</v>
      </c>
      <c r="I101" s="138"/>
      <c r="J101" s="139">
        <f>ROUND(I101*H101,2)</f>
        <v>0</v>
      </c>
      <c r="K101" s="135" t="s">
        <v>3</v>
      </c>
      <c r="L101" s="33"/>
      <c r="M101" s="185" t="s">
        <v>3</v>
      </c>
      <c r="N101" s="186" t="s">
        <v>40</v>
      </c>
      <c r="O101" s="183"/>
      <c r="P101" s="187">
        <f>O101*H101</f>
        <v>0</v>
      </c>
      <c r="Q101" s="187">
        <v>0</v>
      </c>
      <c r="R101" s="187">
        <f>Q101*H101</f>
        <v>0</v>
      </c>
      <c r="S101" s="187">
        <v>0</v>
      </c>
      <c r="T101" s="188">
        <f>S101*H101</f>
        <v>0</v>
      </c>
      <c r="AR101" s="144" t="s">
        <v>158</v>
      </c>
      <c r="AT101" s="144" t="s">
        <v>153</v>
      </c>
      <c r="AU101" s="144" t="s">
        <v>168</v>
      </c>
      <c r="AY101" s="18" t="s">
        <v>151</v>
      </c>
      <c r="BE101" s="145">
        <f>IF(N101="základní",J101,0)</f>
        <v>0</v>
      </c>
      <c r="BF101" s="145">
        <f>IF(N101="snížená",J101,0)</f>
        <v>0</v>
      </c>
      <c r="BG101" s="145">
        <f>IF(N101="zákl. přenesená",J101,0)</f>
        <v>0</v>
      </c>
      <c r="BH101" s="145">
        <f>IF(N101="sníž. přenesená",J101,0)</f>
        <v>0</v>
      </c>
      <c r="BI101" s="145">
        <f>IF(N101="nulová",J101,0)</f>
        <v>0</v>
      </c>
      <c r="BJ101" s="18" t="s">
        <v>77</v>
      </c>
      <c r="BK101" s="145">
        <f>ROUND(I101*H101,2)</f>
        <v>0</v>
      </c>
      <c r="BL101" s="18" t="s">
        <v>158</v>
      </c>
      <c r="BM101" s="144" t="s">
        <v>1102</v>
      </c>
    </row>
    <row r="102" spans="2:65" s="1" customFormat="1" ht="6.95" customHeight="1">
      <c r="B102" s="42"/>
      <c r="C102" s="43"/>
      <c r="D102" s="43"/>
      <c r="E102" s="43"/>
      <c r="F102" s="43"/>
      <c r="G102" s="43"/>
      <c r="H102" s="43"/>
      <c r="I102" s="43"/>
      <c r="J102" s="43"/>
      <c r="K102" s="43"/>
      <c r="L102" s="33"/>
    </row>
  </sheetData>
  <autoFilter ref="C82:K101" xr:uid="{00000000-0009-0000-0000-000004000000}"/>
  <mergeCells count="9">
    <mergeCell ref="E50:H50"/>
    <mergeCell ref="E73:H73"/>
    <mergeCell ref="E75:H75"/>
    <mergeCell ref="L2:V2"/>
    <mergeCell ref="E7:H7"/>
    <mergeCell ref="E9:H9"/>
    <mergeCell ref="E18:H18"/>
    <mergeCell ref="E27:H27"/>
    <mergeCell ref="E48:H48"/>
  </mergeCells>
  <pageMargins left="0.39374999999999999" right="0.39374999999999999" top="0.39374999999999999" bottom="0.39374999999999999" header="0" footer="0"/>
  <pageSetup paperSize="9" fitToHeight="100" orientation="landscape" blackAndWhite="1"/>
  <headerFooter>
    <oddFooter>&amp;CStrana &amp;P z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BM103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10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304" t="s">
        <v>6</v>
      </c>
      <c r="M2" s="289"/>
      <c r="N2" s="289"/>
      <c r="O2" s="289"/>
      <c r="P2" s="289"/>
      <c r="Q2" s="289"/>
      <c r="R2" s="289"/>
      <c r="S2" s="289"/>
      <c r="T2" s="289"/>
      <c r="U2" s="289"/>
      <c r="V2" s="289"/>
      <c r="AT2" s="18" t="s">
        <v>91</v>
      </c>
    </row>
    <row r="3" spans="2:46" ht="6.9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1"/>
      <c r="AT3" s="18" t="s">
        <v>79</v>
      </c>
    </row>
    <row r="4" spans="2:46" ht="24.95" customHeight="1">
      <c r="B4" s="21"/>
      <c r="D4" s="22" t="s">
        <v>114</v>
      </c>
      <c r="L4" s="21"/>
      <c r="M4" s="91" t="s">
        <v>11</v>
      </c>
      <c r="AT4" s="18" t="s">
        <v>4</v>
      </c>
    </row>
    <row r="5" spans="2:46" ht="6.95" customHeight="1">
      <c r="B5" s="21"/>
      <c r="L5" s="21"/>
    </row>
    <row r="6" spans="2:46" ht="12" customHeight="1">
      <c r="B6" s="21"/>
      <c r="D6" s="28" t="s">
        <v>17</v>
      </c>
      <c r="L6" s="21"/>
    </row>
    <row r="7" spans="2:46" ht="16.5" customHeight="1">
      <c r="B7" s="21"/>
      <c r="E7" s="319" t="str">
        <f>'Rekapitulace stavby'!K6</f>
        <v>SKLAD ŠKROBU P-001</v>
      </c>
      <c r="F7" s="320"/>
      <c r="G7" s="320"/>
      <c r="H7" s="320"/>
      <c r="L7" s="21"/>
    </row>
    <row r="8" spans="2:46" s="1" customFormat="1" ht="12" customHeight="1">
      <c r="B8" s="33"/>
      <c r="D8" s="28" t="s">
        <v>115</v>
      </c>
      <c r="L8" s="33"/>
    </row>
    <row r="9" spans="2:46" s="1" customFormat="1" ht="16.5" customHeight="1">
      <c r="B9" s="33"/>
      <c r="E9" s="282" t="s">
        <v>1103</v>
      </c>
      <c r="F9" s="321"/>
      <c r="G9" s="321"/>
      <c r="H9" s="321"/>
      <c r="L9" s="33"/>
    </row>
    <row r="10" spans="2:46" s="1" customFormat="1" ht="11.25">
      <c r="B10" s="33"/>
      <c r="L10" s="33"/>
    </row>
    <row r="11" spans="2:46" s="1" customFormat="1" ht="12" customHeight="1">
      <c r="B11" s="33"/>
      <c r="D11" s="28" t="s">
        <v>19</v>
      </c>
      <c r="F11" s="26" t="s">
        <v>3</v>
      </c>
      <c r="I11" s="28" t="s">
        <v>20</v>
      </c>
      <c r="J11" s="26" t="s">
        <v>3</v>
      </c>
      <c r="L11" s="33"/>
    </row>
    <row r="12" spans="2:46" s="1" customFormat="1" ht="12" customHeight="1">
      <c r="B12" s="33"/>
      <c r="D12" s="28" t="s">
        <v>21</v>
      </c>
      <c r="F12" s="26" t="s">
        <v>22</v>
      </c>
      <c r="I12" s="28" t="s">
        <v>23</v>
      </c>
      <c r="J12" s="50">
        <f>'Rekapitulace stavby'!AN8</f>
        <v>45167</v>
      </c>
      <c r="L12" s="33"/>
    </row>
    <row r="13" spans="2:46" s="1" customFormat="1" ht="10.9" customHeight="1">
      <c r="B13" s="33"/>
      <c r="L13" s="33"/>
    </row>
    <row r="14" spans="2:46" s="1" customFormat="1" ht="12" customHeight="1">
      <c r="B14" s="33"/>
      <c r="D14" s="28" t="s">
        <v>24</v>
      </c>
      <c r="I14" s="28" t="s">
        <v>25</v>
      </c>
      <c r="J14" s="26" t="str">
        <f>IF('Rekapitulace stavby'!AN10="","",'Rekapitulace stavby'!AN10)</f>
        <v/>
      </c>
      <c r="L14" s="33"/>
    </row>
    <row r="15" spans="2:46" s="1" customFormat="1" ht="18" customHeight="1">
      <c r="B15" s="33"/>
      <c r="E15" s="26" t="str">
        <f>IF('Rekapitulace stavby'!E11="","",'Rekapitulace stavby'!E11)</f>
        <v xml:space="preserve"> </v>
      </c>
      <c r="I15" s="28" t="s">
        <v>26</v>
      </c>
      <c r="J15" s="26" t="str">
        <f>IF('Rekapitulace stavby'!AN11="","",'Rekapitulace stavby'!AN11)</f>
        <v/>
      </c>
      <c r="L15" s="33"/>
    </row>
    <row r="16" spans="2:46" s="1" customFormat="1" ht="6.95" customHeight="1">
      <c r="B16" s="33"/>
      <c r="L16" s="33"/>
    </row>
    <row r="17" spans="2:12" s="1" customFormat="1" ht="12" customHeight="1">
      <c r="B17" s="33"/>
      <c r="D17" s="28" t="s">
        <v>27</v>
      </c>
      <c r="I17" s="28" t="s">
        <v>25</v>
      </c>
      <c r="J17" s="29" t="str">
        <f>'Rekapitulace stavby'!AN13</f>
        <v>Vyplň údaj</v>
      </c>
      <c r="L17" s="33"/>
    </row>
    <row r="18" spans="2:12" s="1" customFormat="1" ht="18" customHeight="1">
      <c r="B18" s="33"/>
      <c r="E18" s="322" t="str">
        <f>'Rekapitulace stavby'!E14</f>
        <v>Vyplň údaj</v>
      </c>
      <c r="F18" s="288"/>
      <c r="G18" s="288"/>
      <c r="H18" s="288"/>
      <c r="I18" s="28" t="s">
        <v>26</v>
      </c>
      <c r="J18" s="29" t="str">
        <f>'Rekapitulace stavby'!AN14</f>
        <v>Vyplň údaj</v>
      </c>
      <c r="L18" s="33"/>
    </row>
    <row r="19" spans="2:12" s="1" customFormat="1" ht="6.95" customHeight="1">
      <c r="B19" s="33"/>
      <c r="L19" s="33"/>
    </row>
    <row r="20" spans="2:12" s="1" customFormat="1" ht="12" customHeight="1">
      <c r="B20" s="33"/>
      <c r="D20" s="28" t="s">
        <v>29</v>
      </c>
      <c r="I20" s="28" t="s">
        <v>25</v>
      </c>
      <c r="J20" s="26" t="str">
        <f>IF('Rekapitulace stavby'!AN16="","",'Rekapitulace stavby'!AN16)</f>
        <v/>
      </c>
      <c r="L20" s="33"/>
    </row>
    <row r="21" spans="2:12" s="1" customFormat="1" ht="18" customHeight="1">
      <c r="B21" s="33"/>
      <c r="E21" s="26" t="str">
        <f>IF('Rekapitulace stavby'!E17="","",'Rekapitulace stavby'!E17)</f>
        <v xml:space="preserve"> </v>
      </c>
      <c r="I21" s="28" t="s">
        <v>26</v>
      </c>
      <c r="J21" s="26" t="str">
        <f>IF('Rekapitulace stavby'!AN17="","",'Rekapitulace stavby'!AN17)</f>
        <v/>
      </c>
      <c r="L21" s="33"/>
    </row>
    <row r="22" spans="2:12" s="1" customFormat="1" ht="6.95" customHeight="1">
      <c r="B22" s="33"/>
      <c r="L22" s="33"/>
    </row>
    <row r="23" spans="2:12" s="1" customFormat="1" ht="12" customHeight="1">
      <c r="B23" s="33"/>
      <c r="D23" s="28" t="s">
        <v>31</v>
      </c>
      <c r="I23" s="28" t="s">
        <v>25</v>
      </c>
      <c r="J23" s="26" t="str">
        <f>IF('Rekapitulace stavby'!AN19="","",'Rekapitulace stavby'!AN19)</f>
        <v/>
      </c>
      <c r="L23" s="33"/>
    </row>
    <row r="24" spans="2:12" s="1" customFormat="1" ht="18" customHeight="1">
      <c r="B24" s="33"/>
      <c r="E24" s="26" t="str">
        <f>IF('Rekapitulace stavby'!E20="","",'Rekapitulace stavby'!E20)</f>
        <v>rostarek s.r.o.</v>
      </c>
      <c r="I24" s="28" t="s">
        <v>26</v>
      </c>
      <c r="J24" s="26" t="str">
        <f>IF('Rekapitulace stavby'!AN20="","",'Rekapitulace stavby'!AN20)</f>
        <v/>
      </c>
      <c r="L24" s="33"/>
    </row>
    <row r="25" spans="2:12" s="1" customFormat="1" ht="6.95" customHeight="1">
      <c r="B25" s="33"/>
      <c r="L25" s="33"/>
    </row>
    <row r="26" spans="2:12" s="1" customFormat="1" ht="12" customHeight="1">
      <c r="B26" s="33"/>
      <c r="D26" s="28" t="s">
        <v>33</v>
      </c>
      <c r="L26" s="33"/>
    </row>
    <row r="27" spans="2:12" s="7" customFormat="1" ht="16.5" customHeight="1">
      <c r="B27" s="92"/>
      <c r="E27" s="293" t="s">
        <v>3</v>
      </c>
      <c r="F27" s="293"/>
      <c r="G27" s="293"/>
      <c r="H27" s="293"/>
      <c r="L27" s="92"/>
    </row>
    <row r="28" spans="2:12" s="1" customFormat="1" ht="6.95" customHeight="1">
      <c r="B28" s="33"/>
      <c r="L28" s="33"/>
    </row>
    <row r="29" spans="2:12" s="1" customFormat="1" ht="6.95" customHeight="1">
      <c r="B29" s="33"/>
      <c r="D29" s="51"/>
      <c r="E29" s="51"/>
      <c r="F29" s="51"/>
      <c r="G29" s="51"/>
      <c r="H29" s="51"/>
      <c r="I29" s="51"/>
      <c r="J29" s="51"/>
      <c r="K29" s="51"/>
      <c r="L29" s="33"/>
    </row>
    <row r="30" spans="2:12" s="1" customFormat="1" ht="25.35" customHeight="1">
      <c r="B30" s="33"/>
      <c r="D30" s="93" t="s">
        <v>35</v>
      </c>
      <c r="J30" s="64">
        <f>ROUND(J82, 2)</f>
        <v>0</v>
      </c>
      <c r="L30" s="33"/>
    </row>
    <row r="31" spans="2:12" s="1" customFormat="1" ht="6.95" customHeight="1">
      <c r="B31" s="33"/>
      <c r="D31" s="51"/>
      <c r="E31" s="51"/>
      <c r="F31" s="51"/>
      <c r="G31" s="51"/>
      <c r="H31" s="51"/>
      <c r="I31" s="51"/>
      <c r="J31" s="51"/>
      <c r="K31" s="51"/>
      <c r="L31" s="33"/>
    </row>
    <row r="32" spans="2:12" s="1" customFormat="1" ht="14.45" customHeight="1">
      <c r="B32" s="33"/>
      <c r="F32" s="36" t="s">
        <v>37</v>
      </c>
      <c r="I32" s="36" t="s">
        <v>36</v>
      </c>
      <c r="J32" s="36" t="s">
        <v>38</v>
      </c>
      <c r="L32" s="33"/>
    </row>
    <row r="33" spans="2:12" s="1" customFormat="1" ht="14.45" customHeight="1">
      <c r="B33" s="33"/>
      <c r="D33" s="53" t="s">
        <v>39</v>
      </c>
      <c r="E33" s="28" t="s">
        <v>40</v>
      </c>
      <c r="F33" s="84">
        <f>ROUND((SUM(BE82:BE102)),  2)</f>
        <v>0</v>
      </c>
      <c r="I33" s="94">
        <v>0.21</v>
      </c>
      <c r="J33" s="84">
        <f>ROUND(((SUM(BE82:BE102))*I33),  2)</f>
        <v>0</v>
      </c>
      <c r="L33" s="33"/>
    </row>
    <row r="34" spans="2:12" s="1" customFormat="1" ht="14.45" customHeight="1">
      <c r="B34" s="33"/>
      <c r="E34" s="28" t="s">
        <v>41</v>
      </c>
      <c r="F34" s="84">
        <f>ROUND((SUM(BF82:BF102)),  2)</f>
        <v>0</v>
      </c>
      <c r="I34" s="94">
        <v>0.15</v>
      </c>
      <c r="J34" s="84">
        <f>ROUND(((SUM(BF82:BF102))*I34),  2)</f>
        <v>0</v>
      </c>
      <c r="L34" s="33"/>
    </row>
    <row r="35" spans="2:12" s="1" customFormat="1" ht="14.45" hidden="1" customHeight="1">
      <c r="B35" s="33"/>
      <c r="E35" s="28" t="s">
        <v>42</v>
      </c>
      <c r="F35" s="84">
        <f>ROUND((SUM(BG82:BG102)),  2)</f>
        <v>0</v>
      </c>
      <c r="I35" s="94">
        <v>0.21</v>
      </c>
      <c r="J35" s="84">
        <f>0</f>
        <v>0</v>
      </c>
      <c r="L35" s="33"/>
    </row>
    <row r="36" spans="2:12" s="1" customFormat="1" ht="14.45" hidden="1" customHeight="1">
      <c r="B36" s="33"/>
      <c r="E36" s="28" t="s">
        <v>43</v>
      </c>
      <c r="F36" s="84">
        <f>ROUND((SUM(BH82:BH102)),  2)</f>
        <v>0</v>
      </c>
      <c r="I36" s="94">
        <v>0.15</v>
      </c>
      <c r="J36" s="84">
        <f>0</f>
        <v>0</v>
      </c>
      <c r="L36" s="33"/>
    </row>
    <row r="37" spans="2:12" s="1" customFormat="1" ht="14.45" hidden="1" customHeight="1">
      <c r="B37" s="33"/>
      <c r="E37" s="28" t="s">
        <v>44</v>
      </c>
      <c r="F37" s="84">
        <f>ROUND((SUM(BI82:BI102)),  2)</f>
        <v>0</v>
      </c>
      <c r="I37" s="94">
        <v>0</v>
      </c>
      <c r="J37" s="84">
        <f>0</f>
        <v>0</v>
      </c>
      <c r="L37" s="33"/>
    </row>
    <row r="38" spans="2:12" s="1" customFormat="1" ht="6.95" customHeight="1">
      <c r="B38" s="33"/>
      <c r="L38" s="33"/>
    </row>
    <row r="39" spans="2:12" s="1" customFormat="1" ht="25.35" customHeight="1">
      <c r="B39" s="33"/>
      <c r="C39" s="95"/>
      <c r="D39" s="96" t="s">
        <v>45</v>
      </c>
      <c r="E39" s="55"/>
      <c r="F39" s="55"/>
      <c r="G39" s="97" t="s">
        <v>46</v>
      </c>
      <c r="H39" s="98" t="s">
        <v>47</v>
      </c>
      <c r="I39" s="55"/>
      <c r="J39" s="99">
        <f>SUM(J30:J37)</f>
        <v>0</v>
      </c>
      <c r="K39" s="100"/>
      <c r="L39" s="33"/>
    </row>
    <row r="40" spans="2:12" s="1" customFormat="1" ht="14.45" customHeight="1"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33"/>
    </row>
    <row r="44" spans="2:12" s="1" customFormat="1" ht="6.95" customHeight="1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33"/>
    </row>
    <row r="45" spans="2:12" s="1" customFormat="1" ht="24.95" customHeight="1">
      <c r="B45" s="33"/>
      <c r="C45" s="22" t="s">
        <v>117</v>
      </c>
      <c r="L45" s="33"/>
    </row>
    <row r="46" spans="2:12" s="1" customFormat="1" ht="6.95" customHeight="1">
      <c r="B46" s="33"/>
      <c r="L46" s="33"/>
    </row>
    <row r="47" spans="2:12" s="1" customFormat="1" ht="12" customHeight="1">
      <c r="B47" s="33"/>
      <c r="C47" s="28" t="s">
        <v>17</v>
      </c>
      <c r="L47" s="33"/>
    </row>
    <row r="48" spans="2:12" s="1" customFormat="1" ht="16.5" customHeight="1">
      <c r="B48" s="33"/>
      <c r="E48" s="319" t="str">
        <f>E7</f>
        <v>SKLAD ŠKROBU P-001</v>
      </c>
      <c r="F48" s="320"/>
      <c r="G48" s="320"/>
      <c r="H48" s="320"/>
      <c r="L48" s="33"/>
    </row>
    <row r="49" spans="2:47" s="1" customFormat="1" ht="12" customHeight="1">
      <c r="B49" s="33"/>
      <c r="C49" s="28" t="s">
        <v>115</v>
      </c>
      <c r="L49" s="33"/>
    </row>
    <row r="50" spans="2:47" s="1" customFormat="1" ht="16.5" customHeight="1">
      <c r="B50" s="33"/>
      <c r="E50" s="282" t="str">
        <f>E9</f>
        <v>2023/003/i - SO-21 - bleskosvod a uzemnění</v>
      </c>
      <c r="F50" s="321"/>
      <c r="G50" s="321"/>
      <c r="H50" s="321"/>
      <c r="L50" s="33"/>
    </row>
    <row r="51" spans="2:47" s="1" customFormat="1" ht="6.95" customHeight="1">
      <c r="B51" s="33"/>
      <c r="L51" s="33"/>
    </row>
    <row r="52" spans="2:47" s="1" customFormat="1" ht="12" customHeight="1">
      <c r="B52" s="33"/>
      <c r="C52" s="28" t="s">
        <v>21</v>
      </c>
      <c r="F52" s="26" t="str">
        <f>F12</f>
        <v xml:space="preserve"> </v>
      </c>
      <c r="I52" s="28" t="s">
        <v>23</v>
      </c>
      <c r="J52" s="50">
        <f>IF(J12="","",J12)</f>
        <v>45167</v>
      </c>
      <c r="L52" s="33"/>
    </row>
    <row r="53" spans="2:47" s="1" customFormat="1" ht="6.95" customHeight="1">
      <c r="B53" s="33"/>
      <c r="L53" s="33"/>
    </row>
    <row r="54" spans="2:47" s="1" customFormat="1" ht="15.2" customHeight="1">
      <c r="B54" s="33"/>
      <c r="C54" s="28" t="s">
        <v>24</v>
      </c>
      <c r="F54" s="26" t="str">
        <f>E15</f>
        <v xml:space="preserve"> </v>
      </c>
      <c r="I54" s="28" t="s">
        <v>29</v>
      </c>
      <c r="J54" s="31" t="str">
        <f>E21</f>
        <v xml:space="preserve"> </v>
      </c>
      <c r="L54" s="33"/>
    </row>
    <row r="55" spans="2:47" s="1" customFormat="1" ht="15.2" customHeight="1">
      <c r="B55" s="33"/>
      <c r="C55" s="28" t="s">
        <v>27</v>
      </c>
      <c r="F55" s="26" t="str">
        <f>IF(E18="","",E18)</f>
        <v>Vyplň údaj</v>
      </c>
      <c r="I55" s="28" t="s">
        <v>31</v>
      </c>
      <c r="J55" s="31" t="str">
        <f>E24</f>
        <v>rostarek s.r.o.</v>
      </c>
      <c r="L55" s="33"/>
    </row>
    <row r="56" spans="2:47" s="1" customFormat="1" ht="10.35" customHeight="1">
      <c r="B56" s="33"/>
      <c r="L56" s="33"/>
    </row>
    <row r="57" spans="2:47" s="1" customFormat="1" ht="29.25" customHeight="1">
      <c r="B57" s="33"/>
      <c r="C57" s="101" t="s">
        <v>118</v>
      </c>
      <c r="D57" s="95"/>
      <c r="E57" s="95"/>
      <c r="F57" s="95"/>
      <c r="G57" s="95"/>
      <c r="H57" s="95"/>
      <c r="I57" s="95"/>
      <c r="J57" s="102" t="s">
        <v>119</v>
      </c>
      <c r="K57" s="95"/>
      <c r="L57" s="33"/>
    </row>
    <row r="58" spans="2:47" s="1" customFormat="1" ht="10.35" customHeight="1">
      <c r="B58" s="33"/>
      <c r="L58" s="33"/>
    </row>
    <row r="59" spans="2:47" s="1" customFormat="1" ht="22.9" customHeight="1">
      <c r="B59" s="33"/>
      <c r="C59" s="103" t="s">
        <v>67</v>
      </c>
      <c r="J59" s="64">
        <f>J82</f>
        <v>0</v>
      </c>
      <c r="L59" s="33"/>
      <c r="AU59" s="18" t="s">
        <v>120</v>
      </c>
    </row>
    <row r="60" spans="2:47" s="8" customFormat="1" ht="24.95" customHeight="1">
      <c r="B60" s="104"/>
      <c r="D60" s="105" t="s">
        <v>1104</v>
      </c>
      <c r="E60" s="106"/>
      <c r="F60" s="106"/>
      <c r="G60" s="106"/>
      <c r="H60" s="106"/>
      <c r="I60" s="106"/>
      <c r="J60" s="107">
        <f>J83</f>
        <v>0</v>
      </c>
      <c r="L60" s="104"/>
    </row>
    <row r="61" spans="2:47" s="8" customFormat="1" ht="24.95" customHeight="1">
      <c r="B61" s="104"/>
      <c r="D61" s="105" t="s">
        <v>1105</v>
      </c>
      <c r="E61" s="106"/>
      <c r="F61" s="106"/>
      <c r="G61" s="106"/>
      <c r="H61" s="106"/>
      <c r="I61" s="106"/>
      <c r="J61" s="107">
        <f>J95</f>
        <v>0</v>
      </c>
      <c r="L61" s="104"/>
    </row>
    <row r="62" spans="2:47" s="8" customFormat="1" ht="24.95" customHeight="1">
      <c r="B62" s="104"/>
      <c r="D62" s="105" t="s">
        <v>1106</v>
      </c>
      <c r="E62" s="106"/>
      <c r="F62" s="106"/>
      <c r="G62" s="106"/>
      <c r="H62" s="106"/>
      <c r="I62" s="106"/>
      <c r="J62" s="107">
        <f>J99</f>
        <v>0</v>
      </c>
      <c r="L62" s="104"/>
    </row>
    <row r="63" spans="2:47" s="1" customFormat="1" ht="21.75" customHeight="1">
      <c r="B63" s="33"/>
      <c r="L63" s="33"/>
    </row>
    <row r="64" spans="2:47" s="1" customFormat="1" ht="6.95" customHeight="1">
      <c r="B64" s="42"/>
      <c r="C64" s="43"/>
      <c r="D64" s="43"/>
      <c r="E64" s="43"/>
      <c r="F64" s="43"/>
      <c r="G64" s="43"/>
      <c r="H64" s="43"/>
      <c r="I64" s="43"/>
      <c r="J64" s="43"/>
      <c r="K64" s="43"/>
      <c r="L64" s="33"/>
    </row>
    <row r="68" spans="2:12" s="1" customFormat="1" ht="6.95" customHeight="1">
      <c r="B68" s="44"/>
      <c r="C68" s="45"/>
      <c r="D68" s="45"/>
      <c r="E68" s="45"/>
      <c r="F68" s="45"/>
      <c r="G68" s="45"/>
      <c r="H68" s="45"/>
      <c r="I68" s="45"/>
      <c r="J68" s="45"/>
      <c r="K68" s="45"/>
      <c r="L68" s="33"/>
    </row>
    <row r="69" spans="2:12" s="1" customFormat="1" ht="24.95" customHeight="1">
      <c r="B69" s="33"/>
      <c r="C69" s="22" t="s">
        <v>137</v>
      </c>
      <c r="L69" s="33"/>
    </row>
    <row r="70" spans="2:12" s="1" customFormat="1" ht="6.95" customHeight="1">
      <c r="B70" s="33"/>
      <c r="L70" s="33"/>
    </row>
    <row r="71" spans="2:12" s="1" customFormat="1" ht="12" customHeight="1">
      <c r="B71" s="33"/>
      <c r="C71" s="28" t="s">
        <v>17</v>
      </c>
      <c r="L71" s="33"/>
    </row>
    <row r="72" spans="2:12" s="1" customFormat="1" ht="16.5" customHeight="1">
      <c r="B72" s="33"/>
      <c r="E72" s="319" t="str">
        <f>E7</f>
        <v>SKLAD ŠKROBU P-001</v>
      </c>
      <c r="F72" s="320"/>
      <c r="G72" s="320"/>
      <c r="H72" s="320"/>
      <c r="L72" s="33"/>
    </row>
    <row r="73" spans="2:12" s="1" customFormat="1" ht="12" customHeight="1">
      <c r="B73" s="33"/>
      <c r="C73" s="28" t="s">
        <v>115</v>
      </c>
      <c r="L73" s="33"/>
    </row>
    <row r="74" spans="2:12" s="1" customFormat="1" ht="16.5" customHeight="1">
      <c r="B74" s="33"/>
      <c r="E74" s="282" t="str">
        <f>E9</f>
        <v>2023/003/i - SO-21 - bleskosvod a uzemnění</v>
      </c>
      <c r="F74" s="321"/>
      <c r="G74" s="321"/>
      <c r="H74" s="321"/>
      <c r="L74" s="33"/>
    </row>
    <row r="75" spans="2:12" s="1" customFormat="1" ht="6.95" customHeight="1">
      <c r="B75" s="33"/>
      <c r="L75" s="33"/>
    </row>
    <row r="76" spans="2:12" s="1" customFormat="1" ht="12" customHeight="1">
      <c r="B76" s="33"/>
      <c r="C76" s="28" t="s">
        <v>21</v>
      </c>
      <c r="F76" s="26" t="str">
        <f>F12</f>
        <v xml:space="preserve"> </v>
      </c>
      <c r="I76" s="28" t="s">
        <v>23</v>
      </c>
      <c r="J76" s="50">
        <f>IF(J12="","",J12)</f>
        <v>45167</v>
      </c>
      <c r="L76" s="33"/>
    </row>
    <row r="77" spans="2:12" s="1" customFormat="1" ht="6.95" customHeight="1">
      <c r="B77" s="33"/>
      <c r="L77" s="33"/>
    </row>
    <row r="78" spans="2:12" s="1" customFormat="1" ht="15.2" customHeight="1">
      <c r="B78" s="33"/>
      <c r="C78" s="28" t="s">
        <v>24</v>
      </c>
      <c r="F78" s="26" t="str">
        <f>E15</f>
        <v xml:space="preserve"> </v>
      </c>
      <c r="I78" s="28" t="s">
        <v>29</v>
      </c>
      <c r="J78" s="31" t="str">
        <f>E21</f>
        <v xml:space="preserve"> </v>
      </c>
      <c r="L78" s="33"/>
    </row>
    <row r="79" spans="2:12" s="1" customFormat="1" ht="15.2" customHeight="1">
      <c r="B79" s="33"/>
      <c r="C79" s="28" t="s">
        <v>27</v>
      </c>
      <c r="F79" s="26" t="str">
        <f>IF(E18="","",E18)</f>
        <v>Vyplň údaj</v>
      </c>
      <c r="I79" s="28" t="s">
        <v>31</v>
      </c>
      <c r="J79" s="31" t="str">
        <f>E24</f>
        <v>rostarek s.r.o.</v>
      </c>
      <c r="L79" s="33"/>
    </row>
    <row r="80" spans="2:12" s="1" customFormat="1" ht="10.35" customHeight="1">
      <c r="B80" s="33"/>
      <c r="L80" s="33"/>
    </row>
    <row r="81" spans="2:65" s="10" customFormat="1" ht="29.25" customHeight="1">
      <c r="B81" s="112"/>
      <c r="C81" s="113" t="s">
        <v>138</v>
      </c>
      <c r="D81" s="114" t="s">
        <v>54</v>
      </c>
      <c r="E81" s="114" t="s">
        <v>50</v>
      </c>
      <c r="F81" s="114" t="s">
        <v>51</v>
      </c>
      <c r="G81" s="114" t="s">
        <v>139</v>
      </c>
      <c r="H81" s="114" t="s">
        <v>140</v>
      </c>
      <c r="I81" s="114" t="s">
        <v>141</v>
      </c>
      <c r="J81" s="114" t="s">
        <v>119</v>
      </c>
      <c r="K81" s="115" t="s">
        <v>142</v>
      </c>
      <c r="L81" s="112"/>
      <c r="M81" s="57" t="s">
        <v>3</v>
      </c>
      <c r="N81" s="58" t="s">
        <v>39</v>
      </c>
      <c r="O81" s="58" t="s">
        <v>143</v>
      </c>
      <c r="P81" s="58" t="s">
        <v>144</v>
      </c>
      <c r="Q81" s="58" t="s">
        <v>145</v>
      </c>
      <c r="R81" s="58" t="s">
        <v>146</v>
      </c>
      <c r="S81" s="58" t="s">
        <v>147</v>
      </c>
      <c r="T81" s="59" t="s">
        <v>148</v>
      </c>
    </row>
    <row r="82" spans="2:65" s="1" customFormat="1" ht="22.9" customHeight="1">
      <c r="B82" s="33"/>
      <c r="C82" s="62" t="s">
        <v>149</v>
      </c>
      <c r="J82" s="116">
        <f>BK82</f>
        <v>0</v>
      </c>
      <c r="L82" s="33"/>
      <c r="M82" s="60"/>
      <c r="N82" s="51"/>
      <c r="O82" s="51"/>
      <c r="P82" s="117">
        <f>P83+P95+P99</f>
        <v>0</v>
      </c>
      <c r="Q82" s="51"/>
      <c r="R82" s="117">
        <f>R83+R95+R99</f>
        <v>0</v>
      </c>
      <c r="S82" s="51"/>
      <c r="T82" s="118">
        <f>T83+T95+T99</f>
        <v>0</v>
      </c>
      <c r="AT82" s="18" t="s">
        <v>68</v>
      </c>
      <c r="AU82" s="18" t="s">
        <v>120</v>
      </c>
      <c r="BK82" s="119">
        <f>BK83+BK95+BK99</f>
        <v>0</v>
      </c>
    </row>
    <row r="83" spans="2:65" s="11" customFormat="1" ht="25.9" customHeight="1">
      <c r="B83" s="120"/>
      <c r="D83" s="121" t="s">
        <v>68</v>
      </c>
      <c r="E83" s="122" t="s">
        <v>767</v>
      </c>
      <c r="F83" s="122" t="s">
        <v>1107</v>
      </c>
      <c r="I83" s="123"/>
      <c r="J83" s="124">
        <f>BK83</f>
        <v>0</v>
      </c>
      <c r="L83" s="120"/>
      <c r="M83" s="125"/>
      <c r="P83" s="126">
        <f>SUM(P84:P94)</f>
        <v>0</v>
      </c>
      <c r="R83" s="126">
        <f>SUM(R84:R94)</f>
        <v>0</v>
      </c>
      <c r="T83" s="127">
        <f>SUM(T84:T94)</f>
        <v>0</v>
      </c>
      <c r="AR83" s="121" t="s">
        <v>77</v>
      </c>
      <c r="AT83" s="128" t="s">
        <v>68</v>
      </c>
      <c r="AU83" s="128" t="s">
        <v>69</v>
      </c>
      <c r="AY83" s="121" t="s">
        <v>151</v>
      </c>
      <c r="BK83" s="129">
        <f>SUM(BK84:BK94)</f>
        <v>0</v>
      </c>
    </row>
    <row r="84" spans="2:65" s="1" customFormat="1" ht="16.5" customHeight="1">
      <c r="B84" s="132"/>
      <c r="C84" s="133" t="s">
        <v>69</v>
      </c>
      <c r="D84" s="133" t="s">
        <v>153</v>
      </c>
      <c r="E84" s="134" t="s">
        <v>1108</v>
      </c>
      <c r="F84" s="135" t="s">
        <v>1109</v>
      </c>
      <c r="G84" s="136" t="s">
        <v>484</v>
      </c>
      <c r="H84" s="137">
        <v>10</v>
      </c>
      <c r="I84" s="138"/>
      <c r="J84" s="139">
        <f t="shared" ref="J84:J94" si="0">ROUND(I84*H84,2)</f>
        <v>0</v>
      </c>
      <c r="K84" s="135" t="s">
        <v>3</v>
      </c>
      <c r="L84" s="33"/>
      <c r="M84" s="140" t="s">
        <v>3</v>
      </c>
      <c r="N84" s="141" t="s">
        <v>40</v>
      </c>
      <c r="P84" s="142">
        <f t="shared" ref="P84:P94" si="1">O84*H84</f>
        <v>0</v>
      </c>
      <c r="Q84" s="142">
        <v>0</v>
      </c>
      <c r="R84" s="142">
        <f t="shared" ref="R84:R94" si="2">Q84*H84</f>
        <v>0</v>
      </c>
      <c r="S84" s="142">
        <v>0</v>
      </c>
      <c r="T84" s="143">
        <f t="shared" ref="T84:T94" si="3">S84*H84</f>
        <v>0</v>
      </c>
      <c r="AR84" s="144" t="s">
        <v>158</v>
      </c>
      <c r="AT84" s="144" t="s">
        <v>153</v>
      </c>
      <c r="AU84" s="144" t="s">
        <v>77</v>
      </c>
      <c r="AY84" s="18" t="s">
        <v>151</v>
      </c>
      <c r="BE84" s="145">
        <f t="shared" ref="BE84:BE94" si="4">IF(N84="základní",J84,0)</f>
        <v>0</v>
      </c>
      <c r="BF84" s="145">
        <f t="shared" ref="BF84:BF94" si="5">IF(N84="snížená",J84,0)</f>
        <v>0</v>
      </c>
      <c r="BG84" s="145">
        <f t="shared" ref="BG84:BG94" si="6">IF(N84="zákl. přenesená",J84,0)</f>
        <v>0</v>
      </c>
      <c r="BH84" s="145">
        <f t="shared" ref="BH84:BH94" si="7">IF(N84="sníž. přenesená",J84,0)</f>
        <v>0</v>
      </c>
      <c r="BI84" s="145">
        <f t="shared" ref="BI84:BI94" si="8">IF(N84="nulová",J84,0)</f>
        <v>0</v>
      </c>
      <c r="BJ84" s="18" t="s">
        <v>77</v>
      </c>
      <c r="BK84" s="145">
        <f t="shared" ref="BK84:BK94" si="9">ROUND(I84*H84,2)</f>
        <v>0</v>
      </c>
      <c r="BL84" s="18" t="s">
        <v>158</v>
      </c>
      <c r="BM84" s="144" t="s">
        <v>79</v>
      </c>
    </row>
    <row r="85" spans="2:65" s="1" customFormat="1" ht="16.5" customHeight="1">
      <c r="B85" s="132"/>
      <c r="C85" s="133" t="s">
        <v>69</v>
      </c>
      <c r="D85" s="133" t="s">
        <v>153</v>
      </c>
      <c r="E85" s="134" t="s">
        <v>1110</v>
      </c>
      <c r="F85" s="135" t="s">
        <v>1111</v>
      </c>
      <c r="G85" s="136" t="s">
        <v>484</v>
      </c>
      <c r="H85" s="137">
        <v>60</v>
      </c>
      <c r="I85" s="138"/>
      <c r="J85" s="139">
        <f t="shared" si="0"/>
        <v>0</v>
      </c>
      <c r="K85" s="135" t="s">
        <v>3</v>
      </c>
      <c r="L85" s="33"/>
      <c r="M85" s="140" t="s">
        <v>3</v>
      </c>
      <c r="N85" s="141" t="s">
        <v>40</v>
      </c>
      <c r="P85" s="142">
        <f t="shared" si="1"/>
        <v>0</v>
      </c>
      <c r="Q85" s="142">
        <v>0</v>
      </c>
      <c r="R85" s="142">
        <f t="shared" si="2"/>
        <v>0</v>
      </c>
      <c r="S85" s="142">
        <v>0</v>
      </c>
      <c r="T85" s="143">
        <f t="shared" si="3"/>
        <v>0</v>
      </c>
      <c r="AR85" s="144" t="s">
        <v>158</v>
      </c>
      <c r="AT85" s="144" t="s">
        <v>153</v>
      </c>
      <c r="AU85" s="144" t="s">
        <v>77</v>
      </c>
      <c r="AY85" s="18" t="s">
        <v>151</v>
      </c>
      <c r="BE85" s="145">
        <f t="shared" si="4"/>
        <v>0</v>
      </c>
      <c r="BF85" s="145">
        <f t="shared" si="5"/>
        <v>0</v>
      </c>
      <c r="BG85" s="145">
        <f t="shared" si="6"/>
        <v>0</v>
      </c>
      <c r="BH85" s="145">
        <f t="shared" si="7"/>
        <v>0</v>
      </c>
      <c r="BI85" s="145">
        <f t="shared" si="8"/>
        <v>0</v>
      </c>
      <c r="BJ85" s="18" t="s">
        <v>77</v>
      </c>
      <c r="BK85" s="145">
        <f t="shared" si="9"/>
        <v>0</v>
      </c>
      <c r="BL85" s="18" t="s">
        <v>158</v>
      </c>
      <c r="BM85" s="144" t="s">
        <v>158</v>
      </c>
    </row>
    <row r="86" spans="2:65" s="1" customFormat="1" ht="16.5" customHeight="1">
      <c r="B86" s="132"/>
      <c r="C86" s="133" t="s">
        <v>69</v>
      </c>
      <c r="D86" s="133" t="s">
        <v>153</v>
      </c>
      <c r="E86" s="134" t="s">
        <v>1112</v>
      </c>
      <c r="F86" s="135" t="s">
        <v>1113</v>
      </c>
      <c r="G86" s="136" t="s">
        <v>484</v>
      </c>
      <c r="H86" s="137">
        <v>6</v>
      </c>
      <c r="I86" s="138"/>
      <c r="J86" s="139">
        <f t="shared" si="0"/>
        <v>0</v>
      </c>
      <c r="K86" s="135" t="s">
        <v>3</v>
      </c>
      <c r="L86" s="33"/>
      <c r="M86" s="140" t="s">
        <v>3</v>
      </c>
      <c r="N86" s="141" t="s">
        <v>40</v>
      </c>
      <c r="P86" s="142">
        <f t="shared" si="1"/>
        <v>0</v>
      </c>
      <c r="Q86" s="142">
        <v>0</v>
      </c>
      <c r="R86" s="142">
        <f t="shared" si="2"/>
        <v>0</v>
      </c>
      <c r="S86" s="142">
        <v>0</v>
      </c>
      <c r="T86" s="143">
        <f t="shared" si="3"/>
        <v>0</v>
      </c>
      <c r="AR86" s="144" t="s">
        <v>158</v>
      </c>
      <c r="AT86" s="144" t="s">
        <v>153</v>
      </c>
      <c r="AU86" s="144" t="s">
        <v>77</v>
      </c>
      <c r="AY86" s="18" t="s">
        <v>151</v>
      </c>
      <c r="BE86" s="145">
        <f t="shared" si="4"/>
        <v>0</v>
      </c>
      <c r="BF86" s="145">
        <f t="shared" si="5"/>
        <v>0</v>
      </c>
      <c r="BG86" s="145">
        <f t="shared" si="6"/>
        <v>0</v>
      </c>
      <c r="BH86" s="145">
        <f t="shared" si="7"/>
        <v>0</v>
      </c>
      <c r="BI86" s="145">
        <f t="shared" si="8"/>
        <v>0</v>
      </c>
      <c r="BJ86" s="18" t="s">
        <v>77</v>
      </c>
      <c r="BK86" s="145">
        <f t="shared" si="9"/>
        <v>0</v>
      </c>
      <c r="BL86" s="18" t="s">
        <v>158</v>
      </c>
      <c r="BM86" s="144" t="s">
        <v>195</v>
      </c>
    </row>
    <row r="87" spans="2:65" s="1" customFormat="1" ht="16.5" customHeight="1">
      <c r="B87" s="132"/>
      <c r="C87" s="133" t="s">
        <v>69</v>
      </c>
      <c r="D87" s="133" t="s">
        <v>153</v>
      </c>
      <c r="E87" s="134" t="s">
        <v>1114</v>
      </c>
      <c r="F87" s="135" t="s">
        <v>1115</v>
      </c>
      <c r="G87" s="136" t="s">
        <v>484</v>
      </c>
      <c r="H87" s="137">
        <v>6</v>
      </c>
      <c r="I87" s="138"/>
      <c r="J87" s="139">
        <f t="shared" si="0"/>
        <v>0</v>
      </c>
      <c r="K87" s="135" t="s">
        <v>3</v>
      </c>
      <c r="L87" s="33"/>
      <c r="M87" s="140" t="s">
        <v>3</v>
      </c>
      <c r="N87" s="141" t="s">
        <v>40</v>
      </c>
      <c r="P87" s="142">
        <f t="shared" si="1"/>
        <v>0</v>
      </c>
      <c r="Q87" s="142">
        <v>0</v>
      </c>
      <c r="R87" s="142">
        <f t="shared" si="2"/>
        <v>0</v>
      </c>
      <c r="S87" s="142">
        <v>0</v>
      </c>
      <c r="T87" s="143">
        <f t="shared" si="3"/>
        <v>0</v>
      </c>
      <c r="AR87" s="144" t="s">
        <v>158</v>
      </c>
      <c r="AT87" s="144" t="s">
        <v>153</v>
      </c>
      <c r="AU87" s="144" t="s">
        <v>77</v>
      </c>
      <c r="AY87" s="18" t="s">
        <v>151</v>
      </c>
      <c r="BE87" s="145">
        <f t="shared" si="4"/>
        <v>0</v>
      </c>
      <c r="BF87" s="145">
        <f t="shared" si="5"/>
        <v>0</v>
      </c>
      <c r="BG87" s="145">
        <f t="shared" si="6"/>
        <v>0</v>
      </c>
      <c r="BH87" s="145">
        <f t="shared" si="7"/>
        <v>0</v>
      </c>
      <c r="BI87" s="145">
        <f t="shared" si="8"/>
        <v>0</v>
      </c>
      <c r="BJ87" s="18" t="s">
        <v>77</v>
      </c>
      <c r="BK87" s="145">
        <f t="shared" si="9"/>
        <v>0</v>
      </c>
      <c r="BL87" s="18" t="s">
        <v>158</v>
      </c>
      <c r="BM87" s="144" t="s">
        <v>214</v>
      </c>
    </row>
    <row r="88" spans="2:65" s="1" customFormat="1" ht="16.5" customHeight="1">
      <c r="B88" s="132"/>
      <c r="C88" s="133" t="s">
        <v>69</v>
      </c>
      <c r="D88" s="133" t="s">
        <v>153</v>
      </c>
      <c r="E88" s="134" t="s">
        <v>1116</v>
      </c>
      <c r="F88" s="135" t="s">
        <v>1117</v>
      </c>
      <c r="G88" s="136" t="s">
        <v>484</v>
      </c>
      <c r="H88" s="137">
        <v>5</v>
      </c>
      <c r="I88" s="138"/>
      <c r="J88" s="139">
        <f t="shared" si="0"/>
        <v>0</v>
      </c>
      <c r="K88" s="135" t="s">
        <v>3</v>
      </c>
      <c r="L88" s="33"/>
      <c r="M88" s="140" t="s">
        <v>3</v>
      </c>
      <c r="N88" s="141" t="s">
        <v>40</v>
      </c>
      <c r="P88" s="142">
        <f t="shared" si="1"/>
        <v>0</v>
      </c>
      <c r="Q88" s="142">
        <v>0</v>
      </c>
      <c r="R88" s="142">
        <f t="shared" si="2"/>
        <v>0</v>
      </c>
      <c r="S88" s="142">
        <v>0</v>
      </c>
      <c r="T88" s="143">
        <f t="shared" si="3"/>
        <v>0</v>
      </c>
      <c r="AR88" s="144" t="s">
        <v>158</v>
      </c>
      <c r="AT88" s="144" t="s">
        <v>153</v>
      </c>
      <c r="AU88" s="144" t="s">
        <v>77</v>
      </c>
      <c r="AY88" s="18" t="s">
        <v>151</v>
      </c>
      <c r="BE88" s="145">
        <f t="shared" si="4"/>
        <v>0</v>
      </c>
      <c r="BF88" s="145">
        <f t="shared" si="5"/>
        <v>0</v>
      </c>
      <c r="BG88" s="145">
        <f t="shared" si="6"/>
        <v>0</v>
      </c>
      <c r="BH88" s="145">
        <f t="shared" si="7"/>
        <v>0</v>
      </c>
      <c r="BI88" s="145">
        <f t="shared" si="8"/>
        <v>0</v>
      </c>
      <c r="BJ88" s="18" t="s">
        <v>77</v>
      </c>
      <c r="BK88" s="145">
        <f t="shared" si="9"/>
        <v>0</v>
      </c>
      <c r="BL88" s="18" t="s">
        <v>158</v>
      </c>
      <c r="BM88" s="144" t="s">
        <v>235</v>
      </c>
    </row>
    <row r="89" spans="2:65" s="1" customFormat="1" ht="16.5" customHeight="1">
      <c r="B89" s="132"/>
      <c r="C89" s="133" t="s">
        <v>69</v>
      </c>
      <c r="D89" s="133" t="s">
        <v>153</v>
      </c>
      <c r="E89" s="134" t="s">
        <v>1118</v>
      </c>
      <c r="F89" s="135" t="s">
        <v>1119</v>
      </c>
      <c r="G89" s="136" t="s">
        <v>484</v>
      </c>
      <c r="H89" s="137">
        <v>3</v>
      </c>
      <c r="I89" s="138"/>
      <c r="J89" s="139">
        <f t="shared" si="0"/>
        <v>0</v>
      </c>
      <c r="K89" s="135" t="s">
        <v>3</v>
      </c>
      <c r="L89" s="33"/>
      <c r="M89" s="140" t="s">
        <v>3</v>
      </c>
      <c r="N89" s="141" t="s">
        <v>40</v>
      </c>
      <c r="P89" s="142">
        <f t="shared" si="1"/>
        <v>0</v>
      </c>
      <c r="Q89" s="142">
        <v>0</v>
      </c>
      <c r="R89" s="142">
        <f t="shared" si="2"/>
        <v>0</v>
      </c>
      <c r="S89" s="142">
        <v>0</v>
      </c>
      <c r="T89" s="143">
        <f t="shared" si="3"/>
        <v>0</v>
      </c>
      <c r="AR89" s="144" t="s">
        <v>158</v>
      </c>
      <c r="AT89" s="144" t="s">
        <v>153</v>
      </c>
      <c r="AU89" s="144" t="s">
        <v>77</v>
      </c>
      <c r="AY89" s="18" t="s">
        <v>151</v>
      </c>
      <c r="BE89" s="145">
        <f t="shared" si="4"/>
        <v>0</v>
      </c>
      <c r="BF89" s="145">
        <f t="shared" si="5"/>
        <v>0</v>
      </c>
      <c r="BG89" s="145">
        <f t="shared" si="6"/>
        <v>0</v>
      </c>
      <c r="BH89" s="145">
        <f t="shared" si="7"/>
        <v>0</v>
      </c>
      <c r="BI89" s="145">
        <f t="shared" si="8"/>
        <v>0</v>
      </c>
      <c r="BJ89" s="18" t="s">
        <v>77</v>
      </c>
      <c r="BK89" s="145">
        <f t="shared" si="9"/>
        <v>0</v>
      </c>
      <c r="BL89" s="18" t="s">
        <v>158</v>
      </c>
      <c r="BM89" s="144" t="s">
        <v>246</v>
      </c>
    </row>
    <row r="90" spans="2:65" s="1" customFormat="1" ht="16.5" customHeight="1">
      <c r="B90" s="132"/>
      <c r="C90" s="133" t="s">
        <v>69</v>
      </c>
      <c r="D90" s="133" t="s">
        <v>153</v>
      </c>
      <c r="E90" s="134" t="s">
        <v>1120</v>
      </c>
      <c r="F90" s="135" t="s">
        <v>1121</v>
      </c>
      <c r="G90" s="136" t="s">
        <v>484</v>
      </c>
      <c r="H90" s="137">
        <v>2</v>
      </c>
      <c r="I90" s="138"/>
      <c r="J90" s="139">
        <f t="shared" si="0"/>
        <v>0</v>
      </c>
      <c r="K90" s="135" t="s">
        <v>3</v>
      </c>
      <c r="L90" s="33"/>
      <c r="M90" s="140" t="s">
        <v>3</v>
      </c>
      <c r="N90" s="141" t="s">
        <v>40</v>
      </c>
      <c r="P90" s="142">
        <f t="shared" si="1"/>
        <v>0</v>
      </c>
      <c r="Q90" s="142">
        <v>0</v>
      </c>
      <c r="R90" s="142">
        <f t="shared" si="2"/>
        <v>0</v>
      </c>
      <c r="S90" s="142">
        <v>0</v>
      </c>
      <c r="T90" s="143">
        <f t="shared" si="3"/>
        <v>0</v>
      </c>
      <c r="AR90" s="144" t="s">
        <v>158</v>
      </c>
      <c r="AT90" s="144" t="s">
        <v>153</v>
      </c>
      <c r="AU90" s="144" t="s">
        <v>77</v>
      </c>
      <c r="AY90" s="18" t="s">
        <v>151</v>
      </c>
      <c r="BE90" s="145">
        <f t="shared" si="4"/>
        <v>0</v>
      </c>
      <c r="BF90" s="145">
        <f t="shared" si="5"/>
        <v>0</v>
      </c>
      <c r="BG90" s="145">
        <f t="shared" si="6"/>
        <v>0</v>
      </c>
      <c r="BH90" s="145">
        <f t="shared" si="7"/>
        <v>0</v>
      </c>
      <c r="BI90" s="145">
        <f t="shared" si="8"/>
        <v>0</v>
      </c>
      <c r="BJ90" s="18" t="s">
        <v>77</v>
      </c>
      <c r="BK90" s="145">
        <f t="shared" si="9"/>
        <v>0</v>
      </c>
      <c r="BL90" s="18" t="s">
        <v>158</v>
      </c>
      <c r="BM90" s="144" t="s">
        <v>265</v>
      </c>
    </row>
    <row r="91" spans="2:65" s="1" customFormat="1" ht="16.5" customHeight="1">
      <c r="B91" s="132"/>
      <c r="C91" s="133" t="s">
        <v>69</v>
      </c>
      <c r="D91" s="133" t="s">
        <v>153</v>
      </c>
      <c r="E91" s="134" t="s">
        <v>1122</v>
      </c>
      <c r="F91" s="135" t="s">
        <v>1123</v>
      </c>
      <c r="G91" s="136" t="s">
        <v>484</v>
      </c>
      <c r="H91" s="137">
        <v>75</v>
      </c>
      <c r="I91" s="138"/>
      <c r="J91" s="139">
        <f t="shared" si="0"/>
        <v>0</v>
      </c>
      <c r="K91" s="135" t="s">
        <v>3</v>
      </c>
      <c r="L91" s="33"/>
      <c r="M91" s="140" t="s">
        <v>3</v>
      </c>
      <c r="N91" s="141" t="s">
        <v>40</v>
      </c>
      <c r="P91" s="142">
        <f t="shared" si="1"/>
        <v>0</v>
      </c>
      <c r="Q91" s="142">
        <v>0</v>
      </c>
      <c r="R91" s="142">
        <f t="shared" si="2"/>
        <v>0</v>
      </c>
      <c r="S91" s="142">
        <v>0</v>
      </c>
      <c r="T91" s="143">
        <f t="shared" si="3"/>
        <v>0</v>
      </c>
      <c r="AR91" s="144" t="s">
        <v>158</v>
      </c>
      <c r="AT91" s="144" t="s">
        <v>153</v>
      </c>
      <c r="AU91" s="144" t="s">
        <v>77</v>
      </c>
      <c r="AY91" s="18" t="s">
        <v>151</v>
      </c>
      <c r="BE91" s="145">
        <f t="shared" si="4"/>
        <v>0</v>
      </c>
      <c r="BF91" s="145">
        <f t="shared" si="5"/>
        <v>0</v>
      </c>
      <c r="BG91" s="145">
        <f t="shared" si="6"/>
        <v>0</v>
      </c>
      <c r="BH91" s="145">
        <f t="shared" si="7"/>
        <v>0</v>
      </c>
      <c r="BI91" s="145">
        <f t="shared" si="8"/>
        <v>0</v>
      </c>
      <c r="BJ91" s="18" t="s">
        <v>77</v>
      </c>
      <c r="BK91" s="145">
        <f t="shared" si="9"/>
        <v>0</v>
      </c>
      <c r="BL91" s="18" t="s">
        <v>158</v>
      </c>
      <c r="BM91" s="144" t="s">
        <v>282</v>
      </c>
    </row>
    <row r="92" spans="2:65" s="1" customFormat="1" ht="16.5" customHeight="1">
      <c r="B92" s="132"/>
      <c r="C92" s="133" t="s">
        <v>69</v>
      </c>
      <c r="D92" s="133" t="s">
        <v>153</v>
      </c>
      <c r="E92" s="134" t="s">
        <v>1124</v>
      </c>
      <c r="F92" s="135" t="s">
        <v>1125</v>
      </c>
      <c r="G92" s="136" t="s">
        <v>484</v>
      </c>
      <c r="H92" s="137">
        <v>34</v>
      </c>
      <c r="I92" s="138"/>
      <c r="J92" s="139">
        <f t="shared" si="0"/>
        <v>0</v>
      </c>
      <c r="K92" s="135" t="s">
        <v>3</v>
      </c>
      <c r="L92" s="33"/>
      <c r="M92" s="140" t="s">
        <v>3</v>
      </c>
      <c r="N92" s="141" t="s">
        <v>40</v>
      </c>
      <c r="P92" s="142">
        <f t="shared" si="1"/>
        <v>0</v>
      </c>
      <c r="Q92" s="142">
        <v>0</v>
      </c>
      <c r="R92" s="142">
        <f t="shared" si="2"/>
        <v>0</v>
      </c>
      <c r="S92" s="142">
        <v>0</v>
      </c>
      <c r="T92" s="143">
        <f t="shared" si="3"/>
        <v>0</v>
      </c>
      <c r="AR92" s="144" t="s">
        <v>158</v>
      </c>
      <c r="AT92" s="144" t="s">
        <v>153</v>
      </c>
      <c r="AU92" s="144" t="s">
        <v>77</v>
      </c>
      <c r="AY92" s="18" t="s">
        <v>151</v>
      </c>
      <c r="BE92" s="145">
        <f t="shared" si="4"/>
        <v>0</v>
      </c>
      <c r="BF92" s="145">
        <f t="shared" si="5"/>
        <v>0</v>
      </c>
      <c r="BG92" s="145">
        <f t="shared" si="6"/>
        <v>0</v>
      </c>
      <c r="BH92" s="145">
        <f t="shared" si="7"/>
        <v>0</v>
      </c>
      <c r="BI92" s="145">
        <f t="shared" si="8"/>
        <v>0</v>
      </c>
      <c r="BJ92" s="18" t="s">
        <v>77</v>
      </c>
      <c r="BK92" s="145">
        <f t="shared" si="9"/>
        <v>0</v>
      </c>
      <c r="BL92" s="18" t="s">
        <v>158</v>
      </c>
      <c r="BM92" s="144" t="s">
        <v>299</v>
      </c>
    </row>
    <row r="93" spans="2:65" s="1" customFormat="1" ht="16.5" customHeight="1">
      <c r="B93" s="132"/>
      <c r="C93" s="133" t="s">
        <v>69</v>
      </c>
      <c r="D93" s="133" t="s">
        <v>153</v>
      </c>
      <c r="E93" s="134" t="s">
        <v>1126</v>
      </c>
      <c r="F93" s="135" t="s">
        <v>1127</v>
      </c>
      <c r="G93" s="136" t="s">
        <v>484</v>
      </c>
      <c r="H93" s="137">
        <v>55</v>
      </c>
      <c r="I93" s="138"/>
      <c r="J93" s="139">
        <f t="shared" si="0"/>
        <v>0</v>
      </c>
      <c r="K93" s="135" t="s">
        <v>3</v>
      </c>
      <c r="L93" s="33"/>
      <c r="M93" s="140" t="s">
        <v>3</v>
      </c>
      <c r="N93" s="141" t="s">
        <v>40</v>
      </c>
      <c r="P93" s="142">
        <f t="shared" si="1"/>
        <v>0</v>
      </c>
      <c r="Q93" s="142">
        <v>0</v>
      </c>
      <c r="R93" s="142">
        <f t="shared" si="2"/>
        <v>0</v>
      </c>
      <c r="S93" s="142">
        <v>0</v>
      </c>
      <c r="T93" s="143">
        <f t="shared" si="3"/>
        <v>0</v>
      </c>
      <c r="AR93" s="144" t="s">
        <v>158</v>
      </c>
      <c r="AT93" s="144" t="s">
        <v>153</v>
      </c>
      <c r="AU93" s="144" t="s">
        <v>77</v>
      </c>
      <c r="AY93" s="18" t="s">
        <v>151</v>
      </c>
      <c r="BE93" s="145">
        <f t="shared" si="4"/>
        <v>0</v>
      </c>
      <c r="BF93" s="145">
        <f t="shared" si="5"/>
        <v>0</v>
      </c>
      <c r="BG93" s="145">
        <f t="shared" si="6"/>
        <v>0</v>
      </c>
      <c r="BH93" s="145">
        <f t="shared" si="7"/>
        <v>0</v>
      </c>
      <c r="BI93" s="145">
        <f t="shared" si="8"/>
        <v>0</v>
      </c>
      <c r="BJ93" s="18" t="s">
        <v>77</v>
      </c>
      <c r="BK93" s="145">
        <f t="shared" si="9"/>
        <v>0</v>
      </c>
      <c r="BL93" s="18" t="s">
        <v>158</v>
      </c>
      <c r="BM93" s="144" t="s">
        <v>317</v>
      </c>
    </row>
    <row r="94" spans="2:65" s="1" customFormat="1" ht="16.5" customHeight="1">
      <c r="B94" s="132"/>
      <c r="C94" s="133" t="s">
        <v>69</v>
      </c>
      <c r="D94" s="133" t="s">
        <v>153</v>
      </c>
      <c r="E94" s="134" t="s">
        <v>1128</v>
      </c>
      <c r="F94" s="135" t="s">
        <v>1129</v>
      </c>
      <c r="G94" s="136" t="s">
        <v>198</v>
      </c>
      <c r="H94" s="137">
        <v>245</v>
      </c>
      <c r="I94" s="138"/>
      <c r="J94" s="139">
        <f t="shared" si="0"/>
        <v>0</v>
      </c>
      <c r="K94" s="135" t="s">
        <v>3</v>
      </c>
      <c r="L94" s="33"/>
      <c r="M94" s="140" t="s">
        <v>3</v>
      </c>
      <c r="N94" s="141" t="s">
        <v>40</v>
      </c>
      <c r="P94" s="142">
        <f t="shared" si="1"/>
        <v>0</v>
      </c>
      <c r="Q94" s="142">
        <v>0</v>
      </c>
      <c r="R94" s="142">
        <f t="shared" si="2"/>
        <v>0</v>
      </c>
      <c r="S94" s="142">
        <v>0</v>
      </c>
      <c r="T94" s="143">
        <f t="shared" si="3"/>
        <v>0</v>
      </c>
      <c r="AR94" s="144" t="s">
        <v>158</v>
      </c>
      <c r="AT94" s="144" t="s">
        <v>153</v>
      </c>
      <c r="AU94" s="144" t="s">
        <v>77</v>
      </c>
      <c r="AY94" s="18" t="s">
        <v>151</v>
      </c>
      <c r="BE94" s="145">
        <f t="shared" si="4"/>
        <v>0</v>
      </c>
      <c r="BF94" s="145">
        <f t="shared" si="5"/>
        <v>0</v>
      </c>
      <c r="BG94" s="145">
        <f t="shared" si="6"/>
        <v>0</v>
      </c>
      <c r="BH94" s="145">
        <f t="shared" si="7"/>
        <v>0</v>
      </c>
      <c r="BI94" s="145">
        <f t="shared" si="8"/>
        <v>0</v>
      </c>
      <c r="BJ94" s="18" t="s">
        <v>77</v>
      </c>
      <c r="BK94" s="145">
        <f t="shared" si="9"/>
        <v>0</v>
      </c>
      <c r="BL94" s="18" t="s">
        <v>158</v>
      </c>
      <c r="BM94" s="144" t="s">
        <v>338</v>
      </c>
    </row>
    <row r="95" spans="2:65" s="11" customFormat="1" ht="25.9" customHeight="1">
      <c r="B95" s="120"/>
      <c r="D95" s="121" t="s">
        <v>68</v>
      </c>
      <c r="E95" s="122" t="s">
        <v>772</v>
      </c>
      <c r="F95" s="122" t="s">
        <v>1130</v>
      </c>
      <c r="I95" s="123"/>
      <c r="J95" s="124">
        <f>BK95</f>
        <v>0</v>
      </c>
      <c r="L95" s="120"/>
      <c r="M95" s="125"/>
      <c r="P95" s="126">
        <f>SUM(P96:P98)</f>
        <v>0</v>
      </c>
      <c r="R95" s="126">
        <f>SUM(R96:R98)</f>
        <v>0</v>
      </c>
      <c r="T95" s="127">
        <f>SUM(T96:T98)</f>
        <v>0</v>
      </c>
      <c r="AR95" s="121" t="s">
        <v>77</v>
      </c>
      <c r="AT95" s="128" t="s">
        <v>68</v>
      </c>
      <c r="AU95" s="128" t="s">
        <v>69</v>
      </c>
      <c r="AY95" s="121" t="s">
        <v>151</v>
      </c>
      <c r="BK95" s="129">
        <f>SUM(BK96:BK98)</f>
        <v>0</v>
      </c>
    </row>
    <row r="96" spans="2:65" s="1" customFormat="1" ht="16.5" customHeight="1">
      <c r="B96" s="132"/>
      <c r="C96" s="133" t="s">
        <v>69</v>
      </c>
      <c r="D96" s="133" t="s">
        <v>153</v>
      </c>
      <c r="E96" s="134" t="s">
        <v>1131</v>
      </c>
      <c r="F96" s="135" t="s">
        <v>1132</v>
      </c>
      <c r="G96" s="136" t="s">
        <v>198</v>
      </c>
      <c r="H96" s="137">
        <v>50</v>
      </c>
      <c r="I96" s="138"/>
      <c r="J96" s="139">
        <f>ROUND(I96*H96,2)</f>
        <v>0</v>
      </c>
      <c r="K96" s="135" t="s">
        <v>3</v>
      </c>
      <c r="L96" s="33"/>
      <c r="M96" s="140" t="s">
        <v>3</v>
      </c>
      <c r="N96" s="141" t="s">
        <v>40</v>
      </c>
      <c r="P96" s="142">
        <f>O96*H96</f>
        <v>0</v>
      </c>
      <c r="Q96" s="142">
        <v>0</v>
      </c>
      <c r="R96" s="142">
        <f>Q96*H96</f>
        <v>0</v>
      </c>
      <c r="S96" s="142">
        <v>0</v>
      </c>
      <c r="T96" s="143">
        <f>S96*H96</f>
        <v>0</v>
      </c>
      <c r="AR96" s="144" t="s">
        <v>158</v>
      </c>
      <c r="AT96" s="144" t="s">
        <v>153</v>
      </c>
      <c r="AU96" s="144" t="s">
        <v>77</v>
      </c>
      <c r="AY96" s="18" t="s">
        <v>151</v>
      </c>
      <c r="BE96" s="145">
        <f>IF(N96="základní",J96,0)</f>
        <v>0</v>
      </c>
      <c r="BF96" s="145">
        <f>IF(N96="snížená",J96,0)</f>
        <v>0</v>
      </c>
      <c r="BG96" s="145">
        <f>IF(N96="zákl. přenesená",J96,0)</f>
        <v>0</v>
      </c>
      <c r="BH96" s="145">
        <f>IF(N96="sníž. přenesená",J96,0)</f>
        <v>0</v>
      </c>
      <c r="BI96" s="145">
        <f>IF(N96="nulová",J96,0)</f>
        <v>0</v>
      </c>
      <c r="BJ96" s="18" t="s">
        <v>77</v>
      </c>
      <c r="BK96" s="145">
        <f>ROUND(I96*H96,2)</f>
        <v>0</v>
      </c>
      <c r="BL96" s="18" t="s">
        <v>158</v>
      </c>
      <c r="BM96" s="144" t="s">
        <v>347</v>
      </c>
    </row>
    <row r="97" spans="2:65" s="1" customFormat="1" ht="16.5" customHeight="1">
      <c r="B97" s="132"/>
      <c r="C97" s="133" t="s">
        <v>69</v>
      </c>
      <c r="D97" s="133" t="s">
        <v>153</v>
      </c>
      <c r="E97" s="134" t="s">
        <v>1133</v>
      </c>
      <c r="F97" s="135" t="s">
        <v>1134</v>
      </c>
      <c r="G97" s="136" t="s">
        <v>198</v>
      </c>
      <c r="H97" s="137">
        <v>260</v>
      </c>
      <c r="I97" s="138"/>
      <c r="J97" s="139">
        <f>ROUND(I97*H97,2)</f>
        <v>0</v>
      </c>
      <c r="K97" s="135" t="s">
        <v>3</v>
      </c>
      <c r="L97" s="33"/>
      <c r="M97" s="140" t="s">
        <v>3</v>
      </c>
      <c r="N97" s="141" t="s">
        <v>40</v>
      </c>
      <c r="P97" s="142">
        <f>O97*H97</f>
        <v>0</v>
      </c>
      <c r="Q97" s="142">
        <v>0</v>
      </c>
      <c r="R97" s="142">
        <f>Q97*H97</f>
        <v>0</v>
      </c>
      <c r="S97" s="142">
        <v>0</v>
      </c>
      <c r="T97" s="143">
        <f>S97*H97</f>
        <v>0</v>
      </c>
      <c r="AR97" s="144" t="s">
        <v>158</v>
      </c>
      <c r="AT97" s="144" t="s">
        <v>153</v>
      </c>
      <c r="AU97" s="144" t="s">
        <v>77</v>
      </c>
      <c r="AY97" s="18" t="s">
        <v>151</v>
      </c>
      <c r="BE97" s="145">
        <f>IF(N97="základní",J97,0)</f>
        <v>0</v>
      </c>
      <c r="BF97" s="145">
        <f>IF(N97="snížená",J97,0)</f>
        <v>0</v>
      </c>
      <c r="BG97" s="145">
        <f>IF(N97="zákl. přenesená",J97,0)</f>
        <v>0</v>
      </c>
      <c r="BH97" s="145">
        <f>IF(N97="sníž. přenesená",J97,0)</f>
        <v>0</v>
      </c>
      <c r="BI97" s="145">
        <f>IF(N97="nulová",J97,0)</f>
        <v>0</v>
      </c>
      <c r="BJ97" s="18" t="s">
        <v>77</v>
      </c>
      <c r="BK97" s="145">
        <f>ROUND(I97*H97,2)</f>
        <v>0</v>
      </c>
      <c r="BL97" s="18" t="s">
        <v>158</v>
      </c>
      <c r="BM97" s="144" t="s">
        <v>367</v>
      </c>
    </row>
    <row r="98" spans="2:65" s="1" customFormat="1" ht="16.5" customHeight="1">
      <c r="B98" s="132"/>
      <c r="C98" s="133" t="s">
        <v>69</v>
      </c>
      <c r="D98" s="133" t="s">
        <v>153</v>
      </c>
      <c r="E98" s="134" t="s">
        <v>1135</v>
      </c>
      <c r="F98" s="135" t="s">
        <v>1136</v>
      </c>
      <c r="G98" s="136" t="s">
        <v>484</v>
      </c>
      <c r="H98" s="137">
        <v>60</v>
      </c>
      <c r="I98" s="138"/>
      <c r="J98" s="139">
        <f>ROUND(I98*H98,2)</f>
        <v>0</v>
      </c>
      <c r="K98" s="135" t="s">
        <v>3</v>
      </c>
      <c r="L98" s="33"/>
      <c r="M98" s="140" t="s">
        <v>3</v>
      </c>
      <c r="N98" s="141" t="s">
        <v>40</v>
      </c>
      <c r="P98" s="142">
        <f>O98*H98</f>
        <v>0</v>
      </c>
      <c r="Q98" s="142">
        <v>0</v>
      </c>
      <c r="R98" s="142">
        <f>Q98*H98</f>
        <v>0</v>
      </c>
      <c r="S98" s="142">
        <v>0</v>
      </c>
      <c r="T98" s="143">
        <f>S98*H98</f>
        <v>0</v>
      </c>
      <c r="AR98" s="144" t="s">
        <v>158</v>
      </c>
      <c r="AT98" s="144" t="s">
        <v>153</v>
      </c>
      <c r="AU98" s="144" t="s">
        <v>77</v>
      </c>
      <c r="AY98" s="18" t="s">
        <v>151</v>
      </c>
      <c r="BE98" s="145">
        <f>IF(N98="základní",J98,0)</f>
        <v>0</v>
      </c>
      <c r="BF98" s="145">
        <f>IF(N98="snížená",J98,0)</f>
        <v>0</v>
      </c>
      <c r="BG98" s="145">
        <f>IF(N98="zákl. přenesená",J98,0)</f>
        <v>0</v>
      </c>
      <c r="BH98" s="145">
        <f>IF(N98="sníž. přenesená",J98,0)</f>
        <v>0</v>
      </c>
      <c r="BI98" s="145">
        <f>IF(N98="nulová",J98,0)</f>
        <v>0</v>
      </c>
      <c r="BJ98" s="18" t="s">
        <v>77</v>
      </c>
      <c r="BK98" s="145">
        <f>ROUND(I98*H98,2)</f>
        <v>0</v>
      </c>
      <c r="BL98" s="18" t="s">
        <v>158</v>
      </c>
      <c r="BM98" s="144" t="s">
        <v>378</v>
      </c>
    </row>
    <row r="99" spans="2:65" s="11" customFormat="1" ht="25.9" customHeight="1">
      <c r="B99" s="120"/>
      <c r="D99" s="121" t="s">
        <v>68</v>
      </c>
      <c r="E99" s="122" t="s">
        <v>843</v>
      </c>
      <c r="F99" s="122" t="s">
        <v>1137</v>
      </c>
      <c r="I99" s="123"/>
      <c r="J99" s="124">
        <f>BK99</f>
        <v>0</v>
      </c>
      <c r="L99" s="120"/>
      <c r="M99" s="125"/>
      <c r="P99" s="126">
        <f>SUM(P100:P102)</f>
        <v>0</v>
      </c>
      <c r="R99" s="126">
        <f>SUM(R100:R102)</f>
        <v>0</v>
      </c>
      <c r="T99" s="127">
        <f>SUM(T100:T102)</f>
        <v>0</v>
      </c>
      <c r="AR99" s="121" t="s">
        <v>77</v>
      </c>
      <c r="AT99" s="128" t="s">
        <v>68</v>
      </c>
      <c r="AU99" s="128" t="s">
        <v>69</v>
      </c>
      <c r="AY99" s="121" t="s">
        <v>151</v>
      </c>
      <c r="BK99" s="129">
        <f>SUM(BK100:BK102)</f>
        <v>0</v>
      </c>
    </row>
    <row r="100" spans="2:65" s="1" customFormat="1" ht="16.5" customHeight="1">
      <c r="B100" s="132"/>
      <c r="C100" s="133" t="s">
        <v>69</v>
      </c>
      <c r="D100" s="133" t="s">
        <v>153</v>
      </c>
      <c r="E100" s="134" t="s">
        <v>1138</v>
      </c>
      <c r="F100" s="135" t="s">
        <v>1139</v>
      </c>
      <c r="G100" s="136" t="s">
        <v>484</v>
      </c>
      <c r="H100" s="137">
        <v>8</v>
      </c>
      <c r="I100" s="138"/>
      <c r="J100" s="139">
        <f>ROUND(I100*H100,2)</f>
        <v>0</v>
      </c>
      <c r="K100" s="135" t="s">
        <v>3</v>
      </c>
      <c r="L100" s="33"/>
      <c r="M100" s="140" t="s">
        <v>3</v>
      </c>
      <c r="N100" s="141" t="s">
        <v>40</v>
      </c>
      <c r="P100" s="142">
        <f>O100*H100</f>
        <v>0</v>
      </c>
      <c r="Q100" s="142">
        <v>0</v>
      </c>
      <c r="R100" s="142">
        <f>Q100*H100</f>
        <v>0</v>
      </c>
      <c r="S100" s="142">
        <v>0</v>
      </c>
      <c r="T100" s="143">
        <f>S100*H100</f>
        <v>0</v>
      </c>
      <c r="AR100" s="144" t="s">
        <v>158</v>
      </c>
      <c r="AT100" s="144" t="s">
        <v>153</v>
      </c>
      <c r="AU100" s="144" t="s">
        <v>77</v>
      </c>
      <c r="AY100" s="18" t="s">
        <v>151</v>
      </c>
      <c r="BE100" s="145">
        <f>IF(N100="základní",J100,0)</f>
        <v>0</v>
      </c>
      <c r="BF100" s="145">
        <f>IF(N100="snížená",J100,0)</f>
        <v>0</v>
      </c>
      <c r="BG100" s="145">
        <f>IF(N100="zákl. přenesená",J100,0)</f>
        <v>0</v>
      </c>
      <c r="BH100" s="145">
        <f>IF(N100="sníž. přenesená",J100,0)</f>
        <v>0</v>
      </c>
      <c r="BI100" s="145">
        <f>IF(N100="nulová",J100,0)</f>
        <v>0</v>
      </c>
      <c r="BJ100" s="18" t="s">
        <v>77</v>
      </c>
      <c r="BK100" s="145">
        <f>ROUND(I100*H100,2)</f>
        <v>0</v>
      </c>
      <c r="BL100" s="18" t="s">
        <v>158</v>
      </c>
      <c r="BM100" s="144" t="s">
        <v>808</v>
      </c>
    </row>
    <row r="101" spans="2:65" s="1" customFormat="1" ht="16.5" customHeight="1">
      <c r="B101" s="132"/>
      <c r="C101" s="133" t="s">
        <v>69</v>
      </c>
      <c r="D101" s="133" t="s">
        <v>153</v>
      </c>
      <c r="E101" s="134" t="s">
        <v>1140</v>
      </c>
      <c r="F101" s="135" t="s">
        <v>1141</v>
      </c>
      <c r="G101" s="136" t="s">
        <v>1142</v>
      </c>
      <c r="H101" s="137">
        <v>4</v>
      </c>
      <c r="I101" s="138"/>
      <c r="J101" s="139">
        <f>ROUND(I101*H101,2)</f>
        <v>0</v>
      </c>
      <c r="K101" s="135" t="s">
        <v>3</v>
      </c>
      <c r="L101" s="33"/>
      <c r="M101" s="140" t="s">
        <v>3</v>
      </c>
      <c r="N101" s="141" t="s">
        <v>40</v>
      </c>
      <c r="P101" s="142">
        <f>O101*H101</f>
        <v>0</v>
      </c>
      <c r="Q101" s="142">
        <v>0</v>
      </c>
      <c r="R101" s="142">
        <f>Q101*H101</f>
        <v>0</v>
      </c>
      <c r="S101" s="142">
        <v>0</v>
      </c>
      <c r="T101" s="143">
        <f>S101*H101</f>
        <v>0</v>
      </c>
      <c r="AR101" s="144" t="s">
        <v>158</v>
      </c>
      <c r="AT101" s="144" t="s">
        <v>153</v>
      </c>
      <c r="AU101" s="144" t="s">
        <v>77</v>
      </c>
      <c r="AY101" s="18" t="s">
        <v>151</v>
      </c>
      <c r="BE101" s="145">
        <f>IF(N101="základní",J101,0)</f>
        <v>0</v>
      </c>
      <c r="BF101" s="145">
        <f>IF(N101="snížená",J101,0)</f>
        <v>0</v>
      </c>
      <c r="BG101" s="145">
        <f>IF(N101="zákl. přenesená",J101,0)</f>
        <v>0</v>
      </c>
      <c r="BH101" s="145">
        <f>IF(N101="sníž. přenesená",J101,0)</f>
        <v>0</v>
      </c>
      <c r="BI101" s="145">
        <f>IF(N101="nulová",J101,0)</f>
        <v>0</v>
      </c>
      <c r="BJ101" s="18" t="s">
        <v>77</v>
      </c>
      <c r="BK101" s="145">
        <f>ROUND(I101*H101,2)</f>
        <v>0</v>
      </c>
      <c r="BL101" s="18" t="s">
        <v>158</v>
      </c>
      <c r="BM101" s="144" t="s">
        <v>202</v>
      </c>
    </row>
    <row r="102" spans="2:65" s="1" customFormat="1" ht="16.5" customHeight="1">
      <c r="B102" s="132"/>
      <c r="C102" s="133" t="s">
        <v>69</v>
      </c>
      <c r="D102" s="133" t="s">
        <v>153</v>
      </c>
      <c r="E102" s="134" t="s">
        <v>1143</v>
      </c>
      <c r="F102" s="135" t="s">
        <v>1144</v>
      </c>
      <c r="G102" s="136" t="s">
        <v>1142</v>
      </c>
      <c r="H102" s="137">
        <v>16</v>
      </c>
      <c r="I102" s="138"/>
      <c r="J102" s="139">
        <f>ROUND(I102*H102,2)</f>
        <v>0</v>
      </c>
      <c r="K102" s="135" t="s">
        <v>3</v>
      </c>
      <c r="L102" s="33"/>
      <c r="M102" s="185" t="s">
        <v>3</v>
      </c>
      <c r="N102" s="186" t="s">
        <v>40</v>
      </c>
      <c r="O102" s="183"/>
      <c r="P102" s="187">
        <f>O102*H102</f>
        <v>0</v>
      </c>
      <c r="Q102" s="187">
        <v>0</v>
      </c>
      <c r="R102" s="187">
        <f>Q102*H102</f>
        <v>0</v>
      </c>
      <c r="S102" s="187">
        <v>0</v>
      </c>
      <c r="T102" s="188">
        <f>S102*H102</f>
        <v>0</v>
      </c>
      <c r="AR102" s="144" t="s">
        <v>158</v>
      </c>
      <c r="AT102" s="144" t="s">
        <v>153</v>
      </c>
      <c r="AU102" s="144" t="s">
        <v>77</v>
      </c>
      <c r="AY102" s="18" t="s">
        <v>151</v>
      </c>
      <c r="BE102" s="145">
        <f>IF(N102="základní",J102,0)</f>
        <v>0</v>
      </c>
      <c r="BF102" s="145">
        <f>IF(N102="snížená",J102,0)</f>
        <v>0</v>
      </c>
      <c r="BG102" s="145">
        <f>IF(N102="zákl. přenesená",J102,0)</f>
        <v>0</v>
      </c>
      <c r="BH102" s="145">
        <f>IF(N102="sníž. přenesená",J102,0)</f>
        <v>0</v>
      </c>
      <c r="BI102" s="145">
        <f>IF(N102="nulová",J102,0)</f>
        <v>0</v>
      </c>
      <c r="BJ102" s="18" t="s">
        <v>77</v>
      </c>
      <c r="BK102" s="145">
        <f>ROUND(I102*H102,2)</f>
        <v>0</v>
      </c>
      <c r="BL102" s="18" t="s">
        <v>158</v>
      </c>
      <c r="BM102" s="144" t="s">
        <v>410</v>
      </c>
    </row>
    <row r="103" spans="2:65" s="1" customFormat="1" ht="6.95" customHeight="1">
      <c r="B103" s="42"/>
      <c r="C103" s="43"/>
      <c r="D103" s="43"/>
      <c r="E103" s="43"/>
      <c r="F103" s="43"/>
      <c r="G103" s="43"/>
      <c r="H103" s="43"/>
      <c r="I103" s="43"/>
      <c r="J103" s="43"/>
      <c r="K103" s="43"/>
      <c r="L103" s="33"/>
    </row>
  </sheetData>
  <autoFilter ref="C81:K102" xr:uid="{00000000-0009-0000-0000-000005000000}"/>
  <mergeCells count="9">
    <mergeCell ref="E50:H50"/>
    <mergeCell ref="E72:H72"/>
    <mergeCell ref="E74:H74"/>
    <mergeCell ref="L2:V2"/>
    <mergeCell ref="E7:H7"/>
    <mergeCell ref="E9:H9"/>
    <mergeCell ref="E18:H18"/>
    <mergeCell ref="E27:H27"/>
    <mergeCell ref="E48:H48"/>
  </mergeCells>
  <pageMargins left="0.39374999999999999" right="0.39374999999999999" top="0.39374999999999999" bottom="0.39374999999999999" header="0" footer="0"/>
  <pageSetup paperSize="9" fitToHeight="100" orientation="landscape" blackAndWhite="1"/>
  <headerFooter>
    <oddFooter>&amp;CStrana &amp;P z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BM150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10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304" t="s">
        <v>6</v>
      </c>
      <c r="M2" s="289"/>
      <c r="N2" s="289"/>
      <c r="O2" s="289"/>
      <c r="P2" s="289"/>
      <c r="Q2" s="289"/>
      <c r="R2" s="289"/>
      <c r="S2" s="289"/>
      <c r="T2" s="289"/>
      <c r="U2" s="289"/>
      <c r="V2" s="289"/>
      <c r="AT2" s="18" t="s">
        <v>94</v>
      </c>
    </row>
    <row r="3" spans="2:46" ht="6.9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1"/>
      <c r="AT3" s="18" t="s">
        <v>79</v>
      </c>
    </row>
    <row r="4" spans="2:46" ht="24.95" customHeight="1">
      <c r="B4" s="21"/>
      <c r="D4" s="22" t="s">
        <v>114</v>
      </c>
      <c r="L4" s="21"/>
      <c r="M4" s="91" t="s">
        <v>11</v>
      </c>
      <c r="AT4" s="18" t="s">
        <v>4</v>
      </c>
    </row>
    <row r="5" spans="2:46" ht="6.95" customHeight="1">
      <c r="B5" s="21"/>
      <c r="L5" s="21"/>
    </row>
    <row r="6" spans="2:46" ht="12" customHeight="1">
      <c r="B6" s="21"/>
      <c r="D6" s="28" t="s">
        <v>17</v>
      </c>
      <c r="L6" s="21"/>
    </row>
    <row r="7" spans="2:46" ht="16.5" customHeight="1">
      <c r="B7" s="21"/>
      <c r="E7" s="319" t="str">
        <f>'Rekapitulace stavby'!K6</f>
        <v>SKLAD ŠKROBU P-001</v>
      </c>
      <c r="F7" s="320"/>
      <c r="G7" s="320"/>
      <c r="H7" s="320"/>
      <c r="L7" s="21"/>
    </row>
    <row r="8" spans="2:46" s="1" customFormat="1" ht="12" customHeight="1">
      <c r="B8" s="33"/>
      <c r="D8" s="28" t="s">
        <v>115</v>
      </c>
      <c r="L8" s="33"/>
    </row>
    <row r="9" spans="2:46" s="1" customFormat="1" ht="16.5" customHeight="1">
      <c r="B9" s="33"/>
      <c r="E9" s="282" t="s">
        <v>1145</v>
      </c>
      <c r="F9" s="321"/>
      <c r="G9" s="321"/>
      <c r="H9" s="321"/>
      <c r="L9" s="33"/>
    </row>
    <row r="10" spans="2:46" s="1" customFormat="1" ht="11.25">
      <c r="B10" s="33"/>
      <c r="L10" s="33"/>
    </row>
    <row r="11" spans="2:46" s="1" customFormat="1" ht="12" customHeight="1">
      <c r="B11" s="33"/>
      <c r="D11" s="28" t="s">
        <v>19</v>
      </c>
      <c r="F11" s="26" t="s">
        <v>3</v>
      </c>
      <c r="I11" s="28" t="s">
        <v>20</v>
      </c>
      <c r="J11" s="26" t="s">
        <v>3</v>
      </c>
      <c r="L11" s="33"/>
    </row>
    <row r="12" spans="2:46" s="1" customFormat="1" ht="12" customHeight="1">
      <c r="B12" s="33"/>
      <c r="D12" s="28" t="s">
        <v>21</v>
      </c>
      <c r="F12" s="26" t="s">
        <v>22</v>
      </c>
      <c r="I12" s="28" t="s">
        <v>23</v>
      </c>
      <c r="J12" s="50">
        <f>'Rekapitulace stavby'!AN8</f>
        <v>45167</v>
      </c>
      <c r="L12" s="33"/>
    </row>
    <row r="13" spans="2:46" s="1" customFormat="1" ht="10.9" customHeight="1">
      <c r="B13" s="33"/>
      <c r="L13" s="33"/>
    </row>
    <row r="14" spans="2:46" s="1" customFormat="1" ht="12" customHeight="1">
      <c r="B14" s="33"/>
      <c r="D14" s="28" t="s">
        <v>24</v>
      </c>
      <c r="I14" s="28" t="s">
        <v>25</v>
      </c>
      <c r="J14" s="26" t="str">
        <f>IF('Rekapitulace stavby'!AN10="","",'Rekapitulace stavby'!AN10)</f>
        <v/>
      </c>
      <c r="L14" s="33"/>
    </row>
    <row r="15" spans="2:46" s="1" customFormat="1" ht="18" customHeight="1">
      <c r="B15" s="33"/>
      <c r="E15" s="26" t="str">
        <f>IF('Rekapitulace stavby'!E11="","",'Rekapitulace stavby'!E11)</f>
        <v xml:space="preserve"> </v>
      </c>
      <c r="I15" s="28" t="s">
        <v>26</v>
      </c>
      <c r="J15" s="26" t="str">
        <f>IF('Rekapitulace stavby'!AN11="","",'Rekapitulace stavby'!AN11)</f>
        <v/>
      </c>
      <c r="L15" s="33"/>
    </row>
    <row r="16" spans="2:46" s="1" customFormat="1" ht="6.95" customHeight="1">
      <c r="B16" s="33"/>
      <c r="L16" s="33"/>
    </row>
    <row r="17" spans="2:12" s="1" customFormat="1" ht="12" customHeight="1">
      <c r="B17" s="33"/>
      <c r="D17" s="28" t="s">
        <v>27</v>
      </c>
      <c r="I17" s="28" t="s">
        <v>25</v>
      </c>
      <c r="J17" s="29" t="str">
        <f>'Rekapitulace stavby'!AN13</f>
        <v>Vyplň údaj</v>
      </c>
      <c r="L17" s="33"/>
    </row>
    <row r="18" spans="2:12" s="1" customFormat="1" ht="18" customHeight="1">
      <c r="B18" s="33"/>
      <c r="E18" s="322" t="str">
        <f>'Rekapitulace stavby'!E14</f>
        <v>Vyplň údaj</v>
      </c>
      <c r="F18" s="288"/>
      <c r="G18" s="288"/>
      <c r="H18" s="288"/>
      <c r="I18" s="28" t="s">
        <v>26</v>
      </c>
      <c r="J18" s="29" t="str">
        <f>'Rekapitulace stavby'!AN14</f>
        <v>Vyplň údaj</v>
      </c>
      <c r="L18" s="33"/>
    </row>
    <row r="19" spans="2:12" s="1" customFormat="1" ht="6.95" customHeight="1">
      <c r="B19" s="33"/>
      <c r="L19" s="33"/>
    </row>
    <row r="20" spans="2:12" s="1" customFormat="1" ht="12" customHeight="1">
      <c r="B20" s="33"/>
      <c r="D20" s="28" t="s">
        <v>29</v>
      </c>
      <c r="I20" s="28" t="s">
        <v>25</v>
      </c>
      <c r="J20" s="26" t="str">
        <f>IF('Rekapitulace stavby'!AN16="","",'Rekapitulace stavby'!AN16)</f>
        <v/>
      </c>
      <c r="L20" s="33"/>
    </row>
    <row r="21" spans="2:12" s="1" customFormat="1" ht="18" customHeight="1">
      <c r="B21" s="33"/>
      <c r="E21" s="26" t="str">
        <f>IF('Rekapitulace stavby'!E17="","",'Rekapitulace stavby'!E17)</f>
        <v xml:space="preserve"> </v>
      </c>
      <c r="I21" s="28" t="s">
        <v>26</v>
      </c>
      <c r="J21" s="26" t="str">
        <f>IF('Rekapitulace stavby'!AN17="","",'Rekapitulace stavby'!AN17)</f>
        <v/>
      </c>
      <c r="L21" s="33"/>
    </row>
    <row r="22" spans="2:12" s="1" customFormat="1" ht="6.95" customHeight="1">
      <c r="B22" s="33"/>
      <c r="L22" s="33"/>
    </row>
    <row r="23" spans="2:12" s="1" customFormat="1" ht="12" customHeight="1">
      <c r="B23" s="33"/>
      <c r="D23" s="28" t="s">
        <v>31</v>
      </c>
      <c r="I23" s="28" t="s">
        <v>25</v>
      </c>
      <c r="J23" s="26" t="str">
        <f>IF('Rekapitulace stavby'!AN19="","",'Rekapitulace stavby'!AN19)</f>
        <v/>
      </c>
      <c r="L23" s="33"/>
    </row>
    <row r="24" spans="2:12" s="1" customFormat="1" ht="18" customHeight="1">
      <c r="B24" s="33"/>
      <c r="E24" s="26" t="str">
        <f>IF('Rekapitulace stavby'!E20="","",'Rekapitulace stavby'!E20)</f>
        <v>rostarek s.r.o.</v>
      </c>
      <c r="I24" s="28" t="s">
        <v>26</v>
      </c>
      <c r="J24" s="26" t="str">
        <f>IF('Rekapitulace stavby'!AN20="","",'Rekapitulace stavby'!AN20)</f>
        <v/>
      </c>
      <c r="L24" s="33"/>
    </row>
    <row r="25" spans="2:12" s="1" customFormat="1" ht="6.95" customHeight="1">
      <c r="B25" s="33"/>
      <c r="L25" s="33"/>
    </row>
    <row r="26" spans="2:12" s="1" customFormat="1" ht="12" customHeight="1">
      <c r="B26" s="33"/>
      <c r="D26" s="28" t="s">
        <v>33</v>
      </c>
      <c r="L26" s="33"/>
    </row>
    <row r="27" spans="2:12" s="7" customFormat="1" ht="16.5" customHeight="1">
      <c r="B27" s="92"/>
      <c r="E27" s="293" t="s">
        <v>3</v>
      </c>
      <c r="F27" s="293"/>
      <c r="G27" s="293"/>
      <c r="H27" s="293"/>
      <c r="L27" s="92"/>
    </row>
    <row r="28" spans="2:12" s="1" customFormat="1" ht="6.95" customHeight="1">
      <c r="B28" s="33"/>
      <c r="L28" s="33"/>
    </row>
    <row r="29" spans="2:12" s="1" customFormat="1" ht="6.95" customHeight="1">
      <c r="B29" s="33"/>
      <c r="D29" s="51"/>
      <c r="E29" s="51"/>
      <c r="F29" s="51"/>
      <c r="G29" s="51"/>
      <c r="H29" s="51"/>
      <c r="I29" s="51"/>
      <c r="J29" s="51"/>
      <c r="K29" s="51"/>
      <c r="L29" s="33"/>
    </row>
    <row r="30" spans="2:12" s="1" customFormat="1" ht="25.35" customHeight="1">
      <c r="B30" s="33"/>
      <c r="D30" s="93" t="s">
        <v>35</v>
      </c>
      <c r="J30" s="64">
        <f>ROUND(J87, 2)</f>
        <v>0</v>
      </c>
      <c r="L30" s="33"/>
    </row>
    <row r="31" spans="2:12" s="1" customFormat="1" ht="6.95" customHeight="1">
      <c r="B31" s="33"/>
      <c r="D31" s="51"/>
      <c r="E31" s="51"/>
      <c r="F31" s="51"/>
      <c r="G31" s="51"/>
      <c r="H31" s="51"/>
      <c r="I31" s="51"/>
      <c r="J31" s="51"/>
      <c r="K31" s="51"/>
      <c r="L31" s="33"/>
    </row>
    <row r="32" spans="2:12" s="1" customFormat="1" ht="14.45" customHeight="1">
      <c r="B32" s="33"/>
      <c r="F32" s="36" t="s">
        <v>37</v>
      </c>
      <c r="I32" s="36" t="s">
        <v>36</v>
      </c>
      <c r="J32" s="36" t="s">
        <v>38</v>
      </c>
      <c r="L32" s="33"/>
    </row>
    <row r="33" spans="2:12" s="1" customFormat="1" ht="14.45" customHeight="1">
      <c r="B33" s="33"/>
      <c r="D33" s="53" t="s">
        <v>39</v>
      </c>
      <c r="E33" s="28" t="s">
        <v>40</v>
      </c>
      <c r="F33" s="84">
        <f>ROUND((SUM(BE87:BE149)),  2)</f>
        <v>0</v>
      </c>
      <c r="I33" s="94">
        <v>0.21</v>
      </c>
      <c r="J33" s="84">
        <f>ROUND(((SUM(BE87:BE149))*I33),  2)</f>
        <v>0</v>
      </c>
      <c r="L33" s="33"/>
    </row>
    <row r="34" spans="2:12" s="1" customFormat="1" ht="14.45" customHeight="1">
      <c r="B34" s="33"/>
      <c r="E34" s="28" t="s">
        <v>41</v>
      </c>
      <c r="F34" s="84">
        <f>ROUND((SUM(BF87:BF149)),  2)</f>
        <v>0</v>
      </c>
      <c r="I34" s="94">
        <v>0.15</v>
      </c>
      <c r="J34" s="84">
        <f>ROUND(((SUM(BF87:BF149))*I34),  2)</f>
        <v>0</v>
      </c>
      <c r="L34" s="33"/>
    </row>
    <row r="35" spans="2:12" s="1" customFormat="1" ht="14.45" hidden="1" customHeight="1">
      <c r="B35" s="33"/>
      <c r="E35" s="28" t="s">
        <v>42</v>
      </c>
      <c r="F35" s="84">
        <f>ROUND((SUM(BG87:BG149)),  2)</f>
        <v>0</v>
      </c>
      <c r="I35" s="94">
        <v>0.21</v>
      </c>
      <c r="J35" s="84">
        <f>0</f>
        <v>0</v>
      </c>
      <c r="L35" s="33"/>
    </row>
    <row r="36" spans="2:12" s="1" customFormat="1" ht="14.45" hidden="1" customHeight="1">
      <c r="B36" s="33"/>
      <c r="E36" s="28" t="s">
        <v>43</v>
      </c>
      <c r="F36" s="84">
        <f>ROUND((SUM(BH87:BH149)),  2)</f>
        <v>0</v>
      </c>
      <c r="I36" s="94">
        <v>0.15</v>
      </c>
      <c r="J36" s="84">
        <f>0</f>
        <v>0</v>
      </c>
      <c r="L36" s="33"/>
    </row>
    <row r="37" spans="2:12" s="1" customFormat="1" ht="14.45" hidden="1" customHeight="1">
      <c r="B37" s="33"/>
      <c r="E37" s="28" t="s">
        <v>44</v>
      </c>
      <c r="F37" s="84">
        <f>ROUND((SUM(BI87:BI149)),  2)</f>
        <v>0</v>
      </c>
      <c r="I37" s="94">
        <v>0</v>
      </c>
      <c r="J37" s="84">
        <f>0</f>
        <v>0</v>
      </c>
      <c r="L37" s="33"/>
    </row>
    <row r="38" spans="2:12" s="1" customFormat="1" ht="6.95" customHeight="1">
      <c r="B38" s="33"/>
      <c r="L38" s="33"/>
    </row>
    <row r="39" spans="2:12" s="1" customFormat="1" ht="25.35" customHeight="1">
      <c r="B39" s="33"/>
      <c r="C39" s="95"/>
      <c r="D39" s="96" t="s">
        <v>45</v>
      </c>
      <c r="E39" s="55"/>
      <c r="F39" s="55"/>
      <c r="G39" s="97" t="s">
        <v>46</v>
      </c>
      <c r="H39" s="98" t="s">
        <v>47</v>
      </c>
      <c r="I39" s="55"/>
      <c r="J39" s="99">
        <f>SUM(J30:J37)</f>
        <v>0</v>
      </c>
      <c r="K39" s="100"/>
      <c r="L39" s="33"/>
    </row>
    <row r="40" spans="2:12" s="1" customFormat="1" ht="14.45" customHeight="1"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33"/>
    </row>
    <row r="44" spans="2:12" s="1" customFormat="1" ht="6.95" customHeight="1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33"/>
    </row>
    <row r="45" spans="2:12" s="1" customFormat="1" ht="24.95" customHeight="1">
      <c r="B45" s="33"/>
      <c r="C45" s="22" t="s">
        <v>117</v>
      </c>
      <c r="L45" s="33"/>
    </row>
    <row r="46" spans="2:12" s="1" customFormat="1" ht="6.95" customHeight="1">
      <c r="B46" s="33"/>
      <c r="L46" s="33"/>
    </row>
    <row r="47" spans="2:12" s="1" customFormat="1" ht="12" customHeight="1">
      <c r="B47" s="33"/>
      <c r="C47" s="28" t="s">
        <v>17</v>
      </c>
      <c r="L47" s="33"/>
    </row>
    <row r="48" spans="2:12" s="1" customFormat="1" ht="16.5" customHeight="1">
      <c r="B48" s="33"/>
      <c r="E48" s="319" t="str">
        <f>E7</f>
        <v>SKLAD ŠKROBU P-001</v>
      </c>
      <c r="F48" s="320"/>
      <c r="G48" s="320"/>
      <c r="H48" s="320"/>
      <c r="L48" s="33"/>
    </row>
    <row r="49" spans="2:47" s="1" customFormat="1" ht="12" customHeight="1">
      <c r="B49" s="33"/>
      <c r="C49" s="28" t="s">
        <v>115</v>
      </c>
      <c r="L49" s="33"/>
    </row>
    <row r="50" spans="2:47" s="1" customFormat="1" ht="16.5" customHeight="1">
      <c r="B50" s="33"/>
      <c r="E50" s="282" t="str">
        <f>E9</f>
        <v>2023/003/g - SO-22 - potrubní a kabelový most</v>
      </c>
      <c r="F50" s="321"/>
      <c r="G50" s="321"/>
      <c r="H50" s="321"/>
      <c r="L50" s="33"/>
    </row>
    <row r="51" spans="2:47" s="1" customFormat="1" ht="6.95" customHeight="1">
      <c r="B51" s="33"/>
      <c r="L51" s="33"/>
    </row>
    <row r="52" spans="2:47" s="1" customFormat="1" ht="12" customHeight="1">
      <c r="B52" s="33"/>
      <c r="C52" s="28" t="s">
        <v>21</v>
      </c>
      <c r="F52" s="26" t="str">
        <f>F12</f>
        <v xml:space="preserve"> </v>
      </c>
      <c r="I52" s="28" t="s">
        <v>23</v>
      </c>
      <c r="J52" s="50">
        <f>IF(J12="","",J12)</f>
        <v>45167</v>
      </c>
      <c r="L52" s="33"/>
    </row>
    <row r="53" spans="2:47" s="1" customFormat="1" ht="6.95" customHeight="1">
      <c r="B53" s="33"/>
      <c r="L53" s="33"/>
    </row>
    <row r="54" spans="2:47" s="1" customFormat="1" ht="15.2" customHeight="1">
      <c r="B54" s="33"/>
      <c r="C54" s="28" t="s">
        <v>24</v>
      </c>
      <c r="F54" s="26" t="str">
        <f>E15</f>
        <v xml:space="preserve"> </v>
      </c>
      <c r="I54" s="28" t="s">
        <v>29</v>
      </c>
      <c r="J54" s="31" t="str">
        <f>E21</f>
        <v xml:space="preserve"> </v>
      </c>
      <c r="L54" s="33"/>
    </row>
    <row r="55" spans="2:47" s="1" customFormat="1" ht="15.2" customHeight="1">
      <c r="B55" s="33"/>
      <c r="C55" s="28" t="s">
        <v>27</v>
      </c>
      <c r="F55" s="26" t="str">
        <f>IF(E18="","",E18)</f>
        <v>Vyplň údaj</v>
      </c>
      <c r="I55" s="28" t="s">
        <v>31</v>
      </c>
      <c r="J55" s="31" t="str">
        <f>E24</f>
        <v>rostarek s.r.o.</v>
      </c>
      <c r="L55" s="33"/>
    </row>
    <row r="56" spans="2:47" s="1" customFormat="1" ht="10.35" customHeight="1">
      <c r="B56" s="33"/>
      <c r="L56" s="33"/>
    </row>
    <row r="57" spans="2:47" s="1" customFormat="1" ht="29.25" customHeight="1">
      <c r="B57" s="33"/>
      <c r="C57" s="101" t="s">
        <v>118</v>
      </c>
      <c r="D57" s="95"/>
      <c r="E57" s="95"/>
      <c r="F57" s="95"/>
      <c r="G57" s="95"/>
      <c r="H57" s="95"/>
      <c r="I57" s="95"/>
      <c r="J57" s="102" t="s">
        <v>119</v>
      </c>
      <c r="K57" s="95"/>
      <c r="L57" s="33"/>
    </row>
    <row r="58" spans="2:47" s="1" customFormat="1" ht="10.35" customHeight="1">
      <c r="B58" s="33"/>
      <c r="L58" s="33"/>
    </row>
    <row r="59" spans="2:47" s="1" customFormat="1" ht="22.9" customHeight="1">
      <c r="B59" s="33"/>
      <c r="C59" s="103" t="s">
        <v>67</v>
      </c>
      <c r="J59" s="64">
        <f>J87</f>
        <v>0</v>
      </c>
      <c r="L59" s="33"/>
      <c r="AU59" s="18" t="s">
        <v>120</v>
      </c>
    </row>
    <row r="60" spans="2:47" s="8" customFormat="1" ht="24.95" customHeight="1">
      <c r="B60" s="104"/>
      <c r="D60" s="105" t="s">
        <v>1146</v>
      </c>
      <c r="E60" s="106"/>
      <c r="F60" s="106"/>
      <c r="G60" s="106"/>
      <c r="H60" s="106"/>
      <c r="I60" s="106"/>
      <c r="J60" s="107">
        <f>J88</f>
        <v>0</v>
      </c>
      <c r="L60" s="104"/>
    </row>
    <row r="61" spans="2:47" s="9" customFormat="1" ht="19.899999999999999" customHeight="1">
      <c r="B61" s="108"/>
      <c r="D61" s="109" t="s">
        <v>122</v>
      </c>
      <c r="E61" s="110"/>
      <c r="F61" s="110"/>
      <c r="G61" s="110"/>
      <c r="H61" s="110"/>
      <c r="I61" s="110"/>
      <c r="J61" s="111">
        <f>J89</f>
        <v>0</v>
      </c>
      <c r="L61" s="108"/>
    </row>
    <row r="62" spans="2:47" s="9" customFormat="1" ht="19.899999999999999" customHeight="1">
      <c r="B62" s="108"/>
      <c r="D62" s="109" t="s">
        <v>123</v>
      </c>
      <c r="E62" s="110"/>
      <c r="F62" s="110"/>
      <c r="G62" s="110"/>
      <c r="H62" s="110"/>
      <c r="I62" s="110"/>
      <c r="J62" s="111">
        <f>J112</f>
        <v>0</v>
      </c>
      <c r="L62" s="108"/>
    </row>
    <row r="63" spans="2:47" s="9" customFormat="1" ht="19.899999999999999" customHeight="1">
      <c r="B63" s="108"/>
      <c r="D63" s="109" t="s">
        <v>126</v>
      </c>
      <c r="E63" s="110"/>
      <c r="F63" s="110"/>
      <c r="G63" s="110"/>
      <c r="H63" s="110"/>
      <c r="I63" s="110"/>
      <c r="J63" s="111">
        <f>J127</f>
        <v>0</v>
      </c>
      <c r="L63" s="108"/>
    </row>
    <row r="64" spans="2:47" s="9" customFormat="1" ht="19.899999999999999" customHeight="1">
      <c r="B64" s="108"/>
      <c r="D64" s="109" t="s">
        <v>129</v>
      </c>
      <c r="E64" s="110"/>
      <c r="F64" s="110"/>
      <c r="G64" s="110"/>
      <c r="H64" s="110"/>
      <c r="I64" s="110"/>
      <c r="J64" s="111">
        <f>J135</f>
        <v>0</v>
      </c>
      <c r="L64" s="108"/>
    </row>
    <row r="65" spans="2:12" s="8" customFormat="1" ht="24.95" customHeight="1">
      <c r="B65" s="104"/>
      <c r="D65" s="105" t="s">
        <v>130</v>
      </c>
      <c r="E65" s="106"/>
      <c r="F65" s="106"/>
      <c r="G65" s="106"/>
      <c r="H65" s="106"/>
      <c r="I65" s="106"/>
      <c r="J65" s="107">
        <f>J138</f>
        <v>0</v>
      </c>
      <c r="L65" s="104"/>
    </row>
    <row r="66" spans="2:12" s="9" customFormat="1" ht="19.899999999999999" customHeight="1">
      <c r="B66" s="108"/>
      <c r="D66" s="109" t="s">
        <v>134</v>
      </c>
      <c r="E66" s="110"/>
      <c r="F66" s="110"/>
      <c r="G66" s="110"/>
      <c r="H66" s="110"/>
      <c r="I66" s="110"/>
      <c r="J66" s="111">
        <f>J139</f>
        <v>0</v>
      </c>
      <c r="L66" s="108"/>
    </row>
    <row r="67" spans="2:12" s="9" customFormat="1" ht="19.899999999999999" customHeight="1">
      <c r="B67" s="108"/>
      <c r="D67" s="109" t="s">
        <v>136</v>
      </c>
      <c r="E67" s="110"/>
      <c r="F67" s="110"/>
      <c r="G67" s="110"/>
      <c r="H67" s="110"/>
      <c r="I67" s="110"/>
      <c r="J67" s="111">
        <f>J143</f>
        <v>0</v>
      </c>
      <c r="L67" s="108"/>
    </row>
    <row r="68" spans="2:12" s="1" customFormat="1" ht="21.75" customHeight="1">
      <c r="B68" s="33"/>
      <c r="L68" s="33"/>
    </row>
    <row r="69" spans="2:12" s="1" customFormat="1" ht="6.95" customHeight="1">
      <c r="B69" s="42"/>
      <c r="C69" s="43"/>
      <c r="D69" s="43"/>
      <c r="E69" s="43"/>
      <c r="F69" s="43"/>
      <c r="G69" s="43"/>
      <c r="H69" s="43"/>
      <c r="I69" s="43"/>
      <c r="J69" s="43"/>
      <c r="K69" s="43"/>
      <c r="L69" s="33"/>
    </row>
    <row r="73" spans="2:12" s="1" customFormat="1" ht="6.95" customHeight="1">
      <c r="B73" s="44"/>
      <c r="C73" s="45"/>
      <c r="D73" s="45"/>
      <c r="E73" s="45"/>
      <c r="F73" s="45"/>
      <c r="G73" s="45"/>
      <c r="H73" s="45"/>
      <c r="I73" s="45"/>
      <c r="J73" s="45"/>
      <c r="K73" s="45"/>
      <c r="L73" s="33"/>
    </row>
    <row r="74" spans="2:12" s="1" customFormat="1" ht="24.95" customHeight="1">
      <c r="B74" s="33"/>
      <c r="C74" s="22" t="s">
        <v>137</v>
      </c>
      <c r="L74" s="33"/>
    </row>
    <row r="75" spans="2:12" s="1" customFormat="1" ht="6.95" customHeight="1">
      <c r="B75" s="33"/>
      <c r="L75" s="33"/>
    </row>
    <row r="76" spans="2:12" s="1" customFormat="1" ht="12" customHeight="1">
      <c r="B76" s="33"/>
      <c r="C76" s="28" t="s">
        <v>17</v>
      </c>
      <c r="L76" s="33"/>
    </row>
    <row r="77" spans="2:12" s="1" customFormat="1" ht="16.5" customHeight="1">
      <c r="B77" s="33"/>
      <c r="E77" s="319" t="str">
        <f>E7</f>
        <v>SKLAD ŠKROBU P-001</v>
      </c>
      <c r="F77" s="320"/>
      <c r="G77" s="320"/>
      <c r="H77" s="320"/>
      <c r="L77" s="33"/>
    </row>
    <row r="78" spans="2:12" s="1" customFormat="1" ht="12" customHeight="1">
      <c r="B78" s="33"/>
      <c r="C78" s="28" t="s">
        <v>115</v>
      </c>
      <c r="L78" s="33"/>
    </row>
    <row r="79" spans="2:12" s="1" customFormat="1" ht="16.5" customHeight="1">
      <c r="B79" s="33"/>
      <c r="E79" s="282" t="str">
        <f>E9</f>
        <v>2023/003/g - SO-22 - potrubní a kabelový most</v>
      </c>
      <c r="F79" s="321"/>
      <c r="G79" s="321"/>
      <c r="H79" s="321"/>
      <c r="L79" s="33"/>
    </row>
    <row r="80" spans="2:12" s="1" customFormat="1" ht="6.95" customHeight="1">
      <c r="B80" s="33"/>
      <c r="L80" s="33"/>
    </row>
    <row r="81" spans="2:65" s="1" customFormat="1" ht="12" customHeight="1">
      <c r="B81" s="33"/>
      <c r="C81" s="28" t="s">
        <v>21</v>
      </c>
      <c r="F81" s="26" t="str">
        <f>F12</f>
        <v xml:space="preserve"> </v>
      </c>
      <c r="I81" s="28" t="s">
        <v>23</v>
      </c>
      <c r="J81" s="50">
        <f>IF(J12="","",J12)</f>
        <v>45167</v>
      </c>
      <c r="L81" s="33"/>
    </row>
    <row r="82" spans="2:65" s="1" customFormat="1" ht="6.95" customHeight="1">
      <c r="B82" s="33"/>
      <c r="L82" s="33"/>
    </row>
    <row r="83" spans="2:65" s="1" customFormat="1" ht="15.2" customHeight="1">
      <c r="B83" s="33"/>
      <c r="C83" s="28" t="s">
        <v>24</v>
      </c>
      <c r="F83" s="26" t="str">
        <f>E15</f>
        <v xml:space="preserve"> </v>
      </c>
      <c r="I83" s="28" t="s">
        <v>29</v>
      </c>
      <c r="J83" s="31" t="str">
        <f>E21</f>
        <v xml:space="preserve"> </v>
      </c>
      <c r="L83" s="33"/>
    </row>
    <row r="84" spans="2:65" s="1" customFormat="1" ht="15.2" customHeight="1">
      <c r="B84" s="33"/>
      <c r="C84" s="28" t="s">
        <v>27</v>
      </c>
      <c r="F84" s="26" t="str">
        <f>IF(E18="","",E18)</f>
        <v>Vyplň údaj</v>
      </c>
      <c r="I84" s="28" t="s">
        <v>31</v>
      </c>
      <c r="J84" s="31" t="str">
        <f>E24</f>
        <v>rostarek s.r.o.</v>
      </c>
      <c r="L84" s="33"/>
    </row>
    <row r="85" spans="2:65" s="1" customFormat="1" ht="10.35" customHeight="1">
      <c r="B85" s="33"/>
      <c r="L85" s="33"/>
    </row>
    <row r="86" spans="2:65" s="10" customFormat="1" ht="29.25" customHeight="1">
      <c r="B86" s="112"/>
      <c r="C86" s="113" t="s">
        <v>138</v>
      </c>
      <c r="D86" s="114" t="s">
        <v>54</v>
      </c>
      <c r="E86" s="114" t="s">
        <v>50</v>
      </c>
      <c r="F86" s="114" t="s">
        <v>51</v>
      </c>
      <c r="G86" s="114" t="s">
        <v>139</v>
      </c>
      <c r="H86" s="114" t="s">
        <v>140</v>
      </c>
      <c r="I86" s="114" t="s">
        <v>141</v>
      </c>
      <c r="J86" s="114" t="s">
        <v>119</v>
      </c>
      <c r="K86" s="115" t="s">
        <v>142</v>
      </c>
      <c r="L86" s="112"/>
      <c r="M86" s="57" t="s">
        <v>3</v>
      </c>
      <c r="N86" s="58" t="s">
        <v>39</v>
      </c>
      <c r="O86" s="58" t="s">
        <v>143</v>
      </c>
      <c r="P86" s="58" t="s">
        <v>144</v>
      </c>
      <c r="Q86" s="58" t="s">
        <v>145</v>
      </c>
      <c r="R86" s="58" t="s">
        <v>146</v>
      </c>
      <c r="S86" s="58" t="s">
        <v>147</v>
      </c>
      <c r="T86" s="59" t="s">
        <v>148</v>
      </c>
    </row>
    <row r="87" spans="2:65" s="1" customFormat="1" ht="22.9" customHeight="1">
      <c r="B87" s="33"/>
      <c r="C87" s="62" t="s">
        <v>149</v>
      </c>
      <c r="J87" s="116">
        <f>BK87</f>
        <v>0</v>
      </c>
      <c r="L87" s="33"/>
      <c r="M87" s="60"/>
      <c r="N87" s="51"/>
      <c r="O87" s="51"/>
      <c r="P87" s="117">
        <f>P88+P138</f>
        <v>0</v>
      </c>
      <c r="Q87" s="51"/>
      <c r="R87" s="117">
        <f>R88+R138</f>
        <v>11.3563224</v>
      </c>
      <c r="S87" s="51"/>
      <c r="T87" s="118">
        <f>T88+T138</f>
        <v>0</v>
      </c>
      <c r="AT87" s="18" t="s">
        <v>68</v>
      </c>
      <c r="AU87" s="18" t="s">
        <v>120</v>
      </c>
      <c r="BK87" s="119">
        <f>BK88+BK138</f>
        <v>0</v>
      </c>
    </row>
    <row r="88" spans="2:65" s="11" customFormat="1" ht="25.9" customHeight="1">
      <c r="B88" s="120"/>
      <c r="D88" s="121" t="s">
        <v>68</v>
      </c>
      <c r="E88" s="122" t="s">
        <v>150</v>
      </c>
      <c r="F88" s="122" t="s">
        <v>1147</v>
      </c>
      <c r="I88" s="123"/>
      <c r="J88" s="124">
        <f>BK88</f>
        <v>0</v>
      </c>
      <c r="L88" s="120"/>
      <c r="M88" s="125"/>
      <c r="P88" s="126">
        <f>P89+P112+P127+P135</f>
        <v>0</v>
      </c>
      <c r="R88" s="126">
        <f>R89+R112+R127+R135</f>
        <v>11.1805824</v>
      </c>
      <c r="T88" s="127">
        <f>T89+T112+T127+T135</f>
        <v>0</v>
      </c>
      <c r="AR88" s="121" t="s">
        <v>77</v>
      </c>
      <c r="AT88" s="128" t="s">
        <v>68</v>
      </c>
      <c r="AU88" s="128" t="s">
        <v>69</v>
      </c>
      <c r="AY88" s="121" t="s">
        <v>151</v>
      </c>
      <c r="BK88" s="129">
        <f>BK89+BK112+BK127+BK135</f>
        <v>0</v>
      </c>
    </row>
    <row r="89" spans="2:65" s="11" customFormat="1" ht="22.9" customHeight="1">
      <c r="B89" s="120"/>
      <c r="D89" s="121" t="s">
        <v>68</v>
      </c>
      <c r="E89" s="130" t="s">
        <v>77</v>
      </c>
      <c r="F89" s="130" t="s">
        <v>152</v>
      </c>
      <c r="I89" s="123"/>
      <c r="J89" s="131">
        <f>BK89</f>
        <v>0</v>
      </c>
      <c r="L89" s="120"/>
      <c r="M89" s="125"/>
      <c r="P89" s="126">
        <f>SUM(P90:P111)</f>
        <v>0</v>
      </c>
      <c r="R89" s="126">
        <f>SUM(R90:R111)</f>
        <v>2.0000000000000001E-4</v>
      </c>
      <c r="T89" s="127">
        <f>SUM(T90:T111)</f>
        <v>0</v>
      </c>
      <c r="AR89" s="121" t="s">
        <v>77</v>
      </c>
      <c r="AT89" s="128" t="s">
        <v>68</v>
      </c>
      <c r="AU89" s="128" t="s">
        <v>77</v>
      </c>
      <c r="AY89" s="121" t="s">
        <v>151</v>
      </c>
      <c r="BK89" s="129">
        <f>SUM(BK90:BK111)</f>
        <v>0</v>
      </c>
    </row>
    <row r="90" spans="2:65" s="1" customFormat="1" ht="24.2" customHeight="1">
      <c r="B90" s="132"/>
      <c r="C90" s="133" t="s">
        <v>77</v>
      </c>
      <c r="D90" s="133" t="s">
        <v>153</v>
      </c>
      <c r="E90" s="134" t="s">
        <v>1148</v>
      </c>
      <c r="F90" s="135" t="s">
        <v>1149</v>
      </c>
      <c r="G90" s="136" t="s">
        <v>156</v>
      </c>
      <c r="H90" s="137">
        <v>3.68</v>
      </c>
      <c r="I90" s="138"/>
      <c r="J90" s="139">
        <f>ROUND(I90*H90,2)</f>
        <v>0</v>
      </c>
      <c r="K90" s="135" t="s">
        <v>171</v>
      </c>
      <c r="L90" s="33"/>
      <c r="M90" s="140" t="s">
        <v>3</v>
      </c>
      <c r="N90" s="141" t="s">
        <v>40</v>
      </c>
      <c r="P90" s="142">
        <f>O90*H90</f>
        <v>0</v>
      </c>
      <c r="Q90" s="142">
        <v>0</v>
      </c>
      <c r="R90" s="142">
        <f>Q90*H90</f>
        <v>0</v>
      </c>
      <c r="S90" s="142">
        <v>0</v>
      </c>
      <c r="T90" s="143">
        <f>S90*H90</f>
        <v>0</v>
      </c>
      <c r="AR90" s="144" t="s">
        <v>158</v>
      </c>
      <c r="AT90" s="144" t="s">
        <v>153</v>
      </c>
      <c r="AU90" s="144" t="s">
        <v>79</v>
      </c>
      <c r="AY90" s="18" t="s">
        <v>151</v>
      </c>
      <c r="BE90" s="145">
        <f>IF(N90="základní",J90,0)</f>
        <v>0</v>
      </c>
      <c r="BF90" s="145">
        <f>IF(N90="snížená",J90,0)</f>
        <v>0</v>
      </c>
      <c r="BG90" s="145">
        <f>IF(N90="zákl. přenesená",J90,0)</f>
        <v>0</v>
      </c>
      <c r="BH90" s="145">
        <f>IF(N90="sníž. přenesená",J90,0)</f>
        <v>0</v>
      </c>
      <c r="BI90" s="145">
        <f>IF(N90="nulová",J90,0)</f>
        <v>0</v>
      </c>
      <c r="BJ90" s="18" t="s">
        <v>77</v>
      </c>
      <c r="BK90" s="145">
        <f>ROUND(I90*H90,2)</f>
        <v>0</v>
      </c>
      <c r="BL90" s="18" t="s">
        <v>158</v>
      </c>
      <c r="BM90" s="144" t="s">
        <v>1150</v>
      </c>
    </row>
    <row r="91" spans="2:65" s="1" customFormat="1" ht="11.25">
      <c r="B91" s="33"/>
      <c r="D91" s="146" t="s">
        <v>160</v>
      </c>
      <c r="F91" s="147" t="s">
        <v>1151</v>
      </c>
      <c r="I91" s="148"/>
      <c r="L91" s="33"/>
      <c r="M91" s="149"/>
      <c r="T91" s="54"/>
      <c r="AT91" s="18" t="s">
        <v>160</v>
      </c>
      <c r="AU91" s="18" t="s">
        <v>79</v>
      </c>
    </row>
    <row r="92" spans="2:65" s="12" customFormat="1" ht="11.25">
      <c r="B92" s="150"/>
      <c r="D92" s="151" t="s">
        <v>162</v>
      </c>
      <c r="E92" s="152" t="s">
        <v>3</v>
      </c>
      <c r="F92" s="153" t="s">
        <v>1152</v>
      </c>
      <c r="H92" s="154">
        <v>3.68</v>
      </c>
      <c r="I92" s="155"/>
      <c r="L92" s="150"/>
      <c r="M92" s="156"/>
      <c r="T92" s="157"/>
      <c r="AT92" s="152" t="s">
        <v>162</v>
      </c>
      <c r="AU92" s="152" t="s">
        <v>79</v>
      </c>
      <c r="AV92" s="12" t="s">
        <v>79</v>
      </c>
      <c r="AW92" s="12" t="s">
        <v>30</v>
      </c>
      <c r="AX92" s="12" t="s">
        <v>69</v>
      </c>
      <c r="AY92" s="152" t="s">
        <v>151</v>
      </c>
    </row>
    <row r="93" spans="2:65" s="13" customFormat="1" ht="11.25">
      <c r="B93" s="158"/>
      <c r="D93" s="151" t="s">
        <v>162</v>
      </c>
      <c r="E93" s="159" t="s">
        <v>3</v>
      </c>
      <c r="F93" s="160" t="s">
        <v>167</v>
      </c>
      <c r="H93" s="161">
        <v>3.68</v>
      </c>
      <c r="I93" s="162"/>
      <c r="L93" s="158"/>
      <c r="M93" s="163"/>
      <c r="T93" s="164"/>
      <c r="AT93" s="159" t="s">
        <v>162</v>
      </c>
      <c r="AU93" s="159" t="s">
        <v>79</v>
      </c>
      <c r="AV93" s="13" t="s">
        <v>158</v>
      </c>
      <c r="AW93" s="13" t="s">
        <v>30</v>
      </c>
      <c r="AX93" s="13" t="s">
        <v>77</v>
      </c>
      <c r="AY93" s="159" t="s">
        <v>151</v>
      </c>
    </row>
    <row r="94" spans="2:65" s="1" customFormat="1" ht="37.9" customHeight="1">
      <c r="B94" s="132"/>
      <c r="C94" s="133" t="s">
        <v>79</v>
      </c>
      <c r="D94" s="133" t="s">
        <v>153</v>
      </c>
      <c r="E94" s="134" t="s">
        <v>169</v>
      </c>
      <c r="F94" s="135" t="s">
        <v>170</v>
      </c>
      <c r="G94" s="136" t="s">
        <v>156</v>
      </c>
      <c r="H94" s="137">
        <v>3.68</v>
      </c>
      <c r="I94" s="138"/>
      <c r="J94" s="139">
        <f>ROUND(I94*H94,2)</f>
        <v>0</v>
      </c>
      <c r="K94" s="135" t="s">
        <v>171</v>
      </c>
      <c r="L94" s="33"/>
      <c r="M94" s="140" t="s">
        <v>3</v>
      </c>
      <c r="N94" s="141" t="s">
        <v>40</v>
      </c>
      <c r="P94" s="142">
        <f>O94*H94</f>
        <v>0</v>
      </c>
      <c r="Q94" s="142">
        <v>0</v>
      </c>
      <c r="R94" s="142">
        <f>Q94*H94</f>
        <v>0</v>
      </c>
      <c r="S94" s="142">
        <v>0</v>
      </c>
      <c r="T94" s="143">
        <f>S94*H94</f>
        <v>0</v>
      </c>
      <c r="AR94" s="144" t="s">
        <v>158</v>
      </c>
      <c r="AT94" s="144" t="s">
        <v>153</v>
      </c>
      <c r="AU94" s="144" t="s">
        <v>79</v>
      </c>
      <c r="AY94" s="18" t="s">
        <v>151</v>
      </c>
      <c r="BE94" s="145">
        <f>IF(N94="základní",J94,0)</f>
        <v>0</v>
      </c>
      <c r="BF94" s="145">
        <f>IF(N94="snížená",J94,0)</f>
        <v>0</v>
      </c>
      <c r="BG94" s="145">
        <f>IF(N94="zákl. přenesená",J94,0)</f>
        <v>0</v>
      </c>
      <c r="BH94" s="145">
        <f>IF(N94="sníž. přenesená",J94,0)</f>
        <v>0</v>
      </c>
      <c r="BI94" s="145">
        <f>IF(N94="nulová",J94,0)</f>
        <v>0</v>
      </c>
      <c r="BJ94" s="18" t="s">
        <v>77</v>
      </c>
      <c r="BK94" s="145">
        <f>ROUND(I94*H94,2)</f>
        <v>0</v>
      </c>
      <c r="BL94" s="18" t="s">
        <v>158</v>
      </c>
      <c r="BM94" s="144" t="s">
        <v>1153</v>
      </c>
    </row>
    <row r="95" spans="2:65" s="1" customFormat="1" ht="11.25">
      <c r="B95" s="33"/>
      <c r="D95" s="146" t="s">
        <v>160</v>
      </c>
      <c r="F95" s="147" t="s">
        <v>173</v>
      </c>
      <c r="I95" s="148"/>
      <c r="L95" s="33"/>
      <c r="M95" s="149"/>
      <c r="T95" s="54"/>
      <c r="AT95" s="18" t="s">
        <v>160</v>
      </c>
      <c r="AU95" s="18" t="s">
        <v>79</v>
      </c>
    </row>
    <row r="96" spans="2:65" s="1" customFormat="1" ht="37.9" customHeight="1">
      <c r="B96" s="132"/>
      <c r="C96" s="133" t="s">
        <v>168</v>
      </c>
      <c r="D96" s="133" t="s">
        <v>153</v>
      </c>
      <c r="E96" s="134" t="s">
        <v>175</v>
      </c>
      <c r="F96" s="135" t="s">
        <v>176</v>
      </c>
      <c r="G96" s="136" t="s">
        <v>156</v>
      </c>
      <c r="H96" s="137">
        <v>73.599999999999994</v>
      </c>
      <c r="I96" s="138"/>
      <c r="J96" s="139">
        <f>ROUND(I96*H96,2)</f>
        <v>0</v>
      </c>
      <c r="K96" s="135" t="s">
        <v>171</v>
      </c>
      <c r="L96" s="33"/>
      <c r="M96" s="140" t="s">
        <v>3</v>
      </c>
      <c r="N96" s="141" t="s">
        <v>40</v>
      </c>
      <c r="P96" s="142">
        <f>O96*H96</f>
        <v>0</v>
      </c>
      <c r="Q96" s="142">
        <v>0</v>
      </c>
      <c r="R96" s="142">
        <f>Q96*H96</f>
        <v>0</v>
      </c>
      <c r="S96" s="142">
        <v>0</v>
      </c>
      <c r="T96" s="143">
        <f>S96*H96</f>
        <v>0</v>
      </c>
      <c r="AR96" s="144" t="s">
        <v>158</v>
      </c>
      <c r="AT96" s="144" t="s">
        <v>153</v>
      </c>
      <c r="AU96" s="144" t="s">
        <v>79</v>
      </c>
      <c r="AY96" s="18" t="s">
        <v>151</v>
      </c>
      <c r="BE96" s="145">
        <f>IF(N96="základní",J96,0)</f>
        <v>0</v>
      </c>
      <c r="BF96" s="145">
        <f>IF(N96="snížená",J96,0)</f>
        <v>0</v>
      </c>
      <c r="BG96" s="145">
        <f>IF(N96="zákl. přenesená",J96,0)</f>
        <v>0</v>
      </c>
      <c r="BH96" s="145">
        <f>IF(N96="sníž. přenesená",J96,0)</f>
        <v>0</v>
      </c>
      <c r="BI96" s="145">
        <f>IF(N96="nulová",J96,0)</f>
        <v>0</v>
      </c>
      <c r="BJ96" s="18" t="s">
        <v>77</v>
      </c>
      <c r="BK96" s="145">
        <f>ROUND(I96*H96,2)</f>
        <v>0</v>
      </c>
      <c r="BL96" s="18" t="s">
        <v>158</v>
      </c>
      <c r="BM96" s="144" t="s">
        <v>1154</v>
      </c>
    </row>
    <row r="97" spans="2:65" s="1" customFormat="1" ht="11.25">
      <c r="B97" s="33"/>
      <c r="D97" s="146" t="s">
        <v>160</v>
      </c>
      <c r="F97" s="147" t="s">
        <v>178</v>
      </c>
      <c r="I97" s="148"/>
      <c r="L97" s="33"/>
      <c r="M97" s="149"/>
      <c r="T97" s="54"/>
      <c r="AT97" s="18" t="s">
        <v>160</v>
      </c>
      <c r="AU97" s="18" t="s">
        <v>79</v>
      </c>
    </row>
    <row r="98" spans="2:65" s="12" customFormat="1" ht="11.25">
      <c r="B98" s="150"/>
      <c r="D98" s="151" t="s">
        <v>162</v>
      </c>
      <c r="E98" s="152" t="s">
        <v>3</v>
      </c>
      <c r="F98" s="153" t="s">
        <v>1155</v>
      </c>
      <c r="H98" s="154">
        <v>73.599999999999994</v>
      </c>
      <c r="I98" s="155"/>
      <c r="L98" s="150"/>
      <c r="M98" s="156"/>
      <c r="T98" s="157"/>
      <c r="AT98" s="152" t="s">
        <v>162</v>
      </c>
      <c r="AU98" s="152" t="s">
        <v>79</v>
      </c>
      <c r="AV98" s="12" t="s">
        <v>79</v>
      </c>
      <c r="AW98" s="12" t="s">
        <v>30</v>
      </c>
      <c r="AX98" s="12" t="s">
        <v>77</v>
      </c>
      <c r="AY98" s="152" t="s">
        <v>151</v>
      </c>
    </row>
    <row r="99" spans="2:65" s="1" customFormat="1" ht="24.2" customHeight="1">
      <c r="B99" s="132"/>
      <c r="C99" s="133" t="s">
        <v>158</v>
      </c>
      <c r="D99" s="133" t="s">
        <v>153</v>
      </c>
      <c r="E99" s="134" t="s">
        <v>181</v>
      </c>
      <c r="F99" s="135" t="s">
        <v>182</v>
      </c>
      <c r="G99" s="136" t="s">
        <v>183</v>
      </c>
      <c r="H99" s="137">
        <v>6.6239999999999997</v>
      </c>
      <c r="I99" s="138"/>
      <c r="J99" s="139">
        <f>ROUND(I99*H99,2)</f>
        <v>0</v>
      </c>
      <c r="K99" s="135" t="s">
        <v>171</v>
      </c>
      <c r="L99" s="33"/>
      <c r="M99" s="140" t="s">
        <v>3</v>
      </c>
      <c r="N99" s="141" t="s">
        <v>40</v>
      </c>
      <c r="P99" s="142">
        <f>O99*H99</f>
        <v>0</v>
      </c>
      <c r="Q99" s="142">
        <v>0</v>
      </c>
      <c r="R99" s="142">
        <f>Q99*H99</f>
        <v>0</v>
      </c>
      <c r="S99" s="142">
        <v>0</v>
      </c>
      <c r="T99" s="143">
        <f>S99*H99</f>
        <v>0</v>
      </c>
      <c r="AR99" s="144" t="s">
        <v>158</v>
      </c>
      <c r="AT99" s="144" t="s">
        <v>153</v>
      </c>
      <c r="AU99" s="144" t="s">
        <v>79</v>
      </c>
      <c r="AY99" s="18" t="s">
        <v>151</v>
      </c>
      <c r="BE99" s="145">
        <f>IF(N99="základní",J99,0)</f>
        <v>0</v>
      </c>
      <c r="BF99" s="145">
        <f>IF(N99="snížená",J99,0)</f>
        <v>0</v>
      </c>
      <c r="BG99" s="145">
        <f>IF(N99="zákl. přenesená",J99,0)</f>
        <v>0</v>
      </c>
      <c r="BH99" s="145">
        <f>IF(N99="sníž. přenesená",J99,0)</f>
        <v>0</v>
      </c>
      <c r="BI99" s="145">
        <f>IF(N99="nulová",J99,0)</f>
        <v>0</v>
      </c>
      <c r="BJ99" s="18" t="s">
        <v>77</v>
      </c>
      <c r="BK99" s="145">
        <f>ROUND(I99*H99,2)</f>
        <v>0</v>
      </c>
      <c r="BL99" s="18" t="s">
        <v>158</v>
      </c>
      <c r="BM99" s="144" t="s">
        <v>1156</v>
      </c>
    </row>
    <row r="100" spans="2:65" s="1" customFormat="1" ht="11.25">
      <c r="B100" s="33"/>
      <c r="D100" s="146" t="s">
        <v>160</v>
      </c>
      <c r="F100" s="147" t="s">
        <v>185</v>
      </c>
      <c r="I100" s="148"/>
      <c r="L100" s="33"/>
      <c r="M100" s="149"/>
      <c r="T100" s="54"/>
      <c r="AT100" s="18" t="s">
        <v>160</v>
      </c>
      <c r="AU100" s="18" t="s">
        <v>79</v>
      </c>
    </row>
    <row r="101" spans="2:65" s="12" customFormat="1" ht="11.25">
      <c r="B101" s="150"/>
      <c r="D101" s="151" t="s">
        <v>162</v>
      </c>
      <c r="E101" s="152" t="s">
        <v>3</v>
      </c>
      <c r="F101" s="153" t="s">
        <v>1157</v>
      </c>
      <c r="H101" s="154">
        <v>6.6239999999999997</v>
      </c>
      <c r="I101" s="155"/>
      <c r="L101" s="150"/>
      <c r="M101" s="156"/>
      <c r="T101" s="157"/>
      <c r="AT101" s="152" t="s">
        <v>162</v>
      </c>
      <c r="AU101" s="152" t="s">
        <v>79</v>
      </c>
      <c r="AV101" s="12" t="s">
        <v>79</v>
      </c>
      <c r="AW101" s="12" t="s">
        <v>30</v>
      </c>
      <c r="AX101" s="12" t="s">
        <v>77</v>
      </c>
      <c r="AY101" s="152" t="s">
        <v>151</v>
      </c>
    </row>
    <row r="102" spans="2:65" s="1" customFormat="1" ht="33" customHeight="1">
      <c r="B102" s="132"/>
      <c r="C102" s="133" t="s">
        <v>306</v>
      </c>
      <c r="D102" s="133" t="s">
        <v>153</v>
      </c>
      <c r="E102" s="134" t="s">
        <v>1158</v>
      </c>
      <c r="F102" s="135" t="s">
        <v>1159</v>
      </c>
      <c r="G102" s="136" t="s">
        <v>230</v>
      </c>
      <c r="H102" s="137">
        <v>10</v>
      </c>
      <c r="I102" s="138"/>
      <c r="J102" s="139">
        <f>ROUND(I102*H102,2)</f>
        <v>0</v>
      </c>
      <c r="K102" s="135" t="s">
        <v>157</v>
      </c>
      <c r="L102" s="33"/>
      <c r="M102" s="140" t="s">
        <v>3</v>
      </c>
      <c r="N102" s="141" t="s">
        <v>40</v>
      </c>
      <c r="P102" s="142">
        <f>O102*H102</f>
        <v>0</v>
      </c>
      <c r="Q102" s="142">
        <v>0</v>
      </c>
      <c r="R102" s="142">
        <f>Q102*H102</f>
        <v>0</v>
      </c>
      <c r="S102" s="142">
        <v>0</v>
      </c>
      <c r="T102" s="143">
        <f>S102*H102</f>
        <v>0</v>
      </c>
      <c r="AR102" s="144" t="s">
        <v>158</v>
      </c>
      <c r="AT102" s="144" t="s">
        <v>153</v>
      </c>
      <c r="AU102" s="144" t="s">
        <v>79</v>
      </c>
      <c r="AY102" s="18" t="s">
        <v>151</v>
      </c>
      <c r="BE102" s="145">
        <f>IF(N102="základní",J102,0)</f>
        <v>0</v>
      </c>
      <c r="BF102" s="145">
        <f>IF(N102="snížená",J102,0)</f>
        <v>0</v>
      </c>
      <c r="BG102" s="145">
        <f>IF(N102="zákl. přenesená",J102,0)</f>
        <v>0</v>
      </c>
      <c r="BH102" s="145">
        <f>IF(N102="sníž. přenesená",J102,0)</f>
        <v>0</v>
      </c>
      <c r="BI102" s="145">
        <f>IF(N102="nulová",J102,0)</f>
        <v>0</v>
      </c>
      <c r="BJ102" s="18" t="s">
        <v>77</v>
      </c>
      <c r="BK102" s="145">
        <f>ROUND(I102*H102,2)</f>
        <v>0</v>
      </c>
      <c r="BL102" s="18" t="s">
        <v>158</v>
      </c>
      <c r="BM102" s="144" t="s">
        <v>1160</v>
      </c>
    </row>
    <row r="103" spans="2:65" s="1" customFormat="1" ht="11.25">
      <c r="B103" s="33"/>
      <c r="D103" s="146" t="s">
        <v>160</v>
      </c>
      <c r="F103" s="147" t="s">
        <v>1161</v>
      </c>
      <c r="I103" s="148"/>
      <c r="L103" s="33"/>
      <c r="M103" s="149"/>
      <c r="T103" s="54"/>
      <c r="AT103" s="18" t="s">
        <v>160</v>
      </c>
      <c r="AU103" s="18" t="s">
        <v>79</v>
      </c>
    </row>
    <row r="104" spans="2:65" s="1" customFormat="1" ht="24.2" customHeight="1">
      <c r="B104" s="132"/>
      <c r="C104" s="133" t="s">
        <v>317</v>
      </c>
      <c r="D104" s="133" t="s">
        <v>153</v>
      </c>
      <c r="E104" s="134" t="s">
        <v>1162</v>
      </c>
      <c r="F104" s="135" t="s">
        <v>1163</v>
      </c>
      <c r="G104" s="136" t="s">
        <v>230</v>
      </c>
      <c r="H104" s="137">
        <v>10</v>
      </c>
      <c r="I104" s="138"/>
      <c r="J104" s="139">
        <f>ROUND(I104*H104,2)</f>
        <v>0</v>
      </c>
      <c r="K104" s="135" t="s">
        <v>157</v>
      </c>
      <c r="L104" s="33"/>
      <c r="M104" s="140" t="s">
        <v>3</v>
      </c>
      <c r="N104" s="141" t="s">
        <v>40</v>
      </c>
      <c r="P104" s="142">
        <f>O104*H104</f>
        <v>0</v>
      </c>
      <c r="Q104" s="142">
        <v>0</v>
      </c>
      <c r="R104" s="142">
        <f>Q104*H104</f>
        <v>0</v>
      </c>
      <c r="S104" s="142">
        <v>0</v>
      </c>
      <c r="T104" s="143">
        <f>S104*H104</f>
        <v>0</v>
      </c>
      <c r="AR104" s="144" t="s">
        <v>158</v>
      </c>
      <c r="AT104" s="144" t="s">
        <v>153</v>
      </c>
      <c r="AU104" s="144" t="s">
        <v>79</v>
      </c>
      <c r="AY104" s="18" t="s">
        <v>151</v>
      </c>
      <c r="BE104" s="145">
        <f>IF(N104="základní",J104,0)</f>
        <v>0</v>
      </c>
      <c r="BF104" s="145">
        <f>IF(N104="snížená",J104,0)</f>
        <v>0</v>
      </c>
      <c r="BG104" s="145">
        <f>IF(N104="zákl. přenesená",J104,0)</f>
        <v>0</v>
      </c>
      <c r="BH104" s="145">
        <f>IF(N104="sníž. přenesená",J104,0)</f>
        <v>0</v>
      </c>
      <c r="BI104" s="145">
        <f>IF(N104="nulová",J104,0)</f>
        <v>0</v>
      </c>
      <c r="BJ104" s="18" t="s">
        <v>77</v>
      </c>
      <c r="BK104" s="145">
        <f>ROUND(I104*H104,2)</f>
        <v>0</v>
      </c>
      <c r="BL104" s="18" t="s">
        <v>158</v>
      </c>
      <c r="BM104" s="144" t="s">
        <v>1164</v>
      </c>
    </row>
    <row r="105" spans="2:65" s="1" customFormat="1" ht="11.25">
      <c r="B105" s="33"/>
      <c r="D105" s="146" t="s">
        <v>160</v>
      </c>
      <c r="F105" s="147" t="s">
        <v>1165</v>
      </c>
      <c r="I105" s="148"/>
      <c r="L105" s="33"/>
      <c r="M105" s="149"/>
      <c r="T105" s="54"/>
      <c r="AT105" s="18" t="s">
        <v>160</v>
      </c>
      <c r="AU105" s="18" t="s">
        <v>79</v>
      </c>
    </row>
    <row r="106" spans="2:65" s="1" customFormat="1" ht="24.2" customHeight="1">
      <c r="B106" s="132"/>
      <c r="C106" s="133" t="s">
        <v>8</v>
      </c>
      <c r="D106" s="133" t="s">
        <v>153</v>
      </c>
      <c r="E106" s="134" t="s">
        <v>1166</v>
      </c>
      <c r="F106" s="135" t="s">
        <v>1167</v>
      </c>
      <c r="G106" s="136" t="s">
        <v>230</v>
      </c>
      <c r="H106" s="137">
        <v>10</v>
      </c>
      <c r="I106" s="138"/>
      <c r="J106" s="139">
        <f>ROUND(I106*H106,2)</f>
        <v>0</v>
      </c>
      <c r="K106" s="135" t="s">
        <v>157</v>
      </c>
      <c r="L106" s="33"/>
      <c r="M106" s="140" t="s">
        <v>3</v>
      </c>
      <c r="N106" s="141" t="s">
        <v>40</v>
      </c>
      <c r="P106" s="142">
        <f>O106*H106</f>
        <v>0</v>
      </c>
      <c r="Q106" s="142">
        <v>0</v>
      </c>
      <c r="R106" s="142">
        <f>Q106*H106</f>
        <v>0</v>
      </c>
      <c r="S106" s="142">
        <v>0</v>
      </c>
      <c r="T106" s="143">
        <f>S106*H106</f>
        <v>0</v>
      </c>
      <c r="AR106" s="144" t="s">
        <v>158</v>
      </c>
      <c r="AT106" s="144" t="s">
        <v>153</v>
      </c>
      <c r="AU106" s="144" t="s">
        <v>79</v>
      </c>
      <c r="AY106" s="18" t="s">
        <v>151</v>
      </c>
      <c r="BE106" s="145">
        <f>IF(N106="základní",J106,0)</f>
        <v>0</v>
      </c>
      <c r="BF106" s="145">
        <f>IF(N106="snížená",J106,0)</f>
        <v>0</v>
      </c>
      <c r="BG106" s="145">
        <f>IF(N106="zákl. přenesená",J106,0)</f>
        <v>0</v>
      </c>
      <c r="BH106" s="145">
        <f>IF(N106="sníž. přenesená",J106,0)</f>
        <v>0</v>
      </c>
      <c r="BI106" s="145">
        <f>IF(N106="nulová",J106,0)</f>
        <v>0</v>
      </c>
      <c r="BJ106" s="18" t="s">
        <v>77</v>
      </c>
      <c r="BK106" s="145">
        <f>ROUND(I106*H106,2)</f>
        <v>0</v>
      </c>
      <c r="BL106" s="18" t="s">
        <v>158</v>
      </c>
      <c r="BM106" s="144" t="s">
        <v>1168</v>
      </c>
    </row>
    <row r="107" spans="2:65" s="1" customFormat="1" ht="11.25">
      <c r="B107" s="33"/>
      <c r="D107" s="146" t="s">
        <v>160</v>
      </c>
      <c r="F107" s="147" t="s">
        <v>1169</v>
      </c>
      <c r="I107" s="148"/>
      <c r="L107" s="33"/>
      <c r="M107" s="149"/>
      <c r="T107" s="54"/>
      <c r="AT107" s="18" t="s">
        <v>160</v>
      </c>
      <c r="AU107" s="18" t="s">
        <v>79</v>
      </c>
    </row>
    <row r="108" spans="2:65" s="1" customFormat="1" ht="16.5" customHeight="1">
      <c r="B108" s="132"/>
      <c r="C108" s="172" t="s">
        <v>338</v>
      </c>
      <c r="D108" s="172" t="s">
        <v>436</v>
      </c>
      <c r="E108" s="173" t="s">
        <v>1170</v>
      </c>
      <c r="F108" s="174" t="s">
        <v>1171</v>
      </c>
      <c r="G108" s="175" t="s">
        <v>479</v>
      </c>
      <c r="H108" s="176">
        <v>0.2</v>
      </c>
      <c r="I108" s="177"/>
      <c r="J108" s="178">
        <f>ROUND(I108*H108,2)</f>
        <v>0</v>
      </c>
      <c r="K108" s="174" t="s">
        <v>157</v>
      </c>
      <c r="L108" s="179"/>
      <c r="M108" s="180" t="s">
        <v>3</v>
      </c>
      <c r="N108" s="181" t="s">
        <v>40</v>
      </c>
      <c r="P108" s="142">
        <f>O108*H108</f>
        <v>0</v>
      </c>
      <c r="Q108" s="142">
        <v>1E-3</v>
      </c>
      <c r="R108" s="142">
        <f>Q108*H108</f>
        <v>2.0000000000000001E-4</v>
      </c>
      <c r="S108" s="142">
        <v>0</v>
      </c>
      <c r="T108" s="143">
        <f>S108*H108</f>
        <v>0</v>
      </c>
      <c r="AR108" s="144" t="s">
        <v>214</v>
      </c>
      <c r="AT108" s="144" t="s">
        <v>436</v>
      </c>
      <c r="AU108" s="144" t="s">
        <v>79</v>
      </c>
      <c r="AY108" s="18" t="s">
        <v>151</v>
      </c>
      <c r="BE108" s="145">
        <f>IF(N108="základní",J108,0)</f>
        <v>0</v>
      </c>
      <c r="BF108" s="145">
        <f>IF(N108="snížená",J108,0)</f>
        <v>0</v>
      </c>
      <c r="BG108" s="145">
        <f>IF(N108="zákl. přenesená",J108,0)</f>
        <v>0</v>
      </c>
      <c r="BH108" s="145">
        <f>IF(N108="sníž. přenesená",J108,0)</f>
        <v>0</v>
      </c>
      <c r="BI108" s="145">
        <f>IF(N108="nulová",J108,0)</f>
        <v>0</v>
      </c>
      <c r="BJ108" s="18" t="s">
        <v>77</v>
      </c>
      <c r="BK108" s="145">
        <f>ROUND(I108*H108,2)</f>
        <v>0</v>
      </c>
      <c r="BL108" s="18" t="s">
        <v>158</v>
      </c>
      <c r="BM108" s="144" t="s">
        <v>1172</v>
      </c>
    </row>
    <row r="109" spans="2:65" s="12" customFormat="1" ht="11.25">
      <c r="B109" s="150"/>
      <c r="D109" s="151" t="s">
        <v>162</v>
      </c>
      <c r="F109" s="153" t="s">
        <v>1173</v>
      </c>
      <c r="H109" s="154">
        <v>0.2</v>
      </c>
      <c r="I109" s="155"/>
      <c r="L109" s="150"/>
      <c r="M109" s="156"/>
      <c r="T109" s="157"/>
      <c r="AT109" s="152" t="s">
        <v>162</v>
      </c>
      <c r="AU109" s="152" t="s">
        <v>79</v>
      </c>
      <c r="AV109" s="12" t="s">
        <v>79</v>
      </c>
      <c r="AW109" s="12" t="s">
        <v>4</v>
      </c>
      <c r="AX109" s="12" t="s">
        <v>77</v>
      </c>
      <c r="AY109" s="152" t="s">
        <v>151</v>
      </c>
    </row>
    <row r="110" spans="2:65" s="1" customFormat="1" ht="21.75" customHeight="1">
      <c r="B110" s="132"/>
      <c r="C110" s="133" t="s">
        <v>299</v>
      </c>
      <c r="D110" s="133" t="s">
        <v>153</v>
      </c>
      <c r="E110" s="134" t="s">
        <v>1174</v>
      </c>
      <c r="F110" s="135" t="s">
        <v>1175</v>
      </c>
      <c r="G110" s="136" t="s">
        <v>230</v>
      </c>
      <c r="H110" s="137">
        <v>10</v>
      </c>
      <c r="I110" s="138"/>
      <c r="J110" s="139">
        <f>ROUND(I110*H110,2)</f>
        <v>0</v>
      </c>
      <c r="K110" s="135" t="s">
        <v>157</v>
      </c>
      <c r="L110" s="33"/>
      <c r="M110" s="140" t="s">
        <v>3</v>
      </c>
      <c r="N110" s="141" t="s">
        <v>40</v>
      </c>
      <c r="P110" s="142">
        <f>O110*H110</f>
        <v>0</v>
      </c>
      <c r="Q110" s="142">
        <v>0</v>
      </c>
      <c r="R110" s="142">
        <f>Q110*H110</f>
        <v>0</v>
      </c>
      <c r="S110" s="142">
        <v>0</v>
      </c>
      <c r="T110" s="143">
        <f>S110*H110</f>
        <v>0</v>
      </c>
      <c r="AR110" s="144" t="s">
        <v>158</v>
      </c>
      <c r="AT110" s="144" t="s">
        <v>153</v>
      </c>
      <c r="AU110" s="144" t="s">
        <v>79</v>
      </c>
      <c r="AY110" s="18" t="s">
        <v>151</v>
      </c>
      <c r="BE110" s="145">
        <f>IF(N110="základní",J110,0)</f>
        <v>0</v>
      </c>
      <c r="BF110" s="145">
        <f>IF(N110="snížená",J110,0)</f>
        <v>0</v>
      </c>
      <c r="BG110" s="145">
        <f>IF(N110="zákl. přenesená",J110,0)</f>
        <v>0</v>
      </c>
      <c r="BH110" s="145">
        <f>IF(N110="sníž. přenesená",J110,0)</f>
        <v>0</v>
      </c>
      <c r="BI110" s="145">
        <f>IF(N110="nulová",J110,0)</f>
        <v>0</v>
      </c>
      <c r="BJ110" s="18" t="s">
        <v>77</v>
      </c>
      <c r="BK110" s="145">
        <f>ROUND(I110*H110,2)</f>
        <v>0</v>
      </c>
      <c r="BL110" s="18" t="s">
        <v>158</v>
      </c>
      <c r="BM110" s="144" t="s">
        <v>1176</v>
      </c>
    </row>
    <row r="111" spans="2:65" s="1" customFormat="1" ht="11.25">
      <c r="B111" s="33"/>
      <c r="D111" s="146" t="s">
        <v>160</v>
      </c>
      <c r="F111" s="147" t="s">
        <v>1177</v>
      </c>
      <c r="I111" s="148"/>
      <c r="L111" s="33"/>
      <c r="M111" s="149"/>
      <c r="T111" s="54"/>
      <c r="AT111" s="18" t="s">
        <v>160</v>
      </c>
      <c r="AU111" s="18" t="s">
        <v>79</v>
      </c>
    </row>
    <row r="112" spans="2:65" s="11" customFormat="1" ht="22.9" customHeight="1">
      <c r="B112" s="120"/>
      <c r="D112" s="121" t="s">
        <v>68</v>
      </c>
      <c r="E112" s="130" t="s">
        <v>79</v>
      </c>
      <c r="F112" s="130" t="s">
        <v>194</v>
      </c>
      <c r="I112" s="123"/>
      <c r="J112" s="131">
        <f>BK112</f>
        <v>0</v>
      </c>
      <c r="L112" s="120"/>
      <c r="M112" s="125"/>
      <c r="P112" s="126">
        <f>SUM(P113:P126)</f>
        <v>0</v>
      </c>
      <c r="R112" s="126">
        <f>SUM(R113:R126)</f>
        <v>11.166942400000002</v>
      </c>
      <c r="T112" s="127">
        <f>SUM(T113:T126)</f>
        <v>0</v>
      </c>
      <c r="AR112" s="121" t="s">
        <v>77</v>
      </c>
      <c r="AT112" s="128" t="s">
        <v>68</v>
      </c>
      <c r="AU112" s="128" t="s">
        <v>77</v>
      </c>
      <c r="AY112" s="121" t="s">
        <v>151</v>
      </c>
      <c r="BK112" s="129">
        <f>SUM(BK113:BK126)</f>
        <v>0</v>
      </c>
    </row>
    <row r="113" spans="2:65" s="1" customFormat="1" ht="21.75" customHeight="1">
      <c r="B113" s="132"/>
      <c r="C113" s="133" t="s">
        <v>203</v>
      </c>
      <c r="D113" s="133" t="s">
        <v>153</v>
      </c>
      <c r="E113" s="134" t="s">
        <v>1178</v>
      </c>
      <c r="F113" s="135" t="s">
        <v>1179</v>
      </c>
      <c r="G113" s="136" t="s">
        <v>156</v>
      </c>
      <c r="H113" s="137">
        <v>4.2320000000000002</v>
      </c>
      <c r="I113" s="138"/>
      <c r="J113" s="139">
        <f>ROUND(I113*H113,2)</f>
        <v>0</v>
      </c>
      <c r="K113" s="135" t="s">
        <v>171</v>
      </c>
      <c r="L113" s="33"/>
      <c r="M113" s="140" t="s">
        <v>3</v>
      </c>
      <c r="N113" s="141" t="s">
        <v>40</v>
      </c>
      <c r="P113" s="142">
        <f>O113*H113</f>
        <v>0</v>
      </c>
      <c r="Q113" s="142">
        <v>2.5018699999999998</v>
      </c>
      <c r="R113" s="142">
        <f>Q113*H113</f>
        <v>10.587913840000001</v>
      </c>
      <c r="S113" s="142">
        <v>0</v>
      </c>
      <c r="T113" s="143">
        <f>S113*H113</f>
        <v>0</v>
      </c>
      <c r="AR113" s="144" t="s">
        <v>158</v>
      </c>
      <c r="AT113" s="144" t="s">
        <v>153</v>
      </c>
      <c r="AU113" s="144" t="s">
        <v>79</v>
      </c>
      <c r="AY113" s="18" t="s">
        <v>151</v>
      </c>
      <c r="BE113" s="145">
        <f>IF(N113="základní",J113,0)</f>
        <v>0</v>
      </c>
      <c r="BF113" s="145">
        <f>IF(N113="snížená",J113,0)</f>
        <v>0</v>
      </c>
      <c r="BG113" s="145">
        <f>IF(N113="zákl. přenesená",J113,0)</f>
        <v>0</v>
      </c>
      <c r="BH113" s="145">
        <f>IF(N113="sníž. přenesená",J113,0)</f>
        <v>0</v>
      </c>
      <c r="BI113" s="145">
        <f>IF(N113="nulová",J113,0)</f>
        <v>0</v>
      </c>
      <c r="BJ113" s="18" t="s">
        <v>77</v>
      </c>
      <c r="BK113" s="145">
        <f>ROUND(I113*H113,2)</f>
        <v>0</v>
      </c>
      <c r="BL113" s="18" t="s">
        <v>158</v>
      </c>
      <c r="BM113" s="144" t="s">
        <v>1180</v>
      </c>
    </row>
    <row r="114" spans="2:65" s="1" customFormat="1" ht="11.25">
      <c r="B114" s="33"/>
      <c r="D114" s="146" t="s">
        <v>160</v>
      </c>
      <c r="F114" s="147" t="s">
        <v>1181</v>
      </c>
      <c r="I114" s="148"/>
      <c r="L114" s="33"/>
      <c r="M114" s="149"/>
      <c r="T114" s="54"/>
      <c r="AT114" s="18" t="s">
        <v>160</v>
      </c>
      <c r="AU114" s="18" t="s">
        <v>79</v>
      </c>
    </row>
    <row r="115" spans="2:65" s="12" customFormat="1" ht="11.25">
      <c r="B115" s="150"/>
      <c r="D115" s="151" t="s">
        <v>162</v>
      </c>
      <c r="E115" s="152" t="s">
        <v>3</v>
      </c>
      <c r="F115" s="153" t="s">
        <v>1182</v>
      </c>
      <c r="H115" s="154">
        <v>4.2320000000000002</v>
      </c>
      <c r="I115" s="155"/>
      <c r="L115" s="150"/>
      <c r="M115" s="156"/>
      <c r="T115" s="157"/>
      <c r="AT115" s="152" t="s">
        <v>162</v>
      </c>
      <c r="AU115" s="152" t="s">
        <v>79</v>
      </c>
      <c r="AV115" s="12" t="s">
        <v>79</v>
      </c>
      <c r="AW115" s="12" t="s">
        <v>30</v>
      </c>
      <c r="AX115" s="12" t="s">
        <v>69</v>
      </c>
      <c r="AY115" s="152" t="s">
        <v>151</v>
      </c>
    </row>
    <row r="116" spans="2:65" s="13" customFormat="1" ht="11.25">
      <c r="B116" s="158"/>
      <c r="D116" s="151" t="s">
        <v>162</v>
      </c>
      <c r="E116" s="159" t="s">
        <v>3</v>
      </c>
      <c r="F116" s="160" t="s">
        <v>167</v>
      </c>
      <c r="H116" s="161">
        <v>4.2320000000000002</v>
      </c>
      <c r="I116" s="162"/>
      <c r="L116" s="158"/>
      <c r="M116" s="163"/>
      <c r="T116" s="164"/>
      <c r="AT116" s="159" t="s">
        <v>162</v>
      </c>
      <c r="AU116" s="159" t="s">
        <v>79</v>
      </c>
      <c r="AV116" s="13" t="s">
        <v>158</v>
      </c>
      <c r="AW116" s="13" t="s">
        <v>30</v>
      </c>
      <c r="AX116" s="13" t="s">
        <v>77</v>
      </c>
      <c r="AY116" s="159" t="s">
        <v>151</v>
      </c>
    </row>
    <row r="117" spans="2:65" s="1" customFormat="1" ht="16.5" customHeight="1">
      <c r="B117" s="132"/>
      <c r="C117" s="133" t="s">
        <v>214</v>
      </c>
      <c r="D117" s="133" t="s">
        <v>153</v>
      </c>
      <c r="E117" s="134" t="s">
        <v>1183</v>
      </c>
      <c r="F117" s="135" t="s">
        <v>1184</v>
      </c>
      <c r="G117" s="136" t="s">
        <v>230</v>
      </c>
      <c r="H117" s="137">
        <v>15.24</v>
      </c>
      <c r="I117" s="138"/>
      <c r="J117" s="139">
        <f>ROUND(I117*H117,2)</f>
        <v>0</v>
      </c>
      <c r="K117" s="135" t="s">
        <v>171</v>
      </c>
      <c r="L117" s="33"/>
      <c r="M117" s="140" t="s">
        <v>3</v>
      </c>
      <c r="N117" s="141" t="s">
        <v>40</v>
      </c>
      <c r="P117" s="142">
        <f>O117*H117</f>
        <v>0</v>
      </c>
      <c r="Q117" s="142">
        <v>2.64E-3</v>
      </c>
      <c r="R117" s="142">
        <f>Q117*H117</f>
        <v>4.0233600000000001E-2</v>
      </c>
      <c r="S117" s="142">
        <v>0</v>
      </c>
      <c r="T117" s="143">
        <f>S117*H117</f>
        <v>0</v>
      </c>
      <c r="AR117" s="144" t="s">
        <v>158</v>
      </c>
      <c r="AT117" s="144" t="s">
        <v>153</v>
      </c>
      <c r="AU117" s="144" t="s">
        <v>79</v>
      </c>
      <c r="AY117" s="18" t="s">
        <v>151</v>
      </c>
      <c r="BE117" s="145">
        <f>IF(N117="základní",J117,0)</f>
        <v>0</v>
      </c>
      <c r="BF117" s="145">
        <f>IF(N117="snížená",J117,0)</f>
        <v>0</v>
      </c>
      <c r="BG117" s="145">
        <f>IF(N117="zákl. přenesená",J117,0)</f>
        <v>0</v>
      </c>
      <c r="BH117" s="145">
        <f>IF(N117="sníž. přenesená",J117,0)</f>
        <v>0</v>
      </c>
      <c r="BI117" s="145">
        <f>IF(N117="nulová",J117,0)</f>
        <v>0</v>
      </c>
      <c r="BJ117" s="18" t="s">
        <v>77</v>
      </c>
      <c r="BK117" s="145">
        <f>ROUND(I117*H117,2)</f>
        <v>0</v>
      </c>
      <c r="BL117" s="18" t="s">
        <v>158</v>
      </c>
      <c r="BM117" s="144" t="s">
        <v>1185</v>
      </c>
    </row>
    <row r="118" spans="2:65" s="1" customFormat="1" ht="11.25">
      <c r="B118" s="33"/>
      <c r="D118" s="146" t="s">
        <v>160</v>
      </c>
      <c r="F118" s="147" t="s">
        <v>1186</v>
      </c>
      <c r="I118" s="148"/>
      <c r="L118" s="33"/>
      <c r="M118" s="149"/>
      <c r="T118" s="54"/>
      <c r="AT118" s="18" t="s">
        <v>160</v>
      </c>
      <c r="AU118" s="18" t="s">
        <v>79</v>
      </c>
    </row>
    <row r="119" spans="2:65" s="12" customFormat="1" ht="11.25">
      <c r="B119" s="150"/>
      <c r="D119" s="151" t="s">
        <v>162</v>
      </c>
      <c r="E119" s="152" t="s">
        <v>3</v>
      </c>
      <c r="F119" s="153" t="s">
        <v>1187</v>
      </c>
      <c r="H119" s="154">
        <v>15.24</v>
      </c>
      <c r="I119" s="155"/>
      <c r="L119" s="150"/>
      <c r="M119" s="156"/>
      <c r="T119" s="157"/>
      <c r="AT119" s="152" t="s">
        <v>162</v>
      </c>
      <c r="AU119" s="152" t="s">
        <v>79</v>
      </c>
      <c r="AV119" s="12" t="s">
        <v>79</v>
      </c>
      <c r="AW119" s="12" t="s">
        <v>30</v>
      </c>
      <c r="AX119" s="12" t="s">
        <v>69</v>
      </c>
      <c r="AY119" s="152" t="s">
        <v>151</v>
      </c>
    </row>
    <row r="120" spans="2:65" s="13" customFormat="1" ht="11.25">
      <c r="B120" s="158"/>
      <c r="D120" s="151" t="s">
        <v>162</v>
      </c>
      <c r="E120" s="159" t="s">
        <v>3</v>
      </c>
      <c r="F120" s="160" t="s">
        <v>167</v>
      </c>
      <c r="H120" s="161">
        <v>15.24</v>
      </c>
      <c r="I120" s="162"/>
      <c r="L120" s="158"/>
      <c r="M120" s="163"/>
      <c r="T120" s="164"/>
      <c r="AT120" s="159" t="s">
        <v>162</v>
      </c>
      <c r="AU120" s="159" t="s">
        <v>79</v>
      </c>
      <c r="AV120" s="13" t="s">
        <v>158</v>
      </c>
      <c r="AW120" s="13" t="s">
        <v>30</v>
      </c>
      <c r="AX120" s="13" t="s">
        <v>77</v>
      </c>
      <c r="AY120" s="159" t="s">
        <v>151</v>
      </c>
    </row>
    <row r="121" spans="2:65" s="1" customFormat="1" ht="16.5" customHeight="1">
      <c r="B121" s="132"/>
      <c r="C121" s="133" t="s">
        <v>227</v>
      </c>
      <c r="D121" s="133" t="s">
        <v>153</v>
      </c>
      <c r="E121" s="134" t="s">
        <v>1188</v>
      </c>
      <c r="F121" s="135" t="s">
        <v>1189</v>
      </c>
      <c r="G121" s="136" t="s">
        <v>230</v>
      </c>
      <c r="H121" s="137">
        <v>15.24</v>
      </c>
      <c r="I121" s="138"/>
      <c r="J121" s="139">
        <f>ROUND(I121*H121,2)</f>
        <v>0</v>
      </c>
      <c r="K121" s="135" t="s">
        <v>171</v>
      </c>
      <c r="L121" s="33"/>
      <c r="M121" s="140" t="s">
        <v>3</v>
      </c>
      <c r="N121" s="141" t="s">
        <v>40</v>
      </c>
      <c r="P121" s="142">
        <f>O121*H121</f>
        <v>0</v>
      </c>
      <c r="Q121" s="142">
        <v>0</v>
      </c>
      <c r="R121" s="142">
        <f>Q121*H121</f>
        <v>0</v>
      </c>
      <c r="S121" s="142">
        <v>0</v>
      </c>
      <c r="T121" s="143">
        <f>S121*H121</f>
        <v>0</v>
      </c>
      <c r="AR121" s="144" t="s">
        <v>158</v>
      </c>
      <c r="AT121" s="144" t="s">
        <v>153</v>
      </c>
      <c r="AU121" s="144" t="s">
        <v>79</v>
      </c>
      <c r="AY121" s="18" t="s">
        <v>151</v>
      </c>
      <c r="BE121" s="145">
        <f>IF(N121="základní",J121,0)</f>
        <v>0</v>
      </c>
      <c r="BF121" s="145">
        <f>IF(N121="snížená",J121,0)</f>
        <v>0</v>
      </c>
      <c r="BG121" s="145">
        <f>IF(N121="zákl. přenesená",J121,0)</f>
        <v>0</v>
      </c>
      <c r="BH121" s="145">
        <f>IF(N121="sníž. přenesená",J121,0)</f>
        <v>0</v>
      </c>
      <c r="BI121" s="145">
        <f>IF(N121="nulová",J121,0)</f>
        <v>0</v>
      </c>
      <c r="BJ121" s="18" t="s">
        <v>77</v>
      </c>
      <c r="BK121" s="145">
        <f>ROUND(I121*H121,2)</f>
        <v>0</v>
      </c>
      <c r="BL121" s="18" t="s">
        <v>158</v>
      </c>
      <c r="BM121" s="144" t="s">
        <v>1190</v>
      </c>
    </row>
    <row r="122" spans="2:65" s="1" customFormat="1" ht="11.25">
      <c r="B122" s="33"/>
      <c r="D122" s="146" t="s">
        <v>160</v>
      </c>
      <c r="F122" s="147" t="s">
        <v>1191</v>
      </c>
      <c r="I122" s="148"/>
      <c r="L122" s="33"/>
      <c r="M122" s="149"/>
      <c r="T122" s="54"/>
      <c r="AT122" s="18" t="s">
        <v>160</v>
      </c>
      <c r="AU122" s="18" t="s">
        <v>79</v>
      </c>
    </row>
    <row r="123" spans="2:65" s="1" customFormat="1" ht="16.5" customHeight="1">
      <c r="B123" s="132"/>
      <c r="C123" s="133" t="s">
        <v>235</v>
      </c>
      <c r="D123" s="133" t="s">
        <v>153</v>
      </c>
      <c r="E123" s="134" t="s">
        <v>1192</v>
      </c>
      <c r="F123" s="135" t="s">
        <v>1193</v>
      </c>
      <c r="G123" s="136" t="s">
        <v>183</v>
      </c>
      <c r="H123" s="137">
        <v>0.50800000000000001</v>
      </c>
      <c r="I123" s="138"/>
      <c r="J123" s="139">
        <f>ROUND(I123*H123,2)</f>
        <v>0</v>
      </c>
      <c r="K123" s="135" t="s">
        <v>171</v>
      </c>
      <c r="L123" s="33"/>
      <c r="M123" s="140" t="s">
        <v>3</v>
      </c>
      <c r="N123" s="141" t="s">
        <v>40</v>
      </c>
      <c r="P123" s="142">
        <f>O123*H123</f>
        <v>0</v>
      </c>
      <c r="Q123" s="142">
        <v>1.0606199999999999</v>
      </c>
      <c r="R123" s="142">
        <f>Q123*H123</f>
        <v>0.53879495999999993</v>
      </c>
      <c r="S123" s="142">
        <v>0</v>
      </c>
      <c r="T123" s="143">
        <f>S123*H123</f>
        <v>0</v>
      </c>
      <c r="AR123" s="144" t="s">
        <v>158</v>
      </c>
      <c r="AT123" s="144" t="s">
        <v>153</v>
      </c>
      <c r="AU123" s="144" t="s">
        <v>79</v>
      </c>
      <c r="AY123" s="18" t="s">
        <v>151</v>
      </c>
      <c r="BE123" s="145">
        <f>IF(N123="základní",J123,0)</f>
        <v>0</v>
      </c>
      <c r="BF123" s="145">
        <f>IF(N123="snížená",J123,0)</f>
        <v>0</v>
      </c>
      <c r="BG123" s="145">
        <f>IF(N123="zákl. přenesená",J123,0)</f>
        <v>0</v>
      </c>
      <c r="BH123" s="145">
        <f>IF(N123="sníž. přenesená",J123,0)</f>
        <v>0</v>
      </c>
      <c r="BI123" s="145">
        <f>IF(N123="nulová",J123,0)</f>
        <v>0</v>
      </c>
      <c r="BJ123" s="18" t="s">
        <v>77</v>
      </c>
      <c r="BK123" s="145">
        <f>ROUND(I123*H123,2)</f>
        <v>0</v>
      </c>
      <c r="BL123" s="18" t="s">
        <v>158</v>
      </c>
      <c r="BM123" s="144" t="s">
        <v>1194</v>
      </c>
    </row>
    <row r="124" spans="2:65" s="1" customFormat="1" ht="11.25">
      <c r="B124" s="33"/>
      <c r="D124" s="146" t="s">
        <v>160</v>
      </c>
      <c r="F124" s="147" t="s">
        <v>1195</v>
      </c>
      <c r="I124" s="148"/>
      <c r="L124" s="33"/>
      <c r="M124" s="149"/>
      <c r="T124" s="54"/>
      <c r="AT124" s="18" t="s">
        <v>160</v>
      </c>
      <c r="AU124" s="18" t="s">
        <v>79</v>
      </c>
    </row>
    <row r="125" spans="2:65" s="12" customFormat="1" ht="11.25">
      <c r="B125" s="150"/>
      <c r="D125" s="151" t="s">
        <v>162</v>
      </c>
      <c r="E125" s="152" t="s">
        <v>3</v>
      </c>
      <c r="F125" s="153" t="s">
        <v>1196</v>
      </c>
      <c r="H125" s="154">
        <v>0.50800000000000001</v>
      </c>
      <c r="I125" s="155"/>
      <c r="L125" s="150"/>
      <c r="M125" s="156"/>
      <c r="T125" s="157"/>
      <c r="AT125" s="152" t="s">
        <v>162</v>
      </c>
      <c r="AU125" s="152" t="s">
        <v>79</v>
      </c>
      <c r="AV125" s="12" t="s">
        <v>79</v>
      </c>
      <c r="AW125" s="12" t="s">
        <v>30</v>
      </c>
      <c r="AX125" s="12" t="s">
        <v>69</v>
      </c>
      <c r="AY125" s="152" t="s">
        <v>151</v>
      </c>
    </row>
    <row r="126" spans="2:65" s="13" customFormat="1" ht="11.25">
      <c r="B126" s="158"/>
      <c r="D126" s="151" t="s">
        <v>162</v>
      </c>
      <c r="E126" s="159" t="s">
        <v>3</v>
      </c>
      <c r="F126" s="160" t="s">
        <v>167</v>
      </c>
      <c r="H126" s="161">
        <v>0.50800000000000001</v>
      </c>
      <c r="I126" s="162"/>
      <c r="L126" s="158"/>
      <c r="M126" s="163"/>
      <c r="T126" s="164"/>
      <c r="AT126" s="159" t="s">
        <v>162</v>
      </c>
      <c r="AU126" s="159" t="s">
        <v>79</v>
      </c>
      <c r="AV126" s="13" t="s">
        <v>158</v>
      </c>
      <c r="AW126" s="13" t="s">
        <v>30</v>
      </c>
      <c r="AX126" s="13" t="s">
        <v>77</v>
      </c>
      <c r="AY126" s="159" t="s">
        <v>151</v>
      </c>
    </row>
    <row r="127" spans="2:65" s="11" customFormat="1" ht="22.9" customHeight="1">
      <c r="B127" s="120"/>
      <c r="D127" s="121" t="s">
        <v>68</v>
      </c>
      <c r="E127" s="130" t="s">
        <v>227</v>
      </c>
      <c r="F127" s="130" t="s">
        <v>428</v>
      </c>
      <c r="I127" s="123"/>
      <c r="J127" s="131">
        <f>BK127</f>
        <v>0</v>
      </c>
      <c r="L127" s="120"/>
      <c r="M127" s="125"/>
      <c r="P127" s="126">
        <f>SUM(P128:P134)</f>
        <v>0</v>
      </c>
      <c r="R127" s="126">
        <f>SUM(R128:R134)</f>
        <v>1.3440000000000001E-2</v>
      </c>
      <c r="T127" s="127">
        <f>SUM(T128:T134)</f>
        <v>0</v>
      </c>
      <c r="AR127" s="121" t="s">
        <v>77</v>
      </c>
      <c r="AT127" s="128" t="s">
        <v>68</v>
      </c>
      <c r="AU127" s="128" t="s">
        <v>77</v>
      </c>
      <c r="AY127" s="121" t="s">
        <v>151</v>
      </c>
      <c r="BK127" s="129">
        <f>SUM(BK128:BK134)</f>
        <v>0</v>
      </c>
    </row>
    <row r="128" spans="2:65" s="1" customFormat="1" ht="24.2" customHeight="1">
      <c r="B128" s="132"/>
      <c r="C128" s="133" t="s">
        <v>240</v>
      </c>
      <c r="D128" s="133" t="s">
        <v>153</v>
      </c>
      <c r="E128" s="134" t="s">
        <v>441</v>
      </c>
      <c r="F128" s="135" t="s">
        <v>1197</v>
      </c>
      <c r="G128" s="136" t="s">
        <v>230</v>
      </c>
      <c r="H128" s="137">
        <v>60</v>
      </c>
      <c r="I128" s="138"/>
      <c r="J128" s="139">
        <f>ROUND(I128*H128,2)</f>
        <v>0</v>
      </c>
      <c r="K128" s="135" t="s">
        <v>157</v>
      </c>
      <c r="L128" s="33"/>
      <c r="M128" s="140" t="s">
        <v>3</v>
      </c>
      <c r="N128" s="141" t="s">
        <v>40</v>
      </c>
      <c r="P128" s="142">
        <f>O128*H128</f>
        <v>0</v>
      </c>
      <c r="Q128" s="142">
        <v>2.1000000000000001E-4</v>
      </c>
      <c r="R128" s="142">
        <f>Q128*H128</f>
        <v>1.26E-2</v>
      </c>
      <c r="S128" s="142">
        <v>0</v>
      </c>
      <c r="T128" s="143">
        <f>S128*H128</f>
        <v>0</v>
      </c>
      <c r="AR128" s="144" t="s">
        <v>158</v>
      </c>
      <c r="AT128" s="144" t="s">
        <v>153</v>
      </c>
      <c r="AU128" s="144" t="s">
        <v>79</v>
      </c>
      <c r="AY128" s="18" t="s">
        <v>151</v>
      </c>
      <c r="BE128" s="145">
        <f>IF(N128="základní",J128,0)</f>
        <v>0</v>
      </c>
      <c r="BF128" s="145">
        <f>IF(N128="snížená",J128,0)</f>
        <v>0</v>
      </c>
      <c r="BG128" s="145">
        <f>IF(N128="zákl. přenesená",J128,0)</f>
        <v>0</v>
      </c>
      <c r="BH128" s="145">
        <f>IF(N128="sníž. přenesená",J128,0)</f>
        <v>0</v>
      </c>
      <c r="BI128" s="145">
        <f>IF(N128="nulová",J128,0)</f>
        <v>0</v>
      </c>
      <c r="BJ128" s="18" t="s">
        <v>77</v>
      </c>
      <c r="BK128" s="145">
        <f>ROUND(I128*H128,2)</f>
        <v>0</v>
      </c>
      <c r="BL128" s="18" t="s">
        <v>158</v>
      </c>
      <c r="BM128" s="144" t="s">
        <v>1198</v>
      </c>
    </row>
    <row r="129" spans="2:65" s="1" customFormat="1" ht="11.25">
      <c r="B129" s="33"/>
      <c r="D129" s="146" t="s">
        <v>160</v>
      </c>
      <c r="F129" s="147" t="s">
        <v>1199</v>
      </c>
      <c r="I129" s="148"/>
      <c r="L129" s="33"/>
      <c r="M129" s="149"/>
      <c r="T129" s="54"/>
      <c r="AT129" s="18" t="s">
        <v>160</v>
      </c>
      <c r="AU129" s="18" t="s">
        <v>79</v>
      </c>
    </row>
    <row r="130" spans="2:65" s="12" customFormat="1" ht="11.25">
      <c r="B130" s="150"/>
      <c r="D130" s="151" t="s">
        <v>162</v>
      </c>
      <c r="E130" s="152" t="s">
        <v>3</v>
      </c>
      <c r="F130" s="153" t="s">
        <v>1200</v>
      </c>
      <c r="H130" s="154">
        <v>60</v>
      </c>
      <c r="I130" s="155"/>
      <c r="L130" s="150"/>
      <c r="M130" s="156"/>
      <c r="T130" s="157"/>
      <c r="AT130" s="152" t="s">
        <v>162</v>
      </c>
      <c r="AU130" s="152" t="s">
        <v>79</v>
      </c>
      <c r="AV130" s="12" t="s">
        <v>79</v>
      </c>
      <c r="AW130" s="12" t="s">
        <v>30</v>
      </c>
      <c r="AX130" s="12" t="s">
        <v>77</v>
      </c>
      <c r="AY130" s="152" t="s">
        <v>151</v>
      </c>
    </row>
    <row r="131" spans="2:65" s="1" customFormat="1" ht="16.5" customHeight="1">
      <c r="B131" s="132"/>
      <c r="C131" s="133" t="s">
        <v>246</v>
      </c>
      <c r="D131" s="133" t="s">
        <v>153</v>
      </c>
      <c r="E131" s="134" t="s">
        <v>1201</v>
      </c>
      <c r="F131" s="135" t="s">
        <v>1202</v>
      </c>
      <c r="G131" s="136" t="s">
        <v>484</v>
      </c>
      <c r="H131" s="137">
        <v>2</v>
      </c>
      <c r="I131" s="138"/>
      <c r="J131" s="139">
        <f>ROUND(I131*H131,2)</f>
        <v>0</v>
      </c>
      <c r="K131" s="135" t="s">
        <v>3</v>
      </c>
      <c r="L131" s="33"/>
      <c r="M131" s="140" t="s">
        <v>3</v>
      </c>
      <c r="N131" s="141" t="s">
        <v>40</v>
      </c>
      <c r="P131" s="142">
        <f>O131*H131</f>
        <v>0</v>
      </c>
      <c r="Q131" s="142">
        <v>2.1000000000000001E-4</v>
      </c>
      <c r="R131" s="142">
        <f>Q131*H131</f>
        <v>4.2000000000000002E-4</v>
      </c>
      <c r="S131" s="142">
        <v>0</v>
      </c>
      <c r="T131" s="143">
        <f>S131*H131</f>
        <v>0</v>
      </c>
      <c r="AR131" s="144" t="s">
        <v>158</v>
      </c>
      <c r="AT131" s="144" t="s">
        <v>153</v>
      </c>
      <c r="AU131" s="144" t="s">
        <v>79</v>
      </c>
      <c r="AY131" s="18" t="s">
        <v>151</v>
      </c>
      <c r="BE131" s="145">
        <f>IF(N131="základní",J131,0)</f>
        <v>0</v>
      </c>
      <c r="BF131" s="145">
        <f>IF(N131="snížená",J131,0)</f>
        <v>0</v>
      </c>
      <c r="BG131" s="145">
        <f>IF(N131="zákl. přenesená",J131,0)</f>
        <v>0</v>
      </c>
      <c r="BH131" s="145">
        <f>IF(N131="sníž. přenesená",J131,0)</f>
        <v>0</v>
      </c>
      <c r="BI131" s="145">
        <f>IF(N131="nulová",J131,0)</f>
        <v>0</v>
      </c>
      <c r="BJ131" s="18" t="s">
        <v>77</v>
      </c>
      <c r="BK131" s="145">
        <f>ROUND(I131*H131,2)</f>
        <v>0</v>
      </c>
      <c r="BL131" s="18" t="s">
        <v>158</v>
      </c>
      <c r="BM131" s="144" t="s">
        <v>1203</v>
      </c>
    </row>
    <row r="132" spans="2:65" s="1" customFormat="1" ht="68.25">
      <c r="B132" s="33"/>
      <c r="D132" s="151" t="s">
        <v>219</v>
      </c>
      <c r="F132" s="171" t="s">
        <v>1204</v>
      </c>
      <c r="I132" s="148"/>
      <c r="L132" s="33"/>
      <c r="M132" s="149"/>
      <c r="T132" s="54"/>
      <c r="AT132" s="18" t="s">
        <v>219</v>
      </c>
      <c r="AU132" s="18" t="s">
        <v>79</v>
      </c>
    </row>
    <row r="133" spans="2:65" s="1" customFormat="1" ht="24.2" customHeight="1">
      <c r="B133" s="132"/>
      <c r="C133" s="133" t="s">
        <v>251</v>
      </c>
      <c r="D133" s="133" t="s">
        <v>153</v>
      </c>
      <c r="E133" s="134" t="s">
        <v>1205</v>
      </c>
      <c r="F133" s="135" t="s">
        <v>1206</v>
      </c>
      <c r="G133" s="136" t="s">
        <v>484</v>
      </c>
      <c r="H133" s="137">
        <v>2</v>
      </c>
      <c r="I133" s="138"/>
      <c r="J133" s="139">
        <f>ROUND(I133*H133,2)</f>
        <v>0</v>
      </c>
      <c r="K133" s="135" t="s">
        <v>3</v>
      </c>
      <c r="L133" s="33"/>
      <c r="M133" s="140" t="s">
        <v>3</v>
      </c>
      <c r="N133" s="141" t="s">
        <v>40</v>
      </c>
      <c r="P133" s="142">
        <f>O133*H133</f>
        <v>0</v>
      </c>
      <c r="Q133" s="142">
        <v>2.1000000000000001E-4</v>
      </c>
      <c r="R133" s="142">
        <f>Q133*H133</f>
        <v>4.2000000000000002E-4</v>
      </c>
      <c r="S133" s="142">
        <v>0</v>
      </c>
      <c r="T133" s="143">
        <f>S133*H133</f>
        <v>0</v>
      </c>
      <c r="AR133" s="144" t="s">
        <v>158</v>
      </c>
      <c r="AT133" s="144" t="s">
        <v>153</v>
      </c>
      <c r="AU133" s="144" t="s">
        <v>79</v>
      </c>
      <c r="AY133" s="18" t="s">
        <v>151</v>
      </c>
      <c r="BE133" s="145">
        <f>IF(N133="základní",J133,0)</f>
        <v>0</v>
      </c>
      <c r="BF133" s="145">
        <f>IF(N133="snížená",J133,0)</f>
        <v>0</v>
      </c>
      <c r="BG133" s="145">
        <f>IF(N133="zákl. přenesená",J133,0)</f>
        <v>0</v>
      </c>
      <c r="BH133" s="145">
        <f>IF(N133="sníž. přenesená",J133,0)</f>
        <v>0</v>
      </c>
      <c r="BI133" s="145">
        <f>IF(N133="nulová",J133,0)</f>
        <v>0</v>
      </c>
      <c r="BJ133" s="18" t="s">
        <v>77</v>
      </c>
      <c r="BK133" s="145">
        <f>ROUND(I133*H133,2)</f>
        <v>0</v>
      </c>
      <c r="BL133" s="18" t="s">
        <v>158</v>
      </c>
      <c r="BM133" s="144" t="s">
        <v>1207</v>
      </c>
    </row>
    <row r="134" spans="2:65" s="1" customFormat="1" ht="68.25">
      <c r="B134" s="33"/>
      <c r="D134" s="151" t="s">
        <v>219</v>
      </c>
      <c r="F134" s="171" t="s">
        <v>1204</v>
      </c>
      <c r="I134" s="148"/>
      <c r="L134" s="33"/>
      <c r="M134" s="149"/>
      <c r="T134" s="54"/>
      <c r="AT134" s="18" t="s">
        <v>219</v>
      </c>
      <c r="AU134" s="18" t="s">
        <v>79</v>
      </c>
    </row>
    <row r="135" spans="2:65" s="11" customFormat="1" ht="22.9" customHeight="1">
      <c r="B135" s="120"/>
      <c r="D135" s="121" t="s">
        <v>68</v>
      </c>
      <c r="E135" s="130" t="s">
        <v>557</v>
      </c>
      <c r="F135" s="130" t="s">
        <v>558</v>
      </c>
      <c r="I135" s="123"/>
      <c r="J135" s="131">
        <f>BK135</f>
        <v>0</v>
      </c>
      <c r="L135" s="120"/>
      <c r="M135" s="125"/>
      <c r="P135" s="126">
        <f>SUM(P136:P137)</f>
        <v>0</v>
      </c>
      <c r="R135" s="126">
        <f>SUM(R136:R137)</f>
        <v>0</v>
      </c>
      <c r="T135" s="127">
        <f>SUM(T136:T137)</f>
        <v>0</v>
      </c>
      <c r="AR135" s="121" t="s">
        <v>77</v>
      </c>
      <c r="AT135" s="128" t="s">
        <v>68</v>
      </c>
      <c r="AU135" s="128" t="s">
        <v>77</v>
      </c>
      <c r="AY135" s="121" t="s">
        <v>151</v>
      </c>
      <c r="BK135" s="129">
        <f>SUM(BK136:BK137)</f>
        <v>0</v>
      </c>
    </row>
    <row r="136" spans="2:65" s="1" customFormat="1" ht="33" customHeight="1">
      <c r="B136" s="132"/>
      <c r="C136" s="133" t="s">
        <v>265</v>
      </c>
      <c r="D136" s="133" t="s">
        <v>153</v>
      </c>
      <c r="E136" s="134" t="s">
        <v>1208</v>
      </c>
      <c r="F136" s="135" t="s">
        <v>1209</v>
      </c>
      <c r="G136" s="136" t="s">
        <v>183</v>
      </c>
      <c r="H136" s="137">
        <v>11.180999999999999</v>
      </c>
      <c r="I136" s="138"/>
      <c r="J136" s="139">
        <f>ROUND(I136*H136,2)</f>
        <v>0</v>
      </c>
      <c r="K136" s="135" t="s">
        <v>171</v>
      </c>
      <c r="L136" s="33"/>
      <c r="M136" s="140" t="s">
        <v>3</v>
      </c>
      <c r="N136" s="141" t="s">
        <v>40</v>
      </c>
      <c r="P136" s="142">
        <f>O136*H136</f>
        <v>0</v>
      </c>
      <c r="Q136" s="142">
        <v>0</v>
      </c>
      <c r="R136" s="142">
        <f>Q136*H136</f>
        <v>0</v>
      </c>
      <c r="S136" s="142">
        <v>0</v>
      </c>
      <c r="T136" s="143">
        <f>S136*H136</f>
        <v>0</v>
      </c>
      <c r="AR136" s="144" t="s">
        <v>158</v>
      </c>
      <c r="AT136" s="144" t="s">
        <v>153</v>
      </c>
      <c r="AU136" s="144" t="s">
        <v>79</v>
      </c>
      <c r="AY136" s="18" t="s">
        <v>151</v>
      </c>
      <c r="BE136" s="145">
        <f>IF(N136="základní",J136,0)</f>
        <v>0</v>
      </c>
      <c r="BF136" s="145">
        <f>IF(N136="snížená",J136,0)</f>
        <v>0</v>
      </c>
      <c r="BG136" s="145">
        <f>IF(N136="zákl. přenesená",J136,0)</f>
        <v>0</v>
      </c>
      <c r="BH136" s="145">
        <f>IF(N136="sníž. přenesená",J136,0)</f>
        <v>0</v>
      </c>
      <c r="BI136" s="145">
        <f>IF(N136="nulová",J136,0)</f>
        <v>0</v>
      </c>
      <c r="BJ136" s="18" t="s">
        <v>77</v>
      </c>
      <c r="BK136" s="145">
        <f>ROUND(I136*H136,2)</f>
        <v>0</v>
      </c>
      <c r="BL136" s="18" t="s">
        <v>158</v>
      </c>
      <c r="BM136" s="144" t="s">
        <v>1210</v>
      </c>
    </row>
    <row r="137" spans="2:65" s="1" customFormat="1" ht="11.25">
      <c r="B137" s="33"/>
      <c r="D137" s="146" t="s">
        <v>160</v>
      </c>
      <c r="F137" s="147" t="s">
        <v>1211</v>
      </c>
      <c r="I137" s="148"/>
      <c r="L137" s="33"/>
      <c r="M137" s="149"/>
      <c r="T137" s="54"/>
      <c r="AT137" s="18" t="s">
        <v>160</v>
      </c>
      <c r="AU137" s="18" t="s">
        <v>79</v>
      </c>
    </row>
    <row r="138" spans="2:65" s="11" customFormat="1" ht="25.9" customHeight="1">
      <c r="B138" s="120"/>
      <c r="D138" s="121" t="s">
        <v>68</v>
      </c>
      <c r="E138" s="122" t="s">
        <v>564</v>
      </c>
      <c r="F138" s="122" t="s">
        <v>565</v>
      </c>
      <c r="I138" s="123"/>
      <c r="J138" s="124">
        <f>BK138</f>
        <v>0</v>
      </c>
      <c r="L138" s="120"/>
      <c r="M138" s="125"/>
      <c r="P138" s="126">
        <f>P139+P143</f>
        <v>0</v>
      </c>
      <c r="R138" s="126">
        <f>R139+R143</f>
        <v>0.17574000000000001</v>
      </c>
      <c r="T138" s="127">
        <f>T139+T143</f>
        <v>0</v>
      </c>
      <c r="AR138" s="121" t="s">
        <v>79</v>
      </c>
      <c r="AT138" s="128" t="s">
        <v>68</v>
      </c>
      <c r="AU138" s="128" t="s">
        <v>69</v>
      </c>
      <c r="AY138" s="121" t="s">
        <v>151</v>
      </c>
      <c r="BK138" s="129">
        <f>BK139+BK143</f>
        <v>0</v>
      </c>
    </row>
    <row r="139" spans="2:65" s="11" customFormat="1" ht="22.9" customHeight="1">
      <c r="B139" s="120"/>
      <c r="D139" s="121" t="s">
        <v>68</v>
      </c>
      <c r="E139" s="130" t="s">
        <v>671</v>
      </c>
      <c r="F139" s="130" t="s">
        <v>672</v>
      </c>
      <c r="I139" s="123"/>
      <c r="J139" s="131">
        <f>BK139</f>
        <v>0</v>
      </c>
      <c r="L139" s="120"/>
      <c r="M139" s="125"/>
      <c r="P139" s="126">
        <f>SUM(P140:P142)</f>
        <v>0</v>
      </c>
      <c r="R139" s="126">
        <f>SUM(R140:R142)</f>
        <v>0.1754</v>
      </c>
      <c r="T139" s="127">
        <f>SUM(T140:T142)</f>
        <v>0</v>
      </c>
      <c r="AR139" s="121" t="s">
        <v>79</v>
      </c>
      <c r="AT139" s="128" t="s">
        <v>68</v>
      </c>
      <c r="AU139" s="128" t="s">
        <v>77</v>
      </c>
      <c r="AY139" s="121" t="s">
        <v>151</v>
      </c>
      <c r="BK139" s="129">
        <f>SUM(BK140:BK142)</f>
        <v>0</v>
      </c>
    </row>
    <row r="140" spans="2:65" s="1" customFormat="1" ht="16.5" customHeight="1">
      <c r="B140" s="132"/>
      <c r="C140" s="133" t="s">
        <v>9</v>
      </c>
      <c r="D140" s="133" t="s">
        <v>153</v>
      </c>
      <c r="E140" s="134" t="s">
        <v>1212</v>
      </c>
      <c r="F140" s="135" t="s">
        <v>1213</v>
      </c>
      <c r="G140" s="136" t="s">
        <v>479</v>
      </c>
      <c r="H140" s="137">
        <v>3508</v>
      </c>
      <c r="I140" s="138"/>
      <c r="J140" s="139">
        <f>ROUND(I140*H140,2)</f>
        <v>0</v>
      </c>
      <c r="K140" s="135" t="s">
        <v>171</v>
      </c>
      <c r="L140" s="33"/>
      <c r="M140" s="140" t="s">
        <v>3</v>
      </c>
      <c r="N140" s="141" t="s">
        <v>40</v>
      </c>
      <c r="P140" s="142">
        <f>O140*H140</f>
        <v>0</v>
      </c>
      <c r="Q140" s="142">
        <v>5.0000000000000002E-5</v>
      </c>
      <c r="R140" s="142">
        <f>Q140*H140</f>
        <v>0.1754</v>
      </c>
      <c r="S140" s="142">
        <v>0</v>
      </c>
      <c r="T140" s="143">
        <f>S140*H140</f>
        <v>0</v>
      </c>
      <c r="AR140" s="144" t="s">
        <v>282</v>
      </c>
      <c r="AT140" s="144" t="s">
        <v>153</v>
      </c>
      <c r="AU140" s="144" t="s">
        <v>79</v>
      </c>
      <c r="AY140" s="18" t="s">
        <v>151</v>
      </c>
      <c r="BE140" s="145">
        <f>IF(N140="základní",J140,0)</f>
        <v>0</v>
      </c>
      <c r="BF140" s="145">
        <f>IF(N140="snížená",J140,0)</f>
        <v>0</v>
      </c>
      <c r="BG140" s="145">
        <f>IF(N140="zákl. přenesená",J140,0)</f>
        <v>0</v>
      </c>
      <c r="BH140" s="145">
        <f>IF(N140="sníž. přenesená",J140,0)</f>
        <v>0</v>
      </c>
      <c r="BI140" s="145">
        <f>IF(N140="nulová",J140,0)</f>
        <v>0</v>
      </c>
      <c r="BJ140" s="18" t="s">
        <v>77</v>
      </c>
      <c r="BK140" s="145">
        <f>ROUND(I140*H140,2)</f>
        <v>0</v>
      </c>
      <c r="BL140" s="18" t="s">
        <v>282</v>
      </c>
      <c r="BM140" s="144" t="s">
        <v>1214</v>
      </c>
    </row>
    <row r="141" spans="2:65" s="1" customFormat="1" ht="11.25">
      <c r="B141" s="33"/>
      <c r="D141" s="146" t="s">
        <v>160</v>
      </c>
      <c r="F141" s="147" t="s">
        <v>1215</v>
      </c>
      <c r="I141" s="148"/>
      <c r="L141" s="33"/>
      <c r="M141" s="149"/>
      <c r="T141" s="54"/>
      <c r="AT141" s="18" t="s">
        <v>160</v>
      </c>
      <c r="AU141" s="18" t="s">
        <v>79</v>
      </c>
    </row>
    <row r="142" spans="2:65" s="1" customFormat="1" ht="29.25">
      <c r="B142" s="33"/>
      <c r="D142" s="151" t="s">
        <v>219</v>
      </c>
      <c r="F142" s="171" t="s">
        <v>1216</v>
      </c>
      <c r="I142" s="148"/>
      <c r="L142" s="33"/>
      <c r="M142" s="149"/>
      <c r="T142" s="54"/>
      <c r="AT142" s="18" t="s">
        <v>219</v>
      </c>
      <c r="AU142" s="18" t="s">
        <v>79</v>
      </c>
    </row>
    <row r="143" spans="2:65" s="11" customFormat="1" ht="22.9" customHeight="1">
      <c r="B143" s="120"/>
      <c r="D143" s="121" t="s">
        <v>68</v>
      </c>
      <c r="E143" s="130" t="s">
        <v>733</v>
      </c>
      <c r="F143" s="130" t="s">
        <v>734</v>
      </c>
      <c r="I143" s="123"/>
      <c r="J143" s="131">
        <f>BK143</f>
        <v>0</v>
      </c>
      <c r="L143" s="120"/>
      <c r="M143" s="125"/>
      <c r="P143" s="126">
        <f>SUM(P144:P149)</f>
        <v>0</v>
      </c>
      <c r="R143" s="126">
        <f>SUM(R144:R149)</f>
        <v>3.4000000000000002E-4</v>
      </c>
      <c r="T143" s="127">
        <f>SUM(T144:T149)</f>
        <v>0</v>
      </c>
      <c r="AR143" s="121" t="s">
        <v>79</v>
      </c>
      <c r="AT143" s="128" t="s">
        <v>68</v>
      </c>
      <c r="AU143" s="128" t="s">
        <v>77</v>
      </c>
      <c r="AY143" s="121" t="s">
        <v>151</v>
      </c>
      <c r="BK143" s="129">
        <f>SUM(BK144:BK149)</f>
        <v>0</v>
      </c>
    </row>
    <row r="144" spans="2:65" s="1" customFormat="1" ht="16.5" customHeight="1">
      <c r="B144" s="132"/>
      <c r="C144" s="133" t="s">
        <v>282</v>
      </c>
      <c r="D144" s="133" t="s">
        <v>153</v>
      </c>
      <c r="E144" s="134" t="s">
        <v>1217</v>
      </c>
      <c r="F144" s="135" t="s">
        <v>1218</v>
      </c>
      <c r="G144" s="136" t="s">
        <v>523</v>
      </c>
      <c r="H144" s="137">
        <v>1</v>
      </c>
      <c r="I144" s="138"/>
      <c r="J144" s="139">
        <f>ROUND(I144*H144,2)</f>
        <v>0</v>
      </c>
      <c r="K144" s="135" t="s">
        <v>171</v>
      </c>
      <c r="L144" s="33"/>
      <c r="M144" s="140" t="s">
        <v>3</v>
      </c>
      <c r="N144" s="141" t="s">
        <v>40</v>
      </c>
      <c r="P144" s="142">
        <f>O144*H144</f>
        <v>0</v>
      </c>
      <c r="Q144" s="142">
        <v>1.7000000000000001E-4</v>
      </c>
      <c r="R144" s="142">
        <f>Q144*H144</f>
        <v>1.7000000000000001E-4</v>
      </c>
      <c r="S144" s="142">
        <v>0</v>
      </c>
      <c r="T144" s="143">
        <f>S144*H144</f>
        <v>0</v>
      </c>
      <c r="AR144" s="144" t="s">
        <v>282</v>
      </c>
      <c r="AT144" s="144" t="s">
        <v>153</v>
      </c>
      <c r="AU144" s="144" t="s">
        <v>79</v>
      </c>
      <c r="AY144" s="18" t="s">
        <v>151</v>
      </c>
      <c r="BE144" s="145">
        <f>IF(N144="základní",J144,0)</f>
        <v>0</v>
      </c>
      <c r="BF144" s="145">
        <f>IF(N144="snížená",J144,0)</f>
        <v>0</v>
      </c>
      <c r="BG144" s="145">
        <f>IF(N144="zákl. přenesená",J144,0)</f>
        <v>0</v>
      </c>
      <c r="BH144" s="145">
        <f>IF(N144="sníž. přenesená",J144,0)</f>
        <v>0</v>
      </c>
      <c r="BI144" s="145">
        <f>IF(N144="nulová",J144,0)</f>
        <v>0</v>
      </c>
      <c r="BJ144" s="18" t="s">
        <v>77</v>
      </c>
      <c r="BK144" s="145">
        <f>ROUND(I144*H144,2)</f>
        <v>0</v>
      </c>
      <c r="BL144" s="18" t="s">
        <v>282</v>
      </c>
      <c r="BM144" s="144" t="s">
        <v>1219</v>
      </c>
    </row>
    <row r="145" spans="2:65" s="1" customFormat="1" ht="11.25">
      <c r="B145" s="33"/>
      <c r="D145" s="146" t="s">
        <v>160</v>
      </c>
      <c r="F145" s="147" t="s">
        <v>1220</v>
      </c>
      <c r="I145" s="148"/>
      <c r="L145" s="33"/>
      <c r="M145" s="149"/>
      <c r="T145" s="54"/>
      <c r="AT145" s="18" t="s">
        <v>160</v>
      </c>
      <c r="AU145" s="18" t="s">
        <v>79</v>
      </c>
    </row>
    <row r="146" spans="2:65" s="1" customFormat="1" ht="19.5">
      <c r="B146" s="33"/>
      <c r="D146" s="151" t="s">
        <v>219</v>
      </c>
      <c r="F146" s="171" t="s">
        <v>1221</v>
      </c>
      <c r="I146" s="148"/>
      <c r="L146" s="33"/>
      <c r="M146" s="149"/>
      <c r="T146" s="54"/>
      <c r="AT146" s="18" t="s">
        <v>219</v>
      </c>
      <c r="AU146" s="18" t="s">
        <v>79</v>
      </c>
    </row>
    <row r="147" spans="2:65" s="1" customFormat="1" ht="16.5" customHeight="1">
      <c r="B147" s="132"/>
      <c r="C147" s="133" t="s">
        <v>287</v>
      </c>
      <c r="D147" s="133" t="s">
        <v>153</v>
      </c>
      <c r="E147" s="134" t="s">
        <v>1222</v>
      </c>
      <c r="F147" s="135" t="s">
        <v>1223</v>
      </c>
      <c r="G147" s="136" t="s">
        <v>523</v>
      </c>
      <c r="H147" s="137">
        <v>1</v>
      </c>
      <c r="I147" s="138"/>
      <c r="J147" s="139">
        <f>ROUND(I147*H147,2)</f>
        <v>0</v>
      </c>
      <c r="K147" s="135" t="s">
        <v>171</v>
      </c>
      <c r="L147" s="33"/>
      <c r="M147" s="140" t="s">
        <v>3</v>
      </c>
      <c r="N147" s="141" t="s">
        <v>40</v>
      </c>
      <c r="P147" s="142">
        <f>O147*H147</f>
        <v>0</v>
      </c>
      <c r="Q147" s="142">
        <v>1.7000000000000001E-4</v>
      </c>
      <c r="R147" s="142">
        <f>Q147*H147</f>
        <v>1.7000000000000001E-4</v>
      </c>
      <c r="S147" s="142">
        <v>0</v>
      </c>
      <c r="T147" s="143">
        <f>S147*H147</f>
        <v>0</v>
      </c>
      <c r="AR147" s="144" t="s">
        <v>282</v>
      </c>
      <c r="AT147" s="144" t="s">
        <v>153</v>
      </c>
      <c r="AU147" s="144" t="s">
        <v>79</v>
      </c>
      <c r="AY147" s="18" t="s">
        <v>151</v>
      </c>
      <c r="BE147" s="145">
        <f>IF(N147="základní",J147,0)</f>
        <v>0</v>
      </c>
      <c r="BF147" s="145">
        <f>IF(N147="snížená",J147,0)</f>
        <v>0</v>
      </c>
      <c r="BG147" s="145">
        <f>IF(N147="zákl. přenesená",J147,0)</f>
        <v>0</v>
      </c>
      <c r="BH147" s="145">
        <f>IF(N147="sníž. přenesená",J147,0)</f>
        <v>0</v>
      </c>
      <c r="BI147" s="145">
        <f>IF(N147="nulová",J147,0)</f>
        <v>0</v>
      </c>
      <c r="BJ147" s="18" t="s">
        <v>77</v>
      </c>
      <c r="BK147" s="145">
        <f>ROUND(I147*H147,2)</f>
        <v>0</v>
      </c>
      <c r="BL147" s="18" t="s">
        <v>282</v>
      </c>
      <c r="BM147" s="144" t="s">
        <v>1224</v>
      </c>
    </row>
    <row r="148" spans="2:65" s="1" customFormat="1" ht="11.25">
      <c r="B148" s="33"/>
      <c r="D148" s="146" t="s">
        <v>160</v>
      </c>
      <c r="F148" s="147" t="s">
        <v>1225</v>
      </c>
      <c r="I148" s="148"/>
      <c r="L148" s="33"/>
      <c r="M148" s="149"/>
      <c r="T148" s="54"/>
      <c r="AT148" s="18" t="s">
        <v>160</v>
      </c>
      <c r="AU148" s="18" t="s">
        <v>79</v>
      </c>
    </row>
    <row r="149" spans="2:65" s="1" customFormat="1" ht="19.5">
      <c r="B149" s="33"/>
      <c r="D149" s="151" t="s">
        <v>219</v>
      </c>
      <c r="F149" s="171" t="s">
        <v>1221</v>
      </c>
      <c r="I149" s="148"/>
      <c r="L149" s="33"/>
      <c r="M149" s="182"/>
      <c r="N149" s="183"/>
      <c r="O149" s="183"/>
      <c r="P149" s="183"/>
      <c r="Q149" s="183"/>
      <c r="R149" s="183"/>
      <c r="S149" s="183"/>
      <c r="T149" s="184"/>
      <c r="AT149" s="18" t="s">
        <v>219</v>
      </c>
      <c r="AU149" s="18" t="s">
        <v>79</v>
      </c>
    </row>
    <row r="150" spans="2:65" s="1" customFormat="1" ht="6.95" customHeight="1">
      <c r="B150" s="42"/>
      <c r="C150" s="43"/>
      <c r="D150" s="43"/>
      <c r="E150" s="43"/>
      <c r="F150" s="43"/>
      <c r="G150" s="43"/>
      <c r="H150" s="43"/>
      <c r="I150" s="43"/>
      <c r="J150" s="43"/>
      <c r="K150" s="43"/>
      <c r="L150" s="33"/>
    </row>
  </sheetData>
  <autoFilter ref="C86:K149" xr:uid="{00000000-0009-0000-0000-000006000000}"/>
  <mergeCells count="9">
    <mergeCell ref="E50:H50"/>
    <mergeCell ref="E77:H77"/>
    <mergeCell ref="E79:H79"/>
    <mergeCell ref="L2:V2"/>
    <mergeCell ref="E7:H7"/>
    <mergeCell ref="E9:H9"/>
    <mergeCell ref="E18:H18"/>
    <mergeCell ref="E27:H27"/>
    <mergeCell ref="E48:H48"/>
  </mergeCells>
  <hyperlinks>
    <hyperlink ref="F91" r:id="rId1" xr:uid="{00000000-0004-0000-0600-000000000000}"/>
    <hyperlink ref="F95" r:id="rId2" xr:uid="{00000000-0004-0000-0600-000001000000}"/>
    <hyperlink ref="F97" r:id="rId3" xr:uid="{00000000-0004-0000-0600-000002000000}"/>
    <hyperlink ref="F100" r:id="rId4" xr:uid="{00000000-0004-0000-0600-000003000000}"/>
    <hyperlink ref="F103" r:id="rId5" xr:uid="{00000000-0004-0000-0600-000004000000}"/>
    <hyperlink ref="F105" r:id="rId6" xr:uid="{00000000-0004-0000-0600-000005000000}"/>
    <hyperlink ref="F107" r:id="rId7" xr:uid="{00000000-0004-0000-0600-000006000000}"/>
    <hyperlink ref="F111" r:id="rId8" xr:uid="{00000000-0004-0000-0600-000007000000}"/>
    <hyperlink ref="F114" r:id="rId9" xr:uid="{00000000-0004-0000-0600-000008000000}"/>
    <hyperlink ref="F118" r:id="rId10" xr:uid="{00000000-0004-0000-0600-000009000000}"/>
    <hyperlink ref="F122" r:id="rId11" xr:uid="{00000000-0004-0000-0600-00000A000000}"/>
    <hyperlink ref="F124" r:id="rId12" xr:uid="{00000000-0004-0000-0600-00000B000000}"/>
    <hyperlink ref="F129" r:id="rId13" xr:uid="{00000000-0004-0000-0600-00000C000000}"/>
    <hyperlink ref="F137" r:id="rId14" xr:uid="{00000000-0004-0000-0600-00000D000000}"/>
    <hyperlink ref="F141" r:id="rId15" xr:uid="{00000000-0004-0000-0600-00000E000000}"/>
    <hyperlink ref="F145" r:id="rId16" xr:uid="{00000000-0004-0000-0600-00000F000000}"/>
    <hyperlink ref="F148" r:id="rId17" xr:uid="{00000000-0004-0000-0600-000010000000}"/>
  </hyperlinks>
  <pageMargins left="0.39374999999999999" right="0.39374999999999999" top="0.39374999999999999" bottom="0.39374999999999999" header="0" footer="0"/>
  <pageSetup paperSize="9" fitToHeight="100" orientation="landscape" blackAndWhite="1"/>
  <headerFooter>
    <oddFooter>&amp;CStrana &amp;P z &amp;N</oddFooter>
  </headerFooter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BM268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10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304" t="s">
        <v>6</v>
      </c>
      <c r="M2" s="289"/>
      <c r="N2" s="289"/>
      <c r="O2" s="289"/>
      <c r="P2" s="289"/>
      <c r="Q2" s="289"/>
      <c r="R2" s="289"/>
      <c r="S2" s="289"/>
      <c r="T2" s="289"/>
      <c r="U2" s="289"/>
      <c r="V2" s="289"/>
      <c r="AT2" s="18" t="s">
        <v>101</v>
      </c>
    </row>
    <row r="3" spans="2:46" ht="6.9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1"/>
      <c r="AT3" s="18" t="s">
        <v>79</v>
      </c>
    </row>
    <row r="4" spans="2:46" ht="24.95" customHeight="1">
      <c r="B4" s="21"/>
      <c r="D4" s="22" t="s">
        <v>114</v>
      </c>
      <c r="L4" s="21"/>
      <c r="M4" s="91" t="s">
        <v>11</v>
      </c>
      <c r="AT4" s="18" t="s">
        <v>4</v>
      </c>
    </row>
    <row r="5" spans="2:46" ht="6.95" customHeight="1">
      <c r="B5" s="21"/>
      <c r="L5" s="21"/>
    </row>
    <row r="6" spans="2:46" ht="12" customHeight="1">
      <c r="B6" s="21"/>
      <c r="D6" s="28" t="s">
        <v>17</v>
      </c>
      <c r="L6" s="21"/>
    </row>
    <row r="7" spans="2:46" ht="16.5" customHeight="1">
      <c r="B7" s="21"/>
      <c r="E7" s="319" t="str">
        <f>'Rekapitulace stavby'!K6</f>
        <v>SKLAD ŠKROBU P-001</v>
      </c>
      <c r="F7" s="320"/>
      <c r="G7" s="320"/>
      <c r="H7" s="320"/>
      <c r="L7" s="21"/>
    </row>
    <row r="8" spans="2:46" ht="12" customHeight="1">
      <c r="B8" s="21"/>
      <c r="D8" s="28" t="s">
        <v>115</v>
      </c>
      <c r="L8" s="21"/>
    </row>
    <row r="9" spans="2:46" s="1" customFormat="1" ht="16.5" customHeight="1">
      <c r="B9" s="33"/>
      <c r="E9" s="319" t="s">
        <v>1226</v>
      </c>
      <c r="F9" s="321"/>
      <c r="G9" s="321"/>
      <c r="H9" s="321"/>
      <c r="L9" s="33"/>
    </row>
    <row r="10" spans="2:46" s="1" customFormat="1" ht="12" customHeight="1">
      <c r="B10" s="33"/>
      <c r="D10" s="28" t="s">
        <v>1227</v>
      </c>
      <c r="L10" s="33"/>
    </row>
    <row r="11" spans="2:46" s="1" customFormat="1" ht="16.5" customHeight="1">
      <c r="B11" s="33"/>
      <c r="E11" s="282" t="s">
        <v>1228</v>
      </c>
      <c r="F11" s="321"/>
      <c r="G11" s="321"/>
      <c r="H11" s="321"/>
      <c r="L11" s="33"/>
    </row>
    <row r="12" spans="2:46" s="1" customFormat="1" ht="11.25">
      <c r="B12" s="33"/>
      <c r="L12" s="33"/>
    </row>
    <row r="13" spans="2:46" s="1" customFormat="1" ht="12" customHeight="1">
      <c r="B13" s="33"/>
      <c r="D13" s="28" t="s">
        <v>19</v>
      </c>
      <c r="F13" s="26" t="s">
        <v>3</v>
      </c>
      <c r="I13" s="28" t="s">
        <v>20</v>
      </c>
      <c r="J13" s="26" t="s">
        <v>3</v>
      </c>
      <c r="L13" s="33"/>
    </row>
    <row r="14" spans="2:46" s="1" customFormat="1" ht="12" customHeight="1">
      <c r="B14" s="33"/>
      <c r="D14" s="28" t="s">
        <v>21</v>
      </c>
      <c r="F14" s="26" t="s">
        <v>1229</v>
      </c>
      <c r="I14" s="28" t="s">
        <v>23</v>
      </c>
      <c r="J14" s="50">
        <f>'Rekapitulace stavby'!AN8</f>
        <v>45167</v>
      </c>
      <c r="L14" s="33"/>
    </row>
    <row r="15" spans="2:46" s="1" customFormat="1" ht="10.9" customHeight="1">
      <c r="B15" s="33"/>
      <c r="L15" s="33"/>
    </row>
    <row r="16" spans="2:46" s="1" customFormat="1" ht="12" customHeight="1">
      <c r="B16" s="33"/>
      <c r="D16" s="28" t="s">
        <v>24</v>
      </c>
      <c r="I16" s="28" t="s">
        <v>25</v>
      </c>
      <c r="J16" s="26" t="s">
        <v>3</v>
      </c>
      <c r="L16" s="33"/>
    </row>
    <row r="17" spans="2:12" s="1" customFormat="1" ht="18" customHeight="1">
      <c r="B17" s="33"/>
      <c r="E17" s="26" t="s">
        <v>22</v>
      </c>
      <c r="I17" s="28" t="s">
        <v>26</v>
      </c>
      <c r="J17" s="26" t="s">
        <v>3</v>
      </c>
      <c r="L17" s="33"/>
    </row>
    <row r="18" spans="2:12" s="1" customFormat="1" ht="6.95" customHeight="1">
      <c r="B18" s="33"/>
      <c r="L18" s="33"/>
    </row>
    <row r="19" spans="2:12" s="1" customFormat="1" ht="12" customHeight="1">
      <c r="B19" s="33"/>
      <c r="D19" s="28" t="s">
        <v>27</v>
      </c>
      <c r="I19" s="28" t="s">
        <v>25</v>
      </c>
      <c r="J19" s="29" t="str">
        <f>'Rekapitulace stavby'!AN13</f>
        <v>Vyplň údaj</v>
      </c>
      <c r="L19" s="33"/>
    </row>
    <row r="20" spans="2:12" s="1" customFormat="1" ht="18" customHeight="1">
      <c r="B20" s="33"/>
      <c r="E20" s="322" t="str">
        <f>'Rekapitulace stavby'!E14</f>
        <v>Vyplň údaj</v>
      </c>
      <c r="F20" s="288"/>
      <c r="G20" s="288"/>
      <c r="H20" s="288"/>
      <c r="I20" s="28" t="s">
        <v>26</v>
      </c>
      <c r="J20" s="29" t="str">
        <f>'Rekapitulace stavby'!AN14</f>
        <v>Vyplň údaj</v>
      </c>
      <c r="L20" s="33"/>
    </row>
    <row r="21" spans="2:12" s="1" customFormat="1" ht="6.95" customHeight="1">
      <c r="B21" s="33"/>
      <c r="L21" s="33"/>
    </row>
    <row r="22" spans="2:12" s="1" customFormat="1" ht="12" customHeight="1">
      <c r="B22" s="33"/>
      <c r="D22" s="28" t="s">
        <v>29</v>
      </c>
      <c r="I22" s="28" t="s">
        <v>25</v>
      </c>
      <c r="J22" s="26" t="s">
        <v>3</v>
      </c>
      <c r="L22" s="33"/>
    </row>
    <row r="23" spans="2:12" s="1" customFormat="1" ht="18" customHeight="1">
      <c r="B23" s="33"/>
      <c r="E23" s="26" t="s">
        <v>1230</v>
      </c>
      <c r="I23" s="28" t="s">
        <v>26</v>
      </c>
      <c r="J23" s="26" t="s">
        <v>3</v>
      </c>
      <c r="L23" s="33"/>
    </row>
    <row r="24" spans="2:12" s="1" customFormat="1" ht="6.95" customHeight="1">
      <c r="B24" s="33"/>
      <c r="L24" s="33"/>
    </row>
    <row r="25" spans="2:12" s="1" customFormat="1" ht="12" customHeight="1">
      <c r="B25" s="33"/>
      <c r="D25" s="28" t="s">
        <v>31</v>
      </c>
      <c r="I25" s="28" t="s">
        <v>25</v>
      </c>
      <c r="J25" s="26" t="s">
        <v>3</v>
      </c>
      <c r="L25" s="33"/>
    </row>
    <row r="26" spans="2:12" s="1" customFormat="1" ht="18" customHeight="1">
      <c r="B26" s="33"/>
      <c r="E26" s="26" t="s">
        <v>1231</v>
      </c>
      <c r="I26" s="28" t="s">
        <v>26</v>
      </c>
      <c r="J26" s="26" t="s">
        <v>3</v>
      </c>
      <c r="L26" s="33"/>
    </row>
    <row r="27" spans="2:12" s="1" customFormat="1" ht="6.95" customHeight="1">
      <c r="B27" s="33"/>
      <c r="L27" s="33"/>
    </row>
    <row r="28" spans="2:12" s="1" customFormat="1" ht="12" customHeight="1">
      <c r="B28" s="33"/>
      <c r="D28" s="28" t="s">
        <v>33</v>
      </c>
      <c r="L28" s="33"/>
    </row>
    <row r="29" spans="2:12" s="7" customFormat="1" ht="16.5" customHeight="1">
      <c r="B29" s="92"/>
      <c r="E29" s="293" t="s">
        <v>3</v>
      </c>
      <c r="F29" s="293"/>
      <c r="G29" s="293"/>
      <c r="H29" s="293"/>
      <c r="L29" s="92"/>
    </row>
    <row r="30" spans="2:12" s="1" customFormat="1" ht="6.95" customHeight="1">
      <c r="B30" s="33"/>
      <c r="L30" s="33"/>
    </row>
    <row r="31" spans="2:12" s="1" customFormat="1" ht="6.95" customHeight="1">
      <c r="B31" s="33"/>
      <c r="D31" s="51"/>
      <c r="E31" s="51"/>
      <c r="F31" s="51"/>
      <c r="G31" s="51"/>
      <c r="H31" s="51"/>
      <c r="I31" s="51"/>
      <c r="J31" s="51"/>
      <c r="K31" s="51"/>
      <c r="L31" s="33"/>
    </row>
    <row r="32" spans="2:12" s="1" customFormat="1" ht="25.35" customHeight="1">
      <c r="B32" s="33"/>
      <c r="D32" s="93" t="s">
        <v>35</v>
      </c>
      <c r="J32" s="64">
        <f>ROUND(J90, 2)</f>
        <v>0</v>
      </c>
      <c r="L32" s="33"/>
    </row>
    <row r="33" spans="2:12" s="1" customFormat="1" ht="6.95" customHeight="1">
      <c r="B33" s="33"/>
      <c r="D33" s="51"/>
      <c r="E33" s="51"/>
      <c r="F33" s="51"/>
      <c r="G33" s="51"/>
      <c r="H33" s="51"/>
      <c r="I33" s="51"/>
      <c r="J33" s="51"/>
      <c r="K33" s="51"/>
      <c r="L33" s="33"/>
    </row>
    <row r="34" spans="2:12" s="1" customFormat="1" ht="14.45" customHeight="1">
      <c r="B34" s="33"/>
      <c r="F34" s="36" t="s">
        <v>37</v>
      </c>
      <c r="I34" s="36" t="s">
        <v>36</v>
      </c>
      <c r="J34" s="36" t="s">
        <v>38</v>
      </c>
      <c r="L34" s="33"/>
    </row>
    <row r="35" spans="2:12" s="1" customFormat="1" ht="14.45" customHeight="1">
      <c r="B35" s="33"/>
      <c r="D35" s="53" t="s">
        <v>39</v>
      </c>
      <c r="E35" s="28" t="s">
        <v>40</v>
      </c>
      <c r="F35" s="84">
        <f>ROUND((SUM(BE90:BE267)),  2)</f>
        <v>0</v>
      </c>
      <c r="I35" s="94">
        <v>0.21</v>
      </c>
      <c r="J35" s="84">
        <f>ROUND(((SUM(BE90:BE267))*I35),  2)</f>
        <v>0</v>
      </c>
      <c r="L35" s="33"/>
    </row>
    <row r="36" spans="2:12" s="1" customFormat="1" ht="14.45" customHeight="1">
      <c r="B36" s="33"/>
      <c r="E36" s="28" t="s">
        <v>41</v>
      </c>
      <c r="F36" s="84">
        <f>ROUND((SUM(BF90:BF267)),  2)</f>
        <v>0</v>
      </c>
      <c r="I36" s="94">
        <v>0.15</v>
      </c>
      <c r="J36" s="84">
        <f>ROUND(((SUM(BF90:BF267))*I36),  2)</f>
        <v>0</v>
      </c>
      <c r="L36" s="33"/>
    </row>
    <row r="37" spans="2:12" s="1" customFormat="1" ht="14.45" hidden="1" customHeight="1">
      <c r="B37" s="33"/>
      <c r="E37" s="28" t="s">
        <v>42</v>
      </c>
      <c r="F37" s="84">
        <f>ROUND((SUM(BG90:BG267)),  2)</f>
        <v>0</v>
      </c>
      <c r="I37" s="94">
        <v>0.21</v>
      </c>
      <c r="J37" s="84">
        <f>0</f>
        <v>0</v>
      </c>
      <c r="L37" s="33"/>
    </row>
    <row r="38" spans="2:12" s="1" customFormat="1" ht="14.45" hidden="1" customHeight="1">
      <c r="B38" s="33"/>
      <c r="E38" s="28" t="s">
        <v>43</v>
      </c>
      <c r="F38" s="84">
        <f>ROUND((SUM(BH90:BH267)),  2)</f>
        <v>0</v>
      </c>
      <c r="I38" s="94">
        <v>0.15</v>
      </c>
      <c r="J38" s="84">
        <f>0</f>
        <v>0</v>
      </c>
      <c r="L38" s="33"/>
    </row>
    <row r="39" spans="2:12" s="1" customFormat="1" ht="14.45" hidden="1" customHeight="1">
      <c r="B39" s="33"/>
      <c r="E39" s="28" t="s">
        <v>44</v>
      </c>
      <c r="F39" s="84">
        <f>ROUND((SUM(BI90:BI267)),  2)</f>
        <v>0</v>
      </c>
      <c r="I39" s="94">
        <v>0</v>
      </c>
      <c r="J39" s="84">
        <f>0</f>
        <v>0</v>
      </c>
      <c r="L39" s="33"/>
    </row>
    <row r="40" spans="2:12" s="1" customFormat="1" ht="6.95" customHeight="1">
      <c r="B40" s="33"/>
      <c r="L40" s="33"/>
    </row>
    <row r="41" spans="2:12" s="1" customFormat="1" ht="25.35" customHeight="1">
      <c r="B41" s="33"/>
      <c r="C41" s="95"/>
      <c r="D41" s="96" t="s">
        <v>45</v>
      </c>
      <c r="E41" s="55"/>
      <c r="F41" s="55"/>
      <c r="G41" s="97" t="s">
        <v>46</v>
      </c>
      <c r="H41" s="98" t="s">
        <v>47</v>
      </c>
      <c r="I41" s="55"/>
      <c r="J41" s="99">
        <f>SUM(J32:J39)</f>
        <v>0</v>
      </c>
      <c r="K41" s="100"/>
      <c r="L41" s="33"/>
    </row>
    <row r="42" spans="2:12" s="1" customFormat="1" ht="14.45" customHeight="1">
      <c r="B42" s="42"/>
      <c r="C42" s="43"/>
      <c r="D42" s="43"/>
      <c r="E42" s="43"/>
      <c r="F42" s="43"/>
      <c r="G42" s="43"/>
      <c r="H42" s="43"/>
      <c r="I42" s="43"/>
      <c r="J42" s="43"/>
      <c r="K42" s="43"/>
      <c r="L42" s="33"/>
    </row>
    <row r="46" spans="2:12" s="1" customFormat="1" ht="6.95" customHeight="1">
      <c r="B46" s="44"/>
      <c r="C46" s="45"/>
      <c r="D46" s="45"/>
      <c r="E46" s="45"/>
      <c r="F46" s="45"/>
      <c r="G46" s="45"/>
      <c r="H46" s="45"/>
      <c r="I46" s="45"/>
      <c r="J46" s="45"/>
      <c r="K46" s="45"/>
      <c r="L46" s="33"/>
    </row>
    <row r="47" spans="2:12" s="1" customFormat="1" ht="24.95" customHeight="1">
      <c r="B47" s="33"/>
      <c r="C47" s="22" t="s">
        <v>117</v>
      </c>
      <c r="L47" s="33"/>
    </row>
    <row r="48" spans="2:12" s="1" customFormat="1" ht="6.95" customHeight="1">
      <c r="B48" s="33"/>
      <c r="L48" s="33"/>
    </row>
    <row r="49" spans="2:47" s="1" customFormat="1" ht="12" customHeight="1">
      <c r="B49" s="33"/>
      <c r="C49" s="28" t="s">
        <v>17</v>
      </c>
      <c r="L49" s="33"/>
    </row>
    <row r="50" spans="2:47" s="1" customFormat="1" ht="16.5" customHeight="1">
      <c r="B50" s="33"/>
      <c r="E50" s="319" t="str">
        <f>E7</f>
        <v>SKLAD ŠKROBU P-001</v>
      </c>
      <c r="F50" s="320"/>
      <c r="G50" s="320"/>
      <c r="H50" s="320"/>
      <c r="L50" s="33"/>
    </row>
    <row r="51" spans="2:47" ht="12" customHeight="1">
      <c r="B51" s="21"/>
      <c r="C51" s="28" t="s">
        <v>115</v>
      </c>
      <c r="L51" s="21"/>
    </row>
    <row r="52" spans="2:47" s="1" customFormat="1" ht="16.5" customHeight="1">
      <c r="B52" s="33"/>
      <c r="E52" s="319" t="s">
        <v>1226</v>
      </c>
      <c r="F52" s="321"/>
      <c r="G52" s="321"/>
      <c r="H52" s="321"/>
      <c r="L52" s="33"/>
    </row>
    <row r="53" spans="2:47" s="1" customFormat="1" ht="12" customHeight="1">
      <c r="B53" s="33"/>
      <c r="C53" s="28" t="s">
        <v>1227</v>
      </c>
      <c r="L53" s="33"/>
    </row>
    <row r="54" spans="2:47" s="1" customFormat="1" ht="16.5" customHeight="1">
      <c r="B54" s="33"/>
      <c r="E54" s="282" t="str">
        <f>E11</f>
        <v>a - příprava území</v>
      </c>
      <c r="F54" s="321"/>
      <c r="G54" s="321"/>
      <c r="H54" s="321"/>
      <c r="L54" s="33"/>
    </row>
    <row r="55" spans="2:47" s="1" customFormat="1" ht="6.95" customHeight="1">
      <c r="B55" s="33"/>
      <c r="L55" s="33"/>
    </row>
    <row r="56" spans="2:47" s="1" customFormat="1" ht="12" customHeight="1">
      <c r="B56" s="33"/>
      <c r="C56" s="28" t="s">
        <v>21</v>
      </c>
      <c r="F56" s="26" t="str">
        <f>F14</f>
        <v>Horažďovice</v>
      </c>
      <c r="I56" s="28" t="s">
        <v>23</v>
      </c>
      <c r="J56" s="50">
        <f>IF(J14="","",J14)</f>
        <v>45167</v>
      </c>
      <c r="L56" s="33"/>
    </row>
    <row r="57" spans="2:47" s="1" customFormat="1" ht="6.95" customHeight="1">
      <c r="B57" s="33"/>
      <c r="L57" s="33"/>
    </row>
    <row r="58" spans="2:47" s="1" customFormat="1" ht="25.7" customHeight="1">
      <c r="B58" s="33"/>
      <c r="C58" s="28" t="s">
        <v>24</v>
      </c>
      <c r="F58" s="26" t="str">
        <f>E17</f>
        <v xml:space="preserve"> </v>
      </c>
      <c r="I58" s="28" t="s">
        <v>29</v>
      </c>
      <c r="J58" s="31" t="str">
        <f>E23</f>
        <v>VIAPROJEKT s.r.o. HK</v>
      </c>
      <c r="L58" s="33"/>
    </row>
    <row r="59" spans="2:47" s="1" customFormat="1" ht="15.2" customHeight="1">
      <c r="B59" s="33"/>
      <c r="C59" s="28" t="s">
        <v>27</v>
      </c>
      <c r="F59" s="26" t="str">
        <f>IF(E20="","",E20)</f>
        <v>Vyplň údaj</v>
      </c>
      <c r="I59" s="28" t="s">
        <v>31</v>
      </c>
      <c r="J59" s="31" t="str">
        <f>E26</f>
        <v>B.Burešová</v>
      </c>
      <c r="L59" s="33"/>
    </row>
    <row r="60" spans="2:47" s="1" customFormat="1" ht="10.35" customHeight="1">
      <c r="B60" s="33"/>
      <c r="L60" s="33"/>
    </row>
    <row r="61" spans="2:47" s="1" customFormat="1" ht="29.25" customHeight="1">
      <c r="B61" s="33"/>
      <c r="C61" s="101" t="s">
        <v>118</v>
      </c>
      <c r="D61" s="95"/>
      <c r="E61" s="95"/>
      <c r="F61" s="95"/>
      <c r="G61" s="95"/>
      <c r="H61" s="95"/>
      <c r="I61" s="95"/>
      <c r="J61" s="102" t="s">
        <v>119</v>
      </c>
      <c r="K61" s="95"/>
      <c r="L61" s="33"/>
    </row>
    <row r="62" spans="2:47" s="1" customFormat="1" ht="10.35" customHeight="1">
      <c r="B62" s="33"/>
      <c r="L62" s="33"/>
    </row>
    <row r="63" spans="2:47" s="1" customFormat="1" ht="22.9" customHeight="1">
      <c r="B63" s="33"/>
      <c r="C63" s="103" t="s">
        <v>67</v>
      </c>
      <c r="J63" s="64">
        <f>J90</f>
        <v>0</v>
      </c>
      <c r="L63" s="33"/>
      <c r="AU63" s="18" t="s">
        <v>120</v>
      </c>
    </row>
    <row r="64" spans="2:47" s="8" customFormat="1" ht="24.95" customHeight="1">
      <c r="B64" s="104"/>
      <c r="D64" s="105" t="s">
        <v>1146</v>
      </c>
      <c r="E64" s="106"/>
      <c r="F64" s="106"/>
      <c r="G64" s="106"/>
      <c r="H64" s="106"/>
      <c r="I64" s="106"/>
      <c r="J64" s="107">
        <f>J91</f>
        <v>0</v>
      </c>
      <c r="L64" s="104"/>
    </row>
    <row r="65" spans="2:12" s="9" customFormat="1" ht="19.899999999999999" customHeight="1">
      <c r="B65" s="108"/>
      <c r="D65" s="109" t="s">
        <v>122</v>
      </c>
      <c r="E65" s="110"/>
      <c r="F65" s="110"/>
      <c r="G65" s="110"/>
      <c r="H65" s="110"/>
      <c r="I65" s="110"/>
      <c r="J65" s="111">
        <f>J92</f>
        <v>0</v>
      </c>
      <c r="L65" s="108"/>
    </row>
    <row r="66" spans="2:12" s="9" customFormat="1" ht="19.899999999999999" customHeight="1">
      <c r="B66" s="108"/>
      <c r="D66" s="109" t="s">
        <v>126</v>
      </c>
      <c r="E66" s="110"/>
      <c r="F66" s="110"/>
      <c r="G66" s="110"/>
      <c r="H66" s="110"/>
      <c r="I66" s="110"/>
      <c r="J66" s="111">
        <f>J178</f>
        <v>0</v>
      </c>
      <c r="L66" s="108"/>
    </row>
    <row r="67" spans="2:12" s="9" customFormat="1" ht="19.899999999999999" customHeight="1">
      <c r="B67" s="108"/>
      <c r="D67" s="109" t="s">
        <v>127</v>
      </c>
      <c r="E67" s="110"/>
      <c r="F67" s="110"/>
      <c r="G67" s="110"/>
      <c r="H67" s="110"/>
      <c r="I67" s="110"/>
      <c r="J67" s="111">
        <f>J197</f>
        <v>0</v>
      </c>
      <c r="L67" s="108"/>
    </row>
    <row r="68" spans="2:12" s="9" customFormat="1" ht="19.899999999999999" customHeight="1">
      <c r="B68" s="108"/>
      <c r="D68" s="109" t="s">
        <v>129</v>
      </c>
      <c r="E68" s="110"/>
      <c r="F68" s="110"/>
      <c r="G68" s="110"/>
      <c r="H68" s="110"/>
      <c r="I68" s="110"/>
      <c r="J68" s="111">
        <f>J263</f>
        <v>0</v>
      </c>
      <c r="L68" s="108"/>
    </row>
    <row r="69" spans="2:12" s="1" customFormat="1" ht="21.75" customHeight="1">
      <c r="B69" s="33"/>
      <c r="L69" s="33"/>
    </row>
    <row r="70" spans="2:12" s="1" customFormat="1" ht="6.95" customHeight="1">
      <c r="B70" s="42"/>
      <c r="C70" s="43"/>
      <c r="D70" s="43"/>
      <c r="E70" s="43"/>
      <c r="F70" s="43"/>
      <c r="G70" s="43"/>
      <c r="H70" s="43"/>
      <c r="I70" s="43"/>
      <c r="J70" s="43"/>
      <c r="K70" s="43"/>
      <c r="L70" s="33"/>
    </row>
    <row r="74" spans="2:12" s="1" customFormat="1" ht="6.95" customHeight="1">
      <c r="B74" s="44"/>
      <c r="C74" s="45"/>
      <c r="D74" s="45"/>
      <c r="E74" s="45"/>
      <c r="F74" s="45"/>
      <c r="G74" s="45"/>
      <c r="H74" s="45"/>
      <c r="I74" s="45"/>
      <c r="J74" s="45"/>
      <c r="K74" s="45"/>
      <c r="L74" s="33"/>
    </row>
    <row r="75" spans="2:12" s="1" customFormat="1" ht="24.95" customHeight="1">
      <c r="B75" s="33"/>
      <c r="C75" s="22" t="s">
        <v>137</v>
      </c>
      <c r="L75" s="33"/>
    </row>
    <row r="76" spans="2:12" s="1" customFormat="1" ht="6.95" customHeight="1">
      <c r="B76" s="33"/>
      <c r="L76" s="33"/>
    </row>
    <row r="77" spans="2:12" s="1" customFormat="1" ht="12" customHeight="1">
      <c r="B77" s="33"/>
      <c r="C77" s="28" t="s">
        <v>17</v>
      </c>
      <c r="L77" s="33"/>
    </row>
    <row r="78" spans="2:12" s="1" customFormat="1" ht="16.5" customHeight="1">
      <c r="B78" s="33"/>
      <c r="E78" s="319" t="str">
        <f>E7</f>
        <v>SKLAD ŠKROBU P-001</v>
      </c>
      <c r="F78" s="320"/>
      <c r="G78" s="320"/>
      <c r="H78" s="320"/>
      <c r="L78" s="33"/>
    </row>
    <row r="79" spans="2:12" ht="12" customHeight="1">
      <c r="B79" s="21"/>
      <c r="C79" s="28" t="s">
        <v>115</v>
      </c>
      <c r="L79" s="21"/>
    </row>
    <row r="80" spans="2:12" s="1" customFormat="1" ht="16.5" customHeight="1">
      <c r="B80" s="33"/>
      <c r="E80" s="319" t="s">
        <v>1226</v>
      </c>
      <c r="F80" s="321"/>
      <c r="G80" s="321"/>
      <c r="H80" s="321"/>
      <c r="L80" s="33"/>
    </row>
    <row r="81" spans="2:65" s="1" customFormat="1" ht="12" customHeight="1">
      <c r="B81" s="33"/>
      <c r="C81" s="28" t="s">
        <v>1227</v>
      </c>
      <c r="L81" s="33"/>
    </row>
    <row r="82" spans="2:65" s="1" customFormat="1" ht="16.5" customHeight="1">
      <c r="B82" s="33"/>
      <c r="E82" s="282" t="str">
        <f>E11</f>
        <v>a - příprava území</v>
      </c>
      <c r="F82" s="321"/>
      <c r="G82" s="321"/>
      <c r="H82" s="321"/>
      <c r="L82" s="33"/>
    </row>
    <row r="83" spans="2:65" s="1" customFormat="1" ht="6.95" customHeight="1">
      <c r="B83" s="33"/>
      <c r="L83" s="33"/>
    </row>
    <row r="84" spans="2:65" s="1" customFormat="1" ht="12" customHeight="1">
      <c r="B84" s="33"/>
      <c r="C84" s="28" t="s">
        <v>21</v>
      </c>
      <c r="F84" s="26" t="str">
        <f>F14</f>
        <v>Horažďovice</v>
      </c>
      <c r="I84" s="28" t="s">
        <v>23</v>
      </c>
      <c r="J84" s="50">
        <f>IF(J14="","",J14)</f>
        <v>45167</v>
      </c>
      <c r="L84" s="33"/>
    </row>
    <row r="85" spans="2:65" s="1" customFormat="1" ht="6.95" customHeight="1">
      <c r="B85" s="33"/>
      <c r="L85" s="33"/>
    </row>
    <row r="86" spans="2:65" s="1" customFormat="1" ht="25.7" customHeight="1">
      <c r="B86" s="33"/>
      <c r="C86" s="28" t="s">
        <v>24</v>
      </c>
      <c r="F86" s="26" t="str">
        <f>E17</f>
        <v xml:space="preserve"> </v>
      </c>
      <c r="I86" s="28" t="s">
        <v>29</v>
      </c>
      <c r="J86" s="31" t="str">
        <f>E23</f>
        <v>VIAPROJEKT s.r.o. HK</v>
      </c>
      <c r="L86" s="33"/>
    </row>
    <row r="87" spans="2:65" s="1" customFormat="1" ht="15.2" customHeight="1">
      <c r="B87" s="33"/>
      <c r="C87" s="28" t="s">
        <v>27</v>
      </c>
      <c r="F87" s="26" t="str">
        <f>IF(E20="","",E20)</f>
        <v>Vyplň údaj</v>
      </c>
      <c r="I87" s="28" t="s">
        <v>31</v>
      </c>
      <c r="J87" s="31" t="str">
        <f>E26</f>
        <v>B.Burešová</v>
      </c>
      <c r="L87" s="33"/>
    </row>
    <row r="88" spans="2:65" s="1" customFormat="1" ht="10.35" customHeight="1">
      <c r="B88" s="33"/>
      <c r="L88" s="33"/>
    </row>
    <row r="89" spans="2:65" s="10" customFormat="1" ht="29.25" customHeight="1">
      <c r="B89" s="112"/>
      <c r="C89" s="113" t="s">
        <v>138</v>
      </c>
      <c r="D89" s="114" t="s">
        <v>54</v>
      </c>
      <c r="E89" s="114" t="s">
        <v>50</v>
      </c>
      <c r="F89" s="114" t="s">
        <v>51</v>
      </c>
      <c r="G89" s="114" t="s">
        <v>139</v>
      </c>
      <c r="H89" s="114" t="s">
        <v>140</v>
      </c>
      <c r="I89" s="114" t="s">
        <v>141</v>
      </c>
      <c r="J89" s="114" t="s">
        <v>119</v>
      </c>
      <c r="K89" s="115" t="s">
        <v>142</v>
      </c>
      <c r="L89" s="112"/>
      <c r="M89" s="57" t="s">
        <v>3</v>
      </c>
      <c r="N89" s="58" t="s">
        <v>39</v>
      </c>
      <c r="O89" s="58" t="s">
        <v>143</v>
      </c>
      <c r="P89" s="58" t="s">
        <v>144</v>
      </c>
      <c r="Q89" s="58" t="s">
        <v>145</v>
      </c>
      <c r="R89" s="58" t="s">
        <v>146</v>
      </c>
      <c r="S89" s="58" t="s">
        <v>147</v>
      </c>
      <c r="T89" s="59" t="s">
        <v>148</v>
      </c>
    </row>
    <row r="90" spans="2:65" s="1" customFormat="1" ht="22.9" customHeight="1">
      <c r="B90" s="33"/>
      <c r="C90" s="62" t="s">
        <v>149</v>
      </c>
      <c r="J90" s="116">
        <f>BK90</f>
        <v>0</v>
      </c>
      <c r="L90" s="33"/>
      <c r="M90" s="60"/>
      <c r="N90" s="51"/>
      <c r="O90" s="51"/>
      <c r="P90" s="117">
        <f>P91</f>
        <v>0</v>
      </c>
      <c r="Q90" s="51"/>
      <c r="R90" s="117">
        <f>R91</f>
        <v>7.0400000000000003E-3</v>
      </c>
      <c r="S90" s="51"/>
      <c r="T90" s="118">
        <f>T91</f>
        <v>775.24499999999989</v>
      </c>
      <c r="AT90" s="18" t="s">
        <v>68</v>
      </c>
      <c r="AU90" s="18" t="s">
        <v>120</v>
      </c>
      <c r="BK90" s="119">
        <f>BK91</f>
        <v>0</v>
      </c>
    </row>
    <row r="91" spans="2:65" s="11" customFormat="1" ht="25.9" customHeight="1">
      <c r="B91" s="120"/>
      <c r="D91" s="121" t="s">
        <v>68</v>
      </c>
      <c r="E91" s="122" t="s">
        <v>150</v>
      </c>
      <c r="F91" s="122" t="s">
        <v>1147</v>
      </c>
      <c r="I91" s="123"/>
      <c r="J91" s="124">
        <f>BK91</f>
        <v>0</v>
      </c>
      <c r="L91" s="120"/>
      <c r="M91" s="125"/>
      <c r="P91" s="126">
        <f>P92+P178+P197+P263</f>
        <v>0</v>
      </c>
      <c r="R91" s="126">
        <f>R92+R178+R197+R263</f>
        <v>7.0400000000000003E-3</v>
      </c>
      <c r="T91" s="127">
        <f>T92+T178+T197+T263</f>
        <v>775.24499999999989</v>
      </c>
      <c r="AR91" s="121" t="s">
        <v>77</v>
      </c>
      <c r="AT91" s="128" t="s">
        <v>68</v>
      </c>
      <c r="AU91" s="128" t="s">
        <v>69</v>
      </c>
      <c r="AY91" s="121" t="s">
        <v>151</v>
      </c>
      <c r="BK91" s="129">
        <f>BK92+BK178+BK197+BK263</f>
        <v>0</v>
      </c>
    </row>
    <row r="92" spans="2:65" s="11" customFormat="1" ht="22.9" customHeight="1">
      <c r="B92" s="120"/>
      <c r="D92" s="121" t="s">
        <v>68</v>
      </c>
      <c r="E92" s="130" t="s">
        <v>77</v>
      </c>
      <c r="F92" s="130" t="s">
        <v>152</v>
      </c>
      <c r="I92" s="123"/>
      <c r="J92" s="131">
        <f>BK92</f>
        <v>0</v>
      </c>
      <c r="L92" s="120"/>
      <c r="M92" s="125"/>
      <c r="P92" s="126">
        <f>SUM(P93:P177)</f>
        <v>0</v>
      </c>
      <c r="R92" s="126">
        <f>SUM(R93:R177)</f>
        <v>0</v>
      </c>
      <c r="T92" s="127">
        <f>SUM(T93:T177)</f>
        <v>775.24499999999989</v>
      </c>
      <c r="AR92" s="121" t="s">
        <v>77</v>
      </c>
      <c r="AT92" s="128" t="s">
        <v>68</v>
      </c>
      <c r="AU92" s="128" t="s">
        <v>77</v>
      </c>
      <c r="AY92" s="121" t="s">
        <v>151</v>
      </c>
      <c r="BK92" s="129">
        <f>SUM(BK93:BK177)</f>
        <v>0</v>
      </c>
    </row>
    <row r="93" spans="2:65" s="1" customFormat="1" ht="16.5" customHeight="1">
      <c r="B93" s="132"/>
      <c r="C93" s="133" t="s">
        <v>77</v>
      </c>
      <c r="D93" s="133" t="s">
        <v>153</v>
      </c>
      <c r="E93" s="134" t="s">
        <v>1232</v>
      </c>
      <c r="F93" s="135" t="s">
        <v>1233</v>
      </c>
      <c r="G93" s="136" t="s">
        <v>676</v>
      </c>
      <c r="H93" s="137">
        <v>2</v>
      </c>
      <c r="I93" s="138"/>
      <c r="J93" s="139">
        <f>ROUND(I93*H93,2)</f>
        <v>0</v>
      </c>
      <c r="K93" s="135" t="s">
        <v>171</v>
      </c>
      <c r="L93" s="33"/>
      <c r="M93" s="140" t="s">
        <v>3</v>
      </c>
      <c r="N93" s="141" t="s">
        <v>40</v>
      </c>
      <c r="P93" s="142">
        <f>O93*H93</f>
        <v>0</v>
      </c>
      <c r="Q93" s="142">
        <v>0</v>
      </c>
      <c r="R93" s="142">
        <f>Q93*H93</f>
        <v>0</v>
      </c>
      <c r="S93" s="142">
        <v>0</v>
      </c>
      <c r="T93" s="143">
        <f>S93*H93</f>
        <v>0</v>
      </c>
      <c r="AR93" s="144" t="s">
        <v>158</v>
      </c>
      <c r="AT93" s="144" t="s">
        <v>153</v>
      </c>
      <c r="AU93" s="144" t="s">
        <v>79</v>
      </c>
      <c r="AY93" s="18" t="s">
        <v>151</v>
      </c>
      <c r="BE93" s="145">
        <f>IF(N93="základní",J93,0)</f>
        <v>0</v>
      </c>
      <c r="BF93" s="145">
        <f>IF(N93="snížená",J93,0)</f>
        <v>0</v>
      </c>
      <c r="BG93" s="145">
        <f>IF(N93="zákl. přenesená",J93,0)</f>
        <v>0</v>
      </c>
      <c r="BH93" s="145">
        <f>IF(N93="sníž. přenesená",J93,0)</f>
        <v>0</v>
      </c>
      <c r="BI93" s="145">
        <f>IF(N93="nulová",J93,0)</f>
        <v>0</v>
      </c>
      <c r="BJ93" s="18" t="s">
        <v>77</v>
      </c>
      <c r="BK93" s="145">
        <f>ROUND(I93*H93,2)</f>
        <v>0</v>
      </c>
      <c r="BL93" s="18" t="s">
        <v>158</v>
      </c>
      <c r="BM93" s="144" t="s">
        <v>1234</v>
      </c>
    </row>
    <row r="94" spans="2:65" s="1" customFormat="1" ht="11.25">
      <c r="B94" s="33"/>
      <c r="D94" s="146" t="s">
        <v>160</v>
      </c>
      <c r="F94" s="147" t="s">
        <v>1235</v>
      </c>
      <c r="I94" s="148"/>
      <c r="L94" s="33"/>
      <c r="M94" s="149"/>
      <c r="T94" s="54"/>
      <c r="AT94" s="18" t="s">
        <v>160</v>
      </c>
      <c r="AU94" s="18" t="s">
        <v>79</v>
      </c>
    </row>
    <row r="95" spans="2:65" s="14" customFormat="1" ht="11.25">
      <c r="B95" s="165"/>
      <c r="D95" s="151" t="s">
        <v>162</v>
      </c>
      <c r="E95" s="166" t="s">
        <v>3</v>
      </c>
      <c r="F95" s="167" t="s">
        <v>1236</v>
      </c>
      <c r="H95" s="166" t="s">
        <v>3</v>
      </c>
      <c r="I95" s="168"/>
      <c r="L95" s="165"/>
      <c r="M95" s="169"/>
      <c r="T95" s="170"/>
      <c r="AT95" s="166" t="s">
        <v>162</v>
      </c>
      <c r="AU95" s="166" t="s">
        <v>79</v>
      </c>
      <c r="AV95" s="14" t="s">
        <v>77</v>
      </c>
      <c r="AW95" s="14" t="s">
        <v>30</v>
      </c>
      <c r="AX95" s="14" t="s">
        <v>69</v>
      </c>
      <c r="AY95" s="166" t="s">
        <v>151</v>
      </c>
    </row>
    <row r="96" spans="2:65" s="12" customFormat="1" ht="11.25">
      <c r="B96" s="150"/>
      <c r="D96" s="151" t="s">
        <v>162</v>
      </c>
      <c r="E96" s="152" t="s">
        <v>3</v>
      </c>
      <c r="F96" s="153" t="s">
        <v>79</v>
      </c>
      <c r="H96" s="154">
        <v>2</v>
      </c>
      <c r="I96" s="155"/>
      <c r="L96" s="150"/>
      <c r="M96" s="156"/>
      <c r="T96" s="157"/>
      <c r="AT96" s="152" t="s">
        <v>162</v>
      </c>
      <c r="AU96" s="152" t="s">
        <v>79</v>
      </c>
      <c r="AV96" s="12" t="s">
        <v>79</v>
      </c>
      <c r="AW96" s="12" t="s">
        <v>30</v>
      </c>
      <c r="AX96" s="12" t="s">
        <v>69</v>
      </c>
      <c r="AY96" s="152" t="s">
        <v>151</v>
      </c>
    </row>
    <row r="97" spans="2:65" s="13" customFormat="1" ht="11.25">
      <c r="B97" s="158"/>
      <c r="D97" s="151" t="s">
        <v>162</v>
      </c>
      <c r="E97" s="159" t="s">
        <v>3</v>
      </c>
      <c r="F97" s="160" t="s">
        <v>167</v>
      </c>
      <c r="H97" s="161">
        <v>2</v>
      </c>
      <c r="I97" s="162"/>
      <c r="L97" s="158"/>
      <c r="M97" s="163"/>
      <c r="T97" s="164"/>
      <c r="AT97" s="159" t="s">
        <v>162</v>
      </c>
      <c r="AU97" s="159" t="s">
        <v>79</v>
      </c>
      <c r="AV97" s="13" t="s">
        <v>158</v>
      </c>
      <c r="AW97" s="13" t="s">
        <v>30</v>
      </c>
      <c r="AX97" s="13" t="s">
        <v>77</v>
      </c>
      <c r="AY97" s="159" t="s">
        <v>151</v>
      </c>
    </row>
    <row r="98" spans="2:65" s="1" customFormat="1" ht="16.5" customHeight="1">
      <c r="B98" s="132"/>
      <c r="C98" s="133" t="s">
        <v>79</v>
      </c>
      <c r="D98" s="133" t="s">
        <v>153</v>
      </c>
      <c r="E98" s="134" t="s">
        <v>1237</v>
      </c>
      <c r="F98" s="135" t="s">
        <v>1238</v>
      </c>
      <c r="G98" s="136" t="s">
        <v>676</v>
      </c>
      <c r="H98" s="137">
        <v>2</v>
      </c>
      <c r="I98" s="138"/>
      <c r="J98" s="139">
        <f>ROUND(I98*H98,2)</f>
        <v>0</v>
      </c>
      <c r="K98" s="135" t="s">
        <v>171</v>
      </c>
      <c r="L98" s="33"/>
      <c r="M98" s="140" t="s">
        <v>3</v>
      </c>
      <c r="N98" s="141" t="s">
        <v>40</v>
      </c>
      <c r="P98" s="142">
        <f>O98*H98</f>
        <v>0</v>
      </c>
      <c r="Q98" s="142">
        <v>0</v>
      </c>
      <c r="R98" s="142">
        <f>Q98*H98</f>
        <v>0</v>
      </c>
      <c r="S98" s="142">
        <v>0</v>
      </c>
      <c r="T98" s="143">
        <f>S98*H98</f>
        <v>0</v>
      </c>
      <c r="AR98" s="144" t="s">
        <v>158</v>
      </c>
      <c r="AT98" s="144" t="s">
        <v>153</v>
      </c>
      <c r="AU98" s="144" t="s">
        <v>79</v>
      </c>
      <c r="AY98" s="18" t="s">
        <v>151</v>
      </c>
      <c r="BE98" s="145">
        <f>IF(N98="základní",J98,0)</f>
        <v>0</v>
      </c>
      <c r="BF98" s="145">
        <f>IF(N98="snížená",J98,0)</f>
        <v>0</v>
      </c>
      <c r="BG98" s="145">
        <f>IF(N98="zákl. přenesená",J98,0)</f>
        <v>0</v>
      </c>
      <c r="BH98" s="145">
        <f>IF(N98="sníž. přenesená",J98,0)</f>
        <v>0</v>
      </c>
      <c r="BI98" s="145">
        <f>IF(N98="nulová",J98,0)</f>
        <v>0</v>
      </c>
      <c r="BJ98" s="18" t="s">
        <v>77</v>
      </c>
      <c r="BK98" s="145">
        <f>ROUND(I98*H98,2)</f>
        <v>0</v>
      </c>
      <c r="BL98" s="18" t="s">
        <v>158</v>
      </c>
      <c r="BM98" s="144" t="s">
        <v>1239</v>
      </c>
    </row>
    <row r="99" spans="2:65" s="1" customFormat="1" ht="11.25">
      <c r="B99" s="33"/>
      <c r="D99" s="146" t="s">
        <v>160</v>
      </c>
      <c r="F99" s="147" t="s">
        <v>1240</v>
      </c>
      <c r="I99" s="148"/>
      <c r="L99" s="33"/>
      <c r="M99" s="149"/>
      <c r="T99" s="54"/>
      <c r="AT99" s="18" t="s">
        <v>160</v>
      </c>
      <c r="AU99" s="18" t="s">
        <v>79</v>
      </c>
    </row>
    <row r="100" spans="2:65" s="14" customFormat="1" ht="11.25">
      <c r="B100" s="165"/>
      <c r="D100" s="151" t="s">
        <v>162</v>
      </c>
      <c r="E100" s="166" t="s">
        <v>3</v>
      </c>
      <c r="F100" s="167" t="s">
        <v>1236</v>
      </c>
      <c r="H100" s="166" t="s">
        <v>3</v>
      </c>
      <c r="I100" s="168"/>
      <c r="L100" s="165"/>
      <c r="M100" s="169"/>
      <c r="T100" s="170"/>
      <c r="AT100" s="166" t="s">
        <v>162</v>
      </c>
      <c r="AU100" s="166" t="s">
        <v>79</v>
      </c>
      <c r="AV100" s="14" t="s">
        <v>77</v>
      </c>
      <c r="AW100" s="14" t="s">
        <v>30</v>
      </c>
      <c r="AX100" s="14" t="s">
        <v>69</v>
      </c>
      <c r="AY100" s="166" t="s">
        <v>151</v>
      </c>
    </row>
    <row r="101" spans="2:65" s="12" customFormat="1" ht="11.25">
      <c r="B101" s="150"/>
      <c r="D101" s="151" t="s">
        <v>162</v>
      </c>
      <c r="E101" s="152" t="s">
        <v>3</v>
      </c>
      <c r="F101" s="153" t="s">
        <v>79</v>
      </c>
      <c r="H101" s="154">
        <v>2</v>
      </c>
      <c r="I101" s="155"/>
      <c r="L101" s="150"/>
      <c r="M101" s="156"/>
      <c r="T101" s="157"/>
      <c r="AT101" s="152" t="s">
        <v>162</v>
      </c>
      <c r="AU101" s="152" t="s">
        <v>79</v>
      </c>
      <c r="AV101" s="12" t="s">
        <v>79</v>
      </c>
      <c r="AW101" s="12" t="s">
        <v>30</v>
      </c>
      <c r="AX101" s="12" t="s">
        <v>69</v>
      </c>
      <c r="AY101" s="152" t="s">
        <v>151</v>
      </c>
    </row>
    <row r="102" spans="2:65" s="13" customFormat="1" ht="11.25">
      <c r="B102" s="158"/>
      <c r="D102" s="151" t="s">
        <v>162</v>
      </c>
      <c r="E102" s="159" t="s">
        <v>3</v>
      </c>
      <c r="F102" s="160" t="s">
        <v>167</v>
      </c>
      <c r="H102" s="161">
        <v>2</v>
      </c>
      <c r="I102" s="162"/>
      <c r="L102" s="158"/>
      <c r="M102" s="163"/>
      <c r="T102" s="164"/>
      <c r="AT102" s="159" t="s">
        <v>162</v>
      </c>
      <c r="AU102" s="159" t="s">
        <v>79</v>
      </c>
      <c r="AV102" s="13" t="s">
        <v>158</v>
      </c>
      <c r="AW102" s="13" t="s">
        <v>30</v>
      </c>
      <c r="AX102" s="13" t="s">
        <v>77</v>
      </c>
      <c r="AY102" s="159" t="s">
        <v>151</v>
      </c>
    </row>
    <row r="103" spans="2:65" s="1" customFormat="1" ht="21.75" customHeight="1">
      <c r="B103" s="132"/>
      <c r="C103" s="133" t="s">
        <v>168</v>
      </c>
      <c r="D103" s="133" t="s">
        <v>153</v>
      </c>
      <c r="E103" s="134" t="s">
        <v>1241</v>
      </c>
      <c r="F103" s="135" t="s">
        <v>1242</v>
      </c>
      <c r="G103" s="136" t="s">
        <v>230</v>
      </c>
      <c r="H103" s="137">
        <v>99</v>
      </c>
      <c r="I103" s="138"/>
      <c r="J103" s="139">
        <f>ROUND(I103*H103,2)</f>
        <v>0</v>
      </c>
      <c r="K103" s="135" t="s">
        <v>171</v>
      </c>
      <c r="L103" s="33"/>
      <c r="M103" s="140" t="s">
        <v>3</v>
      </c>
      <c r="N103" s="141" t="s">
        <v>40</v>
      </c>
      <c r="P103" s="142">
        <f>O103*H103</f>
        <v>0</v>
      </c>
      <c r="Q103" s="142">
        <v>0</v>
      </c>
      <c r="R103" s="142">
        <f>Q103*H103</f>
        <v>0</v>
      </c>
      <c r="S103" s="142">
        <v>0.28999999999999998</v>
      </c>
      <c r="T103" s="143">
        <f>S103*H103</f>
        <v>28.709999999999997</v>
      </c>
      <c r="AR103" s="144" t="s">
        <v>158</v>
      </c>
      <c r="AT103" s="144" t="s">
        <v>153</v>
      </c>
      <c r="AU103" s="144" t="s">
        <v>79</v>
      </c>
      <c r="AY103" s="18" t="s">
        <v>151</v>
      </c>
      <c r="BE103" s="145">
        <f>IF(N103="základní",J103,0)</f>
        <v>0</v>
      </c>
      <c r="BF103" s="145">
        <f>IF(N103="snížená",J103,0)</f>
        <v>0</v>
      </c>
      <c r="BG103" s="145">
        <f>IF(N103="zákl. přenesená",J103,0)</f>
        <v>0</v>
      </c>
      <c r="BH103" s="145">
        <f>IF(N103="sníž. přenesená",J103,0)</f>
        <v>0</v>
      </c>
      <c r="BI103" s="145">
        <f>IF(N103="nulová",J103,0)</f>
        <v>0</v>
      </c>
      <c r="BJ103" s="18" t="s">
        <v>77</v>
      </c>
      <c r="BK103" s="145">
        <f>ROUND(I103*H103,2)</f>
        <v>0</v>
      </c>
      <c r="BL103" s="18" t="s">
        <v>158</v>
      </c>
      <c r="BM103" s="144" t="s">
        <v>1243</v>
      </c>
    </row>
    <row r="104" spans="2:65" s="1" customFormat="1" ht="11.25">
      <c r="B104" s="33"/>
      <c r="D104" s="146" t="s">
        <v>160</v>
      </c>
      <c r="F104" s="147" t="s">
        <v>1244</v>
      </c>
      <c r="I104" s="148"/>
      <c r="L104" s="33"/>
      <c r="M104" s="149"/>
      <c r="T104" s="54"/>
      <c r="AT104" s="18" t="s">
        <v>160</v>
      </c>
      <c r="AU104" s="18" t="s">
        <v>79</v>
      </c>
    </row>
    <row r="105" spans="2:65" s="14" customFormat="1" ht="11.25">
      <c r="B105" s="165"/>
      <c r="D105" s="151" t="s">
        <v>162</v>
      </c>
      <c r="E105" s="166" t="s">
        <v>3</v>
      </c>
      <c r="F105" s="167" t="s">
        <v>1245</v>
      </c>
      <c r="H105" s="166" t="s">
        <v>3</v>
      </c>
      <c r="I105" s="168"/>
      <c r="L105" s="165"/>
      <c r="M105" s="169"/>
      <c r="T105" s="170"/>
      <c r="AT105" s="166" t="s">
        <v>162</v>
      </c>
      <c r="AU105" s="166" t="s">
        <v>79</v>
      </c>
      <c r="AV105" s="14" t="s">
        <v>77</v>
      </c>
      <c r="AW105" s="14" t="s">
        <v>30</v>
      </c>
      <c r="AX105" s="14" t="s">
        <v>69</v>
      </c>
      <c r="AY105" s="166" t="s">
        <v>151</v>
      </c>
    </row>
    <row r="106" spans="2:65" s="12" customFormat="1" ht="11.25">
      <c r="B106" s="150"/>
      <c r="D106" s="151" t="s">
        <v>162</v>
      </c>
      <c r="E106" s="152" t="s">
        <v>3</v>
      </c>
      <c r="F106" s="153" t="s">
        <v>445</v>
      </c>
      <c r="H106" s="154">
        <v>99</v>
      </c>
      <c r="I106" s="155"/>
      <c r="L106" s="150"/>
      <c r="M106" s="156"/>
      <c r="T106" s="157"/>
      <c r="AT106" s="152" t="s">
        <v>162</v>
      </c>
      <c r="AU106" s="152" t="s">
        <v>79</v>
      </c>
      <c r="AV106" s="12" t="s">
        <v>79</v>
      </c>
      <c r="AW106" s="12" t="s">
        <v>30</v>
      </c>
      <c r="AX106" s="12" t="s">
        <v>69</v>
      </c>
      <c r="AY106" s="152" t="s">
        <v>151</v>
      </c>
    </row>
    <row r="107" spans="2:65" s="13" customFormat="1" ht="11.25">
      <c r="B107" s="158"/>
      <c r="D107" s="151" t="s">
        <v>162</v>
      </c>
      <c r="E107" s="159" t="s">
        <v>3</v>
      </c>
      <c r="F107" s="160" t="s">
        <v>167</v>
      </c>
      <c r="H107" s="161">
        <v>99</v>
      </c>
      <c r="I107" s="162"/>
      <c r="L107" s="158"/>
      <c r="M107" s="163"/>
      <c r="T107" s="164"/>
      <c r="AT107" s="159" t="s">
        <v>162</v>
      </c>
      <c r="AU107" s="159" t="s">
        <v>79</v>
      </c>
      <c r="AV107" s="13" t="s">
        <v>158</v>
      </c>
      <c r="AW107" s="13" t="s">
        <v>30</v>
      </c>
      <c r="AX107" s="13" t="s">
        <v>77</v>
      </c>
      <c r="AY107" s="159" t="s">
        <v>151</v>
      </c>
    </row>
    <row r="108" spans="2:65" s="1" customFormat="1" ht="21.75" customHeight="1">
      <c r="B108" s="132"/>
      <c r="C108" s="133" t="s">
        <v>158</v>
      </c>
      <c r="D108" s="133" t="s">
        <v>153</v>
      </c>
      <c r="E108" s="134" t="s">
        <v>1246</v>
      </c>
      <c r="F108" s="135" t="s">
        <v>1247</v>
      </c>
      <c r="G108" s="136" t="s">
        <v>230</v>
      </c>
      <c r="H108" s="137">
        <v>99</v>
      </c>
      <c r="I108" s="138"/>
      <c r="J108" s="139">
        <f>ROUND(I108*H108,2)</f>
        <v>0</v>
      </c>
      <c r="K108" s="135" t="s">
        <v>171</v>
      </c>
      <c r="L108" s="33"/>
      <c r="M108" s="140" t="s">
        <v>3</v>
      </c>
      <c r="N108" s="141" t="s">
        <v>40</v>
      </c>
      <c r="P108" s="142">
        <f>O108*H108</f>
        <v>0</v>
      </c>
      <c r="Q108" s="142">
        <v>0</v>
      </c>
      <c r="R108" s="142">
        <f>Q108*H108</f>
        <v>0</v>
      </c>
      <c r="S108" s="142">
        <v>0.32500000000000001</v>
      </c>
      <c r="T108" s="143">
        <f>S108*H108</f>
        <v>32.175000000000004</v>
      </c>
      <c r="AR108" s="144" t="s">
        <v>158</v>
      </c>
      <c r="AT108" s="144" t="s">
        <v>153</v>
      </c>
      <c r="AU108" s="144" t="s">
        <v>79</v>
      </c>
      <c r="AY108" s="18" t="s">
        <v>151</v>
      </c>
      <c r="BE108" s="145">
        <f>IF(N108="základní",J108,0)</f>
        <v>0</v>
      </c>
      <c r="BF108" s="145">
        <f>IF(N108="snížená",J108,0)</f>
        <v>0</v>
      </c>
      <c r="BG108" s="145">
        <f>IF(N108="zákl. přenesená",J108,0)</f>
        <v>0</v>
      </c>
      <c r="BH108" s="145">
        <f>IF(N108="sníž. přenesená",J108,0)</f>
        <v>0</v>
      </c>
      <c r="BI108" s="145">
        <f>IF(N108="nulová",J108,0)</f>
        <v>0</v>
      </c>
      <c r="BJ108" s="18" t="s">
        <v>77</v>
      </c>
      <c r="BK108" s="145">
        <f>ROUND(I108*H108,2)</f>
        <v>0</v>
      </c>
      <c r="BL108" s="18" t="s">
        <v>158</v>
      </c>
      <c r="BM108" s="144" t="s">
        <v>1248</v>
      </c>
    </row>
    <row r="109" spans="2:65" s="1" customFormat="1" ht="11.25">
      <c r="B109" s="33"/>
      <c r="D109" s="146" t="s">
        <v>160</v>
      </c>
      <c r="F109" s="147" t="s">
        <v>1249</v>
      </c>
      <c r="I109" s="148"/>
      <c r="L109" s="33"/>
      <c r="M109" s="149"/>
      <c r="T109" s="54"/>
      <c r="AT109" s="18" t="s">
        <v>160</v>
      </c>
      <c r="AU109" s="18" t="s">
        <v>79</v>
      </c>
    </row>
    <row r="110" spans="2:65" s="14" customFormat="1" ht="11.25">
      <c r="B110" s="165"/>
      <c r="D110" s="151" t="s">
        <v>162</v>
      </c>
      <c r="E110" s="166" t="s">
        <v>3</v>
      </c>
      <c r="F110" s="167" t="s">
        <v>1245</v>
      </c>
      <c r="H110" s="166" t="s">
        <v>3</v>
      </c>
      <c r="I110" s="168"/>
      <c r="L110" s="165"/>
      <c r="M110" s="169"/>
      <c r="T110" s="170"/>
      <c r="AT110" s="166" t="s">
        <v>162</v>
      </c>
      <c r="AU110" s="166" t="s">
        <v>79</v>
      </c>
      <c r="AV110" s="14" t="s">
        <v>77</v>
      </c>
      <c r="AW110" s="14" t="s">
        <v>30</v>
      </c>
      <c r="AX110" s="14" t="s">
        <v>69</v>
      </c>
      <c r="AY110" s="166" t="s">
        <v>151</v>
      </c>
    </row>
    <row r="111" spans="2:65" s="12" customFormat="1" ht="11.25">
      <c r="B111" s="150"/>
      <c r="D111" s="151" t="s">
        <v>162</v>
      </c>
      <c r="E111" s="152" t="s">
        <v>3</v>
      </c>
      <c r="F111" s="153" t="s">
        <v>445</v>
      </c>
      <c r="H111" s="154">
        <v>99</v>
      </c>
      <c r="I111" s="155"/>
      <c r="L111" s="150"/>
      <c r="M111" s="156"/>
      <c r="T111" s="157"/>
      <c r="AT111" s="152" t="s">
        <v>162</v>
      </c>
      <c r="AU111" s="152" t="s">
        <v>79</v>
      </c>
      <c r="AV111" s="12" t="s">
        <v>79</v>
      </c>
      <c r="AW111" s="12" t="s">
        <v>30</v>
      </c>
      <c r="AX111" s="12" t="s">
        <v>69</v>
      </c>
      <c r="AY111" s="152" t="s">
        <v>151</v>
      </c>
    </row>
    <row r="112" spans="2:65" s="13" customFormat="1" ht="11.25">
      <c r="B112" s="158"/>
      <c r="D112" s="151" t="s">
        <v>162</v>
      </c>
      <c r="E112" s="159" t="s">
        <v>3</v>
      </c>
      <c r="F112" s="160" t="s">
        <v>167</v>
      </c>
      <c r="H112" s="161">
        <v>99</v>
      </c>
      <c r="I112" s="162"/>
      <c r="L112" s="158"/>
      <c r="M112" s="163"/>
      <c r="T112" s="164"/>
      <c r="AT112" s="159" t="s">
        <v>162</v>
      </c>
      <c r="AU112" s="159" t="s">
        <v>79</v>
      </c>
      <c r="AV112" s="13" t="s">
        <v>158</v>
      </c>
      <c r="AW112" s="13" t="s">
        <v>30</v>
      </c>
      <c r="AX112" s="13" t="s">
        <v>77</v>
      </c>
      <c r="AY112" s="159" t="s">
        <v>151</v>
      </c>
    </row>
    <row r="113" spans="2:65" s="1" customFormat="1" ht="16.5" customHeight="1">
      <c r="B113" s="132"/>
      <c r="C113" s="133" t="s">
        <v>180</v>
      </c>
      <c r="D113" s="133" t="s">
        <v>153</v>
      </c>
      <c r="E113" s="134" t="s">
        <v>1250</v>
      </c>
      <c r="F113" s="135" t="s">
        <v>1251</v>
      </c>
      <c r="G113" s="136" t="s">
        <v>230</v>
      </c>
      <c r="H113" s="137">
        <v>99</v>
      </c>
      <c r="I113" s="138"/>
      <c r="J113" s="139">
        <f>ROUND(I113*H113,2)</f>
        <v>0</v>
      </c>
      <c r="K113" s="135" t="s">
        <v>171</v>
      </c>
      <c r="L113" s="33"/>
      <c r="M113" s="140" t="s">
        <v>3</v>
      </c>
      <c r="N113" s="141" t="s">
        <v>40</v>
      </c>
      <c r="P113" s="142">
        <f>O113*H113</f>
        <v>0</v>
      </c>
      <c r="Q113" s="142">
        <v>0</v>
      </c>
      <c r="R113" s="142">
        <f>Q113*H113</f>
        <v>0</v>
      </c>
      <c r="S113" s="142">
        <v>0.22</v>
      </c>
      <c r="T113" s="143">
        <f>S113*H113</f>
        <v>21.78</v>
      </c>
      <c r="AR113" s="144" t="s">
        <v>158</v>
      </c>
      <c r="AT113" s="144" t="s">
        <v>153</v>
      </c>
      <c r="AU113" s="144" t="s">
        <v>79</v>
      </c>
      <c r="AY113" s="18" t="s">
        <v>151</v>
      </c>
      <c r="BE113" s="145">
        <f>IF(N113="základní",J113,0)</f>
        <v>0</v>
      </c>
      <c r="BF113" s="145">
        <f>IF(N113="snížená",J113,0)</f>
        <v>0</v>
      </c>
      <c r="BG113" s="145">
        <f>IF(N113="zákl. přenesená",J113,0)</f>
        <v>0</v>
      </c>
      <c r="BH113" s="145">
        <f>IF(N113="sníž. přenesená",J113,0)</f>
        <v>0</v>
      </c>
      <c r="BI113" s="145">
        <f>IF(N113="nulová",J113,0)</f>
        <v>0</v>
      </c>
      <c r="BJ113" s="18" t="s">
        <v>77</v>
      </c>
      <c r="BK113" s="145">
        <f>ROUND(I113*H113,2)</f>
        <v>0</v>
      </c>
      <c r="BL113" s="18" t="s">
        <v>158</v>
      </c>
      <c r="BM113" s="144" t="s">
        <v>1252</v>
      </c>
    </row>
    <row r="114" spans="2:65" s="1" customFormat="1" ht="11.25">
      <c r="B114" s="33"/>
      <c r="D114" s="146" t="s">
        <v>160</v>
      </c>
      <c r="F114" s="147" t="s">
        <v>1253</v>
      </c>
      <c r="I114" s="148"/>
      <c r="L114" s="33"/>
      <c r="M114" s="149"/>
      <c r="T114" s="54"/>
      <c r="AT114" s="18" t="s">
        <v>160</v>
      </c>
      <c r="AU114" s="18" t="s">
        <v>79</v>
      </c>
    </row>
    <row r="115" spans="2:65" s="14" customFormat="1" ht="11.25">
      <c r="B115" s="165"/>
      <c r="D115" s="151" t="s">
        <v>162</v>
      </c>
      <c r="E115" s="166" t="s">
        <v>3</v>
      </c>
      <c r="F115" s="167" t="s">
        <v>1245</v>
      </c>
      <c r="H115" s="166" t="s">
        <v>3</v>
      </c>
      <c r="I115" s="168"/>
      <c r="L115" s="165"/>
      <c r="M115" s="169"/>
      <c r="T115" s="170"/>
      <c r="AT115" s="166" t="s">
        <v>162</v>
      </c>
      <c r="AU115" s="166" t="s">
        <v>79</v>
      </c>
      <c r="AV115" s="14" t="s">
        <v>77</v>
      </c>
      <c r="AW115" s="14" t="s">
        <v>30</v>
      </c>
      <c r="AX115" s="14" t="s">
        <v>69</v>
      </c>
      <c r="AY115" s="166" t="s">
        <v>151</v>
      </c>
    </row>
    <row r="116" spans="2:65" s="12" customFormat="1" ht="11.25">
      <c r="B116" s="150"/>
      <c r="D116" s="151" t="s">
        <v>162</v>
      </c>
      <c r="E116" s="152" t="s">
        <v>3</v>
      </c>
      <c r="F116" s="153" t="s">
        <v>445</v>
      </c>
      <c r="H116" s="154">
        <v>99</v>
      </c>
      <c r="I116" s="155"/>
      <c r="L116" s="150"/>
      <c r="M116" s="156"/>
      <c r="T116" s="157"/>
      <c r="AT116" s="152" t="s">
        <v>162</v>
      </c>
      <c r="AU116" s="152" t="s">
        <v>79</v>
      </c>
      <c r="AV116" s="12" t="s">
        <v>79</v>
      </c>
      <c r="AW116" s="12" t="s">
        <v>30</v>
      </c>
      <c r="AX116" s="12" t="s">
        <v>69</v>
      </c>
      <c r="AY116" s="152" t="s">
        <v>151</v>
      </c>
    </row>
    <row r="117" spans="2:65" s="13" customFormat="1" ht="11.25">
      <c r="B117" s="158"/>
      <c r="D117" s="151" t="s">
        <v>162</v>
      </c>
      <c r="E117" s="159" t="s">
        <v>3</v>
      </c>
      <c r="F117" s="160" t="s">
        <v>167</v>
      </c>
      <c r="H117" s="161">
        <v>99</v>
      </c>
      <c r="I117" s="162"/>
      <c r="L117" s="158"/>
      <c r="M117" s="163"/>
      <c r="T117" s="164"/>
      <c r="AT117" s="159" t="s">
        <v>162</v>
      </c>
      <c r="AU117" s="159" t="s">
        <v>79</v>
      </c>
      <c r="AV117" s="13" t="s">
        <v>158</v>
      </c>
      <c r="AW117" s="13" t="s">
        <v>30</v>
      </c>
      <c r="AX117" s="13" t="s">
        <v>77</v>
      </c>
      <c r="AY117" s="159" t="s">
        <v>151</v>
      </c>
    </row>
    <row r="118" spans="2:65" s="1" customFormat="1" ht="16.5" customHeight="1">
      <c r="B118" s="132"/>
      <c r="C118" s="133" t="s">
        <v>195</v>
      </c>
      <c r="D118" s="133" t="s">
        <v>153</v>
      </c>
      <c r="E118" s="134" t="s">
        <v>1254</v>
      </c>
      <c r="F118" s="135" t="s">
        <v>1255</v>
      </c>
      <c r="G118" s="136" t="s">
        <v>230</v>
      </c>
      <c r="H118" s="137">
        <v>726</v>
      </c>
      <c r="I118" s="138"/>
      <c r="J118" s="139">
        <f>ROUND(I118*H118,2)</f>
        <v>0</v>
      </c>
      <c r="K118" s="135" t="s">
        <v>171</v>
      </c>
      <c r="L118" s="33"/>
      <c r="M118" s="140" t="s">
        <v>3</v>
      </c>
      <c r="N118" s="141" t="s">
        <v>40</v>
      </c>
      <c r="P118" s="142">
        <f>O118*H118</f>
        <v>0</v>
      </c>
      <c r="Q118" s="142">
        <v>0</v>
      </c>
      <c r="R118" s="142">
        <f>Q118*H118</f>
        <v>0</v>
      </c>
      <c r="S118" s="142">
        <v>0.28999999999999998</v>
      </c>
      <c r="T118" s="143">
        <f>S118*H118</f>
        <v>210.54</v>
      </c>
      <c r="AR118" s="144" t="s">
        <v>158</v>
      </c>
      <c r="AT118" s="144" t="s">
        <v>153</v>
      </c>
      <c r="AU118" s="144" t="s">
        <v>79</v>
      </c>
      <c r="AY118" s="18" t="s">
        <v>151</v>
      </c>
      <c r="BE118" s="145">
        <f>IF(N118="základní",J118,0)</f>
        <v>0</v>
      </c>
      <c r="BF118" s="145">
        <f>IF(N118="snížená",J118,0)</f>
        <v>0</v>
      </c>
      <c r="BG118" s="145">
        <f>IF(N118="zákl. přenesená",J118,0)</f>
        <v>0</v>
      </c>
      <c r="BH118" s="145">
        <f>IF(N118="sníž. přenesená",J118,0)</f>
        <v>0</v>
      </c>
      <c r="BI118" s="145">
        <f>IF(N118="nulová",J118,0)</f>
        <v>0</v>
      </c>
      <c r="BJ118" s="18" t="s">
        <v>77</v>
      </c>
      <c r="BK118" s="145">
        <f>ROUND(I118*H118,2)</f>
        <v>0</v>
      </c>
      <c r="BL118" s="18" t="s">
        <v>158</v>
      </c>
      <c r="BM118" s="144" t="s">
        <v>1256</v>
      </c>
    </row>
    <row r="119" spans="2:65" s="1" customFormat="1" ht="11.25">
      <c r="B119" s="33"/>
      <c r="D119" s="146" t="s">
        <v>160</v>
      </c>
      <c r="F119" s="147" t="s">
        <v>1257</v>
      </c>
      <c r="I119" s="148"/>
      <c r="L119" s="33"/>
      <c r="M119" s="149"/>
      <c r="T119" s="54"/>
      <c r="AT119" s="18" t="s">
        <v>160</v>
      </c>
      <c r="AU119" s="18" t="s">
        <v>79</v>
      </c>
    </row>
    <row r="120" spans="2:65" s="14" customFormat="1" ht="11.25">
      <c r="B120" s="165"/>
      <c r="D120" s="151" t="s">
        <v>162</v>
      </c>
      <c r="E120" s="166" t="s">
        <v>3</v>
      </c>
      <c r="F120" s="167" t="s">
        <v>1258</v>
      </c>
      <c r="H120" s="166" t="s">
        <v>3</v>
      </c>
      <c r="I120" s="168"/>
      <c r="L120" s="165"/>
      <c r="M120" s="169"/>
      <c r="T120" s="170"/>
      <c r="AT120" s="166" t="s">
        <v>162</v>
      </c>
      <c r="AU120" s="166" t="s">
        <v>79</v>
      </c>
      <c r="AV120" s="14" t="s">
        <v>77</v>
      </c>
      <c r="AW120" s="14" t="s">
        <v>30</v>
      </c>
      <c r="AX120" s="14" t="s">
        <v>69</v>
      </c>
      <c r="AY120" s="166" t="s">
        <v>151</v>
      </c>
    </row>
    <row r="121" spans="2:65" s="12" customFormat="1" ht="11.25">
      <c r="B121" s="150"/>
      <c r="D121" s="151" t="s">
        <v>162</v>
      </c>
      <c r="E121" s="152" t="s">
        <v>3</v>
      </c>
      <c r="F121" s="153" t="s">
        <v>1259</v>
      </c>
      <c r="H121" s="154">
        <v>726</v>
      </c>
      <c r="I121" s="155"/>
      <c r="L121" s="150"/>
      <c r="M121" s="156"/>
      <c r="T121" s="157"/>
      <c r="AT121" s="152" t="s">
        <v>162</v>
      </c>
      <c r="AU121" s="152" t="s">
        <v>79</v>
      </c>
      <c r="AV121" s="12" t="s">
        <v>79</v>
      </c>
      <c r="AW121" s="12" t="s">
        <v>30</v>
      </c>
      <c r="AX121" s="12" t="s">
        <v>69</v>
      </c>
      <c r="AY121" s="152" t="s">
        <v>151</v>
      </c>
    </row>
    <row r="122" spans="2:65" s="13" customFormat="1" ht="11.25">
      <c r="B122" s="158"/>
      <c r="D122" s="151" t="s">
        <v>162</v>
      </c>
      <c r="E122" s="159" t="s">
        <v>3</v>
      </c>
      <c r="F122" s="160" t="s">
        <v>167</v>
      </c>
      <c r="H122" s="161">
        <v>726</v>
      </c>
      <c r="I122" s="162"/>
      <c r="L122" s="158"/>
      <c r="M122" s="163"/>
      <c r="T122" s="164"/>
      <c r="AT122" s="159" t="s">
        <v>162</v>
      </c>
      <c r="AU122" s="159" t="s">
        <v>79</v>
      </c>
      <c r="AV122" s="13" t="s">
        <v>158</v>
      </c>
      <c r="AW122" s="13" t="s">
        <v>30</v>
      </c>
      <c r="AX122" s="13" t="s">
        <v>77</v>
      </c>
      <c r="AY122" s="159" t="s">
        <v>151</v>
      </c>
    </row>
    <row r="123" spans="2:65" s="1" customFormat="1" ht="16.5" customHeight="1">
      <c r="B123" s="132"/>
      <c r="C123" s="133" t="s">
        <v>203</v>
      </c>
      <c r="D123" s="133" t="s">
        <v>153</v>
      </c>
      <c r="E123" s="134" t="s">
        <v>1260</v>
      </c>
      <c r="F123" s="135" t="s">
        <v>1261</v>
      </c>
      <c r="G123" s="136" t="s">
        <v>230</v>
      </c>
      <c r="H123" s="137">
        <v>726</v>
      </c>
      <c r="I123" s="138"/>
      <c r="J123" s="139">
        <f>ROUND(I123*H123,2)</f>
        <v>0</v>
      </c>
      <c r="K123" s="135" t="s">
        <v>171</v>
      </c>
      <c r="L123" s="33"/>
      <c r="M123" s="140" t="s">
        <v>3</v>
      </c>
      <c r="N123" s="141" t="s">
        <v>40</v>
      </c>
      <c r="P123" s="142">
        <f>O123*H123</f>
        <v>0</v>
      </c>
      <c r="Q123" s="142">
        <v>0</v>
      </c>
      <c r="R123" s="142">
        <f>Q123*H123</f>
        <v>0</v>
      </c>
      <c r="S123" s="142">
        <v>0.625</v>
      </c>
      <c r="T123" s="143">
        <f>S123*H123</f>
        <v>453.75</v>
      </c>
      <c r="AR123" s="144" t="s">
        <v>158</v>
      </c>
      <c r="AT123" s="144" t="s">
        <v>153</v>
      </c>
      <c r="AU123" s="144" t="s">
        <v>79</v>
      </c>
      <c r="AY123" s="18" t="s">
        <v>151</v>
      </c>
      <c r="BE123" s="145">
        <f>IF(N123="základní",J123,0)</f>
        <v>0</v>
      </c>
      <c r="BF123" s="145">
        <f>IF(N123="snížená",J123,0)</f>
        <v>0</v>
      </c>
      <c r="BG123" s="145">
        <f>IF(N123="zákl. přenesená",J123,0)</f>
        <v>0</v>
      </c>
      <c r="BH123" s="145">
        <f>IF(N123="sníž. přenesená",J123,0)</f>
        <v>0</v>
      </c>
      <c r="BI123" s="145">
        <f>IF(N123="nulová",J123,0)</f>
        <v>0</v>
      </c>
      <c r="BJ123" s="18" t="s">
        <v>77</v>
      </c>
      <c r="BK123" s="145">
        <f>ROUND(I123*H123,2)</f>
        <v>0</v>
      </c>
      <c r="BL123" s="18" t="s">
        <v>158</v>
      </c>
      <c r="BM123" s="144" t="s">
        <v>1262</v>
      </c>
    </row>
    <row r="124" spans="2:65" s="1" customFormat="1" ht="11.25">
      <c r="B124" s="33"/>
      <c r="D124" s="146" t="s">
        <v>160</v>
      </c>
      <c r="F124" s="147" t="s">
        <v>1263</v>
      </c>
      <c r="I124" s="148"/>
      <c r="L124" s="33"/>
      <c r="M124" s="149"/>
      <c r="T124" s="54"/>
      <c r="AT124" s="18" t="s">
        <v>160</v>
      </c>
      <c r="AU124" s="18" t="s">
        <v>79</v>
      </c>
    </row>
    <row r="125" spans="2:65" s="14" customFormat="1" ht="11.25">
      <c r="B125" s="165"/>
      <c r="D125" s="151" t="s">
        <v>162</v>
      </c>
      <c r="E125" s="166" t="s">
        <v>3</v>
      </c>
      <c r="F125" s="167" t="s">
        <v>1258</v>
      </c>
      <c r="H125" s="166" t="s">
        <v>3</v>
      </c>
      <c r="I125" s="168"/>
      <c r="L125" s="165"/>
      <c r="M125" s="169"/>
      <c r="T125" s="170"/>
      <c r="AT125" s="166" t="s">
        <v>162</v>
      </c>
      <c r="AU125" s="166" t="s">
        <v>79</v>
      </c>
      <c r="AV125" s="14" t="s">
        <v>77</v>
      </c>
      <c r="AW125" s="14" t="s">
        <v>30</v>
      </c>
      <c r="AX125" s="14" t="s">
        <v>69</v>
      </c>
      <c r="AY125" s="166" t="s">
        <v>151</v>
      </c>
    </row>
    <row r="126" spans="2:65" s="12" customFormat="1" ht="11.25">
      <c r="B126" s="150"/>
      <c r="D126" s="151" t="s">
        <v>162</v>
      </c>
      <c r="E126" s="152" t="s">
        <v>3</v>
      </c>
      <c r="F126" s="153" t="s">
        <v>1259</v>
      </c>
      <c r="H126" s="154">
        <v>726</v>
      </c>
      <c r="I126" s="155"/>
      <c r="L126" s="150"/>
      <c r="M126" s="156"/>
      <c r="T126" s="157"/>
      <c r="AT126" s="152" t="s">
        <v>162</v>
      </c>
      <c r="AU126" s="152" t="s">
        <v>79</v>
      </c>
      <c r="AV126" s="12" t="s">
        <v>79</v>
      </c>
      <c r="AW126" s="12" t="s">
        <v>30</v>
      </c>
      <c r="AX126" s="12" t="s">
        <v>69</v>
      </c>
      <c r="AY126" s="152" t="s">
        <v>151</v>
      </c>
    </row>
    <row r="127" spans="2:65" s="13" customFormat="1" ht="11.25">
      <c r="B127" s="158"/>
      <c r="D127" s="151" t="s">
        <v>162</v>
      </c>
      <c r="E127" s="159" t="s">
        <v>3</v>
      </c>
      <c r="F127" s="160" t="s">
        <v>167</v>
      </c>
      <c r="H127" s="161">
        <v>726</v>
      </c>
      <c r="I127" s="162"/>
      <c r="L127" s="158"/>
      <c r="M127" s="163"/>
      <c r="T127" s="164"/>
      <c r="AT127" s="159" t="s">
        <v>162</v>
      </c>
      <c r="AU127" s="159" t="s">
        <v>79</v>
      </c>
      <c r="AV127" s="13" t="s">
        <v>158</v>
      </c>
      <c r="AW127" s="13" t="s">
        <v>30</v>
      </c>
      <c r="AX127" s="13" t="s">
        <v>77</v>
      </c>
      <c r="AY127" s="159" t="s">
        <v>151</v>
      </c>
    </row>
    <row r="128" spans="2:65" s="1" customFormat="1" ht="16.5" customHeight="1">
      <c r="B128" s="132"/>
      <c r="C128" s="133" t="s">
        <v>214</v>
      </c>
      <c r="D128" s="133" t="s">
        <v>153</v>
      </c>
      <c r="E128" s="134" t="s">
        <v>1264</v>
      </c>
      <c r="F128" s="135" t="s">
        <v>1265</v>
      </c>
      <c r="G128" s="136" t="s">
        <v>198</v>
      </c>
      <c r="H128" s="137">
        <v>138</v>
      </c>
      <c r="I128" s="138"/>
      <c r="J128" s="139">
        <f>ROUND(I128*H128,2)</f>
        <v>0</v>
      </c>
      <c r="K128" s="135" t="s">
        <v>171</v>
      </c>
      <c r="L128" s="33"/>
      <c r="M128" s="140" t="s">
        <v>3</v>
      </c>
      <c r="N128" s="141" t="s">
        <v>40</v>
      </c>
      <c r="P128" s="142">
        <f>O128*H128</f>
        <v>0</v>
      </c>
      <c r="Q128" s="142">
        <v>0</v>
      </c>
      <c r="R128" s="142">
        <f>Q128*H128</f>
        <v>0</v>
      </c>
      <c r="S128" s="142">
        <v>0.20499999999999999</v>
      </c>
      <c r="T128" s="143">
        <f>S128*H128</f>
        <v>28.29</v>
      </c>
      <c r="AR128" s="144" t="s">
        <v>158</v>
      </c>
      <c r="AT128" s="144" t="s">
        <v>153</v>
      </c>
      <c r="AU128" s="144" t="s">
        <v>79</v>
      </c>
      <c r="AY128" s="18" t="s">
        <v>151</v>
      </c>
      <c r="BE128" s="145">
        <f>IF(N128="základní",J128,0)</f>
        <v>0</v>
      </c>
      <c r="BF128" s="145">
        <f>IF(N128="snížená",J128,0)</f>
        <v>0</v>
      </c>
      <c r="BG128" s="145">
        <f>IF(N128="zákl. přenesená",J128,0)</f>
        <v>0</v>
      </c>
      <c r="BH128" s="145">
        <f>IF(N128="sníž. přenesená",J128,0)</f>
        <v>0</v>
      </c>
      <c r="BI128" s="145">
        <f>IF(N128="nulová",J128,0)</f>
        <v>0</v>
      </c>
      <c r="BJ128" s="18" t="s">
        <v>77</v>
      </c>
      <c r="BK128" s="145">
        <f>ROUND(I128*H128,2)</f>
        <v>0</v>
      </c>
      <c r="BL128" s="18" t="s">
        <v>158</v>
      </c>
      <c r="BM128" s="144" t="s">
        <v>1266</v>
      </c>
    </row>
    <row r="129" spans="2:65" s="1" customFormat="1" ht="11.25">
      <c r="B129" s="33"/>
      <c r="D129" s="146" t="s">
        <v>160</v>
      </c>
      <c r="F129" s="147" t="s">
        <v>1267</v>
      </c>
      <c r="I129" s="148"/>
      <c r="L129" s="33"/>
      <c r="M129" s="149"/>
      <c r="T129" s="54"/>
      <c r="AT129" s="18" t="s">
        <v>160</v>
      </c>
      <c r="AU129" s="18" t="s">
        <v>79</v>
      </c>
    </row>
    <row r="130" spans="2:65" s="14" customFormat="1" ht="11.25">
      <c r="B130" s="165"/>
      <c r="D130" s="151" t="s">
        <v>162</v>
      </c>
      <c r="E130" s="166" t="s">
        <v>3</v>
      </c>
      <c r="F130" s="167" t="s">
        <v>1268</v>
      </c>
      <c r="H130" s="166" t="s">
        <v>3</v>
      </c>
      <c r="I130" s="168"/>
      <c r="L130" s="165"/>
      <c r="M130" s="169"/>
      <c r="T130" s="170"/>
      <c r="AT130" s="166" t="s">
        <v>162</v>
      </c>
      <c r="AU130" s="166" t="s">
        <v>79</v>
      </c>
      <c r="AV130" s="14" t="s">
        <v>77</v>
      </c>
      <c r="AW130" s="14" t="s">
        <v>30</v>
      </c>
      <c r="AX130" s="14" t="s">
        <v>69</v>
      </c>
      <c r="AY130" s="166" t="s">
        <v>151</v>
      </c>
    </row>
    <row r="131" spans="2:65" s="12" customFormat="1" ht="11.25">
      <c r="B131" s="150"/>
      <c r="D131" s="151" t="s">
        <v>162</v>
      </c>
      <c r="E131" s="152" t="s">
        <v>3</v>
      </c>
      <c r="F131" s="153" t="s">
        <v>1269</v>
      </c>
      <c r="H131" s="154">
        <v>138</v>
      </c>
      <c r="I131" s="155"/>
      <c r="L131" s="150"/>
      <c r="M131" s="156"/>
      <c r="T131" s="157"/>
      <c r="AT131" s="152" t="s">
        <v>162</v>
      </c>
      <c r="AU131" s="152" t="s">
        <v>79</v>
      </c>
      <c r="AV131" s="12" t="s">
        <v>79</v>
      </c>
      <c r="AW131" s="12" t="s">
        <v>30</v>
      </c>
      <c r="AX131" s="12" t="s">
        <v>69</v>
      </c>
      <c r="AY131" s="152" t="s">
        <v>151</v>
      </c>
    </row>
    <row r="132" spans="2:65" s="13" customFormat="1" ht="11.25">
      <c r="B132" s="158"/>
      <c r="D132" s="151" t="s">
        <v>162</v>
      </c>
      <c r="E132" s="159" t="s">
        <v>3</v>
      </c>
      <c r="F132" s="160" t="s">
        <v>167</v>
      </c>
      <c r="H132" s="161">
        <v>138</v>
      </c>
      <c r="I132" s="162"/>
      <c r="L132" s="158"/>
      <c r="M132" s="163"/>
      <c r="T132" s="164"/>
      <c r="AT132" s="159" t="s">
        <v>162</v>
      </c>
      <c r="AU132" s="159" t="s">
        <v>79</v>
      </c>
      <c r="AV132" s="13" t="s">
        <v>158</v>
      </c>
      <c r="AW132" s="13" t="s">
        <v>30</v>
      </c>
      <c r="AX132" s="13" t="s">
        <v>77</v>
      </c>
      <c r="AY132" s="159" t="s">
        <v>151</v>
      </c>
    </row>
    <row r="133" spans="2:65" s="1" customFormat="1" ht="16.5" customHeight="1">
      <c r="B133" s="132"/>
      <c r="C133" s="133" t="s">
        <v>227</v>
      </c>
      <c r="D133" s="133" t="s">
        <v>153</v>
      </c>
      <c r="E133" s="134" t="s">
        <v>1270</v>
      </c>
      <c r="F133" s="135" t="s">
        <v>1271</v>
      </c>
      <c r="G133" s="136" t="s">
        <v>230</v>
      </c>
      <c r="H133" s="137">
        <v>473</v>
      </c>
      <c r="I133" s="138"/>
      <c r="J133" s="139">
        <f>ROUND(I133*H133,2)</f>
        <v>0</v>
      </c>
      <c r="K133" s="135" t="s">
        <v>171</v>
      </c>
      <c r="L133" s="33"/>
      <c r="M133" s="140" t="s">
        <v>3</v>
      </c>
      <c r="N133" s="141" t="s">
        <v>40</v>
      </c>
      <c r="P133" s="142">
        <f>O133*H133</f>
        <v>0</v>
      </c>
      <c r="Q133" s="142">
        <v>0</v>
      </c>
      <c r="R133" s="142">
        <f>Q133*H133</f>
        <v>0</v>
      </c>
      <c r="S133" s="142">
        <v>0</v>
      </c>
      <c r="T133" s="143">
        <f>S133*H133</f>
        <v>0</v>
      </c>
      <c r="AR133" s="144" t="s">
        <v>158</v>
      </c>
      <c r="AT133" s="144" t="s">
        <v>153</v>
      </c>
      <c r="AU133" s="144" t="s">
        <v>79</v>
      </c>
      <c r="AY133" s="18" t="s">
        <v>151</v>
      </c>
      <c r="BE133" s="145">
        <f>IF(N133="základní",J133,0)</f>
        <v>0</v>
      </c>
      <c r="BF133" s="145">
        <f>IF(N133="snížená",J133,0)</f>
        <v>0</v>
      </c>
      <c r="BG133" s="145">
        <f>IF(N133="zákl. přenesená",J133,0)</f>
        <v>0</v>
      </c>
      <c r="BH133" s="145">
        <f>IF(N133="sníž. přenesená",J133,0)</f>
        <v>0</v>
      </c>
      <c r="BI133" s="145">
        <f>IF(N133="nulová",J133,0)</f>
        <v>0</v>
      </c>
      <c r="BJ133" s="18" t="s">
        <v>77</v>
      </c>
      <c r="BK133" s="145">
        <f>ROUND(I133*H133,2)</f>
        <v>0</v>
      </c>
      <c r="BL133" s="18" t="s">
        <v>158</v>
      </c>
      <c r="BM133" s="144" t="s">
        <v>1272</v>
      </c>
    </row>
    <row r="134" spans="2:65" s="1" customFormat="1" ht="11.25">
      <c r="B134" s="33"/>
      <c r="D134" s="146" t="s">
        <v>160</v>
      </c>
      <c r="F134" s="147" t="s">
        <v>1273</v>
      </c>
      <c r="I134" s="148"/>
      <c r="L134" s="33"/>
      <c r="M134" s="149"/>
      <c r="T134" s="54"/>
      <c r="AT134" s="18" t="s">
        <v>160</v>
      </c>
      <c r="AU134" s="18" t="s">
        <v>79</v>
      </c>
    </row>
    <row r="135" spans="2:65" s="14" customFormat="1" ht="11.25">
      <c r="B135" s="165"/>
      <c r="D135" s="151" t="s">
        <v>162</v>
      </c>
      <c r="E135" s="166" t="s">
        <v>3</v>
      </c>
      <c r="F135" s="167" t="s">
        <v>1274</v>
      </c>
      <c r="H135" s="166" t="s">
        <v>3</v>
      </c>
      <c r="I135" s="168"/>
      <c r="L135" s="165"/>
      <c r="M135" s="169"/>
      <c r="T135" s="170"/>
      <c r="AT135" s="166" t="s">
        <v>162</v>
      </c>
      <c r="AU135" s="166" t="s">
        <v>79</v>
      </c>
      <c r="AV135" s="14" t="s">
        <v>77</v>
      </c>
      <c r="AW135" s="14" t="s">
        <v>30</v>
      </c>
      <c r="AX135" s="14" t="s">
        <v>69</v>
      </c>
      <c r="AY135" s="166" t="s">
        <v>151</v>
      </c>
    </row>
    <row r="136" spans="2:65" s="12" customFormat="1" ht="11.25">
      <c r="B136" s="150"/>
      <c r="D136" s="151" t="s">
        <v>162</v>
      </c>
      <c r="E136" s="152" t="s">
        <v>3</v>
      </c>
      <c r="F136" s="153" t="s">
        <v>1275</v>
      </c>
      <c r="H136" s="154">
        <v>473</v>
      </c>
      <c r="I136" s="155"/>
      <c r="L136" s="150"/>
      <c r="M136" s="156"/>
      <c r="T136" s="157"/>
      <c r="AT136" s="152" t="s">
        <v>162</v>
      </c>
      <c r="AU136" s="152" t="s">
        <v>79</v>
      </c>
      <c r="AV136" s="12" t="s">
        <v>79</v>
      </c>
      <c r="AW136" s="12" t="s">
        <v>30</v>
      </c>
      <c r="AX136" s="12" t="s">
        <v>69</v>
      </c>
      <c r="AY136" s="152" t="s">
        <v>151</v>
      </c>
    </row>
    <row r="137" spans="2:65" s="13" customFormat="1" ht="11.25">
      <c r="B137" s="158"/>
      <c r="D137" s="151" t="s">
        <v>162</v>
      </c>
      <c r="E137" s="159" t="s">
        <v>3</v>
      </c>
      <c r="F137" s="160" t="s">
        <v>167</v>
      </c>
      <c r="H137" s="161">
        <v>473</v>
      </c>
      <c r="I137" s="162"/>
      <c r="L137" s="158"/>
      <c r="M137" s="163"/>
      <c r="T137" s="164"/>
      <c r="AT137" s="159" t="s">
        <v>162</v>
      </c>
      <c r="AU137" s="159" t="s">
        <v>79</v>
      </c>
      <c r="AV137" s="13" t="s">
        <v>158</v>
      </c>
      <c r="AW137" s="13" t="s">
        <v>30</v>
      </c>
      <c r="AX137" s="13" t="s">
        <v>77</v>
      </c>
      <c r="AY137" s="159" t="s">
        <v>151</v>
      </c>
    </row>
    <row r="138" spans="2:65" s="1" customFormat="1" ht="16.5" customHeight="1">
      <c r="B138" s="132"/>
      <c r="C138" s="133" t="s">
        <v>235</v>
      </c>
      <c r="D138" s="133" t="s">
        <v>153</v>
      </c>
      <c r="E138" s="134" t="s">
        <v>1276</v>
      </c>
      <c r="F138" s="135" t="s">
        <v>1277</v>
      </c>
      <c r="G138" s="136" t="s">
        <v>676</v>
      </c>
      <c r="H138" s="137">
        <v>2</v>
      </c>
      <c r="I138" s="138"/>
      <c r="J138" s="139">
        <f>ROUND(I138*H138,2)</f>
        <v>0</v>
      </c>
      <c r="K138" s="135" t="s">
        <v>171</v>
      </c>
      <c r="L138" s="33"/>
      <c r="M138" s="140" t="s">
        <v>3</v>
      </c>
      <c r="N138" s="141" t="s">
        <v>40</v>
      </c>
      <c r="P138" s="142">
        <f>O138*H138</f>
        <v>0</v>
      </c>
      <c r="Q138" s="142">
        <v>0</v>
      </c>
      <c r="R138" s="142">
        <f>Q138*H138</f>
        <v>0</v>
      </c>
      <c r="S138" s="142">
        <v>0</v>
      </c>
      <c r="T138" s="143">
        <f>S138*H138</f>
        <v>0</v>
      </c>
      <c r="AR138" s="144" t="s">
        <v>158</v>
      </c>
      <c r="AT138" s="144" t="s">
        <v>153</v>
      </c>
      <c r="AU138" s="144" t="s">
        <v>79</v>
      </c>
      <c r="AY138" s="18" t="s">
        <v>151</v>
      </c>
      <c r="BE138" s="145">
        <f>IF(N138="základní",J138,0)</f>
        <v>0</v>
      </c>
      <c r="BF138" s="145">
        <f>IF(N138="snížená",J138,0)</f>
        <v>0</v>
      </c>
      <c r="BG138" s="145">
        <f>IF(N138="zákl. přenesená",J138,0)</f>
        <v>0</v>
      </c>
      <c r="BH138" s="145">
        <f>IF(N138="sníž. přenesená",J138,0)</f>
        <v>0</v>
      </c>
      <c r="BI138" s="145">
        <f>IF(N138="nulová",J138,0)</f>
        <v>0</v>
      </c>
      <c r="BJ138" s="18" t="s">
        <v>77</v>
      </c>
      <c r="BK138" s="145">
        <f>ROUND(I138*H138,2)</f>
        <v>0</v>
      </c>
      <c r="BL138" s="18" t="s">
        <v>158</v>
      </c>
      <c r="BM138" s="144" t="s">
        <v>1278</v>
      </c>
    </row>
    <row r="139" spans="2:65" s="1" customFormat="1" ht="11.25">
      <c r="B139" s="33"/>
      <c r="D139" s="146" t="s">
        <v>160</v>
      </c>
      <c r="F139" s="147" t="s">
        <v>1279</v>
      </c>
      <c r="I139" s="148"/>
      <c r="L139" s="33"/>
      <c r="M139" s="149"/>
      <c r="T139" s="54"/>
      <c r="AT139" s="18" t="s">
        <v>160</v>
      </c>
      <c r="AU139" s="18" t="s">
        <v>79</v>
      </c>
    </row>
    <row r="140" spans="2:65" s="14" customFormat="1" ht="11.25">
      <c r="B140" s="165"/>
      <c r="D140" s="151" t="s">
        <v>162</v>
      </c>
      <c r="E140" s="166" t="s">
        <v>3</v>
      </c>
      <c r="F140" s="167" t="s">
        <v>1280</v>
      </c>
      <c r="H140" s="166" t="s">
        <v>3</v>
      </c>
      <c r="I140" s="168"/>
      <c r="L140" s="165"/>
      <c r="M140" s="169"/>
      <c r="T140" s="170"/>
      <c r="AT140" s="166" t="s">
        <v>162</v>
      </c>
      <c r="AU140" s="166" t="s">
        <v>79</v>
      </c>
      <c r="AV140" s="14" t="s">
        <v>77</v>
      </c>
      <c r="AW140" s="14" t="s">
        <v>30</v>
      </c>
      <c r="AX140" s="14" t="s">
        <v>69</v>
      </c>
      <c r="AY140" s="166" t="s">
        <v>151</v>
      </c>
    </row>
    <row r="141" spans="2:65" s="12" customFormat="1" ht="11.25">
      <c r="B141" s="150"/>
      <c r="D141" s="151" t="s">
        <v>162</v>
      </c>
      <c r="E141" s="152" t="s">
        <v>3</v>
      </c>
      <c r="F141" s="153" t="s">
        <v>79</v>
      </c>
      <c r="H141" s="154">
        <v>2</v>
      </c>
      <c r="I141" s="155"/>
      <c r="L141" s="150"/>
      <c r="M141" s="156"/>
      <c r="T141" s="157"/>
      <c r="AT141" s="152" t="s">
        <v>162</v>
      </c>
      <c r="AU141" s="152" t="s">
        <v>79</v>
      </c>
      <c r="AV141" s="12" t="s">
        <v>79</v>
      </c>
      <c r="AW141" s="12" t="s">
        <v>30</v>
      </c>
      <c r="AX141" s="12" t="s">
        <v>69</v>
      </c>
      <c r="AY141" s="152" t="s">
        <v>151</v>
      </c>
    </row>
    <row r="142" spans="2:65" s="13" customFormat="1" ht="11.25">
      <c r="B142" s="158"/>
      <c r="D142" s="151" t="s">
        <v>162</v>
      </c>
      <c r="E142" s="159" t="s">
        <v>3</v>
      </c>
      <c r="F142" s="160" t="s">
        <v>167</v>
      </c>
      <c r="H142" s="161">
        <v>2</v>
      </c>
      <c r="I142" s="162"/>
      <c r="L142" s="158"/>
      <c r="M142" s="163"/>
      <c r="T142" s="164"/>
      <c r="AT142" s="159" t="s">
        <v>162</v>
      </c>
      <c r="AU142" s="159" t="s">
        <v>79</v>
      </c>
      <c r="AV142" s="13" t="s">
        <v>158</v>
      </c>
      <c r="AW142" s="13" t="s">
        <v>30</v>
      </c>
      <c r="AX142" s="13" t="s">
        <v>77</v>
      </c>
      <c r="AY142" s="159" t="s">
        <v>151</v>
      </c>
    </row>
    <row r="143" spans="2:65" s="1" customFormat="1" ht="16.5" customHeight="1">
      <c r="B143" s="132"/>
      <c r="C143" s="133" t="s">
        <v>240</v>
      </c>
      <c r="D143" s="133" t="s">
        <v>153</v>
      </c>
      <c r="E143" s="134" t="s">
        <v>1281</v>
      </c>
      <c r="F143" s="135" t="s">
        <v>1282</v>
      </c>
      <c r="G143" s="136" t="s">
        <v>676</v>
      </c>
      <c r="H143" s="137">
        <v>2</v>
      </c>
      <c r="I143" s="138"/>
      <c r="J143" s="139">
        <f>ROUND(I143*H143,2)</f>
        <v>0</v>
      </c>
      <c r="K143" s="135" t="s">
        <v>171</v>
      </c>
      <c r="L143" s="33"/>
      <c r="M143" s="140" t="s">
        <v>3</v>
      </c>
      <c r="N143" s="141" t="s">
        <v>40</v>
      </c>
      <c r="P143" s="142">
        <f>O143*H143</f>
        <v>0</v>
      </c>
      <c r="Q143" s="142">
        <v>0</v>
      </c>
      <c r="R143" s="142">
        <f>Q143*H143</f>
        <v>0</v>
      </c>
      <c r="S143" s="142">
        <v>0</v>
      </c>
      <c r="T143" s="143">
        <f>S143*H143</f>
        <v>0</v>
      </c>
      <c r="AR143" s="144" t="s">
        <v>158</v>
      </c>
      <c r="AT143" s="144" t="s">
        <v>153</v>
      </c>
      <c r="AU143" s="144" t="s">
        <v>79</v>
      </c>
      <c r="AY143" s="18" t="s">
        <v>151</v>
      </c>
      <c r="BE143" s="145">
        <f>IF(N143="základní",J143,0)</f>
        <v>0</v>
      </c>
      <c r="BF143" s="145">
        <f>IF(N143="snížená",J143,0)</f>
        <v>0</v>
      </c>
      <c r="BG143" s="145">
        <f>IF(N143="zákl. přenesená",J143,0)</f>
        <v>0</v>
      </c>
      <c r="BH143" s="145">
        <f>IF(N143="sníž. přenesená",J143,0)</f>
        <v>0</v>
      </c>
      <c r="BI143" s="145">
        <f>IF(N143="nulová",J143,0)</f>
        <v>0</v>
      </c>
      <c r="BJ143" s="18" t="s">
        <v>77</v>
      </c>
      <c r="BK143" s="145">
        <f>ROUND(I143*H143,2)</f>
        <v>0</v>
      </c>
      <c r="BL143" s="18" t="s">
        <v>158</v>
      </c>
      <c r="BM143" s="144" t="s">
        <v>1283</v>
      </c>
    </row>
    <row r="144" spans="2:65" s="1" customFormat="1" ht="11.25">
      <c r="B144" s="33"/>
      <c r="D144" s="146" t="s">
        <v>160</v>
      </c>
      <c r="F144" s="147" t="s">
        <v>1284</v>
      </c>
      <c r="I144" s="148"/>
      <c r="L144" s="33"/>
      <c r="M144" s="149"/>
      <c r="T144" s="54"/>
      <c r="AT144" s="18" t="s">
        <v>160</v>
      </c>
      <c r="AU144" s="18" t="s">
        <v>79</v>
      </c>
    </row>
    <row r="145" spans="2:65" s="14" customFormat="1" ht="11.25">
      <c r="B145" s="165"/>
      <c r="D145" s="151" t="s">
        <v>162</v>
      </c>
      <c r="E145" s="166" t="s">
        <v>3</v>
      </c>
      <c r="F145" s="167" t="s">
        <v>1280</v>
      </c>
      <c r="H145" s="166" t="s">
        <v>3</v>
      </c>
      <c r="I145" s="168"/>
      <c r="L145" s="165"/>
      <c r="M145" s="169"/>
      <c r="T145" s="170"/>
      <c r="AT145" s="166" t="s">
        <v>162</v>
      </c>
      <c r="AU145" s="166" t="s">
        <v>79</v>
      </c>
      <c r="AV145" s="14" t="s">
        <v>77</v>
      </c>
      <c r="AW145" s="14" t="s">
        <v>30</v>
      </c>
      <c r="AX145" s="14" t="s">
        <v>69</v>
      </c>
      <c r="AY145" s="166" t="s">
        <v>151</v>
      </c>
    </row>
    <row r="146" spans="2:65" s="12" customFormat="1" ht="11.25">
      <c r="B146" s="150"/>
      <c r="D146" s="151" t="s">
        <v>162</v>
      </c>
      <c r="E146" s="152" t="s">
        <v>3</v>
      </c>
      <c r="F146" s="153" t="s">
        <v>79</v>
      </c>
      <c r="H146" s="154">
        <v>2</v>
      </c>
      <c r="I146" s="155"/>
      <c r="L146" s="150"/>
      <c r="M146" s="156"/>
      <c r="T146" s="157"/>
      <c r="AT146" s="152" t="s">
        <v>162</v>
      </c>
      <c r="AU146" s="152" t="s">
        <v>79</v>
      </c>
      <c r="AV146" s="12" t="s">
        <v>79</v>
      </c>
      <c r="AW146" s="12" t="s">
        <v>30</v>
      </c>
      <c r="AX146" s="12" t="s">
        <v>69</v>
      </c>
      <c r="AY146" s="152" t="s">
        <v>151</v>
      </c>
    </row>
    <row r="147" spans="2:65" s="13" customFormat="1" ht="11.25">
      <c r="B147" s="158"/>
      <c r="D147" s="151" t="s">
        <v>162</v>
      </c>
      <c r="E147" s="159" t="s">
        <v>3</v>
      </c>
      <c r="F147" s="160" t="s">
        <v>167</v>
      </c>
      <c r="H147" s="161">
        <v>2</v>
      </c>
      <c r="I147" s="162"/>
      <c r="L147" s="158"/>
      <c r="M147" s="163"/>
      <c r="T147" s="164"/>
      <c r="AT147" s="159" t="s">
        <v>162</v>
      </c>
      <c r="AU147" s="159" t="s">
        <v>79</v>
      </c>
      <c r="AV147" s="13" t="s">
        <v>158</v>
      </c>
      <c r="AW147" s="13" t="s">
        <v>30</v>
      </c>
      <c r="AX147" s="13" t="s">
        <v>77</v>
      </c>
      <c r="AY147" s="159" t="s">
        <v>151</v>
      </c>
    </row>
    <row r="148" spans="2:65" s="1" customFormat="1" ht="16.5" customHeight="1">
      <c r="B148" s="132"/>
      <c r="C148" s="133" t="s">
        <v>246</v>
      </c>
      <c r="D148" s="133" t="s">
        <v>153</v>
      </c>
      <c r="E148" s="134" t="s">
        <v>1285</v>
      </c>
      <c r="F148" s="135" t="s">
        <v>1286</v>
      </c>
      <c r="G148" s="136" t="s">
        <v>676</v>
      </c>
      <c r="H148" s="137">
        <v>2</v>
      </c>
      <c r="I148" s="138"/>
      <c r="J148" s="139">
        <f>ROUND(I148*H148,2)</f>
        <v>0</v>
      </c>
      <c r="K148" s="135" t="s">
        <v>171</v>
      </c>
      <c r="L148" s="33"/>
      <c r="M148" s="140" t="s">
        <v>3</v>
      </c>
      <c r="N148" s="141" t="s">
        <v>40</v>
      </c>
      <c r="P148" s="142">
        <f>O148*H148</f>
        <v>0</v>
      </c>
      <c r="Q148" s="142">
        <v>0</v>
      </c>
      <c r="R148" s="142">
        <f>Q148*H148</f>
        <v>0</v>
      </c>
      <c r="S148" s="142">
        <v>0</v>
      </c>
      <c r="T148" s="143">
        <f>S148*H148</f>
        <v>0</v>
      </c>
      <c r="AR148" s="144" t="s">
        <v>158</v>
      </c>
      <c r="AT148" s="144" t="s">
        <v>153</v>
      </c>
      <c r="AU148" s="144" t="s">
        <v>79</v>
      </c>
      <c r="AY148" s="18" t="s">
        <v>151</v>
      </c>
      <c r="BE148" s="145">
        <f>IF(N148="základní",J148,0)</f>
        <v>0</v>
      </c>
      <c r="BF148" s="145">
        <f>IF(N148="snížená",J148,0)</f>
        <v>0</v>
      </c>
      <c r="BG148" s="145">
        <f>IF(N148="zákl. přenesená",J148,0)</f>
        <v>0</v>
      </c>
      <c r="BH148" s="145">
        <f>IF(N148="sníž. přenesená",J148,0)</f>
        <v>0</v>
      </c>
      <c r="BI148" s="145">
        <f>IF(N148="nulová",J148,0)</f>
        <v>0</v>
      </c>
      <c r="BJ148" s="18" t="s">
        <v>77</v>
      </c>
      <c r="BK148" s="145">
        <f>ROUND(I148*H148,2)</f>
        <v>0</v>
      </c>
      <c r="BL148" s="18" t="s">
        <v>158</v>
      </c>
      <c r="BM148" s="144" t="s">
        <v>1287</v>
      </c>
    </row>
    <row r="149" spans="2:65" s="1" customFormat="1" ht="11.25">
      <c r="B149" s="33"/>
      <c r="D149" s="146" t="s">
        <v>160</v>
      </c>
      <c r="F149" s="147" t="s">
        <v>1288</v>
      </c>
      <c r="I149" s="148"/>
      <c r="L149" s="33"/>
      <c r="M149" s="149"/>
      <c r="T149" s="54"/>
      <c r="AT149" s="18" t="s">
        <v>160</v>
      </c>
      <c r="AU149" s="18" t="s">
        <v>79</v>
      </c>
    </row>
    <row r="150" spans="2:65" s="14" customFormat="1" ht="11.25">
      <c r="B150" s="165"/>
      <c r="D150" s="151" t="s">
        <v>162</v>
      </c>
      <c r="E150" s="166" t="s">
        <v>3</v>
      </c>
      <c r="F150" s="167" t="s">
        <v>1280</v>
      </c>
      <c r="H150" s="166" t="s">
        <v>3</v>
      </c>
      <c r="I150" s="168"/>
      <c r="L150" s="165"/>
      <c r="M150" s="169"/>
      <c r="T150" s="170"/>
      <c r="AT150" s="166" t="s">
        <v>162</v>
      </c>
      <c r="AU150" s="166" t="s">
        <v>79</v>
      </c>
      <c r="AV150" s="14" t="s">
        <v>77</v>
      </c>
      <c r="AW150" s="14" t="s">
        <v>30</v>
      </c>
      <c r="AX150" s="14" t="s">
        <v>69</v>
      </c>
      <c r="AY150" s="166" t="s">
        <v>151</v>
      </c>
    </row>
    <row r="151" spans="2:65" s="12" customFormat="1" ht="11.25">
      <c r="B151" s="150"/>
      <c r="D151" s="151" t="s">
        <v>162</v>
      </c>
      <c r="E151" s="152" t="s">
        <v>3</v>
      </c>
      <c r="F151" s="153" t="s">
        <v>79</v>
      </c>
      <c r="H151" s="154">
        <v>2</v>
      </c>
      <c r="I151" s="155"/>
      <c r="L151" s="150"/>
      <c r="M151" s="156"/>
      <c r="T151" s="157"/>
      <c r="AT151" s="152" t="s">
        <v>162</v>
      </c>
      <c r="AU151" s="152" t="s">
        <v>79</v>
      </c>
      <c r="AV151" s="12" t="s">
        <v>79</v>
      </c>
      <c r="AW151" s="12" t="s">
        <v>30</v>
      </c>
      <c r="AX151" s="12" t="s">
        <v>69</v>
      </c>
      <c r="AY151" s="152" t="s">
        <v>151</v>
      </c>
    </row>
    <row r="152" spans="2:65" s="13" customFormat="1" ht="11.25">
      <c r="B152" s="158"/>
      <c r="D152" s="151" t="s">
        <v>162</v>
      </c>
      <c r="E152" s="159" t="s">
        <v>3</v>
      </c>
      <c r="F152" s="160" t="s">
        <v>167</v>
      </c>
      <c r="H152" s="161">
        <v>2</v>
      </c>
      <c r="I152" s="162"/>
      <c r="L152" s="158"/>
      <c r="M152" s="163"/>
      <c r="T152" s="164"/>
      <c r="AT152" s="159" t="s">
        <v>162</v>
      </c>
      <c r="AU152" s="159" t="s">
        <v>79</v>
      </c>
      <c r="AV152" s="13" t="s">
        <v>158</v>
      </c>
      <c r="AW152" s="13" t="s">
        <v>30</v>
      </c>
      <c r="AX152" s="13" t="s">
        <v>77</v>
      </c>
      <c r="AY152" s="159" t="s">
        <v>151</v>
      </c>
    </row>
    <row r="153" spans="2:65" s="1" customFormat="1" ht="21.75" customHeight="1">
      <c r="B153" s="132"/>
      <c r="C153" s="133" t="s">
        <v>251</v>
      </c>
      <c r="D153" s="133" t="s">
        <v>153</v>
      </c>
      <c r="E153" s="134" t="s">
        <v>1289</v>
      </c>
      <c r="F153" s="135" t="s">
        <v>1290</v>
      </c>
      <c r="G153" s="136" t="s">
        <v>156</v>
      </c>
      <c r="H153" s="137">
        <v>47.3</v>
      </c>
      <c r="I153" s="138"/>
      <c r="J153" s="139">
        <f>ROUND(I153*H153,2)</f>
        <v>0</v>
      </c>
      <c r="K153" s="135" t="s">
        <v>171</v>
      </c>
      <c r="L153" s="33"/>
      <c r="M153" s="140" t="s">
        <v>3</v>
      </c>
      <c r="N153" s="141" t="s">
        <v>40</v>
      </c>
      <c r="P153" s="142">
        <f>O153*H153</f>
        <v>0</v>
      </c>
      <c r="Q153" s="142">
        <v>0</v>
      </c>
      <c r="R153" s="142">
        <f>Q153*H153</f>
        <v>0</v>
      </c>
      <c r="S153" s="142">
        <v>0</v>
      </c>
      <c r="T153" s="143">
        <f>S153*H153</f>
        <v>0</v>
      </c>
      <c r="AR153" s="144" t="s">
        <v>158</v>
      </c>
      <c r="AT153" s="144" t="s">
        <v>153</v>
      </c>
      <c r="AU153" s="144" t="s">
        <v>79</v>
      </c>
      <c r="AY153" s="18" t="s">
        <v>151</v>
      </c>
      <c r="BE153" s="145">
        <f>IF(N153="základní",J153,0)</f>
        <v>0</v>
      </c>
      <c r="BF153" s="145">
        <f>IF(N153="snížená",J153,0)</f>
        <v>0</v>
      </c>
      <c r="BG153" s="145">
        <f>IF(N153="zákl. přenesená",J153,0)</f>
        <v>0</v>
      </c>
      <c r="BH153" s="145">
        <f>IF(N153="sníž. přenesená",J153,0)</f>
        <v>0</v>
      </c>
      <c r="BI153" s="145">
        <f>IF(N153="nulová",J153,0)</f>
        <v>0</v>
      </c>
      <c r="BJ153" s="18" t="s">
        <v>77</v>
      </c>
      <c r="BK153" s="145">
        <f>ROUND(I153*H153,2)</f>
        <v>0</v>
      </c>
      <c r="BL153" s="18" t="s">
        <v>158</v>
      </c>
      <c r="BM153" s="144" t="s">
        <v>1291</v>
      </c>
    </row>
    <row r="154" spans="2:65" s="1" customFormat="1" ht="11.25">
      <c r="B154" s="33"/>
      <c r="D154" s="146" t="s">
        <v>160</v>
      </c>
      <c r="F154" s="147" t="s">
        <v>1292</v>
      </c>
      <c r="I154" s="148"/>
      <c r="L154" s="33"/>
      <c r="M154" s="149"/>
      <c r="T154" s="54"/>
      <c r="AT154" s="18" t="s">
        <v>160</v>
      </c>
      <c r="AU154" s="18" t="s">
        <v>79</v>
      </c>
    </row>
    <row r="155" spans="2:65" s="14" customFormat="1" ht="11.25">
      <c r="B155" s="165"/>
      <c r="D155" s="151" t="s">
        <v>162</v>
      </c>
      <c r="E155" s="166" t="s">
        <v>3</v>
      </c>
      <c r="F155" s="167" t="s">
        <v>1293</v>
      </c>
      <c r="H155" s="166" t="s">
        <v>3</v>
      </c>
      <c r="I155" s="168"/>
      <c r="L155" s="165"/>
      <c r="M155" s="169"/>
      <c r="T155" s="170"/>
      <c r="AT155" s="166" t="s">
        <v>162</v>
      </c>
      <c r="AU155" s="166" t="s">
        <v>79</v>
      </c>
      <c r="AV155" s="14" t="s">
        <v>77</v>
      </c>
      <c r="AW155" s="14" t="s">
        <v>30</v>
      </c>
      <c r="AX155" s="14" t="s">
        <v>69</v>
      </c>
      <c r="AY155" s="166" t="s">
        <v>151</v>
      </c>
    </row>
    <row r="156" spans="2:65" s="12" customFormat="1" ht="11.25">
      <c r="B156" s="150"/>
      <c r="D156" s="151" t="s">
        <v>162</v>
      </c>
      <c r="E156" s="152" t="s">
        <v>3</v>
      </c>
      <c r="F156" s="153" t="s">
        <v>1294</v>
      </c>
      <c r="H156" s="154">
        <v>47.3</v>
      </c>
      <c r="I156" s="155"/>
      <c r="L156" s="150"/>
      <c r="M156" s="156"/>
      <c r="T156" s="157"/>
      <c r="AT156" s="152" t="s">
        <v>162</v>
      </c>
      <c r="AU156" s="152" t="s">
        <v>79</v>
      </c>
      <c r="AV156" s="12" t="s">
        <v>79</v>
      </c>
      <c r="AW156" s="12" t="s">
        <v>30</v>
      </c>
      <c r="AX156" s="12" t="s">
        <v>69</v>
      </c>
      <c r="AY156" s="152" t="s">
        <v>151</v>
      </c>
    </row>
    <row r="157" spans="2:65" s="13" customFormat="1" ht="11.25">
      <c r="B157" s="158"/>
      <c r="D157" s="151" t="s">
        <v>162</v>
      </c>
      <c r="E157" s="159" t="s">
        <v>3</v>
      </c>
      <c r="F157" s="160" t="s">
        <v>167</v>
      </c>
      <c r="H157" s="161">
        <v>47.3</v>
      </c>
      <c r="I157" s="162"/>
      <c r="L157" s="158"/>
      <c r="M157" s="163"/>
      <c r="T157" s="164"/>
      <c r="AT157" s="159" t="s">
        <v>162</v>
      </c>
      <c r="AU157" s="159" t="s">
        <v>79</v>
      </c>
      <c r="AV157" s="13" t="s">
        <v>158</v>
      </c>
      <c r="AW157" s="13" t="s">
        <v>30</v>
      </c>
      <c r="AX157" s="13" t="s">
        <v>77</v>
      </c>
      <c r="AY157" s="159" t="s">
        <v>151</v>
      </c>
    </row>
    <row r="158" spans="2:65" s="1" customFormat="1" ht="21.75" customHeight="1">
      <c r="B158" s="132"/>
      <c r="C158" s="133" t="s">
        <v>265</v>
      </c>
      <c r="D158" s="133" t="s">
        <v>153</v>
      </c>
      <c r="E158" s="134" t="s">
        <v>1295</v>
      </c>
      <c r="F158" s="135" t="s">
        <v>1296</v>
      </c>
      <c r="G158" s="136" t="s">
        <v>676</v>
      </c>
      <c r="H158" s="137">
        <v>58</v>
      </c>
      <c r="I158" s="138"/>
      <c r="J158" s="139">
        <f>ROUND(I158*H158,2)</f>
        <v>0</v>
      </c>
      <c r="K158" s="135" t="s">
        <v>171</v>
      </c>
      <c r="L158" s="33"/>
      <c r="M158" s="140" t="s">
        <v>3</v>
      </c>
      <c r="N158" s="141" t="s">
        <v>40</v>
      </c>
      <c r="P158" s="142">
        <f>O158*H158</f>
        <v>0</v>
      </c>
      <c r="Q158" s="142">
        <v>0</v>
      </c>
      <c r="R158" s="142">
        <f>Q158*H158</f>
        <v>0</v>
      </c>
      <c r="S158" s="142">
        <v>0</v>
      </c>
      <c r="T158" s="143">
        <f>S158*H158</f>
        <v>0</v>
      </c>
      <c r="AR158" s="144" t="s">
        <v>158</v>
      </c>
      <c r="AT158" s="144" t="s">
        <v>153</v>
      </c>
      <c r="AU158" s="144" t="s">
        <v>79</v>
      </c>
      <c r="AY158" s="18" t="s">
        <v>151</v>
      </c>
      <c r="BE158" s="145">
        <f>IF(N158="základní",J158,0)</f>
        <v>0</v>
      </c>
      <c r="BF158" s="145">
        <f>IF(N158="snížená",J158,0)</f>
        <v>0</v>
      </c>
      <c r="BG158" s="145">
        <f>IF(N158="zákl. přenesená",J158,0)</f>
        <v>0</v>
      </c>
      <c r="BH158" s="145">
        <f>IF(N158="sníž. přenesená",J158,0)</f>
        <v>0</v>
      </c>
      <c r="BI158" s="145">
        <f>IF(N158="nulová",J158,0)</f>
        <v>0</v>
      </c>
      <c r="BJ158" s="18" t="s">
        <v>77</v>
      </c>
      <c r="BK158" s="145">
        <f>ROUND(I158*H158,2)</f>
        <v>0</v>
      </c>
      <c r="BL158" s="18" t="s">
        <v>158</v>
      </c>
      <c r="BM158" s="144" t="s">
        <v>1297</v>
      </c>
    </row>
    <row r="159" spans="2:65" s="1" customFormat="1" ht="11.25">
      <c r="B159" s="33"/>
      <c r="D159" s="146" t="s">
        <v>160</v>
      </c>
      <c r="F159" s="147" t="s">
        <v>1298</v>
      </c>
      <c r="I159" s="148"/>
      <c r="L159" s="33"/>
      <c r="M159" s="149"/>
      <c r="T159" s="54"/>
      <c r="AT159" s="18" t="s">
        <v>160</v>
      </c>
      <c r="AU159" s="18" t="s">
        <v>79</v>
      </c>
    </row>
    <row r="160" spans="2:65" s="14" customFormat="1" ht="11.25">
      <c r="B160" s="165"/>
      <c r="D160" s="151" t="s">
        <v>162</v>
      </c>
      <c r="E160" s="166" t="s">
        <v>3</v>
      </c>
      <c r="F160" s="167" t="s">
        <v>1299</v>
      </c>
      <c r="H160" s="166" t="s">
        <v>3</v>
      </c>
      <c r="I160" s="168"/>
      <c r="L160" s="165"/>
      <c r="M160" s="169"/>
      <c r="T160" s="170"/>
      <c r="AT160" s="166" t="s">
        <v>162</v>
      </c>
      <c r="AU160" s="166" t="s">
        <v>79</v>
      </c>
      <c r="AV160" s="14" t="s">
        <v>77</v>
      </c>
      <c r="AW160" s="14" t="s">
        <v>30</v>
      </c>
      <c r="AX160" s="14" t="s">
        <v>69</v>
      </c>
      <c r="AY160" s="166" t="s">
        <v>151</v>
      </c>
    </row>
    <row r="161" spans="2:65" s="12" customFormat="1" ht="11.25">
      <c r="B161" s="150"/>
      <c r="D161" s="151" t="s">
        <v>162</v>
      </c>
      <c r="E161" s="152" t="s">
        <v>3</v>
      </c>
      <c r="F161" s="153" t="s">
        <v>1300</v>
      </c>
      <c r="H161" s="154">
        <v>58</v>
      </c>
      <c r="I161" s="155"/>
      <c r="L161" s="150"/>
      <c r="M161" s="156"/>
      <c r="T161" s="157"/>
      <c r="AT161" s="152" t="s">
        <v>162</v>
      </c>
      <c r="AU161" s="152" t="s">
        <v>79</v>
      </c>
      <c r="AV161" s="12" t="s">
        <v>79</v>
      </c>
      <c r="AW161" s="12" t="s">
        <v>30</v>
      </c>
      <c r="AX161" s="12" t="s">
        <v>69</v>
      </c>
      <c r="AY161" s="152" t="s">
        <v>151</v>
      </c>
    </row>
    <row r="162" spans="2:65" s="13" customFormat="1" ht="11.25">
      <c r="B162" s="158"/>
      <c r="D162" s="151" t="s">
        <v>162</v>
      </c>
      <c r="E162" s="159" t="s">
        <v>3</v>
      </c>
      <c r="F162" s="160" t="s">
        <v>167</v>
      </c>
      <c r="H162" s="161">
        <v>58</v>
      </c>
      <c r="I162" s="162"/>
      <c r="L162" s="158"/>
      <c r="M162" s="163"/>
      <c r="T162" s="164"/>
      <c r="AT162" s="159" t="s">
        <v>162</v>
      </c>
      <c r="AU162" s="159" t="s">
        <v>79</v>
      </c>
      <c r="AV162" s="13" t="s">
        <v>158</v>
      </c>
      <c r="AW162" s="13" t="s">
        <v>30</v>
      </c>
      <c r="AX162" s="13" t="s">
        <v>77</v>
      </c>
      <c r="AY162" s="159" t="s">
        <v>151</v>
      </c>
    </row>
    <row r="163" spans="2:65" s="1" customFormat="1" ht="21.75" customHeight="1">
      <c r="B163" s="132"/>
      <c r="C163" s="133" t="s">
        <v>9</v>
      </c>
      <c r="D163" s="133" t="s">
        <v>153</v>
      </c>
      <c r="E163" s="134" t="s">
        <v>1301</v>
      </c>
      <c r="F163" s="135" t="s">
        <v>1302</v>
      </c>
      <c r="G163" s="136" t="s">
        <v>676</v>
      </c>
      <c r="H163" s="137">
        <v>58</v>
      </c>
      <c r="I163" s="138"/>
      <c r="J163" s="139">
        <f>ROUND(I163*H163,2)</f>
        <v>0</v>
      </c>
      <c r="K163" s="135" t="s">
        <v>171</v>
      </c>
      <c r="L163" s="33"/>
      <c r="M163" s="140" t="s">
        <v>3</v>
      </c>
      <c r="N163" s="141" t="s">
        <v>40</v>
      </c>
      <c r="P163" s="142">
        <f>O163*H163</f>
        <v>0</v>
      </c>
      <c r="Q163" s="142">
        <v>0</v>
      </c>
      <c r="R163" s="142">
        <f>Q163*H163</f>
        <v>0</v>
      </c>
      <c r="S163" s="142">
        <v>0</v>
      </c>
      <c r="T163" s="143">
        <f>S163*H163</f>
        <v>0</v>
      </c>
      <c r="AR163" s="144" t="s">
        <v>158</v>
      </c>
      <c r="AT163" s="144" t="s">
        <v>153</v>
      </c>
      <c r="AU163" s="144" t="s">
        <v>79</v>
      </c>
      <c r="AY163" s="18" t="s">
        <v>151</v>
      </c>
      <c r="BE163" s="145">
        <f>IF(N163="základní",J163,0)</f>
        <v>0</v>
      </c>
      <c r="BF163" s="145">
        <f>IF(N163="snížená",J163,0)</f>
        <v>0</v>
      </c>
      <c r="BG163" s="145">
        <f>IF(N163="zákl. přenesená",J163,0)</f>
        <v>0</v>
      </c>
      <c r="BH163" s="145">
        <f>IF(N163="sníž. přenesená",J163,0)</f>
        <v>0</v>
      </c>
      <c r="BI163" s="145">
        <f>IF(N163="nulová",J163,0)</f>
        <v>0</v>
      </c>
      <c r="BJ163" s="18" t="s">
        <v>77</v>
      </c>
      <c r="BK163" s="145">
        <f>ROUND(I163*H163,2)</f>
        <v>0</v>
      </c>
      <c r="BL163" s="18" t="s">
        <v>158</v>
      </c>
      <c r="BM163" s="144" t="s">
        <v>1303</v>
      </c>
    </row>
    <row r="164" spans="2:65" s="1" customFormat="1" ht="11.25">
      <c r="B164" s="33"/>
      <c r="D164" s="146" t="s">
        <v>160</v>
      </c>
      <c r="F164" s="147" t="s">
        <v>1304</v>
      </c>
      <c r="I164" s="148"/>
      <c r="L164" s="33"/>
      <c r="M164" s="149"/>
      <c r="T164" s="54"/>
      <c r="AT164" s="18" t="s">
        <v>160</v>
      </c>
      <c r="AU164" s="18" t="s">
        <v>79</v>
      </c>
    </row>
    <row r="165" spans="2:65" s="14" customFormat="1" ht="11.25">
      <c r="B165" s="165"/>
      <c r="D165" s="151" t="s">
        <v>162</v>
      </c>
      <c r="E165" s="166" t="s">
        <v>3</v>
      </c>
      <c r="F165" s="167" t="s">
        <v>1305</v>
      </c>
      <c r="H165" s="166" t="s">
        <v>3</v>
      </c>
      <c r="I165" s="168"/>
      <c r="L165" s="165"/>
      <c r="M165" s="169"/>
      <c r="T165" s="170"/>
      <c r="AT165" s="166" t="s">
        <v>162</v>
      </c>
      <c r="AU165" s="166" t="s">
        <v>79</v>
      </c>
      <c r="AV165" s="14" t="s">
        <v>77</v>
      </c>
      <c r="AW165" s="14" t="s">
        <v>30</v>
      </c>
      <c r="AX165" s="14" t="s">
        <v>69</v>
      </c>
      <c r="AY165" s="166" t="s">
        <v>151</v>
      </c>
    </row>
    <row r="166" spans="2:65" s="12" customFormat="1" ht="11.25">
      <c r="B166" s="150"/>
      <c r="D166" s="151" t="s">
        <v>162</v>
      </c>
      <c r="E166" s="152" t="s">
        <v>3</v>
      </c>
      <c r="F166" s="153" t="s">
        <v>1300</v>
      </c>
      <c r="H166" s="154">
        <v>58</v>
      </c>
      <c r="I166" s="155"/>
      <c r="L166" s="150"/>
      <c r="M166" s="156"/>
      <c r="T166" s="157"/>
      <c r="AT166" s="152" t="s">
        <v>162</v>
      </c>
      <c r="AU166" s="152" t="s">
        <v>79</v>
      </c>
      <c r="AV166" s="12" t="s">
        <v>79</v>
      </c>
      <c r="AW166" s="12" t="s">
        <v>30</v>
      </c>
      <c r="AX166" s="12" t="s">
        <v>69</v>
      </c>
      <c r="AY166" s="152" t="s">
        <v>151</v>
      </c>
    </row>
    <row r="167" spans="2:65" s="13" customFormat="1" ht="11.25">
      <c r="B167" s="158"/>
      <c r="D167" s="151" t="s">
        <v>162</v>
      </c>
      <c r="E167" s="159" t="s">
        <v>3</v>
      </c>
      <c r="F167" s="160" t="s">
        <v>167</v>
      </c>
      <c r="H167" s="161">
        <v>58</v>
      </c>
      <c r="I167" s="162"/>
      <c r="L167" s="158"/>
      <c r="M167" s="163"/>
      <c r="T167" s="164"/>
      <c r="AT167" s="159" t="s">
        <v>162</v>
      </c>
      <c r="AU167" s="159" t="s">
        <v>79</v>
      </c>
      <c r="AV167" s="13" t="s">
        <v>158</v>
      </c>
      <c r="AW167" s="13" t="s">
        <v>30</v>
      </c>
      <c r="AX167" s="13" t="s">
        <v>77</v>
      </c>
      <c r="AY167" s="159" t="s">
        <v>151</v>
      </c>
    </row>
    <row r="168" spans="2:65" s="1" customFormat="1" ht="16.5" customHeight="1">
      <c r="B168" s="132"/>
      <c r="C168" s="133" t="s">
        <v>282</v>
      </c>
      <c r="D168" s="133" t="s">
        <v>153</v>
      </c>
      <c r="E168" s="134" t="s">
        <v>1306</v>
      </c>
      <c r="F168" s="135" t="s">
        <v>1307</v>
      </c>
      <c r="G168" s="136" t="s">
        <v>676</v>
      </c>
      <c r="H168" s="137">
        <v>58</v>
      </c>
      <c r="I168" s="138"/>
      <c r="J168" s="139">
        <f>ROUND(I168*H168,2)</f>
        <v>0</v>
      </c>
      <c r="K168" s="135" t="s">
        <v>171</v>
      </c>
      <c r="L168" s="33"/>
      <c r="M168" s="140" t="s">
        <v>3</v>
      </c>
      <c r="N168" s="141" t="s">
        <v>40</v>
      </c>
      <c r="P168" s="142">
        <f>O168*H168</f>
        <v>0</v>
      </c>
      <c r="Q168" s="142">
        <v>0</v>
      </c>
      <c r="R168" s="142">
        <f>Q168*H168</f>
        <v>0</v>
      </c>
      <c r="S168" s="142">
        <v>0</v>
      </c>
      <c r="T168" s="143">
        <f>S168*H168</f>
        <v>0</v>
      </c>
      <c r="AR168" s="144" t="s">
        <v>158</v>
      </c>
      <c r="AT168" s="144" t="s">
        <v>153</v>
      </c>
      <c r="AU168" s="144" t="s">
        <v>79</v>
      </c>
      <c r="AY168" s="18" t="s">
        <v>151</v>
      </c>
      <c r="BE168" s="145">
        <f>IF(N168="základní",J168,0)</f>
        <v>0</v>
      </c>
      <c r="BF168" s="145">
        <f>IF(N168="snížená",J168,0)</f>
        <v>0</v>
      </c>
      <c r="BG168" s="145">
        <f>IF(N168="zákl. přenesená",J168,0)</f>
        <v>0</v>
      </c>
      <c r="BH168" s="145">
        <f>IF(N168="sníž. přenesená",J168,0)</f>
        <v>0</v>
      </c>
      <c r="BI168" s="145">
        <f>IF(N168="nulová",J168,0)</f>
        <v>0</v>
      </c>
      <c r="BJ168" s="18" t="s">
        <v>77</v>
      </c>
      <c r="BK168" s="145">
        <f>ROUND(I168*H168,2)</f>
        <v>0</v>
      </c>
      <c r="BL168" s="18" t="s">
        <v>158</v>
      </c>
      <c r="BM168" s="144" t="s">
        <v>1308</v>
      </c>
    </row>
    <row r="169" spans="2:65" s="1" customFormat="1" ht="11.25">
      <c r="B169" s="33"/>
      <c r="D169" s="146" t="s">
        <v>160</v>
      </c>
      <c r="F169" s="147" t="s">
        <v>1309</v>
      </c>
      <c r="I169" s="148"/>
      <c r="L169" s="33"/>
      <c r="M169" s="149"/>
      <c r="T169" s="54"/>
      <c r="AT169" s="18" t="s">
        <v>160</v>
      </c>
      <c r="AU169" s="18" t="s">
        <v>79</v>
      </c>
    </row>
    <row r="170" spans="2:65" s="14" customFormat="1" ht="11.25">
      <c r="B170" s="165"/>
      <c r="D170" s="151" t="s">
        <v>162</v>
      </c>
      <c r="E170" s="166" t="s">
        <v>3</v>
      </c>
      <c r="F170" s="167" t="s">
        <v>1305</v>
      </c>
      <c r="H170" s="166" t="s">
        <v>3</v>
      </c>
      <c r="I170" s="168"/>
      <c r="L170" s="165"/>
      <c r="M170" s="169"/>
      <c r="T170" s="170"/>
      <c r="AT170" s="166" t="s">
        <v>162</v>
      </c>
      <c r="AU170" s="166" t="s">
        <v>79</v>
      </c>
      <c r="AV170" s="14" t="s">
        <v>77</v>
      </c>
      <c r="AW170" s="14" t="s">
        <v>30</v>
      </c>
      <c r="AX170" s="14" t="s">
        <v>69</v>
      </c>
      <c r="AY170" s="166" t="s">
        <v>151</v>
      </c>
    </row>
    <row r="171" spans="2:65" s="12" customFormat="1" ht="11.25">
      <c r="B171" s="150"/>
      <c r="D171" s="151" t="s">
        <v>162</v>
      </c>
      <c r="E171" s="152" t="s">
        <v>3</v>
      </c>
      <c r="F171" s="153" t="s">
        <v>1300</v>
      </c>
      <c r="H171" s="154">
        <v>58</v>
      </c>
      <c r="I171" s="155"/>
      <c r="L171" s="150"/>
      <c r="M171" s="156"/>
      <c r="T171" s="157"/>
      <c r="AT171" s="152" t="s">
        <v>162</v>
      </c>
      <c r="AU171" s="152" t="s">
        <v>79</v>
      </c>
      <c r="AV171" s="12" t="s">
        <v>79</v>
      </c>
      <c r="AW171" s="12" t="s">
        <v>30</v>
      </c>
      <c r="AX171" s="12" t="s">
        <v>69</v>
      </c>
      <c r="AY171" s="152" t="s">
        <v>151</v>
      </c>
    </row>
    <row r="172" spans="2:65" s="13" customFormat="1" ht="11.25">
      <c r="B172" s="158"/>
      <c r="D172" s="151" t="s">
        <v>162</v>
      </c>
      <c r="E172" s="159" t="s">
        <v>3</v>
      </c>
      <c r="F172" s="160" t="s">
        <v>167</v>
      </c>
      <c r="H172" s="161">
        <v>58</v>
      </c>
      <c r="I172" s="162"/>
      <c r="L172" s="158"/>
      <c r="M172" s="163"/>
      <c r="T172" s="164"/>
      <c r="AT172" s="159" t="s">
        <v>162</v>
      </c>
      <c r="AU172" s="159" t="s">
        <v>79</v>
      </c>
      <c r="AV172" s="13" t="s">
        <v>158</v>
      </c>
      <c r="AW172" s="13" t="s">
        <v>30</v>
      </c>
      <c r="AX172" s="13" t="s">
        <v>77</v>
      </c>
      <c r="AY172" s="159" t="s">
        <v>151</v>
      </c>
    </row>
    <row r="173" spans="2:65" s="1" customFormat="1" ht="16.5" customHeight="1">
      <c r="B173" s="132"/>
      <c r="C173" s="133" t="s">
        <v>287</v>
      </c>
      <c r="D173" s="133" t="s">
        <v>153</v>
      </c>
      <c r="E173" s="134" t="s">
        <v>1310</v>
      </c>
      <c r="F173" s="135" t="s">
        <v>1311</v>
      </c>
      <c r="G173" s="136" t="s">
        <v>156</v>
      </c>
      <c r="H173" s="137">
        <v>47.3</v>
      </c>
      <c r="I173" s="138"/>
      <c r="J173" s="139">
        <f>ROUND(I173*H173,2)</f>
        <v>0</v>
      </c>
      <c r="K173" s="135" t="s">
        <v>171</v>
      </c>
      <c r="L173" s="33"/>
      <c r="M173" s="140" t="s">
        <v>3</v>
      </c>
      <c r="N173" s="141" t="s">
        <v>40</v>
      </c>
      <c r="P173" s="142">
        <f>O173*H173</f>
        <v>0</v>
      </c>
      <c r="Q173" s="142">
        <v>0</v>
      </c>
      <c r="R173" s="142">
        <f>Q173*H173</f>
        <v>0</v>
      </c>
      <c r="S173" s="142">
        <v>0</v>
      </c>
      <c r="T173" s="143">
        <f>S173*H173</f>
        <v>0</v>
      </c>
      <c r="AR173" s="144" t="s">
        <v>158</v>
      </c>
      <c r="AT173" s="144" t="s">
        <v>153</v>
      </c>
      <c r="AU173" s="144" t="s">
        <v>79</v>
      </c>
      <c r="AY173" s="18" t="s">
        <v>151</v>
      </c>
      <c r="BE173" s="145">
        <f>IF(N173="základní",J173,0)</f>
        <v>0</v>
      </c>
      <c r="BF173" s="145">
        <f>IF(N173="snížená",J173,0)</f>
        <v>0</v>
      </c>
      <c r="BG173" s="145">
        <f>IF(N173="zákl. přenesená",J173,0)</f>
        <v>0</v>
      </c>
      <c r="BH173" s="145">
        <f>IF(N173="sníž. přenesená",J173,0)</f>
        <v>0</v>
      </c>
      <c r="BI173" s="145">
        <f>IF(N173="nulová",J173,0)</f>
        <v>0</v>
      </c>
      <c r="BJ173" s="18" t="s">
        <v>77</v>
      </c>
      <c r="BK173" s="145">
        <f>ROUND(I173*H173,2)</f>
        <v>0</v>
      </c>
      <c r="BL173" s="18" t="s">
        <v>158</v>
      </c>
      <c r="BM173" s="144" t="s">
        <v>1312</v>
      </c>
    </row>
    <row r="174" spans="2:65" s="1" customFormat="1" ht="11.25">
      <c r="B174" s="33"/>
      <c r="D174" s="146" t="s">
        <v>160</v>
      </c>
      <c r="F174" s="147" t="s">
        <v>1313</v>
      </c>
      <c r="I174" s="148"/>
      <c r="L174" s="33"/>
      <c r="M174" s="149"/>
      <c r="T174" s="54"/>
      <c r="AT174" s="18" t="s">
        <v>160</v>
      </c>
      <c r="AU174" s="18" t="s">
        <v>79</v>
      </c>
    </row>
    <row r="175" spans="2:65" s="14" customFormat="1" ht="11.25">
      <c r="B175" s="165"/>
      <c r="D175" s="151" t="s">
        <v>162</v>
      </c>
      <c r="E175" s="166" t="s">
        <v>3</v>
      </c>
      <c r="F175" s="167" t="s">
        <v>1314</v>
      </c>
      <c r="H175" s="166" t="s">
        <v>3</v>
      </c>
      <c r="I175" s="168"/>
      <c r="L175" s="165"/>
      <c r="M175" s="169"/>
      <c r="T175" s="170"/>
      <c r="AT175" s="166" t="s">
        <v>162</v>
      </c>
      <c r="AU175" s="166" t="s">
        <v>79</v>
      </c>
      <c r="AV175" s="14" t="s">
        <v>77</v>
      </c>
      <c r="AW175" s="14" t="s">
        <v>30</v>
      </c>
      <c r="AX175" s="14" t="s">
        <v>69</v>
      </c>
      <c r="AY175" s="166" t="s">
        <v>151</v>
      </c>
    </row>
    <row r="176" spans="2:65" s="12" customFormat="1" ht="11.25">
      <c r="B176" s="150"/>
      <c r="D176" s="151" t="s">
        <v>162</v>
      </c>
      <c r="E176" s="152" t="s">
        <v>3</v>
      </c>
      <c r="F176" s="153" t="s">
        <v>1294</v>
      </c>
      <c r="H176" s="154">
        <v>47.3</v>
      </c>
      <c r="I176" s="155"/>
      <c r="L176" s="150"/>
      <c r="M176" s="156"/>
      <c r="T176" s="157"/>
      <c r="AT176" s="152" t="s">
        <v>162</v>
      </c>
      <c r="AU176" s="152" t="s">
        <v>79</v>
      </c>
      <c r="AV176" s="12" t="s">
        <v>79</v>
      </c>
      <c r="AW176" s="12" t="s">
        <v>30</v>
      </c>
      <c r="AX176" s="12" t="s">
        <v>69</v>
      </c>
      <c r="AY176" s="152" t="s">
        <v>151</v>
      </c>
    </row>
    <row r="177" spans="2:65" s="13" customFormat="1" ht="11.25">
      <c r="B177" s="158"/>
      <c r="D177" s="151" t="s">
        <v>162</v>
      </c>
      <c r="E177" s="159" t="s">
        <v>3</v>
      </c>
      <c r="F177" s="160" t="s">
        <v>167</v>
      </c>
      <c r="H177" s="161">
        <v>47.3</v>
      </c>
      <c r="I177" s="162"/>
      <c r="L177" s="158"/>
      <c r="M177" s="163"/>
      <c r="T177" s="164"/>
      <c r="AT177" s="159" t="s">
        <v>162</v>
      </c>
      <c r="AU177" s="159" t="s">
        <v>79</v>
      </c>
      <c r="AV177" s="13" t="s">
        <v>158</v>
      </c>
      <c r="AW177" s="13" t="s">
        <v>30</v>
      </c>
      <c r="AX177" s="13" t="s">
        <v>77</v>
      </c>
      <c r="AY177" s="159" t="s">
        <v>151</v>
      </c>
    </row>
    <row r="178" spans="2:65" s="11" customFormat="1" ht="22.9" customHeight="1">
      <c r="B178" s="120"/>
      <c r="D178" s="121" t="s">
        <v>68</v>
      </c>
      <c r="E178" s="130" t="s">
        <v>227</v>
      </c>
      <c r="F178" s="130" t="s">
        <v>428</v>
      </c>
      <c r="I178" s="123"/>
      <c r="J178" s="131">
        <f>BK178</f>
        <v>0</v>
      </c>
      <c r="L178" s="120"/>
      <c r="M178" s="125"/>
      <c r="P178" s="126">
        <f>SUM(P179:P196)</f>
        <v>0</v>
      </c>
      <c r="R178" s="126">
        <f>SUM(R179:R196)</f>
        <v>7.0400000000000003E-3</v>
      </c>
      <c r="T178" s="127">
        <f>SUM(T179:T196)</f>
        <v>0</v>
      </c>
      <c r="AR178" s="121" t="s">
        <v>77</v>
      </c>
      <c r="AT178" s="128" t="s">
        <v>68</v>
      </c>
      <c r="AU178" s="128" t="s">
        <v>77</v>
      </c>
      <c r="AY178" s="121" t="s">
        <v>151</v>
      </c>
      <c r="BK178" s="129">
        <f>SUM(BK179:BK196)</f>
        <v>0</v>
      </c>
    </row>
    <row r="179" spans="2:65" s="1" customFormat="1" ht="16.5" customHeight="1">
      <c r="B179" s="132"/>
      <c r="C179" s="133" t="s">
        <v>299</v>
      </c>
      <c r="D179" s="133" t="s">
        <v>153</v>
      </c>
      <c r="E179" s="134" t="s">
        <v>1315</v>
      </c>
      <c r="F179" s="135" t="s">
        <v>1316</v>
      </c>
      <c r="G179" s="136" t="s">
        <v>198</v>
      </c>
      <c r="H179" s="137">
        <v>88</v>
      </c>
      <c r="I179" s="138"/>
      <c r="J179" s="139">
        <f>ROUND(I179*H179,2)</f>
        <v>0</v>
      </c>
      <c r="K179" s="135" t="s">
        <v>171</v>
      </c>
      <c r="L179" s="33"/>
      <c r="M179" s="140" t="s">
        <v>3</v>
      </c>
      <c r="N179" s="141" t="s">
        <v>40</v>
      </c>
      <c r="P179" s="142">
        <f>O179*H179</f>
        <v>0</v>
      </c>
      <c r="Q179" s="142">
        <v>0</v>
      </c>
      <c r="R179" s="142">
        <f>Q179*H179</f>
        <v>0</v>
      </c>
      <c r="S179" s="142">
        <v>0</v>
      </c>
      <c r="T179" s="143">
        <f>S179*H179</f>
        <v>0</v>
      </c>
      <c r="AR179" s="144" t="s">
        <v>158</v>
      </c>
      <c r="AT179" s="144" t="s">
        <v>153</v>
      </c>
      <c r="AU179" s="144" t="s">
        <v>79</v>
      </c>
      <c r="AY179" s="18" t="s">
        <v>151</v>
      </c>
      <c r="BE179" s="145">
        <f>IF(N179="základní",J179,0)</f>
        <v>0</v>
      </c>
      <c r="BF179" s="145">
        <f>IF(N179="snížená",J179,0)</f>
        <v>0</v>
      </c>
      <c r="BG179" s="145">
        <f>IF(N179="zákl. přenesená",J179,0)</f>
        <v>0</v>
      </c>
      <c r="BH179" s="145">
        <f>IF(N179="sníž. přenesená",J179,0)</f>
        <v>0</v>
      </c>
      <c r="BI179" s="145">
        <f>IF(N179="nulová",J179,0)</f>
        <v>0</v>
      </c>
      <c r="BJ179" s="18" t="s">
        <v>77</v>
      </c>
      <c r="BK179" s="145">
        <f>ROUND(I179*H179,2)</f>
        <v>0</v>
      </c>
      <c r="BL179" s="18" t="s">
        <v>158</v>
      </c>
      <c r="BM179" s="144" t="s">
        <v>1317</v>
      </c>
    </row>
    <row r="180" spans="2:65" s="1" customFormat="1" ht="11.25">
      <c r="B180" s="33"/>
      <c r="D180" s="146" t="s">
        <v>160</v>
      </c>
      <c r="F180" s="147" t="s">
        <v>1318</v>
      </c>
      <c r="I180" s="148"/>
      <c r="L180" s="33"/>
      <c r="M180" s="149"/>
      <c r="T180" s="54"/>
      <c r="AT180" s="18" t="s">
        <v>160</v>
      </c>
      <c r="AU180" s="18" t="s">
        <v>79</v>
      </c>
    </row>
    <row r="181" spans="2:65" s="14" customFormat="1" ht="11.25">
      <c r="B181" s="165"/>
      <c r="D181" s="151" t="s">
        <v>162</v>
      </c>
      <c r="E181" s="166" t="s">
        <v>3</v>
      </c>
      <c r="F181" s="167" t="s">
        <v>1319</v>
      </c>
      <c r="H181" s="166" t="s">
        <v>3</v>
      </c>
      <c r="I181" s="168"/>
      <c r="L181" s="165"/>
      <c r="M181" s="169"/>
      <c r="T181" s="170"/>
      <c r="AT181" s="166" t="s">
        <v>162</v>
      </c>
      <c r="AU181" s="166" t="s">
        <v>79</v>
      </c>
      <c r="AV181" s="14" t="s">
        <v>77</v>
      </c>
      <c r="AW181" s="14" t="s">
        <v>30</v>
      </c>
      <c r="AX181" s="14" t="s">
        <v>69</v>
      </c>
      <c r="AY181" s="166" t="s">
        <v>151</v>
      </c>
    </row>
    <row r="182" spans="2:65" s="12" customFormat="1" ht="11.25">
      <c r="B182" s="150"/>
      <c r="D182" s="151" t="s">
        <v>162</v>
      </c>
      <c r="E182" s="152" t="s">
        <v>3</v>
      </c>
      <c r="F182" s="153" t="s">
        <v>1320</v>
      </c>
      <c r="H182" s="154">
        <v>88</v>
      </c>
      <c r="I182" s="155"/>
      <c r="L182" s="150"/>
      <c r="M182" s="156"/>
      <c r="T182" s="157"/>
      <c r="AT182" s="152" t="s">
        <v>162</v>
      </c>
      <c r="AU182" s="152" t="s">
        <v>79</v>
      </c>
      <c r="AV182" s="12" t="s">
        <v>79</v>
      </c>
      <c r="AW182" s="12" t="s">
        <v>30</v>
      </c>
      <c r="AX182" s="12" t="s">
        <v>69</v>
      </c>
      <c r="AY182" s="152" t="s">
        <v>151</v>
      </c>
    </row>
    <row r="183" spans="2:65" s="13" customFormat="1" ht="11.25">
      <c r="B183" s="158"/>
      <c r="D183" s="151" t="s">
        <v>162</v>
      </c>
      <c r="E183" s="159" t="s">
        <v>3</v>
      </c>
      <c r="F183" s="160" t="s">
        <v>167</v>
      </c>
      <c r="H183" s="161">
        <v>88</v>
      </c>
      <c r="I183" s="162"/>
      <c r="L183" s="158"/>
      <c r="M183" s="163"/>
      <c r="T183" s="164"/>
      <c r="AT183" s="159" t="s">
        <v>162</v>
      </c>
      <c r="AU183" s="159" t="s">
        <v>79</v>
      </c>
      <c r="AV183" s="13" t="s">
        <v>158</v>
      </c>
      <c r="AW183" s="13" t="s">
        <v>30</v>
      </c>
      <c r="AX183" s="13" t="s">
        <v>77</v>
      </c>
      <c r="AY183" s="159" t="s">
        <v>151</v>
      </c>
    </row>
    <row r="184" spans="2:65" s="1" customFormat="1" ht="16.5" customHeight="1">
      <c r="B184" s="132"/>
      <c r="C184" s="133" t="s">
        <v>306</v>
      </c>
      <c r="D184" s="133" t="s">
        <v>153</v>
      </c>
      <c r="E184" s="134" t="s">
        <v>1321</v>
      </c>
      <c r="F184" s="135" t="s">
        <v>1322</v>
      </c>
      <c r="G184" s="136" t="s">
        <v>198</v>
      </c>
      <c r="H184" s="137">
        <v>88</v>
      </c>
      <c r="I184" s="138"/>
      <c r="J184" s="139">
        <f>ROUND(I184*H184,2)</f>
        <v>0</v>
      </c>
      <c r="K184" s="135" t="s">
        <v>171</v>
      </c>
      <c r="L184" s="33"/>
      <c r="M184" s="140" t="s">
        <v>3</v>
      </c>
      <c r="N184" s="141" t="s">
        <v>40</v>
      </c>
      <c r="P184" s="142">
        <f>O184*H184</f>
        <v>0</v>
      </c>
      <c r="Q184" s="142">
        <v>8.0000000000000007E-5</v>
      </c>
      <c r="R184" s="142">
        <f>Q184*H184</f>
        <v>7.0400000000000003E-3</v>
      </c>
      <c r="S184" s="142">
        <v>0</v>
      </c>
      <c r="T184" s="143">
        <f>S184*H184</f>
        <v>0</v>
      </c>
      <c r="AR184" s="144" t="s">
        <v>158</v>
      </c>
      <c r="AT184" s="144" t="s">
        <v>153</v>
      </c>
      <c r="AU184" s="144" t="s">
        <v>79</v>
      </c>
      <c r="AY184" s="18" t="s">
        <v>151</v>
      </c>
      <c r="BE184" s="145">
        <f>IF(N184="základní",J184,0)</f>
        <v>0</v>
      </c>
      <c r="BF184" s="145">
        <f>IF(N184="snížená",J184,0)</f>
        <v>0</v>
      </c>
      <c r="BG184" s="145">
        <f>IF(N184="zákl. přenesená",J184,0)</f>
        <v>0</v>
      </c>
      <c r="BH184" s="145">
        <f>IF(N184="sníž. přenesená",J184,0)</f>
        <v>0</v>
      </c>
      <c r="BI184" s="145">
        <f>IF(N184="nulová",J184,0)</f>
        <v>0</v>
      </c>
      <c r="BJ184" s="18" t="s">
        <v>77</v>
      </c>
      <c r="BK184" s="145">
        <f>ROUND(I184*H184,2)</f>
        <v>0</v>
      </c>
      <c r="BL184" s="18" t="s">
        <v>158</v>
      </c>
      <c r="BM184" s="144" t="s">
        <v>1323</v>
      </c>
    </row>
    <row r="185" spans="2:65" s="1" customFormat="1" ht="11.25">
      <c r="B185" s="33"/>
      <c r="D185" s="146" t="s">
        <v>160</v>
      </c>
      <c r="F185" s="147" t="s">
        <v>1324</v>
      </c>
      <c r="I185" s="148"/>
      <c r="L185" s="33"/>
      <c r="M185" s="149"/>
      <c r="T185" s="54"/>
      <c r="AT185" s="18" t="s">
        <v>160</v>
      </c>
      <c r="AU185" s="18" t="s">
        <v>79</v>
      </c>
    </row>
    <row r="186" spans="2:65" s="14" customFormat="1" ht="11.25">
      <c r="B186" s="165"/>
      <c r="D186" s="151" t="s">
        <v>162</v>
      </c>
      <c r="E186" s="166" t="s">
        <v>3</v>
      </c>
      <c r="F186" s="167" t="s">
        <v>1319</v>
      </c>
      <c r="H186" s="166" t="s">
        <v>3</v>
      </c>
      <c r="I186" s="168"/>
      <c r="L186" s="165"/>
      <c r="M186" s="169"/>
      <c r="T186" s="170"/>
      <c r="AT186" s="166" t="s">
        <v>162</v>
      </c>
      <c r="AU186" s="166" t="s">
        <v>79</v>
      </c>
      <c r="AV186" s="14" t="s">
        <v>77</v>
      </c>
      <c r="AW186" s="14" t="s">
        <v>30</v>
      </c>
      <c r="AX186" s="14" t="s">
        <v>69</v>
      </c>
      <c r="AY186" s="166" t="s">
        <v>151</v>
      </c>
    </row>
    <row r="187" spans="2:65" s="12" customFormat="1" ht="11.25">
      <c r="B187" s="150"/>
      <c r="D187" s="151" t="s">
        <v>162</v>
      </c>
      <c r="E187" s="152" t="s">
        <v>3</v>
      </c>
      <c r="F187" s="153" t="s">
        <v>1320</v>
      </c>
      <c r="H187" s="154">
        <v>88</v>
      </c>
      <c r="I187" s="155"/>
      <c r="L187" s="150"/>
      <c r="M187" s="156"/>
      <c r="T187" s="157"/>
      <c r="AT187" s="152" t="s">
        <v>162</v>
      </c>
      <c r="AU187" s="152" t="s">
        <v>79</v>
      </c>
      <c r="AV187" s="12" t="s">
        <v>79</v>
      </c>
      <c r="AW187" s="12" t="s">
        <v>30</v>
      </c>
      <c r="AX187" s="12" t="s">
        <v>69</v>
      </c>
      <c r="AY187" s="152" t="s">
        <v>151</v>
      </c>
    </row>
    <row r="188" spans="2:65" s="13" customFormat="1" ht="11.25">
      <c r="B188" s="158"/>
      <c r="D188" s="151" t="s">
        <v>162</v>
      </c>
      <c r="E188" s="159" t="s">
        <v>3</v>
      </c>
      <c r="F188" s="160" t="s">
        <v>167</v>
      </c>
      <c r="H188" s="161">
        <v>88</v>
      </c>
      <c r="I188" s="162"/>
      <c r="L188" s="158"/>
      <c r="M188" s="163"/>
      <c r="T188" s="164"/>
      <c r="AT188" s="159" t="s">
        <v>162</v>
      </c>
      <c r="AU188" s="159" t="s">
        <v>79</v>
      </c>
      <c r="AV188" s="13" t="s">
        <v>158</v>
      </c>
      <c r="AW188" s="13" t="s">
        <v>30</v>
      </c>
      <c r="AX188" s="13" t="s">
        <v>77</v>
      </c>
      <c r="AY188" s="159" t="s">
        <v>151</v>
      </c>
    </row>
    <row r="189" spans="2:65" s="1" customFormat="1" ht="16.5" customHeight="1">
      <c r="B189" s="132"/>
      <c r="C189" s="133" t="s">
        <v>317</v>
      </c>
      <c r="D189" s="133" t="s">
        <v>153</v>
      </c>
      <c r="E189" s="134" t="s">
        <v>1325</v>
      </c>
      <c r="F189" s="135" t="s">
        <v>1326</v>
      </c>
      <c r="G189" s="136" t="s">
        <v>198</v>
      </c>
      <c r="H189" s="137">
        <v>300</v>
      </c>
      <c r="I189" s="138"/>
      <c r="J189" s="139">
        <f>ROUND(I189*H189,2)</f>
        <v>0</v>
      </c>
      <c r="K189" s="135" t="s">
        <v>3</v>
      </c>
      <c r="L189" s="33"/>
      <c r="M189" s="140" t="s">
        <v>3</v>
      </c>
      <c r="N189" s="141" t="s">
        <v>40</v>
      </c>
      <c r="P189" s="142">
        <f>O189*H189</f>
        <v>0</v>
      </c>
      <c r="Q189" s="142">
        <v>0</v>
      </c>
      <c r="R189" s="142">
        <f>Q189*H189</f>
        <v>0</v>
      </c>
      <c r="S189" s="142">
        <v>0</v>
      </c>
      <c r="T189" s="143">
        <f>S189*H189</f>
        <v>0</v>
      </c>
      <c r="AR189" s="144" t="s">
        <v>158</v>
      </c>
      <c r="AT189" s="144" t="s">
        <v>153</v>
      </c>
      <c r="AU189" s="144" t="s">
        <v>79</v>
      </c>
      <c r="AY189" s="18" t="s">
        <v>151</v>
      </c>
      <c r="BE189" s="145">
        <f>IF(N189="základní",J189,0)</f>
        <v>0</v>
      </c>
      <c r="BF189" s="145">
        <f>IF(N189="snížená",J189,0)</f>
        <v>0</v>
      </c>
      <c r="BG189" s="145">
        <f>IF(N189="zákl. přenesená",J189,0)</f>
        <v>0</v>
      </c>
      <c r="BH189" s="145">
        <f>IF(N189="sníž. přenesená",J189,0)</f>
        <v>0</v>
      </c>
      <c r="BI189" s="145">
        <f>IF(N189="nulová",J189,0)</f>
        <v>0</v>
      </c>
      <c r="BJ189" s="18" t="s">
        <v>77</v>
      </c>
      <c r="BK189" s="145">
        <f>ROUND(I189*H189,2)</f>
        <v>0</v>
      </c>
      <c r="BL189" s="18" t="s">
        <v>158</v>
      </c>
      <c r="BM189" s="144" t="s">
        <v>1327</v>
      </c>
    </row>
    <row r="190" spans="2:65" s="14" customFormat="1" ht="11.25">
      <c r="B190" s="165"/>
      <c r="D190" s="151" t="s">
        <v>162</v>
      </c>
      <c r="E190" s="166" t="s">
        <v>3</v>
      </c>
      <c r="F190" s="167" t="s">
        <v>1328</v>
      </c>
      <c r="H190" s="166" t="s">
        <v>3</v>
      </c>
      <c r="I190" s="168"/>
      <c r="L190" s="165"/>
      <c r="M190" s="169"/>
      <c r="T190" s="170"/>
      <c r="AT190" s="166" t="s">
        <v>162</v>
      </c>
      <c r="AU190" s="166" t="s">
        <v>79</v>
      </c>
      <c r="AV190" s="14" t="s">
        <v>77</v>
      </c>
      <c r="AW190" s="14" t="s">
        <v>30</v>
      </c>
      <c r="AX190" s="14" t="s">
        <v>69</v>
      </c>
      <c r="AY190" s="166" t="s">
        <v>151</v>
      </c>
    </row>
    <row r="191" spans="2:65" s="12" customFormat="1" ht="11.25">
      <c r="B191" s="150"/>
      <c r="D191" s="151" t="s">
        <v>162</v>
      </c>
      <c r="E191" s="152" t="s">
        <v>3</v>
      </c>
      <c r="F191" s="153" t="s">
        <v>1329</v>
      </c>
      <c r="H191" s="154">
        <v>300</v>
      </c>
      <c r="I191" s="155"/>
      <c r="L191" s="150"/>
      <c r="M191" s="156"/>
      <c r="T191" s="157"/>
      <c r="AT191" s="152" t="s">
        <v>162</v>
      </c>
      <c r="AU191" s="152" t="s">
        <v>79</v>
      </c>
      <c r="AV191" s="12" t="s">
        <v>79</v>
      </c>
      <c r="AW191" s="12" t="s">
        <v>30</v>
      </c>
      <c r="AX191" s="12" t="s">
        <v>69</v>
      </c>
      <c r="AY191" s="152" t="s">
        <v>151</v>
      </c>
    </row>
    <row r="192" spans="2:65" s="13" customFormat="1" ht="11.25">
      <c r="B192" s="158"/>
      <c r="D192" s="151" t="s">
        <v>162</v>
      </c>
      <c r="E192" s="159" t="s">
        <v>3</v>
      </c>
      <c r="F192" s="160" t="s">
        <v>167</v>
      </c>
      <c r="H192" s="161">
        <v>300</v>
      </c>
      <c r="I192" s="162"/>
      <c r="L192" s="158"/>
      <c r="M192" s="163"/>
      <c r="T192" s="164"/>
      <c r="AT192" s="159" t="s">
        <v>162</v>
      </c>
      <c r="AU192" s="159" t="s">
        <v>79</v>
      </c>
      <c r="AV192" s="13" t="s">
        <v>158</v>
      </c>
      <c r="AW192" s="13" t="s">
        <v>30</v>
      </c>
      <c r="AX192" s="13" t="s">
        <v>77</v>
      </c>
      <c r="AY192" s="159" t="s">
        <v>151</v>
      </c>
    </row>
    <row r="193" spans="2:65" s="1" customFormat="1" ht="16.5" customHeight="1">
      <c r="B193" s="132"/>
      <c r="C193" s="133" t="s">
        <v>8</v>
      </c>
      <c r="D193" s="133" t="s">
        <v>153</v>
      </c>
      <c r="E193" s="134" t="s">
        <v>1330</v>
      </c>
      <c r="F193" s="135" t="s">
        <v>1331</v>
      </c>
      <c r="G193" s="136" t="s">
        <v>676</v>
      </c>
      <c r="H193" s="137">
        <v>3</v>
      </c>
      <c r="I193" s="138"/>
      <c r="J193" s="139">
        <f>ROUND(I193*H193,2)</f>
        <v>0</v>
      </c>
      <c r="K193" s="135" t="s">
        <v>3</v>
      </c>
      <c r="L193" s="33"/>
      <c r="M193" s="140" t="s">
        <v>3</v>
      </c>
      <c r="N193" s="141" t="s">
        <v>40</v>
      </c>
      <c r="P193" s="142">
        <f>O193*H193</f>
        <v>0</v>
      </c>
      <c r="Q193" s="142">
        <v>0</v>
      </c>
      <c r="R193" s="142">
        <f>Q193*H193</f>
        <v>0</v>
      </c>
      <c r="S193" s="142">
        <v>0</v>
      </c>
      <c r="T193" s="143">
        <f>S193*H193</f>
        <v>0</v>
      </c>
      <c r="AR193" s="144" t="s">
        <v>158</v>
      </c>
      <c r="AT193" s="144" t="s">
        <v>153</v>
      </c>
      <c r="AU193" s="144" t="s">
        <v>79</v>
      </c>
      <c r="AY193" s="18" t="s">
        <v>151</v>
      </c>
      <c r="BE193" s="145">
        <f>IF(N193="základní",J193,0)</f>
        <v>0</v>
      </c>
      <c r="BF193" s="145">
        <f>IF(N193="snížená",J193,0)</f>
        <v>0</v>
      </c>
      <c r="BG193" s="145">
        <f>IF(N193="zákl. přenesená",J193,0)</f>
        <v>0</v>
      </c>
      <c r="BH193" s="145">
        <f>IF(N193="sníž. přenesená",J193,0)</f>
        <v>0</v>
      </c>
      <c r="BI193" s="145">
        <f>IF(N193="nulová",J193,0)</f>
        <v>0</v>
      </c>
      <c r="BJ193" s="18" t="s">
        <v>77</v>
      </c>
      <c r="BK193" s="145">
        <f>ROUND(I193*H193,2)</f>
        <v>0</v>
      </c>
      <c r="BL193" s="18" t="s">
        <v>158</v>
      </c>
      <c r="BM193" s="144" t="s">
        <v>1332</v>
      </c>
    </row>
    <row r="194" spans="2:65" s="14" customFormat="1" ht="11.25">
      <c r="B194" s="165"/>
      <c r="D194" s="151" t="s">
        <v>162</v>
      </c>
      <c r="E194" s="166" t="s">
        <v>3</v>
      </c>
      <c r="F194" s="167" t="s">
        <v>1333</v>
      </c>
      <c r="H194" s="166" t="s">
        <v>3</v>
      </c>
      <c r="I194" s="168"/>
      <c r="L194" s="165"/>
      <c r="M194" s="169"/>
      <c r="T194" s="170"/>
      <c r="AT194" s="166" t="s">
        <v>162</v>
      </c>
      <c r="AU194" s="166" t="s">
        <v>79</v>
      </c>
      <c r="AV194" s="14" t="s">
        <v>77</v>
      </c>
      <c r="AW194" s="14" t="s">
        <v>30</v>
      </c>
      <c r="AX194" s="14" t="s">
        <v>69</v>
      </c>
      <c r="AY194" s="166" t="s">
        <v>151</v>
      </c>
    </row>
    <row r="195" spans="2:65" s="12" customFormat="1" ht="11.25">
      <c r="B195" s="150"/>
      <c r="D195" s="151" t="s">
        <v>162</v>
      </c>
      <c r="E195" s="152" t="s">
        <v>3</v>
      </c>
      <c r="F195" s="153" t="s">
        <v>168</v>
      </c>
      <c r="H195" s="154">
        <v>3</v>
      </c>
      <c r="I195" s="155"/>
      <c r="L195" s="150"/>
      <c r="M195" s="156"/>
      <c r="T195" s="157"/>
      <c r="AT195" s="152" t="s">
        <v>162</v>
      </c>
      <c r="AU195" s="152" t="s">
        <v>79</v>
      </c>
      <c r="AV195" s="12" t="s">
        <v>79</v>
      </c>
      <c r="AW195" s="12" t="s">
        <v>30</v>
      </c>
      <c r="AX195" s="12" t="s">
        <v>69</v>
      </c>
      <c r="AY195" s="152" t="s">
        <v>151</v>
      </c>
    </row>
    <row r="196" spans="2:65" s="13" customFormat="1" ht="11.25">
      <c r="B196" s="158"/>
      <c r="D196" s="151" t="s">
        <v>162</v>
      </c>
      <c r="E196" s="159" t="s">
        <v>3</v>
      </c>
      <c r="F196" s="160" t="s">
        <v>167</v>
      </c>
      <c r="H196" s="161">
        <v>3</v>
      </c>
      <c r="I196" s="162"/>
      <c r="L196" s="158"/>
      <c r="M196" s="163"/>
      <c r="T196" s="164"/>
      <c r="AT196" s="159" t="s">
        <v>162</v>
      </c>
      <c r="AU196" s="159" t="s">
        <v>79</v>
      </c>
      <c r="AV196" s="13" t="s">
        <v>158</v>
      </c>
      <c r="AW196" s="13" t="s">
        <v>30</v>
      </c>
      <c r="AX196" s="13" t="s">
        <v>77</v>
      </c>
      <c r="AY196" s="159" t="s">
        <v>151</v>
      </c>
    </row>
    <row r="197" spans="2:65" s="11" customFormat="1" ht="22.9" customHeight="1">
      <c r="B197" s="120"/>
      <c r="D197" s="121" t="s">
        <v>68</v>
      </c>
      <c r="E197" s="130" t="s">
        <v>451</v>
      </c>
      <c r="F197" s="130" t="s">
        <v>452</v>
      </c>
      <c r="I197" s="123"/>
      <c r="J197" s="131">
        <f>BK197</f>
        <v>0</v>
      </c>
      <c r="L197" s="120"/>
      <c r="M197" s="125"/>
      <c r="P197" s="126">
        <f>SUM(P198:P262)</f>
        <v>0</v>
      </c>
      <c r="R197" s="126">
        <f>SUM(R198:R262)</f>
        <v>0</v>
      </c>
      <c r="T197" s="127">
        <f>SUM(T198:T262)</f>
        <v>0</v>
      </c>
      <c r="AR197" s="121" t="s">
        <v>77</v>
      </c>
      <c r="AT197" s="128" t="s">
        <v>68</v>
      </c>
      <c r="AU197" s="128" t="s">
        <v>77</v>
      </c>
      <c r="AY197" s="121" t="s">
        <v>151</v>
      </c>
      <c r="BK197" s="129">
        <f>SUM(BK198:BK262)</f>
        <v>0</v>
      </c>
    </row>
    <row r="198" spans="2:65" s="1" customFormat="1" ht="16.5" customHeight="1">
      <c r="B198" s="132"/>
      <c r="C198" s="133" t="s">
        <v>338</v>
      </c>
      <c r="D198" s="133" t="s">
        <v>153</v>
      </c>
      <c r="E198" s="134" t="s">
        <v>1334</v>
      </c>
      <c r="F198" s="135" t="s">
        <v>1335</v>
      </c>
      <c r="G198" s="136" t="s">
        <v>183</v>
      </c>
      <c r="H198" s="137">
        <v>21.78</v>
      </c>
      <c r="I198" s="138"/>
      <c r="J198" s="139">
        <f>ROUND(I198*H198,2)</f>
        <v>0</v>
      </c>
      <c r="K198" s="135" t="s">
        <v>171</v>
      </c>
      <c r="L198" s="33"/>
      <c r="M198" s="140" t="s">
        <v>3</v>
      </c>
      <c r="N198" s="141" t="s">
        <v>40</v>
      </c>
      <c r="P198" s="142">
        <f>O198*H198</f>
        <v>0</v>
      </c>
      <c r="Q198" s="142">
        <v>0</v>
      </c>
      <c r="R198" s="142">
        <f>Q198*H198</f>
        <v>0</v>
      </c>
      <c r="S198" s="142">
        <v>0</v>
      </c>
      <c r="T198" s="143">
        <f>S198*H198</f>
        <v>0</v>
      </c>
      <c r="AR198" s="144" t="s">
        <v>158</v>
      </c>
      <c r="AT198" s="144" t="s">
        <v>153</v>
      </c>
      <c r="AU198" s="144" t="s">
        <v>79</v>
      </c>
      <c r="AY198" s="18" t="s">
        <v>151</v>
      </c>
      <c r="BE198" s="145">
        <f>IF(N198="základní",J198,0)</f>
        <v>0</v>
      </c>
      <c r="BF198" s="145">
        <f>IF(N198="snížená",J198,0)</f>
        <v>0</v>
      </c>
      <c r="BG198" s="145">
        <f>IF(N198="zákl. přenesená",J198,0)</f>
        <v>0</v>
      </c>
      <c r="BH198" s="145">
        <f>IF(N198="sníž. přenesená",J198,0)</f>
        <v>0</v>
      </c>
      <c r="BI198" s="145">
        <f>IF(N198="nulová",J198,0)</f>
        <v>0</v>
      </c>
      <c r="BJ198" s="18" t="s">
        <v>77</v>
      </c>
      <c r="BK198" s="145">
        <f>ROUND(I198*H198,2)</f>
        <v>0</v>
      </c>
      <c r="BL198" s="18" t="s">
        <v>158</v>
      </c>
      <c r="BM198" s="144" t="s">
        <v>1336</v>
      </c>
    </row>
    <row r="199" spans="2:65" s="1" customFormat="1" ht="11.25">
      <c r="B199" s="33"/>
      <c r="D199" s="146" t="s">
        <v>160</v>
      </c>
      <c r="F199" s="147" t="s">
        <v>1337</v>
      </c>
      <c r="I199" s="148"/>
      <c r="L199" s="33"/>
      <c r="M199" s="149"/>
      <c r="T199" s="54"/>
      <c r="AT199" s="18" t="s">
        <v>160</v>
      </c>
      <c r="AU199" s="18" t="s">
        <v>79</v>
      </c>
    </row>
    <row r="200" spans="2:65" s="14" customFormat="1" ht="11.25">
      <c r="B200" s="165"/>
      <c r="D200" s="151" t="s">
        <v>162</v>
      </c>
      <c r="E200" s="166" t="s">
        <v>3</v>
      </c>
      <c r="F200" s="167" t="s">
        <v>1338</v>
      </c>
      <c r="H200" s="166" t="s">
        <v>3</v>
      </c>
      <c r="I200" s="168"/>
      <c r="L200" s="165"/>
      <c r="M200" s="169"/>
      <c r="T200" s="170"/>
      <c r="AT200" s="166" t="s">
        <v>162</v>
      </c>
      <c r="AU200" s="166" t="s">
        <v>79</v>
      </c>
      <c r="AV200" s="14" t="s">
        <v>77</v>
      </c>
      <c r="AW200" s="14" t="s">
        <v>30</v>
      </c>
      <c r="AX200" s="14" t="s">
        <v>69</v>
      </c>
      <c r="AY200" s="166" t="s">
        <v>151</v>
      </c>
    </row>
    <row r="201" spans="2:65" s="12" customFormat="1" ht="11.25">
      <c r="B201" s="150"/>
      <c r="D201" s="151" t="s">
        <v>162</v>
      </c>
      <c r="E201" s="152" t="s">
        <v>3</v>
      </c>
      <c r="F201" s="153" t="s">
        <v>1339</v>
      </c>
      <c r="H201" s="154">
        <v>21.78</v>
      </c>
      <c r="I201" s="155"/>
      <c r="L201" s="150"/>
      <c r="M201" s="156"/>
      <c r="T201" s="157"/>
      <c r="AT201" s="152" t="s">
        <v>162</v>
      </c>
      <c r="AU201" s="152" t="s">
        <v>79</v>
      </c>
      <c r="AV201" s="12" t="s">
        <v>79</v>
      </c>
      <c r="AW201" s="12" t="s">
        <v>30</v>
      </c>
      <c r="AX201" s="12" t="s">
        <v>69</v>
      </c>
      <c r="AY201" s="152" t="s">
        <v>151</v>
      </c>
    </row>
    <row r="202" spans="2:65" s="13" customFormat="1" ht="11.25">
      <c r="B202" s="158"/>
      <c r="D202" s="151" t="s">
        <v>162</v>
      </c>
      <c r="E202" s="159" t="s">
        <v>3</v>
      </c>
      <c r="F202" s="160" t="s">
        <v>167</v>
      </c>
      <c r="H202" s="161">
        <v>21.78</v>
      </c>
      <c r="I202" s="162"/>
      <c r="L202" s="158"/>
      <c r="M202" s="163"/>
      <c r="T202" s="164"/>
      <c r="AT202" s="159" t="s">
        <v>162</v>
      </c>
      <c r="AU202" s="159" t="s">
        <v>79</v>
      </c>
      <c r="AV202" s="13" t="s">
        <v>158</v>
      </c>
      <c r="AW202" s="13" t="s">
        <v>30</v>
      </c>
      <c r="AX202" s="13" t="s">
        <v>77</v>
      </c>
      <c r="AY202" s="159" t="s">
        <v>151</v>
      </c>
    </row>
    <row r="203" spans="2:65" s="1" customFormat="1" ht="16.5" customHeight="1">
      <c r="B203" s="132"/>
      <c r="C203" s="133" t="s">
        <v>343</v>
      </c>
      <c r="D203" s="133" t="s">
        <v>153</v>
      </c>
      <c r="E203" s="134" t="s">
        <v>1334</v>
      </c>
      <c r="F203" s="135" t="s">
        <v>1335</v>
      </c>
      <c r="G203" s="136" t="s">
        <v>183</v>
      </c>
      <c r="H203" s="137">
        <v>725.17499999999995</v>
      </c>
      <c r="I203" s="138"/>
      <c r="J203" s="139">
        <f>ROUND(I203*H203,2)</f>
        <v>0</v>
      </c>
      <c r="K203" s="135" t="s">
        <v>171</v>
      </c>
      <c r="L203" s="33"/>
      <c r="M203" s="140" t="s">
        <v>3</v>
      </c>
      <c r="N203" s="141" t="s">
        <v>40</v>
      </c>
      <c r="P203" s="142">
        <f>O203*H203</f>
        <v>0</v>
      </c>
      <c r="Q203" s="142">
        <v>0</v>
      </c>
      <c r="R203" s="142">
        <f>Q203*H203</f>
        <v>0</v>
      </c>
      <c r="S203" s="142">
        <v>0</v>
      </c>
      <c r="T203" s="143">
        <f>S203*H203</f>
        <v>0</v>
      </c>
      <c r="AR203" s="144" t="s">
        <v>158</v>
      </c>
      <c r="AT203" s="144" t="s">
        <v>153</v>
      </c>
      <c r="AU203" s="144" t="s">
        <v>79</v>
      </c>
      <c r="AY203" s="18" t="s">
        <v>151</v>
      </c>
      <c r="BE203" s="145">
        <f>IF(N203="základní",J203,0)</f>
        <v>0</v>
      </c>
      <c r="BF203" s="145">
        <f>IF(N203="snížená",J203,0)</f>
        <v>0</v>
      </c>
      <c r="BG203" s="145">
        <f>IF(N203="zákl. přenesená",J203,0)</f>
        <v>0</v>
      </c>
      <c r="BH203" s="145">
        <f>IF(N203="sníž. přenesená",J203,0)</f>
        <v>0</v>
      </c>
      <c r="BI203" s="145">
        <f>IF(N203="nulová",J203,0)</f>
        <v>0</v>
      </c>
      <c r="BJ203" s="18" t="s">
        <v>77</v>
      </c>
      <c r="BK203" s="145">
        <f>ROUND(I203*H203,2)</f>
        <v>0</v>
      </c>
      <c r="BL203" s="18" t="s">
        <v>158</v>
      </c>
      <c r="BM203" s="144" t="s">
        <v>1340</v>
      </c>
    </row>
    <row r="204" spans="2:65" s="1" customFormat="1" ht="11.25">
      <c r="B204" s="33"/>
      <c r="D204" s="146" t="s">
        <v>160</v>
      </c>
      <c r="F204" s="147" t="s">
        <v>1337</v>
      </c>
      <c r="I204" s="148"/>
      <c r="L204" s="33"/>
      <c r="M204" s="149"/>
      <c r="T204" s="54"/>
      <c r="AT204" s="18" t="s">
        <v>160</v>
      </c>
      <c r="AU204" s="18" t="s">
        <v>79</v>
      </c>
    </row>
    <row r="205" spans="2:65" s="14" customFormat="1" ht="11.25">
      <c r="B205" s="165"/>
      <c r="D205" s="151" t="s">
        <v>162</v>
      </c>
      <c r="E205" s="166" t="s">
        <v>3</v>
      </c>
      <c r="F205" s="167" t="s">
        <v>1341</v>
      </c>
      <c r="H205" s="166" t="s">
        <v>3</v>
      </c>
      <c r="I205" s="168"/>
      <c r="L205" s="165"/>
      <c r="M205" s="169"/>
      <c r="T205" s="170"/>
      <c r="AT205" s="166" t="s">
        <v>162</v>
      </c>
      <c r="AU205" s="166" t="s">
        <v>79</v>
      </c>
      <c r="AV205" s="14" t="s">
        <v>77</v>
      </c>
      <c r="AW205" s="14" t="s">
        <v>30</v>
      </c>
      <c r="AX205" s="14" t="s">
        <v>69</v>
      </c>
      <c r="AY205" s="166" t="s">
        <v>151</v>
      </c>
    </row>
    <row r="206" spans="2:65" s="12" customFormat="1" ht="11.25">
      <c r="B206" s="150"/>
      <c r="D206" s="151" t="s">
        <v>162</v>
      </c>
      <c r="E206" s="152" t="s">
        <v>3</v>
      </c>
      <c r="F206" s="153" t="s">
        <v>1342</v>
      </c>
      <c r="H206" s="154">
        <v>725.17499999999995</v>
      </c>
      <c r="I206" s="155"/>
      <c r="L206" s="150"/>
      <c r="M206" s="156"/>
      <c r="T206" s="157"/>
      <c r="AT206" s="152" t="s">
        <v>162</v>
      </c>
      <c r="AU206" s="152" t="s">
        <v>79</v>
      </c>
      <c r="AV206" s="12" t="s">
        <v>79</v>
      </c>
      <c r="AW206" s="12" t="s">
        <v>30</v>
      </c>
      <c r="AX206" s="12" t="s">
        <v>69</v>
      </c>
      <c r="AY206" s="152" t="s">
        <v>151</v>
      </c>
    </row>
    <row r="207" spans="2:65" s="13" customFormat="1" ht="11.25">
      <c r="B207" s="158"/>
      <c r="D207" s="151" t="s">
        <v>162</v>
      </c>
      <c r="E207" s="159" t="s">
        <v>3</v>
      </c>
      <c r="F207" s="160" t="s">
        <v>167</v>
      </c>
      <c r="H207" s="161">
        <v>725.17499999999995</v>
      </c>
      <c r="I207" s="162"/>
      <c r="L207" s="158"/>
      <c r="M207" s="163"/>
      <c r="T207" s="164"/>
      <c r="AT207" s="159" t="s">
        <v>162</v>
      </c>
      <c r="AU207" s="159" t="s">
        <v>79</v>
      </c>
      <c r="AV207" s="13" t="s">
        <v>158</v>
      </c>
      <c r="AW207" s="13" t="s">
        <v>30</v>
      </c>
      <c r="AX207" s="13" t="s">
        <v>77</v>
      </c>
      <c r="AY207" s="159" t="s">
        <v>151</v>
      </c>
    </row>
    <row r="208" spans="2:65" s="1" customFormat="1" ht="16.5" customHeight="1">
      <c r="B208" s="132"/>
      <c r="C208" s="133" t="s">
        <v>347</v>
      </c>
      <c r="D208" s="133" t="s">
        <v>153</v>
      </c>
      <c r="E208" s="134" t="s">
        <v>1343</v>
      </c>
      <c r="F208" s="135" t="s">
        <v>1344</v>
      </c>
      <c r="G208" s="136" t="s">
        <v>183</v>
      </c>
      <c r="H208" s="137">
        <v>631.62</v>
      </c>
      <c r="I208" s="138"/>
      <c r="J208" s="139">
        <f>ROUND(I208*H208,2)</f>
        <v>0</v>
      </c>
      <c r="K208" s="135" t="s">
        <v>171</v>
      </c>
      <c r="L208" s="33"/>
      <c r="M208" s="140" t="s">
        <v>3</v>
      </c>
      <c r="N208" s="141" t="s">
        <v>40</v>
      </c>
      <c r="P208" s="142">
        <f>O208*H208</f>
        <v>0</v>
      </c>
      <c r="Q208" s="142">
        <v>0</v>
      </c>
      <c r="R208" s="142">
        <f>Q208*H208</f>
        <v>0</v>
      </c>
      <c r="S208" s="142">
        <v>0</v>
      </c>
      <c r="T208" s="143">
        <f>S208*H208</f>
        <v>0</v>
      </c>
      <c r="AR208" s="144" t="s">
        <v>158</v>
      </c>
      <c r="AT208" s="144" t="s">
        <v>153</v>
      </c>
      <c r="AU208" s="144" t="s">
        <v>79</v>
      </c>
      <c r="AY208" s="18" t="s">
        <v>151</v>
      </c>
      <c r="BE208" s="145">
        <f>IF(N208="základní",J208,0)</f>
        <v>0</v>
      </c>
      <c r="BF208" s="145">
        <f>IF(N208="snížená",J208,0)</f>
        <v>0</v>
      </c>
      <c r="BG208" s="145">
        <f>IF(N208="zákl. přenesená",J208,0)</f>
        <v>0</v>
      </c>
      <c r="BH208" s="145">
        <f>IF(N208="sníž. přenesená",J208,0)</f>
        <v>0</v>
      </c>
      <c r="BI208" s="145">
        <f>IF(N208="nulová",J208,0)</f>
        <v>0</v>
      </c>
      <c r="BJ208" s="18" t="s">
        <v>77</v>
      </c>
      <c r="BK208" s="145">
        <f>ROUND(I208*H208,2)</f>
        <v>0</v>
      </c>
      <c r="BL208" s="18" t="s">
        <v>158</v>
      </c>
      <c r="BM208" s="144" t="s">
        <v>1345</v>
      </c>
    </row>
    <row r="209" spans="2:65" s="1" customFormat="1" ht="11.25">
      <c r="B209" s="33"/>
      <c r="D209" s="146" t="s">
        <v>160</v>
      </c>
      <c r="F209" s="147" t="s">
        <v>1346</v>
      </c>
      <c r="I209" s="148"/>
      <c r="L209" s="33"/>
      <c r="M209" s="149"/>
      <c r="T209" s="54"/>
      <c r="AT209" s="18" t="s">
        <v>160</v>
      </c>
      <c r="AU209" s="18" t="s">
        <v>79</v>
      </c>
    </row>
    <row r="210" spans="2:65" s="14" customFormat="1" ht="11.25">
      <c r="B210" s="165"/>
      <c r="D210" s="151" t="s">
        <v>162</v>
      </c>
      <c r="E210" s="166" t="s">
        <v>3</v>
      </c>
      <c r="F210" s="167" t="s">
        <v>1347</v>
      </c>
      <c r="H210" s="166" t="s">
        <v>3</v>
      </c>
      <c r="I210" s="168"/>
      <c r="L210" s="165"/>
      <c r="M210" s="169"/>
      <c r="T210" s="170"/>
      <c r="AT210" s="166" t="s">
        <v>162</v>
      </c>
      <c r="AU210" s="166" t="s">
        <v>79</v>
      </c>
      <c r="AV210" s="14" t="s">
        <v>77</v>
      </c>
      <c r="AW210" s="14" t="s">
        <v>30</v>
      </c>
      <c r="AX210" s="14" t="s">
        <v>69</v>
      </c>
      <c r="AY210" s="166" t="s">
        <v>151</v>
      </c>
    </row>
    <row r="211" spans="2:65" s="12" customFormat="1" ht="11.25">
      <c r="B211" s="150"/>
      <c r="D211" s="151" t="s">
        <v>162</v>
      </c>
      <c r="E211" s="152" t="s">
        <v>3</v>
      </c>
      <c r="F211" s="153" t="s">
        <v>1348</v>
      </c>
      <c r="H211" s="154">
        <v>631.62</v>
      </c>
      <c r="I211" s="155"/>
      <c r="L211" s="150"/>
      <c r="M211" s="156"/>
      <c r="T211" s="157"/>
      <c r="AT211" s="152" t="s">
        <v>162</v>
      </c>
      <c r="AU211" s="152" t="s">
        <v>79</v>
      </c>
      <c r="AV211" s="12" t="s">
        <v>79</v>
      </c>
      <c r="AW211" s="12" t="s">
        <v>30</v>
      </c>
      <c r="AX211" s="12" t="s">
        <v>69</v>
      </c>
      <c r="AY211" s="152" t="s">
        <v>151</v>
      </c>
    </row>
    <row r="212" spans="2:65" s="13" customFormat="1" ht="11.25">
      <c r="B212" s="158"/>
      <c r="D212" s="151" t="s">
        <v>162</v>
      </c>
      <c r="E212" s="159" t="s">
        <v>3</v>
      </c>
      <c r="F212" s="160" t="s">
        <v>167</v>
      </c>
      <c r="H212" s="161">
        <v>631.62</v>
      </c>
      <c r="I212" s="162"/>
      <c r="L212" s="158"/>
      <c r="M212" s="163"/>
      <c r="T212" s="164"/>
      <c r="AT212" s="159" t="s">
        <v>162</v>
      </c>
      <c r="AU212" s="159" t="s">
        <v>79</v>
      </c>
      <c r="AV212" s="13" t="s">
        <v>158</v>
      </c>
      <c r="AW212" s="13" t="s">
        <v>30</v>
      </c>
      <c r="AX212" s="13" t="s">
        <v>77</v>
      </c>
      <c r="AY212" s="159" t="s">
        <v>151</v>
      </c>
    </row>
    <row r="213" spans="2:65" s="1" customFormat="1" ht="16.5" customHeight="1">
      <c r="B213" s="132"/>
      <c r="C213" s="133" t="s">
        <v>359</v>
      </c>
      <c r="D213" s="133" t="s">
        <v>153</v>
      </c>
      <c r="E213" s="134" t="s">
        <v>1343</v>
      </c>
      <c r="F213" s="135" t="s">
        <v>1344</v>
      </c>
      <c r="G213" s="136" t="s">
        <v>183</v>
      </c>
      <c r="H213" s="137">
        <v>21030.075000000001</v>
      </c>
      <c r="I213" s="138"/>
      <c r="J213" s="139">
        <f>ROUND(I213*H213,2)</f>
        <v>0</v>
      </c>
      <c r="K213" s="135" t="s">
        <v>171</v>
      </c>
      <c r="L213" s="33"/>
      <c r="M213" s="140" t="s">
        <v>3</v>
      </c>
      <c r="N213" s="141" t="s">
        <v>40</v>
      </c>
      <c r="P213" s="142">
        <f>O213*H213</f>
        <v>0</v>
      </c>
      <c r="Q213" s="142">
        <v>0</v>
      </c>
      <c r="R213" s="142">
        <f>Q213*H213</f>
        <v>0</v>
      </c>
      <c r="S213" s="142">
        <v>0</v>
      </c>
      <c r="T213" s="143">
        <f>S213*H213</f>
        <v>0</v>
      </c>
      <c r="AR213" s="144" t="s">
        <v>158</v>
      </c>
      <c r="AT213" s="144" t="s">
        <v>153</v>
      </c>
      <c r="AU213" s="144" t="s">
        <v>79</v>
      </c>
      <c r="AY213" s="18" t="s">
        <v>151</v>
      </c>
      <c r="BE213" s="145">
        <f>IF(N213="základní",J213,0)</f>
        <v>0</v>
      </c>
      <c r="BF213" s="145">
        <f>IF(N213="snížená",J213,0)</f>
        <v>0</v>
      </c>
      <c r="BG213" s="145">
        <f>IF(N213="zákl. přenesená",J213,0)</f>
        <v>0</v>
      </c>
      <c r="BH213" s="145">
        <f>IF(N213="sníž. přenesená",J213,0)</f>
        <v>0</v>
      </c>
      <c r="BI213" s="145">
        <f>IF(N213="nulová",J213,0)</f>
        <v>0</v>
      </c>
      <c r="BJ213" s="18" t="s">
        <v>77</v>
      </c>
      <c r="BK213" s="145">
        <f>ROUND(I213*H213,2)</f>
        <v>0</v>
      </c>
      <c r="BL213" s="18" t="s">
        <v>158</v>
      </c>
      <c r="BM213" s="144" t="s">
        <v>1349</v>
      </c>
    </row>
    <row r="214" spans="2:65" s="1" customFormat="1" ht="11.25">
      <c r="B214" s="33"/>
      <c r="D214" s="146" t="s">
        <v>160</v>
      </c>
      <c r="F214" s="147" t="s">
        <v>1346</v>
      </c>
      <c r="I214" s="148"/>
      <c r="L214" s="33"/>
      <c r="M214" s="149"/>
      <c r="T214" s="54"/>
      <c r="AT214" s="18" t="s">
        <v>160</v>
      </c>
      <c r="AU214" s="18" t="s">
        <v>79</v>
      </c>
    </row>
    <row r="215" spans="2:65" s="14" customFormat="1" ht="11.25">
      <c r="B215" s="165"/>
      <c r="D215" s="151" t="s">
        <v>162</v>
      </c>
      <c r="E215" s="166" t="s">
        <v>3</v>
      </c>
      <c r="F215" s="167" t="s">
        <v>1350</v>
      </c>
      <c r="H215" s="166" t="s">
        <v>3</v>
      </c>
      <c r="I215" s="168"/>
      <c r="L215" s="165"/>
      <c r="M215" s="169"/>
      <c r="T215" s="170"/>
      <c r="AT215" s="166" t="s">
        <v>162</v>
      </c>
      <c r="AU215" s="166" t="s">
        <v>79</v>
      </c>
      <c r="AV215" s="14" t="s">
        <v>77</v>
      </c>
      <c r="AW215" s="14" t="s">
        <v>30</v>
      </c>
      <c r="AX215" s="14" t="s">
        <v>69</v>
      </c>
      <c r="AY215" s="166" t="s">
        <v>151</v>
      </c>
    </row>
    <row r="216" spans="2:65" s="12" customFormat="1" ht="11.25">
      <c r="B216" s="150"/>
      <c r="D216" s="151" t="s">
        <v>162</v>
      </c>
      <c r="E216" s="152" t="s">
        <v>3</v>
      </c>
      <c r="F216" s="153" t="s">
        <v>1351</v>
      </c>
      <c r="H216" s="154">
        <v>21030.075000000001</v>
      </c>
      <c r="I216" s="155"/>
      <c r="L216" s="150"/>
      <c r="M216" s="156"/>
      <c r="T216" s="157"/>
      <c r="AT216" s="152" t="s">
        <v>162</v>
      </c>
      <c r="AU216" s="152" t="s">
        <v>79</v>
      </c>
      <c r="AV216" s="12" t="s">
        <v>79</v>
      </c>
      <c r="AW216" s="12" t="s">
        <v>30</v>
      </c>
      <c r="AX216" s="12" t="s">
        <v>69</v>
      </c>
      <c r="AY216" s="152" t="s">
        <v>151</v>
      </c>
    </row>
    <row r="217" spans="2:65" s="13" customFormat="1" ht="11.25">
      <c r="B217" s="158"/>
      <c r="D217" s="151" t="s">
        <v>162</v>
      </c>
      <c r="E217" s="159" t="s">
        <v>3</v>
      </c>
      <c r="F217" s="160" t="s">
        <v>167</v>
      </c>
      <c r="H217" s="161">
        <v>21030.075000000001</v>
      </c>
      <c r="I217" s="162"/>
      <c r="L217" s="158"/>
      <c r="M217" s="163"/>
      <c r="T217" s="164"/>
      <c r="AT217" s="159" t="s">
        <v>162</v>
      </c>
      <c r="AU217" s="159" t="s">
        <v>79</v>
      </c>
      <c r="AV217" s="13" t="s">
        <v>158</v>
      </c>
      <c r="AW217" s="13" t="s">
        <v>30</v>
      </c>
      <c r="AX217" s="13" t="s">
        <v>77</v>
      </c>
      <c r="AY217" s="159" t="s">
        <v>151</v>
      </c>
    </row>
    <row r="218" spans="2:65" s="1" customFormat="1" ht="16.5" customHeight="1">
      <c r="B218" s="132"/>
      <c r="C218" s="133" t="s">
        <v>367</v>
      </c>
      <c r="D218" s="133" t="s">
        <v>153</v>
      </c>
      <c r="E218" s="134" t="s">
        <v>1352</v>
      </c>
      <c r="F218" s="135" t="s">
        <v>1353</v>
      </c>
      <c r="G218" s="136" t="s">
        <v>183</v>
      </c>
      <c r="H218" s="137">
        <v>28.29</v>
      </c>
      <c r="I218" s="138"/>
      <c r="J218" s="139">
        <f>ROUND(I218*H218,2)</f>
        <v>0</v>
      </c>
      <c r="K218" s="135" t="s">
        <v>171</v>
      </c>
      <c r="L218" s="33"/>
      <c r="M218" s="140" t="s">
        <v>3</v>
      </c>
      <c r="N218" s="141" t="s">
        <v>40</v>
      </c>
      <c r="P218" s="142">
        <f>O218*H218</f>
        <v>0</v>
      </c>
      <c r="Q218" s="142">
        <v>0</v>
      </c>
      <c r="R218" s="142">
        <f>Q218*H218</f>
        <v>0</v>
      </c>
      <c r="S218" s="142">
        <v>0</v>
      </c>
      <c r="T218" s="143">
        <f>S218*H218</f>
        <v>0</v>
      </c>
      <c r="AR218" s="144" t="s">
        <v>158</v>
      </c>
      <c r="AT218" s="144" t="s">
        <v>153</v>
      </c>
      <c r="AU218" s="144" t="s">
        <v>79</v>
      </c>
      <c r="AY218" s="18" t="s">
        <v>151</v>
      </c>
      <c r="BE218" s="145">
        <f>IF(N218="základní",J218,0)</f>
        <v>0</v>
      </c>
      <c r="BF218" s="145">
        <f>IF(N218="snížená",J218,0)</f>
        <v>0</v>
      </c>
      <c r="BG218" s="145">
        <f>IF(N218="zákl. přenesená",J218,0)</f>
        <v>0</v>
      </c>
      <c r="BH218" s="145">
        <f>IF(N218="sníž. přenesená",J218,0)</f>
        <v>0</v>
      </c>
      <c r="BI218" s="145">
        <f>IF(N218="nulová",J218,0)</f>
        <v>0</v>
      </c>
      <c r="BJ218" s="18" t="s">
        <v>77</v>
      </c>
      <c r="BK218" s="145">
        <f>ROUND(I218*H218,2)</f>
        <v>0</v>
      </c>
      <c r="BL218" s="18" t="s">
        <v>158</v>
      </c>
      <c r="BM218" s="144" t="s">
        <v>1354</v>
      </c>
    </row>
    <row r="219" spans="2:65" s="1" customFormat="1" ht="11.25">
      <c r="B219" s="33"/>
      <c r="D219" s="146" t="s">
        <v>160</v>
      </c>
      <c r="F219" s="147" t="s">
        <v>1355</v>
      </c>
      <c r="I219" s="148"/>
      <c r="L219" s="33"/>
      <c r="M219" s="149"/>
      <c r="T219" s="54"/>
      <c r="AT219" s="18" t="s">
        <v>160</v>
      </c>
      <c r="AU219" s="18" t="s">
        <v>79</v>
      </c>
    </row>
    <row r="220" spans="2:65" s="14" customFormat="1" ht="11.25">
      <c r="B220" s="165"/>
      <c r="D220" s="151" t="s">
        <v>162</v>
      </c>
      <c r="E220" s="166" t="s">
        <v>3</v>
      </c>
      <c r="F220" s="167" t="s">
        <v>1356</v>
      </c>
      <c r="H220" s="166" t="s">
        <v>3</v>
      </c>
      <c r="I220" s="168"/>
      <c r="L220" s="165"/>
      <c r="M220" s="169"/>
      <c r="T220" s="170"/>
      <c r="AT220" s="166" t="s">
        <v>162</v>
      </c>
      <c r="AU220" s="166" t="s">
        <v>79</v>
      </c>
      <c r="AV220" s="14" t="s">
        <v>77</v>
      </c>
      <c r="AW220" s="14" t="s">
        <v>30</v>
      </c>
      <c r="AX220" s="14" t="s">
        <v>69</v>
      </c>
      <c r="AY220" s="166" t="s">
        <v>151</v>
      </c>
    </row>
    <row r="221" spans="2:65" s="12" customFormat="1" ht="11.25">
      <c r="B221" s="150"/>
      <c r="D221" s="151" t="s">
        <v>162</v>
      </c>
      <c r="E221" s="152" t="s">
        <v>3</v>
      </c>
      <c r="F221" s="153" t="s">
        <v>1357</v>
      </c>
      <c r="H221" s="154">
        <v>28.29</v>
      </c>
      <c r="I221" s="155"/>
      <c r="L221" s="150"/>
      <c r="M221" s="156"/>
      <c r="T221" s="157"/>
      <c r="AT221" s="152" t="s">
        <v>162</v>
      </c>
      <c r="AU221" s="152" t="s">
        <v>79</v>
      </c>
      <c r="AV221" s="12" t="s">
        <v>79</v>
      </c>
      <c r="AW221" s="12" t="s">
        <v>30</v>
      </c>
      <c r="AX221" s="12" t="s">
        <v>69</v>
      </c>
      <c r="AY221" s="152" t="s">
        <v>151</v>
      </c>
    </row>
    <row r="222" spans="2:65" s="13" customFormat="1" ht="11.25">
      <c r="B222" s="158"/>
      <c r="D222" s="151" t="s">
        <v>162</v>
      </c>
      <c r="E222" s="159" t="s">
        <v>3</v>
      </c>
      <c r="F222" s="160" t="s">
        <v>167</v>
      </c>
      <c r="H222" s="161">
        <v>28.29</v>
      </c>
      <c r="I222" s="162"/>
      <c r="L222" s="158"/>
      <c r="M222" s="163"/>
      <c r="T222" s="164"/>
      <c r="AT222" s="159" t="s">
        <v>162</v>
      </c>
      <c r="AU222" s="159" t="s">
        <v>79</v>
      </c>
      <c r="AV222" s="13" t="s">
        <v>158</v>
      </c>
      <c r="AW222" s="13" t="s">
        <v>30</v>
      </c>
      <c r="AX222" s="13" t="s">
        <v>77</v>
      </c>
      <c r="AY222" s="159" t="s">
        <v>151</v>
      </c>
    </row>
    <row r="223" spans="2:65" s="1" customFormat="1" ht="16.5" customHeight="1">
      <c r="B223" s="132"/>
      <c r="C223" s="133" t="s">
        <v>373</v>
      </c>
      <c r="D223" s="133" t="s">
        <v>153</v>
      </c>
      <c r="E223" s="134" t="s">
        <v>1358</v>
      </c>
      <c r="F223" s="135" t="s">
        <v>1359</v>
      </c>
      <c r="G223" s="136" t="s">
        <v>183</v>
      </c>
      <c r="H223" s="137">
        <v>820.41</v>
      </c>
      <c r="I223" s="138"/>
      <c r="J223" s="139">
        <f>ROUND(I223*H223,2)</f>
        <v>0</v>
      </c>
      <c r="K223" s="135" t="s">
        <v>171</v>
      </c>
      <c r="L223" s="33"/>
      <c r="M223" s="140" t="s">
        <v>3</v>
      </c>
      <c r="N223" s="141" t="s">
        <v>40</v>
      </c>
      <c r="P223" s="142">
        <f>O223*H223</f>
        <v>0</v>
      </c>
      <c r="Q223" s="142">
        <v>0</v>
      </c>
      <c r="R223" s="142">
        <f>Q223*H223</f>
        <v>0</v>
      </c>
      <c r="S223" s="142">
        <v>0</v>
      </c>
      <c r="T223" s="143">
        <f>S223*H223</f>
        <v>0</v>
      </c>
      <c r="AR223" s="144" t="s">
        <v>158</v>
      </c>
      <c r="AT223" s="144" t="s">
        <v>153</v>
      </c>
      <c r="AU223" s="144" t="s">
        <v>79</v>
      </c>
      <c r="AY223" s="18" t="s">
        <v>151</v>
      </c>
      <c r="BE223" s="145">
        <f>IF(N223="základní",J223,0)</f>
        <v>0</v>
      </c>
      <c r="BF223" s="145">
        <f>IF(N223="snížená",J223,0)</f>
        <v>0</v>
      </c>
      <c r="BG223" s="145">
        <f>IF(N223="zákl. přenesená",J223,0)</f>
        <v>0</v>
      </c>
      <c r="BH223" s="145">
        <f>IF(N223="sníž. přenesená",J223,0)</f>
        <v>0</v>
      </c>
      <c r="BI223" s="145">
        <f>IF(N223="nulová",J223,0)</f>
        <v>0</v>
      </c>
      <c r="BJ223" s="18" t="s">
        <v>77</v>
      </c>
      <c r="BK223" s="145">
        <f>ROUND(I223*H223,2)</f>
        <v>0</v>
      </c>
      <c r="BL223" s="18" t="s">
        <v>158</v>
      </c>
      <c r="BM223" s="144" t="s">
        <v>1360</v>
      </c>
    </row>
    <row r="224" spans="2:65" s="1" customFormat="1" ht="11.25">
      <c r="B224" s="33"/>
      <c r="D224" s="146" t="s">
        <v>160</v>
      </c>
      <c r="F224" s="147" t="s">
        <v>1361</v>
      </c>
      <c r="I224" s="148"/>
      <c r="L224" s="33"/>
      <c r="M224" s="149"/>
      <c r="T224" s="54"/>
      <c r="AT224" s="18" t="s">
        <v>160</v>
      </c>
      <c r="AU224" s="18" t="s">
        <v>79</v>
      </c>
    </row>
    <row r="225" spans="2:65" s="14" customFormat="1" ht="11.25">
      <c r="B225" s="165"/>
      <c r="D225" s="151" t="s">
        <v>162</v>
      </c>
      <c r="E225" s="166" t="s">
        <v>3</v>
      </c>
      <c r="F225" s="167" t="s">
        <v>1362</v>
      </c>
      <c r="H225" s="166" t="s">
        <v>3</v>
      </c>
      <c r="I225" s="168"/>
      <c r="L225" s="165"/>
      <c r="M225" s="169"/>
      <c r="T225" s="170"/>
      <c r="AT225" s="166" t="s">
        <v>162</v>
      </c>
      <c r="AU225" s="166" t="s">
        <v>79</v>
      </c>
      <c r="AV225" s="14" t="s">
        <v>77</v>
      </c>
      <c r="AW225" s="14" t="s">
        <v>30</v>
      </c>
      <c r="AX225" s="14" t="s">
        <v>69</v>
      </c>
      <c r="AY225" s="166" t="s">
        <v>151</v>
      </c>
    </row>
    <row r="226" spans="2:65" s="12" customFormat="1" ht="11.25">
      <c r="B226" s="150"/>
      <c r="D226" s="151" t="s">
        <v>162</v>
      </c>
      <c r="E226" s="152" t="s">
        <v>3</v>
      </c>
      <c r="F226" s="153" t="s">
        <v>1363</v>
      </c>
      <c r="H226" s="154">
        <v>820.41</v>
      </c>
      <c r="I226" s="155"/>
      <c r="L226" s="150"/>
      <c r="M226" s="156"/>
      <c r="T226" s="157"/>
      <c r="AT226" s="152" t="s">
        <v>162</v>
      </c>
      <c r="AU226" s="152" t="s">
        <v>79</v>
      </c>
      <c r="AV226" s="12" t="s">
        <v>79</v>
      </c>
      <c r="AW226" s="12" t="s">
        <v>30</v>
      </c>
      <c r="AX226" s="12" t="s">
        <v>69</v>
      </c>
      <c r="AY226" s="152" t="s">
        <v>151</v>
      </c>
    </row>
    <row r="227" spans="2:65" s="13" customFormat="1" ht="11.25">
      <c r="B227" s="158"/>
      <c r="D227" s="151" t="s">
        <v>162</v>
      </c>
      <c r="E227" s="159" t="s">
        <v>3</v>
      </c>
      <c r="F227" s="160" t="s">
        <v>167</v>
      </c>
      <c r="H227" s="161">
        <v>820.41</v>
      </c>
      <c r="I227" s="162"/>
      <c r="L227" s="158"/>
      <c r="M227" s="163"/>
      <c r="T227" s="164"/>
      <c r="AT227" s="159" t="s">
        <v>162</v>
      </c>
      <c r="AU227" s="159" t="s">
        <v>79</v>
      </c>
      <c r="AV227" s="13" t="s">
        <v>158</v>
      </c>
      <c r="AW227" s="13" t="s">
        <v>30</v>
      </c>
      <c r="AX227" s="13" t="s">
        <v>77</v>
      </c>
      <c r="AY227" s="159" t="s">
        <v>151</v>
      </c>
    </row>
    <row r="228" spans="2:65" s="1" customFormat="1" ht="16.5" customHeight="1">
      <c r="B228" s="132"/>
      <c r="C228" s="133" t="s">
        <v>378</v>
      </c>
      <c r="D228" s="133" t="s">
        <v>153</v>
      </c>
      <c r="E228" s="134" t="s">
        <v>1364</v>
      </c>
      <c r="F228" s="135" t="s">
        <v>1365</v>
      </c>
      <c r="G228" s="136" t="s">
        <v>183</v>
      </c>
      <c r="H228" s="137">
        <v>21.78</v>
      </c>
      <c r="I228" s="138"/>
      <c r="J228" s="139">
        <f>ROUND(I228*H228,2)</f>
        <v>0</v>
      </c>
      <c r="K228" s="135" t="s">
        <v>171</v>
      </c>
      <c r="L228" s="33"/>
      <c r="M228" s="140" t="s">
        <v>3</v>
      </c>
      <c r="N228" s="141" t="s">
        <v>40</v>
      </c>
      <c r="P228" s="142">
        <f>O228*H228</f>
        <v>0</v>
      </c>
      <c r="Q228" s="142">
        <v>0</v>
      </c>
      <c r="R228" s="142">
        <f>Q228*H228</f>
        <v>0</v>
      </c>
      <c r="S228" s="142">
        <v>0</v>
      </c>
      <c r="T228" s="143">
        <f>S228*H228</f>
        <v>0</v>
      </c>
      <c r="AR228" s="144" t="s">
        <v>158</v>
      </c>
      <c r="AT228" s="144" t="s">
        <v>153</v>
      </c>
      <c r="AU228" s="144" t="s">
        <v>79</v>
      </c>
      <c r="AY228" s="18" t="s">
        <v>151</v>
      </c>
      <c r="BE228" s="145">
        <f>IF(N228="základní",J228,0)</f>
        <v>0</v>
      </c>
      <c r="BF228" s="145">
        <f>IF(N228="snížená",J228,0)</f>
        <v>0</v>
      </c>
      <c r="BG228" s="145">
        <f>IF(N228="zákl. přenesená",J228,0)</f>
        <v>0</v>
      </c>
      <c r="BH228" s="145">
        <f>IF(N228="sníž. přenesená",J228,0)</f>
        <v>0</v>
      </c>
      <c r="BI228" s="145">
        <f>IF(N228="nulová",J228,0)</f>
        <v>0</v>
      </c>
      <c r="BJ228" s="18" t="s">
        <v>77</v>
      </c>
      <c r="BK228" s="145">
        <f>ROUND(I228*H228,2)</f>
        <v>0</v>
      </c>
      <c r="BL228" s="18" t="s">
        <v>158</v>
      </c>
      <c r="BM228" s="144" t="s">
        <v>1366</v>
      </c>
    </row>
    <row r="229" spans="2:65" s="1" customFormat="1" ht="11.25">
      <c r="B229" s="33"/>
      <c r="D229" s="146" t="s">
        <v>160</v>
      </c>
      <c r="F229" s="147" t="s">
        <v>1367</v>
      </c>
      <c r="I229" s="148"/>
      <c r="L229" s="33"/>
      <c r="M229" s="149"/>
      <c r="T229" s="54"/>
      <c r="AT229" s="18" t="s">
        <v>160</v>
      </c>
      <c r="AU229" s="18" t="s">
        <v>79</v>
      </c>
    </row>
    <row r="230" spans="2:65" s="14" customFormat="1" ht="11.25">
      <c r="B230" s="165"/>
      <c r="D230" s="151" t="s">
        <v>162</v>
      </c>
      <c r="E230" s="166" t="s">
        <v>3</v>
      </c>
      <c r="F230" s="167" t="s">
        <v>1338</v>
      </c>
      <c r="H230" s="166" t="s">
        <v>3</v>
      </c>
      <c r="I230" s="168"/>
      <c r="L230" s="165"/>
      <c r="M230" s="169"/>
      <c r="T230" s="170"/>
      <c r="AT230" s="166" t="s">
        <v>162</v>
      </c>
      <c r="AU230" s="166" t="s">
        <v>79</v>
      </c>
      <c r="AV230" s="14" t="s">
        <v>77</v>
      </c>
      <c r="AW230" s="14" t="s">
        <v>30</v>
      </c>
      <c r="AX230" s="14" t="s">
        <v>69</v>
      </c>
      <c r="AY230" s="166" t="s">
        <v>151</v>
      </c>
    </row>
    <row r="231" spans="2:65" s="12" customFormat="1" ht="11.25">
      <c r="B231" s="150"/>
      <c r="D231" s="151" t="s">
        <v>162</v>
      </c>
      <c r="E231" s="152" t="s">
        <v>3</v>
      </c>
      <c r="F231" s="153" t="s">
        <v>1368</v>
      </c>
      <c r="H231" s="154">
        <v>21.78</v>
      </c>
      <c r="I231" s="155"/>
      <c r="L231" s="150"/>
      <c r="M231" s="156"/>
      <c r="T231" s="157"/>
      <c r="AT231" s="152" t="s">
        <v>162</v>
      </c>
      <c r="AU231" s="152" t="s">
        <v>79</v>
      </c>
      <c r="AV231" s="12" t="s">
        <v>79</v>
      </c>
      <c r="AW231" s="12" t="s">
        <v>30</v>
      </c>
      <c r="AX231" s="12" t="s">
        <v>69</v>
      </c>
      <c r="AY231" s="152" t="s">
        <v>151</v>
      </c>
    </row>
    <row r="232" spans="2:65" s="13" customFormat="1" ht="11.25">
      <c r="B232" s="158"/>
      <c r="D232" s="151" t="s">
        <v>162</v>
      </c>
      <c r="E232" s="159" t="s">
        <v>3</v>
      </c>
      <c r="F232" s="160" t="s">
        <v>167</v>
      </c>
      <c r="H232" s="161">
        <v>21.78</v>
      </c>
      <c r="I232" s="162"/>
      <c r="L232" s="158"/>
      <c r="M232" s="163"/>
      <c r="T232" s="164"/>
      <c r="AT232" s="159" t="s">
        <v>162</v>
      </c>
      <c r="AU232" s="159" t="s">
        <v>79</v>
      </c>
      <c r="AV232" s="13" t="s">
        <v>158</v>
      </c>
      <c r="AW232" s="13" t="s">
        <v>30</v>
      </c>
      <c r="AX232" s="13" t="s">
        <v>77</v>
      </c>
      <c r="AY232" s="159" t="s">
        <v>151</v>
      </c>
    </row>
    <row r="233" spans="2:65" s="1" customFormat="1" ht="16.5" customHeight="1">
      <c r="B233" s="132"/>
      <c r="C233" s="133" t="s">
        <v>384</v>
      </c>
      <c r="D233" s="133" t="s">
        <v>153</v>
      </c>
      <c r="E233" s="134" t="s">
        <v>1364</v>
      </c>
      <c r="F233" s="135" t="s">
        <v>1365</v>
      </c>
      <c r="G233" s="136" t="s">
        <v>183</v>
      </c>
      <c r="H233" s="137">
        <v>725.17499999999995</v>
      </c>
      <c r="I233" s="138"/>
      <c r="J233" s="139">
        <f>ROUND(I233*H233,2)</f>
        <v>0</v>
      </c>
      <c r="K233" s="135" t="s">
        <v>171</v>
      </c>
      <c r="L233" s="33"/>
      <c r="M233" s="140" t="s">
        <v>3</v>
      </c>
      <c r="N233" s="141" t="s">
        <v>40</v>
      </c>
      <c r="P233" s="142">
        <f>O233*H233</f>
        <v>0</v>
      </c>
      <c r="Q233" s="142">
        <v>0</v>
      </c>
      <c r="R233" s="142">
        <f>Q233*H233</f>
        <v>0</v>
      </c>
      <c r="S233" s="142">
        <v>0</v>
      </c>
      <c r="T233" s="143">
        <f>S233*H233</f>
        <v>0</v>
      </c>
      <c r="AR233" s="144" t="s">
        <v>158</v>
      </c>
      <c r="AT233" s="144" t="s">
        <v>153</v>
      </c>
      <c r="AU233" s="144" t="s">
        <v>79</v>
      </c>
      <c r="AY233" s="18" t="s">
        <v>151</v>
      </c>
      <c r="BE233" s="145">
        <f>IF(N233="základní",J233,0)</f>
        <v>0</v>
      </c>
      <c r="BF233" s="145">
        <f>IF(N233="snížená",J233,0)</f>
        <v>0</v>
      </c>
      <c r="BG233" s="145">
        <f>IF(N233="zákl. přenesená",J233,0)</f>
        <v>0</v>
      </c>
      <c r="BH233" s="145">
        <f>IF(N233="sníž. přenesená",J233,0)</f>
        <v>0</v>
      </c>
      <c r="BI233" s="145">
        <f>IF(N233="nulová",J233,0)</f>
        <v>0</v>
      </c>
      <c r="BJ233" s="18" t="s">
        <v>77</v>
      </c>
      <c r="BK233" s="145">
        <f>ROUND(I233*H233,2)</f>
        <v>0</v>
      </c>
      <c r="BL233" s="18" t="s">
        <v>158</v>
      </c>
      <c r="BM233" s="144" t="s">
        <v>1369</v>
      </c>
    </row>
    <row r="234" spans="2:65" s="1" customFormat="1" ht="11.25">
      <c r="B234" s="33"/>
      <c r="D234" s="146" t="s">
        <v>160</v>
      </c>
      <c r="F234" s="147" t="s">
        <v>1367</v>
      </c>
      <c r="I234" s="148"/>
      <c r="L234" s="33"/>
      <c r="M234" s="149"/>
      <c r="T234" s="54"/>
      <c r="AT234" s="18" t="s">
        <v>160</v>
      </c>
      <c r="AU234" s="18" t="s">
        <v>79</v>
      </c>
    </row>
    <row r="235" spans="2:65" s="14" customFormat="1" ht="11.25">
      <c r="B235" s="165"/>
      <c r="D235" s="151" t="s">
        <v>162</v>
      </c>
      <c r="E235" s="166" t="s">
        <v>3</v>
      </c>
      <c r="F235" s="167" t="s">
        <v>1341</v>
      </c>
      <c r="H235" s="166" t="s">
        <v>3</v>
      </c>
      <c r="I235" s="168"/>
      <c r="L235" s="165"/>
      <c r="M235" s="169"/>
      <c r="T235" s="170"/>
      <c r="AT235" s="166" t="s">
        <v>162</v>
      </c>
      <c r="AU235" s="166" t="s">
        <v>79</v>
      </c>
      <c r="AV235" s="14" t="s">
        <v>77</v>
      </c>
      <c r="AW235" s="14" t="s">
        <v>30</v>
      </c>
      <c r="AX235" s="14" t="s">
        <v>69</v>
      </c>
      <c r="AY235" s="166" t="s">
        <v>151</v>
      </c>
    </row>
    <row r="236" spans="2:65" s="12" customFormat="1" ht="11.25">
      <c r="B236" s="150"/>
      <c r="D236" s="151" t="s">
        <v>162</v>
      </c>
      <c r="E236" s="152" t="s">
        <v>3</v>
      </c>
      <c r="F236" s="153" t="s">
        <v>1370</v>
      </c>
      <c r="H236" s="154">
        <v>725.17499999999995</v>
      </c>
      <c r="I236" s="155"/>
      <c r="L236" s="150"/>
      <c r="M236" s="156"/>
      <c r="T236" s="157"/>
      <c r="AT236" s="152" t="s">
        <v>162</v>
      </c>
      <c r="AU236" s="152" t="s">
        <v>79</v>
      </c>
      <c r="AV236" s="12" t="s">
        <v>79</v>
      </c>
      <c r="AW236" s="12" t="s">
        <v>30</v>
      </c>
      <c r="AX236" s="12" t="s">
        <v>69</v>
      </c>
      <c r="AY236" s="152" t="s">
        <v>151</v>
      </c>
    </row>
    <row r="237" spans="2:65" s="13" customFormat="1" ht="11.25">
      <c r="B237" s="158"/>
      <c r="D237" s="151" t="s">
        <v>162</v>
      </c>
      <c r="E237" s="159" t="s">
        <v>3</v>
      </c>
      <c r="F237" s="160" t="s">
        <v>167</v>
      </c>
      <c r="H237" s="161">
        <v>725.17499999999995</v>
      </c>
      <c r="I237" s="162"/>
      <c r="L237" s="158"/>
      <c r="M237" s="163"/>
      <c r="T237" s="164"/>
      <c r="AT237" s="159" t="s">
        <v>162</v>
      </c>
      <c r="AU237" s="159" t="s">
        <v>79</v>
      </c>
      <c r="AV237" s="13" t="s">
        <v>158</v>
      </c>
      <c r="AW237" s="13" t="s">
        <v>30</v>
      </c>
      <c r="AX237" s="13" t="s">
        <v>77</v>
      </c>
      <c r="AY237" s="159" t="s">
        <v>151</v>
      </c>
    </row>
    <row r="238" spans="2:65" s="1" customFormat="1" ht="16.5" customHeight="1">
      <c r="B238" s="132"/>
      <c r="C238" s="133" t="s">
        <v>808</v>
      </c>
      <c r="D238" s="133" t="s">
        <v>153</v>
      </c>
      <c r="E238" s="134" t="s">
        <v>1371</v>
      </c>
      <c r="F238" s="135" t="s">
        <v>1372</v>
      </c>
      <c r="G238" s="136" t="s">
        <v>183</v>
      </c>
      <c r="H238" s="137">
        <v>28.29</v>
      </c>
      <c r="I238" s="138"/>
      <c r="J238" s="139">
        <f>ROUND(I238*H238,2)</f>
        <v>0</v>
      </c>
      <c r="K238" s="135" t="s">
        <v>171</v>
      </c>
      <c r="L238" s="33"/>
      <c r="M238" s="140" t="s">
        <v>3</v>
      </c>
      <c r="N238" s="141" t="s">
        <v>40</v>
      </c>
      <c r="P238" s="142">
        <f>O238*H238</f>
        <v>0</v>
      </c>
      <c r="Q238" s="142">
        <v>0</v>
      </c>
      <c r="R238" s="142">
        <f>Q238*H238</f>
        <v>0</v>
      </c>
      <c r="S238" s="142">
        <v>0</v>
      </c>
      <c r="T238" s="143">
        <f>S238*H238</f>
        <v>0</v>
      </c>
      <c r="AR238" s="144" t="s">
        <v>158</v>
      </c>
      <c r="AT238" s="144" t="s">
        <v>153</v>
      </c>
      <c r="AU238" s="144" t="s">
        <v>79</v>
      </c>
      <c r="AY238" s="18" t="s">
        <v>151</v>
      </c>
      <c r="BE238" s="145">
        <f>IF(N238="základní",J238,0)</f>
        <v>0</v>
      </c>
      <c r="BF238" s="145">
        <f>IF(N238="snížená",J238,0)</f>
        <v>0</v>
      </c>
      <c r="BG238" s="145">
        <f>IF(N238="zákl. přenesená",J238,0)</f>
        <v>0</v>
      </c>
      <c r="BH238" s="145">
        <f>IF(N238="sníž. přenesená",J238,0)</f>
        <v>0</v>
      </c>
      <c r="BI238" s="145">
        <f>IF(N238="nulová",J238,0)</f>
        <v>0</v>
      </c>
      <c r="BJ238" s="18" t="s">
        <v>77</v>
      </c>
      <c r="BK238" s="145">
        <f>ROUND(I238*H238,2)</f>
        <v>0</v>
      </c>
      <c r="BL238" s="18" t="s">
        <v>158</v>
      </c>
      <c r="BM238" s="144" t="s">
        <v>1373</v>
      </c>
    </row>
    <row r="239" spans="2:65" s="1" customFormat="1" ht="11.25">
      <c r="B239" s="33"/>
      <c r="D239" s="146" t="s">
        <v>160</v>
      </c>
      <c r="F239" s="147" t="s">
        <v>1374</v>
      </c>
      <c r="I239" s="148"/>
      <c r="L239" s="33"/>
      <c r="M239" s="149"/>
      <c r="T239" s="54"/>
      <c r="AT239" s="18" t="s">
        <v>160</v>
      </c>
      <c r="AU239" s="18" t="s">
        <v>79</v>
      </c>
    </row>
    <row r="240" spans="2:65" s="14" customFormat="1" ht="11.25">
      <c r="B240" s="165"/>
      <c r="D240" s="151" t="s">
        <v>162</v>
      </c>
      <c r="E240" s="166" t="s">
        <v>3</v>
      </c>
      <c r="F240" s="167" t="s">
        <v>1356</v>
      </c>
      <c r="H240" s="166" t="s">
        <v>3</v>
      </c>
      <c r="I240" s="168"/>
      <c r="L240" s="165"/>
      <c r="M240" s="169"/>
      <c r="T240" s="170"/>
      <c r="AT240" s="166" t="s">
        <v>162</v>
      </c>
      <c r="AU240" s="166" t="s">
        <v>79</v>
      </c>
      <c r="AV240" s="14" t="s">
        <v>77</v>
      </c>
      <c r="AW240" s="14" t="s">
        <v>30</v>
      </c>
      <c r="AX240" s="14" t="s">
        <v>69</v>
      </c>
      <c r="AY240" s="166" t="s">
        <v>151</v>
      </c>
    </row>
    <row r="241" spans="2:65" s="12" customFormat="1" ht="11.25">
      <c r="B241" s="150"/>
      <c r="D241" s="151" t="s">
        <v>162</v>
      </c>
      <c r="E241" s="152" t="s">
        <v>3</v>
      </c>
      <c r="F241" s="153" t="s">
        <v>1357</v>
      </c>
      <c r="H241" s="154">
        <v>28.29</v>
      </c>
      <c r="I241" s="155"/>
      <c r="L241" s="150"/>
      <c r="M241" s="156"/>
      <c r="T241" s="157"/>
      <c r="AT241" s="152" t="s">
        <v>162</v>
      </c>
      <c r="AU241" s="152" t="s">
        <v>79</v>
      </c>
      <c r="AV241" s="12" t="s">
        <v>79</v>
      </c>
      <c r="AW241" s="12" t="s">
        <v>30</v>
      </c>
      <c r="AX241" s="12" t="s">
        <v>69</v>
      </c>
      <c r="AY241" s="152" t="s">
        <v>151</v>
      </c>
    </row>
    <row r="242" spans="2:65" s="13" customFormat="1" ht="11.25">
      <c r="B242" s="158"/>
      <c r="D242" s="151" t="s">
        <v>162</v>
      </c>
      <c r="E242" s="159" t="s">
        <v>3</v>
      </c>
      <c r="F242" s="160" t="s">
        <v>167</v>
      </c>
      <c r="H242" s="161">
        <v>28.29</v>
      </c>
      <c r="I242" s="162"/>
      <c r="L242" s="158"/>
      <c r="M242" s="163"/>
      <c r="T242" s="164"/>
      <c r="AT242" s="159" t="s">
        <v>162</v>
      </c>
      <c r="AU242" s="159" t="s">
        <v>79</v>
      </c>
      <c r="AV242" s="13" t="s">
        <v>158</v>
      </c>
      <c r="AW242" s="13" t="s">
        <v>30</v>
      </c>
      <c r="AX242" s="13" t="s">
        <v>77</v>
      </c>
      <c r="AY242" s="159" t="s">
        <v>151</v>
      </c>
    </row>
    <row r="243" spans="2:65" s="1" customFormat="1" ht="24.2" customHeight="1">
      <c r="B243" s="132"/>
      <c r="C243" s="133" t="s">
        <v>396</v>
      </c>
      <c r="D243" s="133" t="s">
        <v>153</v>
      </c>
      <c r="E243" s="134" t="s">
        <v>1375</v>
      </c>
      <c r="F243" s="135" t="s">
        <v>1376</v>
      </c>
      <c r="G243" s="136" t="s">
        <v>183</v>
      </c>
      <c r="H243" s="137">
        <v>485.92500000000001</v>
      </c>
      <c r="I243" s="138"/>
      <c r="J243" s="139">
        <f>ROUND(I243*H243,2)</f>
        <v>0</v>
      </c>
      <c r="K243" s="135" t="s">
        <v>171</v>
      </c>
      <c r="L243" s="33"/>
      <c r="M243" s="140" t="s">
        <v>3</v>
      </c>
      <c r="N243" s="141" t="s">
        <v>40</v>
      </c>
      <c r="P243" s="142">
        <f>O243*H243</f>
        <v>0</v>
      </c>
      <c r="Q243" s="142">
        <v>0</v>
      </c>
      <c r="R243" s="142">
        <f>Q243*H243</f>
        <v>0</v>
      </c>
      <c r="S243" s="142">
        <v>0</v>
      </c>
      <c r="T243" s="143">
        <f>S243*H243</f>
        <v>0</v>
      </c>
      <c r="AR243" s="144" t="s">
        <v>158</v>
      </c>
      <c r="AT243" s="144" t="s">
        <v>153</v>
      </c>
      <c r="AU243" s="144" t="s">
        <v>79</v>
      </c>
      <c r="AY243" s="18" t="s">
        <v>151</v>
      </c>
      <c r="BE243" s="145">
        <f>IF(N243="základní",J243,0)</f>
        <v>0</v>
      </c>
      <c r="BF243" s="145">
        <f>IF(N243="snížená",J243,0)</f>
        <v>0</v>
      </c>
      <c r="BG243" s="145">
        <f>IF(N243="zákl. přenesená",J243,0)</f>
        <v>0</v>
      </c>
      <c r="BH243" s="145">
        <f>IF(N243="sníž. přenesená",J243,0)</f>
        <v>0</v>
      </c>
      <c r="BI243" s="145">
        <f>IF(N243="nulová",J243,0)</f>
        <v>0</v>
      </c>
      <c r="BJ243" s="18" t="s">
        <v>77</v>
      </c>
      <c r="BK243" s="145">
        <f>ROUND(I243*H243,2)</f>
        <v>0</v>
      </c>
      <c r="BL243" s="18" t="s">
        <v>158</v>
      </c>
      <c r="BM243" s="144" t="s">
        <v>1377</v>
      </c>
    </row>
    <row r="244" spans="2:65" s="1" customFormat="1" ht="11.25">
      <c r="B244" s="33"/>
      <c r="D244" s="146" t="s">
        <v>160</v>
      </c>
      <c r="F244" s="147" t="s">
        <v>1378</v>
      </c>
      <c r="I244" s="148"/>
      <c r="L244" s="33"/>
      <c r="M244" s="149"/>
      <c r="T244" s="54"/>
      <c r="AT244" s="18" t="s">
        <v>160</v>
      </c>
      <c r="AU244" s="18" t="s">
        <v>79</v>
      </c>
    </row>
    <row r="245" spans="2:65" s="14" customFormat="1" ht="11.25">
      <c r="B245" s="165"/>
      <c r="D245" s="151" t="s">
        <v>162</v>
      </c>
      <c r="E245" s="166" t="s">
        <v>3</v>
      </c>
      <c r="F245" s="167" t="s">
        <v>1341</v>
      </c>
      <c r="H245" s="166" t="s">
        <v>3</v>
      </c>
      <c r="I245" s="168"/>
      <c r="L245" s="165"/>
      <c r="M245" s="169"/>
      <c r="T245" s="170"/>
      <c r="AT245" s="166" t="s">
        <v>162</v>
      </c>
      <c r="AU245" s="166" t="s">
        <v>79</v>
      </c>
      <c r="AV245" s="14" t="s">
        <v>77</v>
      </c>
      <c r="AW245" s="14" t="s">
        <v>30</v>
      </c>
      <c r="AX245" s="14" t="s">
        <v>69</v>
      </c>
      <c r="AY245" s="166" t="s">
        <v>151</v>
      </c>
    </row>
    <row r="246" spans="2:65" s="12" customFormat="1" ht="11.25">
      <c r="B246" s="150"/>
      <c r="D246" s="151" t="s">
        <v>162</v>
      </c>
      <c r="E246" s="152" t="s">
        <v>3</v>
      </c>
      <c r="F246" s="153" t="s">
        <v>1379</v>
      </c>
      <c r="H246" s="154">
        <v>485.92500000000001</v>
      </c>
      <c r="I246" s="155"/>
      <c r="L246" s="150"/>
      <c r="M246" s="156"/>
      <c r="T246" s="157"/>
      <c r="AT246" s="152" t="s">
        <v>162</v>
      </c>
      <c r="AU246" s="152" t="s">
        <v>79</v>
      </c>
      <c r="AV246" s="12" t="s">
        <v>79</v>
      </c>
      <c r="AW246" s="12" t="s">
        <v>30</v>
      </c>
      <c r="AX246" s="12" t="s">
        <v>69</v>
      </c>
      <c r="AY246" s="152" t="s">
        <v>151</v>
      </c>
    </row>
    <row r="247" spans="2:65" s="13" customFormat="1" ht="11.25">
      <c r="B247" s="158"/>
      <c r="D247" s="151" t="s">
        <v>162</v>
      </c>
      <c r="E247" s="159" t="s">
        <v>3</v>
      </c>
      <c r="F247" s="160" t="s">
        <v>167</v>
      </c>
      <c r="H247" s="161">
        <v>485.92500000000001</v>
      </c>
      <c r="I247" s="162"/>
      <c r="L247" s="158"/>
      <c r="M247" s="163"/>
      <c r="T247" s="164"/>
      <c r="AT247" s="159" t="s">
        <v>162</v>
      </c>
      <c r="AU247" s="159" t="s">
        <v>79</v>
      </c>
      <c r="AV247" s="13" t="s">
        <v>158</v>
      </c>
      <c r="AW247" s="13" t="s">
        <v>30</v>
      </c>
      <c r="AX247" s="13" t="s">
        <v>77</v>
      </c>
      <c r="AY247" s="159" t="s">
        <v>151</v>
      </c>
    </row>
    <row r="248" spans="2:65" s="1" customFormat="1" ht="24.2" customHeight="1">
      <c r="B248" s="132"/>
      <c r="C248" s="133" t="s">
        <v>202</v>
      </c>
      <c r="D248" s="133" t="s">
        <v>153</v>
      </c>
      <c r="E248" s="134" t="s">
        <v>1375</v>
      </c>
      <c r="F248" s="135" t="s">
        <v>1376</v>
      </c>
      <c r="G248" s="136" t="s">
        <v>183</v>
      </c>
      <c r="H248" s="137">
        <v>28.29</v>
      </c>
      <c r="I248" s="138"/>
      <c r="J248" s="139">
        <f>ROUND(I248*H248,2)</f>
        <v>0</v>
      </c>
      <c r="K248" s="135" t="s">
        <v>171</v>
      </c>
      <c r="L248" s="33"/>
      <c r="M248" s="140" t="s">
        <v>3</v>
      </c>
      <c r="N248" s="141" t="s">
        <v>40</v>
      </c>
      <c r="P248" s="142">
        <f>O248*H248</f>
        <v>0</v>
      </c>
      <c r="Q248" s="142">
        <v>0</v>
      </c>
      <c r="R248" s="142">
        <f>Q248*H248</f>
        <v>0</v>
      </c>
      <c r="S248" s="142">
        <v>0</v>
      </c>
      <c r="T248" s="143">
        <f>S248*H248</f>
        <v>0</v>
      </c>
      <c r="AR248" s="144" t="s">
        <v>158</v>
      </c>
      <c r="AT248" s="144" t="s">
        <v>153</v>
      </c>
      <c r="AU248" s="144" t="s">
        <v>79</v>
      </c>
      <c r="AY248" s="18" t="s">
        <v>151</v>
      </c>
      <c r="BE248" s="145">
        <f>IF(N248="základní",J248,0)</f>
        <v>0</v>
      </c>
      <c r="BF248" s="145">
        <f>IF(N248="snížená",J248,0)</f>
        <v>0</v>
      </c>
      <c r="BG248" s="145">
        <f>IF(N248="zákl. přenesená",J248,0)</f>
        <v>0</v>
      </c>
      <c r="BH248" s="145">
        <f>IF(N248="sníž. přenesená",J248,0)</f>
        <v>0</v>
      </c>
      <c r="BI248" s="145">
        <f>IF(N248="nulová",J248,0)</f>
        <v>0</v>
      </c>
      <c r="BJ248" s="18" t="s">
        <v>77</v>
      </c>
      <c r="BK248" s="145">
        <f>ROUND(I248*H248,2)</f>
        <v>0</v>
      </c>
      <c r="BL248" s="18" t="s">
        <v>158</v>
      </c>
      <c r="BM248" s="144" t="s">
        <v>1380</v>
      </c>
    </row>
    <row r="249" spans="2:65" s="1" customFormat="1" ht="11.25">
      <c r="B249" s="33"/>
      <c r="D249" s="146" t="s">
        <v>160</v>
      </c>
      <c r="F249" s="147" t="s">
        <v>1378</v>
      </c>
      <c r="I249" s="148"/>
      <c r="L249" s="33"/>
      <c r="M249" s="149"/>
      <c r="T249" s="54"/>
      <c r="AT249" s="18" t="s">
        <v>160</v>
      </c>
      <c r="AU249" s="18" t="s">
        <v>79</v>
      </c>
    </row>
    <row r="250" spans="2:65" s="14" customFormat="1" ht="11.25">
      <c r="B250" s="165"/>
      <c r="D250" s="151" t="s">
        <v>162</v>
      </c>
      <c r="E250" s="166" t="s">
        <v>3</v>
      </c>
      <c r="F250" s="167" t="s">
        <v>1356</v>
      </c>
      <c r="H250" s="166" t="s">
        <v>3</v>
      </c>
      <c r="I250" s="168"/>
      <c r="L250" s="165"/>
      <c r="M250" s="169"/>
      <c r="T250" s="170"/>
      <c r="AT250" s="166" t="s">
        <v>162</v>
      </c>
      <c r="AU250" s="166" t="s">
        <v>79</v>
      </c>
      <c r="AV250" s="14" t="s">
        <v>77</v>
      </c>
      <c r="AW250" s="14" t="s">
        <v>30</v>
      </c>
      <c r="AX250" s="14" t="s">
        <v>69</v>
      </c>
      <c r="AY250" s="166" t="s">
        <v>151</v>
      </c>
    </row>
    <row r="251" spans="2:65" s="12" customFormat="1" ht="11.25">
      <c r="B251" s="150"/>
      <c r="D251" s="151" t="s">
        <v>162</v>
      </c>
      <c r="E251" s="152" t="s">
        <v>3</v>
      </c>
      <c r="F251" s="153" t="s">
        <v>1357</v>
      </c>
      <c r="H251" s="154">
        <v>28.29</v>
      </c>
      <c r="I251" s="155"/>
      <c r="L251" s="150"/>
      <c r="M251" s="156"/>
      <c r="T251" s="157"/>
      <c r="AT251" s="152" t="s">
        <v>162</v>
      </c>
      <c r="AU251" s="152" t="s">
        <v>79</v>
      </c>
      <c r="AV251" s="12" t="s">
        <v>79</v>
      </c>
      <c r="AW251" s="12" t="s">
        <v>30</v>
      </c>
      <c r="AX251" s="12" t="s">
        <v>69</v>
      </c>
      <c r="AY251" s="152" t="s">
        <v>151</v>
      </c>
    </row>
    <row r="252" spans="2:65" s="13" customFormat="1" ht="11.25">
      <c r="B252" s="158"/>
      <c r="D252" s="151" t="s">
        <v>162</v>
      </c>
      <c r="E252" s="159" t="s">
        <v>3</v>
      </c>
      <c r="F252" s="160" t="s">
        <v>167</v>
      </c>
      <c r="H252" s="161">
        <v>28.29</v>
      </c>
      <c r="I252" s="162"/>
      <c r="L252" s="158"/>
      <c r="M252" s="163"/>
      <c r="T252" s="164"/>
      <c r="AT252" s="159" t="s">
        <v>162</v>
      </c>
      <c r="AU252" s="159" t="s">
        <v>79</v>
      </c>
      <c r="AV252" s="13" t="s">
        <v>158</v>
      </c>
      <c r="AW252" s="13" t="s">
        <v>30</v>
      </c>
      <c r="AX252" s="13" t="s">
        <v>77</v>
      </c>
      <c r="AY252" s="159" t="s">
        <v>151</v>
      </c>
    </row>
    <row r="253" spans="2:65" s="1" customFormat="1" ht="24.2" customHeight="1">
      <c r="B253" s="132"/>
      <c r="C253" s="133" t="s">
        <v>405</v>
      </c>
      <c r="D253" s="133" t="s">
        <v>153</v>
      </c>
      <c r="E253" s="134" t="s">
        <v>1381</v>
      </c>
      <c r="F253" s="135" t="s">
        <v>182</v>
      </c>
      <c r="G253" s="136" t="s">
        <v>183</v>
      </c>
      <c r="H253" s="137">
        <v>239.25</v>
      </c>
      <c r="I253" s="138"/>
      <c r="J253" s="139">
        <f>ROUND(I253*H253,2)</f>
        <v>0</v>
      </c>
      <c r="K253" s="135" t="s">
        <v>171</v>
      </c>
      <c r="L253" s="33"/>
      <c r="M253" s="140" t="s">
        <v>3</v>
      </c>
      <c r="N253" s="141" t="s">
        <v>40</v>
      </c>
      <c r="P253" s="142">
        <f>O253*H253</f>
        <v>0</v>
      </c>
      <c r="Q253" s="142">
        <v>0</v>
      </c>
      <c r="R253" s="142">
        <f>Q253*H253</f>
        <v>0</v>
      </c>
      <c r="S253" s="142">
        <v>0</v>
      </c>
      <c r="T253" s="143">
        <f>S253*H253</f>
        <v>0</v>
      </c>
      <c r="AR253" s="144" t="s">
        <v>158</v>
      </c>
      <c r="AT253" s="144" t="s">
        <v>153</v>
      </c>
      <c r="AU253" s="144" t="s">
        <v>79</v>
      </c>
      <c r="AY253" s="18" t="s">
        <v>151</v>
      </c>
      <c r="BE253" s="145">
        <f>IF(N253="základní",J253,0)</f>
        <v>0</v>
      </c>
      <c r="BF253" s="145">
        <f>IF(N253="snížená",J253,0)</f>
        <v>0</v>
      </c>
      <c r="BG253" s="145">
        <f>IF(N253="zákl. přenesená",J253,0)</f>
        <v>0</v>
      </c>
      <c r="BH253" s="145">
        <f>IF(N253="sníž. přenesená",J253,0)</f>
        <v>0</v>
      </c>
      <c r="BI253" s="145">
        <f>IF(N253="nulová",J253,0)</f>
        <v>0</v>
      </c>
      <c r="BJ253" s="18" t="s">
        <v>77</v>
      </c>
      <c r="BK253" s="145">
        <f>ROUND(I253*H253,2)</f>
        <v>0</v>
      </c>
      <c r="BL253" s="18" t="s">
        <v>158</v>
      </c>
      <c r="BM253" s="144" t="s">
        <v>1382</v>
      </c>
    </row>
    <row r="254" spans="2:65" s="1" customFormat="1" ht="11.25">
      <c r="B254" s="33"/>
      <c r="D254" s="146" t="s">
        <v>160</v>
      </c>
      <c r="F254" s="147" t="s">
        <v>1383</v>
      </c>
      <c r="I254" s="148"/>
      <c r="L254" s="33"/>
      <c r="M254" s="149"/>
      <c r="T254" s="54"/>
      <c r="AT254" s="18" t="s">
        <v>160</v>
      </c>
      <c r="AU254" s="18" t="s">
        <v>79</v>
      </c>
    </row>
    <row r="255" spans="2:65" s="14" customFormat="1" ht="11.25">
      <c r="B255" s="165"/>
      <c r="D255" s="151" t="s">
        <v>162</v>
      </c>
      <c r="E255" s="166" t="s">
        <v>3</v>
      </c>
      <c r="F255" s="167" t="s">
        <v>1341</v>
      </c>
      <c r="H255" s="166" t="s">
        <v>3</v>
      </c>
      <c r="I255" s="168"/>
      <c r="L255" s="165"/>
      <c r="M255" s="169"/>
      <c r="T255" s="170"/>
      <c r="AT255" s="166" t="s">
        <v>162</v>
      </c>
      <c r="AU255" s="166" t="s">
        <v>79</v>
      </c>
      <c r="AV255" s="14" t="s">
        <v>77</v>
      </c>
      <c r="AW255" s="14" t="s">
        <v>30</v>
      </c>
      <c r="AX255" s="14" t="s">
        <v>69</v>
      </c>
      <c r="AY255" s="166" t="s">
        <v>151</v>
      </c>
    </row>
    <row r="256" spans="2:65" s="12" customFormat="1" ht="11.25">
      <c r="B256" s="150"/>
      <c r="D256" s="151" t="s">
        <v>162</v>
      </c>
      <c r="E256" s="152" t="s">
        <v>3</v>
      </c>
      <c r="F256" s="153" t="s">
        <v>1384</v>
      </c>
      <c r="H256" s="154">
        <v>239.25</v>
      </c>
      <c r="I256" s="155"/>
      <c r="L256" s="150"/>
      <c r="M256" s="156"/>
      <c r="T256" s="157"/>
      <c r="AT256" s="152" t="s">
        <v>162</v>
      </c>
      <c r="AU256" s="152" t="s">
        <v>79</v>
      </c>
      <c r="AV256" s="12" t="s">
        <v>79</v>
      </c>
      <c r="AW256" s="12" t="s">
        <v>30</v>
      </c>
      <c r="AX256" s="12" t="s">
        <v>69</v>
      </c>
      <c r="AY256" s="152" t="s">
        <v>151</v>
      </c>
    </row>
    <row r="257" spans="2:65" s="13" customFormat="1" ht="11.25">
      <c r="B257" s="158"/>
      <c r="D257" s="151" t="s">
        <v>162</v>
      </c>
      <c r="E257" s="159" t="s">
        <v>3</v>
      </c>
      <c r="F257" s="160" t="s">
        <v>167</v>
      </c>
      <c r="H257" s="161">
        <v>239.25</v>
      </c>
      <c r="I257" s="162"/>
      <c r="L257" s="158"/>
      <c r="M257" s="163"/>
      <c r="T257" s="164"/>
      <c r="AT257" s="159" t="s">
        <v>162</v>
      </c>
      <c r="AU257" s="159" t="s">
        <v>79</v>
      </c>
      <c r="AV257" s="13" t="s">
        <v>158</v>
      </c>
      <c r="AW257" s="13" t="s">
        <v>30</v>
      </c>
      <c r="AX257" s="13" t="s">
        <v>77</v>
      </c>
      <c r="AY257" s="159" t="s">
        <v>151</v>
      </c>
    </row>
    <row r="258" spans="2:65" s="1" customFormat="1" ht="24.2" customHeight="1">
      <c r="B258" s="132"/>
      <c r="C258" s="133" t="s">
        <v>410</v>
      </c>
      <c r="D258" s="133" t="s">
        <v>153</v>
      </c>
      <c r="E258" s="134" t="s">
        <v>1385</v>
      </c>
      <c r="F258" s="135" t="s">
        <v>1386</v>
      </c>
      <c r="G258" s="136" t="s">
        <v>183</v>
      </c>
      <c r="H258" s="137">
        <v>21.78</v>
      </c>
      <c r="I258" s="138"/>
      <c r="J258" s="139">
        <f>ROUND(I258*H258,2)</f>
        <v>0</v>
      </c>
      <c r="K258" s="135" t="s">
        <v>171</v>
      </c>
      <c r="L258" s="33"/>
      <c r="M258" s="140" t="s">
        <v>3</v>
      </c>
      <c r="N258" s="141" t="s">
        <v>40</v>
      </c>
      <c r="P258" s="142">
        <f>O258*H258</f>
        <v>0</v>
      </c>
      <c r="Q258" s="142">
        <v>0</v>
      </c>
      <c r="R258" s="142">
        <f>Q258*H258</f>
        <v>0</v>
      </c>
      <c r="S258" s="142">
        <v>0</v>
      </c>
      <c r="T258" s="143">
        <f>S258*H258</f>
        <v>0</v>
      </c>
      <c r="AR258" s="144" t="s">
        <v>158</v>
      </c>
      <c r="AT258" s="144" t="s">
        <v>153</v>
      </c>
      <c r="AU258" s="144" t="s">
        <v>79</v>
      </c>
      <c r="AY258" s="18" t="s">
        <v>151</v>
      </c>
      <c r="BE258" s="145">
        <f>IF(N258="základní",J258,0)</f>
        <v>0</v>
      </c>
      <c r="BF258" s="145">
        <f>IF(N258="snížená",J258,0)</f>
        <v>0</v>
      </c>
      <c r="BG258" s="145">
        <f>IF(N258="zákl. přenesená",J258,0)</f>
        <v>0</v>
      </c>
      <c r="BH258" s="145">
        <f>IF(N258="sníž. přenesená",J258,0)</f>
        <v>0</v>
      </c>
      <c r="BI258" s="145">
        <f>IF(N258="nulová",J258,0)</f>
        <v>0</v>
      </c>
      <c r="BJ258" s="18" t="s">
        <v>77</v>
      </c>
      <c r="BK258" s="145">
        <f>ROUND(I258*H258,2)</f>
        <v>0</v>
      </c>
      <c r="BL258" s="18" t="s">
        <v>158</v>
      </c>
      <c r="BM258" s="144" t="s">
        <v>1387</v>
      </c>
    </row>
    <row r="259" spans="2:65" s="1" customFormat="1" ht="11.25">
      <c r="B259" s="33"/>
      <c r="D259" s="146" t="s">
        <v>160</v>
      </c>
      <c r="F259" s="147" t="s">
        <v>1388</v>
      </c>
      <c r="I259" s="148"/>
      <c r="L259" s="33"/>
      <c r="M259" s="149"/>
      <c r="T259" s="54"/>
      <c r="AT259" s="18" t="s">
        <v>160</v>
      </c>
      <c r="AU259" s="18" t="s">
        <v>79</v>
      </c>
    </row>
    <row r="260" spans="2:65" s="14" customFormat="1" ht="11.25">
      <c r="B260" s="165"/>
      <c r="D260" s="151" t="s">
        <v>162</v>
      </c>
      <c r="E260" s="166" t="s">
        <v>3</v>
      </c>
      <c r="F260" s="167" t="s">
        <v>1338</v>
      </c>
      <c r="H260" s="166" t="s">
        <v>3</v>
      </c>
      <c r="I260" s="168"/>
      <c r="L260" s="165"/>
      <c r="M260" s="169"/>
      <c r="T260" s="170"/>
      <c r="AT260" s="166" t="s">
        <v>162</v>
      </c>
      <c r="AU260" s="166" t="s">
        <v>79</v>
      </c>
      <c r="AV260" s="14" t="s">
        <v>77</v>
      </c>
      <c r="AW260" s="14" t="s">
        <v>30</v>
      </c>
      <c r="AX260" s="14" t="s">
        <v>69</v>
      </c>
      <c r="AY260" s="166" t="s">
        <v>151</v>
      </c>
    </row>
    <row r="261" spans="2:65" s="12" customFormat="1" ht="11.25">
      <c r="B261" s="150"/>
      <c r="D261" s="151" t="s">
        <v>162</v>
      </c>
      <c r="E261" s="152" t="s">
        <v>3</v>
      </c>
      <c r="F261" s="153" t="s">
        <v>1368</v>
      </c>
      <c r="H261" s="154">
        <v>21.78</v>
      </c>
      <c r="I261" s="155"/>
      <c r="L261" s="150"/>
      <c r="M261" s="156"/>
      <c r="T261" s="157"/>
      <c r="AT261" s="152" t="s">
        <v>162</v>
      </c>
      <c r="AU261" s="152" t="s">
        <v>79</v>
      </c>
      <c r="AV261" s="12" t="s">
        <v>79</v>
      </c>
      <c r="AW261" s="12" t="s">
        <v>30</v>
      </c>
      <c r="AX261" s="12" t="s">
        <v>69</v>
      </c>
      <c r="AY261" s="152" t="s">
        <v>151</v>
      </c>
    </row>
    <row r="262" spans="2:65" s="13" customFormat="1" ht="11.25">
      <c r="B262" s="158"/>
      <c r="D262" s="151" t="s">
        <v>162</v>
      </c>
      <c r="E262" s="159" t="s">
        <v>3</v>
      </c>
      <c r="F262" s="160" t="s">
        <v>167</v>
      </c>
      <c r="H262" s="161">
        <v>21.78</v>
      </c>
      <c r="I262" s="162"/>
      <c r="L262" s="158"/>
      <c r="M262" s="163"/>
      <c r="T262" s="164"/>
      <c r="AT262" s="159" t="s">
        <v>162</v>
      </c>
      <c r="AU262" s="159" t="s">
        <v>79</v>
      </c>
      <c r="AV262" s="13" t="s">
        <v>158</v>
      </c>
      <c r="AW262" s="13" t="s">
        <v>30</v>
      </c>
      <c r="AX262" s="13" t="s">
        <v>77</v>
      </c>
      <c r="AY262" s="159" t="s">
        <v>151</v>
      </c>
    </row>
    <row r="263" spans="2:65" s="11" customFormat="1" ht="22.9" customHeight="1">
      <c r="B263" s="120"/>
      <c r="D263" s="121" t="s">
        <v>68</v>
      </c>
      <c r="E263" s="130" t="s">
        <v>557</v>
      </c>
      <c r="F263" s="130" t="s">
        <v>558</v>
      </c>
      <c r="I263" s="123"/>
      <c r="J263" s="131">
        <f>BK263</f>
        <v>0</v>
      </c>
      <c r="L263" s="120"/>
      <c r="M263" s="125"/>
      <c r="P263" s="126">
        <f>SUM(P264:P267)</f>
        <v>0</v>
      </c>
      <c r="R263" s="126">
        <f>SUM(R264:R267)</f>
        <v>0</v>
      </c>
      <c r="T263" s="127">
        <f>SUM(T264:T267)</f>
        <v>0</v>
      </c>
      <c r="AR263" s="121" t="s">
        <v>77</v>
      </c>
      <c r="AT263" s="128" t="s">
        <v>68</v>
      </c>
      <c r="AU263" s="128" t="s">
        <v>77</v>
      </c>
      <c r="AY263" s="121" t="s">
        <v>151</v>
      </c>
      <c r="BK263" s="129">
        <f>SUM(BK264:BK267)</f>
        <v>0</v>
      </c>
    </row>
    <row r="264" spans="2:65" s="1" customFormat="1" ht="21.75" customHeight="1">
      <c r="B264" s="132"/>
      <c r="C264" s="133" t="s">
        <v>416</v>
      </c>
      <c r="D264" s="133" t="s">
        <v>153</v>
      </c>
      <c r="E264" s="134" t="s">
        <v>1389</v>
      </c>
      <c r="F264" s="135" t="s">
        <v>1390</v>
      </c>
      <c r="G264" s="136" t="s">
        <v>183</v>
      </c>
      <c r="H264" s="137">
        <v>7.0000000000000001E-3</v>
      </c>
      <c r="I264" s="138"/>
      <c r="J264" s="139">
        <f>ROUND(I264*H264,2)</f>
        <v>0</v>
      </c>
      <c r="K264" s="135" t="s">
        <v>171</v>
      </c>
      <c r="L264" s="33"/>
      <c r="M264" s="140" t="s">
        <v>3</v>
      </c>
      <c r="N264" s="141" t="s">
        <v>40</v>
      </c>
      <c r="P264" s="142">
        <f>O264*H264</f>
        <v>0</v>
      </c>
      <c r="Q264" s="142">
        <v>0</v>
      </c>
      <c r="R264" s="142">
        <f>Q264*H264</f>
        <v>0</v>
      </c>
      <c r="S264" s="142">
        <v>0</v>
      </c>
      <c r="T264" s="143">
        <f>S264*H264</f>
        <v>0</v>
      </c>
      <c r="AR264" s="144" t="s">
        <v>158</v>
      </c>
      <c r="AT264" s="144" t="s">
        <v>153</v>
      </c>
      <c r="AU264" s="144" t="s">
        <v>79</v>
      </c>
      <c r="AY264" s="18" t="s">
        <v>151</v>
      </c>
      <c r="BE264" s="145">
        <f>IF(N264="základní",J264,0)</f>
        <v>0</v>
      </c>
      <c r="BF264" s="145">
        <f>IF(N264="snížená",J264,0)</f>
        <v>0</v>
      </c>
      <c r="BG264" s="145">
        <f>IF(N264="zákl. přenesená",J264,0)</f>
        <v>0</v>
      </c>
      <c r="BH264" s="145">
        <f>IF(N264="sníž. přenesená",J264,0)</f>
        <v>0</v>
      </c>
      <c r="BI264" s="145">
        <f>IF(N264="nulová",J264,0)</f>
        <v>0</v>
      </c>
      <c r="BJ264" s="18" t="s">
        <v>77</v>
      </c>
      <c r="BK264" s="145">
        <f>ROUND(I264*H264,2)</f>
        <v>0</v>
      </c>
      <c r="BL264" s="18" t="s">
        <v>158</v>
      </c>
      <c r="BM264" s="144" t="s">
        <v>1391</v>
      </c>
    </row>
    <row r="265" spans="2:65" s="1" customFormat="1" ht="11.25">
      <c r="B265" s="33"/>
      <c r="D265" s="146" t="s">
        <v>160</v>
      </c>
      <c r="F265" s="147" t="s">
        <v>1392</v>
      </c>
      <c r="I265" s="148"/>
      <c r="L265" s="33"/>
      <c r="M265" s="149"/>
      <c r="T265" s="54"/>
      <c r="AT265" s="18" t="s">
        <v>160</v>
      </c>
      <c r="AU265" s="18" t="s">
        <v>79</v>
      </c>
    </row>
    <row r="266" spans="2:65" s="1" customFormat="1" ht="21.75" customHeight="1">
      <c r="B266" s="132"/>
      <c r="C266" s="133" t="s">
        <v>423</v>
      </c>
      <c r="D266" s="133" t="s">
        <v>153</v>
      </c>
      <c r="E266" s="134" t="s">
        <v>1393</v>
      </c>
      <c r="F266" s="135" t="s">
        <v>1394</v>
      </c>
      <c r="G266" s="136" t="s">
        <v>183</v>
      </c>
      <c r="H266" s="137">
        <v>7.0000000000000001E-3</v>
      </c>
      <c r="I266" s="138"/>
      <c r="J266" s="139">
        <f>ROUND(I266*H266,2)</f>
        <v>0</v>
      </c>
      <c r="K266" s="135" t="s">
        <v>171</v>
      </c>
      <c r="L266" s="33"/>
      <c r="M266" s="140" t="s">
        <v>3</v>
      </c>
      <c r="N266" s="141" t="s">
        <v>40</v>
      </c>
      <c r="P266" s="142">
        <f>O266*H266</f>
        <v>0</v>
      </c>
      <c r="Q266" s="142">
        <v>0</v>
      </c>
      <c r="R266" s="142">
        <f>Q266*H266</f>
        <v>0</v>
      </c>
      <c r="S266" s="142">
        <v>0</v>
      </c>
      <c r="T266" s="143">
        <f>S266*H266</f>
        <v>0</v>
      </c>
      <c r="AR266" s="144" t="s">
        <v>158</v>
      </c>
      <c r="AT266" s="144" t="s">
        <v>153</v>
      </c>
      <c r="AU266" s="144" t="s">
        <v>79</v>
      </c>
      <c r="AY266" s="18" t="s">
        <v>151</v>
      </c>
      <c r="BE266" s="145">
        <f>IF(N266="základní",J266,0)</f>
        <v>0</v>
      </c>
      <c r="BF266" s="145">
        <f>IF(N266="snížená",J266,0)</f>
        <v>0</v>
      </c>
      <c r="BG266" s="145">
        <f>IF(N266="zákl. přenesená",J266,0)</f>
        <v>0</v>
      </c>
      <c r="BH266" s="145">
        <f>IF(N266="sníž. přenesená",J266,0)</f>
        <v>0</v>
      </c>
      <c r="BI266" s="145">
        <f>IF(N266="nulová",J266,0)</f>
        <v>0</v>
      </c>
      <c r="BJ266" s="18" t="s">
        <v>77</v>
      </c>
      <c r="BK266" s="145">
        <f>ROUND(I266*H266,2)</f>
        <v>0</v>
      </c>
      <c r="BL266" s="18" t="s">
        <v>158</v>
      </c>
      <c r="BM266" s="144" t="s">
        <v>1395</v>
      </c>
    </row>
    <row r="267" spans="2:65" s="1" customFormat="1" ht="11.25">
      <c r="B267" s="33"/>
      <c r="D267" s="146" t="s">
        <v>160</v>
      </c>
      <c r="F267" s="147" t="s">
        <v>1396</v>
      </c>
      <c r="I267" s="148"/>
      <c r="L267" s="33"/>
      <c r="M267" s="182"/>
      <c r="N267" s="183"/>
      <c r="O267" s="183"/>
      <c r="P267" s="183"/>
      <c r="Q267" s="183"/>
      <c r="R267" s="183"/>
      <c r="S267" s="183"/>
      <c r="T267" s="184"/>
      <c r="AT267" s="18" t="s">
        <v>160</v>
      </c>
      <c r="AU267" s="18" t="s">
        <v>79</v>
      </c>
    </row>
    <row r="268" spans="2:65" s="1" customFormat="1" ht="6.95" customHeight="1">
      <c r="B268" s="42"/>
      <c r="C268" s="43"/>
      <c r="D268" s="43"/>
      <c r="E268" s="43"/>
      <c r="F268" s="43"/>
      <c r="G268" s="43"/>
      <c r="H268" s="43"/>
      <c r="I268" s="43"/>
      <c r="J268" s="43"/>
      <c r="K268" s="43"/>
      <c r="L268" s="33"/>
    </row>
  </sheetData>
  <autoFilter ref="C89:K267" xr:uid="{00000000-0009-0000-0000-000007000000}"/>
  <mergeCells count="12">
    <mergeCell ref="E82:H82"/>
    <mergeCell ref="L2:V2"/>
    <mergeCell ref="E50:H50"/>
    <mergeCell ref="E52:H52"/>
    <mergeCell ref="E54:H54"/>
    <mergeCell ref="E78:H78"/>
    <mergeCell ref="E80:H80"/>
    <mergeCell ref="E7:H7"/>
    <mergeCell ref="E9:H9"/>
    <mergeCell ref="E11:H11"/>
    <mergeCell ref="E20:H20"/>
    <mergeCell ref="E29:H29"/>
  </mergeCells>
  <hyperlinks>
    <hyperlink ref="F94" r:id="rId1" xr:uid="{00000000-0004-0000-0700-000000000000}"/>
    <hyperlink ref="F99" r:id="rId2" xr:uid="{00000000-0004-0000-0700-000001000000}"/>
    <hyperlink ref="F104" r:id="rId3" xr:uid="{00000000-0004-0000-0700-000002000000}"/>
    <hyperlink ref="F109" r:id="rId4" xr:uid="{00000000-0004-0000-0700-000003000000}"/>
    <hyperlink ref="F114" r:id="rId5" xr:uid="{00000000-0004-0000-0700-000004000000}"/>
    <hyperlink ref="F119" r:id="rId6" xr:uid="{00000000-0004-0000-0700-000005000000}"/>
    <hyperlink ref="F124" r:id="rId7" xr:uid="{00000000-0004-0000-0700-000006000000}"/>
    <hyperlink ref="F129" r:id="rId8" xr:uid="{00000000-0004-0000-0700-000007000000}"/>
    <hyperlink ref="F134" r:id="rId9" xr:uid="{00000000-0004-0000-0700-000008000000}"/>
    <hyperlink ref="F139" r:id="rId10" xr:uid="{00000000-0004-0000-0700-000009000000}"/>
    <hyperlink ref="F144" r:id="rId11" xr:uid="{00000000-0004-0000-0700-00000A000000}"/>
    <hyperlink ref="F149" r:id="rId12" xr:uid="{00000000-0004-0000-0700-00000B000000}"/>
    <hyperlink ref="F154" r:id="rId13" xr:uid="{00000000-0004-0000-0700-00000C000000}"/>
    <hyperlink ref="F159" r:id="rId14" xr:uid="{00000000-0004-0000-0700-00000D000000}"/>
    <hyperlink ref="F164" r:id="rId15" xr:uid="{00000000-0004-0000-0700-00000E000000}"/>
    <hyperlink ref="F169" r:id="rId16" xr:uid="{00000000-0004-0000-0700-00000F000000}"/>
    <hyperlink ref="F174" r:id="rId17" xr:uid="{00000000-0004-0000-0700-000010000000}"/>
    <hyperlink ref="F180" r:id="rId18" xr:uid="{00000000-0004-0000-0700-000011000000}"/>
    <hyperlink ref="F185" r:id="rId19" xr:uid="{00000000-0004-0000-0700-000012000000}"/>
    <hyperlink ref="F199" r:id="rId20" xr:uid="{00000000-0004-0000-0700-000013000000}"/>
    <hyperlink ref="F204" r:id="rId21" xr:uid="{00000000-0004-0000-0700-000014000000}"/>
    <hyperlink ref="F209" r:id="rId22" xr:uid="{00000000-0004-0000-0700-000015000000}"/>
    <hyperlink ref="F214" r:id="rId23" xr:uid="{00000000-0004-0000-0700-000016000000}"/>
    <hyperlink ref="F219" r:id="rId24" xr:uid="{00000000-0004-0000-0700-000017000000}"/>
    <hyperlink ref="F224" r:id="rId25" xr:uid="{00000000-0004-0000-0700-000018000000}"/>
    <hyperlink ref="F229" r:id="rId26" xr:uid="{00000000-0004-0000-0700-000019000000}"/>
    <hyperlink ref="F234" r:id="rId27" xr:uid="{00000000-0004-0000-0700-00001A000000}"/>
    <hyperlink ref="F239" r:id="rId28" xr:uid="{00000000-0004-0000-0700-00001B000000}"/>
    <hyperlink ref="F244" r:id="rId29" xr:uid="{00000000-0004-0000-0700-00001C000000}"/>
    <hyperlink ref="F249" r:id="rId30" xr:uid="{00000000-0004-0000-0700-00001D000000}"/>
    <hyperlink ref="F254" r:id="rId31" xr:uid="{00000000-0004-0000-0700-00001E000000}"/>
    <hyperlink ref="F259" r:id="rId32" xr:uid="{00000000-0004-0000-0700-00001F000000}"/>
    <hyperlink ref="F265" r:id="rId33" xr:uid="{00000000-0004-0000-0700-000020000000}"/>
    <hyperlink ref="F267" r:id="rId34" xr:uid="{00000000-0004-0000-0700-000021000000}"/>
  </hyperlinks>
  <pageMargins left="0.39374999999999999" right="0.39374999999999999" top="0.39374999999999999" bottom="0.39374999999999999" header="0" footer="0"/>
  <pageSetup paperSize="9" fitToHeight="100" orientation="landscape" blackAndWhite="1"/>
  <headerFooter>
    <oddFooter>&amp;CStrana &amp;P z &amp;N</oddFooter>
  </headerFooter>
  <drawing r:id="rId3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BM380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10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304" t="s">
        <v>6</v>
      </c>
      <c r="M2" s="289"/>
      <c r="N2" s="289"/>
      <c r="O2" s="289"/>
      <c r="P2" s="289"/>
      <c r="Q2" s="289"/>
      <c r="R2" s="289"/>
      <c r="S2" s="289"/>
      <c r="T2" s="289"/>
      <c r="U2" s="289"/>
      <c r="V2" s="289"/>
      <c r="AT2" s="18" t="s">
        <v>104</v>
      </c>
    </row>
    <row r="3" spans="2:46" ht="6.9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1"/>
      <c r="AT3" s="18" t="s">
        <v>79</v>
      </c>
    </row>
    <row r="4" spans="2:46" ht="24.95" customHeight="1">
      <c r="B4" s="21"/>
      <c r="D4" s="22" t="s">
        <v>114</v>
      </c>
      <c r="L4" s="21"/>
      <c r="M4" s="91" t="s">
        <v>11</v>
      </c>
      <c r="AT4" s="18" t="s">
        <v>4</v>
      </c>
    </row>
    <row r="5" spans="2:46" ht="6.95" customHeight="1">
      <c r="B5" s="21"/>
      <c r="L5" s="21"/>
    </row>
    <row r="6" spans="2:46" ht="12" customHeight="1">
      <c r="B6" s="21"/>
      <c r="D6" s="28" t="s">
        <v>17</v>
      </c>
      <c r="L6" s="21"/>
    </row>
    <row r="7" spans="2:46" ht="16.5" customHeight="1">
      <c r="B7" s="21"/>
      <c r="E7" s="319" t="str">
        <f>'Rekapitulace stavby'!K6</f>
        <v>SKLAD ŠKROBU P-001</v>
      </c>
      <c r="F7" s="320"/>
      <c r="G7" s="320"/>
      <c r="H7" s="320"/>
      <c r="L7" s="21"/>
    </row>
    <row r="8" spans="2:46" ht="12" customHeight="1">
      <c r="B8" s="21"/>
      <c r="D8" s="28" t="s">
        <v>115</v>
      </c>
      <c r="L8" s="21"/>
    </row>
    <row r="9" spans="2:46" s="1" customFormat="1" ht="16.5" customHeight="1">
      <c r="B9" s="33"/>
      <c r="E9" s="319" t="s">
        <v>1226</v>
      </c>
      <c r="F9" s="321"/>
      <c r="G9" s="321"/>
      <c r="H9" s="321"/>
      <c r="L9" s="33"/>
    </row>
    <row r="10" spans="2:46" s="1" customFormat="1" ht="12" customHeight="1">
      <c r="B10" s="33"/>
      <c r="D10" s="28" t="s">
        <v>1227</v>
      </c>
      <c r="L10" s="33"/>
    </row>
    <row r="11" spans="2:46" s="1" customFormat="1" ht="16.5" customHeight="1">
      <c r="B11" s="33"/>
      <c r="E11" s="282" t="s">
        <v>1397</v>
      </c>
      <c r="F11" s="321"/>
      <c r="G11" s="321"/>
      <c r="H11" s="321"/>
      <c r="L11" s="33"/>
    </row>
    <row r="12" spans="2:46" s="1" customFormat="1" ht="11.25">
      <c r="B12" s="33"/>
      <c r="L12" s="33"/>
    </row>
    <row r="13" spans="2:46" s="1" customFormat="1" ht="12" customHeight="1">
      <c r="B13" s="33"/>
      <c r="D13" s="28" t="s">
        <v>19</v>
      </c>
      <c r="F13" s="26" t="s">
        <v>3</v>
      </c>
      <c r="I13" s="28" t="s">
        <v>20</v>
      </c>
      <c r="J13" s="26" t="s">
        <v>3</v>
      </c>
      <c r="L13" s="33"/>
    </row>
    <row r="14" spans="2:46" s="1" customFormat="1" ht="12" customHeight="1">
      <c r="B14" s="33"/>
      <c r="D14" s="28" t="s">
        <v>21</v>
      </c>
      <c r="F14" s="26" t="s">
        <v>1229</v>
      </c>
      <c r="I14" s="28" t="s">
        <v>23</v>
      </c>
      <c r="J14" s="50">
        <f>'Rekapitulace stavby'!AN8</f>
        <v>45167</v>
      </c>
      <c r="L14" s="33"/>
    </row>
    <row r="15" spans="2:46" s="1" customFormat="1" ht="10.9" customHeight="1">
      <c r="B15" s="33"/>
      <c r="L15" s="33"/>
    </row>
    <row r="16" spans="2:46" s="1" customFormat="1" ht="12" customHeight="1">
      <c r="B16" s="33"/>
      <c r="D16" s="28" t="s">
        <v>24</v>
      </c>
      <c r="I16" s="28" t="s">
        <v>25</v>
      </c>
      <c r="J16" s="26" t="s">
        <v>3</v>
      </c>
      <c r="L16" s="33"/>
    </row>
    <row r="17" spans="2:12" s="1" customFormat="1" ht="18" customHeight="1">
      <c r="B17" s="33"/>
      <c r="E17" s="26" t="s">
        <v>22</v>
      </c>
      <c r="I17" s="28" t="s">
        <v>26</v>
      </c>
      <c r="J17" s="26" t="s">
        <v>3</v>
      </c>
      <c r="L17" s="33"/>
    </row>
    <row r="18" spans="2:12" s="1" customFormat="1" ht="6.95" customHeight="1">
      <c r="B18" s="33"/>
      <c r="L18" s="33"/>
    </row>
    <row r="19" spans="2:12" s="1" customFormat="1" ht="12" customHeight="1">
      <c r="B19" s="33"/>
      <c r="D19" s="28" t="s">
        <v>27</v>
      </c>
      <c r="I19" s="28" t="s">
        <v>25</v>
      </c>
      <c r="J19" s="29" t="str">
        <f>'Rekapitulace stavby'!AN13</f>
        <v>Vyplň údaj</v>
      </c>
      <c r="L19" s="33"/>
    </row>
    <row r="20" spans="2:12" s="1" customFormat="1" ht="18" customHeight="1">
      <c r="B20" s="33"/>
      <c r="E20" s="322" t="str">
        <f>'Rekapitulace stavby'!E14</f>
        <v>Vyplň údaj</v>
      </c>
      <c r="F20" s="288"/>
      <c r="G20" s="288"/>
      <c r="H20" s="288"/>
      <c r="I20" s="28" t="s">
        <v>26</v>
      </c>
      <c r="J20" s="29" t="str">
        <f>'Rekapitulace stavby'!AN14</f>
        <v>Vyplň údaj</v>
      </c>
      <c r="L20" s="33"/>
    </row>
    <row r="21" spans="2:12" s="1" customFormat="1" ht="6.95" customHeight="1">
      <c r="B21" s="33"/>
      <c r="L21" s="33"/>
    </row>
    <row r="22" spans="2:12" s="1" customFormat="1" ht="12" customHeight="1">
      <c r="B22" s="33"/>
      <c r="D22" s="28" t="s">
        <v>29</v>
      </c>
      <c r="I22" s="28" t="s">
        <v>25</v>
      </c>
      <c r="J22" s="26" t="s">
        <v>3</v>
      </c>
      <c r="L22" s="33"/>
    </row>
    <row r="23" spans="2:12" s="1" customFormat="1" ht="18" customHeight="1">
      <c r="B23" s="33"/>
      <c r="E23" s="26" t="s">
        <v>1230</v>
      </c>
      <c r="I23" s="28" t="s">
        <v>26</v>
      </c>
      <c r="J23" s="26" t="s">
        <v>3</v>
      </c>
      <c r="L23" s="33"/>
    </row>
    <row r="24" spans="2:12" s="1" customFormat="1" ht="6.95" customHeight="1">
      <c r="B24" s="33"/>
      <c r="L24" s="33"/>
    </row>
    <row r="25" spans="2:12" s="1" customFormat="1" ht="12" customHeight="1">
      <c r="B25" s="33"/>
      <c r="D25" s="28" t="s">
        <v>31</v>
      </c>
      <c r="I25" s="28" t="s">
        <v>25</v>
      </c>
      <c r="J25" s="26" t="s">
        <v>3</v>
      </c>
      <c r="L25" s="33"/>
    </row>
    <row r="26" spans="2:12" s="1" customFormat="1" ht="18" customHeight="1">
      <c r="B26" s="33"/>
      <c r="E26" s="26" t="s">
        <v>1231</v>
      </c>
      <c r="I26" s="28" t="s">
        <v>26</v>
      </c>
      <c r="J26" s="26" t="s">
        <v>3</v>
      </c>
      <c r="L26" s="33"/>
    </row>
    <row r="27" spans="2:12" s="1" customFormat="1" ht="6.95" customHeight="1">
      <c r="B27" s="33"/>
      <c r="L27" s="33"/>
    </row>
    <row r="28" spans="2:12" s="1" customFormat="1" ht="12" customHeight="1">
      <c r="B28" s="33"/>
      <c r="D28" s="28" t="s">
        <v>33</v>
      </c>
      <c r="L28" s="33"/>
    </row>
    <row r="29" spans="2:12" s="7" customFormat="1" ht="16.5" customHeight="1">
      <c r="B29" s="92"/>
      <c r="E29" s="293" t="s">
        <v>3</v>
      </c>
      <c r="F29" s="293"/>
      <c r="G29" s="293"/>
      <c r="H29" s="293"/>
      <c r="L29" s="92"/>
    </row>
    <row r="30" spans="2:12" s="1" customFormat="1" ht="6.95" customHeight="1">
      <c r="B30" s="33"/>
      <c r="L30" s="33"/>
    </row>
    <row r="31" spans="2:12" s="1" customFormat="1" ht="6.95" customHeight="1">
      <c r="B31" s="33"/>
      <c r="D31" s="51"/>
      <c r="E31" s="51"/>
      <c r="F31" s="51"/>
      <c r="G31" s="51"/>
      <c r="H31" s="51"/>
      <c r="I31" s="51"/>
      <c r="J31" s="51"/>
      <c r="K31" s="51"/>
      <c r="L31" s="33"/>
    </row>
    <row r="32" spans="2:12" s="1" customFormat="1" ht="25.35" customHeight="1">
      <c r="B32" s="33"/>
      <c r="D32" s="93" t="s">
        <v>35</v>
      </c>
      <c r="J32" s="64">
        <f>ROUND(J94, 2)</f>
        <v>0</v>
      </c>
      <c r="L32" s="33"/>
    </row>
    <row r="33" spans="2:12" s="1" customFormat="1" ht="6.95" customHeight="1">
      <c r="B33" s="33"/>
      <c r="D33" s="51"/>
      <c r="E33" s="51"/>
      <c r="F33" s="51"/>
      <c r="G33" s="51"/>
      <c r="H33" s="51"/>
      <c r="I33" s="51"/>
      <c r="J33" s="51"/>
      <c r="K33" s="51"/>
      <c r="L33" s="33"/>
    </row>
    <row r="34" spans="2:12" s="1" customFormat="1" ht="14.45" customHeight="1">
      <c r="B34" s="33"/>
      <c r="F34" s="36" t="s">
        <v>37</v>
      </c>
      <c r="I34" s="36" t="s">
        <v>36</v>
      </c>
      <c r="J34" s="36" t="s">
        <v>38</v>
      </c>
      <c r="L34" s="33"/>
    </row>
    <row r="35" spans="2:12" s="1" customFormat="1" ht="14.45" customHeight="1">
      <c r="B35" s="33"/>
      <c r="D35" s="53" t="s">
        <v>39</v>
      </c>
      <c r="E35" s="28" t="s">
        <v>40</v>
      </c>
      <c r="F35" s="84">
        <f>ROUND((SUM(BE94:BE379)),  2)</f>
        <v>0</v>
      </c>
      <c r="I35" s="94">
        <v>0.21</v>
      </c>
      <c r="J35" s="84">
        <f>ROUND(((SUM(BE94:BE379))*I35),  2)</f>
        <v>0</v>
      </c>
      <c r="L35" s="33"/>
    </row>
    <row r="36" spans="2:12" s="1" customFormat="1" ht="14.45" customHeight="1">
      <c r="B36" s="33"/>
      <c r="E36" s="28" t="s">
        <v>41</v>
      </c>
      <c r="F36" s="84">
        <f>ROUND((SUM(BF94:BF379)),  2)</f>
        <v>0</v>
      </c>
      <c r="I36" s="94">
        <v>0.15</v>
      </c>
      <c r="J36" s="84">
        <f>ROUND(((SUM(BF94:BF379))*I36),  2)</f>
        <v>0</v>
      </c>
      <c r="L36" s="33"/>
    </row>
    <row r="37" spans="2:12" s="1" customFormat="1" ht="14.45" hidden="1" customHeight="1">
      <c r="B37" s="33"/>
      <c r="E37" s="28" t="s">
        <v>42</v>
      </c>
      <c r="F37" s="84">
        <f>ROUND((SUM(BG94:BG379)),  2)</f>
        <v>0</v>
      </c>
      <c r="I37" s="94">
        <v>0.21</v>
      </c>
      <c r="J37" s="84">
        <f>0</f>
        <v>0</v>
      </c>
      <c r="L37" s="33"/>
    </row>
    <row r="38" spans="2:12" s="1" customFormat="1" ht="14.45" hidden="1" customHeight="1">
      <c r="B38" s="33"/>
      <c r="E38" s="28" t="s">
        <v>43</v>
      </c>
      <c r="F38" s="84">
        <f>ROUND((SUM(BH94:BH379)),  2)</f>
        <v>0</v>
      </c>
      <c r="I38" s="94">
        <v>0.15</v>
      </c>
      <c r="J38" s="84">
        <f>0</f>
        <v>0</v>
      </c>
      <c r="L38" s="33"/>
    </row>
    <row r="39" spans="2:12" s="1" customFormat="1" ht="14.45" hidden="1" customHeight="1">
      <c r="B39" s="33"/>
      <c r="E39" s="28" t="s">
        <v>44</v>
      </c>
      <c r="F39" s="84">
        <f>ROUND((SUM(BI94:BI379)),  2)</f>
        <v>0</v>
      </c>
      <c r="I39" s="94">
        <v>0</v>
      </c>
      <c r="J39" s="84">
        <f>0</f>
        <v>0</v>
      </c>
      <c r="L39" s="33"/>
    </row>
    <row r="40" spans="2:12" s="1" customFormat="1" ht="6.95" customHeight="1">
      <c r="B40" s="33"/>
      <c r="L40" s="33"/>
    </row>
    <row r="41" spans="2:12" s="1" customFormat="1" ht="25.35" customHeight="1">
      <c r="B41" s="33"/>
      <c r="C41" s="95"/>
      <c r="D41" s="96" t="s">
        <v>45</v>
      </c>
      <c r="E41" s="55"/>
      <c r="F41" s="55"/>
      <c r="G41" s="97" t="s">
        <v>46</v>
      </c>
      <c r="H41" s="98" t="s">
        <v>47</v>
      </c>
      <c r="I41" s="55"/>
      <c r="J41" s="99">
        <f>SUM(J32:J39)</f>
        <v>0</v>
      </c>
      <c r="K41" s="100"/>
      <c r="L41" s="33"/>
    </row>
    <row r="42" spans="2:12" s="1" customFormat="1" ht="14.45" customHeight="1">
      <c r="B42" s="42"/>
      <c r="C42" s="43"/>
      <c r="D42" s="43"/>
      <c r="E42" s="43"/>
      <c r="F42" s="43"/>
      <c r="G42" s="43"/>
      <c r="H42" s="43"/>
      <c r="I42" s="43"/>
      <c r="J42" s="43"/>
      <c r="K42" s="43"/>
      <c r="L42" s="33"/>
    </row>
    <row r="46" spans="2:12" s="1" customFormat="1" ht="6.95" customHeight="1">
      <c r="B46" s="44"/>
      <c r="C46" s="45"/>
      <c r="D46" s="45"/>
      <c r="E46" s="45"/>
      <c r="F46" s="45"/>
      <c r="G46" s="45"/>
      <c r="H46" s="45"/>
      <c r="I46" s="45"/>
      <c r="J46" s="45"/>
      <c r="K46" s="45"/>
      <c r="L46" s="33"/>
    </row>
    <row r="47" spans="2:12" s="1" customFormat="1" ht="24.95" customHeight="1">
      <c r="B47" s="33"/>
      <c r="C47" s="22" t="s">
        <v>117</v>
      </c>
      <c r="L47" s="33"/>
    </row>
    <row r="48" spans="2:12" s="1" customFormat="1" ht="6.95" customHeight="1">
      <c r="B48" s="33"/>
      <c r="L48" s="33"/>
    </row>
    <row r="49" spans="2:47" s="1" customFormat="1" ht="12" customHeight="1">
      <c r="B49" s="33"/>
      <c r="C49" s="28" t="s">
        <v>17</v>
      </c>
      <c r="L49" s="33"/>
    </row>
    <row r="50" spans="2:47" s="1" customFormat="1" ht="16.5" customHeight="1">
      <c r="B50" s="33"/>
      <c r="E50" s="319" t="str">
        <f>E7</f>
        <v>SKLAD ŠKROBU P-001</v>
      </c>
      <c r="F50" s="320"/>
      <c r="G50" s="320"/>
      <c r="H50" s="320"/>
      <c r="L50" s="33"/>
    </row>
    <row r="51" spans="2:47" ht="12" customHeight="1">
      <c r="B51" s="21"/>
      <c r="C51" s="28" t="s">
        <v>115</v>
      </c>
      <c r="L51" s="21"/>
    </row>
    <row r="52" spans="2:47" s="1" customFormat="1" ht="16.5" customHeight="1">
      <c r="B52" s="33"/>
      <c r="E52" s="319" t="s">
        <v>1226</v>
      </c>
      <c r="F52" s="321"/>
      <c r="G52" s="321"/>
      <c r="H52" s="321"/>
      <c r="L52" s="33"/>
    </row>
    <row r="53" spans="2:47" s="1" customFormat="1" ht="12" customHeight="1">
      <c r="B53" s="33"/>
      <c r="C53" s="28" t="s">
        <v>1227</v>
      </c>
      <c r="L53" s="33"/>
    </row>
    <row r="54" spans="2:47" s="1" customFormat="1" ht="16.5" customHeight="1">
      <c r="B54" s="33"/>
      <c r="E54" s="282" t="str">
        <f>E11</f>
        <v>n - návrh</v>
      </c>
      <c r="F54" s="321"/>
      <c r="G54" s="321"/>
      <c r="H54" s="321"/>
      <c r="L54" s="33"/>
    </row>
    <row r="55" spans="2:47" s="1" customFormat="1" ht="6.95" customHeight="1">
      <c r="B55" s="33"/>
      <c r="L55" s="33"/>
    </row>
    <row r="56" spans="2:47" s="1" customFormat="1" ht="12" customHeight="1">
      <c r="B56" s="33"/>
      <c r="C56" s="28" t="s">
        <v>21</v>
      </c>
      <c r="F56" s="26" t="str">
        <f>F14</f>
        <v>Horažďovice</v>
      </c>
      <c r="I56" s="28" t="s">
        <v>23</v>
      </c>
      <c r="J56" s="50">
        <f>IF(J14="","",J14)</f>
        <v>45167</v>
      </c>
      <c r="L56" s="33"/>
    </row>
    <row r="57" spans="2:47" s="1" customFormat="1" ht="6.95" customHeight="1">
      <c r="B57" s="33"/>
      <c r="L57" s="33"/>
    </row>
    <row r="58" spans="2:47" s="1" customFormat="1" ht="25.7" customHeight="1">
      <c r="B58" s="33"/>
      <c r="C58" s="28" t="s">
        <v>24</v>
      </c>
      <c r="F58" s="26" t="str">
        <f>E17</f>
        <v xml:space="preserve"> </v>
      </c>
      <c r="I58" s="28" t="s">
        <v>29</v>
      </c>
      <c r="J58" s="31" t="str">
        <f>E23</f>
        <v>VIAPROJEKT s.r.o. HK</v>
      </c>
      <c r="L58" s="33"/>
    </row>
    <row r="59" spans="2:47" s="1" customFormat="1" ht="15.2" customHeight="1">
      <c r="B59" s="33"/>
      <c r="C59" s="28" t="s">
        <v>27</v>
      </c>
      <c r="F59" s="26" t="str">
        <f>IF(E20="","",E20)</f>
        <v>Vyplň údaj</v>
      </c>
      <c r="I59" s="28" t="s">
        <v>31</v>
      </c>
      <c r="J59" s="31" t="str">
        <f>E26</f>
        <v>B.Burešová</v>
      </c>
      <c r="L59" s="33"/>
    </row>
    <row r="60" spans="2:47" s="1" customFormat="1" ht="10.35" customHeight="1">
      <c r="B60" s="33"/>
      <c r="L60" s="33"/>
    </row>
    <row r="61" spans="2:47" s="1" customFormat="1" ht="29.25" customHeight="1">
      <c r="B61" s="33"/>
      <c r="C61" s="101" t="s">
        <v>118</v>
      </c>
      <c r="D61" s="95"/>
      <c r="E61" s="95"/>
      <c r="F61" s="95"/>
      <c r="G61" s="95"/>
      <c r="H61" s="95"/>
      <c r="I61" s="95"/>
      <c r="J61" s="102" t="s">
        <v>119</v>
      </c>
      <c r="K61" s="95"/>
      <c r="L61" s="33"/>
    </row>
    <row r="62" spans="2:47" s="1" customFormat="1" ht="10.35" customHeight="1">
      <c r="B62" s="33"/>
      <c r="L62" s="33"/>
    </row>
    <row r="63" spans="2:47" s="1" customFormat="1" ht="22.9" customHeight="1">
      <c r="B63" s="33"/>
      <c r="C63" s="103" t="s">
        <v>67</v>
      </c>
      <c r="J63" s="64">
        <f>J94</f>
        <v>0</v>
      </c>
      <c r="L63" s="33"/>
      <c r="AU63" s="18" t="s">
        <v>120</v>
      </c>
    </row>
    <row r="64" spans="2:47" s="8" customFormat="1" ht="24.95" customHeight="1">
      <c r="B64" s="104"/>
      <c r="D64" s="105" t="s">
        <v>1146</v>
      </c>
      <c r="E64" s="106"/>
      <c r="F64" s="106"/>
      <c r="G64" s="106"/>
      <c r="H64" s="106"/>
      <c r="I64" s="106"/>
      <c r="J64" s="107">
        <f>J95</f>
        <v>0</v>
      </c>
      <c r="L64" s="104"/>
    </row>
    <row r="65" spans="2:12" s="9" customFormat="1" ht="19.899999999999999" customHeight="1">
      <c r="B65" s="108"/>
      <c r="D65" s="109" t="s">
        <v>122</v>
      </c>
      <c r="E65" s="110"/>
      <c r="F65" s="110"/>
      <c r="G65" s="110"/>
      <c r="H65" s="110"/>
      <c r="I65" s="110"/>
      <c r="J65" s="111">
        <f>J96</f>
        <v>0</v>
      </c>
      <c r="L65" s="108"/>
    </row>
    <row r="66" spans="2:12" s="9" customFormat="1" ht="19.899999999999999" customHeight="1">
      <c r="B66" s="108"/>
      <c r="D66" s="109" t="s">
        <v>1398</v>
      </c>
      <c r="E66" s="110"/>
      <c r="F66" s="110"/>
      <c r="G66" s="110"/>
      <c r="H66" s="110"/>
      <c r="I66" s="110"/>
      <c r="J66" s="111">
        <f>J240</f>
        <v>0</v>
      </c>
      <c r="L66" s="108"/>
    </row>
    <row r="67" spans="2:12" s="9" customFormat="1" ht="19.899999999999999" customHeight="1">
      <c r="B67" s="108"/>
      <c r="D67" s="109" t="s">
        <v>1399</v>
      </c>
      <c r="E67" s="110"/>
      <c r="F67" s="110"/>
      <c r="G67" s="110"/>
      <c r="H67" s="110"/>
      <c r="I67" s="110"/>
      <c r="J67" s="111">
        <f>J246</f>
        <v>0</v>
      </c>
      <c r="L67" s="108"/>
    </row>
    <row r="68" spans="2:12" s="9" customFormat="1" ht="19.899999999999999" customHeight="1">
      <c r="B68" s="108"/>
      <c r="D68" s="109" t="s">
        <v>1400</v>
      </c>
      <c r="E68" s="110"/>
      <c r="F68" s="110"/>
      <c r="G68" s="110"/>
      <c r="H68" s="110"/>
      <c r="I68" s="110"/>
      <c r="J68" s="111">
        <f>J281</f>
        <v>0</v>
      </c>
      <c r="L68" s="108"/>
    </row>
    <row r="69" spans="2:12" s="9" customFormat="1" ht="19.899999999999999" customHeight="1">
      <c r="B69" s="108"/>
      <c r="D69" s="109" t="s">
        <v>126</v>
      </c>
      <c r="E69" s="110"/>
      <c r="F69" s="110"/>
      <c r="G69" s="110"/>
      <c r="H69" s="110"/>
      <c r="I69" s="110"/>
      <c r="J69" s="111">
        <f>J322</f>
        <v>0</v>
      </c>
      <c r="L69" s="108"/>
    </row>
    <row r="70" spans="2:12" s="9" customFormat="1" ht="19.899999999999999" customHeight="1">
      <c r="B70" s="108"/>
      <c r="D70" s="109" t="s">
        <v>129</v>
      </c>
      <c r="E70" s="110"/>
      <c r="F70" s="110"/>
      <c r="G70" s="110"/>
      <c r="H70" s="110"/>
      <c r="I70" s="110"/>
      <c r="J70" s="111">
        <f>J371</f>
        <v>0</v>
      </c>
      <c r="L70" s="108"/>
    </row>
    <row r="71" spans="2:12" s="8" customFormat="1" ht="24.95" customHeight="1">
      <c r="B71" s="104"/>
      <c r="D71" s="105" t="s">
        <v>1401</v>
      </c>
      <c r="E71" s="106"/>
      <c r="F71" s="106"/>
      <c r="G71" s="106"/>
      <c r="H71" s="106"/>
      <c r="I71" s="106"/>
      <c r="J71" s="107">
        <f>J376</f>
        <v>0</v>
      </c>
      <c r="L71" s="104"/>
    </row>
    <row r="72" spans="2:12" s="9" customFormat="1" ht="19.899999999999999" customHeight="1">
      <c r="B72" s="108"/>
      <c r="D72" s="109" t="s">
        <v>1402</v>
      </c>
      <c r="E72" s="110"/>
      <c r="F72" s="110"/>
      <c r="G72" s="110"/>
      <c r="H72" s="110"/>
      <c r="I72" s="110"/>
      <c r="J72" s="111">
        <f>J377</f>
        <v>0</v>
      </c>
      <c r="L72" s="108"/>
    </row>
    <row r="73" spans="2:12" s="1" customFormat="1" ht="21.75" customHeight="1">
      <c r="B73" s="33"/>
      <c r="L73" s="33"/>
    </row>
    <row r="74" spans="2:12" s="1" customFormat="1" ht="6.95" customHeight="1">
      <c r="B74" s="42"/>
      <c r="C74" s="43"/>
      <c r="D74" s="43"/>
      <c r="E74" s="43"/>
      <c r="F74" s="43"/>
      <c r="G74" s="43"/>
      <c r="H74" s="43"/>
      <c r="I74" s="43"/>
      <c r="J74" s="43"/>
      <c r="K74" s="43"/>
      <c r="L74" s="33"/>
    </row>
    <row r="78" spans="2:12" s="1" customFormat="1" ht="6.95" customHeight="1">
      <c r="B78" s="44"/>
      <c r="C78" s="45"/>
      <c r="D78" s="45"/>
      <c r="E78" s="45"/>
      <c r="F78" s="45"/>
      <c r="G78" s="45"/>
      <c r="H78" s="45"/>
      <c r="I78" s="45"/>
      <c r="J78" s="45"/>
      <c r="K78" s="45"/>
      <c r="L78" s="33"/>
    </row>
    <row r="79" spans="2:12" s="1" customFormat="1" ht="24.95" customHeight="1">
      <c r="B79" s="33"/>
      <c r="C79" s="22" t="s">
        <v>137</v>
      </c>
      <c r="L79" s="33"/>
    </row>
    <row r="80" spans="2:12" s="1" customFormat="1" ht="6.95" customHeight="1">
      <c r="B80" s="33"/>
      <c r="L80" s="33"/>
    </row>
    <row r="81" spans="2:63" s="1" customFormat="1" ht="12" customHeight="1">
      <c r="B81" s="33"/>
      <c r="C81" s="28" t="s">
        <v>17</v>
      </c>
      <c r="L81" s="33"/>
    </row>
    <row r="82" spans="2:63" s="1" customFormat="1" ht="16.5" customHeight="1">
      <c r="B82" s="33"/>
      <c r="E82" s="319" t="str">
        <f>E7</f>
        <v>SKLAD ŠKROBU P-001</v>
      </c>
      <c r="F82" s="320"/>
      <c r="G82" s="320"/>
      <c r="H82" s="320"/>
      <c r="L82" s="33"/>
    </row>
    <row r="83" spans="2:63" ht="12" customHeight="1">
      <c r="B83" s="21"/>
      <c r="C83" s="28" t="s">
        <v>115</v>
      </c>
      <c r="L83" s="21"/>
    </row>
    <row r="84" spans="2:63" s="1" customFormat="1" ht="16.5" customHeight="1">
      <c r="B84" s="33"/>
      <c r="E84" s="319" t="s">
        <v>1226</v>
      </c>
      <c r="F84" s="321"/>
      <c r="G84" s="321"/>
      <c r="H84" s="321"/>
      <c r="L84" s="33"/>
    </row>
    <row r="85" spans="2:63" s="1" customFormat="1" ht="12" customHeight="1">
      <c r="B85" s="33"/>
      <c r="C85" s="28" t="s">
        <v>1227</v>
      </c>
      <c r="L85" s="33"/>
    </row>
    <row r="86" spans="2:63" s="1" customFormat="1" ht="16.5" customHeight="1">
      <c r="B86" s="33"/>
      <c r="E86" s="282" t="str">
        <f>E11</f>
        <v>n - návrh</v>
      </c>
      <c r="F86" s="321"/>
      <c r="G86" s="321"/>
      <c r="H86" s="321"/>
      <c r="L86" s="33"/>
    </row>
    <row r="87" spans="2:63" s="1" customFormat="1" ht="6.95" customHeight="1">
      <c r="B87" s="33"/>
      <c r="L87" s="33"/>
    </row>
    <row r="88" spans="2:63" s="1" customFormat="1" ht="12" customHeight="1">
      <c r="B88" s="33"/>
      <c r="C88" s="28" t="s">
        <v>21</v>
      </c>
      <c r="F88" s="26" t="str">
        <f>F14</f>
        <v>Horažďovice</v>
      </c>
      <c r="I88" s="28" t="s">
        <v>23</v>
      </c>
      <c r="J88" s="50">
        <f>IF(J14="","",J14)</f>
        <v>45167</v>
      </c>
      <c r="L88" s="33"/>
    </row>
    <row r="89" spans="2:63" s="1" customFormat="1" ht="6.95" customHeight="1">
      <c r="B89" s="33"/>
      <c r="L89" s="33"/>
    </row>
    <row r="90" spans="2:63" s="1" customFormat="1" ht="25.7" customHeight="1">
      <c r="B90" s="33"/>
      <c r="C90" s="28" t="s">
        <v>24</v>
      </c>
      <c r="F90" s="26" t="str">
        <f>E17</f>
        <v xml:space="preserve"> </v>
      </c>
      <c r="I90" s="28" t="s">
        <v>29</v>
      </c>
      <c r="J90" s="31" t="str">
        <f>E23</f>
        <v>VIAPROJEKT s.r.o. HK</v>
      </c>
      <c r="L90" s="33"/>
    </row>
    <row r="91" spans="2:63" s="1" customFormat="1" ht="15.2" customHeight="1">
      <c r="B91" s="33"/>
      <c r="C91" s="28" t="s">
        <v>27</v>
      </c>
      <c r="F91" s="26" t="str">
        <f>IF(E20="","",E20)</f>
        <v>Vyplň údaj</v>
      </c>
      <c r="I91" s="28" t="s">
        <v>31</v>
      </c>
      <c r="J91" s="31" t="str">
        <f>E26</f>
        <v>B.Burešová</v>
      </c>
      <c r="L91" s="33"/>
    </row>
    <row r="92" spans="2:63" s="1" customFormat="1" ht="10.35" customHeight="1">
      <c r="B92" s="33"/>
      <c r="L92" s="33"/>
    </row>
    <row r="93" spans="2:63" s="10" customFormat="1" ht="29.25" customHeight="1">
      <c r="B93" s="112"/>
      <c r="C93" s="113" t="s">
        <v>138</v>
      </c>
      <c r="D93" s="114" t="s">
        <v>54</v>
      </c>
      <c r="E93" s="114" t="s">
        <v>50</v>
      </c>
      <c r="F93" s="114" t="s">
        <v>51</v>
      </c>
      <c r="G93" s="114" t="s">
        <v>139</v>
      </c>
      <c r="H93" s="114" t="s">
        <v>140</v>
      </c>
      <c r="I93" s="114" t="s">
        <v>141</v>
      </c>
      <c r="J93" s="114" t="s">
        <v>119</v>
      </c>
      <c r="K93" s="115" t="s">
        <v>142</v>
      </c>
      <c r="L93" s="112"/>
      <c r="M93" s="57" t="s">
        <v>3</v>
      </c>
      <c r="N93" s="58" t="s">
        <v>39</v>
      </c>
      <c r="O93" s="58" t="s">
        <v>143</v>
      </c>
      <c r="P93" s="58" t="s">
        <v>144</v>
      </c>
      <c r="Q93" s="58" t="s">
        <v>145</v>
      </c>
      <c r="R93" s="58" t="s">
        <v>146</v>
      </c>
      <c r="S93" s="58" t="s">
        <v>147</v>
      </c>
      <c r="T93" s="59" t="s">
        <v>148</v>
      </c>
    </row>
    <row r="94" spans="2:63" s="1" customFormat="1" ht="22.9" customHeight="1">
      <c r="B94" s="33"/>
      <c r="C94" s="62" t="s">
        <v>149</v>
      </c>
      <c r="J94" s="116">
        <f>BK94</f>
        <v>0</v>
      </c>
      <c r="L94" s="33"/>
      <c r="M94" s="60"/>
      <c r="N94" s="51"/>
      <c r="O94" s="51"/>
      <c r="P94" s="117">
        <f>P95+P376</f>
        <v>0</v>
      </c>
      <c r="Q94" s="51"/>
      <c r="R94" s="117">
        <f>R95+R376</f>
        <v>33.352387999999998</v>
      </c>
      <c r="S94" s="51"/>
      <c r="T94" s="118">
        <f>T95+T376</f>
        <v>0</v>
      </c>
      <c r="AT94" s="18" t="s">
        <v>68</v>
      </c>
      <c r="AU94" s="18" t="s">
        <v>120</v>
      </c>
      <c r="BK94" s="119">
        <f>BK95+BK376</f>
        <v>0</v>
      </c>
    </row>
    <row r="95" spans="2:63" s="11" customFormat="1" ht="25.9" customHeight="1">
      <c r="B95" s="120"/>
      <c r="D95" s="121" t="s">
        <v>68</v>
      </c>
      <c r="E95" s="122" t="s">
        <v>150</v>
      </c>
      <c r="F95" s="122" t="s">
        <v>1147</v>
      </c>
      <c r="I95" s="123"/>
      <c r="J95" s="124">
        <f>BK95</f>
        <v>0</v>
      </c>
      <c r="L95" s="120"/>
      <c r="M95" s="125"/>
      <c r="P95" s="126">
        <f>P96+P240+P246+P281+P322+P371</f>
        <v>0</v>
      </c>
      <c r="R95" s="126">
        <f>R96+R240+R246+R281+R322+R371</f>
        <v>33.352387999999998</v>
      </c>
      <c r="T95" s="127">
        <f>T96+T240+T246+T281+T322+T371</f>
        <v>0</v>
      </c>
      <c r="AR95" s="121" t="s">
        <v>77</v>
      </c>
      <c r="AT95" s="128" t="s">
        <v>68</v>
      </c>
      <c r="AU95" s="128" t="s">
        <v>69</v>
      </c>
      <c r="AY95" s="121" t="s">
        <v>151</v>
      </c>
      <c r="BK95" s="129">
        <f>BK96+BK240+BK246+BK281+BK322+BK371</f>
        <v>0</v>
      </c>
    </row>
    <row r="96" spans="2:63" s="11" customFormat="1" ht="22.9" customHeight="1">
      <c r="B96" s="120"/>
      <c r="D96" s="121" t="s">
        <v>68</v>
      </c>
      <c r="E96" s="130" t="s">
        <v>77</v>
      </c>
      <c r="F96" s="130" t="s">
        <v>152</v>
      </c>
      <c r="I96" s="123"/>
      <c r="J96" s="131">
        <f>BK96</f>
        <v>0</v>
      </c>
      <c r="L96" s="120"/>
      <c r="M96" s="125"/>
      <c r="P96" s="126">
        <f>SUM(P97:P239)</f>
        <v>0</v>
      </c>
      <c r="R96" s="126">
        <f>SUM(R97:R239)</f>
        <v>2.7157999999999998E-2</v>
      </c>
      <c r="T96" s="127">
        <f>SUM(T97:T239)</f>
        <v>0</v>
      </c>
      <c r="AR96" s="121" t="s">
        <v>77</v>
      </c>
      <c r="AT96" s="128" t="s">
        <v>68</v>
      </c>
      <c r="AU96" s="128" t="s">
        <v>77</v>
      </c>
      <c r="AY96" s="121" t="s">
        <v>151</v>
      </c>
      <c r="BK96" s="129">
        <f>SUM(BK97:BK239)</f>
        <v>0</v>
      </c>
    </row>
    <row r="97" spans="2:65" s="1" customFormat="1" ht="21.75" customHeight="1">
      <c r="B97" s="132"/>
      <c r="C97" s="133" t="s">
        <v>77</v>
      </c>
      <c r="D97" s="133" t="s">
        <v>153</v>
      </c>
      <c r="E97" s="134" t="s">
        <v>1403</v>
      </c>
      <c r="F97" s="135" t="s">
        <v>1404</v>
      </c>
      <c r="G97" s="136" t="s">
        <v>156</v>
      </c>
      <c r="H97" s="137">
        <v>250</v>
      </c>
      <c r="I97" s="138"/>
      <c r="J97" s="139">
        <f>ROUND(I97*H97,2)</f>
        <v>0</v>
      </c>
      <c r="K97" s="135" t="s">
        <v>171</v>
      </c>
      <c r="L97" s="33"/>
      <c r="M97" s="140" t="s">
        <v>3</v>
      </c>
      <c r="N97" s="141" t="s">
        <v>40</v>
      </c>
      <c r="P97" s="142">
        <f>O97*H97</f>
        <v>0</v>
      </c>
      <c r="Q97" s="142">
        <v>0</v>
      </c>
      <c r="R97" s="142">
        <f>Q97*H97</f>
        <v>0</v>
      </c>
      <c r="S97" s="142">
        <v>0</v>
      </c>
      <c r="T97" s="143">
        <f>S97*H97</f>
        <v>0</v>
      </c>
      <c r="AR97" s="144" t="s">
        <v>158</v>
      </c>
      <c r="AT97" s="144" t="s">
        <v>153</v>
      </c>
      <c r="AU97" s="144" t="s">
        <v>79</v>
      </c>
      <c r="AY97" s="18" t="s">
        <v>151</v>
      </c>
      <c r="BE97" s="145">
        <f>IF(N97="základní",J97,0)</f>
        <v>0</v>
      </c>
      <c r="BF97" s="145">
        <f>IF(N97="snížená",J97,0)</f>
        <v>0</v>
      </c>
      <c r="BG97" s="145">
        <f>IF(N97="zákl. přenesená",J97,0)</f>
        <v>0</v>
      </c>
      <c r="BH97" s="145">
        <f>IF(N97="sníž. přenesená",J97,0)</f>
        <v>0</v>
      </c>
      <c r="BI97" s="145">
        <f>IF(N97="nulová",J97,0)</f>
        <v>0</v>
      </c>
      <c r="BJ97" s="18" t="s">
        <v>77</v>
      </c>
      <c r="BK97" s="145">
        <f>ROUND(I97*H97,2)</f>
        <v>0</v>
      </c>
      <c r="BL97" s="18" t="s">
        <v>158</v>
      </c>
      <c r="BM97" s="144" t="s">
        <v>1405</v>
      </c>
    </row>
    <row r="98" spans="2:65" s="1" customFormat="1" ht="11.25">
      <c r="B98" s="33"/>
      <c r="D98" s="146" t="s">
        <v>160</v>
      </c>
      <c r="F98" s="147" t="s">
        <v>1406</v>
      </c>
      <c r="I98" s="148"/>
      <c r="L98" s="33"/>
      <c r="M98" s="149"/>
      <c r="T98" s="54"/>
      <c r="AT98" s="18" t="s">
        <v>160</v>
      </c>
      <c r="AU98" s="18" t="s">
        <v>79</v>
      </c>
    </row>
    <row r="99" spans="2:65" s="14" customFormat="1" ht="11.25">
      <c r="B99" s="165"/>
      <c r="D99" s="151" t="s">
        <v>162</v>
      </c>
      <c r="E99" s="166" t="s">
        <v>3</v>
      </c>
      <c r="F99" s="167" t="s">
        <v>1407</v>
      </c>
      <c r="H99" s="166" t="s">
        <v>3</v>
      </c>
      <c r="I99" s="168"/>
      <c r="L99" s="165"/>
      <c r="M99" s="169"/>
      <c r="T99" s="170"/>
      <c r="AT99" s="166" t="s">
        <v>162</v>
      </c>
      <c r="AU99" s="166" t="s">
        <v>79</v>
      </c>
      <c r="AV99" s="14" t="s">
        <v>77</v>
      </c>
      <c r="AW99" s="14" t="s">
        <v>30</v>
      </c>
      <c r="AX99" s="14" t="s">
        <v>69</v>
      </c>
      <c r="AY99" s="166" t="s">
        <v>151</v>
      </c>
    </row>
    <row r="100" spans="2:65" s="12" customFormat="1" ht="11.25">
      <c r="B100" s="150"/>
      <c r="D100" s="151" t="s">
        <v>162</v>
      </c>
      <c r="E100" s="152" t="s">
        <v>3</v>
      </c>
      <c r="F100" s="153" t="s">
        <v>1408</v>
      </c>
      <c r="H100" s="154">
        <v>250</v>
      </c>
      <c r="I100" s="155"/>
      <c r="L100" s="150"/>
      <c r="M100" s="156"/>
      <c r="T100" s="157"/>
      <c r="AT100" s="152" t="s">
        <v>162</v>
      </c>
      <c r="AU100" s="152" t="s">
        <v>79</v>
      </c>
      <c r="AV100" s="12" t="s">
        <v>79</v>
      </c>
      <c r="AW100" s="12" t="s">
        <v>30</v>
      </c>
      <c r="AX100" s="12" t="s">
        <v>69</v>
      </c>
      <c r="AY100" s="152" t="s">
        <v>151</v>
      </c>
    </row>
    <row r="101" spans="2:65" s="13" customFormat="1" ht="11.25">
      <c r="B101" s="158"/>
      <c r="D101" s="151" t="s">
        <v>162</v>
      </c>
      <c r="E101" s="159" t="s">
        <v>3</v>
      </c>
      <c r="F101" s="160" t="s">
        <v>167</v>
      </c>
      <c r="H101" s="161">
        <v>250</v>
      </c>
      <c r="I101" s="162"/>
      <c r="L101" s="158"/>
      <c r="M101" s="163"/>
      <c r="T101" s="164"/>
      <c r="AT101" s="159" t="s">
        <v>162</v>
      </c>
      <c r="AU101" s="159" t="s">
        <v>79</v>
      </c>
      <c r="AV101" s="13" t="s">
        <v>158</v>
      </c>
      <c r="AW101" s="13" t="s">
        <v>30</v>
      </c>
      <c r="AX101" s="13" t="s">
        <v>77</v>
      </c>
      <c r="AY101" s="159" t="s">
        <v>151</v>
      </c>
    </row>
    <row r="102" spans="2:65" s="1" customFormat="1" ht="21.75" customHeight="1">
      <c r="B102" s="132"/>
      <c r="C102" s="133" t="s">
        <v>79</v>
      </c>
      <c r="D102" s="133" t="s">
        <v>153</v>
      </c>
      <c r="E102" s="134" t="s">
        <v>1409</v>
      </c>
      <c r="F102" s="135" t="s">
        <v>1410</v>
      </c>
      <c r="G102" s="136" t="s">
        <v>156</v>
      </c>
      <c r="H102" s="137">
        <v>1</v>
      </c>
      <c r="I102" s="138"/>
      <c r="J102" s="139">
        <f>ROUND(I102*H102,2)</f>
        <v>0</v>
      </c>
      <c r="K102" s="135" t="s">
        <v>171</v>
      </c>
      <c r="L102" s="33"/>
      <c r="M102" s="140" t="s">
        <v>3</v>
      </c>
      <c r="N102" s="141" t="s">
        <v>40</v>
      </c>
      <c r="P102" s="142">
        <f>O102*H102</f>
        <v>0</v>
      </c>
      <c r="Q102" s="142">
        <v>0</v>
      </c>
      <c r="R102" s="142">
        <f>Q102*H102</f>
        <v>0</v>
      </c>
      <c r="S102" s="142">
        <v>0</v>
      </c>
      <c r="T102" s="143">
        <f>S102*H102</f>
        <v>0</v>
      </c>
      <c r="AR102" s="144" t="s">
        <v>158</v>
      </c>
      <c r="AT102" s="144" t="s">
        <v>153</v>
      </c>
      <c r="AU102" s="144" t="s">
        <v>79</v>
      </c>
      <c r="AY102" s="18" t="s">
        <v>151</v>
      </c>
      <c r="BE102" s="145">
        <f>IF(N102="základní",J102,0)</f>
        <v>0</v>
      </c>
      <c r="BF102" s="145">
        <f>IF(N102="snížená",J102,0)</f>
        <v>0</v>
      </c>
      <c r="BG102" s="145">
        <f>IF(N102="zákl. přenesená",J102,0)</f>
        <v>0</v>
      </c>
      <c r="BH102" s="145">
        <f>IF(N102="sníž. přenesená",J102,0)</f>
        <v>0</v>
      </c>
      <c r="BI102" s="145">
        <f>IF(N102="nulová",J102,0)</f>
        <v>0</v>
      </c>
      <c r="BJ102" s="18" t="s">
        <v>77</v>
      </c>
      <c r="BK102" s="145">
        <f>ROUND(I102*H102,2)</f>
        <v>0</v>
      </c>
      <c r="BL102" s="18" t="s">
        <v>158</v>
      </c>
      <c r="BM102" s="144" t="s">
        <v>1411</v>
      </c>
    </row>
    <row r="103" spans="2:65" s="1" customFormat="1" ht="11.25">
      <c r="B103" s="33"/>
      <c r="D103" s="146" t="s">
        <v>160</v>
      </c>
      <c r="F103" s="147" t="s">
        <v>1412</v>
      </c>
      <c r="I103" s="148"/>
      <c r="L103" s="33"/>
      <c r="M103" s="149"/>
      <c r="T103" s="54"/>
      <c r="AT103" s="18" t="s">
        <v>160</v>
      </c>
      <c r="AU103" s="18" t="s">
        <v>79</v>
      </c>
    </row>
    <row r="104" spans="2:65" s="14" customFormat="1" ht="11.25">
      <c r="B104" s="165"/>
      <c r="D104" s="151" t="s">
        <v>162</v>
      </c>
      <c r="E104" s="166" t="s">
        <v>3</v>
      </c>
      <c r="F104" s="167" t="s">
        <v>1413</v>
      </c>
      <c r="H104" s="166" t="s">
        <v>3</v>
      </c>
      <c r="I104" s="168"/>
      <c r="L104" s="165"/>
      <c r="M104" s="169"/>
      <c r="T104" s="170"/>
      <c r="AT104" s="166" t="s">
        <v>162</v>
      </c>
      <c r="AU104" s="166" t="s">
        <v>79</v>
      </c>
      <c r="AV104" s="14" t="s">
        <v>77</v>
      </c>
      <c r="AW104" s="14" t="s">
        <v>30</v>
      </c>
      <c r="AX104" s="14" t="s">
        <v>69</v>
      </c>
      <c r="AY104" s="166" t="s">
        <v>151</v>
      </c>
    </row>
    <row r="105" spans="2:65" s="12" customFormat="1" ht="11.25">
      <c r="B105" s="150"/>
      <c r="D105" s="151" t="s">
        <v>162</v>
      </c>
      <c r="E105" s="152" t="s">
        <v>3</v>
      </c>
      <c r="F105" s="153" t="s">
        <v>77</v>
      </c>
      <c r="H105" s="154">
        <v>1</v>
      </c>
      <c r="I105" s="155"/>
      <c r="L105" s="150"/>
      <c r="M105" s="156"/>
      <c r="T105" s="157"/>
      <c r="AT105" s="152" t="s">
        <v>162</v>
      </c>
      <c r="AU105" s="152" t="s">
        <v>79</v>
      </c>
      <c r="AV105" s="12" t="s">
        <v>79</v>
      </c>
      <c r="AW105" s="12" t="s">
        <v>30</v>
      </c>
      <c r="AX105" s="12" t="s">
        <v>69</v>
      </c>
      <c r="AY105" s="152" t="s">
        <v>151</v>
      </c>
    </row>
    <row r="106" spans="2:65" s="13" customFormat="1" ht="11.25">
      <c r="B106" s="158"/>
      <c r="D106" s="151" t="s">
        <v>162</v>
      </c>
      <c r="E106" s="159" t="s">
        <v>3</v>
      </c>
      <c r="F106" s="160" t="s">
        <v>167</v>
      </c>
      <c r="H106" s="161">
        <v>1</v>
      </c>
      <c r="I106" s="162"/>
      <c r="L106" s="158"/>
      <c r="M106" s="163"/>
      <c r="T106" s="164"/>
      <c r="AT106" s="159" t="s">
        <v>162</v>
      </c>
      <c r="AU106" s="159" t="s">
        <v>79</v>
      </c>
      <c r="AV106" s="13" t="s">
        <v>158</v>
      </c>
      <c r="AW106" s="13" t="s">
        <v>30</v>
      </c>
      <c r="AX106" s="13" t="s">
        <v>77</v>
      </c>
      <c r="AY106" s="159" t="s">
        <v>151</v>
      </c>
    </row>
    <row r="107" spans="2:65" s="1" customFormat="1" ht="21.75" customHeight="1">
      <c r="B107" s="132"/>
      <c r="C107" s="133" t="s">
        <v>168</v>
      </c>
      <c r="D107" s="133" t="s">
        <v>153</v>
      </c>
      <c r="E107" s="134" t="s">
        <v>1148</v>
      </c>
      <c r="F107" s="135" t="s">
        <v>1414</v>
      </c>
      <c r="G107" s="136" t="s">
        <v>156</v>
      </c>
      <c r="H107" s="137">
        <v>4.5</v>
      </c>
      <c r="I107" s="138"/>
      <c r="J107" s="139">
        <f>ROUND(I107*H107,2)</f>
        <v>0</v>
      </c>
      <c r="K107" s="135" t="s">
        <v>171</v>
      </c>
      <c r="L107" s="33"/>
      <c r="M107" s="140" t="s">
        <v>3</v>
      </c>
      <c r="N107" s="141" t="s">
        <v>40</v>
      </c>
      <c r="P107" s="142">
        <f>O107*H107</f>
        <v>0</v>
      </c>
      <c r="Q107" s="142">
        <v>0</v>
      </c>
      <c r="R107" s="142">
        <f>Q107*H107</f>
        <v>0</v>
      </c>
      <c r="S107" s="142">
        <v>0</v>
      </c>
      <c r="T107" s="143">
        <f>S107*H107</f>
        <v>0</v>
      </c>
      <c r="AR107" s="144" t="s">
        <v>158</v>
      </c>
      <c r="AT107" s="144" t="s">
        <v>153</v>
      </c>
      <c r="AU107" s="144" t="s">
        <v>79</v>
      </c>
      <c r="AY107" s="18" t="s">
        <v>151</v>
      </c>
      <c r="BE107" s="145">
        <f>IF(N107="základní",J107,0)</f>
        <v>0</v>
      </c>
      <c r="BF107" s="145">
        <f>IF(N107="snížená",J107,0)</f>
        <v>0</v>
      </c>
      <c r="BG107" s="145">
        <f>IF(N107="zákl. přenesená",J107,0)</f>
        <v>0</v>
      </c>
      <c r="BH107" s="145">
        <f>IF(N107="sníž. přenesená",J107,0)</f>
        <v>0</v>
      </c>
      <c r="BI107" s="145">
        <f>IF(N107="nulová",J107,0)</f>
        <v>0</v>
      </c>
      <c r="BJ107" s="18" t="s">
        <v>77</v>
      </c>
      <c r="BK107" s="145">
        <f>ROUND(I107*H107,2)</f>
        <v>0</v>
      </c>
      <c r="BL107" s="18" t="s">
        <v>158</v>
      </c>
      <c r="BM107" s="144" t="s">
        <v>1415</v>
      </c>
    </row>
    <row r="108" spans="2:65" s="1" customFormat="1" ht="11.25">
      <c r="B108" s="33"/>
      <c r="D108" s="146" t="s">
        <v>160</v>
      </c>
      <c r="F108" s="147" t="s">
        <v>1151</v>
      </c>
      <c r="I108" s="148"/>
      <c r="L108" s="33"/>
      <c r="M108" s="149"/>
      <c r="T108" s="54"/>
      <c r="AT108" s="18" t="s">
        <v>160</v>
      </c>
      <c r="AU108" s="18" t="s">
        <v>79</v>
      </c>
    </row>
    <row r="109" spans="2:65" s="14" customFormat="1" ht="11.25">
      <c r="B109" s="165"/>
      <c r="D109" s="151" t="s">
        <v>162</v>
      </c>
      <c r="E109" s="166" t="s">
        <v>3</v>
      </c>
      <c r="F109" s="167" t="s">
        <v>1416</v>
      </c>
      <c r="H109" s="166" t="s">
        <v>3</v>
      </c>
      <c r="I109" s="168"/>
      <c r="L109" s="165"/>
      <c r="M109" s="169"/>
      <c r="T109" s="170"/>
      <c r="AT109" s="166" t="s">
        <v>162</v>
      </c>
      <c r="AU109" s="166" t="s">
        <v>79</v>
      </c>
      <c r="AV109" s="14" t="s">
        <v>77</v>
      </c>
      <c r="AW109" s="14" t="s">
        <v>30</v>
      </c>
      <c r="AX109" s="14" t="s">
        <v>69</v>
      </c>
      <c r="AY109" s="166" t="s">
        <v>151</v>
      </c>
    </row>
    <row r="110" spans="2:65" s="12" customFormat="1" ht="11.25">
      <c r="B110" s="150"/>
      <c r="D110" s="151" t="s">
        <v>162</v>
      </c>
      <c r="E110" s="152" t="s">
        <v>3</v>
      </c>
      <c r="F110" s="153" t="s">
        <v>1417</v>
      </c>
      <c r="H110" s="154">
        <v>4.5</v>
      </c>
      <c r="I110" s="155"/>
      <c r="L110" s="150"/>
      <c r="M110" s="156"/>
      <c r="T110" s="157"/>
      <c r="AT110" s="152" t="s">
        <v>162</v>
      </c>
      <c r="AU110" s="152" t="s">
        <v>79</v>
      </c>
      <c r="AV110" s="12" t="s">
        <v>79</v>
      </c>
      <c r="AW110" s="12" t="s">
        <v>30</v>
      </c>
      <c r="AX110" s="12" t="s">
        <v>69</v>
      </c>
      <c r="AY110" s="152" t="s">
        <v>151</v>
      </c>
    </row>
    <row r="111" spans="2:65" s="13" customFormat="1" ht="11.25">
      <c r="B111" s="158"/>
      <c r="D111" s="151" t="s">
        <v>162</v>
      </c>
      <c r="E111" s="159" t="s">
        <v>3</v>
      </c>
      <c r="F111" s="160" t="s">
        <v>167</v>
      </c>
      <c r="H111" s="161">
        <v>4.5</v>
      </c>
      <c r="I111" s="162"/>
      <c r="L111" s="158"/>
      <c r="M111" s="163"/>
      <c r="T111" s="164"/>
      <c r="AT111" s="159" t="s">
        <v>162</v>
      </c>
      <c r="AU111" s="159" t="s">
        <v>79</v>
      </c>
      <c r="AV111" s="13" t="s">
        <v>158</v>
      </c>
      <c r="AW111" s="13" t="s">
        <v>30</v>
      </c>
      <c r="AX111" s="13" t="s">
        <v>77</v>
      </c>
      <c r="AY111" s="159" t="s">
        <v>151</v>
      </c>
    </row>
    <row r="112" spans="2:65" s="1" customFormat="1" ht="16.5" customHeight="1">
      <c r="B112" s="132"/>
      <c r="C112" s="133" t="s">
        <v>158</v>
      </c>
      <c r="D112" s="133" t="s">
        <v>153</v>
      </c>
      <c r="E112" s="134" t="s">
        <v>1418</v>
      </c>
      <c r="F112" s="135" t="s">
        <v>1419</v>
      </c>
      <c r="G112" s="136" t="s">
        <v>156</v>
      </c>
      <c r="H112" s="137">
        <v>0.45</v>
      </c>
      <c r="I112" s="138"/>
      <c r="J112" s="139">
        <f>ROUND(I112*H112,2)</f>
        <v>0</v>
      </c>
      <c r="K112" s="135" t="s">
        <v>171</v>
      </c>
      <c r="L112" s="33"/>
      <c r="M112" s="140" t="s">
        <v>3</v>
      </c>
      <c r="N112" s="141" t="s">
        <v>40</v>
      </c>
      <c r="P112" s="142">
        <f>O112*H112</f>
        <v>0</v>
      </c>
      <c r="Q112" s="142">
        <v>0</v>
      </c>
      <c r="R112" s="142">
        <f>Q112*H112</f>
        <v>0</v>
      </c>
      <c r="S112" s="142">
        <v>0</v>
      </c>
      <c r="T112" s="143">
        <f>S112*H112</f>
        <v>0</v>
      </c>
      <c r="AR112" s="144" t="s">
        <v>158</v>
      </c>
      <c r="AT112" s="144" t="s">
        <v>153</v>
      </c>
      <c r="AU112" s="144" t="s">
        <v>79</v>
      </c>
      <c r="AY112" s="18" t="s">
        <v>151</v>
      </c>
      <c r="BE112" s="145">
        <f>IF(N112="základní",J112,0)</f>
        <v>0</v>
      </c>
      <c r="BF112" s="145">
        <f>IF(N112="snížená",J112,0)</f>
        <v>0</v>
      </c>
      <c r="BG112" s="145">
        <f>IF(N112="zákl. přenesená",J112,0)</f>
        <v>0</v>
      </c>
      <c r="BH112" s="145">
        <f>IF(N112="sníž. přenesená",J112,0)</f>
        <v>0</v>
      </c>
      <c r="BI112" s="145">
        <f>IF(N112="nulová",J112,0)</f>
        <v>0</v>
      </c>
      <c r="BJ112" s="18" t="s">
        <v>77</v>
      </c>
      <c r="BK112" s="145">
        <f>ROUND(I112*H112,2)</f>
        <v>0</v>
      </c>
      <c r="BL112" s="18" t="s">
        <v>158</v>
      </c>
      <c r="BM112" s="144" t="s">
        <v>1420</v>
      </c>
    </row>
    <row r="113" spans="2:65" s="1" customFormat="1" ht="11.25">
      <c r="B113" s="33"/>
      <c r="D113" s="146" t="s">
        <v>160</v>
      </c>
      <c r="F113" s="147" t="s">
        <v>1421</v>
      </c>
      <c r="I113" s="148"/>
      <c r="L113" s="33"/>
      <c r="M113" s="149"/>
      <c r="T113" s="54"/>
      <c r="AT113" s="18" t="s">
        <v>160</v>
      </c>
      <c r="AU113" s="18" t="s">
        <v>79</v>
      </c>
    </row>
    <row r="114" spans="2:65" s="14" customFormat="1" ht="11.25">
      <c r="B114" s="165"/>
      <c r="D114" s="151" t="s">
        <v>162</v>
      </c>
      <c r="E114" s="166" t="s">
        <v>3</v>
      </c>
      <c r="F114" s="167" t="s">
        <v>1422</v>
      </c>
      <c r="H114" s="166" t="s">
        <v>3</v>
      </c>
      <c r="I114" s="168"/>
      <c r="L114" s="165"/>
      <c r="M114" s="169"/>
      <c r="T114" s="170"/>
      <c r="AT114" s="166" t="s">
        <v>162</v>
      </c>
      <c r="AU114" s="166" t="s">
        <v>79</v>
      </c>
      <c r="AV114" s="14" t="s">
        <v>77</v>
      </c>
      <c r="AW114" s="14" t="s">
        <v>30</v>
      </c>
      <c r="AX114" s="14" t="s">
        <v>69</v>
      </c>
      <c r="AY114" s="166" t="s">
        <v>151</v>
      </c>
    </row>
    <row r="115" spans="2:65" s="12" customFormat="1" ht="11.25">
      <c r="B115" s="150"/>
      <c r="D115" s="151" t="s">
        <v>162</v>
      </c>
      <c r="E115" s="152" t="s">
        <v>3</v>
      </c>
      <c r="F115" s="153" t="s">
        <v>1423</v>
      </c>
      <c r="H115" s="154">
        <v>0.45</v>
      </c>
      <c r="I115" s="155"/>
      <c r="L115" s="150"/>
      <c r="M115" s="156"/>
      <c r="T115" s="157"/>
      <c r="AT115" s="152" t="s">
        <v>162</v>
      </c>
      <c r="AU115" s="152" t="s">
        <v>79</v>
      </c>
      <c r="AV115" s="12" t="s">
        <v>79</v>
      </c>
      <c r="AW115" s="12" t="s">
        <v>30</v>
      </c>
      <c r="AX115" s="12" t="s">
        <v>69</v>
      </c>
      <c r="AY115" s="152" t="s">
        <v>151</v>
      </c>
    </row>
    <row r="116" spans="2:65" s="13" customFormat="1" ht="11.25">
      <c r="B116" s="158"/>
      <c r="D116" s="151" t="s">
        <v>162</v>
      </c>
      <c r="E116" s="159" t="s">
        <v>3</v>
      </c>
      <c r="F116" s="160" t="s">
        <v>167</v>
      </c>
      <c r="H116" s="161">
        <v>0.45</v>
      </c>
      <c r="I116" s="162"/>
      <c r="L116" s="158"/>
      <c r="M116" s="163"/>
      <c r="T116" s="164"/>
      <c r="AT116" s="159" t="s">
        <v>162</v>
      </c>
      <c r="AU116" s="159" t="s">
        <v>79</v>
      </c>
      <c r="AV116" s="13" t="s">
        <v>158</v>
      </c>
      <c r="AW116" s="13" t="s">
        <v>30</v>
      </c>
      <c r="AX116" s="13" t="s">
        <v>77</v>
      </c>
      <c r="AY116" s="159" t="s">
        <v>151</v>
      </c>
    </row>
    <row r="117" spans="2:65" s="1" customFormat="1" ht="16.5" customHeight="1">
      <c r="B117" s="132"/>
      <c r="C117" s="133" t="s">
        <v>180</v>
      </c>
      <c r="D117" s="133" t="s">
        <v>153</v>
      </c>
      <c r="E117" s="134" t="s">
        <v>1418</v>
      </c>
      <c r="F117" s="135" t="s">
        <v>1419</v>
      </c>
      <c r="G117" s="136" t="s">
        <v>156</v>
      </c>
      <c r="H117" s="137">
        <v>25</v>
      </c>
      <c r="I117" s="138"/>
      <c r="J117" s="139">
        <f>ROUND(I117*H117,2)</f>
        <v>0</v>
      </c>
      <c r="K117" s="135" t="s">
        <v>171</v>
      </c>
      <c r="L117" s="33"/>
      <c r="M117" s="140" t="s">
        <v>3</v>
      </c>
      <c r="N117" s="141" t="s">
        <v>40</v>
      </c>
      <c r="P117" s="142">
        <f>O117*H117</f>
        <v>0</v>
      </c>
      <c r="Q117" s="142">
        <v>0</v>
      </c>
      <c r="R117" s="142">
        <f>Q117*H117</f>
        <v>0</v>
      </c>
      <c r="S117" s="142">
        <v>0</v>
      </c>
      <c r="T117" s="143">
        <f>S117*H117</f>
        <v>0</v>
      </c>
      <c r="AR117" s="144" t="s">
        <v>158</v>
      </c>
      <c r="AT117" s="144" t="s">
        <v>153</v>
      </c>
      <c r="AU117" s="144" t="s">
        <v>79</v>
      </c>
      <c r="AY117" s="18" t="s">
        <v>151</v>
      </c>
      <c r="BE117" s="145">
        <f>IF(N117="základní",J117,0)</f>
        <v>0</v>
      </c>
      <c r="BF117" s="145">
        <f>IF(N117="snížená",J117,0)</f>
        <v>0</v>
      </c>
      <c r="BG117" s="145">
        <f>IF(N117="zákl. přenesená",J117,0)</f>
        <v>0</v>
      </c>
      <c r="BH117" s="145">
        <f>IF(N117="sníž. přenesená",J117,0)</f>
        <v>0</v>
      </c>
      <c r="BI117" s="145">
        <f>IF(N117="nulová",J117,0)</f>
        <v>0</v>
      </c>
      <c r="BJ117" s="18" t="s">
        <v>77</v>
      </c>
      <c r="BK117" s="145">
        <f>ROUND(I117*H117,2)</f>
        <v>0</v>
      </c>
      <c r="BL117" s="18" t="s">
        <v>158</v>
      </c>
      <c r="BM117" s="144" t="s">
        <v>1424</v>
      </c>
    </row>
    <row r="118" spans="2:65" s="1" customFormat="1" ht="11.25">
      <c r="B118" s="33"/>
      <c r="D118" s="146" t="s">
        <v>160</v>
      </c>
      <c r="F118" s="147" t="s">
        <v>1421</v>
      </c>
      <c r="I118" s="148"/>
      <c r="L118" s="33"/>
      <c r="M118" s="149"/>
      <c r="T118" s="54"/>
      <c r="AT118" s="18" t="s">
        <v>160</v>
      </c>
      <c r="AU118" s="18" t="s">
        <v>79</v>
      </c>
    </row>
    <row r="119" spans="2:65" s="14" customFormat="1" ht="11.25">
      <c r="B119" s="165"/>
      <c r="D119" s="151" t="s">
        <v>162</v>
      </c>
      <c r="E119" s="166" t="s">
        <v>3</v>
      </c>
      <c r="F119" s="167" t="s">
        <v>1425</v>
      </c>
      <c r="H119" s="166" t="s">
        <v>3</v>
      </c>
      <c r="I119" s="168"/>
      <c r="L119" s="165"/>
      <c r="M119" s="169"/>
      <c r="T119" s="170"/>
      <c r="AT119" s="166" t="s">
        <v>162</v>
      </c>
      <c r="AU119" s="166" t="s">
        <v>79</v>
      </c>
      <c r="AV119" s="14" t="s">
        <v>77</v>
      </c>
      <c r="AW119" s="14" t="s">
        <v>30</v>
      </c>
      <c r="AX119" s="14" t="s">
        <v>69</v>
      </c>
      <c r="AY119" s="166" t="s">
        <v>151</v>
      </c>
    </row>
    <row r="120" spans="2:65" s="12" customFormat="1" ht="11.25">
      <c r="B120" s="150"/>
      <c r="D120" s="151" t="s">
        <v>162</v>
      </c>
      <c r="E120" s="152" t="s">
        <v>3</v>
      </c>
      <c r="F120" s="153" t="s">
        <v>1426</v>
      </c>
      <c r="H120" s="154">
        <v>25</v>
      </c>
      <c r="I120" s="155"/>
      <c r="L120" s="150"/>
      <c r="M120" s="156"/>
      <c r="T120" s="157"/>
      <c r="AT120" s="152" t="s">
        <v>162</v>
      </c>
      <c r="AU120" s="152" t="s">
        <v>79</v>
      </c>
      <c r="AV120" s="12" t="s">
        <v>79</v>
      </c>
      <c r="AW120" s="12" t="s">
        <v>30</v>
      </c>
      <c r="AX120" s="12" t="s">
        <v>69</v>
      </c>
      <c r="AY120" s="152" t="s">
        <v>151</v>
      </c>
    </row>
    <row r="121" spans="2:65" s="13" customFormat="1" ht="11.25">
      <c r="B121" s="158"/>
      <c r="D121" s="151" t="s">
        <v>162</v>
      </c>
      <c r="E121" s="159" t="s">
        <v>3</v>
      </c>
      <c r="F121" s="160" t="s">
        <v>167</v>
      </c>
      <c r="H121" s="161">
        <v>25</v>
      </c>
      <c r="I121" s="162"/>
      <c r="L121" s="158"/>
      <c r="M121" s="163"/>
      <c r="T121" s="164"/>
      <c r="AT121" s="159" t="s">
        <v>162</v>
      </c>
      <c r="AU121" s="159" t="s">
        <v>79</v>
      </c>
      <c r="AV121" s="13" t="s">
        <v>158</v>
      </c>
      <c r="AW121" s="13" t="s">
        <v>30</v>
      </c>
      <c r="AX121" s="13" t="s">
        <v>77</v>
      </c>
      <c r="AY121" s="159" t="s">
        <v>151</v>
      </c>
    </row>
    <row r="122" spans="2:65" s="1" customFormat="1" ht="16.5" customHeight="1">
      <c r="B122" s="132"/>
      <c r="C122" s="133" t="s">
        <v>195</v>
      </c>
      <c r="D122" s="133" t="s">
        <v>153</v>
      </c>
      <c r="E122" s="134" t="s">
        <v>1418</v>
      </c>
      <c r="F122" s="135" t="s">
        <v>1419</v>
      </c>
      <c r="G122" s="136" t="s">
        <v>156</v>
      </c>
      <c r="H122" s="137">
        <v>1</v>
      </c>
      <c r="I122" s="138"/>
      <c r="J122" s="139">
        <f>ROUND(I122*H122,2)</f>
        <v>0</v>
      </c>
      <c r="K122" s="135" t="s">
        <v>171</v>
      </c>
      <c r="L122" s="33"/>
      <c r="M122" s="140" t="s">
        <v>3</v>
      </c>
      <c r="N122" s="141" t="s">
        <v>40</v>
      </c>
      <c r="P122" s="142">
        <f>O122*H122</f>
        <v>0</v>
      </c>
      <c r="Q122" s="142">
        <v>0</v>
      </c>
      <c r="R122" s="142">
        <f>Q122*H122</f>
        <v>0</v>
      </c>
      <c r="S122" s="142">
        <v>0</v>
      </c>
      <c r="T122" s="143">
        <f>S122*H122</f>
        <v>0</v>
      </c>
      <c r="AR122" s="144" t="s">
        <v>158</v>
      </c>
      <c r="AT122" s="144" t="s">
        <v>153</v>
      </c>
      <c r="AU122" s="144" t="s">
        <v>79</v>
      </c>
      <c r="AY122" s="18" t="s">
        <v>151</v>
      </c>
      <c r="BE122" s="145">
        <f>IF(N122="základní",J122,0)</f>
        <v>0</v>
      </c>
      <c r="BF122" s="145">
        <f>IF(N122="snížená",J122,0)</f>
        <v>0</v>
      </c>
      <c r="BG122" s="145">
        <f>IF(N122="zákl. přenesená",J122,0)</f>
        <v>0</v>
      </c>
      <c r="BH122" s="145">
        <f>IF(N122="sníž. přenesená",J122,0)</f>
        <v>0</v>
      </c>
      <c r="BI122" s="145">
        <f>IF(N122="nulová",J122,0)</f>
        <v>0</v>
      </c>
      <c r="BJ122" s="18" t="s">
        <v>77</v>
      </c>
      <c r="BK122" s="145">
        <f>ROUND(I122*H122,2)</f>
        <v>0</v>
      </c>
      <c r="BL122" s="18" t="s">
        <v>158</v>
      </c>
      <c r="BM122" s="144" t="s">
        <v>1427</v>
      </c>
    </row>
    <row r="123" spans="2:65" s="1" customFormat="1" ht="11.25">
      <c r="B123" s="33"/>
      <c r="D123" s="146" t="s">
        <v>160</v>
      </c>
      <c r="F123" s="147" t="s">
        <v>1421</v>
      </c>
      <c r="I123" s="148"/>
      <c r="L123" s="33"/>
      <c r="M123" s="149"/>
      <c r="T123" s="54"/>
      <c r="AT123" s="18" t="s">
        <v>160</v>
      </c>
      <c r="AU123" s="18" t="s">
        <v>79</v>
      </c>
    </row>
    <row r="124" spans="2:65" s="14" customFormat="1" ht="11.25">
      <c r="B124" s="165"/>
      <c r="D124" s="151" t="s">
        <v>162</v>
      </c>
      <c r="E124" s="166" t="s">
        <v>3</v>
      </c>
      <c r="F124" s="167" t="s">
        <v>1413</v>
      </c>
      <c r="H124" s="166" t="s">
        <v>3</v>
      </c>
      <c r="I124" s="168"/>
      <c r="L124" s="165"/>
      <c r="M124" s="169"/>
      <c r="T124" s="170"/>
      <c r="AT124" s="166" t="s">
        <v>162</v>
      </c>
      <c r="AU124" s="166" t="s">
        <v>79</v>
      </c>
      <c r="AV124" s="14" t="s">
        <v>77</v>
      </c>
      <c r="AW124" s="14" t="s">
        <v>30</v>
      </c>
      <c r="AX124" s="14" t="s">
        <v>69</v>
      </c>
      <c r="AY124" s="166" t="s">
        <v>151</v>
      </c>
    </row>
    <row r="125" spans="2:65" s="12" customFormat="1" ht="11.25">
      <c r="B125" s="150"/>
      <c r="D125" s="151" t="s">
        <v>162</v>
      </c>
      <c r="E125" s="152" t="s">
        <v>3</v>
      </c>
      <c r="F125" s="153" t="s">
        <v>77</v>
      </c>
      <c r="H125" s="154">
        <v>1</v>
      </c>
      <c r="I125" s="155"/>
      <c r="L125" s="150"/>
      <c r="M125" s="156"/>
      <c r="T125" s="157"/>
      <c r="AT125" s="152" t="s">
        <v>162</v>
      </c>
      <c r="AU125" s="152" t="s">
        <v>79</v>
      </c>
      <c r="AV125" s="12" t="s">
        <v>79</v>
      </c>
      <c r="AW125" s="12" t="s">
        <v>30</v>
      </c>
      <c r="AX125" s="12" t="s">
        <v>69</v>
      </c>
      <c r="AY125" s="152" t="s">
        <v>151</v>
      </c>
    </row>
    <row r="126" spans="2:65" s="13" customFormat="1" ht="11.25">
      <c r="B126" s="158"/>
      <c r="D126" s="151" t="s">
        <v>162</v>
      </c>
      <c r="E126" s="159" t="s">
        <v>3</v>
      </c>
      <c r="F126" s="160" t="s">
        <v>167</v>
      </c>
      <c r="H126" s="161">
        <v>1</v>
      </c>
      <c r="I126" s="162"/>
      <c r="L126" s="158"/>
      <c r="M126" s="163"/>
      <c r="T126" s="164"/>
      <c r="AT126" s="159" t="s">
        <v>162</v>
      </c>
      <c r="AU126" s="159" t="s">
        <v>79</v>
      </c>
      <c r="AV126" s="13" t="s">
        <v>158</v>
      </c>
      <c r="AW126" s="13" t="s">
        <v>30</v>
      </c>
      <c r="AX126" s="13" t="s">
        <v>77</v>
      </c>
      <c r="AY126" s="159" t="s">
        <v>151</v>
      </c>
    </row>
    <row r="127" spans="2:65" s="1" customFormat="1" ht="16.5" customHeight="1">
      <c r="B127" s="132"/>
      <c r="C127" s="133" t="s">
        <v>203</v>
      </c>
      <c r="D127" s="133" t="s">
        <v>153</v>
      </c>
      <c r="E127" s="134" t="s">
        <v>1428</v>
      </c>
      <c r="F127" s="135" t="s">
        <v>1429</v>
      </c>
      <c r="G127" s="136" t="s">
        <v>230</v>
      </c>
      <c r="H127" s="137">
        <v>12</v>
      </c>
      <c r="I127" s="138"/>
      <c r="J127" s="139">
        <f>ROUND(I127*H127,2)</f>
        <v>0</v>
      </c>
      <c r="K127" s="135" t="s">
        <v>171</v>
      </c>
      <c r="L127" s="33"/>
      <c r="M127" s="140" t="s">
        <v>3</v>
      </c>
      <c r="N127" s="141" t="s">
        <v>40</v>
      </c>
      <c r="P127" s="142">
        <f>O127*H127</f>
        <v>0</v>
      </c>
      <c r="Q127" s="142">
        <v>1.99E-3</v>
      </c>
      <c r="R127" s="142">
        <f>Q127*H127</f>
        <v>2.3879999999999998E-2</v>
      </c>
      <c r="S127" s="142">
        <v>0</v>
      </c>
      <c r="T127" s="143">
        <f>S127*H127</f>
        <v>0</v>
      </c>
      <c r="AR127" s="144" t="s">
        <v>158</v>
      </c>
      <c r="AT127" s="144" t="s">
        <v>153</v>
      </c>
      <c r="AU127" s="144" t="s">
        <v>79</v>
      </c>
      <c r="AY127" s="18" t="s">
        <v>151</v>
      </c>
      <c r="BE127" s="145">
        <f>IF(N127="základní",J127,0)</f>
        <v>0</v>
      </c>
      <c r="BF127" s="145">
        <f>IF(N127="snížená",J127,0)</f>
        <v>0</v>
      </c>
      <c r="BG127" s="145">
        <f>IF(N127="zákl. přenesená",J127,0)</f>
        <v>0</v>
      </c>
      <c r="BH127" s="145">
        <f>IF(N127="sníž. přenesená",J127,0)</f>
        <v>0</v>
      </c>
      <c r="BI127" s="145">
        <f>IF(N127="nulová",J127,0)</f>
        <v>0</v>
      </c>
      <c r="BJ127" s="18" t="s">
        <v>77</v>
      </c>
      <c r="BK127" s="145">
        <f>ROUND(I127*H127,2)</f>
        <v>0</v>
      </c>
      <c r="BL127" s="18" t="s">
        <v>158</v>
      </c>
      <c r="BM127" s="144" t="s">
        <v>1430</v>
      </c>
    </row>
    <row r="128" spans="2:65" s="1" customFormat="1" ht="11.25">
      <c r="B128" s="33"/>
      <c r="D128" s="146" t="s">
        <v>160</v>
      </c>
      <c r="F128" s="147" t="s">
        <v>1431</v>
      </c>
      <c r="I128" s="148"/>
      <c r="L128" s="33"/>
      <c r="M128" s="149"/>
      <c r="T128" s="54"/>
      <c r="AT128" s="18" t="s">
        <v>160</v>
      </c>
      <c r="AU128" s="18" t="s">
        <v>79</v>
      </c>
    </row>
    <row r="129" spans="2:65" s="14" customFormat="1" ht="11.25">
      <c r="B129" s="165"/>
      <c r="D129" s="151" t="s">
        <v>162</v>
      </c>
      <c r="E129" s="166" t="s">
        <v>3</v>
      </c>
      <c r="F129" s="167" t="s">
        <v>1416</v>
      </c>
      <c r="H129" s="166" t="s">
        <v>3</v>
      </c>
      <c r="I129" s="168"/>
      <c r="L129" s="165"/>
      <c r="M129" s="169"/>
      <c r="T129" s="170"/>
      <c r="AT129" s="166" t="s">
        <v>162</v>
      </c>
      <c r="AU129" s="166" t="s">
        <v>79</v>
      </c>
      <c r="AV129" s="14" t="s">
        <v>77</v>
      </c>
      <c r="AW129" s="14" t="s">
        <v>30</v>
      </c>
      <c r="AX129" s="14" t="s">
        <v>69</v>
      </c>
      <c r="AY129" s="166" t="s">
        <v>151</v>
      </c>
    </row>
    <row r="130" spans="2:65" s="12" customFormat="1" ht="11.25">
      <c r="B130" s="150"/>
      <c r="D130" s="151" t="s">
        <v>162</v>
      </c>
      <c r="E130" s="152" t="s">
        <v>3</v>
      </c>
      <c r="F130" s="153" t="s">
        <v>1432</v>
      </c>
      <c r="H130" s="154">
        <v>12</v>
      </c>
      <c r="I130" s="155"/>
      <c r="L130" s="150"/>
      <c r="M130" s="156"/>
      <c r="T130" s="157"/>
      <c r="AT130" s="152" t="s">
        <v>162</v>
      </c>
      <c r="AU130" s="152" t="s">
        <v>79</v>
      </c>
      <c r="AV130" s="12" t="s">
        <v>79</v>
      </c>
      <c r="AW130" s="12" t="s">
        <v>30</v>
      </c>
      <c r="AX130" s="12" t="s">
        <v>69</v>
      </c>
      <c r="AY130" s="152" t="s">
        <v>151</v>
      </c>
    </row>
    <row r="131" spans="2:65" s="13" customFormat="1" ht="11.25">
      <c r="B131" s="158"/>
      <c r="D131" s="151" t="s">
        <v>162</v>
      </c>
      <c r="E131" s="159" t="s">
        <v>3</v>
      </c>
      <c r="F131" s="160" t="s">
        <v>167</v>
      </c>
      <c r="H131" s="161">
        <v>12</v>
      </c>
      <c r="I131" s="162"/>
      <c r="L131" s="158"/>
      <c r="M131" s="163"/>
      <c r="T131" s="164"/>
      <c r="AT131" s="159" t="s">
        <v>162</v>
      </c>
      <c r="AU131" s="159" t="s">
        <v>79</v>
      </c>
      <c r="AV131" s="13" t="s">
        <v>158</v>
      </c>
      <c r="AW131" s="13" t="s">
        <v>30</v>
      </c>
      <c r="AX131" s="13" t="s">
        <v>77</v>
      </c>
      <c r="AY131" s="159" t="s">
        <v>151</v>
      </c>
    </row>
    <row r="132" spans="2:65" s="1" customFormat="1" ht="16.5" customHeight="1">
      <c r="B132" s="132"/>
      <c r="C132" s="133" t="s">
        <v>214</v>
      </c>
      <c r="D132" s="133" t="s">
        <v>153</v>
      </c>
      <c r="E132" s="134" t="s">
        <v>1433</v>
      </c>
      <c r="F132" s="135" t="s">
        <v>1434</v>
      </c>
      <c r="G132" s="136" t="s">
        <v>230</v>
      </c>
      <c r="H132" s="137">
        <v>12</v>
      </c>
      <c r="I132" s="138"/>
      <c r="J132" s="139">
        <f>ROUND(I132*H132,2)</f>
        <v>0</v>
      </c>
      <c r="K132" s="135" t="s">
        <v>171</v>
      </c>
      <c r="L132" s="33"/>
      <c r="M132" s="140" t="s">
        <v>3</v>
      </c>
      <c r="N132" s="141" t="s">
        <v>40</v>
      </c>
      <c r="P132" s="142">
        <f>O132*H132</f>
        <v>0</v>
      </c>
      <c r="Q132" s="142">
        <v>0</v>
      </c>
      <c r="R132" s="142">
        <f>Q132*H132</f>
        <v>0</v>
      </c>
      <c r="S132" s="142">
        <v>0</v>
      </c>
      <c r="T132" s="143">
        <f>S132*H132</f>
        <v>0</v>
      </c>
      <c r="AR132" s="144" t="s">
        <v>158</v>
      </c>
      <c r="AT132" s="144" t="s">
        <v>153</v>
      </c>
      <c r="AU132" s="144" t="s">
        <v>79</v>
      </c>
      <c r="AY132" s="18" t="s">
        <v>151</v>
      </c>
      <c r="BE132" s="145">
        <f>IF(N132="základní",J132,0)</f>
        <v>0</v>
      </c>
      <c r="BF132" s="145">
        <f>IF(N132="snížená",J132,0)</f>
        <v>0</v>
      </c>
      <c r="BG132" s="145">
        <f>IF(N132="zákl. přenesená",J132,0)</f>
        <v>0</v>
      </c>
      <c r="BH132" s="145">
        <f>IF(N132="sníž. přenesená",J132,0)</f>
        <v>0</v>
      </c>
      <c r="BI132" s="145">
        <f>IF(N132="nulová",J132,0)</f>
        <v>0</v>
      </c>
      <c r="BJ132" s="18" t="s">
        <v>77</v>
      </c>
      <c r="BK132" s="145">
        <f>ROUND(I132*H132,2)</f>
        <v>0</v>
      </c>
      <c r="BL132" s="18" t="s">
        <v>158</v>
      </c>
      <c r="BM132" s="144" t="s">
        <v>1435</v>
      </c>
    </row>
    <row r="133" spans="2:65" s="1" customFormat="1" ht="11.25">
      <c r="B133" s="33"/>
      <c r="D133" s="146" t="s">
        <v>160</v>
      </c>
      <c r="F133" s="147" t="s">
        <v>1436</v>
      </c>
      <c r="I133" s="148"/>
      <c r="L133" s="33"/>
      <c r="M133" s="149"/>
      <c r="T133" s="54"/>
      <c r="AT133" s="18" t="s">
        <v>160</v>
      </c>
      <c r="AU133" s="18" t="s">
        <v>79</v>
      </c>
    </row>
    <row r="134" spans="2:65" s="14" customFormat="1" ht="11.25">
      <c r="B134" s="165"/>
      <c r="D134" s="151" t="s">
        <v>162</v>
      </c>
      <c r="E134" s="166" t="s">
        <v>3</v>
      </c>
      <c r="F134" s="167" t="s">
        <v>1416</v>
      </c>
      <c r="H134" s="166" t="s">
        <v>3</v>
      </c>
      <c r="I134" s="168"/>
      <c r="L134" s="165"/>
      <c r="M134" s="169"/>
      <c r="T134" s="170"/>
      <c r="AT134" s="166" t="s">
        <v>162</v>
      </c>
      <c r="AU134" s="166" t="s">
        <v>79</v>
      </c>
      <c r="AV134" s="14" t="s">
        <v>77</v>
      </c>
      <c r="AW134" s="14" t="s">
        <v>30</v>
      </c>
      <c r="AX134" s="14" t="s">
        <v>69</v>
      </c>
      <c r="AY134" s="166" t="s">
        <v>151</v>
      </c>
    </row>
    <row r="135" spans="2:65" s="12" customFormat="1" ht="11.25">
      <c r="B135" s="150"/>
      <c r="D135" s="151" t="s">
        <v>162</v>
      </c>
      <c r="E135" s="152" t="s">
        <v>3</v>
      </c>
      <c r="F135" s="153" t="s">
        <v>1437</v>
      </c>
      <c r="H135" s="154">
        <v>12</v>
      </c>
      <c r="I135" s="155"/>
      <c r="L135" s="150"/>
      <c r="M135" s="156"/>
      <c r="T135" s="157"/>
      <c r="AT135" s="152" t="s">
        <v>162</v>
      </c>
      <c r="AU135" s="152" t="s">
        <v>79</v>
      </c>
      <c r="AV135" s="12" t="s">
        <v>79</v>
      </c>
      <c r="AW135" s="12" t="s">
        <v>30</v>
      </c>
      <c r="AX135" s="12" t="s">
        <v>69</v>
      </c>
      <c r="AY135" s="152" t="s">
        <v>151</v>
      </c>
    </row>
    <row r="136" spans="2:65" s="13" customFormat="1" ht="11.25">
      <c r="B136" s="158"/>
      <c r="D136" s="151" t="s">
        <v>162</v>
      </c>
      <c r="E136" s="159" t="s">
        <v>3</v>
      </c>
      <c r="F136" s="160" t="s">
        <v>167</v>
      </c>
      <c r="H136" s="161">
        <v>12</v>
      </c>
      <c r="I136" s="162"/>
      <c r="L136" s="158"/>
      <c r="M136" s="163"/>
      <c r="T136" s="164"/>
      <c r="AT136" s="159" t="s">
        <v>162</v>
      </c>
      <c r="AU136" s="159" t="s">
        <v>79</v>
      </c>
      <c r="AV136" s="13" t="s">
        <v>158</v>
      </c>
      <c r="AW136" s="13" t="s">
        <v>30</v>
      </c>
      <c r="AX136" s="13" t="s">
        <v>77</v>
      </c>
      <c r="AY136" s="159" t="s">
        <v>151</v>
      </c>
    </row>
    <row r="137" spans="2:65" s="1" customFormat="1" ht="21.75" customHeight="1">
      <c r="B137" s="132"/>
      <c r="C137" s="133" t="s">
        <v>227</v>
      </c>
      <c r="D137" s="133" t="s">
        <v>153</v>
      </c>
      <c r="E137" s="134" t="s">
        <v>1289</v>
      </c>
      <c r="F137" s="135" t="s">
        <v>1290</v>
      </c>
      <c r="G137" s="136" t="s">
        <v>156</v>
      </c>
      <c r="H137" s="137">
        <v>14.25</v>
      </c>
      <c r="I137" s="138"/>
      <c r="J137" s="139">
        <f>ROUND(I137*H137,2)</f>
        <v>0</v>
      </c>
      <c r="K137" s="135" t="s">
        <v>171</v>
      </c>
      <c r="L137" s="33"/>
      <c r="M137" s="140" t="s">
        <v>3</v>
      </c>
      <c r="N137" s="141" t="s">
        <v>40</v>
      </c>
      <c r="P137" s="142">
        <f>O137*H137</f>
        <v>0</v>
      </c>
      <c r="Q137" s="142">
        <v>0</v>
      </c>
      <c r="R137" s="142">
        <f>Q137*H137</f>
        <v>0</v>
      </c>
      <c r="S137" s="142">
        <v>0</v>
      </c>
      <c r="T137" s="143">
        <f>S137*H137</f>
        <v>0</v>
      </c>
      <c r="AR137" s="144" t="s">
        <v>158</v>
      </c>
      <c r="AT137" s="144" t="s">
        <v>153</v>
      </c>
      <c r="AU137" s="144" t="s">
        <v>79</v>
      </c>
      <c r="AY137" s="18" t="s">
        <v>151</v>
      </c>
      <c r="BE137" s="145">
        <f>IF(N137="základní",J137,0)</f>
        <v>0</v>
      </c>
      <c r="BF137" s="145">
        <f>IF(N137="snížená",J137,0)</f>
        <v>0</v>
      </c>
      <c r="BG137" s="145">
        <f>IF(N137="zákl. přenesená",J137,0)</f>
        <v>0</v>
      </c>
      <c r="BH137" s="145">
        <f>IF(N137="sníž. přenesená",J137,0)</f>
        <v>0</v>
      </c>
      <c r="BI137" s="145">
        <f>IF(N137="nulová",J137,0)</f>
        <v>0</v>
      </c>
      <c r="BJ137" s="18" t="s">
        <v>77</v>
      </c>
      <c r="BK137" s="145">
        <f>ROUND(I137*H137,2)</f>
        <v>0</v>
      </c>
      <c r="BL137" s="18" t="s">
        <v>158</v>
      </c>
      <c r="BM137" s="144" t="s">
        <v>1438</v>
      </c>
    </row>
    <row r="138" spans="2:65" s="1" customFormat="1" ht="11.25">
      <c r="B138" s="33"/>
      <c r="D138" s="146" t="s">
        <v>160</v>
      </c>
      <c r="F138" s="147" t="s">
        <v>1292</v>
      </c>
      <c r="I138" s="148"/>
      <c r="L138" s="33"/>
      <c r="M138" s="149"/>
      <c r="T138" s="54"/>
      <c r="AT138" s="18" t="s">
        <v>160</v>
      </c>
      <c r="AU138" s="18" t="s">
        <v>79</v>
      </c>
    </row>
    <row r="139" spans="2:65" s="14" customFormat="1" ht="11.25">
      <c r="B139" s="165"/>
      <c r="D139" s="151" t="s">
        <v>162</v>
      </c>
      <c r="E139" s="166" t="s">
        <v>3</v>
      </c>
      <c r="F139" s="167" t="s">
        <v>1439</v>
      </c>
      <c r="H139" s="166" t="s">
        <v>3</v>
      </c>
      <c r="I139" s="168"/>
      <c r="L139" s="165"/>
      <c r="M139" s="169"/>
      <c r="T139" s="170"/>
      <c r="AT139" s="166" t="s">
        <v>162</v>
      </c>
      <c r="AU139" s="166" t="s">
        <v>79</v>
      </c>
      <c r="AV139" s="14" t="s">
        <v>77</v>
      </c>
      <c r="AW139" s="14" t="s">
        <v>30</v>
      </c>
      <c r="AX139" s="14" t="s">
        <v>69</v>
      </c>
      <c r="AY139" s="166" t="s">
        <v>151</v>
      </c>
    </row>
    <row r="140" spans="2:65" s="12" customFormat="1" ht="11.25">
      <c r="B140" s="150"/>
      <c r="D140" s="151" t="s">
        <v>162</v>
      </c>
      <c r="E140" s="152" t="s">
        <v>3</v>
      </c>
      <c r="F140" s="153" t="s">
        <v>1440</v>
      </c>
      <c r="H140" s="154">
        <v>14.25</v>
      </c>
      <c r="I140" s="155"/>
      <c r="L140" s="150"/>
      <c r="M140" s="156"/>
      <c r="T140" s="157"/>
      <c r="AT140" s="152" t="s">
        <v>162</v>
      </c>
      <c r="AU140" s="152" t="s">
        <v>79</v>
      </c>
      <c r="AV140" s="12" t="s">
        <v>79</v>
      </c>
      <c r="AW140" s="12" t="s">
        <v>30</v>
      </c>
      <c r="AX140" s="12" t="s">
        <v>69</v>
      </c>
      <c r="AY140" s="152" t="s">
        <v>151</v>
      </c>
    </row>
    <row r="141" spans="2:65" s="13" customFormat="1" ht="11.25">
      <c r="B141" s="158"/>
      <c r="D141" s="151" t="s">
        <v>162</v>
      </c>
      <c r="E141" s="159" t="s">
        <v>3</v>
      </c>
      <c r="F141" s="160" t="s">
        <v>167</v>
      </c>
      <c r="H141" s="161">
        <v>14.25</v>
      </c>
      <c r="I141" s="162"/>
      <c r="L141" s="158"/>
      <c r="M141" s="163"/>
      <c r="T141" s="164"/>
      <c r="AT141" s="159" t="s">
        <v>162</v>
      </c>
      <c r="AU141" s="159" t="s">
        <v>79</v>
      </c>
      <c r="AV141" s="13" t="s">
        <v>158</v>
      </c>
      <c r="AW141" s="13" t="s">
        <v>30</v>
      </c>
      <c r="AX141" s="13" t="s">
        <v>77</v>
      </c>
      <c r="AY141" s="159" t="s">
        <v>151</v>
      </c>
    </row>
    <row r="142" spans="2:65" s="1" customFormat="1" ht="21.75" customHeight="1">
      <c r="B142" s="132"/>
      <c r="C142" s="133" t="s">
        <v>235</v>
      </c>
      <c r="D142" s="133" t="s">
        <v>153</v>
      </c>
      <c r="E142" s="134" t="s">
        <v>169</v>
      </c>
      <c r="F142" s="135" t="s">
        <v>1441</v>
      </c>
      <c r="G142" s="136" t="s">
        <v>156</v>
      </c>
      <c r="H142" s="137">
        <v>0.52300000000000002</v>
      </c>
      <c r="I142" s="138"/>
      <c r="J142" s="139">
        <f>ROUND(I142*H142,2)</f>
        <v>0</v>
      </c>
      <c r="K142" s="135" t="s">
        <v>171</v>
      </c>
      <c r="L142" s="33"/>
      <c r="M142" s="140" t="s">
        <v>3</v>
      </c>
      <c r="N142" s="141" t="s">
        <v>40</v>
      </c>
      <c r="P142" s="142">
        <f>O142*H142</f>
        <v>0</v>
      </c>
      <c r="Q142" s="142">
        <v>0</v>
      </c>
      <c r="R142" s="142">
        <f>Q142*H142</f>
        <v>0</v>
      </c>
      <c r="S142" s="142">
        <v>0</v>
      </c>
      <c r="T142" s="143">
        <f>S142*H142</f>
        <v>0</v>
      </c>
      <c r="AR142" s="144" t="s">
        <v>158</v>
      </c>
      <c r="AT142" s="144" t="s">
        <v>153</v>
      </c>
      <c r="AU142" s="144" t="s">
        <v>79</v>
      </c>
      <c r="AY142" s="18" t="s">
        <v>151</v>
      </c>
      <c r="BE142" s="145">
        <f>IF(N142="základní",J142,0)</f>
        <v>0</v>
      </c>
      <c r="BF142" s="145">
        <f>IF(N142="snížená",J142,0)</f>
        <v>0</v>
      </c>
      <c r="BG142" s="145">
        <f>IF(N142="zákl. přenesená",J142,0)</f>
        <v>0</v>
      </c>
      <c r="BH142" s="145">
        <f>IF(N142="sníž. přenesená",J142,0)</f>
        <v>0</v>
      </c>
      <c r="BI142" s="145">
        <f>IF(N142="nulová",J142,0)</f>
        <v>0</v>
      </c>
      <c r="BJ142" s="18" t="s">
        <v>77</v>
      </c>
      <c r="BK142" s="145">
        <f>ROUND(I142*H142,2)</f>
        <v>0</v>
      </c>
      <c r="BL142" s="18" t="s">
        <v>158</v>
      </c>
      <c r="BM142" s="144" t="s">
        <v>1442</v>
      </c>
    </row>
    <row r="143" spans="2:65" s="1" customFormat="1" ht="11.25">
      <c r="B143" s="33"/>
      <c r="D143" s="146" t="s">
        <v>160</v>
      </c>
      <c r="F143" s="147" t="s">
        <v>173</v>
      </c>
      <c r="I143" s="148"/>
      <c r="L143" s="33"/>
      <c r="M143" s="149"/>
      <c r="T143" s="54"/>
      <c r="AT143" s="18" t="s">
        <v>160</v>
      </c>
      <c r="AU143" s="18" t="s">
        <v>79</v>
      </c>
    </row>
    <row r="144" spans="2:65" s="14" customFormat="1" ht="11.25">
      <c r="B144" s="165"/>
      <c r="D144" s="151" t="s">
        <v>162</v>
      </c>
      <c r="E144" s="166" t="s">
        <v>3</v>
      </c>
      <c r="F144" s="167" t="s">
        <v>1416</v>
      </c>
      <c r="H144" s="166" t="s">
        <v>3</v>
      </c>
      <c r="I144" s="168"/>
      <c r="L144" s="165"/>
      <c r="M144" s="169"/>
      <c r="T144" s="170"/>
      <c r="AT144" s="166" t="s">
        <v>162</v>
      </c>
      <c r="AU144" s="166" t="s">
        <v>79</v>
      </c>
      <c r="AV144" s="14" t="s">
        <v>77</v>
      </c>
      <c r="AW144" s="14" t="s">
        <v>30</v>
      </c>
      <c r="AX144" s="14" t="s">
        <v>69</v>
      </c>
      <c r="AY144" s="166" t="s">
        <v>151</v>
      </c>
    </row>
    <row r="145" spans="2:65" s="12" customFormat="1" ht="11.25">
      <c r="B145" s="150"/>
      <c r="D145" s="151" t="s">
        <v>162</v>
      </c>
      <c r="E145" s="152" t="s">
        <v>3</v>
      </c>
      <c r="F145" s="153" t="s">
        <v>1443</v>
      </c>
      <c r="H145" s="154">
        <v>0.52300000000000002</v>
      </c>
      <c r="I145" s="155"/>
      <c r="L145" s="150"/>
      <c r="M145" s="156"/>
      <c r="T145" s="157"/>
      <c r="AT145" s="152" t="s">
        <v>162</v>
      </c>
      <c r="AU145" s="152" t="s">
        <v>79</v>
      </c>
      <c r="AV145" s="12" t="s">
        <v>79</v>
      </c>
      <c r="AW145" s="12" t="s">
        <v>30</v>
      </c>
      <c r="AX145" s="12" t="s">
        <v>69</v>
      </c>
      <c r="AY145" s="152" t="s">
        <v>151</v>
      </c>
    </row>
    <row r="146" spans="2:65" s="13" customFormat="1" ht="11.25">
      <c r="B146" s="158"/>
      <c r="D146" s="151" t="s">
        <v>162</v>
      </c>
      <c r="E146" s="159" t="s">
        <v>3</v>
      </c>
      <c r="F146" s="160" t="s">
        <v>167</v>
      </c>
      <c r="H146" s="161">
        <v>0.52300000000000002</v>
      </c>
      <c r="I146" s="162"/>
      <c r="L146" s="158"/>
      <c r="M146" s="163"/>
      <c r="T146" s="164"/>
      <c r="AT146" s="159" t="s">
        <v>162</v>
      </c>
      <c r="AU146" s="159" t="s">
        <v>79</v>
      </c>
      <c r="AV146" s="13" t="s">
        <v>158</v>
      </c>
      <c r="AW146" s="13" t="s">
        <v>30</v>
      </c>
      <c r="AX146" s="13" t="s">
        <v>77</v>
      </c>
      <c r="AY146" s="159" t="s">
        <v>151</v>
      </c>
    </row>
    <row r="147" spans="2:65" s="1" customFormat="1" ht="21.75" customHeight="1">
      <c r="B147" s="132"/>
      <c r="C147" s="133" t="s">
        <v>240</v>
      </c>
      <c r="D147" s="133" t="s">
        <v>153</v>
      </c>
      <c r="E147" s="134" t="s">
        <v>169</v>
      </c>
      <c r="F147" s="135" t="s">
        <v>1441</v>
      </c>
      <c r="G147" s="136" t="s">
        <v>156</v>
      </c>
      <c r="H147" s="137">
        <v>240</v>
      </c>
      <c r="I147" s="138"/>
      <c r="J147" s="139">
        <f>ROUND(I147*H147,2)</f>
        <v>0</v>
      </c>
      <c r="K147" s="135" t="s">
        <v>171</v>
      </c>
      <c r="L147" s="33"/>
      <c r="M147" s="140" t="s">
        <v>3</v>
      </c>
      <c r="N147" s="141" t="s">
        <v>40</v>
      </c>
      <c r="P147" s="142">
        <f>O147*H147</f>
        <v>0</v>
      </c>
      <c r="Q147" s="142">
        <v>0</v>
      </c>
      <c r="R147" s="142">
        <f>Q147*H147</f>
        <v>0</v>
      </c>
      <c r="S147" s="142">
        <v>0</v>
      </c>
      <c r="T147" s="143">
        <f>S147*H147</f>
        <v>0</v>
      </c>
      <c r="AR147" s="144" t="s">
        <v>158</v>
      </c>
      <c r="AT147" s="144" t="s">
        <v>153</v>
      </c>
      <c r="AU147" s="144" t="s">
        <v>79</v>
      </c>
      <c r="AY147" s="18" t="s">
        <v>151</v>
      </c>
      <c r="BE147" s="145">
        <f>IF(N147="základní",J147,0)</f>
        <v>0</v>
      </c>
      <c r="BF147" s="145">
        <f>IF(N147="snížená",J147,0)</f>
        <v>0</v>
      </c>
      <c r="BG147" s="145">
        <f>IF(N147="zákl. přenesená",J147,0)</f>
        <v>0</v>
      </c>
      <c r="BH147" s="145">
        <f>IF(N147="sníž. přenesená",J147,0)</f>
        <v>0</v>
      </c>
      <c r="BI147" s="145">
        <f>IF(N147="nulová",J147,0)</f>
        <v>0</v>
      </c>
      <c r="BJ147" s="18" t="s">
        <v>77</v>
      </c>
      <c r="BK147" s="145">
        <f>ROUND(I147*H147,2)</f>
        <v>0</v>
      </c>
      <c r="BL147" s="18" t="s">
        <v>158</v>
      </c>
      <c r="BM147" s="144" t="s">
        <v>1444</v>
      </c>
    </row>
    <row r="148" spans="2:65" s="1" customFormat="1" ht="11.25">
      <c r="B148" s="33"/>
      <c r="D148" s="146" t="s">
        <v>160</v>
      </c>
      <c r="F148" s="147" t="s">
        <v>173</v>
      </c>
      <c r="I148" s="148"/>
      <c r="L148" s="33"/>
      <c r="M148" s="149"/>
      <c r="T148" s="54"/>
      <c r="AT148" s="18" t="s">
        <v>160</v>
      </c>
      <c r="AU148" s="18" t="s">
        <v>79</v>
      </c>
    </row>
    <row r="149" spans="2:65" s="14" customFormat="1" ht="11.25">
      <c r="B149" s="165"/>
      <c r="D149" s="151" t="s">
        <v>162</v>
      </c>
      <c r="E149" s="166" t="s">
        <v>3</v>
      </c>
      <c r="F149" s="167" t="s">
        <v>1445</v>
      </c>
      <c r="H149" s="166" t="s">
        <v>3</v>
      </c>
      <c r="I149" s="168"/>
      <c r="L149" s="165"/>
      <c r="M149" s="169"/>
      <c r="T149" s="170"/>
      <c r="AT149" s="166" t="s">
        <v>162</v>
      </c>
      <c r="AU149" s="166" t="s">
        <v>79</v>
      </c>
      <c r="AV149" s="14" t="s">
        <v>77</v>
      </c>
      <c r="AW149" s="14" t="s">
        <v>30</v>
      </c>
      <c r="AX149" s="14" t="s">
        <v>69</v>
      </c>
      <c r="AY149" s="166" t="s">
        <v>151</v>
      </c>
    </row>
    <row r="150" spans="2:65" s="12" customFormat="1" ht="11.25">
      <c r="B150" s="150"/>
      <c r="D150" s="151" t="s">
        <v>162</v>
      </c>
      <c r="E150" s="152" t="s">
        <v>3</v>
      </c>
      <c r="F150" s="153" t="s">
        <v>1446</v>
      </c>
      <c r="H150" s="154">
        <v>240</v>
      </c>
      <c r="I150" s="155"/>
      <c r="L150" s="150"/>
      <c r="M150" s="156"/>
      <c r="T150" s="157"/>
      <c r="AT150" s="152" t="s">
        <v>162</v>
      </c>
      <c r="AU150" s="152" t="s">
        <v>79</v>
      </c>
      <c r="AV150" s="12" t="s">
        <v>79</v>
      </c>
      <c r="AW150" s="12" t="s">
        <v>30</v>
      </c>
      <c r="AX150" s="12" t="s">
        <v>69</v>
      </c>
      <c r="AY150" s="152" t="s">
        <v>151</v>
      </c>
    </row>
    <row r="151" spans="2:65" s="13" customFormat="1" ht="11.25">
      <c r="B151" s="158"/>
      <c r="D151" s="151" t="s">
        <v>162</v>
      </c>
      <c r="E151" s="159" t="s">
        <v>3</v>
      </c>
      <c r="F151" s="160" t="s">
        <v>167</v>
      </c>
      <c r="H151" s="161">
        <v>240</v>
      </c>
      <c r="I151" s="162"/>
      <c r="L151" s="158"/>
      <c r="M151" s="163"/>
      <c r="T151" s="164"/>
      <c r="AT151" s="159" t="s">
        <v>162</v>
      </c>
      <c r="AU151" s="159" t="s">
        <v>79</v>
      </c>
      <c r="AV151" s="13" t="s">
        <v>158</v>
      </c>
      <c r="AW151" s="13" t="s">
        <v>30</v>
      </c>
      <c r="AX151" s="13" t="s">
        <v>77</v>
      </c>
      <c r="AY151" s="159" t="s">
        <v>151</v>
      </c>
    </row>
    <row r="152" spans="2:65" s="1" customFormat="1" ht="24.2" customHeight="1">
      <c r="B152" s="132"/>
      <c r="C152" s="133" t="s">
        <v>246</v>
      </c>
      <c r="D152" s="133" t="s">
        <v>153</v>
      </c>
      <c r="E152" s="134" t="s">
        <v>175</v>
      </c>
      <c r="F152" s="135" t="s">
        <v>1447</v>
      </c>
      <c r="G152" s="136" t="s">
        <v>156</v>
      </c>
      <c r="H152" s="137">
        <v>10.46</v>
      </c>
      <c r="I152" s="138"/>
      <c r="J152" s="139">
        <f>ROUND(I152*H152,2)</f>
        <v>0</v>
      </c>
      <c r="K152" s="135" t="s">
        <v>171</v>
      </c>
      <c r="L152" s="33"/>
      <c r="M152" s="140" t="s">
        <v>3</v>
      </c>
      <c r="N152" s="141" t="s">
        <v>40</v>
      </c>
      <c r="P152" s="142">
        <f>O152*H152</f>
        <v>0</v>
      </c>
      <c r="Q152" s="142">
        <v>0</v>
      </c>
      <c r="R152" s="142">
        <f>Q152*H152</f>
        <v>0</v>
      </c>
      <c r="S152" s="142">
        <v>0</v>
      </c>
      <c r="T152" s="143">
        <f>S152*H152</f>
        <v>0</v>
      </c>
      <c r="AR152" s="144" t="s">
        <v>158</v>
      </c>
      <c r="AT152" s="144" t="s">
        <v>153</v>
      </c>
      <c r="AU152" s="144" t="s">
        <v>79</v>
      </c>
      <c r="AY152" s="18" t="s">
        <v>151</v>
      </c>
      <c r="BE152" s="145">
        <f>IF(N152="základní",J152,0)</f>
        <v>0</v>
      </c>
      <c r="BF152" s="145">
        <f>IF(N152="snížená",J152,0)</f>
        <v>0</v>
      </c>
      <c r="BG152" s="145">
        <f>IF(N152="zákl. přenesená",J152,0)</f>
        <v>0</v>
      </c>
      <c r="BH152" s="145">
        <f>IF(N152="sníž. přenesená",J152,0)</f>
        <v>0</v>
      </c>
      <c r="BI152" s="145">
        <f>IF(N152="nulová",J152,0)</f>
        <v>0</v>
      </c>
      <c r="BJ152" s="18" t="s">
        <v>77</v>
      </c>
      <c r="BK152" s="145">
        <f>ROUND(I152*H152,2)</f>
        <v>0</v>
      </c>
      <c r="BL152" s="18" t="s">
        <v>158</v>
      </c>
      <c r="BM152" s="144" t="s">
        <v>1448</v>
      </c>
    </row>
    <row r="153" spans="2:65" s="1" customFormat="1" ht="11.25">
      <c r="B153" s="33"/>
      <c r="D153" s="146" t="s">
        <v>160</v>
      </c>
      <c r="F153" s="147" t="s">
        <v>178</v>
      </c>
      <c r="I153" s="148"/>
      <c r="L153" s="33"/>
      <c r="M153" s="149"/>
      <c r="T153" s="54"/>
      <c r="AT153" s="18" t="s">
        <v>160</v>
      </c>
      <c r="AU153" s="18" t="s">
        <v>79</v>
      </c>
    </row>
    <row r="154" spans="2:65" s="14" customFormat="1" ht="11.25">
      <c r="B154" s="165"/>
      <c r="D154" s="151" t="s">
        <v>162</v>
      </c>
      <c r="E154" s="166" t="s">
        <v>3</v>
      </c>
      <c r="F154" s="167" t="s">
        <v>1449</v>
      </c>
      <c r="H154" s="166" t="s">
        <v>3</v>
      </c>
      <c r="I154" s="168"/>
      <c r="L154" s="165"/>
      <c r="M154" s="169"/>
      <c r="T154" s="170"/>
      <c r="AT154" s="166" t="s">
        <v>162</v>
      </c>
      <c r="AU154" s="166" t="s">
        <v>79</v>
      </c>
      <c r="AV154" s="14" t="s">
        <v>77</v>
      </c>
      <c r="AW154" s="14" t="s">
        <v>30</v>
      </c>
      <c r="AX154" s="14" t="s">
        <v>69</v>
      </c>
      <c r="AY154" s="166" t="s">
        <v>151</v>
      </c>
    </row>
    <row r="155" spans="2:65" s="12" customFormat="1" ht="11.25">
      <c r="B155" s="150"/>
      <c r="D155" s="151" t="s">
        <v>162</v>
      </c>
      <c r="E155" s="152" t="s">
        <v>3</v>
      </c>
      <c r="F155" s="153" t="s">
        <v>1450</v>
      </c>
      <c r="H155" s="154">
        <v>10.46</v>
      </c>
      <c r="I155" s="155"/>
      <c r="L155" s="150"/>
      <c r="M155" s="156"/>
      <c r="T155" s="157"/>
      <c r="AT155" s="152" t="s">
        <v>162</v>
      </c>
      <c r="AU155" s="152" t="s">
        <v>79</v>
      </c>
      <c r="AV155" s="12" t="s">
        <v>79</v>
      </c>
      <c r="AW155" s="12" t="s">
        <v>30</v>
      </c>
      <c r="AX155" s="12" t="s">
        <v>69</v>
      </c>
      <c r="AY155" s="152" t="s">
        <v>151</v>
      </c>
    </row>
    <row r="156" spans="2:65" s="13" customFormat="1" ht="11.25">
      <c r="B156" s="158"/>
      <c r="D156" s="151" t="s">
        <v>162</v>
      </c>
      <c r="E156" s="159" t="s">
        <v>3</v>
      </c>
      <c r="F156" s="160" t="s">
        <v>167</v>
      </c>
      <c r="H156" s="161">
        <v>10.46</v>
      </c>
      <c r="I156" s="162"/>
      <c r="L156" s="158"/>
      <c r="M156" s="163"/>
      <c r="T156" s="164"/>
      <c r="AT156" s="159" t="s">
        <v>162</v>
      </c>
      <c r="AU156" s="159" t="s">
        <v>79</v>
      </c>
      <c r="AV156" s="13" t="s">
        <v>158</v>
      </c>
      <c r="AW156" s="13" t="s">
        <v>30</v>
      </c>
      <c r="AX156" s="13" t="s">
        <v>77</v>
      </c>
      <c r="AY156" s="159" t="s">
        <v>151</v>
      </c>
    </row>
    <row r="157" spans="2:65" s="1" customFormat="1" ht="24.2" customHeight="1">
      <c r="B157" s="132"/>
      <c r="C157" s="133" t="s">
        <v>251</v>
      </c>
      <c r="D157" s="133" t="s">
        <v>153</v>
      </c>
      <c r="E157" s="134" t="s">
        <v>175</v>
      </c>
      <c r="F157" s="135" t="s">
        <v>1447</v>
      </c>
      <c r="G157" s="136" t="s">
        <v>156</v>
      </c>
      <c r="H157" s="137">
        <v>4800</v>
      </c>
      <c r="I157" s="138"/>
      <c r="J157" s="139">
        <f>ROUND(I157*H157,2)</f>
        <v>0</v>
      </c>
      <c r="K157" s="135" t="s">
        <v>171</v>
      </c>
      <c r="L157" s="33"/>
      <c r="M157" s="140" t="s">
        <v>3</v>
      </c>
      <c r="N157" s="141" t="s">
        <v>40</v>
      </c>
      <c r="P157" s="142">
        <f>O157*H157</f>
        <v>0</v>
      </c>
      <c r="Q157" s="142">
        <v>0</v>
      </c>
      <c r="R157" s="142">
        <f>Q157*H157</f>
        <v>0</v>
      </c>
      <c r="S157" s="142">
        <v>0</v>
      </c>
      <c r="T157" s="143">
        <f>S157*H157</f>
        <v>0</v>
      </c>
      <c r="AR157" s="144" t="s">
        <v>158</v>
      </c>
      <c r="AT157" s="144" t="s">
        <v>153</v>
      </c>
      <c r="AU157" s="144" t="s">
        <v>79</v>
      </c>
      <c r="AY157" s="18" t="s">
        <v>151</v>
      </c>
      <c r="BE157" s="145">
        <f>IF(N157="základní",J157,0)</f>
        <v>0</v>
      </c>
      <c r="BF157" s="145">
        <f>IF(N157="snížená",J157,0)</f>
        <v>0</v>
      </c>
      <c r="BG157" s="145">
        <f>IF(N157="zákl. přenesená",J157,0)</f>
        <v>0</v>
      </c>
      <c r="BH157" s="145">
        <f>IF(N157="sníž. přenesená",J157,0)</f>
        <v>0</v>
      </c>
      <c r="BI157" s="145">
        <f>IF(N157="nulová",J157,0)</f>
        <v>0</v>
      </c>
      <c r="BJ157" s="18" t="s">
        <v>77</v>
      </c>
      <c r="BK157" s="145">
        <f>ROUND(I157*H157,2)</f>
        <v>0</v>
      </c>
      <c r="BL157" s="18" t="s">
        <v>158</v>
      </c>
      <c r="BM157" s="144" t="s">
        <v>1451</v>
      </c>
    </row>
    <row r="158" spans="2:65" s="1" customFormat="1" ht="11.25">
      <c r="B158" s="33"/>
      <c r="D158" s="146" t="s">
        <v>160</v>
      </c>
      <c r="F158" s="147" t="s">
        <v>178</v>
      </c>
      <c r="I158" s="148"/>
      <c r="L158" s="33"/>
      <c r="M158" s="149"/>
      <c r="T158" s="54"/>
      <c r="AT158" s="18" t="s">
        <v>160</v>
      </c>
      <c r="AU158" s="18" t="s">
        <v>79</v>
      </c>
    </row>
    <row r="159" spans="2:65" s="14" customFormat="1" ht="11.25">
      <c r="B159" s="165"/>
      <c r="D159" s="151" t="s">
        <v>162</v>
      </c>
      <c r="E159" s="166" t="s">
        <v>3</v>
      </c>
      <c r="F159" s="167" t="s">
        <v>1452</v>
      </c>
      <c r="H159" s="166" t="s">
        <v>3</v>
      </c>
      <c r="I159" s="168"/>
      <c r="L159" s="165"/>
      <c r="M159" s="169"/>
      <c r="T159" s="170"/>
      <c r="AT159" s="166" t="s">
        <v>162</v>
      </c>
      <c r="AU159" s="166" t="s">
        <v>79</v>
      </c>
      <c r="AV159" s="14" t="s">
        <v>77</v>
      </c>
      <c r="AW159" s="14" t="s">
        <v>30</v>
      </c>
      <c r="AX159" s="14" t="s">
        <v>69</v>
      </c>
      <c r="AY159" s="166" t="s">
        <v>151</v>
      </c>
    </row>
    <row r="160" spans="2:65" s="12" customFormat="1" ht="11.25">
      <c r="B160" s="150"/>
      <c r="D160" s="151" t="s">
        <v>162</v>
      </c>
      <c r="E160" s="152" t="s">
        <v>3</v>
      </c>
      <c r="F160" s="153" t="s">
        <v>1453</v>
      </c>
      <c r="H160" s="154">
        <v>4800</v>
      </c>
      <c r="I160" s="155"/>
      <c r="L160" s="150"/>
      <c r="M160" s="156"/>
      <c r="T160" s="157"/>
      <c r="AT160" s="152" t="s">
        <v>162</v>
      </c>
      <c r="AU160" s="152" t="s">
        <v>79</v>
      </c>
      <c r="AV160" s="12" t="s">
        <v>79</v>
      </c>
      <c r="AW160" s="12" t="s">
        <v>30</v>
      </c>
      <c r="AX160" s="12" t="s">
        <v>69</v>
      </c>
      <c r="AY160" s="152" t="s">
        <v>151</v>
      </c>
    </row>
    <row r="161" spans="2:65" s="13" customFormat="1" ht="11.25">
      <c r="B161" s="158"/>
      <c r="D161" s="151" t="s">
        <v>162</v>
      </c>
      <c r="E161" s="159" t="s">
        <v>3</v>
      </c>
      <c r="F161" s="160" t="s">
        <v>167</v>
      </c>
      <c r="H161" s="161">
        <v>4800</v>
      </c>
      <c r="I161" s="162"/>
      <c r="L161" s="158"/>
      <c r="M161" s="163"/>
      <c r="T161" s="164"/>
      <c r="AT161" s="159" t="s">
        <v>162</v>
      </c>
      <c r="AU161" s="159" t="s">
        <v>79</v>
      </c>
      <c r="AV161" s="13" t="s">
        <v>158</v>
      </c>
      <c r="AW161" s="13" t="s">
        <v>30</v>
      </c>
      <c r="AX161" s="13" t="s">
        <v>77</v>
      </c>
      <c r="AY161" s="159" t="s">
        <v>151</v>
      </c>
    </row>
    <row r="162" spans="2:65" s="1" customFormat="1" ht="16.5" customHeight="1">
      <c r="B162" s="132"/>
      <c r="C162" s="133" t="s">
        <v>265</v>
      </c>
      <c r="D162" s="133" t="s">
        <v>153</v>
      </c>
      <c r="E162" s="134" t="s">
        <v>1310</v>
      </c>
      <c r="F162" s="135" t="s">
        <v>1311</v>
      </c>
      <c r="G162" s="136" t="s">
        <v>156</v>
      </c>
      <c r="H162" s="137">
        <v>14.25</v>
      </c>
      <c r="I162" s="138"/>
      <c r="J162" s="139">
        <f>ROUND(I162*H162,2)</f>
        <v>0</v>
      </c>
      <c r="K162" s="135" t="s">
        <v>171</v>
      </c>
      <c r="L162" s="33"/>
      <c r="M162" s="140" t="s">
        <v>3</v>
      </c>
      <c r="N162" s="141" t="s">
        <v>40</v>
      </c>
      <c r="P162" s="142">
        <f>O162*H162</f>
        <v>0</v>
      </c>
      <c r="Q162" s="142">
        <v>0</v>
      </c>
      <c r="R162" s="142">
        <f>Q162*H162</f>
        <v>0</v>
      </c>
      <c r="S162" s="142">
        <v>0</v>
      </c>
      <c r="T162" s="143">
        <f>S162*H162</f>
        <v>0</v>
      </c>
      <c r="AR162" s="144" t="s">
        <v>158</v>
      </c>
      <c r="AT162" s="144" t="s">
        <v>153</v>
      </c>
      <c r="AU162" s="144" t="s">
        <v>79</v>
      </c>
      <c r="AY162" s="18" t="s">
        <v>151</v>
      </c>
      <c r="BE162" s="145">
        <f>IF(N162="základní",J162,0)</f>
        <v>0</v>
      </c>
      <c r="BF162" s="145">
        <f>IF(N162="snížená",J162,0)</f>
        <v>0</v>
      </c>
      <c r="BG162" s="145">
        <f>IF(N162="zákl. přenesená",J162,0)</f>
        <v>0</v>
      </c>
      <c r="BH162" s="145">
        <f>IF(N162="sníž. přenesená",J162,0)</f>
        <v>0</v>
      </c>
      <c r="BI162" s="145">
        <f>IF(N162="nulová",J162,0)</f>
        <v>0</v>
      </c>
      <c r="BJ162" s="18" t="s">
        <v>77</v>
      </c>
      <c r="BK162" s="145">
        <f>ROUND(I162*H162,2)</f>
        <v>0</v>
      </c>
      <c r="BL162" s="18" t="s">
        <v>158</v>
      </c>
      <c r="BM162" s="144" t="s">
        <v>1454</v>
      </c>
    </row>
    <row r="163" spans="2:65" s="1" customFormat="1" ht="11.25">
      <c r="B163" s="33"/>
      <c r="D163" s="146" t="s">
        <v>160</v>
      </c>
      <c r="F163" s="147" t="s">
        <v>1313</v>
      </c>
      <c r="I163" s="148"/>
      <c r="L163" s="33"/>
      <c r="M163" s="149"/>
      <c r="T163" s="54"/>
      <c r="AT163" s="18" t="s">
        <v>160</v>
      </c>
      <c r="AU163" s="18" t="s">
        <v>79</v>
      </c>
    </row>
    <row r="164" spans="2:65" s="14" customFormat="1" ht="11.25">
      <c r="B164" s="165"/>
      <c r="D164" s="151" t="s">
        <v>162</v>
      </c>
      <c r="E164" s="166" t="s">
        <v>3</v>
      </c>
      <c r="F164" s="167" t="s">
        <v>1455</v>
      </c>
      <c r="H164" s="166" t="s">
        <v>3</v>
      </c>
      <c r="I164" s="168"/>
      <c r="L164" s="165"/>
      <c r="M164" s="169"/>
      <c r="T164" s="170"/>
      <c r="AT164" s="166" t="s">
        <v>162</v>
      </c>
      <c r="AU164" s="166" t="s">
        <v>79</v>
      </c>
      <c r="AV164" s="14" t="s">
        <v>77</v>
      </c>
      <c r="AW164" s="14" t="s">
        <v>30</v>
      </c>
      <c r="AX164" s="14" t="s">
        <v>69</v>
      </c>
      <c r="AY164" s="166" t="s">
        <v>151</v>
      </c>
    </row>
    <row r="165" spans="2:65" s="12" customFormat="1" ht="11.25">
      <c r="B165" s="150"/>
      <c r="D165" s="151" t="s">
        <v>162</v>
      </c>
      <c r="E165" s="152" t="s">
        <v>3</v>
      </c>
      <c r="F165" s="153" t="s">
        <v>1440</v>
      </c>
      <c r="H165" s="154">
        <v>14.25</v>
      </c>
      <c r="I165" s="155"/>
      <c r="L165" s="150"/>
      <c r="M165" s="156"/>
      <c r="T165" s="157"/>
      <c r="AT165" s="152" t="s">
        <v>162</v>
      </c>
      <c r="AU165" s="152" t="s">
        <v>79</v>
      </c>
      <c r="AV165" s="12" t="s">
        <v>79</v>
      </c>
      <c r="AW165" s="12" t="s">
        <v>30</v>
      </c>
      <c r="AX165" s="12" t="s">
        <v>69</v>
      </c>
      <c r="AY165" s="152" t="s">
        <v>151</v>
      </c>
    </row>
    <row r="166" spans="2:65" s="13" customFormat="1" ht="11.25">
      <c r="B166" s="158"/>
      <c r="D166" s="151" t="s">
        <v>162</v>
      </c>
      <c r="E166" s="159" t="s">
        <v>3</v>
      </c>
      <c r="F166" s="160" t="s">
        <v>167</v>
      </c>
      <c r="H166" s="161">
        <v>14.25</v>
      </c>
      <c r="I166" s="162"/>
      <c r="L166" s="158"/>
      <c r="M166" s="163"/>
      <c r="T166" s="164"/>
      <c r="AT166" s="159" t="s">
        <v>162</v>
      </c>
      <c r="AU166" s="159" t="s">
        <v>79</v>
      </c>
      <c r="AV166" s="13" t="s">
        <v>158</v>
      </c>
      <c r="AW166" s="13" t="s">
        <v>30</v>
      </c>
      <c r="AX166" s="13" t="s">
        <v>77</v>
      </c>
      <c r="AY166" s="159" t="s">
        <v>151</v>
      </c>
    </row>
    <row r="167" spans="2:65" s="1" customFormat="1" ht="16.5" customHeight="1">
      <c r="B167" s="132"/>
      <c r="C167" s="133" t="s">
        <v>9</v>
      </c>
      <c r="D167" s="133" t="s">
        <v>153</v>
      </c>
      <c r="E167" s="134" t="s">
        <v>1456</v>
      </c>
      <c r="F167" s="135" t="s">
        <v>1457</v>
      </c>
      <c r="G167" s="136" t="s">
        <v>156</v>
      </c>
      <c r="H167" s="137">
        <v>10</v>
      </c>
      <c r="I167" s="138"/>
      <c r="J167" s="139">
        <f>ROUND(I167*H167,2)</f>
        <v>0</v>
      </c>
      <c r="K167" s="135" t="s">
        <v>171</v>
      </c>
      <c r="L167" s="33"/>
      <c r="M167" s="140" t="s">
        <v>3</v>
      </c>
      <c r="N167" s="141" t="s">
        <v>40</v>
      </c>
      <c r="P167" s="142">
        <f>O167*H167</f>
        <v>0</v>
      </c>
      <c r="Q167" s="142">
        <v>0</v>
      </c>
      <c r="R167" s="142">
        <f>Q167*H167</f>
        <v>0</v>
      </c>
      <c r="S167" s="142">
        <v>0</v>
      </c>
      <c r="T167" s="143">
        <f>S167*H167</f>
        <v>0</v>
      </c>
      <c r="AR167" s="144" t="s">
        <v>158</v>
      </c>
      <c r="AT167" s="144" t="s">
        <v>153</v>
      </c>
      <c r="AU167" s="144" t="s">
        <v>79</v>
      </c>
      <c r="AY167" s="18" t="s">
        <v>151</v>
      </c>
      <c r="BE167" s="145">
        <f>IF(N167="základní",J167,0)</f>
        <v>0</v>
      </c>
      <c r="BF167" s="145">
        <f>IF(N167="snížená",J167,0)</f>
        <v>0</v>
      </c>
      <c r="BG167" s="145">
        <f>IF(N167="zákl. přenesená",J167,0)</f>
        <v>0</v>
      </c>
      <c r="BH167" s="145">
        <f>IF(N167="sníž. přenesená",J167,0)</f>
        <v>0</v>
      </c>
      <c r="BI167" s="145">
        <f>IF(N167="nulová",J167,0)</f>
        <v>0</v>
      </c>
      <c r="BJ167" s="18" t="s">
        <v>77</v>
      </c>
      <c r="BK167" s="145">
        <f>ROUND(I167*H167,2)</f>
        <v>0</v>
      </c>
      <c r="BL167" s="18" t="s">
        <v>158</v>
      </c>
      <c r="BM167" s="144" t="s">
        <v>1458</v>
      </c>
    </row>
    <row r="168" spans="2:65" s="1" customFormat="1" ht="11.25">
      <c r="B168" s="33"/>
      <c r="D168" s="146" t="s">
        <v>160</v>
      </c>
      <c r="F168" s="147" t="s">
        <v>1459</v>
      </c>
      <c r="I168" s="148"/>
      <c r="L168" s="33"/>
      <c r="M168" s="149"/>
      <c r="T168" s="54"/>
      <c r="AT168" s="18" t="s">
        <v>160</v>
      </c>
      <c r="AU168" s="18" t="s">
        <v>79</v>
      </c>
    </row>
    <row r="169" spans="2:65" s="14" customFormat="1" ht="11.25">
      <c r="B169" s="165"/>
      <c r="D169" s="151" t="s">
        <v>162</v>
      </c>
      <c r="E169" s="166" t="s">
        <v>3</v>
      </c>
      <c r="F169" s="167" t="s">
        <v>1460</v>
      </c>
      <c r="H169" s="166" t="s">
        <v>3</v>
      </c>
      <c r="I169" s="168"/>
      <c r="L169" s="165"/>
      <c r="M169" s="169"/>
      <c r="T169" s="170"/>
      <c r="AT169" s="166" t="s">
        <v>162</v>
      </c>
      <c r="AU169" s="166" t="s">
        <v>79</v>
      </c>
      <c r="AV169" s="14" t="s">
        <v>77</v>
      </c>
      <c r="AW169" s="14" t="s">
        <v>30</v>
      </c>
      <c r="AX169" s="14" t="s">
        <v>69</v>
      </c>
      <c r="AY169" s="166" t="s">
        <v>151</v>
      </c>
    </row>
    <row r="170" spans="2:65" s="12" customFormat="1" ht="11.25">
      <c r="B170" s="150"/>
      <c r="D170" s="151" t="s">
        <v>162</v>
      </c>
      <c r="E170" s="152" t="s">
        <v>3</v>
      </c>
      <c r="F170" s="153" t="s">
        <v>235</v>
      </c>
      <c r="H170" s="154">
        <v>10</v>
      </c>
      <c r="I170" s="155"/>
      <c r="L170" s="150"/>
      <c r="M170" s="156"/>
      <c r="T170" s="157"/>
      <c r="AT170" s="152" t="s">
        <v>162</v>
      </c>
      <c r="AU170" s="152" t="s">
        <v>79</v>
      </c>
      <c r="AV170" s="12" t="s">
        <v>79</v>
      </c>
      <c r="AW170" s="12" t="s">
        <v>30</v>
      </c>
      <c r="AX170" s="12" t="s">
        <v>69</v>
      </c>
      <c r="AY170" s="152" t="s">
        <v>151</v>
      </c>
    </row>
    <row r="171" spans="2:65" s="13" customFormat="1" ht="11.25">
      <c r="B171" s="158"/>
      <c r="D171" s="151" t="s">
        <v>162</v>
      </c>
      <c r="E171" s="159" t="s">
        <v>3</v>
      </c>
      <c r="F171" s="160" t="s">
        <v>167</v>
      </c>
      <c r="H171" s="161">
        <v>10</v>
      </c>
      <c r="I171" s="162"/>
      <c r="L171" s="158"/>
      <c r="M171" s="163"/>
      <c r="T171" s="164"/>
      <c r="AT171" s="159" t="s">
        <v>162</v>
      </c>
      <c r="AU171" s="159" t="s">
        <v>79</v>
      </c>
      <c r="AV171" s="13" t="s">
        <v>158</v>
      </c>
      <c r="AW171" s="13" t="s">
        <v>30</v>
      </c>
      <c r="AX171" s="13" t="s">
        <v>77</v>
      </c>
      <c r="AY171" s="159" t="s">
        <v>151</v>
      </c>
    </row>
    <row r="172" spans="2:65" s="1" customFormat="1" ht="16.5" customHeight="1">
      <c r="B172" s="132"/>
      <c r="C172" s="133" t="s">
        <v>282</v>
      </c>
      <c r="D172" s="133" t="s">
        <v>153</v>
      </c>
      <c r="E172" s="134" t="s">
        <v>181</v>
      </c>
      <c r="F172" s="135" t="s">
        <v>1461</v>
      </c>
      <c r="G172" s="136" t="s">
        <v>183</v>
      </c>
      <c r="H172" s="137">
        <v>432</v>
      </c>
      <c r="I172" s="138"/>
      <c r="J172" s="139">
        <f>ROUND(I172*H172,2)</f>
        <v>0</v>
      </c>
      <c r="K172" s="135" t="s">
        <v>171</v>
      </c>
      <c r="L172" s="33"/>
      <c r="M172" s="140" t="s">
        <v>3</v>
      </c>
      <c r="N172" s="141" t="s">
        <v>40</v>
      </c>
      <c r="P172" s="142">
        <f>O172*H172</f>
        <v>0</v>
      </c>
      <c r="Q172" s="142">
        <v>0</v>
      </c>
      <c r="R172" s="142">
        <f>Q172*H172</f>
        <v>0</v>
      </c>
      <c r="S172" s="142">
        <v>0</v>
      </c>
      <c r="T172" s="143">
        <f>S172*H172</f>
        <v>0</v>
      </c>
      <c r="AR172" s="144" t="s">
        <v>158</v>
      </c>
      <c r="AT172" s="144" t="s">
        <v>153</v>
      </c>
      <c r="AU172" s="144" t="s">
        <v>79</v>
      </c>
      <c r="AY172" s="18" t="s">
        <v>151</v>
      </c>
      <c r="BE172" s="145">
        <f>IF(N172="základní",J172,0)</f>
        <v>0</v>
      </c>
      <c r="BF172" s="145">
        <f>IF(N172="snížená",J172,0)</f>
        <v>0</v>
      </c>
      <c r="BG172" s="145">
        <f>IF(N172="zákl. přenesená",J172,0)</f>
        <v>0</v>
      </c>
      <c r="BH172" s="145">
        <f>IF(N172="sníž. přenesená",J172,0)</f>
        <v>0</v>
      </c>
      <c r="BI172" s="145">
        <f>IF(N172="nulová",J172,0)</f>
        <v>0</v>
      </c>
      <c r="BJ172" s="18" t="s">
        <v>77</v>
      </c>
      <c r="BK172" s="145">
        <f>ROUND(I172*H172,2)</f>
        <v>0</v>
      </c>
      <c r="BL172" s="18" t="s">
        <v>158</v>
      </c>
      <c r="BM172" s="144" t="s">
        <v>1462</v>
      </c>
    </row>
    <row r="173" spans="2:65" s="1" customFormat="1" ht="11.25">
      <c r="B173" s="33"/>
      <c r="D173" s="146" t="s">
        <v>160</v>
      </c>
      <c r="F173" s="147" t="s">
        <v>185</v>
      </c>
      <c r="I173" s="148"/>
      <c r="L173" s="33"/>
      <c r="M173" s="149"/>
      <c r="T173" s="54"/>
      <c r="AT173" s="18" t="s">
        <v>160</v>
      </c>
      <c r="AU173" s="18" t="s">
        <v>79</v>
      </c>
    </row>
    <row r="174" spans="2:65" s="14" customFormat="1" ht="11.25">
      <c r="B174" s="165"/>
      <c r="D174" s="151" t="s">
        <v>162</v>
      </c>
      <c r="E174" s="166" t="s">
        <v>3</v>
      </c>
      <c r="F174" s="167" t="s">
        <v>1445</v>
      </c>
      <c r="H174" s="166" t="s">
        <v>3</v>
      </c>
      <c r="I174" s="168"/>
      <c r="L174" s="165"/>
      <c r="M174" s="169"/>
      <c r="T174" s="170"/>
      <c r="AT174" s="166" t="s">
        <v>162</v>
      </c>
      <c r="AU174" s="166" t="s">
        <v>79</v>
      </c>
      <c r="AV174" s="14" t="s">
        <v>77</v>
      </c>
      <c r="AW174" s="14" t="s">
        <v>30</v>
      </c>
      <c r="AX174" s="14" t="s">
        <v>69</v>
      </c>
      <c r="AY174" s="166" t="s">
        <v>151</v>
      </c>
    </row>
    <row r="175" spans="2:65" s="12" customFormat="1" ht="11.25">
      <c r="B175" s="150"/>
      <c r="D175" s="151" t="s">
        <v>162</v>
      </c>
      <c r="E175" s="152" t="s">
        <v>3</v>
      </c>
      <c r="F175" s="153" t="s">
        <v>1463</v>
      </c>
      <c r="H175" s="154">
        <v>432</v>
      </c>
      <c r="I175" s="155"/>
      <c r="L175" s="150"/>
      <c r="M175" s="156"/>
      <c r="T175" s="157"/>
      <c r="AT175" s="152" t="s">
        <v>162</v>
      </c>
      <c r="AU175" s="152" t="s">
        <v>79</v>
      </c>
      <c r="AV175" s="12" t="s">
        <v>79</v>
      </c>
      <c r="AW175" s="12" t="s">
        <v>30</v>
      </c>
      <c r="AX175" s="12" t="s">
        <v>69</v>
      </c>
      <c r="AY175" s="152" t="s">
        <v>151</v>
      </c>
    </row>
    <row r="176" spans="2:65" s="13" customFormat="1" ht="11.25">
      <c r="B176" s="158"/>
      <c r="D176" s="151" t="s">
        <v>162</v>
      </c>
      <c r="E176" s="159" t="s">
        <v>3</v>
      </c>
      <c r="F176" s="160" t="s">
        <v>167</v>
      </c>
      <c r="H176" s="161">
        <v>432</v>
      </c>
      <c r="I176" s="162"/>
      <c r="L176" s="158"/>
      <c r="M176" s="163"/>
      <c r="T176" s="164"/>
      <c r="AT176" s="159" t="s">
        <v>162</v>
      </c>
      <c r="AU176" s="159" t="s">
        <v>79</v>
      </c>
      <c r="AV176" s="13" t="s">
        <v>158</v>
      </c>
      <c r="AW176" s="13" t="s">
        <v>30</v>
      </c>
      <c r="AX176" s="13" t="s">
        <v>77</v>
      </c>
      <c r="AY176" s="159" t="s">
        <v>151</v>
      </c>
    </row>
    <row r="177" spans="2:65" s="1" customFormat="1" ht="16.5" customHeight="1">
      <c r="B177" s="132"/>
      <c r="C177" s="133" t="s">
        <v>287</v>
      </c>
      <c r="D177" s="133" t="s">
        <v>153</v>
      </c>
      <c r="E177" s="134" t="s">
        <v>181</v>
      </c>
      <c r="F177" s="135" t="s">
        <v>1461</v>
      </c>
      <c r="G177" s="136" t="s">
        <v>183</v>
      </c>
      <c r="H177" s="137">
        <v>0.94099999999999995</v>
      </c>
      <c r="I177" s="138"/>
      <c r="J177" s="139">
        <f>ROUND(I177*H177,2)</f>
        <v>0</v>
      </c>
      <c r="K177" s="135" t="s">
        <v>171</v>
      </c>
      <c r="L177" s="33"/>
      <c r="M177" s="140" t="s">
        <v>3</v>
      </c>
      <c r="N177" s="141" t="s">
        <v>40</v>
      </c>
      <c r="P177" s="142">
        <f>O177*H177</f>
        <v>0</v>
      </c>
      <c r="Q177" s="142">
        <v>0</v>
      </c>
      <c r="R177" s="142">
        <f>Q177*H177</f>
        <v>0</v>
      </c>
      <c r="S177" s="142">
        <v>0</v>
      </c>
      <c r="T177" s="143">
        <f>S177*H177</f>
        <v>0</v>
      </c>
      <c r="AR177" s="144" t="s">
        <v>158</v>
      </c>
      <c r="AT177" s="144" t="s">
        <v>153</v>
      </c>
      <c r="AU177" s="144" t="s">
        <v>79</v>
      </c>
      <c r="AY177" s="18" t="s">
        <v>151</v>
      </c>
      <c r="BE177" s="145">
        <f>IF(N177="základní",J177,0)</f>
        <v>0</v>
      </c>
      <c r="BF177" s="145">
        <f>IF(N177="snížená",J177,0)</f>
        <v>0</v>
      </c>
      <c r="BG177" s="145">
        <f>IF(N177="zákl. přenesená",J177,0)</f>
        <v>0</v>
      </c>
      <c r="BH177" s="145">
        <f>IF(N177="sníž. přenesená",J177,0)</f>
        <v>0</v>
      </c>
      <c r="BI177" s="145">
        <f>IF(N177="nulová",J177,0)</f>
        <v>0</v>
      </c>
      <c r="BJ177" s="18" t="s">
        <v>77</v>
      </c>
      <c r="BK177" s="145">
        <f>ROUND(I177*H177,2)</f>
        <v>0</v>
      </c>
      <c r="BL177" s="18" t="s">
        <v>158</v>
      </c>
      <c r="BM177" s="144" t="s">
        <v>1464</v>
      </c>
    </row>
    <row r="178" spans="2:65" s="1" customFormat="1" ht="11.25">
      <c r="B178" s="33"/>
      <c r="D178" s="146" t="s">
        <v>160</v>
      </c>
      <c r="F178" s="147" t="s">
        <v>185</v>
      </c>
      <c r="I178" s="148"/>
      <c r="L178" s="33"/>
      <c r="M178" s="149"/>
      <c r="T178" s="54"/>
      <c r="AT178" s="18" t="s">
        <v>160</v>
      </c>
      <c r="AU178" s="18" t="s">
        <v>79</v>
      </c>
    </row>
    <row r="179" spans="2:65" s="14" customFormat="1" ht="11.25">
      <c r="B179" s="165"/>
      <c r="D179" s="151" t="s">
        <v>162</v>
      </c>
      <c r="E179" s="166" t="s">
        <v>3</v>
      </c>
      <c r="F179" s="167" t="s">
        <v>1416</v>
      </c>
      <c r="H179" s="166" t="s">
        <v>3</v>
      </c>
      <c r="I179" s="168"/>
      <c r="L179" s="165"/>
      <c r="M179" s="169"/>
      <c r="T179" s="170"/>
      <c r="AT179" s="166" t="s">
        <v>162</v>
      </c>
      <c r="AU179" s="166" t="s">
        <v>79</v>
      </c>
      <c r="AV179" s="14" t="s">
        <v>77</v>
      </c>
      <c r="AW179" s="14" t="s">
        <v>30</v>
      </c>
      <c r="AX179" s="14" t="s">
        <v>69</v>
      </c>
      <c r="AY179" s="166" t="s">
        <v>151</v>
      </c>
    </row>
    <row r="180" spans="2:65" s="12" customFormat="1" ht="11.25">
      <c r="B180" s="150"/>
      <c r="D180" s="151" t="s">
        <v>162</v>
      </c>
      <c r="E180" s="152" t="s">
        <v>3</v>
      </c>
      <c r="F180" s="153" t="s">
        <v>1465</v>
      </c>
      <c r="H180" s="154">
        <v>0.94099999999999995</v>
      </c>
      <c r="I180" s="155"/>
      <c r="L180" s="150"/>
      <c r="M180" s="156"/>
      <c r="T180" s="157"/>
      <c r="AT180" s="152" t="s">
        <v>162</v>
      </c>
      <c r="AU180" s="152" t="s">
        <v>79</v>
      </c>
      <c r="AV180" s="12" t="s">
        <v>79</v>
      </c>
      <c r="AW180" s="12" t="s">
        <v>30</v>
      </c>
      <c r="AX180" s="12" t="s">
        <v>69</v>
      </c>
      <c r="AY180" s="152" t="s">
        <v>151</v>
      </c>
    </row>
    <row r="181" spans="2:65" s="13" customFormat="1" ht="11.25">
      <c r="B181" s="158"/>
      <c r="D181" s="151" t="s">
        <v>162</v>
      </c>
      <c r="E181" s="159" t="s">
        <v>3</v>
      </c>
      <c r="F181" s="160" t="s">
        <v>167</v>
      </c>
      <c r="H181" s="161">
        <v>0.94099999999999995</v>
      </c>
      <c r="I181" s="162"/>
      <c r="L181" s="158"/>
      <c r="M181" s="163"/>
      <c r="T181" s="164"/>
      <c r="AT181" s="159" t="s">
        <v>162</v>
      </c>
      <c r="AU181" s="159" t="s">
        <v>79</v>
      </c>
      <c r="AV181" s="13" t="s">
        <v>158</v>
      </c>
      <c r="AW181" s="13" t="s">
        <v>30</v>
      </c>
      <c r="AX181" s="13" t="s">
        <v>77</v>
      </c>
      <c r="AY181" s="159" t="s">
        <v>151</v>
      </c>
    </row>
    <row r="182" spans="2:65" s="1" customFormat="1" ht="16.5" customHeight="1">
      <c r="B182" s="132"/>
      <c r="C182" s="133" t="s">
        <v>299</v>
      </c>
      <c r="D182" s="133" t="s">
        <v>153</v>
      </c>
      <c r="E182" s="134" t="s">
        <v>1466</v>
      </c>
      <c r="F182" s="135" t="s">
        <v>1467</v>
      </c>
      <c r="G182" s="136" t="s">
        <v>156</v>
      </c>
      <c r="H182" s="137">
        <v>240</v>
      </c>
      <c r="I182" s="138"/>
      <c r="J182" s="139">
        <f>ROUND(I182*H182,2)</f>
        <v>0</v>
      </c>
      <c r="K182" s="135" t="s">
        <v>171</v>
      </c>
      <c r="L182" s="33"/>
      <c r="M182" s="140" t="s">
        <v>3</v>
      </c>
      <c r="N182" s="141" t="s">
        <v>40</v>
      </c>
      <c r="P182" s="142">
        <f>O182*H182</f>
        <v>0</v>
      </c>
      <c r="Q182" s="142">
        <v>0</v>
      </c>
      <c r="R182" s="142">
        <f>Q182*H182</f>
        <v>0</v>
      </c>
      <c r="S182" s="142">
        <v>0</v>
      </c>
      <c r="T182" s="143">
        <f>S182*H182</f>
        <v>0</v>
      </c>
      <c r="AR182" s="144" t="s">
        <v>158</v>
      </c>
      <c r="AT182" s="144" t="s">
        <v>153</v>
      </c>
      <c r="AU182" s="144" t="s">
        <v>79</v>
      </c>
      <c r="AY182" s="18" t="s">
        <v>151</v>
      </c>
      <c r="BE182" s="145">
        <f>IF(N182="základní",J182,0)</f>
        <v>0</v>
      </c>
      <c r="BF182" s="145">
        <f>IF(N182="snížená",J182,0)</f>
        <v>0</v>
      </c>
      <c r="BG182" s="145">
        <f>IF(N182="zákl. přenesená",J182,0)</f>
        <v>0</v>
      </c>
      <c r="BH182" s="145">
        <f>IF(N182="sníž. přenesená",J182,0)</f>
        <v>0</v>
      </c>
      <c r="BI182" s="145">
        <f>IF(N182="nulová",J182,0)</f>
        <v>0</v>
      </c>
      <c r="BJ182" s="18" t="s">
        <v>77</v>
      </c>
      <c r="BK182" s="145">
        <f>ROUND(I182*H182,2)</f>
        <v>0</v>
      </c>
      <c r="BL182" s="18" t="s">
        <v>158</v>
      </c>
      <c r="BM182" s="144" t="s">
        <v>1468</v>
      </c>
    </row>
    <row r="183" spans="2:65" s="1" customFormat="1" ht="11.25">
      <c r="B183" s="33"/>
      <c r="D183" s="146" t="s">
        <v>160</v>
      </c>
      <c r="F183" s="147" t="s">
        <v>1469</v>
      </c>
      <c r="I183" s="148"/>
      <c r="L183" s="33"/>
      <c r="M183" s="149"/>
      <c r="T183" s="54"/>
      <c r="AT183" s="18" t="s">
        <v>160</v>
      </c>
      <c r="AU183" s="18" t="s">
        <v>79</v>
      </c>
    </row>
    <row r="184" spans="2:65" s="14" customFormat="1" ht="11.25">
      <c r="B184" s="165"/>
      <c r="D184" s="151" t="s">
        <v>162</v>
      </c>
      <c r="E184" s="166" t="s">
        <v>3</v>
      </c>
      <c r="F184" s="167" t="s">
        <v>1445</v>
      </c>
      <c r="H184" s="166" t="s">
        <v>3</v>
      </c>
      <c r="I184" s="168"/>
      <c r="L184" s="165"/>
      <c r="M184" s="169"/>
      <c r="T184" s="170"/>
      <c r="AT184" s="166" t="s">
        <v>162</v>
      </c>
      <c r="AU184" s="166" t="s">
        <v>79</v>
      </c>
      <c r="AV184" s="14" t="s">
        <v>77</v>
      </c>
      <c r="AW184" s="14" t="s">
        <v>30</v>
      </c>
      <c r="AX184" s="14" t="s">
        <v>69</v>
      </c>
      <c r="AY184" s="166" t="s">
        <v>151</v>
      </c>
    </row>
    <row r="185" spans="2:65" s="12" customFormat="1" ht="11.25">
      <c r="B185" s="150"/>
      <c r="D185" s="151" t="s">
        <v>162</v>
      </c>
      <c r="E185" s="152" t="s">
        <v>3</v>
      </c>
      <c r="F185" s="153" t="s">
        <v>1446</v>
      </c>
      <c r="H185" s="154">
        <v>240</v>
      </c>
      <c r="I185" s="155"/>
      <c r="L185" s="150"/>
      <c r="M185" s="156"/>
      <c r="T185" s="157"/>
      <c r="AT185" s="152" t="s">
        <v>162</v>
      </c>
      <c r="AU185" s="152" t="s">
        <v>79</v>
      </c>
      <c r="AV185" s="12" t="s">
        <v>79</v>
      </c>
      <c r="AW185" s="12" t="s">
        <v>30</v>
      </c>
      <c r="AX185" s="12" t="s">
        <v>69</v>
      </c>
      <c r="AY185" s="152" t="s">
        <v>151</v>
      </c>
    </row>
    <row r="186" spans="2:65" s="13" customFormat="1" ht="11.25">
      <c r="B186" s="158"/>
      <c r="D186" s="151" t="s">
        <v>162</v>
      </c>
      <c r="E186" s="159" t="s">
        <v>3</v>
      </c>
      <c r="F186" s="160" t="s">
        <v>167</v>
      </c>
      <c r="H186" s="161">
        <v>240</v>
      </c>
      <c r="I186" s="162"/>
      <c r="L186" s="158"/>
      <c r="M186" s="163"/>
      <c r="T186" s="164"/>
      <c r="AT186" s="159" t="s">
        <v>162</v>
      </c>
      <c r="AU186" s="159" t="s">
        <v>79</v>
      </c>
      <c r="AV186" s="13" t="s">
        <v>158</v>
      </c>
      <c r="AW186" s="13" t="s">
        <v>30</v>
      </c>
      <c r="AX186" s="13" t="s">
        <v>77</v>
      </c>
      <c r="AY186" s="159" t="s">
        <v>151</v>
      </c>
    </row>
    <row r="187" spans="2:65" s="1" customFormat="1" ht="16.5" customHeight="1">
      <c r="B187" s="132"/>
      <c r="C187" s="133" t="s">
        <v>306</v>
      </c>
      <c r="D187" s="133" t="s">
        <v>153</v>
      </c>
      <c r="E187" s="134" t="s">
        <v>1466</v>
      </c>
      <c r="F187" s="135" t="s">
        <v>1467</v>
      </c>
      <c r="G187" s="136" t="s">
        <v>156</v>
      </c>
      <c r="H187" s="137">
        <v>0.52300000000000002</v>
      </c>
      <c r="I187" s="138"/>
      <c r="J187" s="139">
        <f>ROUND(I187*H187,2)</f>
        <v>0</v>
      </c>
      <c r="K187" s="135" t="s">
        <v>171</v>
      </c>
      <c r="L187" s="33"/>
      <c r="M187" s="140" t="s">
        <v>3</v>
      </c>
      <c r="N187" s="141" t="s">
        <v>40</v>
      </c>
      <c r="P187" s="142">
        <f>O187*H187</f>
        <v>0</v>
      </c>
      <c r="Q187" s="142">
        <v>0</v>
      </c>
      <c r="R187" s="142">
        <f>Q187*H187</f>
        <v>0</v>
      </c>
      <c r="S187" s="142">
        <v>0</v>
      </c>
      <c r="T187" s="143">
        <f>S187*H187</f>
        <v>0</v>
      </c>
      <c r="AR187" s="144" t="s">
        <v>158</v>
      </c>
      <c r="AT187" s="144" t="s">
        <v>153</v>
      </c>
      <c r="AU187" s="144" t="s">
        <v>79</v>
      </c>
      <c r="AY187" s="18" t="s">
        <v>151</v>
      </c>
      <c r="BE187" s="145">
        <f>IF(N187="základní",J187,0)</f>
        <v>0</v>
      </c>
      <c r="BF187" s="145">
        <f>IF(N187="snížená",J187,0)</f>
        <v>0</v>
      </c>
      <c r="BG187" s="145">
        <f>IF(N187="zákl. přenesená",J187,0)</f>
        <v>0</v>
      </c>
      <c r="BH187" s="145">
        <f>IF(N187="sníž. přenesená",J187,0)</f>
        <v>0</v>
      </c>
      <c r="BI187" s="145">
        <f>IF(N187="nulová",J187,0)</f>
        <v>0</v>
      </c>
      <c r="BJ187" s="18" t="s">
        <v>77</v>
      </c>
      <c r="BK187" s="145">
        <f>ROUND(I187*H187,2)</f>
        <v>0</v>
      </c>
      <c r="BL187" s="18" t="s">
        <v>158</v>
      </c>
      <c r="BM187" s="144" t="s">
        <v>1470</v>
      </c>
    </row>
    <row r="188" spans="2:65" s="1" customFormat="1" ht="11.25">
      <c r="B188" s="33"/>
      <c r="D188" s="146" t="s">
        <v>160</v>
      </c>
      <c r="F188" s="147" t="s">
        <v>1469</v>
      </c>
      <c r="I188" s="148"/>
      <c r="L188" s="33"/>
      <c r="M188" s="149"/>
      <c r="T188" s="54"/>
      <c r="AT188" s="18" t="s">
        <v>160</v>
      </c>
      <c r="AU188" s="18" t="s">
        <v>79</v>
      </c>
    </row>
    <row r="189" spans="2:65" s="14" customFormat="1" ht="11.25">
      <c r="B189" s="165"/>
      <c r="D189" s="151" t="s">
        <v>162</v>
      </c>
      <c r="E189" s="166" t="s">
        <v>3</v>
      </c>
      <c r="F189" s="167" t="s">
        <v>1416</v>
      </c>
      <c r="H189" s="166" t="s">
        <v>3</v>
      </c>
      <c r="I189" s="168"/>
      <c r="L189" s="165"/>
      <c r="M189" s="169"/>
      <c r="T189" s="170"/>
      <c r="AT189" s="166" t="s">
        <v>162</v>
      </c>
      <c r="AU189" s="166" t="s">
        <v>79</v>
      </c>
      <c r="AV189" s="14" t="s">
        <v>77</v>
      </c>
      <c r="AW189" s="14" t="s">
        <v>30</v>
      </c>
      <c r="AX189" s="14" t="s">
        <v>69</v>
      </c>
      <c r="AY189" s="166" t="s">
        <v>151</v>
      </c>
    </row>
    <row r="190" spans="2:65" s="12" customFormat="1" ht="11.25">
      <c r="B190" s="150"/>
      <c r="D190" s="151" t="s">
        <v>162</v>
      </c>
      <c r="E190" s="152" t="s">
        <v>3</v>
      </c>
      <c r="F190" s="153" t="s">
        <v>1443</v>
      </c>
      <c r="H190" s="154">
        <v>0.52300000000000002</v>
      </c>
      <c r="I190" s="155"/>
      <c r="L190" s="150"/>
      <c r="M190" s="156"/>
      <c r="T190" s="157"/>
      <c r="AT190" s="152" t="s">
        <v>162</v>
      </c>
      <c r="AU190" s="152" t="s">
        <v>79</v>
      </c>
      <c r="AV190" s="12" t="s">
        <v>79</v>
      </c>
      <c r="AW190" s="12" t="s">
        <v>30</v>
      </c>
      <c r="AX190" s="12" t="s">
        <v>69</v>
      </c>
      <c r="AY190" s="152" t="s">
        <v>151</v>
      </c>
    </row>
    <row r="191" spans="2:65" s="13" customFormat="1" ht="11.25">
      <c r="B191" s="158"/>
      <c r="D191" s="151" t="s">
        <v>162</v>
      </c>
      <c r="E191" s="159" t="s">
        <v>3</v>
      </c>
      <c r="F191" s="160" t="s">
        <v>167</v>
      </c>
      <c r="H191" s="161">
        <v>0.52300000000000002</v>
      </c>
      <c r="I191" s="162"/>
      <c r="L191" s="158"/>
      <c r="M191" s="163"/>
      <c r="T191" s="164"/>
      <c r="AT191" s="159" t="s">
        <v>162</v>
      </c>
      <c r="AU191" s="159" t="s">
        <v>79</v>
      </c>
      <c r="AV191" s="13" t="s">
        <v>158</v>
      </c>
      <c r="AW191" s="13" t="s">
        <v>30</v>
      </c>
      <c r="AX191" s="13" t="s">
        <v>77</v>
      </c>
      <c r="AY191" s="159" t="s">
        <v>151</v>
      </c>
    </row>
    <row r="192" spans="2:65" s="1" customFormat="1" ht="16.5" customHeight="1">
      <c r="B192" s="132"/>
      <c r="C192" s="133" t="s">
        <v>317</v>
      </c>
      <c r="D192" s="133" t="s">
        <v>153</v>
      </c>
      <c r="E192" s="134" t="s">
        <v>188</v>
      </c>
      <c r="F192" s="135" t="s">
        <v>1471</v>
      </c>
      <c r="G192" s="136" t="s">
        <v>156</v>
      </c>
      <c r="H192" s="137">
        <v>3.9769999999999999</v>
      </c>
      <c r="I192" s="138"/>
      <c r="J192" s="139">
        <f>ROUND(I192*H192,2)</f>
        <v>0</v>
      </c>
      <c r="K192" s="135" t="s">
        <v>171</v>
      </c>
      <c r="L192" s="33"/>
      <c r="M192" s="140" t="s">
        <v>3</v>
      </c>
      <c r="N192" s="141" t="s">
        <v>40</v>
      </c>
      <c r="P192" s="142">
        <f>O192*H192</f>
        <v>0</v>
      </c>
      <c r="Q192" s="142">
        <v>0</v>
      </c>
      <c r="R192" s="142">
        <f>Q192*H192</f>
        <v>0</v>
      </c>
      <c r="S192" s="142">
        <v>0</v>
      </c>
      <c r="T192" s="143">
        <f>S192*H192</f>
        <v>0</v>
      </c>
      <c r="AR192" s="144" t="s">
        <v>158</v>
      </c>
      <c r="AT192" s="144" t="s">
        <v>153</v>
      </c>
      <c r="AU192" s="144" t="s">
        <v>79</v>
      </c>
      <c r="AY192" s="18" t="s">
        <v>151</v>
      </c>
      <c r="BE192" s="145">
        <f>IF(N192="základní",J192,0)</f>
        <v>0</v>
      </c>
      <c r="BF192" s="145">
        <f>IF(N192="snížená",J192,0)</f>
        <v>0</v>
      </c>
      <c r="BG192" s="145">
        <f>IF(N192="zákl. přenesená",J192,0)</f>
        <v>0</v>
      </c>
      <c r="BH192" s="145">
        <f>IF(N192="sníž. přenesená",J192,0)</f>
        <v>0</v>
      </c>
      <c r="BI192" s="145">
        <f>IF(N192="nulová",J192,0)</f>
        <v>0</v>
      </c>
      <c r="BJ192" s="18" t="s">
        <v>77</v>
      </c>
      <c r="BK192" s="145">
        <f>ROUND(I192*H192,2)</f>
        <v>0</v>
      </c>
      <c r="BL192" s="18" t="s">
        <v>158</v>
      </c>
      <c r="BM192" s="144" t="s">
        <v>1472</v>
      </c>
    </row>
    <row r="193" spans="2:65" s="1" customFormat="1" ht="11.25">
      <c r="B193" s="33"/>
      <c r="D193" s="146" t="s">
        <v>160</v>
      </c>
      <c r="F193" s="147" t="s">
        <v>1473</v>
      </c>
      <c r="I193" s="148"/>
      <c r="L193" s="33"/>
      <c r="M193" s="149"/>
      <c r="T193" s="54"/>
      <c r="AT193" s="18" t="s">
        <v>160</v>
      </c>
      <c r="AU193" s="18" t="s">
        <v>79</v>
      </c>
    </row>
    <row r="194" spans="2:65" s="14" customFormat="1" ht="11.25">
      <c r="B194" s="165"/>
      <c r="D194" s="151" t="s">
        <v>162</v>
      </c>
      <c r="E194" s="166" t="s">
        <v>3</v>
      </c>
      <c r="F194" s="167" t="s">
        <v>1416</v>
      </c>
      <c r="H194" s="166" t="s">
        <v>3</v>
      </c>
      <c r="I194" s="168"/>
      <c r="L194" s="165"/>
      <c r="M194" s="169"/>
      <c r="T194" s="170"/>
      <c r="AT194" s="166" t="s">
        <v>162</v>
      </c>
      <c r="AU194" s="166" t="s">
        <v>79</v>
      </c>
      <c r="AV194" s="14" t="s">
        <v>77</v>
      </c>
      <c r="AW194" s="14" t="s">
        <v>30</v>
      </c>
      <c r="AX194" s="14" t="s">
        <v>69</v>
      </c>
      <c r="AY194" s="166" t="s">
        <v>151</v>
      </c>
    </row>
    <row r="195" spans="2:65" s="12" customFormat="1" ht="11.25">
      <c r="B195" s="150"/>
      <c r="D195" s="151" t="s">
        <v>162</v>
      </c>
      <c r="E195" s="152" t="s">
        <v>3</v>
      </c>
      <c r="F195" s="153" t="s">
        <v>1474</v>
      </c>
      <c r="H195" s="154">
        <v>3.9769999999999999</v>
      </c>
      <c r="I195" s="155"/>
      <c r="L195" s="150"/>
      <c r="M195" s="156"/>
      <c r="T195" s="157"/>
      <c r="AT195" s="152" t="s">
        <v>162</v>
      </c>
      <c r="AU195" s="152" t="s">
        <v>79</v>
      </c>
      <c r="AV195" s="12" t="s">
        <v>79</v>
      </c>
      <c r="AW195" s="12" t="s">
        <v>30</v>
      </c>
      <c r="AX195" s="12" t="s">
        <v>69</v>
      </c>
      <c r="AY195" s="152" t="s">
        <v>151</v>
      </c>
    </row>
    <row r="196" spans="2:65" s="13" customFormat="1" ht="11.25">
      <c r="B196" s="158"/>
      <c r="D196" s="151" t="s">
        <v>162</v>
      </c>
      <c r="E196" s="159" t="s">
        <v>3</v>
      </c>
      <c r="F196" s="160" t="s">
        <v>167</v>
      </c>
      <c r="H196" s="161">
        <v>3.9769999999999999</v>
      </c>
      <c r="I196" s="162"/>
      <c r="L196" s="158"/>
      <c r="M196" s="163"/>
      <c r="T196" s="164"/>
      <c r="AT196" s="159" t="s">
        <v>162</v>
      </c>
      <c r="AU196" s="159" t="s">
        <v>79</v>
      </c>
      <c r="AV196" s="13" t="s">
        <v>158</v>
      </c>
      <c r="AW196" s="13" t="s">
        <v>30</v>
      </c>
      <c r="AX196" s="13" t="s">
        <v>77</v>
      </c>
      <c r="AY196" s="159" t="s">
        <v>151</v>
      </c>
    </row>
    <row r="197" spans="2:65" s="1" customFormat="1" ht="16.5" customHeight="1">
      <c r="B197" s="132"/>
      <c r="C197" s="133" t="s">
        <v>8</v>
      </c>
      <c r="D197" s="133" t="s">
        <v>153</v>
      </c>
      <c r="E197" s="134" t="s">
        <v>1475</v>
      </c>
      <c r="F197" s="135" t="s">
        <v>1476</v>
      </c>
      <c r="G197" s="136" t="s">
        <v>230</v>
      </c>
      <c r="H197" s="137">
        <v>85</v>
      </c>
      <c r="I197" s="138"/>
      <c r="J197" s="139">
        <f>ROUND(I197*H197,2)</f>
        <v>0</v>
      </c>
      <c r="K197" s="135" t="s">
        <v>171</v>
      </c>
      <c r="L197" s="33"/>
      <c r="M197" s="140" t="s">
        <v>3</v>
      </c>
      <c r="N197" s="141" t="s">
        <v>40</v>
      </c>
      <c r="P197" s="142">
        <f>O197*H197</f>
        <v>0</v>
      </c>
      <c r="Q197" s="142">
        <v>0</v>
      </c>
      <c r="R197" s="142">
        <f>Q197*H197</f>
        <v>0</v>
      </c>
      <c r="S197" s="142">
        <v>0</v>
      </c>
      <c r="T197" s="143">
        <f>S197*H197</f>
        <v>0</v>
      </c>
      <c r="AR197" s="144" t="s">
        <v>158</v>
      </c>
      <c r="AT197" s="144" t="s">
        <v>153</v>
      </c>
      <c r="AU197" s="144" t="s">
        <v>79</v>
      </c>
      <c r="AY197" s="18" t="s">
        <v>151</v>
      </c>
      <c r="BE197" s="145">
        <f>IF(N197="základní",J197,0)</f>
        <v>0</v>
      </c>
      <c r="BF197" s="145">
        <f>IF(N197="snížená",J197,0)</f>
        <v>0</v>
      </c>
      <c r="BG197" s="145">
        <f>IF(N197="zákl. přenesená",J197,0)</f>
        <v>0</v>
      </c>
      <c r="BH197" s="145">
        <f>IF(N197="sníž. přenesená",J197,0)</f>
        <v>0</v>
      </c>
      <c r="BI197" s="145">
        <f>IF(N197="nulová",J197,0)</f>
        <v>0</v>
      </c>
      <c r="BJ197" s="18" t="s">
        <v>77</v>
      </c>
      <c r="BK197" s="145">
        <f>ROUND(I197*H197,2)</f>
        <v>0</v>
      </c>
      <c r="BL197" s="18" t="s">
        <v>158</v>
      </c>
      <c r="BM197" s="144" t="s">
        <v>1477</v>
      </c>
    </row>
    <row r="198" spans="2:65" s="1" customFormat="1" ht="11.25">
      <c r="B198" s="33"/>
      <c r="D198" s="146" t="s">
        <v>160</v>
      </c>
      <c r="F198" s="147" t="s">
        <v>1478</v>
      </c>
      <c r="I198" s="148"/>
      <c r="L198" s="33"/>
      <c r="M198" s="149"/>
      <c r="T198" s="54"/>
      <c r="AT198" s="18" t="s">
        <v>160</v>
      </c>
      <c r="AU198" s="18" t="s">
        <v>79</v>
      </c>
    </row>
    <row r="199" spans="2:65" s="14" customFormat="1" ht="11.25">
      <c r="B199" s="165"/>
      <c r="D199" s="151" t="s">
        <v>162</v>
      </c>
      <c r="E199" s="166" t="s">
        <v>3</v>
      </c>
      <c r="F199" s="167" t="s">
        <v>1479</v>
      </c>
      <c r="H199" s="166" t="s">
        <v>3</v>
      </c>
      <c r="I199" s="168"/>
      <c r="L199" s="165"/>
      <c r="M199" s="169"/>
      <c r="T199" s="170"/>
      <c r="AT199" s="166" t="s">
        <v>162</v>
      </c>
      <c r="AU199" s="166" t="s">
        <v>79</v>
      </c>
      <c r="AV199" s="14" t="s">
        <v>77</v>
      </c>
      <c r="AW199" s="14" t="s">
        <v>30</v>
      </c>
      <c r="AX199" s="14" t="s">
        <v>69</v>
      </c>
      <c r="AY199" s="166" t="s">
        <v>151</v>
      </c>
    </row>
    <row r="200" spans="2:65" s="12" customFormat="1" ht="11.25">
      <c r="B200" s="150"/>
      <c r="D200" s="151" t="s">
        <v>162</v>
      </c>
      <c r="E200" s="152" t="s">
        <v>3</v>
      </c>
      <c r="F200" s="153" t="s">
        <v>716</v>
      </c>
      <c r="H200" s="154">
        <v>85</v>
      </c>
      <c r="I200" s="155"/>
      <c r="L200" s="150"/>
      <c r="M200" s="156"/>
      <c r="T200" s="157"/>
      <c r="AT200" s="152" t="s">
        <v>162</v>
      </c>
      <c r="AU200" s="152" t="s">
        <v>79</v>
      </c>
      <c r="AV200" s="12" t="s">
        <v>79</v>
      </c>
      <c r="AW200" s="12" t="s">
        <v>30</v>
      </c>
      <c r="AX200" s="12" t="s">
        <v>69</v>
      </c>
      <c r="AY200" s="152" t="s">
        <v>151</v>
      </c>
    </row>
    <row r="201" spans="2:65" s="13" customFormat="1" ht="11.25">
      <c r="B201" s="158"/>
      <c r="D201" s="151" t="s">
        <v>162</v>
      </c>
      <c r="E201" s="159" t="s">
        <v>3</v>
      </c>
      <c r="F201" s="160" t="s">
        <v>167</v>
      </c>
      <c r="H201" s="161">
        <v>85</v>
      </c>
      <c r="I201" s="162"/>
      <c r="L201" s="158"/>
      <c r="M201" s="163"/>
      <c r="T201" s="164"/>
      <c r="AT201" s="159" t="s">
        <v>162</v>
      </c>
      <c r="AU201" s="159" t="s">
        <v>79</v>
      </c>
      <c r="AV201" s="13" t="s">
        <v>158</v>
      </c>
      <c r="AW201" s="13" t="s">
        <v>30</v>
      </c>
      <c r="AX201" s="13" t="s">
        <v>77</v>
      </c>
      <c r="AY201" s="159" t="s">
        <v>151</v>
      </c>
    </row>
    <row r="202" spans="2:65" s="1" customFormat="1" ht="16.5" customHeight="1">
      <c r="B202" s="132"/>
      <c r="C202" s="133" t="s">
        <v>338</v>
      </c>
      <c r="D202" s="133" t="s">
        <v>153</v>
      </c>
      <c r="E202" s="134" t="s">
        <v>1166</v>
      </c>
      <c r="F202" s="135" t="s">
        <v>1480</v>
      </c>
      <c r="G202" s="136" t="s">
        <v>230</v>
      </c>
      <c r="H202" s="137">
        <v>85</v>
      </c>
      <c r="I202" s="138"/>
      <c r="J202" s="139">
        <f>ROUND(I202*H202,2)</f>
        <v>0</v>
      </c>
      <c r="K202" s="135" t="s">
        <v>171</v>
      </c>
      <c r="L202" s="33"/>
      <c r="M202" s="140" t="s">
        <v>3</v>
      </c>
      <c r="N202" s="141" t="s">
        <v>40</v>
      </c>
      <c r="P202" s="142">
        <f>O202*H202</f>
        <v>0</v>
      </c>
      <c r="Q202" s="142">
        <v>0</v>
      </c>
      <c r="R202" s="142">
        <f>Q202*H202</f>
        <v>0</v>
      </c>
      <c r="S202" s="142">
        <v>0</v>
      </c>
      <c r="T202" s="143">
        <f>S202*H202</f>
        <v>0</v>
      </c>
      <c r="AR202" s="144" t="s">
        <v>158</v>
      </c>
      <c r="AT202" s="144" t="s">
        <v>153</v>
      </c>
      <c r="AU202" s="144" t="s">
        <v>79</v>
      </c>
      <c r="AY202" s="18" t="s">
        <v>151</v>
      </c>
      <c r="BE202" s="145">
        <f>IF(N202="základní",J202,0)</f>
        <v>0</v>
      </c>
      <c r="BF202" s="145">
        <f>IF(N202="snížená",J202,0)</f>
        <v>0</v>
      </c>
      <c r="BG202" s="145">
        <f>IF(N202="zákl. přenesená",J202,0)</f>
        <v>0</v>
      </c>
      <c r="BH202" s="145">
        <f>IF(N202="sníž. přenesená",J202,0)</f>
        <v>0</v>
      </c>
      <c r="BI202" s="145">
        <f>IF(N202="nulová",J202,0)</f>
        <v>0</v>
      </c>
      <c r="BJ202" s="18" t="s">
        <v>77</v>
      </c>
      <c r="BK202" s="145">
        <f>ROUND(I202*H202,2)</f>
        <v>0</v>
      </c>
      <c r="BL202" s="18" t="s">
        <v>158</v>
      </c>
      <c r="BM202" s="144" t="s">
        <v>1481</v>
      </c>
    </row>
    <row r="203" spans="2:65" s="1" customFormat="1" ht="11.25">
      <c r="B203" s="33"/>
      <c r="D203" s="146" t="s">
        <v>160</v>
      </c>
      <c r="F203" s="147" t="s">
        <v>1482</v>
      </c>
      <c r="I203" s="148"/>
      <c r="L203" s="33"/>
      <c r="M203" s="149"/>
      <c r="T203" s="54"/>
      <c r="AT203" s="18" t="s">
        <v>160</v>
      </c>
      <c r="AU203" s="18" t="s">
        <v>79</v>
      </c>
    </row>
    <row r="204" spans="2:65" s="14" customFormat="1" ht="11.25">
      <c r="B204" s="165"/>
      <c r="D204" s="151" t="s">
        <v>162</v>
      </c>
      <c r="E204" s="166" t="s">
        <v>3</v>
      </c>
      <c r="F204" s="167" t="s">
        <v>1479</v>
      </c>
      <c r="H204" s="166" t="s">
        <v>3</v>
      </c>
      <c r="I204" s="168"/>
      <c r="L204" s="165"/>
      <c r="M204" s="169"/>
      <c r="T204" s="170"/>
      <c r="AT204" s="166" t="s">
        <v>162</v>
      </c>
      <c r="AU204" s="166" t="s">
        <v>79</v>
      </c>
      <c r="AV204" s="14" t="s">
        <v>77</v>
      </c>
      <c r="AW204" s="14" t="s">
        <v>30</v>
      </c>
      <c r="AX204" s="14" t="s">
        <v>69</v>
      </c>
      <c r="AY204" s="166" t="s">
        <v>151</v>
      </c>
    </row>
    <row r="205" spans="2:65" s="12" customFormat="1" ht="11.25">
      <c r="B205" s="150"/>
      <c r="D205" s="151" t="s">
        <v>162</v>
      </c>
      <c r="E205" s="152" t="s">
        <v>3</v>
      </c>
      <c r="F205" s="153" t="s">
        <v>716</v>
      </c>
      <c r="H205" s="154">
        <v>85</v>
      </c>
      <c r="I205" s="155"/>
      <c r="L205" s="150"/>
      <c r="M205" s="156"/>
      <c r="T205" s="157"/>
      <c r="AT205" s="152" t="s">
        <v>162</v>
      </c>
      <c r="AU205" s="152" t="s">
        <v>79</v>
      </c>
      <c r="AV205" s="12" t="s">
        <v>79</v>
      </c>
      <c r="AW205" s="12" t="s">
        <v>30</v>
      </c>
      <c r="AX205" s="12" t="s">
        <v>69</v>
      </c>
      <c r="AY205" s="152" t="s">
        <v>151</v>
      </c>
    </row>
    <row r="206" spans="2:65" s="13" customFormat="1" ht="11.25">
      <c r="B206" s="158"/>
      <c r="D206" s="151" t="s">
        <v>162</v>
      </c>
      <c r="E206" s="159" t="s">
        <v>3</v>
      </c>
      <c r="F206" s="160" t="s">
        <v>167</v>
      </c>
      <c r="H206" s="161">
        <v>85</v>
      </c>
      <c r="I206" s="162"/>
      <c r="L206" s="158"/>
      <c r="M206" s="163"/>
      <c r="T206" s="164"/>
      <c r="AT206" s="159" t="s">
        <v>162</v>
      </c>
      <c r="AU206" s="159" t="s">
        <v>79</v>
      </c>
      <c r="AV206" s="13" t="s">
        <v>158</v>
      </c>
      <c r="AW206" s="13" t="s">
        <v>30</v>
      </c>
      <c r="AX206" s="13" t="s">
        <v>77</v>
      </c>
      <c r="AY206" s="159" t="s">
        <v>151</v>
      </c>
    </row>
    <row r="207" spans="2:65" s="1" customFormat="1" ht="16.5" customHeight="1">
      <c r="B207" s="132"/>
      <c r="C207" s="172" t="s">
        <v>343</v>
      </c>
      <c r="D207" s="172" t="s">
        <v>436</v>
      </c>
      <c r="E207" s="173" t="s">
        <v>1170</v>
      </c>
      <c r="F207" s="174" t="s">
        <v>1171</v>
      </c>
      <c r="G207" s="175" t="s">
        <v>479</v>
      </c>
      <c r="H207" s="176">
        <v>2.9329999999999998</v>
      </c>
      <c r="I207" s="177"/>
      <c r="J207" s="178">
        <f>ROUND(I207*H207,2)</f>
        <v>0</v>
      </c>
      <c r="K207" s="174" t="s">
        <v>171</v>
      </c>
      <c r="L207" s="179"/>
      <c r="M207" s="180" t="s">
        <v>3</v>
      </c>
      <c r="N207" s="181" t="s">
        <v>40</v>
      </c>
      <c r="P207" s="142">
        <f>O207*H207</f>
        <v>0</v>
      </c>
      <c r="Q207" s="142">
        <v>1E-3</v>
      </c>
      <c r="R207" s="142">
        <f>Q207*H207</f>
        <v>2.9329999999999998E-3</v>
      </c>
      <c r="S207" s="142">
        <v>0</v>
      </c>
      <c r="T207" s="143">
        <f>S207*H207</f>
        <v>0</v>
      </c>
      <c r="AR207" s="144" t="s">
        <v>214</v>
      </c>
      <c r="AT207" s="144" t="s">
        <v>436</v>
      </c>
      <c r="AU207" s="144" t="s">
        <v>79</v>
      </c>
      <c r="AY207" s="18" t="s">
        <v>151</v>
      </c>
      <c r="BE207" s="145">
        <f>IF(N207="základní",J207,0)</f>
        <v>0</v>
      </c>
      <c r="BF207" s="145">
        <f>IF(N207="snížená",J207,0)</f>
        <v>0</v>
      </c>
      <c r="BG207" s="145">
        <f>IF(N207="zákl. přenesená",J207,0)</f>
        <v>0</v>
      </c>
      <c r="BH207" s="145">
        <f>IF(N207="sníž. přenesená",J207,0)</f>
        <v>0</v>
      </c>
      <c r="BI207" s="145">
        <f>IF(N207="nulová",J207,0)</f>
        <v>0</v>
      </c>
      <c r="BJ207" s="18" t="s">
        <v>77</v>
      </c>
      <c r="BK207" s="145">
        <f>ROUND(I207*H207,2)</f>
        <v>0</v>
      </c>
      <c r="BL207" s="18" t="s">
        <v>158</v>
      </c>
      <c r="BM207" s="144" t="s">
        <v>1483</v>
      </c>
    </row>
    <row r="208" spans="2:65" s="14" customFormat="1" ht="11.25">
      <c r="B208" s="165"/>
      <c r="D208" s="151" t="s">
        <v>162</v>
      </c>
      <c r="E208" s="166" t="s">
        <v>3</v>
      </c>
      <c r="F208" s="167" t="s">
        <v>1484</v>
      </c>
      <c r="H208" s="166" t="s">
        <v>3</v>
      </c>
      <c r="I208" s="168"/>
      <c r="L208" s="165"/>
      <c r="M208" s="169"/>
      <c r="T208" s="170"/>
      <c r="AT208" s="166" t="s">
        <v>162</v>
      </c>
      <c r="AU208" s="166" t="s">
        <v>79</v>
      </c>
      <c r="AV208" s="14" t="s">
        <v>77</v>
      </c>
      <c r="AW208" s="14" t="s">
        <v>30</v>
      </c>
      <c r="AX208" s="14" t="s">
        <v>69</v>
      </c>
      <c r="AY208" s="166" t="s">
        <v>151</v>
      </c>
    </row>
    <row r="209" spans="2:65" s="12" customFormat="1" ht="11.25">
      <c r="B209" s="150"/>
      <c r="D209" s="151" t="s">
        <v>162</v>
      </c>
      <c r="E209" s="152" t="s">
        <v>3</v>
      </c>
      <c r="F209" s="153" t="s">
        <v>1485</v>
      </c>
      <c r="H209" s="154">
        <v>2.9329999999999998</v>
      </c>
      <c r="I209" s="155"/>
      <c r="L209" s="150"/>
      <c r="M209" s="156"/>
      <c r="T209" s="157"/>
      <c r="AT209" s="152" t="s">
        <v>162</v>
      </c>
      <c r="AU209" s="152" t="s">
        <v>79</v>
      </c>
      <c r="AV209" s="12" t="s">
        <v>79</v>
      </c>
      <c r="AW209" s="12" t="s">
        <v>30</v>
      </c>
      <c r="AX209" s="12" t="s">
        <v>69</v>
      </c>
      <c r="AY209" s="152" t="s">
        <v>151</v>
      </c>
    </row>
    <row r="210" spans="2:65" s="13" customFormat="1" ht="11.25">
      <c r="B210" s="158"/>
      <c r="D210" s="151" t="s">
        <v>162</v>
      </c>
      <c r="E210" s="159" t="s">
        <v>3</v>
      </c>
      <c r="F210" s="160" t="s">
        <v>167</v>
      </c>
      <c r="H210" s="161">
        <v>2.9329999999999998</v>
      </c>
      <c r="I210" s="162"/>
      <c r="L210" s="158"/>
      <c r="M210" s="163"/>
      <c r="T210" s="164"/>
      <c r="AT210" s="159" t="s">
        <v>162</v>
      </c>
      <c r="AU210" s="159" t="s">
        <v>79</v>
      </c>
      <c r="AV210" s="13" t="s">
        <v>158</v>
      </c>
      <c r="AW210" s="13" t="s">
        <v>30</v>
      </c>
      <c r="AX210" s="13" t="s">
        <v>77</v>
      </c>
      <c r="AY210" s="159" t="s">
        <v>151</v>
      </c>
    </row>
    <row r="211" spans="2:65" s="1" customFormat="1" ht="16.5" customHeight="1">
      <c r="B211" s="132"/>
      <c r="C211" s="133" t="s">
        <v>347</v>
      </c>
      <c r="D211" s="133" t="s">
        <v>153</v>
      </c>
      <c r="E211" s="134" t="s">
        <v>1486</v>
      </c>
      <c r="F211" s="135" t="s">
        <v>1487</v>
      </c>
      <c r="G211" s="136" t="s">
        <v>230</v>
      </c>
      <c r="H211" s="137">
        <v>10</v>
      </c>
      <c r="I211" s="138"/>
      <c r="J211" s="139">
        <f>ROUND(I211*H211,2)</f>
        <v>0</v>
      </c>
      <c r="K211" s="135" t="s">
        <v>171</v>
      </c>
      <c r="L211" s="33"/>
      <c r="M211" s="140" t="s">
        <v>3</v>
      </c>
      <c r="N211" s="141" t="s">
        <v>40</v>
      </c>
      <c r="P211" s="142">
        <f>O211*H211</f>
        <v>0</v>
      </c>
      <c r="Q211" s="142">
        <v>0</v>
      </c>
      <c r="R211" s="142">
        <f>Q211*H211</f>
        <v>0</v>
      </c>
      <c r="S211" s="142">
        <v>0</v>
      </c>
      <c r="T211" s="143">
        <f>S211*H211</f>
        <v>0</v>
      </c>
      <c r="AR211" s="144" t="s">
        <v>158</v>
      </c>
      <c r="AT211" s="144" t="s">
        <v>153</v>
      </c>
      <c r="AU211" s="144" t="s">
        <v>79</v>
      </c>
      <c r="AY211" s="18" t="s">
        <v>151</v>
      </c>
      <c r="BE211" s="145">
        <f>IF(N211="základní",J211,0)</f>
        <v>0</v>
      </c>
      <c r="BF211" s="145">
        <f>IF(N211="snížená",J211,0)</f>
        <v>0</v>
      </c>
      <c r="BG211" s="145">
        <f>IF(N211="zákl. přenesená",J211,0)</f>
        <v>0</v>
      </c>
      <c r="BH211" s="145">
        <f>IF(N211="sníž. přenesená",J211,0)</f>
        <v>0</v>
      </c>
      <c r="BI211" s="145">
        <f>IF(N211="nulová",J211,0)</f>
        <v>0</v>
      </c>
      <c r="BJ211" s="18" t="s">
        <v>77</v>
      </c>
      <c r="BK211" s="145">
        <f>ROUND(I211*H211,2)</f>
        <v>0</v>
      </c>
      <c r="BL211" s="18" t="s">
        <v>158</v>
      </c>
      <c r="BM211" s="144" t="s">
        <v>1488</v>
      </c>
    </row>
    <row r="212" spans="2:65" s="1" customFormat="1" ht="11.25">
      <c r="B212" s="33"/>
      <c r="D212" s="146" t="s">
        <v>160</v>
      </c>
      <c r="F212" s="147" t="s">
        <v>1489</v>
      </c>
      <c r="I212" s="148"/>
      <c r="L212" s="33"/>
      <c r="M212" s="149"/>
      <c r="T212" s="54"/>
      <c r="AT212" s="18" t="s">
        <v>160</v>
      </c>
      <c r="AU212" s="18" t="s">
        <v>79</v>
      </c>
    </row>
    <row r="213" spans="2:65" s="14" customFormat="1" ht="11.25">
      <c r="B213" s="165"/>
      <c r="D213" s="151" t="s">
        <v>162</v>
      </c>
      <c r="E213" s="166" t="s">
        <v>3</v>
      </c>
      <c r="F213" s="167" t="s">
        <v>1490</v>
      </c>
      <c r="H213" s="166" t="s">
        <v>3</v>
      </c>
      <c r="I213" s="168"/>
      <c r="L213" s="165"/>
      <c r="M213" s="169"/>
      <c r="T213" s="170"/>
      <c r="AT213" s="166" t="s">
        <v>162</v>
      </c>
      <c r="AU213" s="166" t="s">
        <v>79</v>
      </c>
      <c r="AV213" s="14" t="s">
        <v>77</v>
      </c>
      <c r="AW213" s="14" t="s">
        <v>30</v>
      </c>
      <c r="AX213" s="14" t="s">
        <v>69</v>
      </c>
      <c r="AY213" s="166" t="s">
        <v>151</v>
      </c>
    </row>
    <row r="214" spans="2:65" s="12" customFormat="1" ht="11.25">
      <c r="B214" s="150"/>
      <c r="D214" s="151" t="s">
        <v>162</v>
      </c>
      <c r="E214" s="152" t="s">
        <v>3</v>
      </c>
      <c r="F214" s="153" t="s">
        <v>1491</v>
      </c>
      <c r="H214" s="154">
        <v>10</v>
      </c>
      <c r="I214" s="155"/>
      <c r="L214" s="150"/>
      <c r="M214" s="156"/>
      <c r="T214" s="157"/>
      <c r="AT214" s="152" t="s">
        <v>162</v>
      </c>
      <c r="AU214" s="152" t="s">
        <v>79</v>
      </c>
      <c r="AV214" s="12" t="s">
        <v>79</v>
      </c>
      <c r="AW214" s="12" t="s">
        <v>30</v>
      </c>
      <c r="AX214" s="12" t="s">
        <v>69</v>
      </c>
      <c r="AY214" s="152" t="s">
        <v>151</v>
      </c>
    </row>
    <row r="215" spans="2:65" s="13" customFormat="1" ht="11.25">
      <c r="B215" s="158"/>
      <c r="D215" s="151" t="s">
        <v>162</v>
      </c>
      <c r="E215" s="159" t="s">
        <v>3</v>
      </c>
      <c r="F215" s="160" t="s">
        <v>167</v>
      </c>
      <c r="H215" s="161">
        <v>10</v>
      </c>
      <c r="I215" s="162"/>
      <c r="L215" s="158"/>
      <c r="M215" s="163"/>
      <c r="T215" s="164"/>
      <c r="AT215" s="159" t="s">
        <v>162</v>
      </c>
      <c r="AU215" s="159" t="s">
        <v>79</v>
      </c>
      <c r="AV215" s="13" t="s">
        <v>158</v>
      </c>
      <c r="AW215" s="13" t="s">
        <v>30</v>
      </c>
      <c r="AX215" s="13" t="s">
        <v>77</v>
      </c>
      <c r="AY215" s="159" t="s">
        <v>151</v>
      </c>
    </row>
    <row r="216" spans="2:65" s="1" customFormat="1" ht="16.5" customHeight="1">
      <c r="B216" s="132"/>
      <c r="C216" s="172" t="s">
        <v>359</v>
      </c>
      <c r="D216" s="172" t="s">
        <v>436</v>
      </c>
      <c r="E216" s="173" t="s">
        <v>1170</v>
      </c>
      <c r="F216" s="174" t="s">
        <v>1171</v>
      </c>
      <c r="G216" s="175" t="s">
        <v>479</v>
      </c>
      <c r="H216" s="176">
        <v>0.34499999999999997</v>
      </c>
      <c r="I216" s="177"/>
      <c r="J216" s="178">
        <f>ROUND(I216*H216,2)</f>
        <v>0</v>
      </c>
      <c r="K216" s="174" t="s">
        <v>171</v>
      </c>
      <c r="L216" s="179"/>
      <c r="M216" s="180" t="s">
        <v>3</v>
      </c>
      <c r="N216" s="181" t="s">
        <v>40</v>
      </c>
      <c r="P216" s="142">
        <f>O216*H216</f>
        <v>0</v>
      </c>
      <c r="Q216" s="142">
        <v>1E-3</v>
      </c>
      <c r="R216" s="142">
        <f>Q216*H216</f>
        <v>3.4499999999999998E-4</v>
      </c>
      <c r="S216" s="142">
        <v>0</v>
      </c>
      <c r="T216" s="143">
        <f>S216*H216</f>
        <v>0</v>
      </c>
      <c r="AR216" s="144" t="s">
        <v>214</v>
      </c>
      <c r="AT216" s="144" t="s">
        <v>436</v>
      </c>
      <c r="AU216" s="144" t="s">
        <v>79</v>
      </c>
      <c r="AY216" s="18" t="s">
        <v>151</v>
      </c>
      <c r="BE216" s="145">
        <f>IF(N216="základní",J216,0)</f>
        <v>0</v>
      </c>
      <c r="BF216" s="145">
        <f>IF(N216="snížená",J216,0)</f>
        <v>0</v>
      </c>
      <c r="BG216" s="145">
        <f>IF(N216="zákl. přenesená",J216,0)</f>
        <v>0</v>
      </c>
      <c r="BH216" s="145">
        <f>IF(N216="sníž. přenesená",J216,0)</f>
        <v>0</v>
      </c>
      <c r="BI216" s="145">
        <f>IF(N216="nulová",J216,0)</f>
        <v>0</v>
      </c>
      <c r="BJ216" s="18" t="s">
        <v>77</v>
      </c>
      <c r="BK216" s="145">
        <f>ROUND(I216*H216,2)</f>
        <v>0</v>
      </c>
      <c r="BL216" s="18" t="s">
        <v>158</v>
      </c>
      <c r="BM216" s="144" t="s">
        <v>1492</v>
      </c>
    </row>
    <row r="217" spans="2:65" s="14" customFormat="1" ht="11.25">
      <c r="B217" s="165"/>
      <c r="D217" s="151" t="s">
        <v>162</v>
      </c>
      <c r="E217" s="166" t="s">
        <v>3</v>
      </c>
      <c r="F217" s="167" t="s">
        <v>1493</v>
      </c>
      <c r="H217" s="166" t="s">
        <v>3</v>
      </c>
      <c r="I217" s="168"/>
      <c r="L217" s="165"/>
      <c r="M217" s="169"/>
      <c r="T217" s="170"/>
      <c r="AT217" s="166" t="s">
        <v>162</v>
      </c>
      <c r="AU217" s="166" t="s">
        <v>79</v>
      </c>
      <c r="AV217" s="14" t="s">
        <v>77</v>
      </c>
      <c r="AW217" s="14" t="s">
        <v>30</v>
      </c>
      <c r="AX217" s="14" t="s">
        <v>69</v>
      </c>
      <c r="AY217" s="166" t="s">
        <v>151</v>
      </c>
    </row>
    <row r="218" spans="2:65" s="12" customFormat="1" ht="11.25">
      <c r="B218" s="150"/>
      <c r="D218" s="151" t="s">
        <v>162</v>
      </c>
      <c r="E218" s="152" t="s">
        <v>3</v>
      </c>
      <c r="F218" s="153" t="s">
        <v>1494</v>
      </c>
      <c r="H218" s="154">
        <v>0.34499999999999997</v>
      </c>
      <c r="I218" s="155"/>
      <c r="L218" s="150"/>
      <c r="M218" s="156"/>
      <c r="T218" s="157"/>
      <c r="AT218" s="152" t="s">
        <v>162</v>
      </c>
      <c r="AU218" s="152" t="s">
        <v>79</v>
      </c>
      <c r="AV218" s="12" t="s">
        <v>79</v>
      </c>
      <c r="AW218" s="12" t="s">
        <v>30</v>
      </c>
      <c r="AX218" s="12" t="s">
        <v>69</v>
      </c>
      <c r="AY218" s="152" t="s">
        <v>151</v>
      </c>
    </row>
    <row r="219" spans="2:65" s="13" customFormat="1" ht="11.25">
      <c r="B219" s="158"/>
      <c r="D219" s="151" t="s">
        <v>162</v>
      </c>
      <c r="E219" s="159" t="s">
        <v>3</v>
      </c>
      <c r="F219" s="160" t="s">
        <v>167</v>
      </c>
      <c r="H219" s="161">
        <v>0.34499999999999997</v>
      </c>
      <c r="I219" s="162"/>
      <c r="L219" s="158"/>
      <c r="M219" s="163"/>
      <c r="T219" s="164"/>
      <c r="AT219" s="159" t="s">
        <v>162</v>
      </c>
      <c r="AU219" s="159" t="s">
        <v>79</v>
      </c>
      <c r="AV219" s="13" t="s">
        <v>158</v>
      </c>
      <c r="AW219" s="13" t="s">
        <v>30</v>
      </c>
      <c r="AX219" s="13" t="s">
        <v>77</v>
      </c>
      <c r="AY219" s="159" t="s">
        <v>151</v>
      </c>
    </row>
    <row r="220" spans="2:65" s="1" customFormat="1" ht="16.5" customHeight="1">
      <c r="B220" s="132"/>
      <c r="C220" s="133" t="s">
        <v>367</v>
      </c>
      <c r="D220" s="133" t="s">
        <v>153</v>
      </c>
      <c r="E220" s="134" t="s">
        <v>1174</v>
      </c>
      <c r="F220" s="135" t="s">
        <v>1495</v>
      </c>
      <c r="G220" s="136" t="s">
        <v>230</v>
      </c>
      <c r="H220" s="137">
        <v>85</v>
      </c>
      <c r="I220" s="138"/>
      <c r="J220" s="139">
        <f>ROUND(I220*H220,2)</f>
        <v>0</v>
      </c>
      <c r="K220" s="135" t="s">
        <v>171</v>
      </c>
      <c r="L220" s="33"/>
      <c r="M220" s="140" t="s">
        <v>3</v>
      </c>
      <c r="N220" s="141" t="s">
        <v>40</v>
      </c>
      <c r="P220" s="142">
        <f>O220*H220</f>
        <v>0</v>
      </c>
      <c r="Q220" s="142">
        <v>0</v>
      </c>
      <c r="R220" s="142">
        <f>Q220*H220</f>
        <v>0</v>
      </c>
      <c r="S220" s="142">
        <v>0</v>
      </c>
      <c r="T220" s="143">
        <f>S220*H220</f>
        <v>0</v>
      </c>
      <c r="AR220" s="144" t="s">
        <v>158</v>
      </c>
      <c r="AT220" s="144" t="s">
        <v>153</v>
      </c>
      <c r="AU220" s="144" t="s">
        <v>79</v>
      </c>
      <c r="AY220" s="18" t="s">
        <v>151</v>
      </c>
      <c r="BE220" s="145">
        <f>IF(N220="základní",J220,0)</f>
        <v>0</v>
      </c>
      <c r="BF220" s="145">
        <f>IF(N220="snížená",J220,0)</f>
        <v>0</v>
      </c>
      <c r="BG220" s="145">
        <f>IF(N220="zákl. přenesená",J220,0)</f>
        <v>0</v>
      </c>
      <c r="BH220" s="145">
        <f>IF(N220="sníž. přenesená",J220,0)</f>
        <v>0</v>
      </c>
      <c r="BI220" s="145">
        <f>IF(N220="nulová",J220,0)</f>
        <v>0</v>
      </c>
      <c r="BJ220" s="18" t="s">
        <v>77</v>
      </c>
      <c r="BK220" s="145">
        <f>ROUND(I220*H220,2)</f>
        <v>0</v>
      </c>
      <c r="BL220" s="18" t="s">
        <v>158</v>
      </c>
      <c r="BM220" s="144" t="s">
        <v>1496</v>
      </c>
    </row>
    <row r="221" spans="2:65" s="1" customFormat="1" ht="11.25">
      <c r="B221" s="33"/>
      <c r="D221" s="146" t="s">
        <v>160</v>
      </c>
      <c r="F221" s="147" t="s">
        <v>1497</v>
      </c>
      <c r="I221" s="148"/>
      <c r="L221" s="33"/>
      <c r="M221" s="149"/>
      <c r="T221" s="54"/>
      <c r="AT221" s="18" t="s">
        <v>160</v>
      </c>
      <c r="AU221" s="18" t="s">
        <v>79</v>
      </c>
    </row>
    <row r="222" spans="2:65" s="14" customFormat="1" ht="11.25">
      <c r="B222" s="165"/>
      <c r="D222" s="151" t="s">
        <v>162</v>
      </c>
      <c r="E222" s="166" t="s">
        <v>3</v>
      </c>
      <c r="F222" s="167" t="s">
        <v>1498</v>
      </c>
      <c r="H222" s="166" t="s">
        <v>3</v>
      </c>
      <c r="I222" s="168"/>
      <c r="L222" s="165"/>
      <c r="M222" s="169"/>
      <c r="T222" s="170"/>
      <c r="AT222" s="166" t="s">
        <v>162</v>
      </c>
      <c r="AU222" s="166" t="s">
        <v>79</v>
      </c>
      <c r="AV222" s="14" t="s">
        <v>77</v>
      </c>
      <c r="AW222" s="14" t="s">
        <v>30</v>
      </c>
      <c r="AX222" s="14" t="s">
        <v>69</v>
      </c>
      <c r="AY222" s="166" t="s">
        <v>151</v>
      </c>
    </row>
    <row r="223" spans="2:65" s="12" customFormat="1" ht="11.25">
      <c r="B223" s="150"/>
      <c r="D223" s="151" t="s">
        <v>162</v>
      </c>
      <c r="E223" s="152" t="s">
        <v>3</v>
      </c>
      <c r="F223" s="153" t="s">
        <v>716</v>
      </c>
      <c r="H223" s="154">
        <v>85</v>
      </c>
      <c r="I223" s="155"/>
      <c r="L223" s="150"/>
      <c r="M223" s="156"/>
      <c r="T223" s="157"/>
      <c r="AT223" s="152" t="s">
        <v>162</v>
      </c>
      <c r="AU223" s="152" t="s">
        <v>79</v>
      </c>
      <c r="AV223" s="12" t="s">
        <v>79</v>
      </c>
      <c r="AW223" s="12" t="s">
        <v>30</v>
      </c>
      <c r="AX223" s="12" t="s">
        <v>69</v>
      </c>
      <c r="AY223" s="152" t="s">
        <v>151</v>
      </c>
    </row>
    <row r="224" spans="2:65" s="13" customFormat="1" ht="11.25">
      <c r="B224" s="158"/>
      <c r="D224" s="151" t="s">
        <v>162</v>
      </c>
      <c r="E224" s="159" t="s">
        <v>3</v>
      </c>
      <c r="F224" s="160" t="s">
        <v>167</v>
      </c>
      <c r="H224" s="161">
        <v>85</v>
      </c>
      <c r="I224" s="162"/>
      <c r="L224" s="158"/>
      <c r="M224" s="163"/>
      <c r="T224" s="164"/>
      <c r="AT224" s="159" t="s">
        <v>162</v>
      </c>
      <c r="AU224" s="159" t="s">
        <v>79</v>
      </c>
      <c r="AV224" s="13" t="s">
        <v>158</v>
      </c>
      <c r="AW224" s="13" t="s">
        <v>30</v>
      </c>
      <c r="AX224" s="13" t="s">
        <v>77</v>
      </c>
      <c r="AY224" s="159" t="s">
        <v>151</v>
      </c>
    </row>
    <row r="225" spans="2:65" s="1" customFormat="1" ht="16.5" customHeight="1">
      <c r="B225" s="132"/>
      <c r="C225" s="133" t="s">
        <v>373</v>
      </c>
      <c r="D225" s="133" t="s">
        <v>153</v>
      </c>
      <c r="E225" s="134" t="s">
        <v>1499</v>
      </c>
      <c r="F225" s="135" t="s">
        <v>1500</v>
      </c>
      <c r="G225" s="136" t="s">
        <v>230</v>
      </c>
      <c r="H225" s="137">
        <v>476</v>
      </c>
      <c r="I225" s="138"/>
      <c r="J225" s="139">
        <f>ROUND(I225*H225,2)</f>
        <v>0</v>
      </c>
      <c r="K225" s="135" t="s">
        <v>171</v>
      </c>
      <c r="L225" s="33"/>
      <c r="M225" s="140" t="s">
        <v>3</v>
      </c>
      <c r="N225" s="141" t="s">
        <v>40</v>
      </c>
      <c r="P225" s="142">
        <f>O225*H225</f>
        <v>0</v>
      </c>
      <c r="Q225" s="142">
        <v>0</v>
      </c>
      <c r="R225" s="142">
        <f>Q225*H225</f>
        <v>0</v>
      </c>
      <c r="S225" s="142">
        <v>0</v>
      </c>
      <c r="T225" s="143">
        <f>S225*H225</f>
        <v>0</v>
      </c>
      <c r="AR225" s="144" t="s">
        <v>158</v>
      </c>
      <c r="AT225" s="144" t="s">
        <v>153</v>
      </c>
      <c r="AU225" s="144" t="s">
        <v>79</v>
      </c>
      <c r="AY225" s="18" t="s">
        <v>151</v>
      </c>
      <c r="BE225" s="145">
        <f>IF(N225="základní",J225,0)</f>
        <v>0</v>
      </c>
      <c r="BF225" s="145">
        <f>IF(N225="snížená",J225,0)</f>
        <v>0</v>
      </c>
      <c r="BG225" s="145">
        <f>IF(N225="zákl. přenesená",J225,0)</f>
        <v>0</v>
      </c>
      <c r="BH225" s="145">
        <f>IF(N225="sníž. přenesená",J225,0)</f>
        <v>0</v>
      </c>
      <c r="BI225" s="145">
        <f>IF(N225="nulová",J225,0)</f>
        <v>0</v>
      </c>
      <c r="BJ225" s="18" t="s">
        <v>77</v>
      </c>
      <c r="BK225" s="145">
        <f>ROUND(I225*H225,2)</f>
        <v>0</v>
      </c>
      <c r="BL225" s="18" t="s">
        <v>158</v>
      </c>
      <c r="BM225" s="144" t="s">
        <v>1501</v>
      </c>
    </row>
    <row r="226" spans="2:65" s="1" customFormat="1" ht="11.25">
      <c r="B226" s="33"/>
      <c r="D226" s="146" t="s">
        <v>160</v>
      </c>
      <c r="F226" s="147" t="s">
        <v>1502</v>
      </c>
      <c r="I226" s="148"/>
      <c r="L226" s="33"/>
      <c r="M226" s="149"/>
      <c r="T226" s="54"/>
      <c r="AT226" s="18" t="s">
        <v>160</v>
      </c>
      <c r="AU226" s="18" t="s">
        <v>79</v>
      </c>
    </row>
    <row r="227" spans="2:65" s="14" customFormat="1" ht="11.25">
      <c r="B227" s="165"/>
      <c r="D227" s="151" t="s">
        <v>162</v>
      </c>
      <c r="E227" s="166" t="s">
        <v>3</v>
      </c>
      <c r="F227" s="167" t="s">
        <v>1503</v>
      </c>
      <c r="H227" s="166" t="s">
        <v>3</v>
      </c>
      <c r="I227" s="168"/>
      <c r="L227" s="165"/>
      <c r="M227" s="169"/>
      <c r="T227" s="170"/>
      <c r="AT227" s="166" t="s">
        <v>162</v>
      </c>
      <c r="AU227" s="166" t="s">
        <v>79</v>
      </c>
      <c r="AV227" s="14" t="s">
        <v>77</v>
      </c>
      <c r="AW227" s="14" t="s">
        <v>30</v>
      </c>
      <c r="AX227" s="14" t="s">
        <v>69</v>
      </c>
      <c r="AY227" s="166" t="s">
        <v>151</v>
      </c>
    </row>
    <row r="228" spans="2:65" s="12" customFormat="1" ht="11.25">
      <c r="B228" s="150"/>
      <c r="D228" s="151" t="s">
        <v>162</v>
      </c>
      <c r="E228" s="152" t="s">
        <v>3</v>
      </c>
      <c r="F228" s="153" t="s">
        <v>1504</v>
      </c>
      <c r="H228" s="154">
        <v>476</v>
      </c>
      <c r="I228" s="155"/>
      <c r="L228" s="150"/>
      <c r="M228" s="156"/>
      <c r="T228" s="157"/>
      <c r="AT228" s="152" t="s">
        <v>162</v>
      </c>
      <c r="AU228" s="152" t="s">
        <v>79</v>
      </c>
      <c r="AV228" s="12" t="s">
        <v>79</v>
      </c>
      <c r="AW228" s="12" t="s">
        <v>30</v>
      </c>
      <c r="AX228" s="12" t="s">
        <v>69</v>
      </c>
      <c r="AY228" s="152" t="s">
        <v>151</v>
      </c>
    </row>
    <row r="229" spans="2:65" s="13" customFormat="1" ht="11.25">
      <c r="B229" s="158"/>
      <c r="D229" s="151" t="s">
        <v>162</v>
      </c>
      <c r="E229" s="159" t="s">
        <v>3</v>
      </c>
      <c r="F229" s="160" t="s">
        <v>167</v>
      </c>
      <c r="H229" s="161">
        <v>476</v>
      </c>
      <c r="I229" s="162"/>
      <c r="L229" s="158"/>
      <c r="M229" s="163"/>
      <c r="T229" s="164"/>
      <c r="AT229" s="159" t="s">
        <v>162</v>
      </c>
      <c r="AU229" s="159" t="s">
        <v>79</v>
      </c>
      <c r="AV229" s="13" t="s">
        <v>158</v>
      </c>
      <c r="AW229" s="13" t="s">
        <v>30</v>
      </c>
      <c r="AX229" s="13" t="s">
        <v>77</v>
      </c>
      <c r="AY229" s="159" t="s">
        <v>151</v>
      </c>
    </row>
    <row r="230" spans="2:65" s="1" customFormat="1" ht="16.5" customHeight="1">
      <c r="B230" s="132"/>
      <c r="C230" s="133" t="s">
        <v>378</v>
      </c>
      <c r="D230" s="133" t="s">
        <v>153</v>
      </c>
      <c r="E230" s="134" t="s">
        <v>1505</v>
      </c>
      <c r="F230" s="135" t="s">
        <v>1506</v>
      </c>
      <c r="G230" s="136" t="s">
        <v>230</v>
      </c>
      <c r="H230" s="137">
        <v>10</v>
      </c>
      <c r="I230" s="138"/>
      <c r="J230" s="139">
        <f>ROUND(I230*H230,2)</f>
        <v>0</v>
      </c>
      <c r="K230" s="135" t="s">
        <v>171</v>
      </c>
      <c r="L230" s="33"/>
      <c r="M230" s="140" t="s">
        <v>3</v>
      </c>
      <c r="N230" s="141" t="s">
        <v>40</v>
      </c>
      <c r="P230" s="142">
        <f>O230*H230</f>
        <v>0</v>
      </c>
      <c r="Q230" s="142">
        <v>0</v>
      </c>
      <c r="R230" s="142">
        <f>Q230*H230</f>
        <v>0</v>
      </c>
      <c r="S230" s="142">
        <v>0</v>
      </c>
      <c r="T230" s="143">
        <f>S230*H230</f>
        <v>0</v>
      </c>
      <c r="AR230" s="144" t="s">
        <v>158</v>
      </c>
      <c r="AT230" s="144" t="s">
        <v>153</v>
      </c>
      <c r="AU230" s="144" t="s">
        <v>79</v>
      </c>
      <c r="AY230" s="18" t="s">
        <v>151</v>
      </c>
      <c r="BE230" s="145">
        <f>IF(N230="základní",J230,0)</f>
        <v>0</v>
      </c>
      <c r="BF230" s="145">
        <f>IF(N230="snížená",J230,0)</f>
        <v>0</v>
      </c>
      <c r="BG230" s="145">
        <f>IF(N230="zákl. přenesená",J230,0)</f>
        <v>0</v>
      </c>
      <c r="BH230" s="145">
        <f>IF(N230="sníž. přenesená",J230,0)</f>
        <v>0</v>
      </c>
      <c r="BI230" s="145">
        <f>IF(N230="nulová",J230,0)</f>
        <v>0</v>
      </c>
      <c r="BJ230" s="18" t="s">
        <v>77</v>
      </c>
      <c r="BK230" s="145">
        <f>ROUND(I230*H230,2)</f>
        <v>0</v>
      </c>
      <c r="BL230" s="18" t="s">
        <v>158</v>
      </c>
      <c r="BM230" s="144" t="s">
        <v>1507</v>
      </c>
    </row>
    <row r="231" spans="2:65" s="1" customFormat="1" ht="11.25">
      <c r="B231" s="33"/>
      <c r="D231" s="146" t="s">
        <v>160</v>
      </c>
      <c r="F231" s="147" t="s">
        <v>1508</v>
      </c>
      <c r="I231" s="148"/>
      <c r="L231" s="33"/>
      <c r="M231" s="149"/>
      <c r="T231" s="54"/>
      <c r="AT231" s="18" t="s">
        <v>160</v>
      </c>
      <c r="AU231" s="18" t="s">
        <v>79</v>
      </c>
    </row>
    <row r="232" spans="2:65" s="14" customFormat="1" ht="11.25">
      <c r="B232" s="165"/>
      <c r="D232" s="151" t="s">
        <v>162</v>
      </c>
      <c r="E232" s="166" t="s">
        <v>3</v>
      </c>
      <c r="F232" s="167" t="s">
        <v>1498</v>
      </c>
      <c r="H232" s="166" t="s">
        <v>3</v>
      </c>
      <c r="I232" s="168"/>
      <c r="L232" s="165"/>
      <c r="M232" s="169"/>
      <c r="T232" s="170"/>
      <c r="AT232" s="166" t="s">
        <v>162</v>
      </c>
      <c r="AU232" s="166" t="s">
        <v>79</v>
      </c>
      <c r="AV232" s="14" t="s">
        <v>77</v>
      </c>
      <c r="AW232" s="14" t="s">
        <v>30</v>
      </c>
      <c r="AX232" s="14" t="s">
        <v>69</v>
      </c>
      <c r="AY232" s="166" t="s">
        <v>151</v>
      </c>
    </row>
    <row r="233" spans="2:65" s="12" customFormat="1" ht="11.25">
      <c r="B233" s="150"/>
      <c r="D233" s="151" t="s">
        <v>162</v>
      </c>
      <c r="E233" s="152" t="s">
        <v>3</v>
      </c>
      <c r="F233" s="153" t="s">
        <v>1491</v>
      </c>
      <c r="H233" s="154">
        <v>10</v>
      </c>
      <c r="I233" s="155"/>
      <c r="L233" s="150"/>
      <c r="M233" s="156"/>
      <c r="T233" s="157"/>
      <c r="AT233" s="152" t="s">
        <v>162</v>
      </c>
      <c r="AU233" s="152" t="s">
        <v>79</v>
      </c>
      <c r="AV233" s="12" t="s">
        <v>79</v>
      </c>
      <c r="AW233" s="12" t="s">
        <v>30</v>
      </c>
      <c r="AX233" s="12" t="s">
        <v>69</v>
      </c>
      <c r="AY233" s="152" t="s">
        <v>151</v>
      </c>
    </row>
    <row r="234" spans="2:65" s="13" customFormat="1" ht="11.25">
      <c r="B234" s="158"/>
      <c r="D234" s="151" t="s">
        <v>162</v>
      </c>
      <c r="E234" s="159" t="s">
        <v>3</v>
      </c>
      <c r="F234" s="160" t="s">
        <v>167</v>
      </c>
      <c r="H234" s="161">
        <v>10</v>
      </c>
      <c r="I234" s="162"/>
      <c r="L234" s="158"/>
      <c r="M234" s="163"/>
      <c r="T234" s="164"/>
      <c r="AT234" s="159" t="s">
        <v>162</v>
      </c>
      <c r="AU234" s="159" t="s">
        <v>79</v>
      </c>
      <c r="AV234" s="13" t="s">
        <v>158</v>
      </c>
      <c r="AW234" s="13" t="s">
        <v>30</v>
      </c>
      <c r="AX234" s="13" t="s">
        <v>77</v>
      </c>
      <c r="AY234" s="159" t="s">
        <v>151</v>
      </c>
    </row>
    <row r="235" spans="2:65" s="1" customFormat="1" ht="16.5" customHeight="1">
      <c r="B235" s="132"/>
      <c r="C235" s="133" t="s">
        <v>384</v>
      </c>
      <c r="D235" s="133" t="s">
        <v>153</v>
      </c>
      <c r="E235" s="134" t="s">
        <v>1509</v>
      </c>
      <c r="F235" s="135" t="s">
        <v>1510</v>
      </c>
      <c r="G235" s="136" t="s">
        <v>230</v>
      </c>
      <c r="H235" s="137">
        <v>10</v>
      </c>
      <c r="I235" s="138"/>
      <c r="J235" s="139">
        <f>ROUND(I235*H235,2)</f>
        <v>0</v>
      </c>
      <c r="K235" s="135" t="s">
        <v>171</v>
      </c>
      <c r="L235" s="33"/>
      <c r="M235" s="140" t="s">
        <v>3</v>
      </c>
      <c r="N235" s="141" t="s">
        <v>40</v>
      </c>
      <c r="P235" s="142">
        <f>O235*H235</f>
        <v>0</v>
      </c>
      <c r="Q235" s="142">
        <v>0</v>
      </c>
      <c r="R235" s="142">
        <f>Q235*H235</f>
        <v>0</v>
      </c>
      <c r="S235" s="142">
        <v>0</v>
      </c>
      <c r="T235" s="143">
        <f>S235*H235</f>
        <v>0</v>
      </c>
      <c r="AR235" s="144" t="s">
        <v>158</v>
      </c>
      <c r="AT235" s="144" t="s">
        <v>153</v>
      </c>
      <c r="AU235" s="144" t="s">
        <v>79</v>
      </c>
      <c r="AY235" s="18" t="s">
        <v>151</v>
      </c>
      <c r="BE235" s="145">
        <f>IF(N235="základní",J235,0)</f>
        <v>0</v>
      </c>
      <c r="BF235" s="145">
        <f>IF(N235="snížená",J235,0)</f>
        <v>0</v>
      </c>
      <c r="BG235" s="145">
        <f>IF(N235="zákl. přenesená",J235,0)</f>
        <v>0</v>
      </c>
      <c r="BH235" s="145">
        <f>IF(N235="sníž. přenesená",J235,0)</f>
        <v>0</v>
      </c>
      <c r="BI235" s="145">
        <f>IF(N235="nulová",J235,0)</f>
        <v>0</v>
      </c>
      <c r="BJ235" s="18" t="s">
        <v>77</v>
      </c>
      <c r="BK235" s="145">
        <f>ROUND(I235*H235,2)</f>
        <v>0</v>
      </c>
      <c r="BL235" s="18" t="s">
        <v>158</v>
      </c>
      <c r="BM235" s="144" t="s">
        <v>1511</v>
      </c>
    </row>
    <row r="236" spans="2:65" s="1" customFormat="1" ht="11.25">
      <c r="B236" s="33"/>
      <c r="D236" s="146" t="s">
        <v>160</v>
      </c>
      <c r="F236" s="147" t="s">
        <v>1512</v>
      </c>
      <c r="I236" s="148"/>
      <c r="L236" s="33"/>
      <c r="M236" s="149"/>
      <c r="T236" s="54"/>
      <c r="AT236" s="18" t="s">
        <v>160</v>
      </c>
      <c r="AU236" s="18" t="s">
        <v>79</v>
      </c>
    </row>
    <row r="237" spans="2:65" s="14" customFormat="1" ht="11.25">
      <c r="B237" s="165"/>
      <c r="D237" s="151" t="s">
        <v>162</v>
      </c>
      <c r="E237" s="166" t="s">
        <v>3</v>
      </c>
      <c r="F237" s="167" t="s">
        <v>1490</v>
      </c>
      <c r="H237" s="166" t="s">
        <v>3</v>
      </c>
      <c r="I237" s="168"/>
      <c r="L237" s="165"/>
      <c r="M237" s="169"/>
      <c r="T237" s="170"/>
      <c r="AT237" s="166" t="s">
        <v>162</v>
      </c>
      <c r="AU237" s="166" t="s">
        <v>79</v>
      </c>
      <c r="AV237" s="14" t="s">
        <v>77</v>
      </c>
      <c r="AW237" s="14" t="s">
        <v>30</v>
      </c>
      <c r="AX237" s="14" t="s">
        <v>69</v>
      </c>
      <c r="AY237" s="166" t="s">
        <v>151</v>
      </c>
    </row>
    <row r="238" spans="2:65" s="12" customFormat="1" ht="11.25">
      <c r="B238" s="150"/>
      <c r="D238" s="151" t="s">
        <v>162</v>
      </c>
      <c r="E238" s="152" t="s">
        <v>3</v>
      </c>
      <c r="F238" s="153" t="s">
        <v>1491</v>
      </c>
      <c r="H238" s="154">
        <v>10</v>
      </c>
      <c r="I238" s="155"/>
      <c r="L238" s="150"/>
      <c r="M238" s="156"/>
      <c r="T238" s="157"/>
      <c r="AT238" s="152" t="s">
        <v>162</v>
      </c>
      <c r="AU238" s="152" t="s">
        <v>79</v>
      </c>
      <c r="AV238" s="12" t="s">
        <v>79</v>
      </c>
      <c r="AW238" s="12" t="s">
        <v>30</v>
      </c>
      <c r="AX238" s="12" t="s">
        <v>69</v>
      </c>
      <c r="AY238" s="152" t="s">
        <v>151</v>
      </c>
    </row>
    <row r="239" spans="2:65" s="13" customFormat="1" ht="11.25">
      <c r="B239" s="158"/>
      <c r="D239" s="151" t="s">
        <v>162</v>
      </c>
      <c r="E239" s="159" t="s">
        <v>3</v>
      </c>
      <c r="F239" s="160" t="s">
        <v>167</v>
      </c>
      <c r="H239" s="161">
        <v>10</v>
      </c>
      <c r="I239" s="162"/>
      <c r="L239" s="158"/>
      <c r="M239" s="163"/>
      <c r="T239" s="164"/>
      <c r="AT239" s="159" t="s">
        <v>162</v>
      </c>
      <c r="AU239" s="159" t="s">
        <v>79</v>
      </c>
      <c r="AV239" s="13" t="s">
        <v>158</v>
      </c>
      <c r="AW239" s="13" t="s">
        <v>30</v>
      </c>
      <c r="AX239" s="13" t="s">
        <v>77</v>
      </c>
      <c r="AY239" s="159" t="s">
        <v>151</v>
      </c>
    </row>
    <row r="240" spans="2:65" s="11" customFormat="1" ht="22.9" customHeight="1">
      <c r="B240" s="120"/>
      <c r="D240" s="121" t="s">
        <v>68</v>
      </c>
      <c r="E240" s="130" t="s">
        <v>158</v>
      </c>
      <c r="F240" s="130" t="s">
        <v>1513</v>
      </c>
      <c r="I240" s="123"/>
      <c r="J240" s="131">
        <f>BK240</f>
        <v>0</v>
      </c>
      <c r="L240" s="120"/>
      <c r="M240" s="125"/>
      <c r="P240" s="126">
        <f>SUM(P241:P245)</f>
        <v>0</v>
      </c>
      <c r="R240" s="126">
        <f>SUM(R241:R245)</f>
        <v>0.17663999999999999</v>
      </c>
      <c r="T240" s="127">
        <f>SUM(T241:T245)</f>
        <v>0</v>
      </c>
      <c r="AR240" s="121" t="s">
        <v>77</v>
      </c>
      <c r="AT240" s="128" t="s">
        <v>68</v>
      </c>
      <c r="AU240" s="128" t="s">
        <v>77</v>
      </c>
      <c r="AY240" s="121" t="s">
        <v>151</v>
      </c>
      <c r="BK240" s="129">
        <f>SUM(BK241:BK245)</f>
        <v>0</v>
      </c>
    </row>
    <row r="241" spans="2:65" s="1" customFormat="1" ht="16.5" customHeight="1">
      <c r="B241" s="132"/>
      <c r="C241" s="133" t="s">
        <v>808</v>
      </c>
      <c r="D241" s="133" t="s">
        <v>153</v>
      </c>
      <c r="E241" s="134" t="s">
        <v>1514</v>
      </c>
      <c r="F241" s="135" t="s">
        <v>1515</v>
      </c>
      <c r="G241" s="136" t="s">
        <v>676</v>
      </c>
      <c r="H241" s="137">
        <v>1</v>
      </c>
      <c r="I241" s="138"/>
      <c r="J241" s="139">
        <f>ROUND(I241*H241,2)</f>
        <v>0</v>
      </c>
      <c r="K241" s="135" t="s">
        <v>171</v>
      </c>
      <c r="L241" s="33"/>
      <c r="M241" s="140" t="s">
        <v>3</v>
      </c>
      <c r="N241" s="141" t="s">
        <v>40</v>
      </c>
      <c r="P241" s="142">
        <f>O241*H241</f>
        <v>0</v>
      </c>
      <c r="Q241" s="142">
        <v>0.17663999999999999</v>
      </c>
      <c r="R241" s="142">
        <f>Q241*H241</f>
        <v>0.17663999999999999</v>
      </c>
      <c r="S241" s="142">
        <v>0</v>
      </c>
      <c r="T241" s="143">
        <f>S241*H241</f>
        <v>0</v>
      </c>
      <c r="AR241" s="144" t="s">
        <v>158</v>
      </c>
      <c r="AT241" s="144" t="s">
        <v>153</v>
      </c>
      <c r="AU241" s="144" t="s">
        <v>79</v>
      </c>
      <c r="AY241" s="18" t="s">
        <v>151</v>
      </c>
      <c r="BE241" s="145">
        <f>IF(N241="základní",J241,0)</f>
        <v>0</v>
      </c>
      <c r="BF241" s="145">
        <f>IF(N241="snížená",J241,0)</f>
        <v>0</v>
      </c>
      <c r="BG241" s="145">
        <f>IF(N241="zákl. přenesená",J241,0)</f>
        <v>0</v>
      </c>
      <c r="BH241" s="145">
        <f>IF(N241="sníž. přenesená",J241,0)</f>
        <v>0</v>
      </c>
      <c r="BI241" s="145">
        <f>IF(N241="nulová",J241,0)</f>
        <v>0</v>
      </c>
      <c r="BJ241" s="18" t="s">
        <v>77</v>
      </c>
      <c r="BK241" s="145">
        <f>ROUND(I241*H241,2)</f>
        <v>0</v>
      </c>
      <c r="BL241" s="18" t="s">
        <v>158</v>
      </c>
      <c r="BM241" s="144" t="s">
        <v>1516</v>
      </c>
    </row>
    <row r="242" spans="2:65" s="1" customFormat="1" ht="11.25">
      <c r="B242" s="33"/>
      <c r="D242" s="146" t="s">
        <v>160</v>
      </c>
      <c r="F242" s="147" t="s">
        <v>1517</v>
      </c>
      <c r="I242" s="148"/>
      <c r="L242" s="33"/>
      <c r="M242" s="149"/>
      <c r="T242" s="54"/>
      <c r="AT242" s="18" t="s">
        <v>160</v>
      </c>
      <c r="AU242" s="18" t="s">
        <v>79</v>
      </c>
    </row>
    <row r="243" spans="2:65" s="14" customFormat="1" ht="11.25">
      <c r="B243" s="165"/>
      <c r="D243" s="151" t="s">
        <v>162</v>
      </c>
      <c r="E243" s="166" t="s">
        <v>3</v>
      </c>
      <c r="F243" s="167" t="s">
        <v>1416</v>
      </c>
      <c r="H243" s="166" t="s">
        <v>3</v>
      </c>
      <c r="I243" s="168"/>
      <c r="L243" s="165"/>
      <c r="M243" s="169"/>
      <c r="T243" s="170"/>
      <c r="AT243" s="166" t="s">
        <v>162</v>
      </c>
      <c r="AU243" s="166" t="s">
        <v>79</v>
      </c>
      <c r="AV243" s="14" t="s">
        <v>77</v>
      </c>
      <c r="AW243" s="14" t="s">
        <v>30</v>
      </c>
      <c r="AX243" s="14" t="s">
        <v>69</v>
      </c>
      <c r="AY243" s="166" t="s">
        <v>151</v>
      </c>
    </row>
    <row r="244" spans="2:65" s="12" customFormat="1" ht="11.25">
      <c r="B244" s="150"/>
      <c r="D244" s="151" t="s">
        <v>162</v>
      </c>
      <c r="E244" s="152" t="s">
        <v>3</v>
      </c>
      <c r="F244" s="153" t="s">
        <v>77</v>
      </c>
      <c r="H244" s="154">
        <v>1</v>
      </c>
      <c r="I244" s="155"/>
      <c r="L244" s="150"/>
      <c r="M244" s="156"/>
      <c r="T244" s="157"/>
      <c r="AT244" s="152" t="s">
        <v>162</v>
      </c>
      <c r="AU244" s="152" t="s">
        <v>79</v>
      </c>
      <c r="AV244" s="12" t="s">
        <v>79</v>
      </c>
      <c r="AW244" s="12" t="s">
        <v>30</v>
      </c>
      <c r="AX244" s="12" t="s">
        <v>69</v>
      </c>
      <c r="AY244" s="152" t="s">
        <v>151</v>
      </c>
    </row>
    <row r="245" spans="2:65" s="13" customFormat="1" ht="11.25">
      <c r="B245" s="158"/>
      <c r="D245" s="151" t="s">
        <v>162</v>
      </c>
      <c r="E245" s="159" t="s">
        <v>3</v>
      </c>
      <c r="F245" s="160" t="s">
        <v>167</v>
      </c>
      <c r="H245" s="161">
        <v>1</v>
      </c>
      <c r="I245" s="162"/>
      <c r="L245" s="158"/>
      <c r="M245" s="163"/>
      <c r="T245" s="164"/>
      <c r="AT245" s="159" t="s">
        <v>162</v>
      </c>
      <c r="AU245" s="159" t="s">
        <v>79</v>
      </c>
      <c r="AV245" s="13" t="s">
        <v>158</v>
      </c>
      <c r="AW245" s="13" t="s">
        <v>30</v>
      </c>
      <c r="AX245" s="13" t="s">
        <v>77</v>
      </c>
      <c r="AY245" s="159" t="s">
        <v>151</v>
      </c>
    </row>
    <row r="246" spans="2:65" s="11" customFormat="1" ht="22.9" customHeight="1">
      <c r="B246" s="120"/>
      <c r="D246" s="121" t="s">
        <v>68</v>
      </c>
      <c r="E246" s="130" t="s">
        <v>180</v>
      </c>
      <c r="F246" s="130" t="s">
        <v>1518</v>
      </c>
      <c r="I246" s="123"/>
      <c r="J246" s="131">
        <f>BK246</f>
        <v>0</v>
      </c>
      <c r="L246" s="120"/>
      <c r="M246" s="125"/>
      <c r="P246" s="126">
        <f>SUM(P247:P280)</f>
        <v>0</v>
      </c>
      <c r="R246" s="126">
        <f>SUM(R247:R280)</f>
        <v>8.2809000000000008</v>
      </c>
      <c r="T246" s="127">
        <f>SUM(T247:T280)</f>
        <v>0</v>
      </c>
      <c r="AR246" s="121" t="s">
        <v>77</v>
      </c>
      <c r="AT246" s="128" t="s">
        <v>68</v>
      </c>
      <c r="AU246" s="128" t="s">
        <v>77</v>
      </c>
      <c r="AY246" s="121" t="s">
        <v>151</v>
      </c>
      <c r="BK246" s="129">
        <f>SUM(BK247:BK280)</f>
        <v>0</v>
      </c>
    </row>
    <row r="247" spans="2:65" s="1" customFormat="1" ht="16.5" customHeight="1">
      <c r="B247" s="132"/>
      <c r="C247" s="133" t="s">
        <v>396</v>
      </c>
      <c r="D247" s="133" t="s">
        <v>153</v>
      </c>
      <c r="E247" s="134" t="s">
        <v>1519</v>
      </c>
      <c r="F247" s="135" t="s">
        <v>1520</v>
      </c>
      <c r="G247" s="136" t="s">
        <v>230</v>
      </c>
      <c r="H247" s="137">
        <v>6</v>
      </c>
      <c r="I247" s="138"/>
      <c r="J247" s="139">
        <f>ROUND(I247*H247,2)</f>
        <v>0</v>
      </c>
      <c r="K247" s="135" t="s">
        <v>171</v>
      </c>
      <c r="L247" s="33"/>
      <c r="M247" s="140" t="s">
        <v>3</v>
      </c>
      <c r="N247" s="141" t="s">
        <v>40</v>
      </c>
      <c r="P247" s="142">
        <f>O247*H247</f>
        <v>0</v>
      </c>
      <c r="Q247" s="142">
        <v>0</v>
      </c>
      <c r="R247" s="142">
        <f>Q247*H247</f>
        <v>0</v>
      </c>
      <c r="S247" s="142">
        <v>0</v>
      </c>
      <c r="T247" s="143">
        <f>S247*H247</f>
        <v>0</v>
      </c>
      <c r="AR247" s="144" t="s">
        <v>158</v>
      </c>
      <c r="AT247" s="144" t="s">
        <v>153</v>
      </c>
      <c r="AU247" s="144" t="s">
        <v>79</v>
      </c>
      <c r="AY247" s="18" t="s">
        <v>151</v>
      </c>
      <c r="BE247" s="145">
        <f>IF(N247="základní",J247,0)</f>
        <v>0</v>
      </c>
      <c r="BF247" s="145">
        <f>IF(N247="snížená",J247,0)</f>
        <v>0</v>
      </c>
      <c r="BG247" s="145">
        <f>IF(N247="zákl. přenesená",J247,0)</f>
        <v>0</v>
      </c>
      <c r="BH247" s="145">
        <f>IF(N247="sníž. přenesená",J247,0)</f>
        <v>0</v>
      </c>
      <c r="BI247" s="145">
        <f>IF(N247="nulová",J247,0)</f>
        <v>0</v>
      </c>
      <c r="BJ247" s="18" t="s">
        <v>77</v>
      </c>
      <c r="BK247" s="145">
        <f>ROUND(I247*H247,2)</f>
        <v>0</v>
      </c>
      <c r="BL247" s="18" t="s">
        <v>158</v>
      </c>
      <c r="BM247" s="144" t="s">
        <v>1521</v>
      </c>
    </row>
    <row r="248" spans="2:65" s="1" customFormat="1" ht="11.25">
      <c r="B248" s="33"/>
      <c r="D248" s="146" t="s">
        <v>160</v>
      </c>
      <c r="F248" s="147" t="s">
        <v>1522</v>
      </c>
      <c r="I248" s="148"/>
      <c r="L248" s="33"/>
      <c r="M248" s="149"/>
      <c r="T248" s="54"/>
      <c r="AT248" s="18" t="s">
        <v>160</v>
      </c>
      <c r="AU248" s="18" t="s">
        <v>79</v>
      </c>
    </row>
    <row r="249" spans="2:65" s="14" customFormat="1" ht="11.25">
      <c r="B249" s="165"/>
      <c r="D249" s="151" t="s">
        <v>162</v>
      </c>
      <c r="E249" s="166" t="s">
        <v>3</v>
      </c>
      <c r="F249" s="167" t="s">
        <v>1523</v>
      </c>
      <c r="H249" s="166" t="s">
        <v>3</v>
      </c>
      <c r="I249" s="168"/>
      <c r="L249" s="165"/>
      <c r="M249" s="169"/>
      <c r="T249" s="170"/>
      <c r="AT249" s="166" t="s">
        <v>162</v>
      </c>
      <c r="AU249" s="166" t="s">
        <v>79</v>
      </c>
      <c r="AV249" s="14" t="s">
        <v>77</v>
      </c>
      <c r="AW249" s="14" t="s">
        <v>30</v>
      </c>
      <c r="AX249" s="14" t="s">
        <v>69</v>
      </c>
      <c r="AY249" s="166" t="s">
        <v>151</v>
      </c>
    </row>
    <row r="250" spans="2:65" s="12" customFormat="1" ht="11.25">
      <c r="B250" s="150"/>
      <c r="D250" s="151" t="s">
        <v>162</v>
      </c>
      <c r="E250" s="152" t="s">
        <v>3</v>
      </c>
      <c r="F250" s="153" t="s">
        <v>195</v>
      </c>
      <c r="H250" s="154">
        <v>6</v>
      </c>
      <c r="I250" s="155"/>
      <c r="L250" s="150"/>
      <c r="M250" s="156"/>
      <c r="T250" s="157"/>
      <c r="AT250" s="152" t="s">
        <v>162</v>
      </c>
      <c r="AU250" s="152" t="s">
        <v>79</v>
      </c>
      <c r="AV250" s="12" t="s">
        <v>79</v>
      </c>
      <c r="AW250" s="12" t="s">
        <v>30</v>
      </c>
      <c r="AX250" s="12" t="s">
        <v>69</v>
      </c>
      <c r="AY250" s="152" t="s">
        <v>151</v>
      </c>
    </row>
    <row r="251" spans="2:65" s="13" customFormat="1" ht="11.25">
      <c r="B251" s="158"/>
      <c r="D251" s="151" t="s">
        <v>162</v>
      </c>
      <c r="E251" s="159" t="s">
        <v>3</v>
      </c>
      <c r="F251" s="160" t="s">
        <v>167</v>
      </c>
      <c r="H251" s="161">
        <v>6</v>
      </c>
      <c r="I251" s="162"/>
      <c r="L251" s="158"/>
      <c r="M251" s="163"/>
      <c r="T251" s="164"/>
      <c r="AT251" s="159" t="s">
        <v>162</v>
      </c>
      <c r="AU251" s="159" t="s">
        <v>79</v>
      </c>
      <c r="AV251" s="13" t="s">
        <v>158</v>
      </c>
      <c r="AW251" s="13" t="s">
        <v>30</v>
      </c>
      <c r="AX251" s="13" t="s">
        <v>77</v>
      </c>
      <c r="AY251" s="159" t="s">
        <v>151</v>
      </c>
    </row>
    <row r="252" spans="2:65" s="1" customFormat="1" ht="16.5" customHeight="1">
      <c r="B252" s="132"/>
      <c r="C252" s="133" t="s">
        <v>202</v>
      </c>
      <c r="D252" s="133" t="s">
        <v>153</v>
      </c>
      <c r="E252" s="134" t="s">
        <v>1524</v>
      </c>
      <c r="F252" s="135" t="s">
        <v>1525</v>
      </c>
      <c r="G252" s="136" t="s">
        <v>230</v>
      </c>
      <c r="H252" s="137">
        <v>470</v>
      </c>
      <c r="I252" s="138"/>
      <c r="J252" s="139">
        <f>ROUND(I252*H252,2)</f>
        <v>0</v>
      </c>
      <c r="K252" s="135" t="s">
        <v>171</v>
      </c>
      <c r="L252" s="33"/>
      <c r="M252" s="140" t="s">
        <v>3</v>
      </c>
      <c r="N252" s="141" t="s">
        <v>40</v>
      </c>
      <c r="P252" s="142">
        <f>O252*H252</f>
        <v>0</v>
      </c>
      <c r="Q252" s="142">
        <v>0</v>
      </c>
      <c r="R252" s="142">
        <f>Q252*H252</f>
        <v>0</v>
      </c>
      <c r="S252" s="142">
        <v>0</v>
      </c>
      <c r="T252" s="143">
        <f>S252*H252</f>
        <v>0</v>
      </c>
      <c r="AR252" s="144" t="s">
        <v>158</v>
      </c>
      <c r="AT252" s="144" t="s">
        <v>153</v>
      </c>
      <c r="AU252" s="144" t="s">
        <v>79</v>
      </c>
      <c r="AY252" s="18" t="s">
        <v>151</v>
      </c>
      <c r="BE252" s="145">
        <f>IF(N252="základní",J252,0)</f>
        <v>0</v>
      </c>
      <c r="BF252" s="145">
        <f>IF(N252="snížená",J252,0)</f>
        <v>0</v>
      </c>
      <c r="BG252" s="145">
        <f>IF(N252="zákl. přenesená",J252,0)</f>
        <v>0</v>
      </c>
      <c r="BH252" s="145">
        <f>IF(N252="sníž. přenesená",J252,0)</f>
        <v>0</v>
      </c>
      <c r="BI252" s="145">
        <f>IF(N252="nulová",J252,0)</f>
        <v>0</v>
      </c>
      <c r="BJ252" s="18" t="s">
        <v>77</v>
      </c>
      <c r="BK252" s="145">
        <f>ROUND(I252*H252,2)</f>
        <v>0</v>
      </c>
      <c r="BL252" s="18" t="s">
        <v>158</v>
      </c>
      <c r="BM252" s="144" t="s">
        <v>1526</v>
      </c>
    </row>
    <row r="253" spans="2:65" s="1" customFormat="1" ht="11.25">
      <c r="B253" s="33"/>
      <c r="D253" s="146" t="s">
        <v>160</v>
      </c>
      <c r="F253" s="147" t="s">
        <v>1527</v>
      </c>
      <c r="I253" s="148"/>
      <c r="L253" s="33"/>
      <c r="M253" s="149"/>
      <c r="T253" s="54"/>
      <c r="AT253" s="18" t="s">
        <v>160</v>
      </c>
      <c r="AU253" s="18" t="s">
        <v>79</v>
      </c>
    </row>
    <row r="254" spans="2:65" s="14" customFormat="1" ht="11.25">
      <c r="B254" s="165"/>
      <c r="D254" s="151" t="s">
        <v>162</v>
      </c>
      <c r="E254" s="166" t="s">
        <v>3</v>
      </c>
      <c r="F254" s="167" t="s">
        <v>1528</v>
      </c>
      <c r="H254" s="166" t="s">
        <v>3</v>
      </c>
      <c r="I254" s="168"/>
      <c r="L254" s="165"/>
      <c r="M254" s="169"/>
      <c r="T254" s="170"/>
      <c r="AT254" s="166" t="s">
        <v>162</v>
      </c>
      <c r="AU254" s="166" t="s">
        <v>79</v>
      </c>
      <c r="AV254" s="14" t="s">
        <v>77</v>
      </c>
      <c r="AW254" s="14" t="s">
        <v>30</v>
      </c>
      <c r="AX254" s="14" t="s">
        <v>69</v>
      </c>
      <c r="AY254" s="166" t="s">
        <v>151</v>
      </c>
    </row>
    <row r="255" spans="2:65" s="12" customFormat="1" ht="11.25">
      <c r="B255" s="150"/>
      <c r="D255" s="151" t="s">
        <v>162</v>
      </c>
      <c r="E255" s="152" t="s">
        <v>3</v>
      </c>
      <c r="F255" s="153" t="s">
        <v>1529</v>
      </c>
      <c r="H255" s="154">
        <v>470</v>
      </c>
      <c r="I255" s="155"/>
      <c r="L255" s="150"/>
      <c r="M255" s="156"/>
      <c r="T255" s="157"/>
      <c r="AT255" s="152" t="s">
        <v>162</v>
      </c>
      <c r="AU255" s="152" t="s">
        <v>79</v>
      </c>
      <c r="AV255" s="12" t="s">
        <v>79</v>
      </c>
      <c r="AW255" s="12" t="s">
        <v>30</v>
      </c>
      <c r="AX255" s="12" t="s">
        <v>69</v>
      </c>
      <c r="AY255" s="152" t="s">
        <v>151</v>
      </c>
    </row>
    <row r="256" spans="2:65" s="13" customFormat="1" ht="11.25">
      <c r="B256" s="158"/>
      <c r="D256" s="151" t="s">
        <v>162</v>
      </c>
      <c r="E256" s="159" t="s">
        <v>3</v>
      </c>
      <c r="F256" s="160" t="s">
        <v>167</v>
      </c>
      <c r="H256" s="161">
        <v>470</v>
      </c>
      <c r="I256" s="162"/>
      <c r="L256" s="158"/>
      <c r="M256" s="163"/>
      <c r="T256" s="164"/>
      <c r="AT256" s="159" t="s">
        <v>162</v>
      </c>
      <c r="AU256" s="159" t="s">
        <v>79</v>
      </c>
      <c r="AV256" s="13" t="s">
        <v>158</v>
      </c>
      <c r="AW256" s="13" t="s">
        <v>30</v>
      </c>
      <c r="AX256" s="13" t="s">
        <v>77</v>
      </c>
      <c r="AY256" s="159" t="s">
        <v>151</v>
      </c>
    </row>
    <row r="257" spans="2:65" s="1" customFormat="1" ht="16.5" customHeight="1">
      <c r="B257" s="132"/>
      <c r="C257" s="133" t="s">
        <v>405</v>
      </c>
      <c r="D257" s="133" t="s">
        <v>153</v>
      </c>
      <c r="E257" s="134" t="s">
        <v>1530</v>
      </c>
      <c r="F257" s="135" t="s">
        <v>1531</v>
      </c>
      <c r="G257" s="136" t="s">
        <v>230</v>
      </c>
      <c r="H257" s="137">
        <v>940</v>
      </c>
      <c r="I257" s="138"/>
      <c r="J257" s="139">
        <f>ROUND(I257*H257,2)</f>
        <v>0</v>
      </c>
      <c r="K257" s="135" t="s">
        <v>171</v>
      </c>
      <c r="L257" s="33"/>
      <c r="M257" s="140" t="s">
        <v>3</v>
      </c>
      <c r="N257" s="141" t="s">
        <v>40</v>
      </c>
      <c r="P257" s="142">
        <f>O257*H257</f>
        <v>0</v>
      </c>
      <c r="Q257" s="142">
        <v>0</v>
      </c>
      <c r="R257" s="142">
        <f>Q257*H257</f>
        <v>0</v>
      </c>
      <c r="S257" s="142">
        <v>0</v>
      </c>
      <c r="T257" s="143">
        <f>S257*H257</f>
        <v>0</v>
      </c>
      <c r="AR257" s="144" t="s">
        <v>158</v>
      </c>
      <c r="AT257" s="144" t="s">
        <v>153</v>
      </c>
      <c r="AU257" s="144" t="s">
        <v>79</v>
      </c>
      <c r="AY257" s="18" t="s">
        <v>151</v>
      </c>
      <c r="BE257" s="145">
        <f>IF(N257="základní",J257,0)</f>
        <v>0</v>
      </c>
      <c r="BF257" s="145">
        <f>IF(N257="snížená",J257,0)</f>
        <v>0</v>
      </c>
      <c r="BG257" s="145">
        <f>IF(N257="zákl. přenesená",J257,0)</f>
        <v>0</v>
      </c>
      <c r="BH257" s="145">
        <f>IF(N257="sníž. přenesená",J257,0)</f>
        <v>0</v>
      </c>
      <c r="BI257" s="145">
        <f>IF(N257="nulová",J257,0)</f>
        <v>0</v>
      </c>
      <c r="BJ257" s="18" t="s">
        <v>77</v>
      </c>
      <c r="BK257" s="145">
        <f>ROUND(I257*H257,2)</f>
        <v>0</v>
      </c>
      <c r="BL257" s="18" t="s">
        <v>158</v>
      </c>
      <c r="BM257" s="144" t="s">
        <v>1532</v>
      </c>
    </row>
    <row r="258" spans="2:65" s="1" customFormat="1" ht="11.25">
      <c r="B258" s="33"/>
      <c r="D258" s="146" t="s">
        <v>160</v>
      </c>
      <c r="F258" s="147" t="s">
        <v>1533</v>
      </c>
      <c r="I258" s="148"/>
      <c r="L258" s="33"/>
      <c r="M258" s="149"/>
      <c r="T258" s="54"/>
      <c r="AT258" s="18" t="s">
        <v>160</v>
      </c>
      <c r="AU258" s="18" t="s">
        <v>79</v>
      </c>
    </row>
    <row r="259" spans="2:65" s="14" customFormat="1" ht="11.25">
      <c r="B259" s="165"/>
      <c r="D259" s="151" t="s">
        <v>162</v>
      </c>
      <c r="E259" s="166" t="s">
        <v>3</v>
      </c>
      <c r="F259" s="167" t="s">
        <v>1534</v>
      </c>
      <c r="H259" s="166" t="s">
        <v>3</v>
      </c>
      <c r="I259" s="168"/>
      <c r="L259" s="165"/>
      <c r="M259" s="169"/>
      <c r="T259" s="170"/>
      <c r="AT259" s="166" t="s">
        <v>162</v>
      </c>
      <c r="AU259" s="166" t="s">
        <v>79</v>
      </c>
      <c r="AV259" s="14" t="s">
        <v>77</v>
      </c>
      <c r="AW259" s="14" t="s">
        <v>30</v>
      </c>
      <c r="AX259" s="14" t="s">
        <v>69</v>
      </c>
      <c r="AY259" s="166" t="s">
        <v>151</v>
      </c>
    </row>
    <row r="260" spans="2:65" s="12" customFormat="1" ht="11.25">
      <c r="B260" s="150"/>
      <c r="D260" s="151" t="s">
        <v>162</v>
      </c>
      <c r="E260" s="152" t="s">
        <v>3</v>
      </c>
      <c r="F260" s="153" t="s">
        <v>1535</v>
      </c>
      <c r="H260" s="154">
        <v>940</v>
      </c>
      <c r="I260" s="155"/>
      <c r="L260" s="150"/>
      <c r="M260" s="156"/>
      <c r="T260" s="157"/>
      <c r="AT260" s="152" t="s">
        <v>162</v>
      </c>
      <c r="AU260" s="152" t="s">
        <v>79</v>
      </c>
      <c r="AV260" s="12" t="s">
        <v>79</v>
      </c>
      <c r="AW260" s="12" t="s">
        <v>30</v>
      </c>
      <c r="AX260" s="12" t="s">
        <v>69</v>
      </c>
      <c r="AY260" s="152" t="s">
        <v>151</v>
      </c>
    </row>
    <row r="261" spans="2:65" s="13" customFormat="1" ht="11.25">
      <c r="B261" s="158"/>
      <c r="D261" s="151" t="s">
        <v>162</v>
      </c>
      <c r="E261" s="159" t="s">
        <v>3</v>
      </c>
      <c r="F261" s="160" t="s">
        <v>167</v>
      </c>
      <c r="H261" s="161">
        <v>940</v>
      </c>
      <c r="I261" s="162"/>
      <c r="L261" s="158"/>
      <c r="M261" s="163"/>
      <c r="T261" s="164"/>
      <c r="AT261" s="159" t="s">
        <v>162</v>
      </c>
      <c r="AU261" s="159" t="s">
        <v>79</v>
      </c>
      <c r="AV261" s="13" t="s">
        <v>158</v>
      </c>
      <c r="AW261" s="13" t="s">
        <v>30</v>
      </c>
      <c r="AX261" s="13" t="s">
        <v>77</v>
      </c>
      <c r="AY261" s="159" t="s">
        <v>151</v>
      </c>
    </row>
    <row r="262" spans="2:65" s="1" customFormat="1" ht="16.5" customHeight="1">
      <c r="B262" s="132"/>
      <c r="C262" s="133" t="s">
        <v>410</v>
      </c>
      <c r="D262" s="133" t="s">
        <v>153</v>
      </c>
      <c r="E262" s="134" t="s">
        <v>1536</v>
      </c>
      <c r="F262" s="135" t="s">
        <v>1537</v>
      </c>
      <c r="G262" s="136" t="s">
        <v>230</v>
      </c>
      <c r="H262" s="137">
        <v>17</v>
      </c>
      <c r="I262" s="138"/>
      <c r="J262" s="139">
        <f>ROUND(I262*H262,2)</f>
        <v>0</v>
      </c>
      <c r="K262" s="135" t="s">
        <v>171</v>
      </c>
      <c r="L262" s="33"/>
      <c r="M262" s="140" t="s">
        <v>3</v>
      </c>
      <c r="N262" s="141" t="s">
        <v>40</v>
      </c>
      <c r="P262" s="142">
        <f>O262*H262</f>
        <v>0</v>
      </c>
      <c r="Q262" s="142">
        <v>0.40799999999999997</v>
      </c>
      <c r="R262" s="142">
        <f>Q262*H262</f>
        <v>6.9359999999999999</v>
      </c>
      <c r="S262" s="142">
        <v>0</v>
      </c>
      <c r="T262" s="143">
        <f>S262*H262</f>
        <v>0</v>
      </c>
      <c r="AR262" s="144" t="s">
        <v>158</v>
      </c>
      <c r="AT262" s="144" t="s">
        <v>153</v>
      </c>
      <c r="AU262" s="144" t="s">
        <v>79</v>
      </c>
      <c r="AY262" s="18" t="s">
        <v>151</v>
      </c>
      <c r="BE262" s="145">
        <f>IF(N262="základní",J262,0)</f>
        <v>0</v>
      </c>
      <c r="BF262" s="145">
        <f>IF(N262="snížená",J262,0)</f>
        <v>0</v>
      </c>
      <c r="BG262" s="145">
        <f>IF(N262="zákl. přenesená",J262,0)</f>
        <v>0</v>
      </c>
      <c r="BH262" s="145">
        <f>IF(N262="sníž. přenesená",J262,0)</f>
        <v>0</v>
      </c>
      <c r="BI262" s="145">
        <f>IF(N262="nulová",J262,0)</f>
        <v>0</v>
      </c>
      <c r="BJ262" s="18" t="s">
        <v>77</v>
      </c>
      <c r="BK262" s="145">
        <f>ROUND(I262*H262,2)</f>
        <v>0</v>
      </c>
      <c r="BL262" s="18" t="s">
        <v>158</v>
      </c>
      <c r="BM262" s="144" t="s">
        <v>1538</v>
      </c>
    </row>
    <row r="263" spans="2:65" s="1" customFormat="1" ht="11.25">
      <c r="B263" s="33"/>
      <c r="D263" s="146" t="s">
        <v>160</v>
      </c>
      <c r="F263" s="147" t="s">
        <v>1539</v>
      </c>
      <c r="I263" s="148"/>
      <c r="L263" s="33"/>
      <c r="M263" s="149"/>
      <c r="T263" s="54"/>
      <c r="AT263" s="18" t="s">
        <v>160</v>
      </c>
      <c r="AU263" s="18" t="s">
        <v>79</v>
      </c>
    </row>
    <row r="264" spans="2:65" s="14" customFormat="1" ht="11.25">
      <c r="B264" s="165"/>
      <c r="D264" s="151" t="s">
        <v>162</v>
      </c>
      <c r="E264" s="166" t="s">
        <v>3</v>
      </c>
      <c r="F264" s="167" t="s">
        <v>1540</v>
      </c>
      <c r="H264" s="166" t="s">
        <v>3</v>
      </c>
      <c r="I264" s="168"/>
      <c r="L264" s="165"/>
      <c r="M264" s="169"/>
      <c r="T264" s="170"/>
      <c r="AT264" s="166" t="s">
        <v>162</v>
      </c>
      <c r="AU264" s="166" t="s">
        <v>79</v>
      </c>
      <c r="AV264" s="14" t="s">
        <v>77</v>
      </c>
      <c r="AW264" s="14" t="s">
        <v>30</v>
      </c>
      <c r="AX264" s="14" t="s">
        <v>69</v>
      </c>
      <c r="AY264" s="166" t="s">
        <v>151</v>
      </c>
    </row>
    <row r="265" spans="2:65" s="12" customFormat="1" ht="11.25">
      <c r="B265" s="150"/>
      <c r="D265" s="151" t="s">
        <v>162</v>
      </c>
      <c r="E265" s="152" t="s">
        <v>3</v>
      </c>
      <c r="F265" s="153" t="s">
        <v>1541</v>
      </c>
      <c r="H265" s="154">
        <v>17</v>
      </c>
      <c r="I265" s="155"/>
      <c r="L265" s="150"/>
      <c r="M265" s="156"/>
      <c r="T265" s="157"/>
      <c r="AT265" s="152" t="s">
        <v>162</v>
      </c>
      <c r="AU265" s="152" t="s">
        <v>79</v>
      </c>
      <c r="AV265" s="12" t="s">
        <v>79</v>
      </c>
      <c r="AW265" s="12" t="s">
        <v>30</v>
      </c>
      <c r="AX265" s="12" t="s">
        <v>69</v>
      </c>
      <c r="AY265" s="152" t="s">
        <v>151</v>
      </c>
    </row>
    <row r="266" spans="2:65" s="13" customFormat="1" ht="11.25">
      <c r="B266" s="158"/>
      <c r="D266" s="151" t="s">
        <v>162</v>
      </c>
      <c r="E266" s="159" t="s">
        <v>3</v>
      </c>
      <c r="F266" s="160" t="s">
        <v>167</v>
      </c>
      <c r="H266" s="161">
        <v>17</v>
      </c>
      <c r="I266" s="162"/>
      <c r="L266" s="158"/>
      <c r="M266" s="163"/>
      <c r="T266" s="164"/>
      <c r="AT266" s="159" t="s">
        <v>162</v>
      </c>
      <c r="AU266" s="159" t="s">
        <v>79</v>
      </c>
      <c r="AV266" s="13" t="s">
        <v>158</v>
      </c>
      <c r="AW266" s="13" t="s">
        <v>30</v>
      </c>
      <c r="AX266" s="13" t="s">
        <v>77</v>
      </c>
      <c r="AY266" s="159" t="s">
        <v>151</v>
      </c>
    </row>
    <row r="267" spans="2:65" s="1" customFormat="1" ht="16.5" customHeight="1">
      <c r="B267" s="132"/>
      <c r="C267" s="133" t="s">
        <v>416</v>
      </c>
      <c r="D267" s="133" t="s">
        <v>153</v>
      </c>
      <c r="E267" s="134" t="s">
        <v>1542</v>
      </c>
      <c r="F267" s="135" t="s">
        <v>1543</v>
      </c>
      <c r="G267" s="136" t="s">
        <v>230</v>
      </c>
      <c r="H267" s="137">
        <v>470</v>
      </c>
      <c r="I267" s="138"/>
      <c r="J267" s="139">
        <f>ROUND(I267*H267,2)</f>
        <v>0</v>
      </c>
      <c r="K267" s="135" t="s">
        <v>171</v>
      </c>
      <c r="L267" s="33"/>
      <c r="M267" s="140" t="s">
        <v>3</v>
      </c>
      <c r="N267" s="141" t="s">
        <v>40</v>
      </c>
      <c r="P267" s="142">
        <f>O267*H267</f>
        <v>0</v>
      </c>
      <c r="Q267" s="142">
        <v>0</v>
      </c>
      <c r="R267" s="142">
        <f>Q267*H267</f>
        <v>0</v>
      </c>
      <c r="S267" s="142">
        <v>0</v>
      </c>
      <c r="T267" s="143">
        <f>S267*H267</f>
        <v>0</v>
      </c>
      <c r="AR267" s="144" t="s">
        <v>158</v>
      </c>
      <c r="AT267" s="144" t="s">
        <v>153</v>
      </c>
      <c r="AU267" s="144" t="s">
        <v>79</v>
      </c>
      <c r="AY267" s="18" t="s">
        <v>151</v>
      </c>
      <c r="BE267" s="145">
        <f>IF(N267="základní",J267,0)</f>
        <v>0</v>
      </c>
      <c r="BF267" s="145">
        <f>IF(N267="snížená",J267,0)</f>
        <v>0</v>
      </c>
      <c r="BG267" s="145">
        <f>IF(N267="zákl. přenesená",J267,0)</f>
        <v>0</v>
      </c>
      <c r="BH267" s="145">
        <f>IF(N267="sníž. přenesená",J267,0)</f>
        <v>0</v>
      </c>
      <c r="BI267" s="145">
        <f>IF(N267="nulová",J267,0)</f>
        <v>0</v>
      </c>
      <c r="BJ267" s="18" t="s">
        <v>77</v>
      </c>
      <c r="BK267" s="145">
        <f>ROUND(I267*H267,2)</f>
        <v>0</v>
      </c>
      <c r="BL267" s="18" t="s">
        <v>158</v>
      </c>
      <c r="BM267" s="144" t="s">
        <v>1544</v>
      </c>
    </row>
    <row r="268" spans="2:65" s="1" customFormat="1" ht="11.25">
      <c r="B268" s="33"/>
      <c r="D268" s="146" t="s">
        <v>160</v>
      </c>
      <c r="F268" s="147" t="s">
        <v>1545</v>
      </c>
      <c r="I268" s="148"/>
      <c r="L268" s="33"/>
      <c r="M268" s="149"/>
      <c r="T268" s="54"/>
      <c r="AT268" s="18" t="s">
        <v>160</v>
      </c>
      <c r="AU268" s="18" t="s">
        <v>79</v>
      </c>
    </row>
    <row r="269" spans="2:65" s="14" customFormat="1" ht="11.25">
      <c r="B269" s="165"/>
      <c r="D269" s="151" t="s">
        <v>162</v>
      </c>
      <c r="E269" s="166" t="s">
        <v>3</v>
      </c>
      <c r="F269" s="167" t="s">
        <v>1546</v>
      </c>
      <c r="H269" s="166" t="s">
        <v>3</v>
      </c>
      <c r="I269" s="168"/>
      <c r="L269" s="165"/>
      <c r="M269" s="169"/>
      <c r="T269" s="170"/>
      <c r="AT269" s="166" t="s">
        <v>162</v>
      </c>
      <c r="AU269" s="166" t="s">
        <v>79</v>
      </c>
      <c r="AV269" s="14" t="s">
        <v>77</v>
      </c>
      <c r="AW269" s="14" t="s">
        <v>30</v>
      </c>
      <c r="AX269" s="14" t="s">
        <v>69</v>
      </c>
      <c r="AY269" s="166" t="s">
        <v>151</v>
      </c>
    </row>
    <row r="270" spans="2:65" s="12" customFormat="1" ht="11.25">
      <c r="B270" s="150"/>
      <c r="D270" s="151" t="s">
        <v>162</v>
      </c>
      <c r="E270" s="152" t="s">
        <v>3</v>
      </c>
      <c r="F270" s="153" t="s">
        <v>1529</v>
      </c>
      <c r="H270" s="154">
        <v>470</v>
      </c>
      <c r="I270" s="155"/>
      <c r="L270" s="150"/>
      <c r="M270" s="156"/>
      <c r="T270" s="157"/>
      <c r="AT270" s="152" t="s">
        <v>162</v>
      </c>
      <c r="AU270" s="152" t="s">
        <v>79</v>
      </c>
      <c r="AV270" s="12" t="s">
        <v>79</v>
      </c>
      <c r="AW270" s="12" t="s">
        <v>30</v>
      </c>
      <c r="AX270" s="12" t="s">
        <v>69</v>
      </c>
      <c r="AY270" s="152" t="s">
        <v>151</v>
      </c>
    </row>
    <row r="271" spans="2:65" s="13" customFormat="1" ht="11.25">
      <c r="B271" s="158"/>
      <c r="D271" s="151" t="s">
        <v>162</v>
      </c>
      <c r="E271" s="159" t="s">
        <v>3</v>
      </c>
      <c r="F271" s="160" t="s">
        <v>167</v>
      </c>
      <c r="H271" s="161">
        <v>470</v>
      </c>
      <c r="I271" s="162"/>
      <c r="L271" s="158"/>
      <c r="M271" s="163"/>
      <c r="T271" s="164"/>
      <c r="AT271" s="159" t="s">
        <v>162</v>
      </c>
      <c r="AU271" s="159" t="s">
        <v>79</v>
      </c>
      <c r="AV271" s="13" t="s">
        <v>158</v>
      </c>
      <c r="AW271" s="13" t="s">
        <v>30</v>
      </c>
      <c r="AX271" s="13" t="s">
        <v>77</v>
      </c>
      <c r="AY271" s="159" t="s">
        <v>151</v>
      </c>
    </row>
    <row r="272" spans="2:65" s="1" customFormat="1" ht="16.5" customHeight="1">
      <c r="B272" s="132"/>
      <c r="C272" s="133" t="s">
        <v>423</v>
      </c>
      <c r="D272" s="133" t="s">
        <v>153</v>
      </c>
      <c r="E272" s="134" t="s">
        <v>1547</v>
      </c>
      <c r="F272" s="135" t="s">
        <v>1548</v>
      </c>
      <c r="G272" s="136" t="s">
        <v>230</v>
      </c>
      <c r="H272" s="137">
        <v>6</v>
      </c>
      <c r="I272" s="138"/>
      <c r="J272" s="139">
        <f>ROUND(I272*H272,2)</f>
        <v>0</v>
      </c>
      <c r="K272" s="135" t="s">
        <v>171</v>
      </c>
      <c r="L272" s="33"/>
      <c r="M272" s="140" t="s">
        <v>3</v>
      </c>
      <c r="N272" s="141" t="s">
        <v>40</v>
      </c>
      <c r="P272" s="142">
        <f>O272*H272</f>
        <v>0</v>
      </c>
      <c r="Q272" s="142">
        <v>8.9219999999999994E-2</v>
      </c>
      <c r="R272" s="142">
        <f>Q272*H272</f>
        <v>0.53532000000000002</v>
      </c>
      <c r="S272" s="142">
        <v>0</v>
      </c>
      <c r="T272" s="143">
        <f>S272*H272</f>
        <v>0</v>
      </c>
      <c r="AR272" s="144" t="s">
        <v>158</v>
      </c>
      <c r="AT272" s="144" t="s">
        <v>153</v>
      </c>
      <c r="AU272" s="144" t="s">
        <v>79</v>
      </c>
      <c r="AY272" s="18" t="s">
        <v>151</v>
      </c>
      <c r="BE272" s="145">
        <f>IF(N272="základní",J272,0)</f>
        <v>0</v>
      </c>
      <c r="BF272" s="145">
        <f>IF(N272="snížená",J272,0)</f>
        <v>0</v>
      </c>
      <c r="BG272" s="145">
        <f>IF(N272="zákl. přenesená",J272,0)</f>
        <v>0</v>
      </c>
      <c r="BH272" s="145">
        <f>IF(N272="sníž. přenesená",J272,0)</f>
        <v>0</v>
      </c>
      <c r="BI272" s="145">
        <f>IF(N272="nulová",J272,0)</f>
        <v>0</v>
      </c>
      <c r="BJ272" s="18" t="s">
        <v>77</v>
      </c>
      <c r="BK272" s="145">
        <f>ROUND(I272*H272,2)</f>
        <v>0</v>
      </c>
      <c r="BL272" s="18" t="s">
        <v>158</v>
      </c>
      <c r="BM272" s="144" t="s">
        <v>1549</v>
      </c>
    </row>
    <row r="273" spans="2:65" s="1" customFormat="1" ht="11.25">
      <c r="B273" s="33"/>
      <c r="D273" s="146" t="s">
        <v>160</v>
      </c>
      <c r="F273" s="147" t="s">
        <v>1550</v>
      </c>
      <c r="I273" s="148"/>
      <c r="L273" s="33"/>
      <c r="M273" s="149"/>
      <c r="T273" s="54"/>
      <c r="AT273" s="18" t="s">
        <v>160</v>
      </c>
      <c r="AU273" s="18" t="s">
        <v>79</v>
      </c>
    </row>
    <row r="274" spans="2:65" s="14" customFormat="1" ht="11.25">
      <c r="B274" s="165"/>
      <c r="D274" s="151" t="s">
        <v>162</v>
      </c>
      <c r="E274" s="166" t="s">
        <v>3</v>
      </c>
      <c r="F274" s="167" t="s">
        <v>1551</v>
      </c>
      <c r="H274" s="166" t="s">
        <v>3</v>
      </c>
      <c r="I274" s="168"/>
      <c r="L274" s="165"/>
      <c r="M274" s="169"/>
      <c r="T274" s="170"/>
      <c r="AT274" s="166" t="s">
        <v>162</v>
      </c>
      <c r="AU274" s="166" t="s">
        <v>79</v>
      </c>
      <c r="AV274" s="14" t="s">
        <v>77</v>
      </c>
      <c r="AW274" s="14" t="s">
        <v>30</v>
      </c>
      <c r="AX274" s="14" t="s">
        <v>69</v>
      </c>
      <c r="AY274" s="166" t="s">
        <v>151</v>
      </c>
    </row>
    <row r="275" spans="2:65" s="12" customFormat="1" ht="11.25">
      <c r="B275" s="150"/>
      <c r="D275" s="151" t="s">
        <v>162</v>
      </c>
      <c r="E275" s="152" t="s">
        <v>3</v>
      </c>
      <c r="F275" s="153" t="s">
        <v>195</v>
      </c>
      <c r="H275" s="154">
        <v>6</v>
      </c>
      <c r="I275" s="155"/>
      <c r="L275" s="150"/>
      <c r="M275" s="156"/>
      <c r="T275" s="157"/>
      <c r="AT275" s="152" t="s">
        <v>162</v>
      </c>
      <c r="AU275" s="152" t="s">
        <v>79</v>
      </c>
      <c r="AV275" s="12" t="s">
        <v>79</v>
      </c>
      <c r="AW275" s="12" t="s">
        <v>30</v>
      </c>
      <c r="AX275" s="12" t="s">
        <v>69</v>
      </c>
      <c r="AY275" s="152" t="s">
        <v>151</v>
      </c>
    </row>
    <row r="276" spans="2:65" s="13" customFormat="1" ht="11.25">
      <c r="B276" s="158"/>
      <c r="D276" s="151" t="s">
        <v>162</v>
      </c>
      <c r="E276" s="159" t="s">
        <v>3</v>
      </c>
      <c r="F276" s="160" t="s">
        <v>167</v>
      </c>
      <c r="H276" s="161">
        <v>6</v>
      </c>
      <c r="I276" s="162"/>
      <c r="L276" s="158"/>
      <c r="M276" s="163"/>
      <c r="T276" s="164"/>
      <c r="AT276" s="159" t="s">
        <v>162</v>
      </c>
      <c r="AU276" s="159" t="s">
        <v>79</v>
      </c>
      <c r="AV276" s="13" t="s">
        <v>158</v>
      </c>
      <c r="AW276" s="13" t="s">
        <v>30</v>
      </c>
      <c r="AX276" s="13" t="s">
        <v>77</v>
      </c>
      <c r="AY276" s="159" t="s">
        <v>151</v>
      </c>
    </row>
    <row r="277" spans="2:65" s="1" customFormat="1" ht="16.5" customHeight="1">
      <c r="B277" s="132"/>
      <c r="C277" s="172" t="s">
        <v>440</v>
      </c>
      <c r="D277" s="172" t="s">
        <v>436</v>
      </c>
      <c r="E277" s="173" t="s">
        <v>1552</v>
      </c>
      <c r="F277" s="174" t="s">
        <v>1553</v>
      </c>
      <c r="G277" s="175" t="s">
        <v>230</v>
      </c>
      <c r="H277" s="176">
        <v>6.18</v>
      </c>
      <c r="I277" s="177"/>
      <c r="J277" s="178">
        <f>ROUND(I277*H277,2)</f>
        <v>0</v>
      </c>
      <c r="K277" s="174" t="s">
        <v>171</v>
      </c>
      <c r="L277" s="179"/>
      <c r="M277" s="180" t="s">
        <v>3</v>
      </c>
      <c r="N277" s="181" t="s">
        <v>40</v>
      </c>
      <c r="P277" s="142">
        <f>O277*H277</f>
        <v>0</v>
      </c>
      <c r="Q277" s="142">
        <v>0.13100000000000001</v>
      </c>
      <c r="R277" s="142">
        <f>Q277*H277</f>
        <v>0.80957999999999997</v>
      </c>
      <c r="S277" s="142">
        <v>0</v>
      </c>
      <c r="T277" s="143">
        <f>S277*H277</f>
        <v>0</v>
      </c>
      <c r="AR277" s="144" t="s">
        <v>214</v>
      </c>
      <c r="AT277" s="144" t="s">
        <v>436</v>
      </c>
      <c r="AU277" s="144" t="s">
        <v>79</v>
      </c>
      <c r="AY277" s="18" t="s">
        <v>151</v>
      </c>
      <c r="BE277" s="145">
        <f>IF(N277="základní",J277,0)</f>
        <v>0</v>
      </c>
      <c r="BF277" s="145">
        <f>IF(N277="snížená",J277,0)</f>
        <v>0</v>
      </c>
      <c r="BG277" s="145">
        <f>IF(N277="zákl. přenesená",J277,0)</f>
        <v>0</v>
      </c>
      <c r="BH277" s="145">
        <f>IF(N277="sníž. přenesená",J277,0)</f>
        <v>0</v>
      </c>
      <c r="BI277" s="145">
        <f>IF(N277="nulová",J277,0)</f>
        <v>0</v>
      </c>
      <c r="BJ277" s="18" t="s">
        <v>77</v>
      </c>
      <c r="BK277" s="145">
        <f>ROUND(I277*H277,2)</f>
        <v>0</v>
      </c>
      <c r="BL277" s="18" t="s">
        <v>158</v>
      </c>
      <c r="BM277" s="144" t="s">
        <v>1554</v>
      </c>
    </row>
    <row r="278" spans="2:65" s="14" customFormat="1" ht="11.25">
      <c r="B278" s="165"/>
      <c r="D278" s="151" t="s">
        <v>162</v>
      </c>
      <c r="E278" s="166" t="s">
        <v>3</v>
      </c>
      <c r="F278" s="167" t="s">
        <v>1484</v>
      </c>
      <c r="H278" s="166" t="s">
        <v>3</v>
      </c>
      <c r="I278" s="168"/>
      <c r="L278" s="165"/>
      <c r="M278" s="169"/>
      <c r="T278" s="170"/>
      <c r="AT278" s="166" t="s">
        <v>162</v>
      </c>
      <c r="AU278" s="166" t="s">
        <v>79</v>
      </c>
      <c r="AV278" s="14" t="s">
        <v>77</v>
      </c>
      <c r="AW278" s="14" t="s">
        <v>30</v>
      </c>
      <c r="AX278" s="14" t="s">
        <v>69</v>
      </c>
      <c r="AY278" s="166" t="s">
        <v>151</v>
      </c>
    </row>
    <row r="279" spans="2:65" s="12" customFormat="1" ht="11.25">
      <c r="B279" s="150"/>
      <c r="D279" s="151" t="s">
        <v>162</v>
      </c>
      <c r="E279" s="152" t="s">
        <v>3</v>
      </c>
      <c r="F279" s="153" t="s">
        <v>1555</v>
      </c>
      <c r="H279" s="154">
        <v>6.18</v>
      </c>
      <c r="I279" s="155"/>
      <c r="L279" s="150"/>
      <c r="M279" s="156"/>
      <c r="T279" s="157"/>
      <c r="AT279" s="152" t="s">
        <v>162</v>
      </c>
      <c r="AU279" s="152" t="s">
        <v>79</v>
      </c>
      <c r="AV279" s="12" t="s">
        <v>79</v>
      </c>
      <c r="AW279" s="12" t="s">
        <v>30</v>
      </c>
      <c r="AX279" s="12" t="s">
        <v>69</v>
      </c>
      <c r="AY279" s="152" t="s">
        <v>151</v>
      </c>
    </row>
    <row r="280" spans="2:65" s="13" customFormat="1" ht="11.25">
      <c r="B280" s="158"/>
      <c r="D280" s="151" t="s">
        <v>162</v>
      </c>
      <c r="E280" s="159" t="s">
        <v>3</v>
      </c>
      <c r="F280" s="160" t="s">
        <v>167</v>
      </c>
      <c r="H280" s="161">
        <v>6.18</v>
      </c>
      <c r="I280" s="162"/>
      <c r="L280" s="158"/>
      <c r="M280" s="163"/>
      <c r="T280" s="164"/>
      <c r="AT280" s="159" t="s">
        <v>162</v>
      </c>
      <c r="AU280" s="159" t="s">
        <v>79</v>
      </c>
      <c r="AV280" s="13" t="s">
        <v>158</v>
      </c>
      <c r="AW280" s="13" t="s">
        <v>30</v>
      </c>
      <c r="AX280" s="13" t="s">
        <v>77</v>
      </c>
      <c r="AY280" s="159" t="s">
        <v>151</v>
      </c>
    </row>
    <row r="281" spans="2:65" s="11" customFormat="1" ht="22.9" customHeight="1">
      <c r="B281" s="120"/>
      <c r="D281" s="121" t="s">
        <v>68</v>
      </c>
      <c r="E281" s="130" t="s">
        <v>214</v>
      </c>
      <c r="F281" s="130" t="s">
        <v>1556</v>
      </c>
      <c r="I281" s="123"/>
      <c r="J281" s="131">
        <f>BK281</f>
        <v>0</v>
      </c>
      <c r="L281" s="120"/>
      <c r="M281" s="125"/>
      <c r="P281" s="126">
        <f>SUM(P282:P321)</f>
        <v>0</v>
      </c>
      <c r="R281" s="126">
        <f>SUM(R282:R321)</f>
        <v>1.24478</v>
      </c>
      <c r="T281" s="127">
        <f>SUM(T282:T321)</f>
        <v>0</v>
      </c>
      <c r="AR281" s="121" t="s">
        <v>77</v>
      </c>
      <c r="AT281" s="128" t="s">
        <v>68</v>
      </c>
      <c r="AU281" s="128" t="s">
        <v>77</v>
      </c>
      <c r="AY281" s="121" t="s">
        <v>151</v>
      </c>
      <c r="BK281" s="129">
        <f>SUM(BK282:BK321)</f>
        <v>0</v>
      </c>
    </row>
    <row r="282" spans="2:65" s="1" customFormat="1" ht="16.5" customHeight="1">
      <c r="B282" s="132"/>
      <c r="C282" s="133" t="s">
        <v>476</v>
      </c>
      <c r="D282" s="133" t="s">
        <v>153</v>
      </c>
      <c r="E282" s="134" t="s">
        <v>1557</v>
      </c>
      <c r="F282" s="135" t="s">
        <v>1558</v>
      </c>
      <c r="G282" s="136" t="s">
        <v>676</v>
      </c>
      <c r="H282" s="137">
        <v>1</v>
      </c>
      <c r="I282" s="138"/>
      <c r="J282" s="139">
        <f>ROUND(I282*H282,2)</f>
        <v>0</v>
      </c>
      <c r="K282" s="135" t="s">
        <v>171</v>
      </c>
      <c r="L282" s="33"/>
      <c r="M282" s="140" t="s">
        <v>3</v>
      </c>
      <c r="N282" s="141" t="s">
        <v>40</v>
      </c>
      <c r="P282" s="142">
        <f>O282*H282</f>
        <v>0</v>
      </c>
      <c r="Q282" s="142">
        <v>0.12526000000000001</v>
      </c>
      <c r="R282" s="142">
        <f>Q282*H282</f>
        <v>0.12526000000000001</v>
      </c>
      <c r="S282" s="142">
        <v>0</v>
      </c>
      <c r="T282" s="143">
        <f>S282*H282</f>
        <v>0</v>
      </c>
      <c r="AR282" s="144" t="s">
        <v>158</v>
      </c>
      <c r="AT282" s="144" t="s">
        <v>153</v>
      </c>
      <c r="AU282" s="144" t="s">
        <v>79</v>
      </c>
      <c r="AY282" s="18" t="s">
        <v>151</v>
      </c>
      <c r="BE282" s="145">
        <f>IF(N282="základní",J282,0)</f>
        <v>0</v>
      </c>
      <c r="BF282" s="145">
        <f>IF(N282="snížená",J282,0)</f>
        <v>0</v>
      </c>
      <c r="BG282" s="145">
        <f>IF(N282="zákl. přenesená",J282,0)</f>
        <v>0</v>
      </c>
      <c r="BH282" s="145">
        <f>IF(N282="sníž. přenesená",J282,0)</f>
        <v>0</v>
      </c>
      <c r="BI282" s="145">
        <f>IF(N282="nulová",J282,0)</f>
        <v>0</v>
      </c>
      <c r="BJ282" s="18" t="s">
        <v>77</v>
      </c>
      <c r="BK282" s="145">
        <f>ROUND(I282*H282,2)</f>
        <v>0</v>
      </c>
      <c r="BL282" s="18" t="s">
        <v>158</v>
      </c>
      <c r="BM282" s="144" t="s">
        <v>1559</v>
      </c>
    </row>
    <row r="283" spans="2:65" s="1" customFormat="1" ht="11.25">
      <c r="B283" s="33"/>
      <c r="D283" s="146" t="s">
        <v>160</v>
      </c>
      <c r="F283" s="147" t="s">
        <v>1560</v>
      </c>
      <c r="I283" s="148"/>
      <c r="L283" s="33"/>
      <c r="M283" s="149"/>
      <c r="T283" s="54"/>
      <c r="AT283" s="18" t="s">
        <v>160</v>
      </c>
      <c r="AU283" s="18" t="s">
        <v>79</v>
      </c>
    </row>
    <row r="284" spans="2:65" s="14" customFormat="1" ht="11.25">
      <c r="B284" s="165"/>
      <c r="D284" s="151" t="s">
        <v>162</v>
      </c>
      <c r="E284" s="166" t="s">
        <v>3</v>
      </c>
      <c r="F284" s="167" t="s">
        <v>1561</v>
      </c>
      <c r="H284" s="166" t="s">
        <v>3</v>
      </c>
      <c r="I284" s="168"/>
      <c r="L284" s="165"/>
      <c r="M284" s="169"/>
      <c r="T284" s="170"/>
      <c r="AT284" s="166" t="s">
        <v>162</v>
      </c>
      <c r="AU284" s="166" t="s">
        <v>79</v>
      </c>
      <c r="AV284" s="14" t="s">
        <v>77</v>
      </c>
      <c r="AW284" s="14" t="s">
        <v>30</v>
      </c>
      <c r="AX284" s="14" t="s">
        <v>69</v>
      </c>
      <c r="AY284" s="166" t="s">
        <v>151</v>
      </c>
    </row>
    <row r="285" spans="2:65" s="12" customFormat="1" ht="11.25">
      <c r="B285" s="150"/>
      <c r="D285" s="151" t="s">
        <v>162</v>
      </c>
      <c r="E285" s="152" t="s">
        <v>3</v>
      </c>
      <c r="F285" s="153" t="s">
        <v>77</v>
      </c>
      <c r="H285" s="154">
        <v>1</v>
      </c>
      <c r="I285" s="155"/>
      <c r="L285" s="150"/>
      <c r="M285" s="156"/>
      <c r="T285" s="157"/>
      <c r="AT285" s="152" t="s">
        <v>162</v>
      </c>
      <c r="AU285" s="152" t="s">
        <v>79</v>
      </c>
      <c r="AV285" s="12" t="s">
        <v>79</v>
      </c>
      <c r="AW285" s="12" t="s">
        <v>30</v>
      </c>
      <c r="AX285" s="12" t="s">
        <v>69</v>
      </c>
      <c r="AY285" s="152" t="s">
        <v>151</v>
      </c>
    </row>
    <row r="286" spans="2:65" s="13" customFormat="1" ht="11.25">
      <c r="B286" s="158"/>
      <c r="D286" s="151" t="s">
        <v>162</v>
      </c>
      <c r="E286" s="159" t="s">
        <v>3</v>
      </c>
      <c r="F286" s="160" t="s">
        <v>167</v>
      </c>
      <c r="H286" s="161">
        <v>1</v>
      </c>
      <c r="I286" s="162"/>
      <c r="L286" s="158"/>
      <c r="M286" s="163"/>
      <c r="T286" s="164"/>
      <c r="AT286" s="159" t="s">
        <v>162</v>
      </c>
      <c r="AU286" s="159" t="s">
        <v>79</v>
      </c>
      <c r="AV286" s="13" t="s">
        <v>158</v>
      </c>
      <c r="AW286" s="13" t="s">
        <v>30</v>
      </c>
      <c r="AX286" s="13" t="s">
        <v>77</v>
      </c>
      <c r="AY286" s="159" t="s">
        <v>151</v>
      </c>
    </row>
    <row r="287" spans="2:65" s="1" customFormat="1" ht="16.5" customHeight="1">
      <c r="B287" s="132"/>
      <c r="C287" s="172" t="s">
        <v>481</v>
      </c>
      <c r="D287" s="172" t="s">
        <v>436</v>
      </c>
      <c r="E287" s="173" t="s">
        <v>1562</v>
      </c>
      <c r="F287" s="174" t="s">
        <v>1563</v>
      </c>
      <c r="G287" s="175" t="s">
        <v>676</v>
      </c>
      <c r="H287" s="176">
        <v>1</v>
      </c>
      <c r="I287" s="177"/>
      <c r="J287" s="178">
        <f>ROUND(I287*H287,2)</f>
        <v>0</v>
      </c>
      <c r="K287" s="174" t="s">
        <v>171</v>
      </c>
      <c r="L287" s="179"/>
      <c r="M287" s="180" t="s">
        <v>3</v>
      </c>
      <c r="N287" s="181" t="s">
        <v>40</v>
      </c>
      <c r="P287" s="142">
        <f>O287*H287</f>
        <v>0</v>
      </c>
      <c r="Q287" s="142">
        <v>7.1999999999999995E-2</v>
      </c>
      <c r="R287" s="142">
        <f>Q287*H287</f>
        <v>7.1999999999999995E-2</v>
      </c>
      <c r="S287" s="142">
        <v>0</v>
      </c>
      <c r="T287" s="143">
        <f>S287*H287</f>
        <v>0</v>
      </c>
      <c r="AR287" s="144" t="s">
        <v>214</v>
      </c>
      <c r="AT287" s="144" t="s">
        <v>436</v>
      </c>
      <c r="AU287" s="144" t="s">
        <v>79</v>
      </c>
      <c r="AY287" s="18" t="s">
        <v>151</v>
      </c>
      <c r="BE287" s="145">
        <f>IF(N287="základní",J287,0)</f>
        <v>0</v>
      </c>
      <c r="BF287" s="145">
        <f>IF(N287="snížená",J287,0)</f>
        <v>0</v>
      </c>
      <c r="BG287" s="145">
        <f>IF(N287="zákl. přenesená",J287,0)</f>
        <v>0</v>
      </c>
      <c r="BH287" s="145">
        <f>IF(N287="sníž. přenesená",J287,0)</f>
        <v>0</v>
      </c>
      <c r="BI287" s="145">
        <f>IF(N287="nulová",J287,0)</f>
        <v>0</v>
      </c>
      <c r="BJ287" s="18" t="s">
        <v>77</v>
      </c>
      <c r="BK287" s="145">
        <f>ROUND(I287*H287,2)</f>
        <v>0</v>
      </c>
      <c r="BL287" s="18" t="s">
        <v>158</v>
      </c>
      <c r="BM287" s="144" t="s">
        <v>1564</v>
      </c>
    </row>
    <row r="288" spans="2:65" s="14" customFormat="1" ht="11.25">
      <c r="B288" s="165"/>
      <c r="D288" s="151" t="s">
        <v>162</v>
      </c>
      <c r="E288" s="166" t="s">
        <v>3</v>
      </c>
      <c r="F288" s="167" t="s">
        <v>1416</v>
      </c>
      <c r="H288" s="166" t="s">
        <v>3</v>
      </c>
      <c r="I288" s="168"/>
      <c r="L288" s="165"/>
      <c r="M288" s="169"/>
      <c r="T288" s="170"/>
      <c r="AT288" s="166" t="s">
        <v>162</v>
      </c>
      <c r="AU288" s="166" t="s">
        <v>79</v>
      </c>
      <c r="AV288" s="14" t="s">
        <v>77</v>
      </c>
      <c r="AW288" s="14" t="s">
        <v>30</v>
      </c>
      <c r="AX288" s="14" t="s">
        <v>69</v>
      </c>
      <c r="AY288" s="166" t="s">
        <v>151</v>
      </c>
    </row>
    <row r="289" spans="2:65" s="12" customFormat="1" ht="11.25">
      <c r="B289" s="150"/>
      <c r="D289" s="151" t="s">
        <v>162</v>
      </c>
      <c r="E289" s="152" t="s">
        <v>3</v>
      </c>
      <c r="F289" s="153" t="s">
        <v>77</v>
      </c>
      <c r="H289" s="154">
        <v>1</v>
      </c>
      <c r="I289" s="155"/>
      <c r="L289" s="150"/>
      <c r="M289" s="156"/>
      <c r="T289" s="157"/>
      <c r="AT289" s="152" t="s">
        <v>162</v>
      </c>
      <c r="AU289" s="152" t="s">
        <v>79</v>
      </c>
      <c r="AV289" s="12" t="s">
        <v>79</v>
      </c>
      <c r="AW289" s="12" t="s">
        <v>30</v>
      </c>
      <c r="AX289" s="12" t="s">
        <v>69</v>
      </c>
      <c r="AY289" s="152" t="s">
        <v>151</v>
      </c>
    </row>
    <row r="290" spans="2:65" s="13" customFormat="1" ht="11.25">
      <c r="B290" s="158"/>
      <c r="D290" s="151" t="s">
        <v>162</v>
      </c>
      <c r="E290" s="159" t="s">
        <v>3</v>
      </c>
      <c r="F290" s="160" t="s">
        <v>167</v>
      </c>
      <c r="H290" s="161">
        <v>1</v>
      </c>
      <c r="I290" s="162"/>
      <c r="L290" s="158"/>
      <c r="M290" s="163"/>
      <c r="T290" s="164"/>
      <c r="AT290" s="159" t="s">
        <v>162</v>
      </c>
      <c r="AU290" s="159" t="s">
        <v>79</v>
      </c>
      <c r="AV290" s="13" t="s">
        <v>158</v>
      </c>
      <c r="AW290" s="13" t="s">
        <v>30</v>
      </c>
      <c r="AX290" s="13" t="s">
        <v>77</v>
      </c>
      <c r="AY290" s="159" t="s">
        <v>151</v>
      </c>
    </row>
    <row r="291" spans="2:65" s="1" customFormat="1" ht="16.5" customHeight="1">
      <c r="B291" s="132"/>
      <c r="C291" s="172" t="s">
        <v>486</v>
      </c>
      <c r="D291" s="172" t="s">
        <v>436</v>
      </c>
      <c r="E291" s="173" t="s">
        <v>1565</v>
      </c>
      <c r="F291" s="174" t="s">
        <v>1566</v>
      </c>
      <c r="G291" s="175" t="s">
        <v>676</v>
      </c>
      <c r="H291" s="176">
        <v>1</v>
      </c>
      <c r="I291" s="177"/>
      <c r="J291" s="178">
        <f>ROUND(I291*H291,2)</f>
        <v>0</v>
      </c>
      <c r="K291" s="174" t="s">
        <v>171</v>
      </c>
      <c r="L291" s="179"/>
      <c r="M291" s="180" t="s">
        <v>3</v>
      </c>
      <c r="N291" s="181" t="s">
        <v>40</v>
      </c>
      <c r="P291" s="142">
        <f>O291*H291</f>
        <v>0</v>
      </c>
      <c r="Q291" s="142">
        <v>0.111</v>
      </c>
      <c r="R291" s="142">
        <f>Q291*H291</f>
        <v>0.111</v>
      </c>
      <c r="S291" s="142">
        <v>0</v>
      </c>
      <c r="T291" s="143">
        <f>S291*H291</f>
        <v>0</v>
      </c>
      <c r="AR291" s="144" t="s">
        <v>214</v>
      </c>
      <c r="AT291" s="144" t="s">
        <v>436</v>
      </c>
      <c r="AU291" s="144" t="s">
        <v>79</v>
      </c>
      <c r="AY291" s="18" t="s">
        <v>151</v>
      </c>
      <c r="BE291" s="145">
        <f>IF(N291="základní",J291,0)</f>
        <v>0</v>
      </c>
      <c r="BF291" s="145">
        <f>IF(N291="snížená",J291,0)</f>
        <v>0</v>
      </c>
      <c r="BG291" s="145">
        <f>IF(N291="zákl. přenesená",J291,0)</f>
        <v>0</v>
      </c>
      <c r="BH291" s="145">
        <f>IF(N291="sníž. přenesená",J291,0)</f>
        <v>0</v>
      </c>
      <c r="BI291" s="145">
        <f>IF(N291="nulová",J291,0)</f>
        <v>0</v>
      </c>
      <c r="BJ291" s="18" t="s">
        <v>77</v>
      </c>
      <c r="BK291" s="145">
        <f>ROUND(I291*H291,2)</f>
        <v>0</v>
      </c>
      <c r="BL291" s="18" t="s">
        <v>158</v>
      </c>
      <c r="BM291" s="144" t="s">
        <v>1567</v>
      </c>
    </row>
    <row r="292" spans="2:65" s="14" customFormat="1" ht="11.25">
      <c r="B292" s="165"/>
      <c r="D292" s="151" t="s">
        <v>162</v>
      </c>
      <c r="E292" s="166" t="s">
        <v>3</v>
      </c>
      <c r="F292" s="167" t="s">
        <v>1416</v>
      </c>
      <c r="H292" s="166" t="s">
        <v>3</v>
      </c>
      <c r="I292" s="168"/>
      <c r="L292" s="165"/>
      <c r="M292" s="169"/>
      <c r="T292" s="170"/>
      <c r="AT292" s="166" t="s">
        <v>162</v>
      </c>
      <c r="AU292" s="166" t="s">
        <v>79</v>
      </c>
      <c r="AV292" s="14" t="s">
        <v>77</v>
      </c>
      <c r="AW292" s="14" t="s">
        <v>30</v>
      </c>
      <c r="AX292" s="14" t="s">
        <v>69</v>
      </c>
      <c r="AY292" s="166" t="s">
        <v>151</v>
      </c>
    </row>
    <row r="293" spans="2:65" s="12" customFormat="1" ht="11.25">
      <c r="B293" s="150"/>
      <c r="D293" s="151" t="s">
        <v>162</v>
      </c>
      <c r="E293" s="152" t="s">
        <v>3</v>
      </c>
      <c r="F293" s="153" t="s">
        <v>77</v>
      </c>
      <c r="H293" s="154">
        <v>1</v>
      </c>
      <c r="I293" s="155"/>
      <c r="L293" s="150"/>
      <c r="M293" s="156"/>
      <c r="T293" s="157"/>
      <c r="AT293" s="152" t="s">
        <v>162</v>
      </c>
      <c r="AU293" s="152" t="s">
        <v>79</v>
      </c>
      <c r="AV293" s="12" t="s">
        <v>79</v>
      </c>
      <c r="AW293" s="12" t="s">
        <v>30</v>
      </c>
      <c r="AX293" s="12" t="s">
        <v>69</v>
      </c>
      <c r="AY293" s="152" t="s">
        <v>151</v>
      </c>
    </row>
    <row r="294" spans="2:65" s="13" customFormat="1" ht="11.25">
      <c r="B294" s="158"/>
      <c r="D294" s="151" t="s">
        <v>162</v>
      </c>
      <c r="E294" s="159" t="s">
        <v>3</v>
      </c>
      <c r="F294" s="160" t="s">
        <v>167</v>
      </c>
      <c r="H294" s="161">
        <v>1</v>
      </c>
      <c r="I294" s="162"/>
      <c r="L294" s="158"/>
      <c r="M294" s="163"/>
      <c r="T294" s="164"/>
      <c r="AT294" s="159" t="s">
        <v>162</v>
      </c>
      <c r="AU294" s="159" t="s">
        <v>79</v>
      </c>
      <c r="AV294" s="13" t="s">
        <v>158</v>
      </c>
      <c r="AW294" s="13" t="s">
        <v>30</v>
      </c>
      <c r="AX294" s="13" t="s">
        <v>77</v>
      </c>
      <c r="AY294" s="159" t="s">
        <v>151</v>
      </c>
    </row>
    <row r="295" spans="2:65" s="1" customFormat="1" ht="16.5" customHeight="1">
      <c r="B295" s="132"/>
      <c r="C295" s="172" t="s">
        <v>490</v>
      </c>
      <c r="D295" s="172" t="s">
        <v>436</v>
      </c>
      <c r="E295" s="173" t="s">
        <v>1568</v>
      </c>
      <c r="F295" s="174" t="s">
        <v>1569</v>
      </c>
      <c r="G295" s="175" t="s">
        <v>676</v>
      </c>
      <c r="H295" s="176">
        <v>1</v>
      </c>
      <c r="I295" s="177"/>
      <c r="J295" s="178">
        <f>ROUND(I295*H295,2)</f>
        <v>0</v>
      </c>
      <c r="K295" s="174" t="s">
        <v>171</v>
      </c>
      <c r="L295" s="179"/>
      <c r="M295" s="180" t="s">
        <v>3</v>
      </c>
      <c r="N295" s="181" t="s">
        <v>40</v>
      </c>
      <c r="P295" s="142">
        <f>O295*H295</f>
        <v>0</v>
      </c>
      <c r="Q295" s="142">
        <v>5.7000000000000002E-2</v>
      </c>
      <c r="R295" s="142">
        <f>Q295*H295</f>
        <v>5.7000000000000002E-2</v>
      </c>
      <c r="S295" s="142">
        <v>0</v>
      </c>
      <c r="T295" s="143">
        <f>S295*H295</f>
        <v>0</v>
      </c>
      <c r="AR295" s="144" t="s">
        <v>214</v>
      </c>
      <c r="AT295" s="144" t="s">
        <v>436</v>
      </c>
      <c r="AU295" s="144" t="s">
        <v>79</v>
      </c>
      <c r="AY295" s="18" t="s">
        <v>151</v>
      </c>
      <c r="BE295" s="145">
        <f>IF(N295="základní",J295,0)</f>
        <v>0</v>
      </c>
      <c r="BF295" s="145">
        <f>IF(N295="snížená",J295,0)</f>
        <v>0</v>
      </c>
      <c r="BG295" s="145">
        <f>IF(N295="zákl. přenesená",J295,0)</f>
        <v>0</v>
      </c>
      <c r="BH295" s="145">
        <f>IF(N295="sníž. přenesená",J295,0)</f>
        <v>0</v>
      </c>
      <c r="BI295" s="145">
        <f>IF(N295="nulová",J295,0)</f>
        <v>0</v>
      </c>
      <c r="BJ295" s="18" t="s">
        <v>77</v>
      </c>
      <c r="BK295" s="145">
        <f>ROUND(I295*H295,2)</f>
        <v>0</v>
      </c>
      <c r="BL295" s="18" t="s">
        <v>158</v>
      </c>
      <c r="BM295" s="144" t="s">
        <v>1570</v>
      </c>
    </row>
    <row r="296" spans="2:65" s="14" customFormat="1" ht="11.25">
      <c r="B296" s="165"/>
      <c r="D296" s="151" t="s">
        <v>162</v>
      </c>
      <c r="E296" s="166" t="s">
        <v>3</v>
      </c>
      <c r="F296" s="167" t="s">
        <v>1416</v>
      </c>
      <c r="H296" s="166" t="s">
        <v>3</v>
      </c>
      <c r="I296" s="168"/>
      <c r="L296" s="165"/>
      <c r="M296" s="169"/>
      <c r="T296" s="170"/>
      <c r="AT296" s="166" t="s">
        <v>162</v>
      </c>
      <c r="AU296" s="166" t="s">
        <v>79</v>
      </c>
      <c r="AV296" s="14" t="s">
        <v>77</v>
      </c>
      <c r="AW296" s="14" t="s">
        <v>30</v>
      </c>
      <c r="AX296" s="14" t="s">
        <v>69</v>
      </c>
      <c r="AY296" s="166" t="s">
        <v>151</v>
      </c>
    </row>
    <row r="297" spans="2:65" s="12" customFormat="1" ht="11.25">
      <c r="B297" s="150"/>
      <c r="D297" s="151" t="s">
        <v>162</v>
      </c>
      <c r="E297" s="152" t="s">
        <v>3</v>
      </c>
      <c r="F297" s="153" t="s">
        <v>77</v>
      </c>
      <c r="H297" s="154">
        <v>1</v>
      </c>
      <c r="I297" s="155"/>
      <c r="L297" s="150"/>
      <c r="M297" s="156"/>
      <c r="T297" s="157"/>
      <c r="AT297" s="152" t="s">
        <v>162</v>
      </c>
      <c r="AU297" s="152" t="s">
        <v>79</v>
      </c>
      <c r="AV297" s="12" t="s">
        <v>79</v>
      </c>
      <c r="AW297" s="12" t="s">
        <v>30</v>
      </c>
      <c r="AX297" s="12" t="s">
        <v>69</v>
      </c>
      <c r="AY297" s="152" t="s">
        <v>151</v>
      </c>
    </row>
    <row r="298" spans="2:65" s="13" customFormat="1" ht="11.25">
      <c r="B298" s="158"/>
      <c r="D298" s="151" t="s">
        <v>162</v>
      </c>
      <c r="E298" s="159" t="s">
        <v>3</v>
      </c>
      <c r="F298" s="160" t="s">
        <v>167</v>
      </c>
      <c r="H298" s="161">
        <v>1</v>
      </c>
      <c r="I298" s="162"/>
      <c r="L298" s="158"/>
      <c r="M298" s="163"/>
      <c r="T298" s="164"/>
      <c r="AT298" s="159" t="s">
        <v>162</v>
      </c>
      <c r="AU298" s="159" t="s">
        <v>79</v>
      </c>
      <c r="AV298" s="13" t="s">
        <v>158</v>
      </c>
      <c r="AW298" s="13" t="s">
        <v>30</v>
      </c>
      <c r="AX298" s="13" t="s">
        <v>77</v>
      </c>
      <c r="AY298" s="159" t="s">
        <v>151</v>
      </c>
    </row>
    <row r="299" spans="2:65" s="1" customFormat="1" ht="16.5" customHeight="1">
      <c r="B299" s="132"/>
      <c r="C299" s="172" t="s">
        <v>495</v>
      </c>
      <c r="D299" s="172" t="s">
        <v>436</v>
      </c>
      <c r="E299" s="173" t="s">
        <v>1571</v>
      </c>
      <c r="F299" s="174" t="s">
        <v>1572</v>
      </c>
      <c r="G299" s="175" t="s">
        <v>676</v>
      </c>
      <c r="H299" s="176">
        <v>1</v>
      </c>
      <c r="I299" s="177"/>
      <c r="J299" s="178">
        <f>ROUND(I299*H299,2)</f>
        <v>0</v>
      </c>
      <c r="K299" s="174" t="s">
        <v>171</v>
      </c>
      <c r="L299" s="179"/>
      <c r="M299" s="180" t="s">
        <v>3</v>
      </c>
      <c r="N299" s="181" t="s">
        <v>40</v>
      </c>
      <c r="P299" s="142">
        <f>O299*H299</f>
        <v>0</v>
      </c>
      <c r="Q299" s="142">
        <v>0.17</v>
      </c>
      <c r="R299" s="142">
        <f>Q299*H299</f>
        <v>0.17</v>
      </c>
      <c r="S299" s="142">
        <v>0</v>
      </c>
      <c r="T299" s="143">
        <f>S299*H299</f>
        <v>0</v>
      </c>
      <c r="AR299" s="144" t="s">
        <v>214</v>
      </c>
      <c r="AT299" s="144" t="s">
        <v>436</v>
      </c>
      <c r="AU299" s="144" t="s">
        <v>79</v>
      </c>
      <c r="AY299" s="18" t="s">
        <v>151</v>
      </c>
      <c r="BE299" s="145">
        <f>IF(N299="základní",J299,0)</f>
        <v>0</v>
      </c>
      <c r="BF299" s="145">
        <f>IF(N299="snížená",J299,0)</f>
        <v>0</v>
      </c>
      <c r="BG299" s="145">
        <f>IF(N299="zákl. přenesená",J299,0)</f>
        <v>0</v>
      </c>
      <c r="BH299" s="145">
        <f>IF(N299="sníž. přenesená",J299,0)</f>
        <v>0</v>
      </c>
      <c r="BI299" s="145">
        <f>IF(N299="nulová",J299,0)</f>
        <v>0</v>
      </c>
      <c r="BJ299" s="18" t="s">
        <v>77</v>
      </c>
      <c r="BK299" s="145">
        <f>ROUND(I299*H299,2)</f>
        <v>0</v>
      </c>
      <c r="BL299" s="18" t="s">
        <v>158</v>
      </c>
      <c r="BM299" s="144" t="s">
        <v>1573</v>
      </c>
    </row>
    <row r="300" spans="2:65" s="14" customFormat="1" ht="11.25">
      <c r="B300" s="165"/>
      <c r="D300" s="151" t="s">
        <v>162</v>
      </c>
      <c r="E300" s="166" t="s">
        <v>3</v>
      </c>
      <c r="F300" s="167" t="s">
        <v>1416</v>
      </c>
      <c r="H300" s="166" t="s">
        <v>3</v>
      </c>
      <c r="I300" s="168"/>
      <c r="L300" s="165"/>
      <c r="M300" s="169"/>
      <c r="T300" s="170"/>
      <c r="AT300" s="166" t="s">
        <v>162</v>
      </c>
      <c r="AU300" s="166" t="s">
        <v>79</v>
      </c>
      <c r="AV300" s="14" t="s">
        <v>77</v>
      </c>
      <c r="AW300" s="14" t="s">
        <v>30</v>
      </c>
      <c r="AX300" s="14" t="s">
        <v>69</v>
      </c>
      <c r="AY300" s="166" t="s">
        <v>151</v>
      </c>
    </row>
    <row r="301" spans="2:65" s="12" customFormat="1" ht="11.25">
      <c r="B301" s="150"/>
      <c r="D301" s="151" t="s">
        <v>162</v>
      </c>
      <c r="E301" s="152" t="s">
        <v>3</v>
      </c>
      <c r="F301" s="153" t="s">
        <v>77</v>
      </c>
      <c r="H301" s="154">
        <v>1</v>
      </c>
      <c r="I301" s="155"/>
      <c r="L301" s="150"/>
      <c r="M301" s="156"/>
      <c r="T301" s="157"/>
      <c r="AT301" s="152" t="s">
        <v>162</v>
      </c>
      <c r="AU301" s="152" t="s">
        <v>79</v>
      </c>
      <c r="AV301" s="12" t="s">
        <v>79</v>
      </c>
      <c r="AW301" s="12" t="s">
        <v>30</v>
      </c>
      <c r="AX301" s="12" t="s">
        <v>69</v>
      </c>
      <c r="AY301" s="152" t="s">
        <v>151</v>
      </c>
    </row>
    <row r="302" spans="2:65" s="13" customFormat="1" ht="11.25">
      <c r="B302" s="158"/>
      <c r="D302" s="151" t="s">
        <v>162</v>
      </c>
      <c r="E302" s="159" t="s">
        <v>3</v>
      </c>
      <c r="F302" s="160" t="s">
        <v>167</v>
      </c>
      <c r="H302" s="161">
        <v>1</v>
      </c>
      <c r="I302" s="162"/>
      <c r="L302" s="158"/>
      <c r="M302" s="163"/>
      <c r="T302" s="164"/>
      <c r="AT302" s="159" t="s">
        <v>162</v>
      </c>
      <c r="AU302" s="159" t="s">
        <v>79</v>
      </c>
      <c r="AV302" s="13" t="s">
        <v>158</v>
      </c>
      <c r="AW302" s="13" t="s">
        <v>30</v>
      </c>
      <c r="AX302" s="13" t="s">
        <v>77</v>
      </c>
      <c r="AY302" s="159" t="s">
        <v>151</v>
      </c>
    </row>
    <row r="303" spans="2:65" s="1" customFormat="1" ht="16.5" customHeight="1">
      <c r="B303" s="132"/>
      <c r="C303" s="133" t="s">
        <v>499</v>
      </c>
      <c r="D303" s="133" t="s">
        <v>153</v>
      </c>
      <c r="E303" s="134" t="s">
        <v>1574</v>
      </c>
      <c r="F303" s="135" t="s">
        <v>1575</v>
      </c>
      <c r="G303" s="136" t="s">
        <v>676</v>
      </c>
      <c r="H303" s="137">
        <v>1</v>
      </c>
      <c r="I303" s="138"/>
      <c r="J303" s="139">
        <f>ROUND(I303*H303,2)</f>
        <v>0</v>
      </c>
      <c r="K303" s="135" t="s">
        <v>171</v>
      </c>
      <c r="L303" s="33"/>
      <c r="M303" s="140" t="s">
        <v>3</v>
      </c>
      <c r="N303" s="141" t="s">
        <v>40</v>
      </c>
      <c r="P303" s="142">
        <f>O303*H303</f>
        <v>0</v>
      </c>
      <c r="Q303" s="142">
        <v>0.21734000000000001</v>
      </c>
      <c r="R303" s="142">
        <f>Q303*H303</f>
        <v>0.21734000000000001</v>
      </c>
      <c r="S303" s="142">
        <v>0</v>
      </c>
      <c r="T303" s="143">
        <f>S303*H303</f>
        <v>0</v>
      </c>
      <c r="AR303" s="144" t="s">
        <v>158</v>
      </c>
      <c r="AT303" s="144" t="s">
        <v>153</v>
      </c>
      <c r="AU303" s="144" t="s">
        <v>79</v>
      </c>
      <c r="AY303" s="18" t="s">
        <v>151</v>
      </c>
      <c r="BE303" s="145">
        <f>IF(N303="základní",J303,0)</f>
        <v>0</v>
      </c>
      <c r="BF303" s="145">
        <f>IF(N303="snížená",J303,0)</f>
        <v>0</v>
      </c>
      <c r="BG303" s="145">
        <f>IF(N303="zákl. přenesená",J303,0)</f>
        <v>0</v>
      </c>
      <c r="BH303" s="145">
        <f>IF(N303="sníž. přenesená",J303,0)</f>
        <v>0</v>
      </c>
      <c r="BI303" s="145">
        <f>IF(N303="nulová",J303,0)</f>
        <v>0</v>
      </c>
      <c r="BJ303" s="18" t="s">
        <v>77</v>
      </c>
      <c r="BK303" s="145">
        <f>ROUND(I303*H303,2)</f>
        <v>0</v>
      </c>
      <c r="BL303" s="18" t="s">
        <v>158</v>
      </c>
      <c r="BM303" s="144" t="s">
        <v>1576</v>
      </c>
    </row>
    <row r="304" spans="2:65" s="1" customFormat="1" ht="11.25">
      <c r="B304" s="33"/>
      <c r="D304" s="146" t="s">
        <v>160</v>
      </c>
      <c r="F304" s="147" t="s">
        <v>1577</v>
      </c>
      <c r="I304" s="148"/>
      <c r="L304" s="33"/>
      <c r="M304" s="149"/>
      <c r="T304" s="54"/>
      <c r="AT304" s="18" t="s">
        <v>160</v>
      </c>
      <c r="AU304" s="18" t="s">
        <v>79</v>
      </c>
    </row>
    <row r="305" spans="2:65" s="14" customFormat="1" ht="11.25">
      <c r="B305" s="165"/>
      <c r="D305" s="151" t="s">
        <v>162</v>
      </c>
      <c r="E305" s="166" t="s">
        <v>3</v>
      </c>
      <c r="F305" s="167" t="s">
        <v>1416</v>
      </c>
      <c r="H305" s="166" t="s">
        <v>3</v>
      </c>
      <c r="I305" s="168"/>
      <c r="L305" s="165"/>
      <c r="M305" s="169"/>
      <c r="T305" s="170"/>
      <c r="AT305" s="166" t="s">
        <v>162</v>
      </c>
      <c r="AU305" s="166" t="s">
        <v>79</v>
      </c>
      <c r="AV305" s="14" t="s">
        <v>77</v>
      </c>
      <c r="AW305" s="14" t="s">
        <v>30</v>
      </c>
      <c r="AX305" s="14" t="s">
        <v>69</v>
      </c>
      <c r="AY305" s="166" t="s">
        <v>151</v>
      </c>
    </row>
    <row r="306" spans="2:65" s="12" customFormat="1" ht="11.25">
      <c r="B306" s="150"/>
      <c r="D306" s="151" t="s">
        <v>162</v>
      </c>
      <c r="E306" s="152" t="s">
        <v>3</v>
      </c>
      <c r="F306" s="153" t="s">
        <v>77</v>
      </c>
      <c r="H306" s="154">
        <v>1</v>
      </c>
      <c r="I306" s="155"/>
      <c r="L306" s="150"/>
      <c r="M306" s="156"/>
      <c r="T306" s="157"/>
      <c r="AT306" s="152" t="s">
        <v>162</v>
      </c>
      <c r="AU306" s="152" t="s">
        <v>79</v>
      </c>
      <c r="AV306" s="12" t="s">
        <v>79</v>
      </c>
      <c r="AW306" s="12" t="s">
        <v>30</v>
      </c>
      <c r="AX306" s="12" t="s">
        <v>69</v>
      </c>
      <c r="AY306" s="152" t="s">
        <v>151</v>
      </c>
    </row>
    <row r="307" spans="2:65" s="13" customFormat="1" ht="11.25">
      <c r="B307" s="158"/>
      <c r="D307" s="151" t="s">
        <v>162</v>
      </c>
      <c r="E307" s="159" t="s">
        <v>3</v>
      </c>
      <c r="F307" s="160" t="s">
        <v>167</v>
      </c>
      <c r="H307" s="161">
        <v>1</v>
      </c>
      <c r="I307" s="162"/>
      <c r="L307" s="158"/>
      <c r="M307" s="163"/>
      <c r="T307" s="164"/>
      <c r="AT307" s="159" t="s">
        <v>162</v>
      </c>
      <c r="AU307" s="159" t="s">
        <v>79</v>
      </c>
      <c r="AV307" s="13" t="s">
        <v>158</v>
      </c>
      <c r="AW307" s="13" t="s">
        <v>30</v>
      </c>
      <c r="AX307" s="13" t="s">
        <v>77</v>
      </c>
      <c r="AY307" s="159" t="s">
        <v>151</v>
      </c>
    </row>
    <row r="308" spans="2:65" s="1" customFormat="1" ht="16.5" customHeight="1">
      <c r="B308" s="132"/>
      <c r="C308" s="172" t="s">
        <v>503</v>
      </c>
      <c r="D308" s="172" t="s">
        <v>436</v>
      </c>
      <c r="E308" s="173" t="s">
        <v>1578</v>
      </c>
      <c r="F308" s="174" t="s">
        <v>1579</v>
      </c>
      <c r="G308" s="175" t="s">
        <v>676</v>
      </c>
      <c r="H308" s="176">
        <v>1</v>
      </c>
      <c r="I308" s="177"/>
      <c r="J308" s="178">
        <f>ROUND(I308*H308,2)</f>
        <v>0</v>
      </c>
      <c r="K308" s="174" t="s">
        <v>171</v>
      </c>
      <c r="L308" s="179"/>
      <c r="M308" s="180" t="s">
        <v>3</v>
      </c>
      <c r="N308" s="181" t="s">
        <v>40</v>
      </c>
      <c r="P308" s="142">
        <f>O308*H308</f>
        <v>0</v>
      </c>
      <c r="Q308" s="142">
        <v>0.06</v>
      </c>
      <c r="R308" s="142">
        <f>Q308*H308</f>
        <v>0.06</v>
      </c>
      <c r="S308" s="142">
        <v>0</v>
      </c>
      <c r="T308" s="143">
        <f>S308*H308</f>
        <v>0</v>
      </c>
      <c r="AR308" s="144" t="s">
        <v>214</v>
      </c>
      <c r="AT308" s="144" t="s">
        <v>436</v>
      </c>
      <c r="AU308" s="144" t="s">
        <v>79</v>
      </c>
      <c r="AY308" s="18" t="s">
        <v>151</v>
      </c>
      <c r="BE308" s="145">
        <f>IF(N308="základní",J308,0)</f>
        <v>0</v>
      </c>
      <c r="BF308" s="145">
        <f>IF(N308="snížená",J308,0)</f>
        <v>0</v>
      </c>
      <c r="BG308" s="145">
        <f>IF(N308="zákl. přenesená",J308,0)</f>
        <v>0</v>
      </c>
      <c r="BH308" s="145">
        <f>IF(N308="sníž. přenesená",J308,0)</f>
        <v>0</v>
      </c>
      <c r="BI308" s="145">
        <f>IF(N308="nulová",J308,0)</f>
        <v>0</v>
      </c>
      <c r="BJ308" s="18" t="s">
        <v>77</v>
      </c>
      <c r="BK308" s="145">
        <f>ROUND(I308*H308,2)</f>
        <v>0</v>
      </c>
      <c r="BL308" s="18" t="s">
        <v>158</v>
      </c>
      <c r="BM308" s="144" t="s">
        <v>1580</v>
      </c>
    </row>
    <row r="309" spans="2:65" s="14" customFormat="1" ht="11.25">
      <c r="B309" s="165"/>
      <c r="D309" s="151" t="s">
        <v>162</v>
      </c>
      <c r="E309" s="166" t="s">
        <v>3</v>
      </c>
      <c r="F309" s="167" t="s">
        <v>1416</v>
      </c>
      <c r="H309" s="166" t="s">
        <v>3</v>
      </c>
      <c r="I309" s="168"/>
      <c r="L309" s="165"/>
      <c r="M309" s="169"/>
      <c r="T309" s="170"/>
      <c r="AT309" s="166" t="s">
        <v>162</v>
      </c>
      <c r="AU309" s="166" t="s">
        <v>79</v>
      </c>
      <c r="AV309" s="14" t="s">
        <v>77</v>
      </c>
      <c r="AW309" s="14" t="s">
        <v>30</v>
      </c>
      <c r="AX309" s="14" t="s">
        <v>69</v>
      </c>
      <c r="AY309" s="166" t="s">
        <v>151</v>
      </c>
    </row>
    <row r="310" spans="2:65" s="12" customFormat="1" ht="11.25">
      <c r="B310" s="150"/>
      <c r="D310" s="151" t="s">
        <v>162</v>
      </c>
      <c r="E310" s="152" t="s">
        <v>3</v>
      </c>
      <c r="F310" s="153" t="s">
        <v>77</v>
      </c>
      <c r="H310" s="154">
        <v>1</v>
      </c>
      <c r="I310" s="155"/>
      <c r="L310" s="150"/>
      <c r="M310" s="156"/>
      <c r="T310" s="157"/>
      <c r="AT310" s="152" t="s">
        <v>162</v>
      </c>
      <c r="AU310" s="152" t="s">
        <v>79</v>
      </c>
      <c r="AV310" s="12" t="s">
        <v>79</v>
      </c>
      <c r="AW310" s="12" t="s">
        <v>30</v>
      </c>
      <c r="AX310" s="12" t="s">
        <v>69</v>
      </c>
      <c r="AY310" s="152" t="s">
        <v>151</v>
      </c>
    </row>
    <row r="311" spans="2:65" s="13" customFormat="1" ht="11.25">
      <c r="B311" s="158"/>
      <c r="D311" s="151" t="s">
        <v>162</v>
      </c>
      <c r="E311" s="159" t="s">
        <v>3</v>
      </c>
      <c r="F311" s="160" t="s">
        <v>167</v>
      </c>
      <c r="H311" s="161">
        <v>1</v>
      </c>
      <c r="I311" s="162"/>
      <c r="L311" s="158"/>
      <c r="M311" s="163"/>
      <c r="T311" s="164"/>
      <c r="AT311" s="159" t="s">
        <v>162</v>
      </c>
      <c r="AU311" s="159" t="s">
        <v>79</v>
      </c>
      <c r="AV311" s="13" t="s">
        <v>158</v>
      </c>
      <c r="AW311" s="13" t="s">
        <v>30</v>
      </c>
      <c r="AX311" s="13" t="s">
        <v>77</v>
      </c>
      <c r="AY311" s="159" t="s">
        <v>151</v>
      </c>
    </row>
    <row r="312" spans="2:65" s="1" customFormat="1" ht="16.5" customHeight="1">
      <c r="B312" s="132"/>
      <c r="C312" s="172" t="s">
        <v>507</v>
      </c>
      <c r="D312" s="172" t="s">
        <v>436</v>
      </c>
      <c r="E312" s="173" t="s">
        <v>1581</v>
      </c>
      <c r="F312" s="174" t="s">
        <v>1582</v>
      </c>
      <c r="G312" s="175" t="s">
        <v>676</v>
      </c>
      <c r="H312" s="176">
        <v>1</v>
      </c>
      <c r="I312" s="177"/>
      <c r="J312" s="178">
        <f>ROUND(I312*H312,2)</f>
        <v>0</v>
      </c>
      <c r="K312" s="174" t="s">
        <v>171</v>
      </c>
      <c r="L312" s="179"/>
      <c r="M312" s="180" t="s">
        <v>3</v>
      </c>
      <c r="N312" s="181" t="s">
        <v>40</v>
      </c>
      <c r="P312" s="142">
        <f>O312*H312</f>
        <v>0</v>
      </c>
      <c r="Q312" s="142">
        <v>8.5000000000000006E-3</v>
      </c>
      <c r="R312" s="142">
        <f>Q312*H312</f>
        <v>8.5000000000000006E-3</v>
      </c>
      <c r="S312" s="142">
        <v>0</v>
      </c>
      <c r="T312" s="143">
        <f>S312*H312</f>
        <v>0</v>
      </c>
      <c r="AR312" s="144" t="s">
        <v>214</v>
      </c>
      <c r="AT312" s="144" t="s">
        <v>436</v>
      </c>
      <c r="AU312" s="144" t="s">
        <v>79</v>
      </c>
      <c r="AY312" s="18" t="s">
        <v>151</v>
      </c>
      <c r="BE312" s="145">
        <f>IF(N312="základní",J312,0)</f>
        <v>0</v>
      </c>
      <c r="BF312" s="145">
        <f>IF(N312="snížená",J312,0)</f>
        <v>0</v>
      </c>
      <c r="BG312" s="145">
        <f>IF(N312="zákl. přenesená",J312,0)</f>
        <v>0</v>
      </c>
      <c r="BH312" s="145">
        <f>IF(N312="sníž. přenesená",J312,0)</f>
        <v>0</v>
      </c>
      <c r="BI312" s="145">
        <f>IF(N312="nulová",J312,0)</f>
        <v>0</v>
      </c>
      <c r="BJ312" s="18" t="s">
        <v>77</v>
      </c>
      <c r="BK312" s="145">
        <f>ROUND(I312*H312,2)</f>
        <v>0</v>
      </c>
      <c r="BL312" s="18" t="s">
        <v>158</v>
      </c>
      <c r="BM312" s="144" t="s">
        <v>1583</v>
      </c>
    </row>
    <row r="313" spans="2:65" s="14" customFormat="1" ht="11.25">
      <c r="B313" s="165"/>
      <c r="D313" s="151" t="s">
        <v>162</v>
      </c>
      <c r="E313" s="166" t="s">
        <v>3</v>
      </c>
      <c r="F313" s="167" t="s">
        <v>1416</v>
      </c>
      <c r="H313" s="166" t="s">
        <v>3</v>
      </c>
      <c r="I313" s="168"/>
      <c r="L313" s="165"/>
      <c r="M313" s="169"/>
      <c r="T313" s="170"/>
      <c r="AT313" s="166" t="s">
        <v>162</v>
      </c>
      <c r="AU313" s="166" t="s">
        <v>79</v>
      </c>
      <c r="AV313" s="14" t="s">
        <v>77</v>
      </c>
      <c r="AW313" s="14" t="s">
        <v>30</v>
      </c>
      <c r="AX313" s="14" t="s">
        <v>69</v>
      </c>
      <c r="AY313" s="166" t="s">
        <v>151</v>
      </c>
    </row>
    <row r="314" spans="2:65" s="12" customFormat="1" ht="11.25">
      <c r="B314" s="150"/>
      <c r="D314" s="151" t="s">
        <v>162</v>
      </c>
      <c r="E314" s="152" t="s">
        <v>3</v>
      </c>
      <c r="F314" s="153" t="s">
        <v>77</v>
      </c>
      <c r="H314" s="154">
        <v>1</v>
      </c>
      <c r="I314" s="155"/>
      <c r="L314" s="150"/>
      <c r="M314" s="156"/>
      <c r="T314" s="157"/>
      <c r="AT314" s="152" t="s">
        <v>162</v>
      </c>
      <c r="AU314" s="152" t="s">
        <v>79</v>
      </c>
      <c r="AV314" s="12" t="s">
        <v>79</v>
      </c>
      <c r="AW314" s="12" t="s">
        <v>30</v>
      </c>
      <c r="AX314" s="12" t="s">
        <v>69</v>
      </c>
      <c r="AY314" s="152" t="s">
        <v>151</v>
      </c>
    </row>
    <row r="315" spans="2:65" s="13" customFormat="1" ht="11.25">
      <c r="B315" s="158"/>
      <c r="D315" s="151" t="s">
        <v>162</v>
      </c>
      <c r="E315" s="159" t="s">
        <v>3</v>
      </c>
      <c r="F315" s="160" t="s">
        <v>167</v>
      </c>
      <c r="H315" s="161">
        <v>1</v>
      </c>
      <c r="I315" s="162"/>
      <c r="L315" s="158"/>
      <c r="M315" s="163"/>
      <c r="T315" s="164"/>
      <c r="AT315" s="159" t="s">
        <v>162</v>
      </c>
      <c r="AU315" s="159" t="s">
        <v>79</v>
      </c>
      <c r="AV315" s="13" t="s">
        <v>158</v>
      </c>
      <c r="AW315" s="13" t="s">
        <v>30</v>
      </c>
      <c r="AX315" s="13" t="s">
        <v>77</v>
      </c>
      <c r="AY315" s="159" t="s">
        <v>151</v>
      </c>
    </row>
    <row r="316" spans="2:65" s="1" customFormat="1" ht="16.5" customHeight="1">
      <c r="B316" s="132"/>
      <c r="C316" s="133" t="s">
        <v>511</v>
      </c>
      <c r="D316" s="133" t="s">
        <v>153</v>
      </c>
      <c r="E316" s="134" t="s">
        <v>1584</v>
      </c>
      <c r="F316" s="135" t="s">
        <v>1585</v>
      </c>
      <c r="G316" s="136" t="s">
        <v>676</v>
      </c>
      <c r="H316" s="137">
        <v>1</v>
      </c>
      <c r="I316" s="138"/>
      <c r="J316" s="139">
        <f>ROUND(I316*H316,2)</f>
        <v>0</v>
      </c>
      <c r="K316" s="135" t="s">
        <v>171</v>
      </c>
      <c r="L316" s="33"/>
      <c r="M316" s="140" t="s">
        <v>3</v>
      </c>
      <c r="N316" s="141" t="s">
        <v>40</v>
      </c>
      <c r="P316" s="142">
        <f>O316*H316</f>
        <v>0</v>
      </c>
      <c r="Q316" s="142">
        <v>0.42368</v>
      </c>
      <c r="R316" s="142">
        <f>Q316*H316</f>
        <v>0.42368</v>
      </c>
      <c r="S316" s="142">
        <v>0</v>
      </c>
      <c r="T316" s="143">
        <f>S316*H316</f>
        <v>0</v>
      </c>
      <c r="AR316" s="144" t="s">
        <v>158</v>
      </c>
      <c r="AT316" s="144" t="s">
        <v>153</v>
      </c>
      <c r="AU316" s="144" t="s">
        <v>79</v>
      </c>
      <c r="AY316" s="18" t="s">
        <v>151</v>
      </c>
      <c r="BE316" s="145">
        <f>IF(N316="základní",J316,0)</f>
        <v>0</v>
      </c>
      <c r="BF316" s="145">
        <f>IF(N316="snížená",J316,0)</f>
        <v>0</v>
      </c>
      <c r="BG316" s="145">
        <f>IF(N316="zákl. přenesená",J316,0)</f>
        <v>0</v>
      </c>
      <c r="BH316" s="145">
        <f>IF(N316="sníž. přenesená",J316,0)</f>
        <v>0</v>
      </c>
      <c r="BI316" s="145">
        <f>IF(N316="nulová",J316,0)</f>
        <v>0</v>
      </c>
      <c r="BJ316" s="18" t="s">
        <v>77</v>
      </c>
      <c r="BK316" s="145">
        <f>ROUND(I316*H316,2)</f>
        <v>0</v>
      </c>
      <c r="BL316" s="18" t="s">
        <v>158</v>
      </c>
      <c r="BM316" s="144" t="s">
        <v>1586</v>
      </c>
    </row>
    <row r="317" spans="2:65" s="1" customFormat="1" ht="11.25">
      <c r="B317" s="33"/>
      <c r="D317" s="146" t="s">
        <v>160</v>
      </c>
      <c r="F317" s="147" t="s">
        <v>1587</v>
      </c>
      <c r="I317" s="148"/>
      <c r="L317" s="33"/>
      <c r="M317" s="149"/>
      <c r="T317" s="54"/>
      <c r="AT317" s="18" t="s">
        <v>160</v>
      </c>
      <c r="AU317" s="18" t="s">
        <v>79</v>
      </c>
    </row>
    <row r="318" spans="2:65" s="1" customFormat="1" ht="16.5" customHeight="1">
      <c r="B318" s="132"/>
      <c r="C318" s="133" t="s">
        <v>516</v>
      </c>
      <c r="D318" s="133" t="s">
        <v>153</v>
      </c>
      <c r="E318" s="134" t="s">
        <v>1588</v>
      </c>
      <c r="F318" s="135" t="s">
        <v>1589</v>
      </c>
      <c r="G318" s="136" t="s">
        <v>676</v>
      </c>
      <c r="H318" s="137">
        <v>1</v>
      </c>
      <c r="I318" s="138"/>
      <c r="J318" s="139">
        <f>ROUND(I318*H318,2)</f>
        <v>0</v>
      </c>
      <c r="K318" s="135" t="s">
        <v>3</v>
      </c>
      <c r="L318" s="33"/>
      <c r="M318" s="140" t="s">
        <v>3</v>
      </c>
      <c r="N318" s="141" t="s">
        <v>40</v>
      </c>
      <c r="P318" s="142">
        <f>O318*H318</f>
        <v>0</v>
      </c>
      <c r="Q318" s="142">
        <v>0</v>
      </c>
      <c r="R318" s="142">
        <f>Q318*H318</f>
        <v>0</v>
      </c>
      <c r="S318" s="142">
        <v>0</v>
      </c>
      <c r="T318" s="143">
        <f>S318*H318</f>
        <v>0</v>
      </c>
      <c r="AR318" s="144" t="s">
        <v>158</v>
      </c>
      <c r="AT318" s="144" t="s">
        <v>153</v>
      </c>
      <c r="AU318" s="144" t="s">
        <v>79</v>
      </c>
      <c r="AY318" s="18" t="s">
        <v>151</v>
      </c>
      <c r="BE318" s="145">
        <f>IF(N318="základní",J318,0)</f>
        <v>0</v>
      </c>
      <c r="BF318" s="145">
        <f>IF(N318="snížená",J318,0)</f>
        <v>0</v>
      </c>
      <c r="BG318" s="145">
        <f>IF(N318="zákl. přenesená",J318,0)</f>
        <v>0</v>
      </c>
      <c r="BH318" s="145">
        <f>IF(N318="sníž. přenesená",J318,0)</f>
        <v>0</v>
      </c>
      <c r="BI318" s="145">
        <f>IF(N318="nulová",J318,0)</f>
        <v>0</v>
      </c>
      <c r="BJ318" s="18" t="s">
        <v>77</v>
      </c>
      <c r="BK318" s="145">
        <f>ROUND(I318*H318,2)</f>
        <v>0</v>
      </c>
      <c r="BL318" s="18" t="s">
        <v>158</v>
      </c>
      <c r="BM318" s="144" t="s">
        <v>1590</v>
      </c>
    </row>
    <row r="319" spans="2:65" s="14" customFormat="1" ht="11.25">
      <c r="B319" s="165"/>
      <c r="D319" s="151" t="s">
        <v>162</v>
      </c>
      <c r="E319" s="166" t="s">
        <v>3</v>
      </c>
      <c r="F319" s="167" t="s">
        <v>1591</v>
      </c>
      <c r="H319" s="166" t="s">
        <v>3</v>
      </c>
      <c r="I319" s="168"/>
      <c r="L319" s="165"/>
      <c r="M319" s="169"/>
      <c r="T319" s="170"/>
      <c r="AT319" s="166" t="s">
        <v>162</v>
      </c>
      <c r="AU319" s="166" t="s">
        <v>79</v>
      </c>
      <c r="AV319" s="14" t="s">
        <v>77</v>
      </c>
      <c r="AW319" s="14" t="s">
        <v>30</v>
      </c>
      <c r="AX319" s="14" t="s">
        <v>69</v>
      </c>
      <c r="AY319" s="166" t="s">
        <v>151</v>
      </c>
    </row>
    <row r="320" spans="2:65" s="12" customFormat="1" ht="11.25">
      <c r="B320" s="150"/>
      <c r="D320" s="151" t="s">
        <v>162</v>
      </c>
      <c r="E320" s="152" t="s">
        <v>3</v>
      </c>
      <c r="F320" s="153" t="s">
        <v>77</v>
      </c>
      <c r="H320" s="154">
        <v>1</v>
      </c>
      <c r="I320" s="155"/>
      <c r="L320" s="150"/>
      <c r="M320" s="156"/>
      <c r="T320" s="157"/>
      <c r="AT320" s="152" t="s">
        <v>162</v>
      </c>
      <c r="AU320" s="152" t="s">
        <v>79</v>
      </c>
      <c r="AV320" s="12" t="s">
        <v>79</v>
      </c>
      <c r="AW320" s="12" t="s">
        <v>30</v>
      </c>
      <c r="AX320" s="12" t="s">
        <v>69</v>
      </c>
      <c r="AY320" s="152" t="s">
        <v>151</v>
      </c>
    </row>
    <row r="321" spans="2:65" s="13" customFormat="1" ht="11.25">
      <c r="B321" s="158"/>
      <c r="D321" s="151" t="s">
        <v>162</v>
      </c>
      <c r="E321" s="159" t="s">
        <v>3</v>
      </c>
      <c r="F321" s="160" t="s">
        <v>167</v>
      </c>
      <c r="H321" s="161">
        <v>1</v>
      </c>
      <c r="I321" s="162"/>
      <c r="L321" s="158"/>
      <c r="M321" s="163"/>
      <c r="T321" s="164"/>
      <c r="AT321" s="159" t="s">
        <v>162</v>
      </c>
      <c r="AU321" s="159" t="s">
        <v>79</v>
      </c>
      <c r="AV321" s="13" t="s">
        <v>158</v>
      </c>
      <c r="AW321" s="13" t="s">
        <v>30</v>
      </c>
      <c r="AX321" s="13" t="s">
        <v>77</v>
      </c>
      <c r="AY321" s="159" t="s">
        <v>151</v>
      </c>
    </row>
    <row r="322" spans="2:65" s="11" customFormat="1" ht="22.9" customHeight="1">
      <c r="B322" s="120"/>
      <c r="D322" s="121" t="s">
        <v>68</v>
      </c>
      <c r="E322" s="130" t="s">
        <v>227</v>
      </c>
      <c r="F322" s="130" t="s">
        <v>428</v>
      </c>
      <c r="I322" s="123"/>
      <c r="J322" s="131">
        <f>BK322</f>
        <v>0</v>
      </c>
      <c r="L322" s="120"/>
      <c r="M322" s="125"/>
      <c r="P322" s="126">
        <f>SUM(P323:P370)</f>
        <v>0</v>
      </c>
      <c r="R322" s="126">
        <f>SUM(R323:R370)</f>
        <v>23.622909999999994</v>
      </c>
      <c r="T322" s="127">
        <f>SUM(T323:T370)</f>
        <v>0</v>
      </c>
      <c r="AR322" s="121" t="s">
        <v>77</v>
      </c>
      <c r="AT322" s="128" t="s">
        <v>68</v>
      </c>
      <c r="AU322" s="128" t="s">
        <v>77</v>
      </c>
      <c r="AY322" s="121" t="s">
        <v>151</v>
      </c>
      <c r="BK322" s="129">
        <f>SUM(BK323:BK370)</f>
        <v>0</v>
      </c>
    </row>
    <row r="323" spans="2:65" s="1" customFormat="1" ht="21.75" customHeight="1">
      <c r="B323" s="132"/>
      <c r="C323" s="133" t="s">
        <v>520</v>
      </c>
      <c r="D323" s="133" t="s">
        <v>153</v>
      </c>
      <c r="E323" s="134" t="s">
        <v>1592</v>
      </c>
      <c r="F323" s="135" t="s">
        <v>1593</v>
      </c>
      <c r="G323" s="136" t="s">
        <v>198</v>
      </c>
      <c r="H323" s="137">
        <v>120</v>
      </c>
      <c r="I323" s="138"/>
      <c r="J323" s="139">
        <f>ROUND(I323*H323,2)</f>
        <v>0</v>
      </c>
      <c r="K323" s="135" t="s">
        <v>171</v>
      </c>
      <c r="L323" s="33"/>
      <c r="M323" s="140" t="s">
        <v>3</v>
      </c>
      <c r="N323" s="141" t="s">
        <v>40</v>
      </c>
      <c r="P323" s="142">
        <f>O323*H323</f>
        <v>0</v>
      </c>
      <c r="Q323" s="142">
        <v>8.0879999999999994E-2</v>
      </c>
      <c r="R323" s="142">
        <f>Q323*H323</f>
        <v>9.7055999999999987</v>
      </c>
      <c r="S323" s="142">
        <v>0</v>
      </c>
      <c r="T323" s="143">
        <f>S323*H323</f>
        <v>0</v>
      </c>
      <c r="AR323" s="144" t="s">
        <v>158</v>
      </c>
      <c r="AT323" s="144" t="s">
        <v>153</v>
      </c>
      <c r="AU323" s="144" t="s">
        <v>79</v>
      </c>
      <c r="AY323" s="18" t="s">
        <v>151</v>
      </c>
      <c r="BE323" s="145">
        <f>IF(N323="základní",J323,0)</f>
        <v>0</v>
      </c>
      <c r="BF323" s="145">
        <f>IF(N323="snížená",J323,0)</f>
        <v>0</v>
      </c>
      <c r="BG323" s="145">
        <f>IF(N323="zákl. přenesená",J323,0)</f>
        <v>0</v>
      </c>
      <c r="BH323" s="145">
        <f>IF(N323="sníž. přenesená",J323,0)</f>
        <v>0</v>
      </c>
      <c r="BI323" s="145">
        <f>IF(N323="nulová",J323,0)</f>
        <v>0</v>
      </c>
      <c r="BJ323" s="18" t="s">
        <v>77</v>
      </c>
      <c r="BK323" s="145">
        <f>ROUND(I323*H323,2)</f>
        <v>0</v>
      </c>
      <c r="BL323" s="18" t="s">
        <v>158</v>
      </c>
      <c r="BM323" s="144" t="s">
        <v>1594</v>
      </c>
    </row>
    <row r="324" spans="2:65" s="1" customFormat="1" ht="11.25">
      <c r="B324" s="33"/>
      <c r="D324" s="146" t="s">
        <v>160</v>
      </c>
      <c r="F324" s="147" t="s">
        <v>1595</v>
      </c>
      <c r="I324" s="148"/>
      <c r="L324" s="33"/>
      <c r="M324" s="149"/>
      <c r="T324" s="54"/>
      <c r="AT324" s="18" t="s">
        <v>160</v>
      </c>
      <c r="AU324" s="18" t="s">
        <v>79</v>
      </c>
    </row>
    <row r="325" spans="2:65" s="14" customFormat="1" ht="11.25">
      <c r="B325" s="165"/>
      <c r="D325" s="151" t="s">
        <v>162</v>
      </c>
      <c r="E325" s="166" t="s">
        <v>3</v>
      </c>
      <c r="F325" s="167" t="s">
        <v>1596</v>
      </c>
      <c r="H325" s="166" t="s">
        <v>3</v>
      </c>
      <c r="I325" s="168"/>
      <c r="L325" s="165"/>
      <c r="M325" s="169"/>
      <c r="T325" s="170"/>
      <c r="AT325" s="166" t="s">
        <v>162</v>
      </c>
      <c r="AU325" s="166" t="s">
        <v>79</v>
      </c>
      <c r="AV325" s="14" t="s">
        <v>77</v>
      </c>
      <c r="AW325" s="14" t="s">
        <v>30</v>
      </c>
      <c r="AX325" s="14" t="s">
        <v>69</v>
      </c>
      <c r="AY325" s="166" t="s">
        <v>151</v>
      </c>
    </row>
    <row r="326" spans="2:65" s="12" customFormat="1" ht="11.25">
      <c r="B326" s="150"/>
      <c r="D326" s="151" t="s">
        <v>162</v>
      </c>
      <c r="E326" s="152" t="s">
        <v>3</v>
      </c>
      <c r="F326" s="153" t="s">
        <v>938</v>
      </c>
      <c r="H326" s="154">
        <v>120</v>
      </c>
      <c r="I326" s="155"/>
      <c r="L326" s="150"/>
      <c r="M326" s="156"/>
      <c r="T326" s="157"/>
      <c r="AT326" s="152" t="s">
        <v>162</v>
      </c>
      <c r="AU326" s="152" t="s">
        <v>79</v>
      </c>
      <c r="AV326" s="12" t="s">
        <v>79</v>
      </c>
      <c r="AW326" s="12" t="s">
        <v>30</v>
      </c>
      <c r="AX326" s="12" t="s">
        <v>69</v>
      </c>
      <c r="AY326" s="152" t="s">
        <v>151</v>
      </c>
    </row>
    <row r="327" spans="2:65" s="13" customFormat="1" ht="11.25">
      <c r="B327" s="158"/>
      <c r="D327" s="151" t="s">
        <v>162</v>
      </c>
      <c r="E327" s="159" t="s">
        <v>3</v>
      </c>
      <c r="F327" s="160" t="s">
        <v>167</v>
      </c>
      <c r="H327" s="161">
        <v>120</v>
      </c>
      <c r="I327" s="162"/>
      <c r="L327" s="158"/>
      <c r="M327" s="163"/>
      <c r="T327" s="164"/>
      <c r="AT327" s="159" t="s">
        <v>162</v>
      </c>
      <c r="AU327" s="159" t="s">
        <v>79</v>
      </c>
      <c r="AV327" s="13" t="s">
        <v>158</v>
      </c>
      <c r="AW327" s="13" t="s">
        <v>30</v>
      </c>
      <c r="AX327" s="13" t="s">
        <v>77</v>
      </c>
      <c r="AY327" s="159" t="s">
        <v>151</v>
      </c>
    </row>
    <row r="328" spans="2:65" s="1" customFormat="1" ht="16.5" customHeight="1">
      <c r="B328" s="132"/>
      <c r="C328" s="172" t="s">
        <v>525</v>
      </c>
      <c r="D328" s="172" t="s">
        <v>436</v>
      </c>
      <c r="E328" s="173" t="s">
        <v>1597</v>
      </c>
      <c r="F328" s="174" t="s">
        <v>1598</v>
      </c>
      <c r="G328" s="175" t="s">
        <v>198</v>
      </c>
      <c r="H328" s="176">
        <v>122.4</v>
      </c>
      <c r="I328" s="177"/>
      <c r="J328" s="178">
        <f>ROUND(I328*H328,2)</f>
        <v>0</v>
      </c>
      <c r="K328" s="174" t="s">
        <v>171</v>
      </c>
      <c r="L328" s="179"/>
      <c r="M328" s="180" t="s">
        <v>3</v>
      </c>
      <c r="N328" s="181" t="s">
        <v>40</v>
      </c>
      <c r="P328" s="142">
        <f>O328*H328</f>
        <v>0</v>
      </c>
      <c r="Q328" s="142">
        <v>5.6000000000000001E-2</v>
      </c>
      <c r="R328" s="142">
        <f>Q328*H328</f>
        <v>6.8544</v>
      </c>
      <c r="S328" s="142">
        <v>0</v>
      </c>
      <c r="T328" s="143">
        <f>S328*H328</f>
        <v>0</v>
      </c>
      <c r="AR328" s="144" t="s">
        <v>214</v>
      </c>
      <c r="AT328" s="144" t="s">
        <v>436</v>
      </c>
      <c r="AU328" s="144" t="s">
        <v>79</v>
      </c>
      <c r="AY328" s="18" t="s">
        <v>151</v>
      </c>
      <c r="BE328" s="145">
        <f>IF(N328="základní",J328,0)</f>
        <v>0</v>
      </c>
      <c r="BF328" s="145">
        <f>IF(N328="snížená",J328,0)</f>
        <v>0</v>
      </c>
      <c r="BG328" s="145">
        <f>IF(N328="zákl. přenesená",J328,0)</f>
        <v>0</v>
      </c>
      <c r="BH328" s="145">
        <f>IF(N328="sníž. přenesená",J328,0)</f>
        <v>0</v>
      </c>
      <c r="BI328" s="145">
        <f>IF(N328="nulová",J328,0)</f>
        <v>0</v>
      </c>
      <c r="BJ328" s="18" t="s">
        <v>77</v>
      </c>
      <c r="BK328" s="145">
        <f>ROUND(I328*H328,2)</f>
        <v>0</v>
      </c>
      <c r="BL328" s="18" t="s">
        <v>158</v>
      </c>
      <c r="BM328" s="144" t="s">
        <v>1599</v>
      </c>
    </row>
    <row r="329" spans="2:65" s="14" customFormat="1" ht="11.25">
      <c r="B329" s="165"/>
      <c r="D329" s="151" t="s">
        <v>162</v>
      </c>
      <c r="E329" s="166" t="s">
        <v>3</v>
      </c>
      <c r="F329" s="167" t="s">
        <v>1600</v>
      </c>
      <c r="H329" s="166" t="s">
        <v>3</v>
      </c>
      <c r="I329" s="168"/>
      <c r="L329" s="165"/>
      <c r="M329" s="169"/>
      <c r="T329" s="170"/>
      <c r="AT329" s="166" t="s">
        <v>162</v>
      </c>
      <c r="AU329" s="166" t="s">
        <v>79</v>
      </c>
      <c r="AV329" s="14" t="s">
        <v>77</v>
      </c>
      <c r="AW329" s="14" t="s">
        <v>30</v>
      </c>
      <c r="AX329" s="14" t="s">
        <v>69</v>
      </c>
      <c r="AY329" s="166" t="s">
        <v>151</v>
      </c>
    </row>
    <row r="330" spans="2:65" s="12" customFormat="1" ht="11.25">
      <c r="B330" s="150"/>
      <c r="D330" s="151" t="s">
        <v>162</v>
      </c>
      <c r="E330" s="152" t="s">
        <v>3</v>
      </c>
      <c r="F330" s="153" t="s">
        <v>1601</v>
      </c>
      <c r="H330" s="154">
        <v>122.4</v>
      </c>
      <c r="I330" s="155"/>
      <c r="L330" s="150"/>
      <c r="M330" s="156"/>
      <c r="T330" s="157"/>
      <c r="AT330" s="152" t="s">
        <v>162</v>
      </c>
      <c r="AU330" s="152" t="s">
        <v>79</v>
      </c>
      <c r="AV330" s="12" t="s">
        <v>79</v>
      </c>
      <c r="AW330" s="12" t="s">
        <v>30</v>
      </c>
      <c r="AX330" s="12" t="s">
        <v>69</v>
      </c>
      <c r="AY330" s="152" t="s">
        <v>151</v>
      </c>
    </row>
    <row r="331" spans="2:65" s="13" customFormat="1" ht="11.25">
      <c r="B331" s="158"/>
      <c r="D331" s="151" t="s">
        <v>162</v>
      </c>
      <c r="E331" s="159" t="s">
        <v>3</v>
      </c>
      <c r="F331" s="160" t="s">
        <v>167</v>
      </c>
      <c r="H331" s="161">
        <v>122.4</v>
      </c>
      <c r="I331" s="162"/>
      <c r="L331" s="158"/>
      <c r="M331" s="163"/>
      <c r="T331" s="164"/>
      <c r="AT331" s="159" t="s">
        <v>162</v>
      </c>
      <c r="AU331" s="159" t="s">
        <v>79</v>
      </c>
      <c r="AV331" s="13" t="s">
        <v>158</v>
      </c>
      <c r="AW331" s="13" t="s">
        <v>30</v>
      </c>
      <c r="AX331" s="13" t="s">
        <v>77</v>
      </c>
      <c r="AY331" s="159" t="s">
        <v>151</v>
      </c>
    </row>
    <row r="332" spans="2:65" s="1" customFormat="1" ht="16.5" customHeight="1">
      <c r="B332" s="132"/>
      <c r="C332" s="133" t="s">
        <v>529</v>
      </c>
      <c r="D332" s="133" t="s">
        <v>153</v>
      </c>
      <c r="E332" s="134" t="s">
        <v>1602</v>
      </c>
      <c r="F332" s="135" t="s">
        <v>1603</v>
      </c>
      <c r="G332" s="136" t="s">
        <v>198</v>
      </c>
      <c r="H332" s="137">
        <v>21</v>
      </c>
      <c r="I332" s="138"/>
      <c r="J332" s="139">
        <f>ROUND(I332*H332,2)</f>
        <v>0</v>
      </c>
      <c r="K332" s="135" t="s">
        <v>171</v>
      </c>
      <c r="L332" s="33"/>
      <c r="M332" s="140" t="s">
        <v>3</v>
      </c>
      <c r="N332" s="141" t="s">
        <v>40</v>
      </c>
      <c r="P332" s="142">
        <f>O332*H332</f>
        <v>0</v>
      </c>
      <c r="Q332" s="142">
        <v>0.1295</v>
      </c>
      <c r="R332" s="142">
        <f>Q332*H332</f>
        <v>2.7195</v>
      </c>
      <c r="S332" s="142">
        <v>0</v>
      </c>
      <c r="T332" s="143">
        <f>S332*H332</f>
        <v>0</v>
      </c>
      <c r="AR332" s="144" t="s">
        <v>158</v>
      </c>
      <c r="AT332" s="144" t="s">
        <v>153</v>
      </c>
      <c r="AU332" s="144" t="s">
        <v>79</v>
      </c>
      <c r="AY332" s="18" t="s">
        <v>151</v>
      </c>
      <c r="BE332" s="145">
        <f>IF(N332="základní",J332,0)</f>
        <v>0</v>
      </c>
      <c r="BF332" s="145">
        <f>IF(N332="snížená",J332,0)</f>
        <v>0</v>
      </c>
      <c r="BG332" s="145">
        <f>IF(N332="zákl. přenesená",J332,0)</f>
        <v>0</v>
      </c>
      <c r="BH332" s="145">
        <f>IF(N332="sníž. přenesená",J332,0)</f>
        <v>0</v>
      </c>
      <c r="BI332" s="145">
        <f>IF(N332="nulová",J332,0)</f>
        <v>0</v>
      </c>
      <c r="BJ332" s="18" t="s">
        <v>77</v>
      </c>
      <c r="BK332" s="145">
        <f>ROUND(I332*H332,2)</f>
        <v>0</v>
      </c>
      <c r="BL332" s="18" t="s">
        <v>158</v>
      </c>
      <c r="BM332" s="144" t="s">
        <v>1604</v>
      </c>
    </row>
    <row r="333" spans="2:65" s="1" customFormat="1" ht="11.25">
      <c r="B333" s="33"/>
      <c r="D333" s="146" t="s">
        <v>160</v>
      </c>
      <c r="F333" s="147" t="s">
        <v>1605</v>
      </c>
      <c r="I333" s="148"/>
      <c r="L333" s="33"/>
      <c r="M333" s="149"/>
      <c r="T333" s="54"/>
      <c r="AT333" s="18" t="s">
        <v>160</v>
      </c>
      <c r="AU333" s="18" t="s">
        <v>79</v>
      </c>
    </row>
    <row r="334" spans="2:65" s="14" customFormat="1" ht="11.25">
      <c r="B334" s="165"/>
      <c r="D334" s="151" t="s">
        <v>162</v>
      </c>
      <c r="E334" s="166" t="s">
        <v>3</v>
      </c>
      <c r="F334" s="167" t="s">
        <v>1596</v>
      </c>
      <c r="H334" s="166" t="s">
        <v>3</v>
      </c>
      <c r="I334" s="168"/>
      <c r="L334" s="165"/>
      <c r="M334" s="169"/>
      <c r="T334" s="170"/>
      <c r="AT334" s="166" t="s">
        <v>162</v>
      </c>
      <c r="AU334" s="166" t="s">
        <v>79</v>
      </c>
      <c r="AV334" s="14" t="s">
        <v>77</v>
      </c>
      <c r="AW334" s="14" t="s">
        <v>30</v>
      </c>
      <c r="AX334" s="14" t="s">
        <v>69</v>
      </c>
      <c r="AY334" s="166" t="s">
        <v>151</v>
      </c>
    </row>
    <row r="335" spans="2:65" s="12" customFormat="1" ht="11.25">
      <c r="B335" s="150"/>
      <c r="D335" s="151" t="s">
        <v>162</v>
      </c>
      <c r="E335" s="152" t="s">
        <v>3</v>
      </c>
      <c r="F335" s="153" t="s">
        <v>1606</v>
      </c>
      <c r="H335" s="154">
        <v>21</v>
      </c>
      <c r="I335" s="155"/>
      <c r="L335" s="150"/>
      <c r="M335" s="156"/>
      <c r="T335" s="157"/>
      <c r="AT335" s="152" t="s">
        <v>162</v>
      </c>
      <c r="AU335" s="152" t="s">
        <v>79</v>
      </c>
      <c r="AV335" s="12" t="s">
        <v>79</v>
      </c>
      <c r="AW335" s="12" t="s">
        <v>30</v>
      </c>
      <c r="AX335" s="12" t="s">
        <v>69</v>
      </c>
      <c r="AY335" s="152" t="s">
        <v>151</v>
      </c>
    </row>
    <row r="336" spans="2:65" s="13" customFormat="1" ht="11.25">
      <c r="B336" s="158"/>
      <c r="D336" s="151" t="s">
        <v>162</v>
      </c>
      <c r="E336" s="159" t="s">
        <v>3</v>
      </c>
      <c r="F336" s="160" t="s">
        <v>167</v>
      </c>
      <c r="H336" s="161">
        <v>21</v>
      </c>
      <c r="I336" s="162"/>
      <c r="L336" s="158"/>
      <c r="M336" s="163"/>
      <c r="T336" s="164"/>
      <c r="AT336" s="159" t="s">
        <v>162</v>
      </c>
      <c r="AU336" s="159" t="s">
        <v>79</v>
      </c>
      <c r="AV336" s="13" t="s">
        <v>158</v>
      </c>
      <c r="AW336" s="13" t="s">
        <v>30</v>
      </c>
      <c r="AX336" s="13" t="s">
        <v>77</v>
      </c>
      <c r="AY336" s="159" t="s">
        <v>151</v>
      </c>
    </row>
    <row r="337" spans="2:65" s="1" customFormat="1" ht="16.5" customHeight="1">
      <c r="B337" s="132"/>
      <c r="C337" s="172" t="s">
        <v>533</v>
      </c>
      <c r="D337" s="172" t="s">
        <v>436</v>
      </c>
      <c r="E337" s="173" t="s">
        <v>1607</v>
      </c>
      <c r="F337" s="174" t="s">
        <v>1608</v>
      </c>
      <c r="G337" s="175" t="s">
        <v>198</v>
      </c>
      <c r="H337" s="176">
        <v>21.42</v>
      </c>
      <c r="I337" s="177"/>
      <c r="J337" s="178">
        <f>ROUND(I337*H337,2)</f>
        <v>0</v>
      </c>
      <c r="K337" s="174" t="s">
        <v>171</v>
      </c>
      <c r="L337" s="179"/>
      <c r="M337" s="180" t="s">
        <v>3</v>
      </c>
      <c r="N337" s="181" t="s">
        <v>40</v>
      </c>
      <c r="P337" s="142">
        <f>O337*H337</f>
        <v>0</v>
      </c>
      <c r="Q337" s="142">
        <v>8.5000000000000006E-2</v>
      </c>
      <c r="R337" s="142">
        <f>Q337*H337</f>
        <v>1.8207000000000002</v>
      </c>
      <c r="S337" s="142">
        <v>0</v>
      </c>
      <c r="T337" s="143">
        <f>S337*H337</f>
        <v>0</v>
      </c>
      <c r="AR337" s="144" t="s">
        <v>214</v>
      </c>
      <c r="AT337" s="144" t="s">
        <v>436</v>
      </c>
      <c r="AU337" s="144" t="s">
        <v>79</v>
      </c>
      <c r="AY337" s="18" t="s">
        <v>151</v>
      </c>
      <c r="BE337" s="145">
        <f>IF(N337="základní",J337,0)</f>
        <v>0</v>
      </c>
      <c r="BF337" s="145">
        <f>IF(N337="snížená",J337,0)</f>
        <v>0</v>
      </c>
      <c r="BG337" s="145">
        <f>IF(N337="zákl. přenesená",J337,0)</f>
        <v>0</v>
      </c>
      <c r="BH337" s="145">
        <f>IF(N337="sníž. přenesená",J337,0)</f>
        <v>0</v>
      </c>
      <c r="BI337" s="145">
        <f>IF(N337="nulová",J337,0)</f>
        <v>0</v>
      </c>
      <c r="BJ337" s="18" t="s">
        <v>77</v>
      </c>
      <c r="BK337" s="145">
        <f>ROUND(I337*H337,2)</f>
        <v>0</v>
      </c>
      <c r="BL337" s="18" t="s">
        <v>158</v>
      </c>
      <c r="BM337" s="144" t="s">
        <v>1609</v>
      </c>
    </row>
    <row r="338" spans="2:65" s="14" customFormat="1" ht="11.25">
      <c r="B338" s="165"/>
      <c r="D338" s="151" t="s">
        <v>162</v>
      </c>
      <c r="E338" s="166" t="s">
        <v>3</v>
      </c>
      <c r="F338" s="167" t="s">
        <v>1600</v>
      </c>
      <c r="H338" s="166" t="s">
        <v>3</v>
      </c>
      <c r="I338" s="168"/>
      <c r="L338" s="165"/>
      <c r="M338" s="169"/>
      <c r="T338" s="170"/>
      <c r="AT338" s="166" t="s">
        <v>162</v>
      </c>
      <c r="AU338" s="166" t="s">
        <v>79</v>
      </c>
      <c r="AV338" s="14" t="s">
        <v>77</v>
      </c>
      <c r="AW338" s="14" t="s">
        <v>30</v>
      </c>
      <c r="AX338" s="14" t="s">
        <v>69</v>
      </c>
      <c r="AY338" s="166" t="s">
        <v>151</v>
      </c>
    </row>
    <row r="339" spans="2:65" s="12" customFormat="1" ht="11.25">
      <c r="B339" s="150"/>
      <c r="D339" s="151" t="s">
        <v>162</v>
      </c>
      <c r="E339" s="152" t="s">
        <v>3</v>
      </c>
      <c r="F339" s="153" t="s">
        <v>1610</v>
      </c>
      <c r="H339" s="154">
        <v>21.42</v>
      </c>
      <c r="I339" s="155"/>
      <c r="L339" s="150"/>
      <c r="M339" s="156"/>
      <c r="T339" s="157"/>
      <c r="AT339" s="152" t="s">
        <v>162</v>
      </c>
      <c r="AU339" s="152" t="s">
        <v>79</v>
      </c>
      <c r="AV339" s="12" t="s">
        <v>79</v>
      </c>
      <c r="AW339" s="12" t="s">
        <v>30</v>
      </c>
      <c r="AX339" s="12" t="s">
        <v>69</v>
      </c>
      <c r="AY339" s="152" t="s">
        <v>151</v>
      </c>
    </row>
    <row r="340" spans="2:65" s="13" customFormat="1" ht="11.25">
      <c r="B340" s="158"/>
      <c r="D340" s="151" t="s">
        <v>162</v>
      </c>
      <c r="E340" s="159" t="s">
        <v>3</v>
      </c>
      <c r="F340" s="160" t="s">
        <v>167</v>
      </c>
      <c r="H340" s="161">
        <v>21.42</v>
      </c>
      <c r="I340" s="162"/>
      <c r="L340" s="158"/>
      <c r="M340" s="163"/>
      <c r="T340" s="164"/>
      <c r="AT340" s="159" t="s">
        <v>162</v>
      </c>
      <c r="AU340" s="159" t="s">
        <v>79</v>
      </c>
      <c r="AV340" s="13" t="s">
        <v>158</v>
      </c>
      <c r="AW340" s="13" t="s">
        <v>30</v>
      </c>
      <c r="AX340" s="13" t="s">
        <v>77</v>
      </c>
      <c r="AY340" s="159" t="s">
        <v>151</v>
      </c>
    </row>
    <row r="341" spans="2:65" s="1" customFormat="1" ht="16.5" customHeight="1">
      <c r="B341" s="132"/>
      <c r="C341" s="133" t="s">
        <v>537</v>
      </c>
      <c r="D341" s="133" t="s">
        <v>153</v>
      </c>
      <c r="E341" s="134" t="s">
        <v>1611</v>
      </c>
      <c r="F341" s="135" t="s">
        <v>1612</v>
      </c>
      <c r="G341" s="136" t="s">
        <v>156</v>
      </c>
      <c r="H341" s="137">
        <v>1</v>
      </c>
      <c r="I341" s="138"/>
      <c r="J341" s="139">
        <f>ROUND(I341*H341,2)</f>
        <v>0</v>
      </c>
      <c r="K341" s="135" t="s">
        <v>171</v>
      </c>
      <c r="L341" s="33"/>
      <c r="M341" s="140" t="s">
        <v>3</v>
      </c>
      <c r="N341" s="141" t="s">
        <v>40</v>
      </c>
      <c r="P341" s="142">
        <f>O341*H341</f>
        <v>0</v>
      </c>
      <c r="Q341" s="142">
        <v>2.2563399999999998</v>
      </c>
      <c r="R341" s="142">
        <f>Q341*H341</f>
        <v>2.2563399999999998</v>
      </c>
      <c r="S341" s="142">
        <v>0</v>
      </c>
      <c r="T341" s="143">
        <f>S341*H341</f>
        <v>0</v>
      </c>
      <c r="AR341" s="144" t="s">
        <v>158</v>
      </c>
      <c r="AT341" s="144" t="s">
        <v>153</v>
      </c>
      <c r="AU341" s="144" t="s">
        <v>79</v>
      </c>
      <c r="AY341" s="18" t="s">
        <v>151</v>
      </c>
      <c r="BE341" s="145">
        <f>IF(N341="základní",J341,0)</f>
        <v>0</v>
      </c>
      <c r="BF341" s="145">
        <f>IF(N341="snížená",J341,0)</f>
        <v>0</v>
      </c>
      <c r="BG341" s="145">
        <f>IF(N341="zákl. přenesená",J341,0)</f>
        <v>0</v>
      </c>
      <c r="BH341" s="145">
        <f>IF(N341="sníž. přenesená",J341,0)</f>
        <v>0</v>
      </c>
      <c r="BI341" s="145">
        <f>IF(N341="nulová",J341,0)</f>
        <v>0</v>
      </c>
      <c r="BJ341" s="18" t="s">
        <v>77</v>
      </c>
      <c r="BK341" s="145">
        <f>ROUND(I341*H341,2)</f>
        <v>0</v>
      </c>
      <c r="BL341" s="18" t="s">
        <v>158</v>
      </c>
      <c r="BM341" s="144" t="s">
        <v>1613</v>
      </c>
    </row>
    <row r="342" spans="2:65" s="1" customFormat="1" ht="11.25">
      <c r="B342" s="33"/>
      <c r="D342" s="146" t="s">
        <v>160</v>
      </c>
      <c r="F342" s="147" t="s">
        <v>1614</v>
      </c>
      <c r="I342" s="148"/>
      <c r="L342" s="33"/>
      <c r="M342" s="149"/>
      <c r="T342" s="54"/>
      <c r="AT342" s="18" t="s">
        <v>160</v>
      </c>
      <c r="AU342" s="18" t="s">
        <v>79</v>
      </c>
    </row>
    <row r="343" spans="2:65" s="14" customFormat="1" ht="11.25">
      <c r="B343" s="165"/>
      <c r="D343" s="151" t="s">
        <v>162</v>
      </c>
      <c r="E343" s="166" t="s">
        <v>3</v>
      </c>
      <c r="F343" s="167" t="s">
        <v>1615</v>
      </c>
      <c r="H343" s="166" t="s">
        <v>3</v>
      </c>
      <c r="I343" s="168"/>
      <c r="L343" s="165"/>
      <c r="M343" s="169"/>
      <c r="T343" s="170"/>
      <c r="AT343" s="166" t="s">
        <v>162</v>
      </c>
      <c r="AU343" s="166" t="s">
        <v>79</v>
      </c>
      <c r="AV343" s="14" t="s">
        <v>77</v>
      </c>
      <c r="AW343" s="14" t="s">
        <v>30</v>
      </c>
      <c r="AX343" s="14" t="s">
        <v>69</v>
      </c>
      <c r="AY343" s="166" t="s">
        <v>151</v>
      </c>
    </row>
    <row r="344" spans="2:65" s="12" customFormat="1" ht="11.25">
      <c r="B344" s="150"/>
      <c r="D344" s="151" t="s">
        <v>162</v>
      </c>
      <c r="E344" s="152" t="s">
        <v>3</v>
      </c>
      <c r="F344" s="153" t="s">
        <v>77</v>
      </c>
      <c r="H344" s="154">
        <v>1</v>
      </c>
      <c r="I344" s="155"/>
      <c r="L344" s="150"/>
      <c r="M344" s="156"/>
      <c r="T344" s="157"/>
      <c r="AT344" s="152" t="s">
        <v>162</v>
      </c>
      <c r="AU344" s="152" t="s">
        <v>79</v>
      </c>
      <c r="AV344" s="12" t="s">
        <v>79</v>
      </c>
      <c r="AW344" s="12" t="s">
        <v>30</v>
      </c>
      <c r="AX344" s="12" t="s">
        <v>69</v>
      </c>
      <c r="AY344" s="152" t="s">
        <v>151</v>
      </c>
    </row>
    <row r="345" spans="2:65" s="13" customFormat="1" ht="11.25">
      <c r="B345" s="158"/>
      <c r="D345" s="151" t="s">
        <v>162</v>
      </c>
      <c r="E345" s="159" t="s">
        <v>3</v>
      </c>
      <c r="F345" s="160" t="s">
        <v>167</v>
      </c>
      <c r="H345" s="161">
        <v>1</v>
      </c>
      <c r="I345" s="162"/>
      <c r="L345" s="158"/>
      <c r="M345" s="163"/>
      <c r="T345" s="164"/>
      <c r="AT345" s="159" t="s">
        <v>162</v>
      </c>
      <c r="AU345" s="159" t="s">
        <v>79</v>
      </c>
      <c r="AV345" s="13" t="s">
        <v>158</v>
      </c>
      <c r="AW345" s="13" t="s">
        <v>30</v>
      </c>
      <c r="AX345" s="13" t="s">
        <v>77</v>
      </c>
      <c r="AY345" s="159" t="s">
        <v>151</v>
      </c>
    </row>
    <row r="346" spans="2:65" s="1" customFormat="1" ht="16.5" customHeight="1">
      <c r="B346" s="132"/>
      <c r="C346" s="133" t="s">
        <v>541</v>
      </c>
      <c r="D346" s="133" t="s">
        <v>153</v>
      </c>
      <c r="E346" s="134" t="s">
        <v>1616</v>
      </c>
      <c r="F346" s="135" t="s">
        <v>1617</v>
      </c>
      <c r="G346" s="136" t="s">
        <v>198</v>
      </c>
      <c r="H346" s="137">
        <v>180</v>
      </c>
      <c r="I346" s="138"/>
      <c r="J346" s="139">
        <f>ROUND(I346*H346,2)</f>
        <v>0</v>
      </c>
      <c r="K346" s="135" t="s">
        <v>171</v>
      </c>
      <c r="L346" s="33"/>
      <c r="M346" s="140" t="s">
        <v>3</v>
      </c>
      <c r="N346" s="141" t="s">
        <v>40</v>
      </c>
      <c r="P346" s="142">
        <f>O346*H346</f>
        <v>0</v>
      </c>
      <c r="Q346" s="142">
        <v>1.0000000000000001E-5</v>
      </c>
      <c r="R346" s="142">
        <f>Q346*H346</f>
        <v>1.8000000000000002E-3</v>
      </c>
      <c r="S346" s="142">
        <v>0</v>
      </c>
      <c r="T346" s="143">
        <f>S346*H346</f>
        <v>0</v>
      </c>
      <c r="AR346" s="144" t="s">
        <v>158</v>
      </c>
      <c r="AT346" s="144" t="s">
        <v>153</v>
      </c>
      <c r="AU346" s="144" t="s">
        <v>79</v>
      </c>
      <c r="AY346" s="18" t="s">
        <v>151</v>
      </c>
      <c r="BE346" s="145">
        <f>IF(N346="základní",J346,0)</f>
        <v>0</v>
      </c>
      <c r="BF346" s="145">
        <f>IF(N346="snížená",J346,0)</f>
        <v>0</v>
      </c>
      <c r="BG346" s="145">
        <f>IF(N346="zákl. přenesená",J346,0)</f>
        <v>0</v>
      </c>
      <c r="BH346" s="145">
        <f>IF(N346="sníž. přenesená",J346,0)</f>
        <v>0</v>
      </c>
      <c r="BI346" s="145">
        <f>IF(N346="nulová",J346,0)</f>
        <v>0</v>
      </c>
      <c r="BJ346" s="18" t="s">
        <v>77</v>
      </c>
      <c r="BK346" s="145">
        <f>ROUND(I346*H346,2)</f>
        <v>0</v>
      </c>
      <c r="BL346" s="18" t="s">
        <v>158</v>
      </c>
      <c r="BM346" s="144" t="s">
        <v>1618</v>
      </c>
    </row>
    <row r="347" spans="2:65" s="1" customFormat="1" ht="11.25">
      <c r="B347" s="33"/>
      <c r="D347" s="146" t="s">
        <v>160</v>
      </c>
      <c r="F347" s="147" t="s">
        <v>1619</v>
      </c>
      <c r="I347" s="148"/>
      <c r="L347" s="33"/>
      <c r="M347" s="149"/>
      <c r="T347" s="54"/>
      <c r="AT347" s="18" t="s">
        <v>160</v>
      </c>
      <c r="AU347" s="18" t="s">
        <v>79</v>
      </c>
    </row>
    <row r="348" spans="2:65" s="14" customFormat="1" ht="11.25">
      <c r="B348" s="165"/>
      <c r="D348" s="151" t="s">
        <v>162</v>
      </c>
      <c r="E348" s="166" t="s">
        <v>3</v>
      </c>
      <c r="F348" s="167" t="s">
        <v>1620</v>
      </c>
      <c r="H348" s="166" t="s">
        <v>3</v>
      </c>
      <c r="I348" s="168"/>
      <c r="L348" s="165"/>
      <c r="M348" s="169"/>
      <c r="T348" s="170"/>
      <c r="AT348" s="166" t="s">
        <v>162</v>
      </c>
      <c r="AU348" s="166" t="s">
        <v>79</v>
      </c>
      <c r="AV348" s="14" t="s">
        <v>77</v>
      </c>
      <c r="AW348" s="14" t="s">
        <v>30</v>
      </c>
      <c r="AX348" s="14" t="s">
        <v>69</v>
      </c>
      <c r="AY348" s="166" t="s">
        <v>151</v>
      </c>
    </row>
    <row r="349" spans="2:65" s="12" customFormat="1" ht="11.25">
      <c r="B349" s="150"/>
      <c r="D349" s="151" t="s">
        <v>162</v>
      </c>
      <c r="E349" s="152" t="s">
        <v>3</v>
      </c>
      <c r="F349" s="153" t="s">
        <v>1621</v>
      </c>
      <c r="H349" s="154">
        <v>180</v>
      </c>
      <c r="I349" s="155"/>
      <c r="L349" s="150"/>
      <c r="M349" s="156"/>
      <c r="T349" s="157"/>
      <c r="AT349" s="152" t="s">
        <v>162</v>
      </c>
      <c r="AU349" s="152" t="s">
        <v>79</v>
      </c>
      <c r="AV349" s="12" t="s">
        <v>79</v>
      </c>
      <c r="AW349" s="12" t="s">
        <v>30</v>
      </c>
      <c r="AX349" s="12" t="s">
        <v>69</v>
      </c>
      <c r="AY349" s="152" t="s">
        <v>151</v>
      </c>
    </row>
    <row r="350" spans="2:65" s="13" customFormat="1" ht="11.25">
      <c r="B350" s="158"/>
      <c r="D350" s="151" t="s">
        <v>162</v>
      </c>
      <c r="E350" s="159" t="s">
        <v>3</v>
      </c>
      <c r="F350" s="160" t="s">
        <v>167</v>
      </c>
      <c r="H350" s="161">
        <v>180</v>
      </c>
      <c r="I350" s="162"/>
      <c r="L350" s="158"/>
      <c r="M350" s="163"/>
      <c r="T350" s="164"/>
      <c r="AT350" s="159" t="s">
        <v>162</v>
      </c>
      <c r="AU350" s="159" t="s">
        <v>79</v>
      </c>
      <c r="AV350" s="13" t="s">
        <v>158</v>
      </c>
      <c r="AW350" s="13" t="s">
        <v>30</v>
      </c>
      <c r="AX350" s="13" t="s">
        <v>77</v>
      </c>
      <c r="AY350" s="159" t="s">
        <v>151</v>
      </c>
    </row>
    <row r="351" spans="2:65" s="1" customFormat="1" ht="16.5" customHeight="1">
      <c r="B351" s="132"/>
      <c r="C351" s="133" t="s">
        <v>545</v>
      </c>
      <c r="D351" s="133" t="s">
        <v>153</v>
      </c>
      <c r="E351" s="134" t="s">
        <v>1622</v>
      </c>
      <c r="F351" s="135" t="s">
        <v>1623</v>
      </c>
      <c r="G351" s="136" t="s">
        <v>198</v>
      </c>
      <c r="H351" s="137">
        <v>180</v>
      </c>
      <c r="I351" s="138"/>
      <c r="J351" s="139">
        <f>ROUND(I351*H351,2)</f>
        <v>0</v>
      </c>
      <c r="K351" s="135" t="s">
        <v>171</v>
      </c>
      <c r="L351" s="33"/>
      <c r="M351" s="140" t="s">
        <v>3</v>
      </c>
      <c r="N351" s="141" t="s">
        <v>40</v>
      </c>
      <c r="P351" s="142">
        <f>O351*H351</f>
        <v>0</v>
      </c>
      <c r="Q351" s="142">
        <v>3.4000000000000002E-4</v>
      </c>
      <c r="R351" s="142">
        <f>Q351*H351</f>
        <v>6.1200000000000004E-2</v>
      </c>
      <c r="S351" s="142">
        <v>0</v>
      </c>
      <c r="T351" s="143">
        <f>S351*H351</f>
        <v>0</v>
      </c>
      <c r="AR351" s="144" t="s">
        <v>158</v>
      </c>
      <c r="AT351" s="144" t="s">
        <v>153</v>
      </c>
      <c r="AU351" s="144" t="s">
        <v>79</v>
      </c>
      <c r="AY351" s="18" t="s">
        <v>151</v>
      </c>
      <c r="BE351" s="145">
        <f>IF(N351="základní",J351,0)</f>
        <v>0</v>
      </c>
      <c r="BF351" s="145">
        <f>IF(N351="snížená",J351,0)</f>
        <v>0</v>
      </c>
      <c r="BG351" s="145">
        <f>IF(N351="zákl. přenesená",J351,0)</f>
        <v>0</v>
      </c>
      <c r="BH351" s="145">
        <f>IF(N351="sníž. přenesená",J351,0)</f>
        <v>0</v>
      </c>
      <c r="BI351" s="145">
        <f>IF(N351="nulová",J351,0)</f>
        <v>0</v>
      </c>
      <c r="BJ351" s="18" t="s">
        <v>77</v>
      </c>
      <c r="BK351" s="145">
        <f>ROUND(I351*H351,2)</f>
        <v>0</v>
      </c>
      <c r="BL351" s="18" t="s">
        <v>158</v>
      </c>
      <c r="BM351" s="144" t="s">
        <v>1624</v>
      </c>
    </row>
    <row r="352" spans="2:65" s="1" customFormat="1" ht="11.25">
      <c r="B352" s="33"/>
      <c r="D352" s="146" t="s">
        <v>160</v>
      </c>
      <c r="F352" s="147" t="s">
        <v>1625</v>
      </c>
      <c r="I352" s="148"/>
      <c r="L352" s="33"/>
      <c r="M352" s="149"/>
      <c r="T352" s="54"/>
      <c r="AT352" s="18" t="s">
        <v>160</v>
      </c>
      <c r="AU352" s="18" t="s">
        <v>79</v>
      </c>
    </row>
    <row r="353" spans="2:65" s="14" customFormat="1" ht="11.25">
      <c r="B353" s="165"/>
      <c r="D353" s="151" t="s">
        <v>162</v>
      </c>
      <c r="E353" s="166" t="s">
        <v>3</v>
      </c>
      <c r="F353" s="167" t="s">
        <v>1626</v>
      </c>
      <c r="H353" s="166" t="s">
        <v>3</v>
      </c>
      <c r="I353" s="168"/>
      <c r="L353" s="165"/>
      <c r="M353" s="169"/>
      <c r="T353" s="170"/>
      <c r="AT353" s="166" t="s">
        <v>162</v>
      </c>
      <c r="AU353" s="166" t="s">
        <v>79</v>
      </c>
      <c r="AV353" s="14" t="s">
        <v>77</v>
      </c>
      <c r="AW353" s="14" t="s">
        <v>30</v>
      </c>
      <c r="AX353" s="14" t="s">
        <v>69</v>
      </c>
      <c r="AY353" s="166" t="s">
        <v>151</v>
      </c>
    </row>
    <row r="354" spans="2:65" s="12" customFormat="1" ht="11.25">
      <c r="B354" s="150"/>
      <c r="D354" s="151" t="s">
        <v>162</v>
      </c>
      <c r="E354" s="152" t="s">
        <v>3</v>
      </c>
      <c r="F354" s="153" t="s">
        <v>1621</v>
      </c>
      <c r="H354" s="154">
        <v>180</v>
      </c>
      <c r="I354" s="155"/>
      <c r="L354" s="150"/>
      <c r="M354" s="156"/>
      <c r="T354" s="157"/>
      <c r="AT354" s="152" t="s">
        <v>162</v>
      </c>
      <c r="AU354" s="152" t="s">
        <v>79</v>
      </c>
      <c r="AV354" s="12" t="s">
        <v>79</v>
      </c>
      <c r="AW354" s="12" t="s">
        <v>30</v>
      </c>
      <c r="AX354" s="12" t="s">
        <v>69</v>
      </c>
      <c r="AY354" s="152" t="s">
        <v>151</v>
      </c>
    </row>
    <row r="355" spans="2:65" s="13" customFormat="1" ht="11.25">
      <c r="B355" s="158"/>
      <c r="D355" s="151" t="s">
        <v>162</v>
      </c>
      <c r="E355" s="159" t="s">
        <v>3</v>
      </c>
      <c r="F355" s="160" t="s">
        <v>167</v>
      </c>
      <c r="H355" s="161">
        <v>180</v>
      </c>
      <c r="I355" s="162"/>
      <c r="L355" s="158"/>
      <c r="M355" s="163"/>
      <c r="T355" s="164"/>
      <c r="AT355" s="159" t="s">
        <v>162</v>
      </c>
      <c r="AU355" s="159" t="s">
        <v>79</v>
      </c>
      <c r="AV355" s="13" t="s">
        <v>158</v>
      </c>
      <c r="AW355" s="13" t="s">
        <v>30</v>
      </c>
      <c r="AX355" s="13" t="s">
        <v>77</v>
      </c>
      <c r="AY355" s="159" t="s">
        <v>151</v>
      </c>
    </row>
    <row r="356" spans="2:65" s="1" customFormat="1" ht="16.5" customHeight="1">
      <c r="B356" s="132"/>
      <c r="C356" s="133" t="s">
        <v>549</v>
      </c>
      <c r="D356" s="133" t="s">
        <v>153</v>
      </c>
      <c r="E356" s="134" t="s">
        <v>1622</v>
      </c>
      <c r="F356" s="135" t="s">
        <v>1623</v>
      </c>
      <c r="G356" s="136" t="s">
        <v>198</v>
      </c>
      <c r="H356" s="137">
        <v>88</v>
      </c>
      <c r="I356" s="138"/>
      <c r="J356" s="139">
        <f>ROUND(I356*H356,2)</f>
        <v>0</v>
      </c>
      <c r="K356" s="135" t="s">
        <v>171</v>
      </c>
      <c r="L356" s="33"/>
      <c r="M356" s="140" t="s">
        <v>3</v>
      </c>
      <c r="N356" s="141" t="s">
        <v>40</v>
      </c>
      <c r="P356" s="142">
        <f>O356*H356</f>
        <v>0</v>
      </c>
      <c r="Q356" s="142">
        <v>3.4000000000000002E-4</v>
      </c>
      <c r="R356" s="142">
        <f>Q356*H356</f>
        <v>2.9920000000000002E-2</v>
      </c>
      <c r="S356" s="142">
        <v>0</v>
      </c>
      <c r="T356" s="143">
        <f>S356*H356</f>
        <v>0</v>
      </c>
      <c r="AR356" s="144" t="s">
        <v>158</v>
      </c>
      <c r="AT356" s="144" t="s">
        <v>153</v>
      </c>
      <c r="AU356" s="144" t="s">
        <v>79</v>
      </c>
      <c r="AY356" s="18" t="s">
        <v>151</v>
      </c>
      <c r="BE356" s="145">
        <f>IF(N356="základní",J356,0)</f>
        <v>0</v>
      </c>
      <c r="BF356" s="145">
        <f>IF(N356="snížená",J356,0)</f>
        <v>0</v>
      </c>
      <c r="BG356" s="145">
        <f>IF(N356="zákl. přenesená",J356,0)</f>
        <v>0</v>
      </c>
      <c r="BH356" s="145">
        <f>IF(N356="sníž. přenesená",J356,0)</f>
        <v>0</v>
      </c>
      <c r="BI356" s="145">
        <f>IF(N356="nulová",J356,0)</f>
        <v>0</v>
      </c>
      <c r="BJ356" s="18" t="s">
        <v>77</v>
      </c>
      <c r="BK356" s="145">
        <f>ROUND(I356*H356,2)</f>
        <v>0</v>
      </c>
      <c r="BL356" s="18" t="s">
        <v>158</v>
      </c>
      <c r="BM356" s="144" t="s">
        <v>1627</v>
      </c>
    </row>
    <row r="357" spans="2:65" s="1" customFormat="1" ht="11.25">
      <c r="B357" s="33"/>
      <c r="D357" s="146" t="s">
        <v>160</v>
      </c>
      <c r="F357" s="147" t="s">
        <v>1625</v>
      </c>
      <c r="I357" s="148"/>
      <c r="L357" s="33"/>
      <c r="M357" s="149"/>
      <c r="T357" s="54"/>
      <c r="AT357" s="18" t="s">
        <v>160</v>
      </c>
      <c r="AU357" s="18" t="s">
        <v>79</v>
      </c>
    </row>
    <row r="358" spans="2:65" s="14" customFormat="1" ht="11.25">
      <c r="B358" s="165"/>
      <c r="D358" s="151" t="s">
        <v>162</v>
      </c>
      <c r="E358" s="166" t="s">
        <v>3</v>
      </c>
      <c r="F358" s="167" t="s">
        <v>1628</v>
      </c>
      <c r="H358" s="166" t="s">
        <v>3</v>
      </c>
      <c r="I358" s="168"/>
      <c r="L358" s="165"/>
      <c r="M358" s="169"/>
      <c r="T358" s="170"/>
      <c r="AT358" s="166" t="s">
        <v>162</v>
      </c>
      <c r="AU358" s="166" t="s">
        <v>79</v>
      </c>
      <c r="AV358" s="14" t="s">
        <v>77</v>
      </c>
      <c r="AW358" s="14" t="s">
        <v>30</v>
      </c>
      <c r="AX358" s="14" t="s">
        <v>69</v>
      </c>
      <c r="AY358" s="166" t="s">
        <v>151</v>
      </c>
    </row>
    <row r="359" spans="2:65" s="12" customFormat="1" ht="11.25">
      <c r="B359" s="150"/>
      <c r="D359" s="151" t="s">
        <v>162</v>
      </c>
      <c r="E359" s="152" t="s">
        <v>3</v>
      </c>
      <c r="F359" s="153" t="s">
        <v>1320</v>
      </c>
      <c r="H359" s="154">
        <v>88</v>
      </c>
      <c r="I359" s="155"/>
      <c r="L359" s="150"/>
      <c r="M359" s="156"/>
      <c r="T359" s="157"/>
      <c r="AT359" s="152" t="s">
        <v>162</v>
      </c>
      <c r="AU359" s="152" t="s">
        <v>79</v>
      </c>
      <c r="AV359" s="12" t="s">
        <v>79</v>
      </c>
      <c r="AW359" s="12" t="s">
        <v>30</v>
      </c>
      <c r="AX359" s="12" t="s">
        <v>69</v>
      </c>
      <c r="AY359" s="152" t="s">
        <v>151</v>
      </c>
    </row>
    <row r="360" spans="2:65" s="13" customFormat="1" ht="11.25">
      <c r="B360" s="158"/>
      <c r="D360" s="151" t="s">
        <v>162</v>
      </c>
      <c r="E360" s="159" t="s">
        <v>3</v>
      </c>
      <c r="F360" s="160" t="s">
        <v>167</v>
      </c>
      <c r="H360" s="161">
        <v>88</v>
      </c>
      <c r="I360" s="162"/>
      <c r="L360" s="158"/>
      <c r="M360" s="163"/>
      <c r="T360" s="164"/>
      <c r="AT360" s="159" t="s">
        <v>162</v>
      </c>
      <c r="AU360" s="159" t="s">
        <v>79</v>
      </c>
      <c r="AV360" s="13" t="s">
        <v>158</v>
      </c>
      <c r="AW360" s="13" t="s">
        <v>30</v>
      </c>
      <c r="AX360" s="13" t="s">
        <v>77</v>
      </c>
      <c r="AY360" s="159" t="s">
        <v>151</v>
      </c>
    </row>
    <row r="361" spans="2:65" s="1" customFormat="1" ht="16.5" customHeight="1">
      <c r="B361" s="132"/>
      <c r="C361" s="133" t="s">
        <v>553</v>
      </c>
      <c r="D361" s="133" t="s">
        <v>153</v>
      </c>
      <c r="E361" s="134" t="s">
        <v>1629</v>
      </c>
      <c r="F361" s="135" t="s">
        <v>1630</v>
      </c>
      <c r="G361" s="136" t="s">
        <v>230</v>
      </c>
      <c r="H361" s="137">
        <v>17</v>
      </c>
      <c r="I361" s="138"/>
      <c r="J361" s="139">
        <f>ROUND(I361*H361,2)</f>
        <v>0</v>
      </c>
      <c r="K361" s="135" t="s">
        <v>171</v>
      </c>
      <c r="L361" s="33"/>
      <c r="M361" s="140" t="s">
        <v>3</v>
      </c>
      <c r="N361" s="141" t="s">
        <v>40</v>
      </c>
      <c r="P361" s="142">
        <f>O361*H361</f>
        <v>0</v>
      </c>
      <c r="Q361" s="142">
        <v>2.5000000000000001E-4</v>
      </c>
      <c r="R361" s="142">
        <f>Q361*H361</f>
        <v>4.2500000000000003E-3</v>
      </c>
      <c r="S361" s="142">
        <v>0</v>
      </c>
      <c r="T361" s="143">
        <f>S361*H361</f>
        <v>0</v>
      </c>
      <c r="AR361" s="144" t="s">
        <v>158</v>
      </c>
      <c r="AT361" s="144" t="s">
        <v>153</v>
      </c>
      <c r="AU361" s="144" t="s">
        <v>79</v>
      </c>
      <c r="AY361" s="18" t="s">
        <v>151</v>
      </c>
      <c r="BE361" s="145">
        <f>IF(N361="základní",J361,0)</f>
        <v>0</v>
      </c>
      <c r="BF361" s="145">
        <f>IF(N361="snížená",J361,0)</f>
        <v>0</v>
      </c>
      <c r="BG361" s="145">
        <f>IF(N361="zákl. přenesená",J361,0)</f>
        <v>0</v>
      </c>
      <c r="BH361" s="145">
        <f>IF(N361="sníž. přenesená",J361,0)</f>
        <v>0</v>
      </c>
      <c r="BI361" s="145">
        <f>IF(N361="nulová",J361,0)</f>
        <v>0</v>
      </c>
      <c r="BJ361" s="18" t="s">
        <v>77</v>
      </c>
      <c r="BK361" s="145">
        <f>ROUND(I361*H361,2)</f>
        <v>0</v>
      </c>
      <c r="BL361" s="18" t="s">
        <v>158</v>
      </c>
      <c r="BM361" s="144" t="s">
        <v>1631</v>
      </c>
    </row>
    <row r="362" spans="2:65" s="1" customFormat="1" ht="11.25">
      <c r="B362" s="33"/>
      <c r="D362" s="146" t="s">
        <v>160</v>
      </c>
      <c r="F362" s="147" t="s">
        <v>1632</v>
      </c>
      <c r="I362" s="148"/>
      <c r="L362" s="33"/>
      <c r="M362" s="149"/>
      <c r="T362" s="54"/>
      <c r="AT362" s="18" t="s">
        <v>160</v>
      </c>
      <c r="AU362" s="18" t="s">
        <v>79</v>
      </c>
    </row>
    <row r="363" spans="2:65" s="14" customFormat="1" ht="11.25">
      <c r="B363" s="165"/>
      <c r="D363" s="151" t="s">
        <v>162</v>
      </c>
      <c r="E363" s="166" t="s">
        <v>3</v>
      </c>
      <c r="F363" s="167" t="s">
        <v>1633</v>
      </c>
      <c r="H363" s="166" t="s">
        <v>3</v>
      </c>
      <c r="I363" s="168"/>
      <c r="L363" s="165"/>
      <c r="M363" s="169"/>
      <c r="T363" s="170"/>
      <c r="AT363" s="166" t="s">
        <v>162</v>
      </c>
      <c r="AU363" s="166" t="s">
        <v>79</v>
      </c>
      <c r="AV363" s="14" t="s">
        <v>77</v>
      </c>
      <c r="AW363" s="14" t="s">
        <v>30</v>
      </c>
      <c r="AX363" s="14" t="s">
        <v>69</v>
      </c>
      <c r="AY363" s="166" t="s">
        <v>151</v>
      </c>
    </row>
    <row r="364" spans="2:65" s="12" customFormat="1" ht="11.25">
      <c r="B364" s="150"/>
      <c r="D364" s="151" t="s">
        <v>162</v>
      </c>
      <c r="E364" s="152" t="s">
        <v>3</v>
      </c>
      <c r="F364" s="153" t="s">
        <v>1541</v>
      </c>
      <c r="H364" s="154">
        <v>17</v>
      </c>
      <c r="I364" s="155"/>
      <c r="L364" s="150"/>
      <c r="M364" s="156"/>
      <c r="T364" s="157"/>
      <c r="AT364" s="152" t="s">
        <v>162</v>
      </c>
      <c r="AU364" s="152" t="s">
        <v>79</v>
      </c>
      <c r="AV364" s="12" t="s">
        <v>79</v>
      </c>
      <c r="AW364" s="12" t="s">
        <v>30</v>
      </c>
      <c r="AX364" s="12" t="s">
        <v>69</v>
      </c>
      <c r="AY364" s="152" t="s">
        <v>151</v>
      </c>
    </row>
    <row r="365" spans="2:65" s="13" customFormat="1" ht="11.25">
      <c r="B365" s="158"/>
      <c r="D365" s="151" t="s">
        <v>162</v>
      </c>
      <c r="E365" s="159" t="s">
        <v>3</v>
      </c>
      <c r="F365" s="160" t="s">
        <v>167</v>
      </c>
      <c r="H365" s="161">
        <v>17</v>
      </c>
      <c r="I365" s="162"/>
      <c r="L365" s="158"/>
      <c r="M365" s="163"/>
      <c r="T365" s="164"/>
      <c r="AT365" s="159" t="s">
        <v>162</v>
      </c>
      <c r="AU365" s="159" t="s">
        <v>79</v>
      </c>
      <c r="AV365" s="13" t="s">
        <v>158</v>
      </c>
      <c r="AW365" s="13" t="s">
        <v>30</v>
      </c>
      <c r="AX365" s="13" t="s">
        <v>77</v>
      </c>
      <c r="AY365" s="159" t="s">
        <v>151</v>
      </c>
    </row>
    <row r="366" spans="2:65" s="1" customFormat="1" ht="21.75" customHeight="1">
      <c r="B366" s="132"/>
      <c r="C366" s="133" t="s">
        <v>559</v>
      </c>
      <c r="D366" s="133" t="s">
        <v>153</v>
      </c>
      <c r="E366" s="134" t="s">
        <v>1634</v>
      </c>
      <c r="F366" s="135" t="s">
        <v>1635</v>
      </c>
      <c r="G366" s="136" t="s">
        <v>230</v>
      </c>
      <c r="H366" s="137">
        <v>470</v>
      </c>
      <c r="I366" s="138"/>
      <c r="J366" s="139">
        <f>ROUND(I366*H366,2)</f>
        <v>0</v>
      </c>
      <c r="K366" s="135" t="s">
        <v>171</v>
      </c>
      <c r="L366" s="33"/>
      <c r="M366" s="140" t="s">
        <v>3</v>
      </c>
      <c r="N366" s="141" t="s">
        <v>40</v>
      </c>
      <c r="P366" s="142">
        <f>O366*H366</f>
        <v>0</v>
      </c>
      <c r="Q366" s="142">
        <v>3.6000000000000002E-4</v>
      </c>
      <c r="R366" s="142">
        <f>Q366*H366</f>
        <v>0.16920000000000002</v>
      </c>
      <c r="S366" s="142">
        <v>0</v>
      </c>
      <c r="T366" s="143">
        <f>S366*H366</f>
        <v>0</v>
      </c>
      <c r="AR366" s="144" t="s">
        <v>158</v>
      </c>
      <c r="AT366" s="144" t="s">
        <v>153</v>
      </c>
      <c r="AU366" s="144" t="s">
        <v>79</v>
      </c>
      <c r="AY366" s="18" t="s">
        <v>151</v>
      </c>
      <c r="BE366" s="145">
        <f>IF(N366="základní",J366,0)</f>
        <v>0</v>
      </c>
      <c r="BF366" s="145">
        <f>IF(N366="snížená",J366,0)</f>
        <v>0</v>
      </c>
      <c r="BG366" s="145">
        <f>IF(N366="zákl. přenesená",J366,0)</f>
        <v>0</v>
      </c>
      <c r="BH366" s="145">
        <f>IF(N366="sníž. přenesená",J366,0)</f>
        <v>0</v>
      </c>
      <c r="BI366" s="145">
        <f>IF(N366="nulová",J366,0)</f>
        <v>0</v>
      </c>
      <c r="BJ366" s="18" t="s">
        <v>77</v>
      </c>
      <c r="BK366" s="145">
        <f>ROUND(I366*H366,2)</f>
        <v>0</v>
      </c>
      <c r="BL366" s="18" t="s">
        <v>158</v>
      </c>
      <c r="BM366" s="144" t="s">
        <v>1636</v>
      </c>
    </row>
    <row r="367" spans="2:65" s="1" customFormat="1" ht="11.25">
      <c r="B367" s="33"/>
      <c r="D367" s="146" t="s">
        <v>160</v>
      </c>
      <c r="F367" s="147" t="s">
        <v>1637</v>
      </c>
      <c r="I367" s="148"/>
      <c r="L367" s="33"/>
      <c r="M367" s="149"/>
      <c r="T367" s="54"/>
      <c r="AT367" s="18" t="s">
        <v>160</v>
      </c>
      <c r="AU367" s="18" t="s">
        <v>79</v>
      </c>
    </row>
    <row r="368" spans="2:65" s="14" customFormat="1" ht="11.25">
      <c r="B368" s="165"/>
      <c r="D368" s="151" t="s">
        <v>162</v>
      </c>
      <c r="E368" s="166" t="s">
        <v>3</v>
      </c>
      <c r="F368" s="167" t="s">
        <v>1638</v>
      </c>
      <c r="H368" s="166" t="s">
        <v>3</v>
      </c>
      <c r="I368" s="168"/>
      <c r="L368" s="165"/>
      <c r="M368" s="169"/>
      <c r="T368" s="170"/>
      <c r="AT368" s="166" t="s">
        <v>162</v>
      </c>
      <c r="AU368" s="166" t="s">
        <v>79</v>
      </c>
      <c r="AV368" s="14" t="s">
        <v>77</v>
      </c>
      <c r="AW368" s="14" t="s">
        <v>30</v>
      </c>
      <c r="AX368" s="14" t="s">
        <v>69</v>
      </c>
      <c r="AY368" s="166" t="s">
        <v>151</v>
      </c>
    </row>
    <row r="369" spans="2:65" s="12" customFormat="1" ht="11.25">
      <c r="B369" s="150"/>
      <c r="D369" s="151" t="s">
        <v>162</v>
      </c>
      <c r="E369" s="152" t="s">
        <v>3</v>
      </c>
      <c r="F369" s="153" t="s">
        <v>1639</v>
      </c>
      <c r="H369" s="154">
        <v>470</v>
      </c>
      <c r="I369" s="155"/>
      <c r="L369" s="150"/>
      <c r="M369" s="156"/>
      <c r="T369" s="157"/>
      <c r="AT369" s="152" t="s">
        <v>162</v>
      </c>
      <c r="AU369" s="152" t="s">
        <v>79</v>
      </c>
      <c r="AV369" s="12" t="s">
        <v>79</v>
      </c>
      <c r="AW369" s="12" t="s">
        <v>30</v>
      </c>
      <c r="AX369" s="12" t="s">
        <v>69</v>
      </c>
      <c r="AY369" s="152" t="s">
        <v>151</v>
      </c>
    </row>
    <row r="370" spans="2:65" s="13" customFormat="1" ht="11.25">
      <c r="B370" s="158"/>
      <c r="D370" s="151" t="s">
        <v>162</v>
      </c>
      <c r="E370" s="159" t="s">
        <v>3</v>
      </c>
      <c r="F370" s="160" t="s">
        <v>167</v>
      </c>
      <c r="H370" s="161">
        <v>470</v>
      </c>
      <c r="I370" s="162"/>
      <c r="L370" s="158"/>
      <c r="M370" s="163"/>
      <c r="T370" s="164"/>
      <c r="AT370" s="159" t="s">
        <v>162</v>
      </c>
      <c r="AU370" s="159" t="s">
        <v>79</v>
      </c>
      <c r="AV370" s="13" t="s">
        <v>158</v>
      </c>
      <c r="AW370" s="13" t="s">
        <v>30</v>
      </c>
      <c r="AX370" s="13" t="s">
        <v>77</v>
      </c>
      <c r="AY370" s="159" t="s">
        <v>151</v>
      </c>
    </row>
    <row r="371" spans="2:65" s="11" customFormat="1" ht="22.9" customHeight="1">
      <c r="B371" s="120"/>
      <c r="D371" s="121" t="s">
        <v>68</v>
      </c>
      <c r="E371" s="130" t="s">
        <v>557</v>
      </c>
      <c r="F371" s="130" t="s">
        <v>558</v>
      </c>
      <c r="I371" s="123"/>
      <c r="J371" s="131">
        <f>BK371</f>
        <v>0</v>
      </c>
      <c r="L371" s="120"/>
      <c r="M371" s="125"/>
      <c r="P371" s="126">
        <f>SUM(P372:P375)</f>
        <v>0</v>
      </c>
      <c r="R371" s="126">
        <f>SUM(R372:R375)</f>
        <v>0</v>
      </c>
      <c r="T371" s="127">
        <f>SUM(T372:T375)</f>
        <v>0</v>
      </c>
      <c r="AR371" s="121" t="s">
        <v>77</v>
      </c>
      <c r="AT371" s="128" t="s">
        <v>68</v>
      </c>
      <c r="AU371" s="128" t="s">
        <v>77</v>
      </c>
      <c r="AY371" s="121" t="s">
        <v>151</v>
      </c>
      <c r="BK371" s="129">
        <f>SUM(BK372:BK375)</f>
        <v>0</v>
      </c>
    </row>
    <row r="372" spans="2:65" s="1" customFormat="1" ht="21.75" customHeight="1">
      <c r="B372" s="132"/>
      <c r="C372" s="133" t="s">
        <v>568</v>
      </c>
      <c r="D372" s="133" t="s">
        <v>153</v>
      </c>
      <c r="E372" s="134" t="s">
        <v>1389</v>
      </c>
      <c r="F372" s="135" t="s">
        <v>1390</v>
      </c>
      <c r="G372" s="136" t="s">
        <v>183</v>
      </c>
      <c r="H372" s="137">
        <v>33.351999999999997</v>
      </c>
      <c r="I372" s="138"/>
      <c r="J372" s="139">
        <f>ROUND(I372*H372,2)</f>
        <v>0</v>
      </c>
      <c r="K372" s="135" t="s">
        <v>171</v>
      </c>
      <c r="L372" s="33"/>
      <c r="M372" s="140" t="s">
        <v>3</v>
      </c>
      <c r="N372" s="141" t="s">
        <v>40</v>
      </c>
      <c r="P372" s="142">
        <f>O372*H372</f>
        <v>0</v>
      </c>
      <c r="Q372" s="142">
        <v>0</v>
      </c>
      <c r="R372" s="142">
        <f>Q372*H372</f>
        <v>0</v>
      </c>
      <c r="S372" s="142">
        <v>0</v>
      </c>
      <c r="T372" s="143">
        <f>S372*H372</f>
        <v>0</v>
      </c>
      <c r="AR372" s="144" t="s">
        <v>158</v>
      </c>
      <c r="AT372" s="144" t="s">
        <v>153</v>
      </c>
      <c r="AU372" s="144" t="s">
        <v>79</v>
      </c>
      <c r="AY372" s="18" t="s">
        <v>151</v>
      </c>
      <c r="BE372" s="145">
        <f>IF(N372="základní",J372,0)</f>
        <v>0</v>
      </c>
      <c r="BF372" s="145">
        <f>IF(N372="snížená",J372,0)</f>
        <v>0</v>
      </c>
      <c r="BG372" s="145">
        <f>IF(N372="zákl. přenesená",J372,0)</f>
        <v>0</v>
      </c>
      <c r="BH372" s="145">
        <f>IF(N372="sníž. přenesená",J372,0)</f>
        <v>0</v>
      </c>
      <c r="BI372" s="145">
        <f>IF(N372="nulová",J372,0)</f>
        <v>0</v>
      </c>
      <c r="BJ372" s="18" t="s">
        <v>77</v>
      </c>
      <c r="BK372" s="145">
        <f>ROUND(I372*H372,2)</f>
        <v>0</v>
      </c>
      <c r="BL372" s="18" t="s">
        <v>158</v>
      </c>
      <c r="BM372" s="144" t="s">
        <v>1640</v>
      </c>
    </row>
    <row r="373" spans="2:65" s="1" customFormat="1" ht="11.25">
      <c r="B373" s="33"/>
      <c r="D373" s="146" t="s">
        <v>160</v>
      </c>
      <c r="F373" s="147" t="s">
        <v>1392</v>
      </c>
      <c r="I373" s="148"/>
      <c r="L373" s="33"/>
      <c r="M373" s="149"/>
      <c r="T373" s="54"/>
      <c r="AT373" s="18" t="s">
        <v>160</v>
      </c>
      <c r="AU373" s="18" t="s">
        <v>79</v>
      </c>
    </row>
    <row r="374" spans="2:65" s="1" customFormat="1" ht="21.75" customHeight="1">
      <c r="B374" s="132"/>
      <c r="C374" s="133" t="s">
        <v>573</v>
      </c>
      <c r="D374" s="133" t="s">
        <v>153</v>
      </c>
      <c r="E374" s="134" t="s">
        <v>1393</v>
      </c>
      <c r="F374" s="135" t="s">
        <v>1394</v>
      </c>
      <c r="G374" s="136" t="s">
        <v>183</v>
      </c>
      <c r="H374" s="137">
        <v>33.351999999999997</v>
      </c>
      <c r="I374" s="138"/>
      <c r="J374" s="139">
        <f>ROUND(I374*H374,2)</f>
        <v>0</v>
      </c>
      <c r="K374" s="135" t="s">
        <v>171</v>
      </c>
      <c r="L374" s="33"/>
      <c r="M374" s="140" t="s">
        <v>3</v>
      </c>
      <c r="N374" s="141" t="s">
        <v>40</v>
      </c>
      <c r="P374" s="142">
        <f>O374*H374</f>
        <v>0</v>
      </c>
      <c r="Q374" s="142">
        <v>0</v>
      </c>
      <c r="R374" s="142">
        <f>Q374*H374</f>
        <v>0</v>
      </c>
      <c r="S374" s="142">
        <v>0</v>
      </c>
      <c r="T374" s="143">
        <f>S374*H374</f>
        <v>0</v>
      </c>
      <c r="AR374" s="144" t="s">
        <v>158</v>
      </c>
      <c r="AT374" s="144" t="s">
        <v>153</v>
      </c>
      <c r="AU374" s="144" t="s">
        <v>79</v>
      </c>
      <c r="AY374" s="18" t="s">
        <v>151</v>
      </c>
      <c r="BE374" s="145">
        <f>IF(N374="základní",J374,0)</f>
        <v>0</v>
      </c>
      <c r="BF374" s="145">
        <f>IF(N374="snížená",J374,0)</f>
        <v>0</v>
      </c>
      <c r="BG374" s="145">
        <f>IF(N374="zákl. přenesená",J374,0)</f>
        <v>0</v>
      </c>
      <c r="BH374" s="145">
        <f>IF(N374="sníž. přenesená",J374,0)</f>
        <v>0</v>
      </c>
      <c r="BI374" s="145">
        <f>IF(N374="nulová",J374,0)</f>
        <v>0</v>
      </c>
      <c r="BJ374" s="18" t="s">
        <v>77</v>
      </c>
      <c r="BK374" s="145">
        <f>ROUND(I374*H374,2)</f>
        <v>0</v>
      </c>
      <c r="BL374" s="18" t="s">
        <v>158</v>
      </c>
      <c r="BM374" s="144" t="s">
        <v>1641</v>
      </c>
    </row>
    <row r="375" spans="2:65" s="1" customFormat="1" ht="11.25">
      <c r="B375" s="33"/>
      <c r="D375" s="146" t="s">
        <v>160</v>
      </c>
      <c r="F375" s="147" t="s">
        <v>1396</v>
      </c>
      <c r="I375" s="148"/>
      <c r="L375" s="33"/>
      <c r="M375" s="149"/>
      <c r="T375" s="54"/>
      <c r="AT375" s="18" t="s">
        <v>160</v>
      </c>
      <c r="AU375" s="18" t="s">
        <v>79</v>
      </c>
    </row>
    <row r="376" spans="2:65" s="11" customFormat="1" ht="25.9" customHeight="1">
      <c r="B376" s="120"/>
      <c r="D376" s="121" t="s">
        <v>68</v>
      </c>
      <c r="E376" s="122" t="s">
        <v>112</v>
      </c>
      <c r="F376" s="122" t="s">
        <v>1642</v>
      </c>
      <c r="I376" s="123"/>
      <c r="J376" s="124">
        <f>BK376</f>
        <v>0</v>
      </c>
      <c r="L376" s="120"/>
      <c r="M376" s="125"/>
      <c r="P376" s="126">
        <f>P377</f>
        <v>0</v>
      </c>
      <c r="R376" s="126">
        <f>R377</f>
        <v>0</v>
      </c>
      <c r="T376" s="127">
        <f>T377</f>
        <v>0</v>
      </c>
      <c r="AR376" s="121" t="s">
        <v>180</v>
      </c>
      <c r="AT376" s="128" t="s">
        <v>68</v>
      </c>
      <c r="AU376" s="128" t="s">
        <v>69</v>
      </c>
      <c r="AY376" s="121" t="s">
        <v>151</v>
      </c>
      <c r="BK376" s="129">
        <f>BK377</f>
        <v>0</v>
      </c>
    </row>
    <row r="377" spans="2:65" s="11" customFormat="1" ht="22.9" customHeight="1">
      <c r="B377" s="120"/>
      <c r="D377" s="121" t="s">
        <v>68</v>
      </c>
      <c r="E377" s="130" t="s">
        <v>1643</v>
      </c>
      <c r="F377" s="130" t="s">
        <v>1644</v>
      </c>
      <c r="I377" s="123"/>
      <c r="J377" s="131">
        <f>BK377</f>
        <v>0</v>
      </c>
      <c r="L377" s="120"/>
      <c r="M377" s="125"/>
      <c r="P377" s="126">
        <f>SUM(P378:P379)</f>
        <v>0</v>
      </c>
      <c r="R377" s="126">
        <f>SUM(R378:R379)</f>
        <v>0</v>
      </c>
      <c r="T377" s="127">
        <f>SUM(T378:T379)</f>
        <v>0</v>
      </c>
      <c r="AR377" s="121" t="s">
        <v>180</v>
      </c>
      <c r="AT377" s="128" t="s">
        <v>68</v>
      </c>
      <c r="AU377" s="128" t="s">
        <v>77</v>
      </c>
      <c r="AY377" s="121" t="s">
        <v>151</v>
      </c>
      <c r="BK377" s="129">
        <f>SUM(BK378:BK379)</f>
        <v>0</v>
      </c>
    </row>
    <row r="378" spans="2:65" s="1" customFormat="1" ht="16.5" customHeight="1">
      <c r="B378" s="132"/>
      <c r="C378" s="133" t="s">
        <v>578</v>
      </c>
      <c r="D378" s="133" t="s">
        <v>153</v>
      </c>
      <c r="E378" s="134" t="s">
        <v>1645</v>
      </c>
      <c r="F378" s="135" t="s">
        <v>1646</v>
      </c>
      <c r="G378" s="136" t="s">
        <v>1647</v>
      </c>
      <c r="H378" s="137">
        <v>3</v>
      </c>
      <c r="I378" s="138"/>
      <c r="J378" s="139">
        <f>ROUND(I378*H378,2)</f>
        <v>0</v>
      </c>
      <c r="K378" s="135" t="s">
        <v>171</v>
      </c>
      <c r="L378" s="33"/>
      <c r="M378" s="140" t="s">
        <v>3</v>
      </c>
      <c r="N378" s="141" t="s">
        <v>40</v>
      </c>
      <c r="P378" s="142">
        <f>O378*H378</f>
        <v>0</v>
      </c>
      <c r="Q378" s="142">
        <v>0</v>
      </c>
      <c r="R378" s="142">
        <f>Q378*H378</f>
        <v>0</v>
      </c>
      <c r="S378" s="142">
        <v>0</v>
      </c>
      <c r="T378" s="143">
        <f>S378*H378</f>
        <v>0</v>
      </c>
      <c r="AR378" s="144" t="s">
        <v>1648</v>
      </c>
      <c r="AT378" s="144" t="s">
        <v>153</v>
      </c>
      <c r="AU378" s="144" t="s">
        <v>79</v>
      </c>
      <c r="AY378" s="18" t="s">
        <v>151</v>
      </c>
      <c r="BE378" s="145">
        <f>IF(N378="základní",J378,0)</f>
        <v>0</v>
      </c>
      <c r="BF378" s="145">
        <f>IF(N378="snížená",J378,0)</f>
        <v>0</v>
      </c>
      <c r="BG378" s="145">
        <f>IF(N378="zákl. přenesená",J378,0)</f>
        <v>0</v>
      </c>
      <c r="BH378" s="145">
        <f>IF(N378="sníž. přenesená",J378,0)</f>
        <v>0</v>
      </c>
      <c r="BI378" s="145">
        <f>IF(N378="nulová",J378,0)</f>
        <v>0</v>
      </c>
      <c r="BJ378" s="18" t="s">
        <v>77</v>
      </c>
      <c r="BK378" s="145">
        <f>ROUND(I378*H378,2)</f>
        <v>0</v>
      </c>
      <c r="BL378" s="18" t="s">
        <v>1648</v>
      </c>
      <c r="BM378" s="144" t="s">
        <v>1649</v>
      </c>
    </row>
    <row r="379" spans="2:65" s="1" customFormat="1" ht="11.25">
      <c r="B379" s="33"/>
      <c r="D379" s="146" t="s">
        <v>160</v>
      </c>
      <c r="F379" s="147" t="s">
        <v>1650</v>
      </c>
      <c r="I379" s="148"/>
      <c r="L379" s="33"/>
      <c r="M379" s="182"/>
      <c r="N379" s="183"/>
      <c r="O379" s="183"/>
      <c r="P379" s="183"/>
      <c r="Q379" s="183"/>
      <c r="R379" s="183"/>
      <c r="S379" s="183"/>
      <c r="T379" s="184"/>
      <c r="AT379" s="18" t="s">
        <v>160</v>
      </c>
      <c r="AU379" s="18" t="s">
        <v>79</v>
      </c>
    </row>
    <row r="380" spans="2:65" s="1" customFormat="1" ht="6.95" customHeight="1">
      <c r="B380" s="42"/>
      <c r="C380" s="43"/>
      <c r="D380" s="43"/>
      <c r="E380" s="43"/>
      <c r="F380" s="43"/>
      <c r="G380" s="43"/>
      <c r="H380" s="43"/>
      <c r="I380" s="43"/>
      <c r="J380" s="43"/>
      <c r="K380" s="43"/>
      <c r="L380" s="33"/>
    </row>
  </sheetData>
  <autoFilter ref="C93:K379" xr:uid="{00000000-0009-0000-0000-000008000000}"/>
  <mergeCells count="12">
    <mergeCell ref="E86:H86"/>
    <mergeCell ref="L2:V2"/>
    <mergeCell ref="E50:H50"/>
    <mergeCell ref="E52:H52"/>
    <mergeCell ref="E54:H54"/>
    <mergeCell ref="E82:H82"/>
    <mergeCell ref="E84:H84"/>
    <mergeCell ref="E7:H7"/>
    <mergeCell ref="E9:H9"/>
    <mergeCell ref="E11:H11"/>
    <mergeCell ref="E20:H20"/>
    <mergeCell ref="E29:H29"/>
  </mergeCells>
  <hyperlinks>
    <hyperlink ref="F98" r:id="rId1" xr:uid="{00000000-0004-0000-0800-000000000000}"/>
    <hyperlink ref="F103" r:id="rId2" xr:uid="{00000000-0004-0000-0800-000001000000}"/>
    <hyperlink ref="F108" r:id="rId3" xr:uid="{00000000-0004-0000-0800-000002000000}"/>
    <hyperlink ref="F113" r:id="rId4" xr:uid="{00000000-0004-0000-0800-000003000000}"/>
    <hyperlink ref="F118" r:id="rId5" xr:uid="{00000000-0004-0000-0800-000004000000}"/>
    <hyperlink ref="F123" r:id="rId6" xr:uid="{00000000-0004-0000-0800-000005000000}"/>
    <hyperlink ref="F128" r:id="rId7" xr:uid="{00000000-0004-0000-0800-000006000000}"/>
    <hyperlink ref="F133" r:id="rId8" xr:uid="{00000000-0004-0000-0800-000007000000}"/>
    <hyperlink ref="F138" r:id="rId9" xr:uid="{00000000-0004-0000-0800-000008000000}"/>
    <hyperlink ref="F143" r:id="rId10" xr:uid="{00000000-0004-0000-0800-000009000000}"/>
    <hyperlink ref="F148" r:id="rId11" xr:uid="{00000000-0004-0000-0800-00000A000000}"/>
    <hyperlink ref="F153" r:id="rId12" xr:uid="{00000000-0004-0000-0800-00000B000000}"/>
    <hyperlink ref="F158" r:id="rId13" xr:uid="{00000000-0004-0000-0800-00000C000000}"/>
    <hyperlink ref="F163" r:id="rId14" xr:uid="{00000000-0004-0000-0800-00000D000000}"/>
    <hyperlink ref="F168" r:id="rId15" xr:uid="{00000000-0004-0000-0800-00000E000000}"/>
    <hyperlink ref="F173" r:id="rId16" xr:uid="{00000000-0004-0000-0800-00000F000000}"/>
    <hyperlink ref="F178" r:id="rId17" xr:uid="{00000000-0004-0000-0800-000010000000}"/>
    <hyperlink ref="F183" r:id="rId18" xr:uid="{00000000-0004-0000-0800-000011000000}"/>
    <hyperlink ref="F188" r:id="rId19" xr:uid="{00000000-0004-0000-0800-000012000000}"/>
    <hyperlink ref="F193" r:id="rId20" xr:uid="{00000000-0004-0000-0800-000013000000}"/>
    <hyperlink ref="F198" r:id="rId21" xr:uid="{00000000-0004-0000-0800-000014000000}"/>
    <hyperlink ref="F203" r:id="rId22" xr:uid="{00000000-0004-0000-0800-000015000000}"/>
    <hyperlink ref="F212" r:id="rId23" xr:uid="{00000000-0004-0000-0800-000016000000}"/>
    <hyperlink ref="F221" r:id="rId24" xr:uid="{00000000-0004-0000-0800-000017000000}"/>
    <hyperlink ref="F226" r:id="rId25" xr:uid="{00000000-0004-0000-0800-000018000000}"/>
    <hyperlink ref="F231" r:id="rId26" xr:uid="{00000000-0004-0000-0800-000019000000}"/>
    <hyperlink ref="F236" r:id="rId27" xr:uid="{00000000-0004-0000-0800-00001A000000}"/>
    <hyperlink ref="F242" r:id="rId28" xr:uid="{00000000-0004-0000-0800-00001B000000}"/>
    <hyperlink ref="F248" r:id="rId29" xr:uid="{00000000-0004-0000-0800-00001C000000}"/>
    <hyperlink ref="F253" r:id="rId30" xr:uid="{00000000-0004-0000-0800-00001D000000}"/>
    <hyperlink ref="F258" r:id="rId31" xr:uid="{00000000-0004-0000-0800-00001E000000}"/>
    <hyperlink ref="F263" r:id="rId32" xr:uid="{00000000-0004-0000-0800-00001F000000}"/>
    <hyperlink ref="F268" r:id="rId33" xr:uid="{00000000-0004-0000-0800-000020000000}"/>
    <hyperlink ref="F273" r:id="rId34" xr:uid="{00000000-0004-0000-0800-000021000000}"/>
    <hyperlink ref="F283" r:id="rId35" xr:uid="{00000000-0004-0000-0800-000022000000}"/>
    <hyperlink ref="F304" r:id="rId36" xr:uid="{00000000-0004-0000-0800-000023000000}"/>
    <hyperlink ref="F317" r:id="rId37" xr:uid="{00000000-0004-0000-0800-000024000000}"/>
    <hyperlink ref="F324" r:id="rId38" xr:uid="{00000000-0004-0000-0800-000025000000}"/>
    <hyperlink ref="F333" r:id="rId39" xr:uid="{00000000-0004-0000-0800-000026000000}"/>
    <hyperlink ref="F342" r:id="rId40" xr:uid="{00000000-0004-0000-0800-000027000000}"/>
    <hyperlink ref="F347" r:id="rId41" xr:uid="{00000000-0004-0000-0800-000028000000}"/>
    <hyperlink ref="F352" r:id="rId42" xr:uid="{00000000-0004-0000-0800-000029000000}"/>
    <hyperlink ref="F357" r:id="rId43" xr:uid="{00000000-0004-0000-0800-00002A000000}"/>
    <hyperlink ref="F362" r:id="rId44" xr:uid="{00000000-0004-0000-0800-00002B000000}"/>
    <hyperlink ref="F367" r:id="rId45" xr:uid="{00000000-0004-0000-0800-00002C000000}"/>
    <hyperlink ref="F373" r:id="rId46" xr:uid="{00000000-0004-0000-0800-00002D000000}"/>
    <hyperlink ref="F375" r:id="rId47" xr:uid="{00000000-0004-0000-0800-00002E000000}"/>
    <hyperlink ref="F379" r:id="rId48" xr:uid="{00000000-0004-0000-0800-00002F000000}"/>
  </hyperlinks>
  <pageMargins left="0.39374999999999999" right="0.39374999999999999" top="0.39374999999999999" bottom="0.39374999999999999" header="0" footer="0"/>
  <pageSetup paperSize="9" fitToHeight="100" orientation="landscape" blackAndWhite="1"/>
  <headerFooter>
    <oddFooter>&amp;CStrana &amp;P z &amp;N</oddFooter>
  </headerFooter>
  <drawing r:id="rId4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BM253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10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304" t="s">
        <v>6</v>
      </c>
      <c r="M2" s="289"/>
      <c r="N2" s="289"/>
      <c r="O2" s="289"/>
      <c r="P2" s="289"/>
      <c r="Q2" s="289"/>
      <c r="R2" s="289"/>
      <c r="S2" s="289"/>
      <c r="T2" s="289"/>
      <c r="U2" s="289"/>
      <c r="V2" s="289"/>
      <c r="AT2" s="18" t="s">
        <v>107</v>
      </c>
    </row>
    <row r="3" spans="2:46" ht="6.9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1"/>
      <c r="AT3" s="18" t="s">
        <v>79</v>
      </c>
    </row>
    <row r="4" spans="2:46" ht="24.95" customHeight="1">
      <c r="B4" s="21"/>
      <c r="D4" s="22" t="s">
        <v>114</v>
      </c>
      <c r="L4" s="21"/>
      <c r="M4" s="91" t="s">
        <v>11</v>
      </c>
      <c r="AT4" s="18" t="s">
        <v>4</v>
      </c>
    </row>
    <row r="5" spans="2:46" ht="6.95" customHeight="1">
      <c r="B5" s="21"/>
      <c r="L5" s="21"/>
    </row>
    <row r="6" spans="2:46" ht="12" customHeight="1">
      <c r="B6" s="21"/>
      <c r="D6" s="28" t="s">
        <v>17</v>
      </c>
      <c r="L6" s="21"/>
    </row>
    <row r="7" spans="2:46" ht="16.5" customHeight="1">
      <c r="B7" s="21"/>
      <c r="E7" s="319" t="str">
        <f>'Rekapitulace stavby'!K6</f>
        <v>SKLAD ŠKROBU P-001</v>
      </c>
      <c r="F7" s="320"/>
      <c r="G7" s="320"/>
      <c r="H7" s="320"/>
      <c r="L7" s="21"/>
    </row>
    <row r="8" spans="2:46" s="1" customFormat="1" ht="12" customHeight="1">
      <c r="B8" s="33"/>
      <c r="D8" s="28" t="s">
        <v>115</v>
      </c>
      <c r="L8" s="33"/>
    </row>
    <row r="9" spans="2:46" s="1" customFormat="1" ht="16.5" customHeight="1">
      <c r="B9" s="33"/>
      <c r="E9" s="282" t="s">
        <v>1651</v>
      </c>
      <c r="F9" s="321"/>
      <c r="G9" s="321"/>
      <c r="H9" s="321"/>
      <c r="L9" s="33"/>
    </row>
    <row r="10" spans="2:46" s="1" customFormat="1" ht="11.25">
      <c r="B10" s="33"/>
      <c r="L10" s="33"/>
    </row>
    <row r="11" spans="2:46" s="1" customFormat="1" ht="12" customHeight="1">
      <c r="B11" s="33"/>
      <c r="D11" s="28" t="s">
        <v>19</v>
      </c>
      <c r="F11" s="26" t="s">
        <v>3</v>
      </c>
      <c r="I11" s="28" t="s">
        <v>20</v>
      </c>
      <c r="J11" s="26" t="s">
        <v>3</v>
      </c>
      <c r="L11" s="33"/>
    </row>
    <row r="12" spans="2:46" s="1" customFormat="1" ht="12" customHeight="1">
      <c r="B12" s="33"/>
      <c r="D12" s="28" t="s">
        <v>21</v>
      </c>
      <c r="F12" s="26" t="s">
        <v>22</v>
      </c>
      <c r="I12" s="28" t="s">
        <v>23</v>
      </c>
      <c r="J12" s="50">
        <f>'Rekapitulace stavby'!AN8</f>
        <v>45167</v>
      </c>
      <c r="L12" s="33"/>
    </row>
    <row r="13" spans="2:46" s="1" customFormat="1" ht="10.9" customHeight="1">
      <c r="B13" s="33"/>
      <c r="L13" s="33"/>
    </row>
    <row r="14" spans="2:46" s="1" customFormat="1" ht="12" customHeight="1">
      <c r="B14" s="33"/>
      <c r="D14" s="28" t="s">
        <v>24</v>
      </c>
      <c r="I14" s="28" t="s">
        <v>25</v>
      </c>
      <c r="J14" s="26" t="str">
        <f>IF('Rekapitulace stavby'!AN10="","",'Rekapitulace stavby'!AN10)</f>
        <v/>
      </c>
      <c r="L14" s="33"/>
    </row>
    <row r="15" spans="2:46" s="1" customFormat="1" ht="18" customHeight="1">
      <c r="B15" s="33"/>
      <c r="E15" s="26" t="str">
        <f>IF('Rekapitulace stavby'!E11="","",'Rekapitulace stavby'!E11)</f>
        <v xml:space="preserve"> </v>
      </c>
      <c r="I15" s="28" t="s">
        <v>26</v>
      </c>
      <c r="J15" s="26" t="str">
        <f>IF('Rekapitulace stavby'!AN11="","",'Rekapitulace stavby'!AN11)</f>
        <v/>
      </c>
      <c r="L15" s="33"/>
    </row>
    <row r="16" spans="2:46" s="1" customFormat="1" ht="6.95" customHeight="1">
      <c r="B16" s="33"/>
      <c r="L16" s="33"/>
    </row>
    <row r="17" spans="2:12" s="1" customFormat="1" ht="12" customHeight="1">
      <c r="B17" s="33"/>
      <c r="D17" s="28" t="s">
        <v>27</v>
      </c>
      <c r="I17" s="28" t="s">
        <v>25</v>
      </c>
      <c r="J17" s="29" t="str">
        <f>'Rekapitulace stavby'!AN13</f>
        <v>Vyplň údaj</v>
      </c>
      <c r="L17" s="33"/>
    </row>
    <row r="18" spans="2:12" s="1" customFormat="1" ht="18" customHeight="1">
      <c r="B18" s="33"/>
      <c r="E18" s="322" t="str">
        <f>'Rekapitulace stavby'!E14</f>
        <v>Vyplň údaj</v>
      </c>
      <c r="F18" s="288"/>
      <c r="G18" s="288"/>
      <c r="H18" s="288"/>
      <c r="I18" s="28" t="s">
        <v>26</v>
      </c>
      <c r="J18" s="29" t="str">
        <f>'Rekapitulace stavby'!AN14</f>
        <v>Vyplň údaj</v>
      </c>
      <c r="L18" s="33"/>
    </row>
    <row r="19" spans="2:12" s="1" customFormat="1" ht="6.95" customHeight="1">
      <c r="B19" s="33"/>
      <c r="L19" s="33"/>
    </row>
    <row r="20" spans="2:12" s="1" customFormat="1" ht="12" customHeight="1">
      <c r="B20" s="33"/>
      <c r="D20" s="28" t="s">
        <v>29</v>
      </c>
      <c r="I20" s="28" t="s">
        <v>25</v>
      </c>
      <c r="J20" s="26" t="str">
        <f>IF('Rekapitulace stavby'!AN16="","",'Rekapitulace stavby'!AN16)</f>
        <v/>
      </c>
      <c r="L20" s="33"/>
    </row>
    <row r="21" spans="2:12" s="1" customFormat="1" ht="18" customHeight="1">
      <c r="B21" s="33"/>
      <c r="E21" s="26" t="str">
        <f>IF('Rekapitulace stavby'!E17="","",'Rekapitulace stavby'!E17)</f>
        <v xml:space="preserve"> </v>
      </c>
      <c r="I21" s="28" t="s">
        <v>26</v>
      </c>
      <c r="J21" s="26" t="str">
        <f>IF('Rekapitulace stavby'!AN17="","",'Rekapitulace stavby'!AN17)</f>
        <v/>
      </c>
      <c r="L21" s="33"/>
    </row>
    <row r="22" spans="2:12" s="1" customFormat="1" ht="6.95" customHeight="1">
      <c r="B22" s="33"/>
      <c r="L22" s="33"/>
    </row>
    <row r="23" spans="2:12" s="1" customFormat="1" ht="12" customHeight="1">
      <c r="B23" s="33"/>
      <c r="D23" s="28" t="s">
        <v>31</v>
      </c>
      <c r="I23" s="28" t="s">
        <v>25</v>
      </c>
      <c r="J23" s="26" t="str">
        <f>IF('Rekapitulace stavby'!AN19="","",'Rekapitulace stavby'!AN19)</f>
        <v/>
      </c>
      <c r="L23" s="33"/>
    </row>
    <row r="24" spans="2:12" s="1" customFormat="1" ht="18" customHeight="1">
      <c r="B24" s="33"/>
      <c r="E24" s="26" t="str">
        <f>IF('Rekapitulace stavby'!E20="","",'Rekapitulace stavby'!E20)</f>
        <v>rostarek s.r.o.</v>
      </c>
      <c r="I24" s="28" t="s">
        <v>26</v>
      </c>
      <c r="J24" s="26" t="str">
        <f>IF('Rekapitulace stavby'!AN20="","",'Rekapitulace stavby'!AN20)</f>
        <v/>
      </c>
      <c r="L24" s="33"/>
    </row>
    <row r="25" spans="2:12" s="1" customFormat="1" ht="6.95" customHeight="1">
      <c r="B25" s="33"/>
      <c r="L25" s="33"/>
    </row>
    <row r="26" spans="2:12" s="1" customFormat="1" ht="12" customHeight="1">
      <c r="B26" s="33"/>
      <c r="D26" s="28" t="s">
        <v>33</v>
      </c>
      <c r="L26" s="33"/>
    </row>
    <row r="27" spans="2:12" s="7" customFormat="1" ht="16.5" customHeight="1">
      <c r="B27" s="92"/>
      <c r="E27" s="293" t="s">
        <v>3</v>
      </c>
      <c r="F27" s="293"/>
      <c r="G27" s="293"/>
      <c r="H27" s="293"/>
      <c r="L27" s="92"/>
    </row>
    <row r="28" spans="2:12" s="1" customFormat="1" ht="6.95" customHeight="1">
      <c r="B28" s="33"/>
      <c r="L28" s="33"/>
    </row>
    <row r="29" spans="2:12" s="1" customFormat="1" ht="6.95" customHeight="1">
      <c r="B29" s="33"/>
      <c r="D29" s="51"/>
      <c r="E29" s="51"/>
      <c r="F29" s="51"/>
      <c r="G29" s="51"/>
      <c r="H29" s="51"/>
      <c r="I29" s="51"/>
      <c r="J29" s="51"/>
      <c r="K29" s="51"/>
      <c r="L29" s="33"/>
    </row>
    <row r="30" spans="2:12" s="1" customFormat="1" ht="25.35" customHeight="1">
      <c r="B30" s="33"/>
      <c r="D30" s="93" t="s">
        <v>35</v>
      </c>
      <c r="J30" s="64">
        <f>ROUND(J84, 2)</f>
        <v>0</v>
      </c>
      <c r="L30" s="33"/>
    </row>
    <row r="31" spans="2:12" s="1" customFormat="1" ht="6.95" customHeight="1">
      <c r="B31" s="33"/>
      <c r="D31" s="51"/>
      <c r="E31" s="51"/>
      <c r="F31" s="51"/>
      <c r="G31" s="51"/>
      <c r="H31" s="51"/>
      <c r="I31" s="51"/>
      <c r="J31" s="51"/>
      <c r="K31" s="51"/>
      <c r="L31" s="33"/>
    </row>
    <row r="32" spans="2:12" s="1" customFormat="1" ht="14.45" customHeight="1">
      <c r="B32" s="33"/>
      <c r="F32" s="36" t="s">
        <v>37</v>
      </c>
      <c r="I32" s="36" t="s">
        <v>36</v>
      </c>
      <c r="J32" s="36" t="s">
        <v>38</v>
      </c>
      <c r="L32" s="33"/>
    </row>
    <row r="33" spans="2:12" s="1" customFormat="1" ht="14.45" customHeight="1">
      <c r="B33" s="33"/>
      <c r="D33" s="53" t="s">
        <v>39</v>
      </c>
      <c r="E33" s="28" t="s">
        <v>40</v>
      </c>
      <c r="F33" s="84">
        <f>ROUND((SUM(BE84:BE252)),  2)</f>
        <v>0</v>
      </c>
      <c r="I33" s="94">
        <v>0.21</v>
      </c>
      <c r="J33" s="84">
        <f>ROUND(((SUM(BE84:BE252))*I33),  2)</f>
        <v>0</v>
      </c>
      <c r="L33" s="33"/>
    </row>
    <row r="34" spans="2:12" s="1" customFormat="1" ht="14.45" customHeight="1">
      <c r="B34" s="33"/>
      <c r="E34" s="28" t="s">
        <v>41</v>
      </c>
      <c r="F34" s="84">
        <f>ROUND((SUM(BF84:BF252)),  2)</f>
        <v>0</v>
      </c>
      <c r="I34" s="94">
        <v>0.15</v>
      </c>
      <c r="J34" s="84">
        <f>ROUND(((SUM(BF84:BF252))*I34),  2)</f>
        <v>0</v>
      </c>
      <c r="L34" s="33"/>
    </row>
    <row r="35" spans="2:12" s="1" customFormat="1" ht="14.45" hidden="1" customHeight="1">
      <c r="B35" s="33"/>
      <c r="E35" s="28" t="s">
        <v>42</v>
      </c>
      <c r="F35" s="84">
        <f>ROUND((SUM(BG84:BG252)),  2)</f>
        <v>0</v>
      </c>
      <c r="I35" s="94">
        <v>0.21</v>
      </c>
      <c r="J35" s="84">
        <f>0</f>
        <v>0</v>
      </c>
      <c r="L35" s="33"/>
    </row>
    <row r="36" spans="2:12" s="1" customFormat="1" ht="14.45" hidden="1" customHeight="1">
      <c r="B36" s="33"/>
      <c r="E36" s="28" t="s">
        <v>43</v>
      </c>
      <c r="F36" s="84">
        <f>ROUND((SUM(BH84:BH252)),  2)</f>
        <v>0</v>
      </c>
      <c r="I36" s="94">
        <v>0.15</v>
      </c>
      <c r="J36" s="84">
        <f>0</f>
        <v>0</v>
      </c>
      <c r="L36" s="33"/>
    </row>
    <row r="37" spans="2:12" s="1" customFormat="1" ht="14.45" hidden="1" customHeight="1">
      <c r="B37" s="33"/>
      <c r="E37" s="28" t="s">
        <v>44</v>
      </c>
      <c r="F37" s="84">
        <f>ROUND((SUM(BI84:BI252)),  2)</f>
        <v>0</v>
      </c>
      <c r="I37" s="94">
        <v>0</v>
      </c>
      <c r="J37" s="84">
        <f>0</f>
        <v>0</v>
      </c>
      <c r="L37" s="33"/>
    </row>
    <row r="38" spans="2:12" s="1" customFormat="1" ht="6.95" customHeight="1">
      <c r="B38" s="33"/>
      <c r="L38" s="33"/>
    </row>
    <row r="39" spans="2:12" s="1" customFormat="1" ht="25.35" customHeight="1">
      <c r="B39" s="33"/>
      <c r="C39" s="95"/>
      <c r="D39" s="96" t="s">
        <v>45</v>
      </c>
      <c r="E39" s="55"/>
      <c r="F39" s="55"/>
      <c r="G39" s="97" t="s">
        <v>46</v>
      </c>
      <c r="H39" s="98" t="s">
        <v>47</v>
      </c>
      <c r="I39" s="55"/>
      <c r="J39" s="99">
        <f>SUM(J30:J37)</f>
        <v>0</v>
      </c>
      <c r="K39" s="100"/>
      <c r="L39" s="33"/>
    </row>
    <row r="40" spans="2:12" s="1" customFormat="1" ht="14.45" customHeight="1"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33"/>
    </row>
    <row r="44" spans="2:12" s="1" customFormat="1" ht="6.95" customHeight="1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33"/>
    </row>
    <row r="45" spans="2:12" s="1" customFormat="1" ht="24.95" customHeight="1">
      <c r="B45" s="33"/>
      <c r="C45" s="22" t="s">
        <v>117</v>
      </c>
      <c r="L45" s="33"/>
    </row>
    <row r="46" spans="2:12" s="1" customFormat="1" ht="6.95" customHeight="1">
      <c r="B46" s="33"/>
      <c r="L46" s="33"/>
    </row>
    <row r="47" spans="2:12" s="1" customFormat="1" ht="12" customHeight="1">
      <c r="B47" s="33"/>
      <c r="C47" s="28" t="s">
        <v>17</v>
      </c>
      <c r="L47" s="33"/>
    </row>
    <row r="48" spans="2:12" s="1" customFormat="1" ht="16.5" customHeight="1">
      <c r="B48" s="33"/>
      <c r="E48" s="319" t="str">
        <f>E7</f>
        <v>SKLAD ŠKROBU P-001</v>
      </c>
      <c r="F48" s="320"/>
      <c r="G48" s="320"/>
      <c r="H48" s="320"/>
      <c r="L48" s="33"/>
    </row>
    <row r="49" spans="2:47" s="1" customFormat="1" ht="12" customHeight="1">
      <c r="B49" s="33"/>
      <c r="C49" s="28" t="s">
        <v>115</v>
      </c>
      <c r="L49" s="33"/>
    </row>
    <row r="50" spans="2:47" s="1" customFormat="1" ht="16.5" customHeight="1">
      <c r="B50" s="33"/>
      <c r="E50" s="282" t="str">
        <f>E9</f>
        <v>2023/003/e - SO-24 - dešťová kanalizace</v>
      </c>
      <c r="F50" s="321"/>
      <c r="G50" s="321"/>
      <c r="H50" s="321"/>
      <c r="L50" s="33"/>
    </row>
    <row r="51" spans="2:47" s="1" customFormat="1" ht="6.95" customHeight="1">
      <c r="B51" s="33"/>
      <c r="L51" s="33"/>
    </row>
    <row r="52" spans="2:47" s="1" customFormat="1" ht="12" customHeight="1">
      <c r="B52" s="33"/>
      <c r="C52" s="28" t="s">
        <v>21</v>
      </c>
      <c r="F52" s="26" t="str">
        <f>F12</f>
        <v xml:space="preserve"> </v>
      </c>
      <c r="I52" s="28" t="s">
        <v>23</v>
      </c>
      <c r="J52" s="50">
        <f>IF(J12="","",J12)</f>
        <v>45167</v>
      </c>
      <c r="L52" s="33"/>
    </row>
    <row r="53" spans="2:47" s="1" customFormat="1" ht="6.95" customHeight="1">
      <c r="B53" s="33"/>
      <c r="L53" s="33"/>
    </row>
    <row r="54" spans="2:47" s="1" customFormat="1" ht="15.2" customHeight="1">
      <c r="B54" s="33"/>
      <c r="C54" s="28" t="s">
        <v>24</v>
      </c>
      <c r="F54" s="26" t="str">
        <f>E15</f>
        <v xml:space="preserve"> </v>
      </c>
      <c r="I54" s="28" t="s">
        <v>29</v>
      </c>
      <c r="J54" s="31" t="str">
        <f>E21</f>
        <v xml:space="preserve"> </v>
      </c>
      <c r="L54" s="33"/>
    </row>
    <row r="55" spans="2:47" s="1" customFormat="1" ht="15.2" customHeight="1">
      <c r="B55" s="33"/>
      <c r="C55" s="28" t="s">
        <v>27</v>
      </c>
      <c r="F55" s="26" t="str">
        <f>IF(E18="","",E18)</f>
        <v>Vyplň údaj</v>
      </c>
      <c r="I55" s="28" t="s">
        <v>31</v>
      </c>
      <c r="J55" s="31" t="str">
        <f>E24</f>
        <v>rostarek s.r.o.</v>
      </c>
      <c r="L55" s="33"/>
    </row>
    <row r="56" spans="2:47" s="1" customFormat="1" ht="10.35" customHeight="1">
      <c r="B56" s="33"/>
      <c r="L56" s="33"/>
    </row>
    <row r="57" spans="2:47" s="1" customFormat="1" ht="29.25" customHeight="1">
      <c r="B57" s="33"/>
      <c r="C57" s="101" t="s">
        <v>118</v>
      </c>
      <c r="D57" s="95"/>
      <c r="E57" s="95"/>
      <c r="F57" s="95"/>
      <c r="G57" s="95"/>
      <c r="H57" s="95"/>
      <c r="I57" s="95"/>
      <c r="J57" s="102" t="s">
        <v>119</v>
      </c>
      <c r="K57" s="95"/>
      <c r="L57" s="33"/>
    </row>
    <row r="58" spans="2:47" s="1" customFormat="1" ht="10.35" customHeight="1">
      <c r="B58" s="33"/>
      <c r="L58" s="33"/>
    </row>
    <row r="59" spans="2:47" s="1" customFormat="1" ht="22.9" customHeight="1">
      <c r="B59" s="33"/>
      <c r="C59" s="103" t="s">
        <v>67</v>
      </c>
      <c r="J59" s="64">
        <f>J84</f>
        <v>0</v>
      </c>
      <c r="L59" s="33"/>
      <c r="AU59" s="18" t="s">
        <v>120</v>
      </c>
    </row>
    <row r="60" spans="2:47" s="8" customFormat="1" ht="24.95" customHeight="1">
      <c r="B60" s="104"/>
      <c r="D60" s="105" t="s">
        <v>1146</v>
      </c>
      <c r="E60" s="106"/>
      <c r="F60" s="106"/>
      <c r="G60" s="106"/>
      <c r="H60" s="106"/>
      <c r="I60" s="106"/>
      <c r="J60" s="107">
        <f>J85</f>
        <v>0</v>
      </c>
      <c r="L60" s="104"/>
    </row>
    <row r="61" spans="2:47" s="9" customFormat="1" ht="19.899999999999999" customHeight="1">
      <c r="B61" s="108"/>
      <c r="D61" s="109" t="s">
        <v>122</v>
      </c>
      <c r="E61" s="110"/>
      <c r="F61" s="110"/>
      <c r="G61" s="110"/>
      <c r="H61" s="110"/>
      <c r="I61" s="110"/>
      <c r="J61" s="111">
        <f>J86</f>
        <v>0</v>
      </c>
      <c r="L61" s="108"/>
    </row>
    <row r="62" spans="2:47" s="9" customFormat="1" ht="19.899999999999999" customHeight="1">
      <c r="B62" s="108"/>
      <c r="D62" s="109" t="s">
        <v>1398</v>
      </c>
      <c r="E62" s="110"/>
      <c r="F62" s="110"/>
      <c r="G62" s="110"/>
      <c r="H62" s="110"/>
      <c r="I62" s="110"/>
      <c r="J62" s="111">
        <f>J165</f>
        <v>0</v>
      </c>
      <c r="L62" s="108"/>
    </row>
    <row r="63" spans="2:47" s="9" customFormat="1" ht="19.899999999999999" customHeight="1">
      <c r="B63" s="108"/>
      <c r="D63" s="109" t="s">
        <v>1400</v>
      </c>
      <c r="E63" s="110"/>
      <c r="F63" s="110"/>
      <c r="G63" s="110"/>
      <c r="H63" s="110"/>
      <c r="I63" s="110"/>
      <c r="J63" s="111">
        <f>J204</f>
        <v>0</v>
      </c>
      <c r="L63" s="108"/>
    </row>
    <row r="64" spans="2:47" s="9" customFormat="1" ht="19.899999999999999" customHeight="1">
      <c r="B64" s="108"/>
      <c r="D64" s="109" t="s">
        <v>129</v>
      </c>
      <c r="E64" s="110"/>
      <c r="F64" s="110"/>
      <c r="G64" s="110"/>
      <c r="H64" s="110"/>
      <c r="I64" s="110"/>
      <c r="J64" s="111">
        <f>J250</f>
        <v>0</v>
      </c>
      <c r="L64" s="108"/>
    </row>
    <row r="65" spans="2:12" s="1" customFormat="1" ht="21.75" customHeight="1">
      <c r="B65" s="33"/>
      <c r="L65" s="33"/>
    </row>
    <row r="66" spans="2:12" s="1" customFormat="1" ht="6.95" customHeight="1">
      <c r="B66" s="42"/>
      <c r="C66" s="43"/>
      <c r="D66" s="43"/>
      <c r="E66" s="43"/>
      <c r="F66" s="43"/>
      <c r="G66" s="43"/>
      <c r="H66" s="43"/>
      <c r="I66" s="43"/>
      <c r="J66" s="43"/>
      <c r="K66" s="43"/>
      <c r="L66" s="33"/>
    </row>
    <row r="70" spans="2:12" s="1" customFormat="1" ht="6.95" customHeight="1">
      <c r="B70" s="44"/>
      <c r="C70" s="45"/>
      <c r="D70" s="45"/>
      <c r="E70" s="45"/>
      <c r="F70" s="45"/>
      <c r="G70" s="45"/>
      <c r="H70" s="45"/>
      <c r="I70" s="45"/>
      <c r="J70" s="45"/>
      <c r="K70" s="45"/>
      <c r="L70" s="33"/>
    </row>
    <row r="71" spans="2:12" s="1" customFormat="1" ht="24.95" customHeight="1">
      <c r="B71" s="33"/>
      <c r="C71" s="22" t="s">
        <v>137</v>
      </c>
      <c r="L71" s="33"/>
    </row>
    <row r="72" spans="2:12" s="1" customFormat="1" ht="6.95" customHeight="1">
      <c r="B72" s="33"/>
      <c r="L72" s="33"/>
    </row>
    <row r="73" spans="2:12" s="1" customFormat="1" ht="12" customHeight="1">
      <c r="B73" s="33"/>
      <c r="C73" s="28" t="s">
        <v>17</v>
      </c>
      <c r="L73" s="33"/>
    </row>
    <row r="74" spans="2:12" s="1" customFormat="1" ht="16.5" customHeight="1">
      <c r="B74" s="33"/>
      <c r="E74" s="319" t="str">
        <f>E7</f>
        <v>SKLAD ŠKROBU P-001</v>
      </c>
      <c r="F74" s="320"/>
      <c r="G74" s="320"/>
      <c r="H74" s="320"/>
      <c r="L74" s="33"/>
    </row>
    <row r="75" spans="2:12" s="1" customFormat="1" ht="12" customHeight="1">
      <c r="B75" s="33"/>
      <c r="C75" s="28" t="s">
        <v>115</v>
      </c>
      <c r="L75" s="33"/>
    </row>
    <row r="76" spans="2:12" s="1" customFormat="1" ht="16.5" customHeight="1">
      <c r="B76" s="33"/>
      <c r="E76" s="282" t="str">
        <f>E9</f>
        <v>2023/003/e - SO-24 - dešťová kanalizace</v>
      </c>
      <c r="F76" s="321"/>
      <c r="G76" s="321"/>
      <c r="H76" s="321"/>
      <c r="L76" s="33"/>
    </row>
    <row r="77" spans="2:12" s="1" customFormat="1" ht="6.95" customHeight="1">
      <c r="B77" s="33"/>
      <c r="L77" s="33"/>
    </row>
    <row r="78" spans="2:12" s="1" customFormat="1" ht="12" customHeight="1">
      <c r="B78" s="33"/>
      <c r="C78" s="28" t="s">
        <v>21</v>
      </c>
      <c r="F78" s="26" t="str">
        <f>F12</f>
        <v xml:space="preserve"> </v>
      </c>
      <c r="I78" s="28" t="s">
        <v>23</v>
      </c>
      <c r="J78" s="50">
        <f>IF(J12="","",J12)</f>
        <v>45167</v>
      </c>
      <c r="L78" s="33"/>
    </row>
    <row r="79" spans="2:12" s="1" customFormat="1" ht="6.95" customHeight="1">
      <c r="B79" s="33"/>
      <c r="L79" s="33"/>
    </row>
    <row r="80" spans="2:12" s="1" customFormat="1" ht="15.2" customHeight="1">
      <c r="B80" s="33"/>
      <c r="C80" s="28" t="s">
        <v>24</v>
      </c>
      <c r="F80" s="26" t="str">
        <f>E15</f>
        <v xml:space="preserve"> </v>
      </c>
      <c r="I80" s="28" t="s">
        <v>29</v>
      </c>
      <c r="J80" s="31" t="str">
        <f>E21</f>
        <v xml:space="preserve"> </v>
      </c>
      <c r="L80" s="33"/>
    </row>
    <row r="81" spans="2:65" s="1" customFormat="1" ht="15.2" customHeight="1">
      <c r="B81" s="33"/>
      <c r="C81" s="28" t="s">
        <v>27</v>
      </c>
      <c r="F81" s="26" t="str">
        <f>IF(E18="","",E18)</f>
        <v>Vyplň údaj</v>
      </c>
      <c r="I81" s="28" t="s">
        <v>31</v>
      </c>
      <c r="J81" s="31" t="str">
        <f>E24</f>
        <v>rostarek s.r.o.</v>
      </c>
      <c r="L81" s="33"/>
    </row>
    <row r="82" spans="2:65" s="1" customFormat="1" ht="10.35" customHeight="1">
      <c r="B82" s="33"/>
      <c r="L82" s="33"/>
    </row>
    <row r="83" spans="2:65" s="10" customFormat="1" ht="29.25" customHeight="1">
      <c r="B83" s="112"/>
      <c r="C83" s="113" t="s">
        <v>138</v>
      </c>
      <c r="D83" s="114" t="s">
        <v>54</v>
      </c>
      <c r="E83" s="114" t="s">
        <v>50</v>
      </c>
      <c r="F83" s="114" t="s">
        <v>51</v>
      </c>
      <c r="G83" s="114" t="s">
        <v>139</v>
      </c>
      <c r="H83" s="114" t="s">
        <v>140</v>
      </c>
      <c r="I83" s="114" t="s">
        <v>141</v>
      </c>
      <c r="J83" s="114" t="s">
        <v>119</v>
      </c>
      <c r="K83" s="115" t="s">
        <v>142</v>
      </c>
      <c r="L83" s="112"/>
      <c r="M83" s="57" t="s">
        <v>3</v>
      </c>
      <c r="N83" s="58" t="s">
        <v>39</v>
      </c>
      <c r="O83" s="58" t="s">
        <v>143</v>
      </c>
      <c r="P83" s="58" t="s">
        <v>144</v>
      </c>
      <c r="Q83" s="58" t="s">
        <v>145</v>
      </c>
      <c r="R83" s="58" t="s">
        <v>146</v>
      </c>
      <c r="S83" s="58" t="s">
        <v>147</v>
      </c>
      <c r="T83" s="59" t="s">
        <v>148</v>
      </c>
    </row>
    <row r="84" spans="2:65" s="1" customFormat="1" ht="22.9" customHeight="1">
      <c r="B84" s="33"/>
      <c r="C84" s="62" t="s">
        <v>149</v>
      </c>
      <c r="J84" s="116">
        <f>BK84</f>
        <v>0</v>
      </c>
      <c r="L84" s="33"/>
      <c r="M84" s="60"/>
      <c r="N84" s="51"/>
      <c r="O84" s="51"/>
      <c r="P84" s="117">
        <f>P85</f>
        <v>0</v>
      </c>
      <c r="Q84" s="51"/>
      <c r="R84" s="117">
        <f>R85</f>
        <v>214.98557379000002</v>
      </c>
      <c r="S84" s="51"/>
      <c r="T84" s="118">
        <f>T85</f>
        <v>0</v>
      </c>
      <c r="AT84" s="18" t="s">
        <v>68</v>
      </c>
      <c r="AU84" s="18" t="s">
        <v>120</v>
      </c>
      <c r="BK84" s="119">
        <f>BK85</f>
        <v>0</v>
      </c>
    </row>
    <row r="85" spans="2:65" s="11" customFormat="1" ht="25.9" customHeight="1">
      <c r="B85" s="120"/>
      <c r="D85" s="121" t="s">
        <v>68</v>
      </c>
      <c r="E85" s="122" t="s">
        <v>150</v>
      </c>
      <c r="F85" s="122" t="s">
        <v>1147</v>
      </c>
      <c r="I85" s="123"/>
      <c r="J85" s="124">
        <f>BK85</f>
        <v>0</v>
      </c>
      <c r="L85" s="120"/>
      <c r="M85" s="125"/>
      <c r="P85" s="126">
        <f>P86+P165+P204+P250</f>
        <v>0</v>
      </c>
      <c r="R85" s="126">
        <f>R86+R165+R204+R250</f>
        <v>214.98557379000002</v>
      </c>
      <c r="T85" s="127">
        <f>T86+T165+T204+T250</f>
        <v>0</v>
      </c>
      <c r="AR85" s="121" t="s">
        <v>77</v>
      </c>
      <c r="AT85" s="128" t="s">
        <v>68</v>
      </c>
      <c r="AU85" s="128" t="s">
        <v>69</v>
      </c>
      <c r="AY85" s="121" t="s">
        <v>151</v>
      </c>
      <c r="BK85" s="129">
        <f>BK86+BK165+BK204+BK250</f>
        <v>0</v>
      </c>
    </row>
    <row r="86" spans="2:65" s="11" customFormat="1" ht="22.9" customHeight="1">
      <c r="B86" s="120"/>
      <c r="D86" s="121" t="s">
        <v>68</v>
      </c>
      <c r="E86" s="130" t="s">
        <v>77</v>
      </c>
      <c r="F86" s="130" t="s">
        <v>152</v>
      </c>
      <c r="I86" s="123"/>
      <c r="J86" s="131">
        <f>BK86</f>
        <v>0</v>
      </c>
      <c r="L86" s="120"/>
      <c r="M86" s="125"/>
      <c r="P86" s="126">
        <f>SUM(P87:P164)</f>
        <v>0</v>
      </c>
      <c r="R86" s="126">
        <f>SUM(R87:R164)</f>
        <v>212.32104000000001</v>
      </c>
      <c r="T86" s="127">
        <f>SUM(T87:T164)</f>
        <v>0</v>
      </c>
      <c r="AR86" s="121" t="s">
        <v>77</v>
      </c>
      <c r="AT86" s="128" t="s">
        <v>68</v>
      </c>
      <c r="AU86" s="128" t="s">
        <v>77</v>
      </c>
      <c r="AY86" s="121" t="s">
        <v>151</v>
      </c>
      <c r="BK86" s="129">
        <f>SUM(BK87:BK164)</f>
        <v>0</v>
      </c>
    </row>
    <row r="87" spans="2:65" s="1" customFormat="1" ht="24.2" customHeight="1">
      <c r="B87" s="132"/>
      <c r="C87" s="133" t="s">
        <v>77</v>
      </c>
      <c r="D87" s="133" t="s">
        <v>153</v>
      </c>
      <c r="E87" s="134" t="s">
        <v>1652</v>
      </c>
      <c r="F87" s="135" t="s">
        <v>1653</v>
      </c>
      <c r="G87" s="136" t="s">
        <v>156</v>
      </c>
      <c r="H87" s="137">
        <v>213.3</v>
      </c>
      <c r="I87" s="138"/>
      <c r="J87" s="139">
        <f>ROUND(I87*H87,2)</f>
        <v>0</v>
      </c>
      <c r="K87" s="135" t="s">
        <v>1654</v>
      </c>
      <c r="L87" s="33"/>
      <c r="M87" s="140" t="s">
        <v>3</v>
      </c>
      <c r="N87" s="141" t="s">
        <v>40</v>
      </c>
      <c r="P87" s="142">
        <f>O87*H87</f>
        <v>0</v>
      </c>
      <c r="Q87" s="142">
        <v>0</v>
      </c>
      <c r="R87" s="142">
        <f>Q87*H87</f>
        <v>0</v>
      </c>
      <c r="S87" s="142">
        <v>0</v>
      </c>
      <c r="T87" s="143">
        <f>S87*H87</f>
        <v>0</v>
      </c>
      <c r="AR87" s="144" t="s">
        <v>158</v>
      </c>
      <c r="AT87" s="144" t="s">
        <v>153</v>
      </c>
      <c r="AU87" s="144" t="s">
        <v>79</v>
      </c>
      <c r="AY87" s="18" t="s">
        <v>151</v>
      </c>
      <c r="BE87" s="145">
        <f>IF(N87="základní",J87,0)</f>
        <v>0</v>
      </c>
      <c r="BF87" s="145">
        <f>IF(N87="snížená",J87,0)</f>
        <v>0</v>
      </c>
      <c r="BG87" s="145">
        <f>IF(N87="zákl. přenesená",J87,0)</f>
        <v>0</v>
      </c>
      <c r="BH87" s="145">
        <f>IF(N87="sníž. přenesená",J87,0)</f>
        <v>0</v>
      </c>
      <c r="BI87" s="145">
        <f>IF(N87="nulová",J87,0)</f>
        <v>0</v>
      </c>
      <c r="BJ87" s="18" t="s">
        <v>77</v>
      </c>
      <c r="BK87" s="145">
        <f>ROUND(I87*H87,2)</f>
        <v>0</v>
      </c>
      <c r="BL87" s="18" t="s">
        <v>158</v>
      </c>
      <c r="BM87" s="144" t="s">
        <v>1655</v>
      </c>
    </row>
    <row r="88" spans="2:65" s="1" customFormat="1" ht="11.25">
      <c r="B88" s="33"/>
      <c r="D88" s="146" t="s">
        <v>160</v>
      </c>
      <c r="F88" s="147" t="s">
        <v>1656</v>
      </c>
      <c r="I88" s="148"/>
      <c r="L88" s="33"/>
      <c r="M88" s="149"/>
      <c r="T88" s="54"/>
      <c r="AT88" s="18" t="s">
        <v>160</v>
      </c>
      <c r="AU88" s="18" t="s">
        <v>79</v>
      </c>
    </row>
    <row r="89" spans="2:65" s="14" customFormat="1" ht="11.25">
      <c r="B89" s="165"/>
      <c r="D89" s="151" t="s">
        <v>162</v>
      </c>
      <c r="E89" s="166" t="s">
        <v>3</v>
      </c>
      <c r="F89" s="167" t="s">
        <v>1657</v>
      </c>
      <c r="H89" s="166" t="s">
        <v>3</v>
      </c>
      <c r="I89" s="168"/>
      <c r="L89" s="165"/>
      <c r="M89" s="169"/>
      <c r="T89" s="170"/>
      <c r="AT89" s="166" t="s">
        <v>162</v>
      </c>
      <c r="AU89" s="166" t="s">
        <v>79</v>
      </c>
      <c r="AV89" s="14" t="s">
        <v>77</v>
      </c>
      <c r="AW89" s="14" t="s">
        <v>30</v>
      </c>
      <c r="AX89" s="14" t="s">
        <v>69</v>
      </c>
      <c r="AY89" s="166" t="s">
        <v>151</v>
      </c>
    </row>
    <row r="90" spans="2:65" s="12" customFormat="1" ht="11.25">
      <c r="B90" s="150"/>
      <c r="D90" s="151" t="s">
        <v>162</v>
      </c>
      <c r="E90" s="152" t="s">
        <v>3</v>
      </c>
      <c r="F90" s="153" t="s">
        <v>1658</v>
      </c>
      <c r="H90" s="154">
        <v>20.7</v>
      </c>
      <c r="I90" s="155"/>
      <c r="L90" s="150"/>
      <c r="M90" s="156"/>
      <c r="T90" s="157"/>
      <c r="AT90" s="152" t="s">
        <v>162</v>
      </c>
      <c r="AU90" s="152" t="s">
        <v>79</v>
      </c>
      <c r="AV90" s="12" t="s">
        <v>79</v>
      </c>
      <c r="AW90" s="12" t="s">
        <v>30</v>
      </c>
      <c r="AX90" s="12" t="s">
        <v>69</v>
      </c>
      <c r="AY90" s="152" t="s">
        <v>151</v>
      </c>
    </row>
    <row r="91" spans="2:65" s="14" customFormat="1" ht="11.25">
      <c r="B91" s="165"/>
      <c r="D91" s="151" t="s">
        <v>162</v>
      </c>
      <c r="E91" s="166" t="s">
        <v>3</v>
      </c>
      <c r="F91" s="167" t="s">
        <v>1659</v>
      </c>
      <c r="H91" s="166" t="s">
        <v>3</v>
      </c>
      <c r="I91" s="168"/>
      <c r="L91" s="165"/>
      <c r="M91" s="169"/>
      <c r="T91" s="170"/>
      <c r="AT91" s="166" t="s">
        <v>162</v>
      </c>
      <c r="AU91" s="166" t="s">
        <v>79</v>
      </c>
      <c r="AV91" s="14" t="s">
        <v>77</v>
      </c>
      <c r="AW91" s="14" t="s">
        <v>30</v>
      </c>
      <c r="AX91" s="14" t="s">
        <v>69</v>
      </c>
      <c r="AY91" s="166" t="s">
        <v>151</v>
      </c>
    </row>
    <row r="92" spans="2:65" s="12" customFormat="1" ht="11.25">
      <c r="B92" s="150"/>
      <c r="D92" s="151" t="s">
        <v>162</v>
      </c>
      <c r="E92" s="152" t="s">
        <v>3</v>
      </c>
      <c r="F92" s="153" t="s">
        <v>1660</v>
      </c>
      <c r="H92" s="154">
        <v>183.6</v>
      </c>
      <c r="I92" s="155"/>
      <c r="L92" s="150"/>
      <c r="M92" s="156"/>
      <c r="T92" s="157"/>
      <c r="AT92" s="152" t="s">
        <v>162</v>
      </c>
      <c r="AU92" s="152" t="s">
        <v>79</v>
      </c>
      <c r="AV92" s="12" t="s">
        <v>79</v>
      </c>
      <c r="AW92" s="12" t="s">
        <v>30</v>
      </c>
      <c r="AX92" s="12" t="s">
        <v>69</v>
      </c>
      <c r="AY92" s="152" t="s">
        <v>151</v>
      </c>
    </row>
    <row r="93" spans="2:65" s="14" customFormat="1" ht="11.25">
      <c r="B93" s="165"/>
      <c r="D93" s="151" t="s">
        <v>162</v>
      </c>
      <c r="E93" s="166" t="s">
        <v>3</v>
      </c>
      <c r="F93" s="167" t="s">
        <v>1661</v>
      </c>
      <c r="H93" s="166" t="s">
        <v>3</v>
      </c>
      <c r="I93" s="168"/>
      <c r="L93" s="165"/>
      <c r="M93" s="169"/>
      <c r="T93" s="170"/>
      <c r="AT93" s="166" t="s">
        <v>162</v>
      </c>
      <c r="AU93" s="166" t="s">
        <v>79</v>
      </c>
      <c r="AV93" s="14" t="s">
        <v>77</v>
      </c>
      <c r="AW93" s="14" t="s">
        <v>30</v>
      </c>
      <c r="AX93" s="14" t="s">
        <v>69</v>
      </c>
      <c r="AY93" s="166" t="s">
        <v>151</v>
      </c>
    </row>
    <row r="94" spans="2:65" s="12" customFormat="1" ht="11.25">
      <c r="B94" s="150"/>
      <c r="D94" s="151" t="s">
        <v>162</v>
      </c>
      <c r="E94" s="152" t="s">
        <v>3</v>
      </c>
      <c r="F94" s="153" t="s">
        <v>1662</v>
      </c>
      <c r="H94" s="154">
        <v>9</v>
      </c>
      <c r="I94" s="155"/>
      <c r="L94" s="150"/>
      <c r="M94" s="156"/>
      <c r="T94" s="157"/>
      <c r="AT94" s="152" t="s">
        <v>162</v>
      </c>
      <c r="AU94" s="152" t="s">
        <v>79</v>
      </c>
      <c r="AV94" s="12" t="s">
        <v>79</v>
      </c>
      <c r="AW94" s="12" t="s">
        <v>30</v>
      </c>
      <c r="AX94" s="12" t="s">
        <v>69</v>
      </c>
      <c r="AY94" s="152" t="s">
        <v>151</v>
      </c>
    </row>
    <row r="95" spans="2:65" s="13" customFormat="1" ht="11.25">
      <c r="B95" s="158"/>
      <c r="D95" s="151" t="s">
        <v>162</v>
      </c>
      <c r="E95" s="159" t="s">
        <v>3</v>
      </c>
      <c r="F95" s="160" t="s">
        <v>167</v>
      </c>
      <c r="H95" s="161">
        <v>213.29999999999998</v>
      </c>
      <c r="I95" s="162"/>
      <c r="L95" s="158"/>
      <c r="M95" s="163"/>
      <c r="T95" s="164"/>
      <c r="AT95" s="159" t="s">
        <v>162</v>
      </c>
      <c r="AU95" s="159" t="s">
        <v>79</v>
      </c>
      <c r="AV95" s="13" t="s">
        <v>158</v>
      </c>
      <c r="AW95" s="13" t="s">
        <v>30</v>
      </c>
      <c r="AX95" s="13" t="s">
        <v>77</v>
      </c>
      <c r="AY95" s="159" t="s">
        <v>151</v>
      </c>
    </row>
    <row r="96" spans="2:65" s="1" customFormat="1" ht="24.2" customHeight="1">
      <c r="B96" s="132"/>
      <c r="C96" s="133" t="s">
        <v>79</v>
      </c>
      <c r="D96" s="133" t="s">
        <v>153</v>
      </c>
      <c r="E96" s="134" t="s">
        <v>1663</v>
      </c>
      <c r="F96" s="135" t="s">
        <v>1664</v>
      </c>
      <c r="G96" s="136" t="s">
        <v>156</v>
      </c>
      <c r="H96" s="137">
        <v>56.79</v>
      </c>
      <c r="I96" s="138"/>
      <c r="J96" s="139">
        <f>ROUND(I96*H96,2)</f>
        <v>0</v>
      </c>
      <c r="K96" s="135" t="s">
        <v>1654</v>
      </c>
      <c r="L96" s="33"/>
      <c r="M96" s="140" t="s">
        <v>3</v>
      </c>
      <c r="N96" s="141" t="s">
        <v>40</v>
      </c>
      <c r="P96" s="142">
        <f>O96*H96</f>
        <v>0</v>
      </c>
      <c r="Q96" s="142">
        <v>0</v>
      </c>
      <c r="R96" s="142">
        <f>Q96*H96</f>
        <v>0</v>
      </c>
      <c r="S96" s="142">
        <v>0</v>
      </c>
      <c r="T96" s="143">
        <f>S96*H96</f>
        <v>0</v>
      </c>
      <c r="AR96" s="144" t="s">
        <v>158</v>
      </c>
      <c r="AT96" s="144" t="s">
        <v>153</v>
      </c>
      <c r="AU96" s="144" t="s">
        <v>79</v>
      </c>
      <c r="AY96" s="18" t="s">
        <v>151</v>
      </c>
      <c r="BE96" s="145">
        <f>IF(N96="základní",J96,0)</f>
        <v>0</v>
      </c>
      <c r="BF96" s="145">
        <f>IF(N96="snížená",J96,0)</f>
        <v>0</v>
      </c>
      <c r="BG96" s="145">
        <f>IF(N96="zákl. přenesená",J96,0)</f>
        <v>0</v>
      </c>
      <c r="BH96" s="145">
        <f>IF(N96="sníž. přenesená",J96,0)</f>
        <v>0</v>
      </c>
      <c r="BI96" s="145">
        <f>IF(N96="nulová",J96,0)</f>
        <v>0</v>
      </c>
      <c r="BJ96" s="18" t="s">
        <v>77</v>
      </c>
      <c r="BK96" s="145">
        <f>ROUND(I96*H96,2)</f>
        <v>0</v>
      </c>
      <c r="BL96" s="18" t="s">
        <v>158</v>
      </c>
      <c r="BM96" s="144" t="s">
        <v>1665</v>
      </c>
    </row>
    <row r="97" spans="2:65" s="1" customFormat="1" ht="11.25">
      <c r="B97" s="33"/>
      <c r="D97" s="146" t="s">
        <v>160</v>
      </c>
      <c r="F97" s="147" t="s">
        <v>1666</v>
      </c>
      <c r="I97" s="148"/>
      <c r="L97" s="33"/>
      <c r="M97" s="149"/>
      <c r="T97" s="54"/>
      <c r="AT97" s="18" t="s">
        <v>160</v>
      </c>
      <c r="AU97" s="18" t="s">
        <v>79</v>
      </c>
    </row>
    <row r="98" spans="2:65" s="14" customFormat="1" ht="11.25">
      <c r="B98" s="165"/>
      <c r="D98" s="151" t="s">
        <v>162</v>
      </c>
      <c r="E98" s="166" t="s">
        <v>3</v>
      </c>
      <c r="F98" s="167" t="s">
        <v>1667</v>
      </c>
      <c r="H98" s="166" t="s">
        <v>3</v>
      </c>
      <c r="I98" s="168"/>
      <c r="L98" s="165"/>
      <c r="M98" s="169"/>
      <c r="T98" s="170"/>
      <c r="AT98" s="166" t="s">
        <v>162</v>
      </c>
      <c r="AU98" s="166" t="s">
        <v>79</v>
      </c>
      <c r="AV98" s="14" t="s">
        <v>77</v>
      </c>
      <c r="AW98" s="14" t="s">
        <v>30</v>
      </c>
      <c r="AX98" s="14" t="s">
        <v>69</v>
      </c>
      <c r="AY98" s="166" t="s">
        <v>151</v>
      </c>
    </row>
    <row r="99" spans="2:65" s="12" customFormat="1" ht="11.25">
      <c r="B99" s="150"/>
      <c r="D99" s="151" t="s">
        <v>162</v>
      </c>
      <c r="E99" s="152" t="s">
        <v>3</v>
      </c>
      <c r="F99" s="153" t="s">
        <v>1668</v>
      </c>
      <c r="H99" s="154">
        <v>7.83</v>
      </c>
      <c r="I99" s="155"/>
      <c r="L99" s="150"/>
      <c r="M99" s="156"/>
      <c r="T99" s="157"/>
      <c r="AT99" s="152" t="s">
        <v>162</v>
      </c>
      <c r="AU99" s="152" t="s">
        <v>79</v>
      </c>
      <c r="AV99" s="12" t="s">
        <v>79</v>
      </c>
      <c r="AW99" s="12" t="s">
        <v>30</v>
      </c>
      <c r="AX99" s="12" t="s">
        <v>69</v>
      </c>
      <c r="AY99" s="152" t="s">
        <v>151</v>
      </c>
    </row>
    <row r="100" spans="2:65" s="14" customFormat="1" ht="11.25">
      <c r="B100" s="165"/>
      <c r="D100" s="151" t="s">
        <v>162</v>
      </c>
      <c r="E100" s="166" t="s">
        <v>3</v>
      </c>
      <c r="F100" s="167" t="s">
        <v>1669</v>
      </c>
      <c r="H100" s="166" t="s">
        <v>3</v>
      </c>
      <c r="I100" s="168"/>
      <c r="L100" s="165"/>
      <c r="M100" s="169"/>
      <c r="T100" s="170"/>
      <c r="AT100" s="166" t="s">
        <v>162</v>
      </c>
      <c r="AU100" s="166" t="s">
        <v>79</v>
      </c>
      <c r="AV100" s="14" t="s">
        <v>77</v>
      </c>
      <c r="AW100" s="14" t="s">
        <v>30</v>
      </c>
      <c r="AX100" s="14" t="s">
        <v>69</v>
      </c>
      <c r="AY100" s="166" t="s">
        <v>151</v>
      </c>
    </row>
    <row r="101" spans="2:65" s="12" customFormat="1" ht="11.25">
      <c r="B101" s="150"/>
      <c r="D101" s="151" t="s">
        <v>162</v>
      </c>
      <c r="E101" s="152" t="s">
        <v>3</v>
      </c>
      <c r="F101" s="153" t="s">
        <v>1670</v>
      </c>
      <c r="H101" s="154">
        <v>1.98</v>
      </c>
      <c r="I101" s="155"/>
      <c r="L101" s="150"/>
      <c r="M101" s="156"/>
      <c r="T101" s="157"/>
      <c r="AT101" s="152" t="s">
        <v>162</v>
      </c>
      <c r="AU101" s="152" t="s">
        <v>79</v>
      </c>
      <c r="AV101" s="12" t="s">
        <v>79</v>
      </c>
      <c r="AW101" s="12" t="s">
        <v>30</v>
      </c>
      <c r="AX101" s="12" t="s">
        <v>69</v>
      </c>
      <c r="AY101" s="152" t="s">
        <v>151</v>
      </c>
    </row>
    <row r="102" spans="2:65" s="14" customFormat="1" ht="11.25">
      <c r="B102" s="165"/>
      <c r="D102" s="151" t="s">
        <v>162</v>
      </c>
      <c r="E102" s="166" t="s">
        <v>3</v>
      </c>
      <c r="F102" s="167" t="s">
        <v>1671</v>
      </c>
      <c r="H102" s="166" t="s">
        <v>3</v>
      </c>
      <c r="I102" s="168"/>
      <c r="L102" s="165"/>
      <c r="M102" s="169"/>
      <c r="T102" s="170"/>
      <c r="AT102" s="166" t="s">
        <v>162</v>
      </c>
      <c r="AU102" s="166" t="s">
        <v>79</v>
      </c>
      <c r="AV102" s="14" t="s">
        <v>77</v>
      </c>
      <c r="AW102" s="14" t="s">
        <v>30</v>
      </c>
      <c r="AX102" s="14" t="s">
        <v>69</v>
      </c>
      <c r="AY102" s="166" t="s">
        <v>151</v>
      </c>
    </row>
    <row r="103" spans="2:65" s="12" customFormat="1" ht="11.25">
      <c r="B103" s="150"/>
      <c r="D103" s="151" t="s">
        <v>162</v>
      </c>
      <c r="E103" s="152" t="s">
        <v>3</v>
      </c>
      <c r="F103" s="153" t="s">
        <v>1672</v>
      </c>
      <c r="H103" s="154">
        <v>16.335000000000001</v>
      </c>
      <c r="I103" s="155"/>
      <c r="L103" s="150"/>
      <c r="M103" s="156"/>
      <c r="T103" s="157"/>
      <c r="AT103" s="152" t="s">
        <v>162</v>
      </c>
      <c r="AU103" s="152" t="s">
        <v>79</v>
      </c>
      <c r="AV103" s="12" t="s">
        <v>79</v>
      </c>
      <c r="AW103" s="12" t="s">
        <v>30</v>
      </c>
      <c r="AX103" s="12" t="s">
        <v>69</v>
      </c>
      <c r="AY103" s="152" t="s">
        <v>151</v>
      </c>
    </row>
    <row r="104" spans="2:65" s="14" customFormat="1" ht="11.25">
      <c r="B104" s="165"/>
      <c r="D104" s="151" t="s">
        <v>162</v>
      </c>
      <c r="E104" s="166" t="s">
        <v>3</v>
      </c>
      <c r="F104" s="167" t="s">
        <v>1673</v>
      </c>
      <c r="H104" s="166" t="s">
        <v>3</v>
      </c>
      <c r="I104" s="168"/>
      <c r="L104" s="165"/>
      <c r="M104" s="169"/>
      <c r="T104" s="170"/>
      <c r="AT104" s="166" t="s">
        <v>162</v>
      </c>
      <c r="AU104" s="166" t="s">
        <v>79</v>
      </c>
      <c r="AV104" s="14" t="s">
        <v>77</v>
      </c>
      <c r="AW104" s="14" t="s">
        <v>30</v>
      </c>
      <c r="AX104" s="14" t="s">
        <v>69</v>
      </c>
      <c r="AY104" s="166" t="s">
        <v>151</v>
      </c>
    </row>
    <row r="105" spans="2:65" s="12" customFormat="1" ht="11.25">
      <c r="B105" s="150"/>
      <c r="D105" s="151" t="s">
        <v>162</v>
      </c>
      <c r="E105" s="152" t="s">
        <v>3</v>
      </c>
      <c r="F105" s="153" t="s">
        <v>1674</v>
      </c>
      <c r="H105" s="154">
        <v>18.63</v>
      </c>
      <c r="I105" s="155"/>
      <c r="L105" s="150"/>
      <c r="M105" s="156"/>
      <c r="T105" s="157"/>
      <c r="AT105" s="152" t="s">
        <v>162</v>
      </c>
      <c r="AU105" s="152" t="s">
        <v>79</v>
      </c>
      <c r="AV105" s="12" t="s">
        <v>79</v>
      </c>
      <c r="AW105" s="12" t="s">
        <v>30</v>
      </c>
      <c r="AX105" s="12" t="s">
        <v>69</v>
      </c>
      <c r="AY105" s="152" t="s">
        <v>151</v>
      </c>
    </row>
    <row r="106" spans="2:65" s="14" customFormat="1" ht="11.25">
      <c r="B106" s="165"/>
      <c r="D106" s="151" t="s">
        <v>162</v>
      </c>
      <c r="E106" s="166" t="s">
        <v>3</v>
      </c>
      <c r="F106" s="167" t="s">
        <v>1675</v>
      </c>
      <c r="H106" s="166" t="s">
        <v>3</v>
      </c>
      <c r="I106" s="168"/>
      <c r="L106" s="165"/>
      <c r="M106" s="169"/>
      <c r="T106" s="170"/>
      <c r="AT106" s="166" t="s">
        <v>162</v>
      </c>
      <c r="AU106" s="166" t="s">
        <v>79</v>
      </c>
      <c r="AV106" s="14" t="s">
        <v>77</v>
      </c>
      <c r="AW106" s="14" t="s">
        <v>30</v>
      </c>
      <c r="AX106" s="14" t="s">
        <v>69</v>
      </c>
      <c r="AY106" s="166" t="s">
        <v>151</v>
      </c>
    </row>
    <row r="107" spans="2:65" s="12" customFormat="1" ht="11.25">
      <c r="B107" s="150"/>
      <c r="D107" s="151" t="s">
        <v>162</v>
      </c>
      <c r="E107" s="152" t="s">
        <v>3</v>
      </c>
      <c r="F107" s="153" t="s">
        <v>1676</v>
      </c>
      <c r="H107" s="154">
        <v>12.015000000000001</v>
      </c>
      <c r="I107" s="155"/>
      <c r="L107" s="150"/>
      <c r="M107" s="156"/>
      <c r="T107" s="157"/>
      <c r="AT107" s="152" t="s">
        <v>162</v>
      </c>
      <c r="AU107" s="152" t="s">
        <v>79</v>
      </c>
      <c r="AV107" s="12" t="s">
        <v>79</v>
      </c>
      <c r="AW107" s="12" t="s">
        <v>30</v>
      </c>
      <c r="AX107" s="12" t="s">
        <v>69</v>
      </c>
      <c r="AY107" s="152" t="s">
        <v>151</v>
      </c>
    </row>
    <row r="108" spans="2:65" s="13" customFormat="1" ht="11.25">
      <c r="B108" s="158"/>
      <c r="D108" s="151" t="s">
        <v>162</v>
      </c>
      <c r="E108" s="159" t="s">
        <v>3</v>
      </c>
      <c r="F108" s="160" t="s">
        <v>167</v>
      </c>
      <c r="H108" s="161">
        <v>56.790000000000006</v>
      </c>
      <c r="I108" s="162"/>
      <c r="L108" s="158"/>
      <c r="M108" s="163"/>
      <c r="T108" s="164"/>
      <c r="AT108" s="159" t="s">
        <v>162</v>
      </c>
      <c r="AU108" s="159" t="s">
        <v>79</v>
      </c>
      <c r="AV108" s="13" t="s">
        <v>158</v>
      </c>
      <c r="AW108" s="13" t="s">
        <v>30</v>
      </c>
      <c r="AX108" s="13" t="s">
        <v>77</v>
      </c>
      <c r="AY108" s="159" t="s">
        <v>151</v>
      </c>
    </row>
    <row r="109" spans="2:65" s="1" customFormat="1" ht="16.5" customHeight="1">
      <c r="B109" s="132"/>
      <c r="C109" s="133" t="s">
        <v>168</v>
      </c>
      <c r="D109" s="133" t="s">
        <v>153</v>
      </c>
      <c r="E109" s="134" t="s">
        <v>1677</v>
      </c>
      <c r="F109" s="135" t="s">
        <v>1678</v>
      </c>
      <c r="G109" s="136" t="s">
        <v>230</v>
      </c>
      <c r="H109" s="137">
        <v>142.4</v>
      </c>
      <c r="I109" s="138"/>
      <c r="J109" s="139">
        <f>ROUND(I109*H109,2)</f>
        <v>0</v>
      </c>
      <c r="K109" s="135" t="s">
        <v>1654</v>
      </c>
      <c r="L109" s="33"/>
      <c r="M109" s="140" t="s">
        <v>3</v>
      </c>
      <c r="N109" s="141" t="s">
        <v>40</v>
      </c>
      <c r="P109" s="142">
        <f>O109*H109</f>
        <v>0</v>
      </c>
      <c r="Q109" s="142">
        <v>8.4999999999999995E-4</v>
      </c>
      <c r="R109" s="142">
        <f>Q109*H109</f>
        <v>0.12103999999999999</v>
      </c>
      <c r="S109" s="142">
        <v>0</v>
      </c>
      <c r="T109" s="143">
        <f>S109*H109</f>
        <v>0</v>
      </c>
      <c r="AR109" s="144" t="s">
        <v>158</v>
      </c>
      <c r="AT109" s="144" t="s">
        <v>153</v>
      </c>
      <c r="AU109" s="144" t="s">
        <v>79</v>
      </c>
      <c r="AY109" s="18" t="s">
        <v>151</v>
      </c>
      <c r="BE109" s="145">
        <f>IF(N109="základní",J109,0)</f>
        <v>0</v>
      </c>
      <c r="BF109" s="145">
        <f>IF(N109="snížená",J109,0)</f>
        <v>0</v>
      </c>
      <c r="BG109" s="145">
        <f>IF(N109="zákl. přenesená",J109,0)</f>
        <v>0</v>
      </c>
      <c r="BH109" s="145">
        <f>IF(N109="sníž. přenesená",J109,0)</f>
        <v>0</v>
      </c>
      <c r="BI109" s="145">
        <f>IF(N109="nulová",J109,0)</f>
        <v>0</v>
      </c>
      <c r="BJ109" s="18" t="s">
        <v>77</v>
      </c>
      <c r="BK109" s="145">
        <f>ROUND(I109*H109,2)</f>
        <v>0</v>
      </c>
      <c r="BL109" s="18" t="s">
        <v>158</v>
      </c>
      <c r="BM109" s="144" t="s">
        <v>1679</v>
      </c>
    </row>
    <row r="110" spans="2:65" s="1" customFormat="1" ht="11.25">
      <c r="B110" s="33"/>
      <c r="D110" s="146" t="s">
        <v>160</v>
      </c>
      <c r="F110" s="147" t="s">
        <v>1680</v>
      </c>
      <c r="I110" s="148"/>
      <c r="L110" s="33"/>
      <c r="M110" s="149"/>
      <c r="T110" s="54"/>
      <c r="AT110" s="18" t="s">
        <v>160</v>
      </c>
      <c r="AU110" s="18" t="s">
        <v>79</v>
      </c>
    </row>
    <row r="111" spans="2:65" s="14" customFormat="1" ht="11.25">
      <c r="B111" s="165"/>
      <c r="D111" s="151" t="s">
        <v>162</v>
      </c>
      <c r="E111" s="166" t="s">
        <v>3</v>
      </c>
      <c r="F111" s="167" t="s">
        <v>1659</v>
      </c>
      <c r="H111" s="166" t="s">
        <v>3</v>
      </c>
      <c r="I111" s="168"/>
      <c r="L111" s="165"/>
      <c r="M111" s="169"/>
      <c r="T111" s="170"/>
      <c r="AT111" s="166" t="s">
        <v>162</v>
      </c>
      <c r="AU111" s="166" t="s">
        <v>79</v>
      </c>
      <c r="AV111" s="14" t="s">
        <v>77</v>
      </c>
      <c r="AW111" s="14" t="s">
        <v>30</v>
      </c>
      <c r="AX111" s="14" t="s">
        <v>69</v>
      </c>
      <c r="AY111" s="166" t="s">
        <v>151</v>
      </c>
    </row>
    <row r="112" spans="2:65" s="12" customFormat="1" ht="11.25">
      <c r="B112" s="150"/>
      <c r="D112" s="151" t="s">
        <v>162</v>
      </c>
      <c r="E112" s="152" t="s">
        <v>3</v>
      </c>
      <c r="F112" s="153" t="s">
        <v>1681</v>
      </c>
      <c r="H112" s="154">
        <v>112.4</v>
      </c>
      <c r="I112" s="155"/>
      <c r="L112" s="150"/>
      <c r="M112" s="156"/>
      <c r="T112" s="157"/>
      <c r="AT112" s="152" t="s">
        <v>162</v>
      </c>
      <c r="AU112" s="152" t="s">
        <v>79</v>
      </c>
      <c r="AV112" s="12" t="s">
        <v>79</v>
      </c>
      <c r="AW112" s="12" t="s">
        <v>30</v>
      </c>
      <c r="AX112" s="12" t="s">
        <v>69</v>
      </c>
      <c r="AY112" s="152" t="s">
        <v>151</v>
      </c>
    </row>
    <row r="113" spans="2:65" s="14" customFormat="1" ht="11.25">
      <c r="B113" s="165"/>
      <c r="D113" s="151" t="s">
        <v>162</v>
      </c>
      <c r="E113" s="166" t="s">
        <v>3</v>
      </c>
      <c r="F113" s="167" t="s">
        <v>1682</v>
      </c>
      <c r="H113" s="166" t="s">
        <v>3</v>
      </c>
      <c r="I113" s="168"/>
      <c r="L113" s="165"/>
      <c r="M113" s="169"/>
      <c r="T113" s="170"/>
      <c r="AT113" s="166" t="s">
        <v>162</v>
      </c>
      <c r="AU113" s="166" t="s">
        <v>79</v>
      </c>
      <c r="AV113" s="14" t="s">
        <v>77</v>
      </c>
      <c r="AW113" s="14" t="s">
        <v>30</v>
      </c>
      <c r="AX113" s="14" t="s">
        <v>69</v>
      </c>
      <c r="AY113" s="166" t="s">
        <v>151</v>
      </c>
    </row>
    <row r="114" spans="2:65" s="12" customFormat="1" ht="11.25">
      <c r="B114" s="150"/>
      <c r="D114" s="151" t="s">
        <v>162</v>
      </c>
      <c r="E114" s="152" t="s">
        <v>3</v>
      </c>
      <c r="F114" s="153" t="s">
        <v>1683</v>
      </c>
      <c r="H114" s="154">
        <v>30</v>
      </c>
      <c r="I114" s="155"/>
      <c r="L114" s="150"/>
      <c r="M114" s="156"/>
      <c r="T114" s="157"/>
      <c r="AT114" s="152" t="s">
        <v>162</v>
      </c>
      <c r="AU114" s="152" t="s">
        <v>79</v>
      </c>
      <c r="AV114" s="12" t="s">
        <v>79</v>
      </c>
      <c r="AW114" s="12" t="s">
        <v>30</v>
      </c>
      <c r="AX114" s="12" t="s">
        <v>69</v>
      </c>
      <c r="AY114" s="152" t="s">
        <v>151</v>
      </c>
    </row>
    <row r="115" spans="2:65" s="13" customFormat="1" ht="11.25">
      <c r="B115" s="158"/>
      <c r="D115" s="151" t="s">
        <v>162</v>
      </c>
      <c r="E115" s="159" t="s">
        <v>3</v>
      </c>
      <c r="F115" s="160" t="s">
        <v>167</v>
      </c>
      <c r="H115" s="161">
        <v>142.4</v>
      </c>
      <c r="I115" s="162"/>
      <c r="L115" s="158"/>
      <c r="M115" s="163"/>
      <c r="T115" s="164"/>
      <c r="AT115" s="159" t="s">
        <v>162</v>
      </c>
      <c r="AU115" s="159" t="s">
        <v>79</v>
      </c>
      <c r="AV115" s="13" t="s">
        <v>158</v>
      </c>
      <c r="AW115" s="13" t="s">
        <v>30</v>
      </c>
      <c r="AX115" s="13" t="s">
        <v>77</v>
      </c>
      <c r="AY115" s="159" t="s">
        <v>151</v>
      </c>
    </row>
    <row r="116" spans="2:65" s="1" customFormat="1" ht="37.9" customHeight="1">
      <c r="B116" s="132"/>
      <c r="C116" s="133" t="s">
        <v>180</v>
      </c>
      <c r="D116" s="133" t="s">
        <v>153</v>
      </c>
      <c r="E116" s="134" t="s">
        <v>169</v>
      </c>
      <c r="F116" s="135" t="s">
        <v>170</v>
      </c>
      <c r="G116" s="136" t="s">
        <v>156</v>
      </c>
      <c r="H116" s="137">
        <v>270.99</v>
      </c>
      <c r="I116" s="138"/>
      <c r="J116" s="139">
        <f>ROUND(I116*H116,2)</f>
        <v>0</v>
      </c>
      <c r="K116" s="135" t="s">
        <v>1654</v>
      </c>
      <c r="L116" s="33"/>
      <c r="M116" s="140" t="s">
        <v>3</v>
      </c>
      <c r="N116" s="141" t="s">
        <v>40</v>
      </c>
      <c r="P116" s="142">
        <f>O116*H116</f>
        <v>0</v>
      </c>
      <c r="Q116" s="142">
        <v>0</v>
      </c>
      <c r="R116" s="142">
        <f>Q116*H116</f>
        <v>0</v>
      </c>
      <c r="S116" s="142">
        <v>0</v>
      </c>
      <c r="T116" s="143">
        <f>S116*H116</f>
        <v>0</v>
      </c>
      <c r="AR116" s="144" t="s">
        <v>158</v>
      </c>
      <c r="AT116" s="144" t="s">
        <v>153</v>
      </c>
      <c r="AU116" s="144" t="s">
        <v>79</v>
      </c>
      <c r="AY116" s="18" t="s">
        <v>151</v>
      </c>
      <c r="BE116" s="145">
        <f>IF(N116="základní",J116,0)</f>
        <v>0</v>
      </c>
      <c r="BF116" s="145">
        <f>IF(N116="snížená",J116,0)</f>
        <v>0</v>
      </c>
      <c r="BG116" s="145">
        <f>IF(N116="zákl. přenesená",J116,0)</f>
        <v>0</v>
      </c>
      <c r="BH116" s="145">
        <f>IF(N116="sníž. přenesená",J116,0)</f>
        <v>0</v>
      </c>
      <c r="BI116" s="145">
        <f>IF(N116="nulová",J116,0)</f>
        <v>0</v>
      </c>
      <c r="BJ116" s="18" t="s">
        <v>77</v>
      </c>
      <c r="BK116" s="145">
        <f>ROUND(I116*H116,2)</f>
        <v>0</v>
      </c>
      <c r="BL116" s="18" t="s">
        <v>158</v>
      </c>
      <c r="BM116" s="144" t="s">
        <v>1684</v>
      </c>
    </row>
    <row r="117" spans="2:65" s="1" customFormat="1" ht="11.25">
      <c r="B117" s="33"/>
      <c r="D117" s="146" t="s">
        <v>160</v>
      </c>
      <c r="F117" s="147" t="s">
        <v>1685</v>
      </c>
      <c r="I117" s="148"/>
      <c r="L117" s="33"/>
      <c r="M117" s="149"/>
      <c r="T117" s="54"/>
      <c r="AT117" s="18" t="s">
        <v>160</v>
      </c>
      <c r="AU117" s="18" t="s">
        <v>79</v>
      </c>
    </row>
    <row r="118" spans="2:65" s="12" customFormat="1" ht="11.25">
      <c r="B118" s="150"/>
      <c r="D118" s="151" t="s">
        <v>162</v>
      </c>
      <c r="E118" s="152" t="s">
        <v>3</v>
      </c>
      <c r="F118" s="153" t="s">
        <v>1686</v>
      </c>
      <c r="H118" s="154">
        <v>270.99</v>
      </c>
      <c r="I118" s="155"/>
      <c r="L118" s="150"/>
      <c r="M118" s="156"/>
      <c r="T118" s="157"/>
      <c r="AT118" s="152" t="s">
        <v>162</v>
      </c>
      <c r="AU118" s="152" t="s">
        <v>79</v>
      </c>
      <c r="AV118" s="12" t="s">
        <v>79</v>
      </c>
      <c r="AW118" s="12" t="s">
        <v>30</v>
      </c>
      <c r="AX118" s="12" t="s">
        <v>77</v>
      </c>
      <c r="AY118" s="152" t="s">
        <v>151</v>
      </c>
    </row>
    <row r="119" spans="2:65" s="1" customFormat="1" ht="37.9" customHeight="1">
      <c r="B119" s="132"/>
      <c r="C119" s="133" t="s">
        <v>195</v>
      </c>
      <c r="D119" s="133" t="s">
        <v>153</v>
      </c>
      <c r="E119" s="134" t="s">
        <v>175</v>
      </c>
      <c r="F119" s="135" t="s">
        <v>176</v>
      </c>
      <c r="G119" s="136" t="s">
        <v>156</v>
      </c>
      <c r="H119" s="137">
        <v>5419.8</v>
      </c>
      <c r="I119" s="138"/>
      <c r="J119" s="139">
        <f>ROUND(I119*H119,2)</f>
        <v>0</v>
      </c>
      <c r="K119" s="135" t="s">
        <v>1654</v>
      </c>
      <c r="L119" s="33"/>
      <c r="M119" s="140" t="s">
        <v>3</v>
      </c>
      <c r="N119" s="141" t="s">
        <v>40</v>
      </c>
      <c r="P119" s="142">
        <f>O119*H119</f>
        <v>0</v>
      </c>
      <c r="Q119" s="142">
        <v>0</v>
      </c>
      <c r="R119" s="142">
        <f>Q119*H119</f>
        <v>0</v>
      </c>
      <c r="S119" s="142">
        <v>0</v>
      </c>
      <c r="T119" s="143">
        <f>S119*H119</f>
        <v>0</v>
      </c>
      <c r="AR119" s="144" t="s">
        <v>158</v>
      </c>
      <c r="AT119" s="144" t="s">
        <v>153</v>
      </c>
      <c r="AU119" s="144" t="s">
        <v>79</v>
      </c>
      <c r="AY119" s="18" t="s">
        <v>151</v>
      </c>
      <c r="BE119" s="145">
        <f>IF(N119="základní",J119,0)</f>
        <v>0</v>
      </c>
      <c r="BF119" s="145">
        <f>IF(N119="snížená",J119,0)</f>
        <v>0</v>
      </c>
      <c r="BG119" s="145">
        <f>IF(N119="zákl. přenesená",J119,0)</f>
        <v>0</v>
      </c>
      <c r="BH119" s="145">
        <f>IF(N119="sníž. přenesená",J119,0)</f>
        <v>0</v>
      </c>
      <c r="BI119" s="145">
        <f>IF(N119="nulová",J119,0)</f>
        <v>0</v>
      </c>
      <c r="BJ119" s="18" t="s">
        <v>77</v>
      </c>
      <c r="BK119" s="145">
        <f>ROUND(I119*H119,2)</f>
        <v>0</v>
      </c>
      <c r="BL119" s="18" t="s">
        <v>158</v>
      </c>
      <c r="BM119" s="144" t="s">
        <v>1687</v>
      </c>
    </row>
    <row r="120" spans="2:65" s="1" customFormat="1" ht="11.25">
      <c r="B120" s="33"/>
      <c r="D120" s="146" t="s">
        <v>160</v>
      </c>
      <c r="F120" s="147" t="s">
        <v>1688</v>
      </c>
      <c r="I120" s="148"/>
      <c r="L120" s="33"/>
      <c r="M120" s="149"/>
      <c r="T120" s="54"/>
      <c r="AT120" s="18" t="s">
        <v>160</v>
      </c>
      <c r="AU120" s="18" t="s">
        <v>79</v>
      </c>
    </row>
    <row r="121" spans="2:65" s="12" customFormat="1" ht="11.25">
      <c r="B121" s="150"/>
      <c r="D121" s="151" t="s">
        <v>162</v>
      </c>
      <c r="E121" s="152" t="s">
        <v>3</v>
      </c>
      <c r="F121" s="153" t="s">
        <v>1689</v>
      </c>
      <c r="H121" s="154">
        <v>5419.8</v>
      </c>
      <c r="I121" s="155"/>
      <c r="L121" s="150"/>
      <c r="M121" s="156"/>
      <c r="T121" s="157"/>
      <c r="AT121" s="152" t="s">
        <v>162</v>
      </c>
      <c r="AU121" s="152" t="s">
        <v>79</v>
      </c>
      <c r="AV121" s="12" t="s">
        <v>79</v>
      </c>
      <c r="AW121" s="12" t="s">
        <v>30</v>
      </c>
      <c r="AX121" s="12" t="s">
        <v>77</v>
      </c>
      <c r="AY121" s="152" t="s">
        <v>151</v>
      </c>
    </row>
    <row r="122" spans="2:65" s="1" customFormat="1" ht="24.2" customHeight="1">
      <c r="B122" s="132"/>
      <c r="C122" s="133" t="s">
        <v>203</v>
      </c>
      <c r="D122" s="133" t="s">
        <v>153</v>
      </c>
      <c r="E122" s="134" t="s">
        <v>181</v>
      </c>
      <c r="F122" s="135" t="s">
        <v>182</v>
      </c>
      <c r="G122" s="136" t="s">
        <v>183</v>
      </c>
      <c r="H122" s="137">
        <v>487.78199999999998</v>
      </c>
      <c r="I122" s="138"/>
      <c r="J122" s="139">
        <f>ROUND(I122*H122,2)</f>
        <v>0</v>
      </c>
      <c r="K122" s="135" t="s">
        <v>1654</v>
      </c>
      <c r="L122" s="33"/>
      <c r="M122" s="140" t="s">
        <v>3</v>
      </c>
      <c r="N122" s="141" t="s">
        <v>40</v>
      </c>
      <c r="P122" s="142">
        <f>O122*H122</f>
        <v>0</v>
      </c>
      <c r="Q122" s="142">
        <v>0</v>
      </c>
      <c r="R122" s="142">
        <f>Q122*H122</f>
        <v>0</v>
      </c>
      <c r="S122" s="142">
        <v>0</v>
      </c>
      <c r="T122" s="143">
        <f>S122*H122</f>
        <v>0</v>
      </c>
      <c r="AR122" s="144" t="s">
        <v>158</v>
      </c>
      <c r="AT122" s="144" t="s">
        <v>153</v>
      </c>
      <c r="AU122" s="144" t="s">
        <v>79</v>
      </c>
      <c r="AY122" s="18" t="s">
        <v>151</v>
      </c>
      <c r="BE122" s="145">
        <f>IF(N122="základní",J122,0)</f>
        <v>0</v>
      </c>
      <c r="BF122" s="145">
        <f>IF(N122="snížená",J122,0)</f>
        <v>0</v>
      </c>
      <c r="BG122" s="145">
        <f>IF(N122="zákl. přenesená",J122,0)</f>
        <v>0</v>
      </c>
      <c r="BH122" s="145">
        <f>IF(N122="sníž. přenesená",J122,0)</f>
        <v>0</v>
      </c>
      <c r="BI122" s="145">
        <f>IF(N122="nulová",J122,0)</f>
        <v>0</v>
      </c>
      <c r="BJ122" s="18" t="s">
        <v>77</v>
      </c>
      <c r="BK122" s="145">
        <f>ROUND(I122*H122,2)</f>
        <v>0</v>
      </c>
      <c r="BL122" s="18" t="s">
        <v>158</v>
      </c>
      <c r="BM122" s="144" t="s">
        <v>1690</v>
      </c>
    </row>
    <row r="123" spans="2:65" s="1" customFormat="1" ht="11.25">
      <c r="B123" s="33"/>
      <c r="D123" s="146" t="s">
        <v>160</v>
      </c>
      <c r="F123" s="147" t="s">
        <v>1691</v>
      </c>
      <c r="I123" s="148"/>
      <c r="L123" s="33"/>
      <c r="M123" s="149"/>
      <c r="T123" s="54"/>
      <c r="AT123" s="18" t="s">
        <v>160</v>
      </c>
      <c r="AU123" s="18" t="s">
        <v>79</v>
      </c>
    </row>
    <row r="124" spans="2:65" s="12" customFormat="1" ht="11.25">
      <c r="B124" s="150"/>
      <c r="D124" s="151" t="s">
        <v>162</v>
      </c>
      <c r="E124" s="152" t="s">
        <v>3</v>
      </c>
      <c r="F124" s="153" t="s">
        <v>1692</v>
      </c>
      <c r="H124" s="154">
        <v>487.78199999999998</v>
      </c>
      <c r="I124" s="155"/>
      <c r="L124" s="150"/>
      <c r="M124" s="156"/>
      <c r="T124" s="157"/>
      <c r="AT124" s="152" t="s">
        <v>162</v>
      </c>
      <c r="AU124" s="152" t="s">
        <v>79</v>
      </c>
      <c r="AV124" s="12" t="s">
        <v>79</v>
      </c>
      <c r="AW124" s="12" t="s">
        <v>30</v>
      </c>
      <c r="AX124" s="12" t="s">
        <v>77</v>
      </c>
      <c r="AY124" s="152" t="s">
        <v>151</v>
      </c>
    </row>
    <row r="125" spans="2:65" s="1" customFormat="1" ht="24.2" customHeight="1">
      <c r="B125" s="132"/>
      <c r="C125" s="133" t="s">
        <v>214</v>
      </c>
      <c r="D125" s="133" t="s">
        <v>153</v>
      </c>
      <c r="E125" s="134" t="s">
        <v>188</v>
      </c>
      <c r="F125" s="135" t="s">
        <v>189</v>
      </c>
      <c r="G125" s="136" t="s">
        <v>156</v>
      </c>
      <c r="H125" s="137">
        <v>43.542000000000002</v>
      </c>
      <c r="I125" s="138"/>
      <c r="J125" s="139">
        <f>ROUND(I125*H125,2)</f>
        <v>0</v>
      </c>
      <c r="K125" s="135" t="s">
        <v>1654</v>
      </c>
      <c r="L125" s="33"/>
      <c r="M125" s="140" t="s">
        <v>3</v>
      </c>
      <c r="N125" s="141" t="s">
        <v>40</v>
      </c>
      <c r="P125" s="142">
        <f>O125*H125</f>
        <v>0</v>
      </c>
      <c r="Q125" s="142">
        <v>0</v>
      </c>
      <c r="R125" s="142">
        <f>Q125*H125</f>
        <v>0</v>
      </c>
      <c r="S125" s="142">
        <v>0</v>
      </c>
      <c r="T125" s="143">
        <f>S125*H125</f>
        <v>0</v>
      </c>
      <c r="AR125" s="144" t="s">
        <v>158</v>
      </c>
      <c r="AT125" s="144" t="s">
        <v>153</v>
      </c>
      <c r="AU125" s="144" t="s">
        <v>79</v>
      </c>
      <c r="AY125" s="18" t="s">
        <v>151</v>
      </c>
      <c r="BE125" s="145">
        <f>IF(N125="základní",J125,0)</f>
        <v>0</v>
      </c>
      <c r="BF125" s="145">
        <f>IF(N125="snížená",J125,0)</f>
        <v>0</v>
      </c>
      <c r="BG125" s="145">
        <f>IF(N125="zákl. přenesená",J125,0)</f>
        <v>0</v>
      </c>
      <c r="BH125" s="145">
        <f>IF(N125="sníž. přenesená",J125,0)</f>
        <v>0</v>
      </c>
      <c r="BI125" s="145">
        <f>IF(N125="nulová",J125,0)</f>
        <v>0</v>
      </c>
      <c r="BJ125" s="18" t="s">
        <v>77</v>
      </c>
      <c r="BK125" s="145">
        <f>ROUND(I125*H125,2)</f>
        <v>0</v>
      </c>
      <c r="BL125" s="18" t="s">
        <v>158</v>
      </c>
      <c r="BM125" s="144" t="s">
        <v>1693</v>
      </c>
    </row>
    <row r="126" spans="2:65" s="1" customFormat="1" ht="11.25">
      <c r="B126" s="33"/>
      <c r="D126" s="146" t="s">
        <v>160</v>
      </c>
      <c r="F126" s="147" t="s">
        <v>1694</v>
      </c>
      <c r="I126" s="148"/>
      <c r="L126" s="33"/>
      <c r="M126" s="149"/>
      <c r="T126" s="54"/>
      <c r="AT126" s="18" t="s">
        <v>160</v>
      </c>
      <c r="AU126" s="18" t="s">
        <v>79</v>
      </c>
    </row>
    <row r="127" spans="2:65" s="14" customFormat="1" ht="11.25">
      <c r="B127" s="165"/>
      <c r="D127" s="151" t="s">
        <v>162</v>
      </c>
      <c r="E127" s="166" t="s">
        <v>3</v>
      </c>
      <c r="F127" s="167" t="s">
        <v>1667</v>
      </c>
      <c r="H127" s="166" t="s">
        <v>3</v>
      </c>
      <c r="I127" s="168"/>
      <c r="L127" s="165"/>
      <c r="M127" s="169"/>
      <c r="T127" s="170"/>
      <c r="AT127" s="166" t="s">
        <v>162</v>
      </c>
      <c r="AU127" s="166" t="s">
        <v>79</v>
      </c>
      <c r="AV127" s="14" t="s">
        <v>77</v>
      </c>
      <c r="AW127" s="14" t="s">
        <v>30</v>
      </c>
      <c r="AX127" s="14" t="s">
        <v>69</v>
      </c>
      <c r="AY127" s="166" t="s">
        <v>151</v>
      </c>
    </row>
    <row r="128" spans="2:65" s="12" customFormat="1" ht="11.25">
      <c r="B128" s="150"/>
      <c r="D128" s="151" t="s">
        <v>162</v>
      </c>
      <c r="E128" s="152" t="s">
        <v>3</v>
      </c>
      <c r="F128" s="153" t="s">
        <v>1695</v>
      </c>
      <c r="H128" s="154">
        <v>6.2640000000000002</v>
      </c>
      <c r="I128" s="155"/>
      <c r="L128" s="150"/>
      <c r="M128" s="156"/>
      <c r="T128" s="157"/>
      <c r="AT128" s="152" t="s">
        <v>162</v>
      </c>
      <c r="AU128" s="152" t="s">
        <v>79</v>
      </c>
      <c r="AV128" s="12" t="s">
        <v>79</v>
      </c>
      <c r="AW128" s="12" t="s">
        <v>30</v>
      </c>
      <c r="AX128" s="12" t="s">
        <v>69</v>
      </c>
      <c r="AY128" s="152" t="s">
        <v>151</v>
      </c>
    </row>
    <row r="129" spans="2:65" s="14" customFormat="1" ht="11.25">
      <c r="B129" s="165"/>
      <c r="D129" s="151" t="s">
        <v>162</v>
      </c>
      <c r="E129" s="166" t="s">
        <v>3</v>
      </c>
      <c r="F129" s="167" t="s">
        <v>1669</v>
      </c>
      <c r="H129" s="166" t="s">
        <v>3</v>
      </c>
      <c r="I129" s="168"/>
      <c r="L129" s="165"/>
      <c r="M129" s="169"/>
      <c r="T129" s="170"/>
      <c r="AT129" s="166" t="s">
        <v>162</v>
      </c>
      <c r="AU129" s="166" t="s">
        <v>79</v>
      </c>
      <c r="AV129" s="14" t="s">
        <v>77</v>
      </c>
      <c r="AW129" s="14" t="s">
        <v>30</v>
      </c>
      <c r="AX129" s="14" t="s">
        <v>69</v>
      </c>
      <c r="AY129" s="166" t="s">
        <v>151</v>
      </c>
    </row>
    <row r="130" spans="2:65" s="12" customFormat="1" ht="11.25">
      <c r="B130" s="150"/>
      <c r="D130" s="151" t="s">
        <v>162</v>
      </c>
      <c r="E130" s="152" t="s">
        <v>3</v>
      </c>
      <c r="F130" s="153" t="s">
        <v>1696</v>
      </c>
      <c r="H130" s="154">
        <v>1.5840000000000001</v>
      </c>
      <c r="I130" s="155"/>
      <c r="L130" s="150"/>
      <c r="M130" s="156"/>
      <c r="T130" s="157"/>
      <c r="AT130" s="152" t="s">
        <v>162</v>
      </c>
      <c r="AU130" s="152" t="s">
        <v>79</v>
      </c>
      <c r="AV130" s="12" t="s">
        <v>79</v>
      </c>
      <c r="AW130" s="12" t="s">
        <v>30</v>
      </c>
      <c r="AX130" s="12" t="s">
        <v>69</v>
      </c>
      <c r="AY130" s="152" t="s">
        <v>151</v>
      </c>
    </row>
    <row r="131" spans="2:65" s="14" customFormat="1" ht="11.25">
      <c r="B131" s="165"/>
      <c r="D131" s="151" t="s">
        <v>162</v>
      </c>
      <c r="E131" s="166" t="s">
        <v>3</v>
      </c>
      <c r="F131" s="167" t="s">
        <v>1671</v>
      </c>
      <c r="H131" s="166" t="s">
        <v>3</v>
      </c>
      <c r="I131" s="168"/>
      <c r="L131" s="165"/>
      <c r="M131" s="169"/>
      <c r="T131" s="170"/>
      <c r="AT131" s="166" t="s">
        <v>162</v>
      </c>
      <c r="AU131" s="166" t="s">
        <v>79</v>
      </c>
      <c r="AV131" s="14" t="s">
        <v>77</v>
      </c>
      <c r="AW131" s="14" t="s">
        <v>30</v>
      </c>
      <c r="AX131" s="14" t="s">
        <v>69</v>
      </c>
      <c r="AY131" s="166" t="s">
        <v>151</v>
      </c>
    </row>
    <row r="132" spans="2:65" s="12" customFormat="1" ht="11.25">
      <c r="B132" s="150"/>
      <c r="D132" s="151" t="s">
        <v>162</v>
      </c>
      <c r="E132" s="152" t="s">
        <v>3</v>
      </c>
      <c r="F132" s="153" t="s">
        <v>1697</v>
      </c>
      <c r="H132" s="154">
        <v>11.978999999999999</v>
      </c>
      <c r="I132" s="155"/>
      <c r="L132" s="150"/>
      <c r="M132" s="156"/>
      <c r="T132" s="157"/>
      <c r="AT132" s="152" t="s">
        <v>162</v>
      </c>
      <c r="AU132" s="152" t="s">
        <v>79</v>
      </c>
      <c r="AV132" s="12" t="s">
        <v>79</v>
      </c>
      <c r="AW132" s="12" t="s">
        <v>30</v>
      </c>
      <c r="AX132" s="12" t="s">
        <v>69</v>
      </c>
      <c r="AY132" s="152" t="s">
        <v>151</v>
      </c>
    </row>
    <row r="133" spans="2:65" s="14" customFormat="1" ht="11.25">
      <c r="B133" s="165"/>
      <c r="D133" s="151" t="s">
        <v>162</v>
      </c>
      <c r="E133" s="166" t="s">
        <v>3</v>
      </c>
      <c r="F133" s="167" t="s">
        <v>1673</v>
      </c>
      <c r="H133" s="166" t="s">
        <v>3</v>
      </c>
      <c r="I133" s="168"/>
      <c r="L133" s="165"/>
      <c r="M133" s="169"/>
      <c r="T133" s="170"/>
      <c r="AT133" s="166" t="s">
        <v>162</v>
      </c>
      <c r="AU133" s="166" t="s">
        <v>79</v>
      </c>
      <c r="AV133" s="14" t="s">
        <v>77</v>
      </c>
      <c r="AW133" s="14" t="s">
        <v>30</v>
      </c>
      <c r="AX133" s="14" t="s">
        <v>69</v>
      </c>
      <c r="AY133" s="166" t="s">
        <v>151</v>
      </c>
    </row>
    <row r="134" spans="2:65" s="12" customFormat="1" ht="11.25">
      <c r="B134" s="150"/>
      <c r="D134" s="151" t="s">
        <v>162</v>
      </c>
      <c r="E134" s="152" t="s">
        <v>3</v>
      </c>
      <c r="F134" s="153" t="s">
        <v>1698</v>
      </c>
      <c r="H134" s="154">
        <v>14.904</v>
      </c>
      <c r="I134" s="155"/>
      <c r="L134" s="150"/>
      <c r="M134" s="156"/>
      <c r="T134" s="157"/>
      <c r="AT134" s="152" t="s">
        <v>162</v>
      </c>
      <c r="AU134" s="152" t="s">
        <v>79</v>
      </c>
      <c r="AV134" s="12" t="s">
        <v>79</v>
      </c>
      <c r="AW134" s="12" t="s">
        <v>30</v>
      </c>
      <c r="AX134" s="12" t="s">
        <v>69</v>
      </c>
      <c r="AY134" s="152" t="s">
        <v>151</v>
      </c>
    </row>
    <row r="135" spans="2:65" s="14" customFormat="1" ht="11.25">
      <c r="B135" s="165"/>
      <c r="D135" s="151" t="s">
        <v>162</v>
      </c>
      <c r="E135" s="166" t="s">
        <v>3</v>
      </c>
      <c r="F135" s="167" t="s">
        <v>1675</v>
      </c>
      <c r="H135" s="166" t="s">
        <v>3</v>
      </c>
      <c r="I135" s="168"/>
      <c r="L135" s="165"/>
      <c r="M135" s="169"/>
      <c r="T135" s="170"/>
      <c r="AT135" s="166" t="s">
        <v>162</v>
      </c>
      <c r="AU135" s="166" t="s">
        <v>79</v>
      </c>
      <c r="AV135" s="14" t="s">
        <v>77</v>
      </c>
      <c r="AW135" s="14" t="s">
        <v>30</v>
      </c>
      <c r="AX135" s="14" t="s">
        <v>69</v>
      </c>
      <c r="AY135" s="166" t="s">
        <v>151</v>
      </c>
    </row>
    <row r="136" spans="2:65" s="12" customFormat="1" ht="11.25">
      <c r="B136" s="150"/>
      <c r="D136" s="151" t="s">
        <v>162</v>
      </c>
      <c r="E136" s="152" t="s">
        <v>3</v>
      </c>
      <c r="F136" s="153" t="s">
        <v>1699</v>
      </c>
      <c r="H136" s="154">
        <v>8.8109999999999999</v>
      </c>
      <c r="I136" s="155"/>
      <c r="L136" s="150"/>
      <c r="M136" s="156"/>
      <c r="T136" s="157"/>
      <c r="AT136" s="152" t="s">
        <v>162</v>
      </c>
      <c r="AU136" s="152" t="s">
        <v>79</v>
      </c>
      <c r="AV136" s="12" t="s">
        <v>79</v>
      </c>
      <c r="AW136" s="12" t="s">
        <v>30</v>
      </c>
      <c r="AX136" s="12" t="s">
        <v>69</v>
      </c>
      <c r="AY136" s="152" t="s">
        <v>151</v>
      </c>
    </row>
    <row r="137" spans="2:65" s="13" customFormat="1" ht="11.25">
      <c r="B137" s="158"/>
      <c r="D137" s="151" t="s">
        <v>162</v>
      </c>
      <c r="E137" s="159" t="s">
        <v>3</v>
      </c>
      <c r="F137" s="160" t="s">
        <v>167</v>
      </c>
      <c r="H137" s="161">
        <v>43.541999999999994</v>
      </c>
      <c r="I137" s="162"/>
      <c r="L137" s="158"/>
      <c r="M137" s="163"/>
      <c r="T137" s="164"/>
      <c r="AT137" s="159" t="s">
        <v>162</v>
      </c>
      <c r="AU137" s="159" t="s">
        <v>79</v>
      </c>
      <c r="AV137" s="13" t="s">
        <v>158</v>
      </c>
      <c r="AW137" s="13" t="s">
        <v>30</v>
      </c>
      <c r="AX137" s="13" t="s">
        <v>77</v>
      </c>
      <c r="AY137" s="159" t="s">
        <v>151</v>
      </c>
    </row>
    <row r="138" spans="2:65" s="1" customFormat="1" ht="37.9" customHeight="1">
      <c r="B138" s="132"/>
      <c r="C138" s="133" t="s">
        <v>227</v>
      </c>
      <c r="D138" s="133" t="s">
        <v>153</v>
      </c>
      <c r="E138" s="134" t="s">
        <v>1700</v>
      </c>
      <c r="F138" s="135" t="s">
        <v>1701</v>
      </c>
      <c r="G138" s="136" t="s">
        <v>156</v>
      </c>
      <c r="H138" s="137">
        <v>13.247999999999999</v>
      </c>
      <c r="I138" s="138"/>
      <c r="J138" s="139">
        <f>ROUND(I138*H138,2)</f>
        <v>0</v>
      </c>
      <c r="K138" s="135" t="s">
        <v>1654</v>
      </c>
      <c r="L138" s="33"/>
      <c r="M138" s="140" t="s">
        <v>3</v>
      </c>
      <c r="N138" s="141" t="s">
        <v>40</v>
      </c>
      <c r="P138" s="142">
        <f>O138*H138</f>
        <v>0</v>
      </c>
      <c r="Q138" s="142">
        <v>0</v>
      </c>
      <c r="R138" s="142">
        <f>Q138*H138</f>
        <v>0</v>
      </c>
      <c r="S138" s="142">
        <v>0</v>
      </c>
      <c r="T138" s="143">
        <f>S138*H138</f>
        <v>0</v>
      </c>
      <c r="AR138" s="144" t="s">
        <v>158</v>
      </c>
      <c r="AT138" s="144" t="s">
        <v>153</v>
      </c>
      <c r="AU138" s="144" t="s">
        <v>79</v>
      </c>
      <c r="AY138" s="18" t="s">
        <v>151</v>
      </c>
      <c r="BE138" s="145">
        <f>IF(N138="základní",J138,0)</f>
        <v>0</v>
      </c>
      <c r="BF138" s="145">
        <f>IF(N138="snížená",J138,0)</f>
        <v>0</v>
      </c>
      <c r="BG138" s="145">
        <f>IF(N138="zákl. přenesená",J138,0)</f>
        <v>0</v>
      </c>
      <c r="BH138" s="145">
        <f>IF(N138="sníž. přenesená",J138,0)</f>
        <v>0</v>
      </c>
      <c r="BI138" s="145">
        <f>IF(N138="nulová",J138,0)</f>
        <v>0</v>
      </c>
      <c r="BJ138" s="18" t="s">
        <v>77</v>
      </c>
      <c r="BK138" s="145">
        <f>ROUND(I138*H138,2)</f>
        <v>0</v>
      </c>
      <c r="BL138" s="18" t="s">
        <v>158</v>
      </c>
      <c r="BM138" s="144" t="s">
        <v>1702</v>
      </c>
    </row>
    <row r="139" spans="2:65" s="1" customFormat="1" ht="11.25">
      <c r="B139" s="33"/>
      <c r="D139" s="146" t="s">
        <v>160</v>
      </c>
      <c r="F139" s="147" t="s">
        <v>1703</v>
      </c>
      <c r="I139" s="148"/>
      <c r="L139" s="33"/>
      <c r="M139" s="149"/>
      <c r="T139" s="54"/>
      <c r="AT139" s="18" t="s">
        <v>160</v>
      </c>
      <c r="AU139" s="18" t="s">
        <v>79</v>
      </c>
    </row>
    <row r="140" spans="2:65" s="14" customFormat="1" ht="11.25">
      <c r="B140" s="165"/>
      <c r="D140" s="151" t="s">
        <v>162</v>
      </c>
      <c r="E140" s="166" t="s">
        <v>3</v>
      </c>
      <c r="F140" s="167" t="s">
        <v>1667</v>
      </c>
      <c r="H140" s="166" t="s">
        <v>3</v>
      </c>
      <c r="I140" s="168"/>
      <c r="L140" s="165"/>
      <c r="M140" s="169"/>
      <c r="T140" s="170"/>
      <c r="AT140" s="166" t="s">
        <v>162</v>
      </c>
      <c r="AU140" s="166" t="s">
        <v>79</v>
      </c>
      <c r="AV140" s="14" t="s">
        <v>77</v>
      </c>
      <c r="AW140" s="14" t="s">
        <v>30</v>
      </c>
      <c r="AX140" s="14" t="s">
        <v>69</v>
      </c>
      <c r="AY140" s="166" t="s">
        <v>151</v>
      </c>
    </row>
    <row r="141" spans="2:65" s="12" customFormat="1" ht="11.25">
      <c r="B141" s="150"/>
      <c r="D141" s="151" t="s">
        <v>162</v>
      </c>
      <c r="E141" s="152" t="s">
        <v>3</v>
      </c>
      <c r="F141" s="153" t="s">
        <v>1704</v>
      </c>
      <c r="H141" s="154">
        <v>1.5660000000000001</v>
      </c>
      <c r="I141" s="155"/>
      <c r="L141" s="150"/>
      <c r="M141" s="156"/>
      <c r="T141" s="157"/>
      <c r="AT141" s="152" t="s">
        <v>162</v>
      </c>
      <c r="AU141" s="152" t="s">
        <v>79</v>
      </c>
      <c r="AV141" s="12" t="s">
        <v>79</v>
      </c>
      <c r="AW141" s="12" t="s">
        <v>30</v>
      </c>
      <c r="AX141" s="12" t="s">
        <v>69</v>
      </c>
      <c r="AY141" s="152" t="s">
        <v>151</v>
      </c>
    </row>
    <row r="142" spans="2:65" s="14" customFormat="1" ht="11.25">
      <c r="B142" s="165"/>
      <c r="D142" s="151" t="s">
        <v>162</v>
      </c>
      <c r="E142" s="166" t="s">
        <v>3</v>
      </c>
      <c r="F142" s="167" t="s">
        <v>1669</v>
      </c>
      <c r="H142" s="166" t="s">
        <v>3</v>
      </c>
      <c r="I142" s="168"/>
      <c r="L142" s="165"/>
      <c r="M142" s="169"/>
      <c r="T142" s="170"/>
      <c r="AT142" s="166" t="s">
        <v>162</v>
      </c>
      <c r="AU142" s="166" t="s">
        <v>79</v>
      </c>
      <c r="AV142" s="14" t="s">
        <v>77</v>
      </c>
      <c r="AW142" s="14" t="s">
        <v>30</v>
      </c>
      <c r="AX142" s="14" t="s">
        <v>69</v>
      </c>
      <c r="AY142" s="166" t="s">
        <v>151</v>
      </c>
    </row>
    <row r="143" spans="2:65" s="12" customFormat="1" ht="11.25">
      <c r="B143" s="150"/>
      <c r="D143" s="151" t="s">
        <v>162</v>
      </c>
      <c r="E143" s="152" t="s">
        <v>3</v>
      </c>
      <c r="F143" s="153" t="s">
        <v>1705</v>
      </c>
      <c r="H143" s="154">
        <v>0.39600000000000002</v>
      </c>
      <c r="I143" s="155"/>
      <c r="L143" s="150"/>
      <c r="M143" s="156"/>
      <c r="T143" s="157"/>
      <c r="AT143" s="152" t="s">
        <v>162</v>
      </c>
      <c r="AU143" s="152" t="s">
        <v>79</v>
      </c>
      <c r="AV143" s="12" t="s">
        <v>79</v>
      </c>
      <c r="AW143" s="12" t="s">
        <v>30</v>
      </c>
      <c r="AX143" s="12" t="s">
        <v>69</v>
      </c>
      <c r="AY143" s="152" t="s">
        <v>151</v>
      </c>
    </row>
    <row r="144" spans="2:65" s="14" customFormat="1" ht="11.25">
      <c r="B144" s="165"/>
      <c r="D144" s="151" t="s">
        <v>162</v>
      </c>
      <c r="E144" s="166" t="s">
        <v>3</v>
      </c>
      <c r="F144" s="167" t="s">
        <v>1671</v>
      </c>
      <c r="H144" s="166" t="s">
        <v>3</v>
      </c>
      <c r="I144" s="168"/>
      <c r="L144" s="165"/>
      <c r="M144" s="169"/>
      <c r="T144" s="170"/>
      <c r="AT144" s="166" t="s">
        <v>162</v>
      </c>
      <c r="AU144" s="166" t="s">
        <v>79</v>
      </c>
      <c r="AV144" s="14" t="s">
        <v>77</v>
      </c>
      <c r="AW144" s="14" t="s">
        <v>30</v>
      </c>
      <c r="AX144" s="14" t="s">
        <v>69</v>
      </c>
      <c r="AY144" s="166" t="s">
        <v>151</v>
      </c>
    </row>
    <row r="145" spans="2:65" s="12" customFormat="1" ht="11.25">
      <c r="B145" s="150"/>
      <c r="D145" s="151" t="s">
        <v>162</v>
      </c>
      <c r="E145" s="152" t="s">
        <v>3</v>
      </c>
      <c r="F145" s="153" t="s">
        <v>1706</v>
      </c>
      <c r="H145" s="154">
        <v>4.3559999999999999</v>
      </c>
      <c r="I145" s="155"/>
      <c r="L145" s="150"/>
      <c r="M145" s="156"/>
      <c r="T145" s="157"/>
      <c r="AT145" s="152" t="s">
        <v>162</v>
      </c>
      <c r="AU145" s="152" t="s">
        <v>79</v>
      </c>
      <c r="AV145" s="12" t="s">
        <v>79</v>
      </c>
      <c r="AW145" s="12" t="s">
        <v>30</v>
      </c>
      <c r="AX145" s="12" t="s">
        <v>69</v>
      </c>
      <c r="AY145" s="152" t="s">
        <v>151</v>
      </c>
    </row>
    <row r="146" spans="2:65" s="14" customFormat="1" ht="11.25">
      <c r="B146" s="165"/>
      <c r="D146" s="151" t="s">
        <v>162</v>
      </c>
      <c r="E146" s="166" t="s">
        <v>3</v>
      </c>
      <c r="F146" s="167" t="s">
        <v>1673</v>
      </c>
      <c r="H146" s="166" t="s">
        <v>3</v>
      </c>
      <c r="I146" s="168"/>
      <c r="L146" s="165"/>
      <c r="M146" s="169"/>
      <c r="T146" s="170"/>
      <c r="AT146" s="166" t="s">
        <v>162</v>
      </c>
      <c r="AU146" s="166" t="s">
        <v>79</v>
      </c>
      <c r="AV146" s="14" t="s">
        <v>77</v>
      </c>
      <c r="AW146" s="14" t="s">
        <v>30</v>
      </c>
      <c r="AX146" s="14" t="s">
        <v>69</v>
      </c>
      <c r="AY146" s="166" t="s">
        <v>151</v>
      </c>
    </row>
    <row r="147" spans="2:65" s="12" customFormat="1" ht="11.25">
      <c r="B147" s="150"/>
      <c r="D147" s="151" t="s">
        <v>162</v>
      </c>
      <c r="E147" s="152" t="s">
        <v>3</v>
      </c>
      <c r="F147" s="153" t="s">
        <v>1707</v>
      </c>
      <c r="H147" s="154">
        <v>3.726</v>
      </c>
      <c r="I147" s="155"/>
      <c r="L147" s="150"/>
      <c r="M147" s="156"/>
      <c r="T147" s="157"/>
      <c r="AT147" s="152" t="s">
        <v>162</v>
      </c>
      <c r="AU147" s="152" t="s">
        <v>79</v>
      </c>
      <c r="AV147" s="12" t="s">
        <v>79</v>
      </c>
      <c r="AW147" s="12" t="s">
        <v>30</v>
      </c>
      <c r="AX147" s="12" t="s">
        <v>69</v>
      </c>
      <c r="AY147" s="152" t="s">
        <v>151</v>
      </c>
    </row>
    <row r="148" spans="2:65" s="14" customFormat="1" ht="11.25">
      <c r="B148" s="165"/>
      <c r="D148" s="151" t="s">
        <v>162</v>
      </c>
      <c r="E148" s="166" t="s">
        <v>3</v>
      </c>
      <c r="F148" s="167" t="s">
        <v>1675</v>
      </c>
      <c r="H148" s="166" t="s">
        <v>3</v>
      </c>
      <c r="I148" s="168"/>
      <c r="L148" s="165"/>
      <c r="M148" s="169"/>
      <c r="T148" s="170"/>
      <c r="AT148" s="166" t="s">
        <v>162</v>
      </c>
      <c r="AU148" s="166" t="s">
        <v>79</v>
      </c>
      <c r="AV148" s="14" t="s">
        <v>77</v>
      </c>
      <c r="AW148" s="14" t="s">
        <v>30</v>
      </c>
      <c r="AX148" s="14" t="s">
        <v>69</v>
      </c>
      <c r="AY148" s="166" t="s">
        <v>151</v>
      </c>
    </row>
    <row r="149" spans="2:65" s="12" customFormat="1" ht="11.25">
      <c r="B149" s="150"/>
      <c r="D149" s="151" t="s">
        <v>162</v>
      </c>
      <c r="E149" s="152" t="s">
        <v>3</v>
      </c>
      <c r="F149" s="153" t="s">
        <v>1708</v>
      </c>
      <c r="H149" s="154">
        <v>3.2040000000000002</v>
      </c>
      <c r="I149" s="155"/>
      <c r="L149" s="150"/>
      <c r="M149" s="156"/>
      <c r="T149" s="157"/>
      <c r="AT149" s="152" t="s">
        <v>162</v>
      </c>
      <c r="AU149" s="152" t="s">
        <v>79</v>
      </c>
      <c r="AV149" s="12" t="s">
        <v>79</v>
      </c>
      <c r="AW149" s="12" t="s">
        <v>30</v>
      </c>
      <c r="AX149" s="12" t="s">
        <v>69</v>
      </c>
      <c r="AY149" s="152" t="s">
        <v>151</v>
      </c>
    </row>
    <row r="150" spans="2:65" s="13" customFormat="1" ht="11.25">
      <c r="B150" s="158"/>
      <c r="D150" s="151" t="s">
        <v>162</v>
      </c>
      <c r="E150" s="159" t="s">
        <v>3</v>
      </c>
      <c r="F150" s="160" t="s">
        <v>167</v>
      </c>
      <c r="H150" s="161">
        <v>13.248000000000001</v>
      </c>
      <c r="I150" s="162"/>
      <c r="L150" s="158"/>
      <c r="M150" s="163"/>
      <c r="T150" s="164"/>
      <c r="AT150" s="159" t="s">
        <v>162</v>
      </c>
      <c r="AU150" s="159" t="s">
        <v>79</v>
      </c>
      <c r="AV150" s="13" t="s">
        <v>158</v>
      </c>
      <c r="AW150" s="13" t="s">
        <v>30</v>
      </c>
      <c r="AX150" s="13" t="s">
        <v>77</v>
      </c>
      <c r="AY150" s="159" t="s">
        <v>151</v>
      </c>
    </row>
    <row r="151" spans="2:65" s="1" customFormat="1" ht="16.5" customHeight="1">
      <c r="B151" s="132"/>
      <c r="C151" s="172" t="s">
        <v>235</v>
      </c>
      <c r="D151" s="172" t="s">
        <v>436</v>
      </c>
      <c r="E151" s="173" t="s">
        <v>1709</v>
      </c>
      <c r="F151" s="174" t="s">
        <v>1710</v>
      </c>
      <c r="G151" s="175" t="s">
        <v>183</v>
      </c>
      <c r="H151" s="176">
        <v>26.495999999999999</v>
      </c>
      <c r="I151" s="177"/>
      <c r="J151" s="178">
        <f>ROUND(I151*H151,2)</f>
        <v>0</v>
      </c>
      <c r="K151" s="174" t="s">
        <v>1654</v>
      </c>
      <c r="L151" s="179"/>
      <c r="M151" s="180" t="s">
        <v>3</v>
      </c>
      <c r="N151" s="181" t="s">
        <v>40</v>
      </c>
      <c r="P151" s="142">
        <f>O151*H151</f>
        <v>0</v>
      </c>
      <c r="Q151" s="142">
        <v>1</v>
      </c>
      <c r="R151" s="142">
        <f>Q151*H151</f>
        <v>26.495999999999999</v>
      </c>
      <c r="S151" s="142">
        <v>0</v>
      </c>
      <c r="T151" s="143">
        <f>S151*H151</f>
        <v>0</v>
      </c>
      <c r="AR151" s="144" t="s">
        <v>214</v>
      </c>
      <c r="AT151" s="144" t="s">
        <v>436</v>
      </c>
      <c r="AU151" s="144" t="s">
        <v>79</v>
      </c>
      <c r="AY151" s="18" t="s">
        <v>151</v>
      </c>
      <c r="BE151" s="145">
        <f>IF(N151="základní",J151,0)</f>
        <v>0</v>
      </c>
      <c r="BF151" s="145">
        <f>IF(N151="snížená",J151,0)</f>
        <v>0</v>
      </c>
      <c r="BG151" s="145">
        <f>IF(N151="zákl. přenesená",J151,0)</f>
        <v>0</v>
      </c>
      <c r="BH151" s="145">
        <f>IF(N151="sníž. přenesená",J151,0)</f>
        <v>0</v>
      </c>
      <c r="BI151" s="145">
        <f>IF(N151="nulová",J151,0)</f>
        <v>0</v>
      </c>
      <c r="BJ151" s="18" t="s">
        <v>77</v>
      </c>
      <c r="BK151" s="145">
        <f>ROUND(I151*H151,2)</f>
        <v>0</v>
      </c>
      <c r="BL151" s="18" t="s">
        <v>158</v>
      </c>
      <c r="BM151" s="144" t="s">
        <v>1711</v>
      </c>
    </row>
    <row r="152" spans="2:65" s="12" customFormat="1" ht="11.25">
      <c r="B152" s="150"/>
      <c r="D152" s="151" t="s">
        <v>162</v>
      </c>
      <c r="F152" s="153" t="s">
        <v>1712</v>
      </c>
      <c r="H152" s="154">
        <v>26.495999999999999</v>
      </c>
      <c r="I152" s="155"/>
      <c r="L152" s="150"/>
      <c r="M152" s="156"/>
      <c r="T152" s="157"/>
      <c r="AT152" s="152" t="s">
        <v>162</v>
      </c>
      <c r="AU152" s="152" t="s">
        <v>79</v>
      </c>
      <c r="AV152" s="12" t="s">
        <v>79</v>
      </c>
      <c r="AW152" s="12" t="s">
        <v>4</v>
      </c>
      <c r="AX152" s="12" t="s">
        <v>77</v>
      </c>
      <c r="AY152" s="152" t="s">
        <v>151</v>
      </c>
    </row>
    <row r="153" spans="2:65" s="1" customFormat="1" ht="33" customHeight="1">
      <c r="B153" s="132"/>
      <c r="C153" s="133" t="s">
        <v>240</v>
      </c>
      <c r="D153" s="133" t="s">
        <v>153</v>
      </c>
      <c r="E153" s="134" t="s">
        <v>1713</v>
      </c>
      <c r="F153" s="135" t="s">
        <v>1714</v>
      </c>
      <c r="G153" s="136" t="s">
        <v>156</v>
      </c>
      <c r="H153" s="137">
        <v>92.852000000000004</v>
      </c>
      <c r="I153" s="138"/>
      <c r="J153" s="139">
        <f>ROUND(I153*H153,2)</f>
        <v>0</v>
      </c>
      <c r="K153" s="135" t="s">
        <v>157</v>
      </c>
      <c r="L153" s="33"/>
      <c r="M153" s="140" t="s">
        <v>3</v>
      </c>
      <c r="N153" s="141" t="s">
        <v>40</v>
      </c>
      <c r="P153" s="142">
        <f>O153*H153</f>
        <v>0</v>
      </c>
      <c r="Q153" s="142">
        <v>0</v>
      </c>
      <c r="R153" s="142">
        <f>Q153*H153</f>
        <v>0</v>
      </c>
      <c r="S153" s="142">
        <v>0</v>
      </c>
      <c r="T153" s="143">
        <f>S153*H153</f>
        <v>0</v>
      </c>
      <c r="AR153" s="144" t="s">
        <v>158</v>
      </c>
      <c r="AT153" s="144" t="s">
        <v>153</v>
      </c>
      <c r="AU153" s="144" t="s">
        <v>79</v>
      </c>
      <c r="AY153" s="18" t="s">
        <v>151</v>
      </c>
      <c r="BE153" s="145">
        <f>IF(N153="základní",J153,0)</f>
        <v>0</v>
      </c>
      <c r="BF153" s="145">
        <f>IF(N153="snížená",J153,0)</f>
        <v>0</v>
      </c>
      <c r="BG153" s="145">
        <f>IF(N153="zákl. přenesená",J153,0)</f>
        <v>0</v>
      </c>
      <c r="BH153" s="145">
        <f>IF(N153="sníž. přenesená",J153,0)</f>
        <v>0</v>
      </c>
      <c r="BI153" s="145">
        <f>IF(N153="nulová",J153,0)</f>
        <v>0</v>
      </c>
      <c r="BJ153" s="18" t="s">
        <v>77</v>
      </c>
      <c r="BK153" s="145">
        <f>ROUND(I153*H153,2)</f>
        <v>0</v>
      </c>
      <c r="BL153" s="18" t="s">
        <v>158</v>
      </c>
      <c r="BM153" s="144" t="s">
        <v>1715</v>
      </c>
    </row>
    <row r="154" spans="2:65" s="1" customFormat="1" ht="11.25">
      <c r="B154" s="33"/>
      <c r="D154" s="146" t="s">
        <v>160</v>
      </c>
      <c r="F154" s="147" t="s">
        <v>1716</v>
      </c>
      <c r="I154" s="148"/>
      <c r="L154" s="33"/>
      <c r="M154" s="149"/>
      <c r="T154" s="54"/>
      <c r="AT154" s="18" t="s">
        <v>160</v>
      </c>
      <c r="AU154" s="18" t="s">
        <v>79</v>
      </c>
    </row>
    <row r="155" spans="2:65" s="14" customFormat="1" ht="11.25">
      <c r="B155" s="165"/>
      <c r="D155" s="151" t="s">
        <v>162</v>
      </c>
      <c r="E155" s="166" t="s">
        <v>3</v>
      </c>
      <c r="F155" s="167" t="s">
        <v>1717</v>
      </c>
      <c r="H155" s="166" t="s">
        <v>3</v>
      </c>
      <c r="I155" s="168"/>
      <c r="L155" s="165"/>
      <c r="M155" s="169"/>
      <c r="T155" s="170"/>
      <c r="AT155" s="166" t="s">
        <v>162</v>
      </c>
      <c r="AU155" s="166" t="s">
        <v>79</v>
      </c>
      <c r="AV155" s="14" t="s">
        <v>77</v>
      </c>
      <c r="AW155" s="14" t="s">
        <v>30</v>
      </c>
      <c r="AX155" s="14" t="s">
        <v>69</v>
      </c>
      <c r="AY155" s="166" t="s">
        <v>151</v>
      </c>
    </row>
    <row r="156" spans="2:65" s="12" customFormat="1" ht="11.25">
      <c r="B156" s="150"/>
      <c r="D156" s="151" t="s">
        <v>162</v>
      </c>
      <c r="E156" s="152" t="s">
        <v>3</v>
      </c>
      <c r="F156" s="153" t="s">
        <v>1718</v>
      </c>
      <c r="H156" s="154">
        <v>71.052000000000007</v>
      </c>
      <c r="I156" s="155"/>
      <c r="L156" s="150"/>
      <c r="M156" s="156"/>
      <c r="T156" s="157"/>
      <c r="AT156" s="152" t="s">
        <v>162</v>
      </c>
      <c r="AU156" s="152" t="s">
        <v>79</v>
      </c>
      <c r="AV156" s="12" t="s">
        <v>79</v>
      </c>
      <c r="AW156" s="12" t="s">
        <v>30</v>
      </c>
      <c r="AX156" s="12" t="s">
        <v>69</v>
      </c>
      <c r="AY156" s="152" t="s">
        <v>151</v>
      </c>
    </row>
    <row r="157" spans="2:65" s="14" customFormat="1" ht="11.25">
      <c r="B157" s="165"/>
      <c r="D157" s="151" t="s">
        <v>162</v>
      </c>
      <c r="E157" s="166" t="s">
        <v>3</v>
      </c>
      <c r="F157" s="167" t="s">
        <v>1719</v>
      </c>
      <c r="H157" s="166" t="s">
        <v>3</v>
      </c>
      <c r="I157" s="168"/>
      <c r="L157" s="165"/>
      <c r="M157" s="169"/>
      <c r="T157" s="170"/>
      <c r="AT157" s="166" t="s">
        <v>162</v>
      </c>
      <c r="AU157" s="166" t="s">
        <v>79</v>
      </c>
      <c r="AV157" s="14" t="s">
        <v>77</v>
      </c>
      <c r="AW157" s="14" t="s">
        <v>30</v>
      </c>
      <c r="AX157" s="14" t="s">
        <v>69</v>
      </c>
      <c r="AY157" s="166" t="s">
        <v>151</v>
      </c>
    </row>
    <row r="158" spans="2:65" s="12" customFormat="1" ht="11.25">
      <c r="B158" s="150"/>
      <c r="D158" s="151" t="s">
        <v>162</v>
      </c>
      <c r="E158" s="152" t="s">
        <v>3</v>
      </c>
      <c r="F158" s="153" t="s">
        <v>1720</v>
      </c>
      <c r="H158" s="154">
        <v>16.8</v>
      </c>
      <c r="I158" s="155"/>
      <c r="L158" s="150"/>
      <c r="M158" s="156"/>
      <c r="T158" s="157"/>
      <c r="AT158" s="152" t="s">
        <v>162</v>
      </c>
      <c r="AU158" s="152" t="s">
        <v>79</v>
      </c>
      <c r="AV158" s="12" t="s">
        <v>79</v>
      </c>
      <c r="AW158" s="12" t="s">
        <v>30</v>
      </c>
      <c r="AX158" s="12" t="s">
        <v>69</v>
      </c>
      <c r="AY158" s="152" t="s">
        <v>151</v>
      </c>
    </row>
    <row r="159" spans="2:65" s="14" customFormat="1" ht="11.25">
      <c r="B159" s="165"/>
      <c r="D159" s="151" t="s">
        <v>162</v>
      </c>
      <c r="E159" s="166" t="s">
        <v>3</v>
      </c>
      <c r="F159" s="167" t="s">
        <v>1721</v>
      </c>
      <c r="H159" s="166" t="s">
        <v>3</v>
      </c>
      <c r="I159" s="168"/>
      <c r="L159" s="165"/>
      <c r="M159" s="169"/>
      <c r="T159" s="170"/>
      <c r="AT159" s="166" t="s">
        <v>162</v>
      </c>
      <c r="AU159" s="166" t="s">
        <v>79</v>
      </c>
      <c r="AV159" s="14" t="s">
        <v>77</v>
      </c>
      <c r="AW159" s="14" t="s">
        <v>30</v>
      </c>
      <c r="AX159" s="14" t="s">
        <v>69</v>
      </c>
      <c r="AY159" s="166" t="s">
        <v>151</v>
      </c>
    </row>
    <row r="160" spans="2:65" s="12" customFormat="1" ht="11.25">
      <c r="B160" s="150"/>
      <c r="D160" s="151" t="s">
        <v>162</v>
      </c>
      <c r="E160" s="152" t="s">
        <v>3</v>
      </c>
      <c r="F160" s="153" t="s">
        <v>1722</v>
      </c>
      <c r="H160" s="154">
        <v>5</v>
      </c>
      <c r="I160" s="155"/>
      <c r="L160" s="150"/>
      <c r="M160" s="156"/>
      <c r="T160" s="157"/>
      <c r="AT160" s="152" t="s">
        <v>162</v>
      </c>
      <c r="AU160" s="152" t="s">
        <v>79</v>
      </c>
      <c r="AV160" s="12" t="s">
        <v>79</v>
      </c>
      <c r="AW160" s="12" t="s">
        <v>30</v>
      </c>
      <c r="AX160" s="12" t="s">
        <v>69</v>
      </c>
      <c r="AY160" s="152" t="s">
        <v>151</v>
      </c>
    </row>
    <row r="161" spans="2:65" s="13" customFormat="1" ht="11.25">
      <c r="B161" s="158"/>
      <c r="D161" s="151" t="s">
        <v>162</v>
      </c>
      <c r="E161" s="159" t="s">
        <v>3</v>
      </c>
      <c r="F161" s="160" t="s">
        <v>167</v>
      </c>
      <c r="H161" s="161">
        <v>92.852000000000004</v>
      </c>
      <c r="I161" s="162"/>
      <c r="L161" s="158"/>
      <c r="M161" s="163"/>
      <c r="T161" s="164"/>
      <c r="AT161" s="159" t="s">
        <v>162</v>
      </c>
      <c r="AU161" s="159" t="s">
        <v>79</v>
      </c>
      <c r="AV161" s="13" t="s">
        <v>158</v>
      </c>
      <c r="AW161" s="13" t="s">
        <v>30</v>
      </c>
      <c r="AX161" s="13" t="s">
        <v>77</v>
      </c>
      <c r="AY161" s="159" t="s">
        <v>151</v>
      </c>
    </row>
    <row r="162" spans="2:65" s="1" customFormat="1" ht="16.5" customHeight="1">
      <c r="B162" s="132"/>
      <c r="C162" s="172" t="s">
        <v>246</v>
      </c>
      <c r="D162" s="172" t="s">
        <v>436</v>
      </c>
      <c r="E162" s="173" t="s">
        <v>1709</v>
      </c>
      <c r="F162" s="174" t="s">
        <v>1710</v>
      </c>
      <c r="G162" s="175" t="s">
        <v>183</v>
      </c>
      <c r="H162" s="176">
        <v>185.70400000000001</v>
      </c>
      <c r="I162" s="177"/>
      <c r="J162" s="178">
        <f>ROUND(I162*H162,2)</f>
        <v>0</v>
      </c>
      <c r="K162" s="174" t="s">
        <v>1654</v>
      </c>
      <c r="L162" s="179"/>
      <c r="M162" s="180" t="s">
        <v>3</v>
      </c>
      <c r="N162" s="181" t="s">
        <v>40</v>
      </c>
      <c r="P162" s="142">
        <f>O162*H162</f>
        <v>0</v>
      </c>
      <c r="Q162" s="142">
        <v>1</v>
      </c>
      <c r="R162" s="142">
        <f>Q162*H162</f>
        <v>185.70400000000001</v>
      </c>
      <c r="S162" s="142">
        <v>0</v>
      </c>
      <c r="T162" s="143">
        <f>S162*H162</f>
        <v>0</v>
      </c>
      <c r="AR162" s="144" t="s">
        <v>214</v>
      </c>
      <c r="AT162" s="144" t="s">
        <v>436</v>
      </c>
      <c r="AU162" s="144" t="s">
        <v>79</v>
      </c>
      <c r="AY162" s="18" t="s">
        <v>151</v>
      </c>
      <c r="BE162" s="145">
        <f>IF(N162="základní",J162,0)</f>
        <v>0</v>
      </c>
      <c r="BF162" s="145">
        <f>IF(N162="snížená",J162,0)</f>
        <v>0</v>
      </c>
      <c r="BG162" s="145">
        <f>IF(N162="zákl. přenesená",J162,0)</f>
        <v>0</v>
      </c>
      <c r="BH162" s="145">
        <f>IF(N162="sníž. přenesená",J162,0)</f>
        <v>0</v>
      </c>
      <c r="BI162" s="145">
        <f>IF(N162="nulová",J162,0)</f>
        <v>0</v>
      </c>
      <c r="BJ162" s="18" t="s">
        <v>77</v>
      </c>
      <c r="BK162" s="145">
        <f>ROUND(I162*H162,2)</f>
        <v>0</v>
      </c>
      <c r="BL162" s="18" t="s">
        <v>158</v>
      </c>
      <c r="BM162" s="144" t="s">
        <v>1723</v>
      </c>
    </row>
    <row r="163" spans="2:65" s="12" customFormat="1" ht="11.25">
      <c r="B163" s="150"/>
      <c r="D163" s="151" t="s">
        <v>162</v>
      </c>
      <c r="F163" s="153" t="s">
        <v>1724</v>
      </c>
      <c r="H163" s="154">
        <v>185.70400000000001</v>
      </c>
      <c r="I163" s="155"/>
      <c r="L163" s="150"/>
      <c r="M163" s="156"/>
      <c r="T163" s="157"/>
      <c r="AT163" s="152" t="s">
        <v>162</v>
      </c>
      <c r="AU163" s="152" t="s">
        <v>79</v>
      </c>
      <c r="AV163" s="12" t="s">
        <v>79</v>
      </c>
      <c r="AW163" s="12" t="s">
        <v>4</v>
      </c>
      <c r="AX163" s="12" t="s">
        <v>77</v>
      </c>
      <c r="AY163" s="152" t="s">
        <v>151</v>
      </c>
    </row>
    <row r="164" spans="2:65" s="1" customFormat="1" ht="16.5" customHeight="1">
      <c r="B164" s="132"/>
      <c r="C164" s="133" t="s">
        <v>251</v>
      </c>
      <c r="D164" s="133" t="s">
        <v>153</v>
      </c>
      <c r="E164" s="134" t="s">
        <v>1725</v>
      </c>
      <c r="F164" s="135" t="s">
        <v>1726</v>
      </c>
      <c r="G164" s="136" t="s">
        <v>523</v>
      </c>
      <c r="H164" s="137">
        <v>1</v>
      </c>
      <c r="I164" s="138"/>
      <c r="J164" s="139">
        <f>ROUND(I164*H164,2)</f>
        <v>0</v>
      </c>
      <c r="K164" s="135" t="s">
        <v>3</v>
      </c>
      <c r="L164" s="33"/>
      <c r="M164" s="140" t="s">
        <v>3</v>
      </c>
      <c r="N164" s="141" t="s">
        <v>40</v>
      </c>
      <c r="P164" s="142">
        <f>O164*H164</f>
        <v>0</v>
      </c>
      <c r="Q164" s="142">
        <v>0</v>
      </c>
      <c r="R164" s="142">
        <f>Q164*H164</f>
        <v>0</v>
      </c>
      <c r="S164" s="142">
        <v>0</v>
      </c>
      <c r="T164" s="143">
        <f>S164*H164</f>
        <v>0</v>
      </c>
      <c r="AR164" s="144" t="s">
        <v>158</v>
      </c>
      <c r="AT164" s="144" t="s">
        <v>153</v>
      </c>
      <c r="AU164" s="144" t="s">
        <v>79</v>
      </c>
      <c r="AY164" s="18" t="s">
        <v>151</v>
      </c>
      <c r="BE164" s="145">
        <f>IF(N164="základní",J164,0)</f>
        <v>0</v>
      </c>
      <c r="BF164" s="145">
        <f>IF(N164="snížená",J164,0)</f>
        <v>0</v>
      </c>
      <c r="BG164" s="145">
        <f>IF(N164="zákl. přenesená",J164,0)</f>
        <v>0</v>
      </c>
      <c r="BH164" s="145">
        <f>IF(N164="sníž. přenesená",J164,0)</f>
        <v>0</v>
      </c>
      <c r="BI164" s="145">
        <f>IF(N164="nulová",J164,0)</f>
        <v>0</v>
      </c>
      <c r="BJ164" s="18" t="s">
        <v>77</v>
      </c>
      <c r="BK164" s="145">
        <f>ROUND(I164*H164,2)</f>
        <v>0</v>
      </c>
      <c r="BL164" s="18" t="s">
        <v>158</v>
      </c>
      <c r="BM164" s="144" t="s">
        <v>1727</v>
      </c>
    </row>
    <row r="165" spans="2:65" s="11" customFormat="1" ht="22.9" customHeight="1">
      <c r="B165" s="120"/>
      <c r="D165" s="121" t="s">
        <v>68</v>
      </c>
      <c r="E165" s="130" t="s">
        <v>158</v>
      </c>
      <c r="F165" s="130" t="s">
        <v>1513</v>
      </c>
      <c r="I165" s="123"/>
      <c r="J165" s="131">
        <f>BK165</f>
        <v>0</v>
      </c>
      <c r="L165" s="120"/>
      <c r="M165" s="125"/>
      <c r="P165" s="126">
        <f>SUM(P166:P203)</f>
        <v>0</v>
      </c>
      <c r="R165" s="126">
        <f>SUM(R166:R203)</f>
        <v>1.6145327900000002</v>
      </c>
      <c r="T165" s="127">
        <f>SUM(T166:T203)</f>
        <v>0</v>
      </c>
      <c r="AR165" s="121" t="s">
        <v>77</v>
      </c>
      <c r="AT165" s="128" t="s">
        <v>68</v>
      </c>
      <c r="AU165" s="128" t="s">
        <v>77</v>
      </c>
      <c r="AY165" s="121" t="s">
        <v>151</v>
      </c>
      <c r="BK165" s="129">
        <f>SUM(BK166:BK203)</f>
        <v>0</v>
      </c>
    </row>
    <row r="166" spans="2:65" s="1" customFormat="1" ht="16.5" customHeight="1">
      <c r="B166" s="132"/>
      <c r="C166" s="133" t="s">
        <v>265</v>
      </c>
      <c r="D166" s="133" t="s">
        <v>153</v>
      </c>
      <c r="E166" s="134" t="s">
        <v>1728</v>
      </c>
      <c r="F166" s="135" t="s">
        <v>1729</v>
      </c>
      <c r="G166" s="136" t="s">
        <v>156</v>
      </c>
      <c r="H166" s="137">
        <v>7.5250000000000004</v>
      </c>
      <c r="I166" s="138"/>
      <c r="J166" s="139">
        <f>ROUND(I166*H166,2)</f>
        <v>0</v>
      </c>
      <c r="K166" s="135" t="s">
        <v>1654</v>
      </c>
      <c r="L166" s="33"/>
      <c r="M166" s="140" t="s">
        <v>3</v>
      </c>
      <c r="N166" s="141" t="s">
        <v>40</v>
      </c>
      <c r="P166" s="142">
        <f>O166*H166</f>
        <v>0</v>
      </c>
      <c r="Q166" s="142">
        <v>0</v>
      </c>
      <c r="R166" s="142">
        <f>Q166*H166</f>
        <v>0</v>
      </c>
      <c r="S166" s="142">
        <v>0</v>
      </c>
      <c r="T166" s="143">
        <f>S166*H166</f>
        <v>0</v>
      </c>
      <c r="AR166" s="144" t="s">
        <v>158</v>
      </c>
      <c r="AT166" s="144" t="s">
        <v>153</v>
      </c>
      <c r="AU166" s="144" t="s">
        <v>79</v>
      </c>
      <c r="AY166" s="18" t="s">
        <v>151</v>
      </c>
      <c r="BE166" s="145">
        <f>IF(N166="základní",J166,0)</f>
        <v>0</v>
      </c>
      <c r="BF166" s="145">
        <f>IF(N166="snížená",J166,0)</f>
        <v>0</v>
      </c>
      <c r="BG166" s="145">
        <f>IF(N166="zákl. přenesená",J166,0)</f>
        <v>0</v>
      </c>
      <c r="BH166" s="145">
        <f>IF(N166="sníž. přenesená",J166,0)</f>
        <v>0</v>
      </c>
      <c r="BI166" s="145">
        <f>IF(N166="nulová",J166,0)</f>
        <v>0</v>
      </c>
      <c r="BJ166" s="18" t="s">
        <v>77</v>
      </c>
      <c r="BK166" s="145">
        <f>ROUND(I166*H166,2)</f>
        <v>0</v>
      </c>
      <c r="BL166" s="18" t="s">
        <v>158</v>
      </c>
      <c r="BM166" s="144" t="s">
        <v>1730</v>
      </c>
    </row>
    <row r="167" spans="2:65" s="1" customFormat="1" ht="11.25">
      <c r="B167" s="33"/>
      <c r="D167" s="146" t="s">
        <v>160</v>
      </c>
      <c r="F167" s="147" t="s">
        <v>1731</v>
      </c>
      <c r="I167" s="148"/>
      <c r="L167" s="33"/>
      <c r="M167" s="149"/>
      <c r="T167" s="54"/>
      <c r="AT167" s="18" t="s">
        <v>160</v>
      </c>
      <c r="AU167" s="18" t="s">
        <v>79</v>
      </c>
    </row>
    <row r="168" spans="2:65" s="14" customFormat="1" ht="11.25">
      <c r="B168" s="165"/>
      <c r="D168" s="151" t="s">
        <v>162</v>
      </c>
      <c r="E168" s="166" t="s">
        <v>3</v>
      </c>
      <c r="F168" s="167" t="s">
        <v>1732</v>
      </c>
      <c r="H168" s="166" t="s">
        <v>3</v>
      </c>
      <c r="I168" s="168"/>
      <c r="L168" s="165"/>
      <c r="M168" s="169"/>
      <c r="T168" s="170"/>
      <c r="AT168" s="166" t="s">
        <v>162</v>
      </c>
      <c r="AU168" s="166" t="s">
        <v>79</v>
      </c>
      <c r="AV168" s="14" t="s">
        <v>77</v>
      </c>
      <c r="AW168" s="14" t="s">
        <v>30</v>
      </c>
      <c r="AX168" s="14" t="s">
        <v>69</v>
      </c>
      <c r="AY168" s="166" t="s">
        <v>151</v>
      </c>
    </row>
    <row r="169" spans="2:65" s="12" customFormat="1" ht="11.25">
      <c r="B169" s="150"/>
      <c r="D169" s="151" t="s">
        <v>162</v>
      </c>
      <c r="E169" s="152" t="s">
        <v>3</v>
      </c>
      <c r="F169" s="153" t="s">
        <v>1733</v>
      </c>
      <c r="H169" s="154">
        <v>6.9</v>
      </c>
      <c r="I169" s="155"/>
      <c r="L169" s="150"/>
      <c r="M169" s="156"/>
      <c r="T169" s="157"/>
      <c r="AT169" s="152" t="s">
        <v>162</v>
      </c>
      <c r="AU169" s="152" t="s">
        <v>79</v>
      </c>
      <c r="AV169" s="12" t="s">
        <v>79</v>
      </c>
      <c r="AW169" s="12" t="s">
        <v>30</v>
      </c>
      <c r="AX169" s="12" t="s">
        <v>69</v>
      </c>
      <c r="AY169" s="152" t="s">
        <v>151</v>
      </c>
    </row>
    <row r="170" spans="2:65" s="14" customFormat="1" ht="11.25">
      <c r="B170" s="165"/>
      <c r="D170" s="151" t="s">
        <v>162</v>
      </c>
      <c r="E170" s="166" t="s">
        <v>3</v>
      </c>
      <c r="F170" s="167" t="s">
        <v>1734</v>
      </c>
      <c r="H170" s="166" t="s">
        <v>3</v>
      </c>
      <c r="I170" s="168"/>
      <c r="L170" s="165"/>
      <c r="M170" s="169"/>
      <c r="T170" s="170"/>
      <c r="AT170" s="166" t="s">
        <v>162</v>
      </c>
      <c r="AU170" s="166" t="s">
        <v>79</v>
      </c>
      <c r="AV170" s="14" t="s">
        <v>77</v>
      </c>
      <c r="AW170" s="14" t="s">
        <v>30</v>
      </c>
      <c r="AX170" s="14" t="s">
        <v>69</v>
      </c>
      <c r="AY170" s="166" t="s">
        <v>151</v>
      </c>
    </row>
    <row r="171" spans="2:65" s="12" customFormat="1" ht="11.25">
      <c r="B171" s="150"/>
      <c r="D171" s="151" t="s">
        <v>162</v>
      </c>
      <c r="E171" s="152" t="s">
        <v>3</v>
      </c>
      <c r="F171" s="153" t="s">
        <v>1735</v>
      </c>
      <c r="H171" s="154">
        <v>0.625</v>
      </c>
      <c r="I171" s="155"/>
      <c r="L171" s="150"/>
      <c r="M171" s="156"/>
      <c r="T171" s="157"/>
      <c r="AT171" s="152" t="s">
        <v>162</v>
      </c>
      <c r="AU171" s="152" t="s">
        <v>79</v>
      </c>
      <c r="AV171" s="12" t="s">
        <v>79</v>
      </c>
      <c r="AW171" s="12" t="s">
        <v>30</v>
      </c>
      <c r="AX171" s="12" t="s">
        <v>69</v>
      </c>
      <c r="AY171" s="152" t="s">
        <v>151</v>
      </c>
    </row>
    <row r="172" spans="2:65" s="13" customFormat="1" ht="11.25">
      <c r="B172" s="158"/>
      <c r="D172" s="151" t="s">
        <v>162</v>
      </c>
      <c r="E172" s="159" t="s">
        <v>3</v>
      </c>
      <c r="F172" s="160" t="s">
        <v>167</v>
      </c>
      <c r="H172" s="161">
        <v>7.5250000000000004</v>
      </c>
      <c r="I172" s="162"/>
      <c r="L172" s="158"/>
      <c r="M172" s="163"/>
      <c r="T172" s="164"/>
      <c r="AT172" s="159" t="s">
        <v>162</v>
      </c>
      <c r="AU172" s="159" t="s">
        <v>79</v>
      </c>
      <c r="AV172" s="13" t="s">
        <v>158</v>
      </c>
      <c r="AW172" s="13" t="s">
        <v>30</v>
      </c>
      <c r="AX172" s="13" t="s">
        <v>77</v>
      </c>
      <c r="AY172" s="159" t="s">
        <v>151</v>
      </c>
    </row>
    <row r="173" spans="2:65" s="1" customFormat="1" ht="21.75" customHeight="1">
      <c r="B173" s="132"/>
      <c r="C173" s="133" t="s">
        <v>9</v>
      </c>
      <c r="D173" s="133" t="s">
        <v>153</v>
      </c>
      <c r="E173" s="134" t="s">
        <v>1736</v>
      </c>
      <c r="F173" s="135" t="s">
        <v>1737</v>
      </c>
      <c r="G173" s="136" t="s">
        <v>156</v>
      </c>
      <c r="H173" s="137">
        <v>3.3130000000000002</v>
      </c>
      <c r="I173" s="138"/>
      <c r="J173" s="139">
        <f>ROUND(I173*H173,2)</f>
        <v>0</v>
      </c>
      <c r="K173" s="135" t="s">
        <v>1654</v>
      </c>
      <c r="L173" s="33"/>
      <c r="M173" s="140" t="s">
        <v>3</v>
      </c>
      <c r="N173" s="141" t="s">
        <v>40</v>
      </c>
      <c r="P173" s="142">
        <f>O173*H173</f>
        <v>0</v>
      </c>
      <c r="Q173" s="142">
        <v>0</v>
      </c>
      <c r="R173" s="142">
        <f>Q173*H173</f>
        <v>0</v>
      </c>
      <c r="S173" s="142">
        <v>0</v>
      </c>
      <c r="T173" s="143">
        <f>S173*H173</f>
        <v>0</v>
      </c>
      <c r="AR173" s="144" t="s">
        <v>158</v>
      </c>
      <c r="AT173" s="144" t="s">
        <v>153</v>
      </c>
      <c r="AU173" s="144" t="s">
        <v>79</v>
      </c>
      <c r="AY173" s="18" t="s">
        <v>151</v>
      </c>
      <c r="BE173" s="145">
        <f>IF(N173="základní",J173,0)</f>
        <v>0</v>
      </c>
      <c r="BF173" s="145">
        <f>IF(N173="snížená",J173,0)</f>
        <v>0</v>
      </c>
      <c r="BG173" s="145">
        <f>IF(N173="zákl. přenesená",J173,0)</f>
        <v>0</v>
      </c>
      <c r="BH173" s="145">
        <f>IF(N173="sníž. přenesená",J173,0)</f>
        <v>0</v>
      </c>
      <c r="BI173" s="145">
        <f>IF(N173="nulová",J173,0)</f>
        <v>0</v>
      </c>
      <c r="BJ173" s="18" t="s">
        <v>77</v>
      </c>
      <c r="BK173" s="145">
        <f>ROUND(I173*H173,2)</f>
        <v>0</v>
      </c>
      <c r="BL173" s="18" t="s">
        <v>158</v>
      </c>
      <c r="BM173" s="144" t="s">
        <v>1738</v>
      </c>
    </row>
    <row r="174" spans="2:65" s="1" customFormat="1" ht="11.25">
      <c r="B174" s="33"/>
      <c r="D174" s="146" t="s">
        <v>160</v>
      </c>
      <c r="F174" s="147" t="s">
        <v>1739</v>
      </c>
      <c r="I174" s="148"/>
      <c r="L174" s="33"/>
      <c r="M174" s="149"/>
      <c r="T174" s="54"/>
      <c r="AT174" s="18" t="s">
        <v>160</v>
      </c>
      <c r="AU174" s="18" t="s">
        <v>79</v>
      </c>
    </row>
    <row r="175" spans="2:65" s="14" customFormat="1" ht="11.25">
      <c r="B175" s="165"/>
      <c r="D175" s="151" t="s">
        <v>162</v>
      </c>
      <c r="E175" s="166" t="s">
        <v>3</v>
      </c>
      <c r="F175" s="167" t="s">
        <v>1667</v>
      </c>
      <c r="H175" s="166" t="s">
        <v>3</v>
      </c>
      <c r="I175" s="168"/>
      <c r="L175" s="165"/>
      <c r="M175" s="169"/>
      <c r="T175" s="170"/>
      <c r="AT175" s="166" t="s">
        <v>162</v>
      </c>
      <c r="AU175" s="166" t="s">
        <v>79</v>
      </c>
      <c r="AV175" s="14" t="s">
        <v>77</v>
      </c>
      <c r="AW175" s="14" t="s">
        <v>30</v>
      </c>
      <c r="AX175" s="14" t="s">
        <v>69</v>
      </c>
      <c r="AY175" s="166" t="s">
        <v>151</v>
      </c>
    </row>
    <row r="176" spans="2:65" s="12" customFormat="1" ht="11.25">
      <c r="B176" s="150"/>
      <c r="D176" s="151" t="s">
        <v>162</v>
      </c>
      <c r="E176" s="152" t="s">
        <v>3</v>
      </c>
      <c r="F176" s="153" t="s">
        <v>1740</v>
      </c>
      <c r="H176" s="154">
        <v>0.39200000000000002</v>
      </c>
      <c r="I176" s="155"/>
      <c r="L176" s="150"/>
      <c r="M176" s="156"/>
      <c r="T176" s="157"/>
      <c r="AT176" s="152" t="s">
        <v>162</v>
      </c>
      <c r="AU176" s="152" t="s">
        <v>79</v>
      </c>
      <c r="AV176" s="12" t="s">
        <v>79</v>
      </c>
      <c r="AW176" s="12" t="s">
        <v>30</v>
      </c>
      <c r="AX176" s="12" t="s">
        <v>69</v>
      </c>
      <c r="AY176" s="152" t="s">
        <v>151</v>
      </c>
    </row>
    <row r="177" spans="2:65" s="14" customFormat="1" ht="11.25">
      <c r="B177" s="165"/>
      <c r="D177" s="151" t="s">
        <v>162</v>
      </c>
      <c r="E177" s="166" t="s">
        <v>3</v>
      </c>
      <c r="F177" s="167" t="s">
        <v>1669</v>
      </c>
      <c r="H177" s="166" t="s">
        <v>3</v>
      </c>
      <c r="I177" s="168"/>
      <c r="L177" s="165"/>
      <c r="M177" s="169"/>
      <c r="T177" s="170"/>
      <c r="AT177" s="166" t="s">
        <v>162</v>
      </c>
      <c r="AU177" s="166" t="s">
        <v>79</v>
      </c>
      <c r="AV177" s="14" t="s">
        <v>77</v>
      </c>
      <c r="AW177" s="14" t="s">
        <v>30</v>
      </c>
      <c r="AX177" s="14" t="s">
        <v>69</v>
      </c>
      <c r="AY177" s="166" t="s">
        <v>151</v>
      </c>
    </row>
    <row r="178" spans="2:65" s="12" customFormat="1" ht="11.25">
      <c r="B178" s="150"/>
      <c r="D178" s="151" t="s">
        <v>162</v>
      </c>
      <c r="E178" s="152" t="s">
        <v>3</v>
      </c>
      <c r="F178" s="153" t="s">
        <v>1741</v>
      </c>
      <c r="H178" s="154">
        <v>9.9000000000000005E-2</v>
      </c>
      <c r="I178" s="155"/>
      <c r="L178" s="150"/>
      <c r="M178" s="156"/>
      <c r="T178" s="157"/>
      <c r="AT178" s="152" t="s">
        <v>162</v>
      </c>
      <c r="AU178" s="152" t="s">
        <v>79</v>
      </c>
      <c r="AV178" s="12" t="s">
        <v>79</v>
      </c>
      <c r="AW178" s="12" t="s">
        <v>30</v>
      </c>
      <c r="AX178" s="12" t="s">
        <v>69</v>
      </c>
      <c r="AY178" s="152" t="s">
        <v>151</v>
      </c>
    </row>
    <row r="179" spans="2:65" s="14" customFormat="1" ht="11.25">
      <c r="B179" s="165"/>
      <c r="D179" s="151" t="s">
        <v>162</v>
      </c>
      <c r="E179" s="166" t="s">
        <v>3</v>
      </c>
      <c r="F179" s="167" t="s">
        <v>1671</v>
      </c>
      <c r="H179" s="166" t="s">
        <v>3</v>
      </c>
      <c r="I179" s="168"/>
      <c r="L179" s="165"/>
      <c r="M179" s="169"/>
      <c r="T179" s="170"/>
      <c r="AT179" s="166" t="s">
        <v>162</v>
      </c>
      <c r="AU179" s="166" t="s">
        <v>79</v>
      </c>
      <c r="AV179" s="14" t="s">
        <v>77</v>
      </c>
      <c r="AW179" s="14" t="s">
        <v>30</v>
      </c>
      <c r="AX179" s="14" t="s">
        <v>69</v>
      </c>
      <c r="AY179" s="166" t="s">
        <v>151</v>
      </c>
    </row>
    <row r="180" spans="2:65" s="12" customFormat="1" ht="11.25">
      <c r="B180" s="150"/>
      <c r="D180" s="151" t="s">
        <v>162</v>
      </c>
      <c r="E180" s="152" t="s">
        <v>3</v>
      </c>
      <c r="F180" s="153" t="s">
        <v>1742</v>
      </c>
      <c r="H180" s="154">
        <v>1.089</v>
      </c>
      <c r="I180" s="155"/>
      <c r="L180" s="150"/>
      <c r="M180" s="156"/>
      <c r="T180" s="157"/>
      <c r="AT180" s="152" t="s">
        <v>162</v>
      </c>
      <c r="AU180" s="152" t="s">
        <v>79</v>
      </c>
      <c r="AV180" s="12" t="s">
        <v>79</v>
      </c>
      <c r="AW180" s="12" t="s">
        <v>30</v>
      </c>
      <c r="AX180" s="12" t="s">
        <v>69</v>
      </c>
      <c r="AY180" s="152" t="s">
        <v>151</v>
      </c>
    </row>
    <row r="181" spans="2:65" s="14" customFormat="1" ht="11.25">
      <c r="B181" s="165"/>
      <c r="D181" s="151" t="s">
        <v>162</v>
      </c>
      <c r="E181" s="166" t="s">
        <v>3</v>
      </c>
      <c r="F181" s="167" t="s">
        <v>1673</v>
      </c>
      <c r="H181" s="166" t="s">
        <v>3</v>
      </c>
      <c r="I181" s="168"/>
      <c r="L181" s="165"/>
      <c r="M181" s="169"/>
      <c r="T181" s="170"/>
      <c r="AT181" s="166" t="s">
        <v>162</v>
      </c>
      <c r="AU181" s="166" t="s">
        <v>79</v>
      </c>
      <c r="AV181" s="14" t="s">
        <v>77</v>
      </c>
      <c r="AW181" s="14" t="s">
        <v>30</v>
      </c>
      <c r="AX181" s="14" t="s">
        <v>69</v>
      </c>
      <c r="AY181" s="166" t="s">
        <v>151</v>
      </c>
    </row>
    <row r="182" spans="2:65" s="12" customFormat="1" ht="11.25">
      <c r="B182" s="150"/>
      <c r="D182" s="151" t="s">
        <v>162</v>
      </c>
      <c r="E182" s="152" t="s">
        <v>3</v>
      </c>
      <c r="F182" s="153" t="s">
        <v>1743</v>
      </c>
      <c r="H182" s="154">
        <v>0.93200000000000005</v>
      </c>
      <c r="I182" s="155"/>
      <c r="L182" s="150"/>
      <c r="M182" s="156"/>
      <c r="T182" s="157"/>
      <c r="AT182" s="152" t="s">
        <v>162</v>
      </c>
      <c r="AU182" s="152" t="s">
        <v>79</v>
      </c>
      <c r="AV182" s="12" t="s">
        <v>79</v>
      </c>
      <c r="AW182" s="12" t="s">
        <v>30</v>
      </c>
      <c r="AX182" s="12" t="s">
        <v>69</v>
      </c>
      <c r="AY182" s="152" t="s">
        <v>151</v>
      </c>
    </row>
    <row r="183" spans="2:65" s="14" customFormat="1" ht="11.25">
      <c r="B183" s="165"/>
      <c r="D183" s="151" t="s">
        <v>162</v>
      </c>
      <c r="E183" s="166" t="s">
        <v>3</v>
      </c>
      <c r="F183" s="167" t="s">
        <v>1675</v>
      </c>
      <c r="H183" s="166" t="s">
        <v>3</v>
      </c>
      <c r="I183" s="168"/>
      <c r="L183" s="165"/>
      <c r="M183" s="169"/>
      <c r="T183" s="170"/>
      <c r="AT183" s="166" t="s">
        <v>162</v>
      </c>
      <c r="AU183" s="166" t="s">
        <v>79</v>
      </c>
      <c r="AV183" s="14" t="s">
        <v>77</v>
      </c>
      <c r="AW183" s="14" t="s">
        <v>30</v>
      </c>
      <c r="AX183" s="14" t="s">
        <v>69</v>
      </c>
      <c r="AY183" s="166" t="s">
        <v>151</v>
      </c>
    </row>
    <row r="184" spans="2:65" s="12" customFormat="1" ht="11.25">
      <c r="B184" s="150"/>
      <c r="D184" s="151" t="s">
        <v>162</v>
      </c>
      <c r="E184" s="152" t="s">
        <v>3</v>
      </c>
      <c r="F184" s="153" t="s">
        <v>1744</v>
      </c>
      <c r="H184" s="154">
        <v>0.80100000000000005</v>
      </c>
      <c r="I184" s="155"/>
      <c r="L184" s="150"/>
      <c r="M184" s="156"/>
      <c r="T184" s="157"/>
      <c r="AT184" s="152" t="s">
        <v>162</v>
      </c>
      <c r="AU184" s="152" t="s">
        <v>79</v>
      </c>
      <c r="AV184" s="12" t="s">
        <v>79</v>
      </c>
      <c r="AW184" s="12" t="s">
        <v>30</v>
      </c>
      <c r="AX184" s="12" t="s">
        <v>69</v>
      </c>
      <c r="AY184" s="152" t="s">
        <v>151</v>
      </c>
    </row>
    <row r="185" spans="2:65" s="13" customFormat="1" ht="11.25">
      <c r="B185" s="158"/>
      <c r="D185" s="151" t="s">
        <v>162</v>
      </c>
      <c r="E185" s="159" t="s">
        <v>3</v>
      </c>
      <c r="F185" s="160" t="s">
        <v>167</v>
      </c>
      <c r="H185" s="161">
        <v>3.3130000000000002</v>
      </c>
      <c r="I185" s="162"/>
      <c r="L185" s="158"/>
      <c r="M185" s="163"/>
      <c r="T185" s="164"/>
      <c r="AT185" s="159" t="s">
        <v>162</v>
      </c>
      <c r="AU185" s="159" t="s">
        <v>79</v>
      </c>
      <c r="AV185" s="13" t="s">
        <v>158</v>
      </c>
      <c r="AW185" s="13" t="s">
        <v>30</v>
      </c>
      <c r="AX185" s="13" t="s">
        <v>77</v>
      </c>
      <c r="AY185" s="159" t="s">
        <v>151</v>
      </c>
    </row>
    <row r="186" spans="2:65" s="1" customFormat="1" ht="24.2" customHeight="1">
      <c r="B186" s="132"/>
      <c r="C186" s="133" t="s">
        <v>282</v>
      </c>
      <c r="D186" s="133" t="s">
        <v>153</v>
      </c>
      <c r="E186" s="134" t="s">
        <v>1745</v>
      </c>
      <c r="F186" s="135" t="s">
        <v>1746</v>
      </c>
      <c r="G186" s="136" t="s">
        <v>156</v>
      </c>
      <c r="H186" s="137">
        <v>17.428999999999998</v>
      </c>
      <c r="I186" s="138"/>
      <c r="J186" s="139">
        <f>ROUND(I186*H186,2)</f>
        <v>0</v>
      </c>
      <c r="K186" s="135" t="s">
        <v>1654</v>
      </c>
      <c r="L186" s="33"/>
      <c r="M186" s="140" t="s">
        <v>3</v>
      </c>
      <c r="N186" s="141" t="s">
        <v>40</v>
      </c>
      <c r="P186" s="142">
        <f>O186*H186</f>
        <v>0</v>
      </c>
      <c r="Q186" s="142">
        <v>0</v>
      </c>
      <c r="R186" s="142">
        <f>Q186*H186</f>
        <v>0</v>
      </c>
      <c r="S186" s="142">
        <v>0</v>
      </c>
      <c r="T186" s="143">
        <f>S186*H186</f>
        <v>0</v>
      </c>
      <c r="AR186" s="144" t="s">
        <v>158</v>
      </c>
      <c r="AT186" s="144" t="s">
        <v>153</v>
      </c>
      <c r="AU186" s="144" t="s">
        <v>79</v>
      </c>
      <c r="AY186" s="18" t="s">
        <v>151</v>
      </c>
      <c r="BE186" s="145">
        <f>IF(N186="základní",J186,0)</f>
        <v>0</v>
      </c>
      <c r="BF186" s="145">
        <f>IF(N186="snížená",J186,0)</f>
        <v>0</v>
      </c>
      <c r="BG186" s="145">
        <f>IF(N186="zákl. přenesená",J186,0)</f>
        <v>0</v>
      </c>
      <c r="BH186" s="145">
        <f>IF(N186="sníž. přenesená",J186,0)</f>
        <v>0</v>
      </c>
      <c r="BI186" s="145">
        <f>IF(N186="nulová",J186,0)</f>
        <v>0</v>
      </c>
      <c r="BJ186" s="18" t="s">
        <v>77</v>
      </c>
      <c r="BK186" s="145">
        <f>ROUND(I186*H186,2)</f>
        <v>0</v>
      </c>
      <c r="BL186" s="18" t="s">
        <v>158</v>
      </c>
      <c r="BM186" s="144" t="s">
        <v>1747</v>
      </c>
    </row>
    <row r="187" spans="2:65" s="1" customFormat="1" ht="11.25">
      <c r="B187" s="33"/>
      <c r="D187" s="146" t="s">
        <v>160</v>
      </c>
      <c r="F187" s="147" t="s">
        <v>1748</v>
      </c>
      <c r="I187" s="148"/>
      <c r="L187" s="33"/>
      <c r="M187" s="149"/>
      <c r="T187" s="54"/>
      <c r="AT187" s="18" t="s">
        <v>160</v>
      </c>
      <c r="AU187" s="18" t="s">
        <v>79</v>
      </c>
    </row>
    <row r="188" spans="2:65" s="14" customFormat="1" ht="11.25">
      <c r="B188" s="165"/>
      <c r="D188" s="151" t="s">
        <v>162</v>
      </c>
      <c r="E188" s="166" t="s">
        <v>3</v>
      </c>
      <c r="F188" s="167" t="s">
        <v>1749</v>
      </c>
      <c r="H188" s="166" t="s">
        <v>3</v>
      </c>
      <c r="I188" s="168"/>
      <c r="L188" s="165"/>
      <c r="M188" s="169"/>
      <c r="T188" s="170"/>
      <c r="AT188" s="166" t="s">
        <v>162</v>
      </c>
      <c r="AU188" s="166" t="s">
        <v>79</v>
      </c>
      <c r="AV188" s="14" t="s">
        <v>77</v>
      </c>
      <c r="AW188" s="14" t="s">
        <v>30</v>
      </c>
      <c r="AX188" s="14" t="s">
        <v>69</v>
      </c>
      <c r="AY188" s="166" t="s">
        <v>151</v>
      </c>
    </row>
    <row r="189" spans="2:65" s="12" customFormat="1" ht="11.25">
      <c r="B189" s="150"/>
      <c r="D189" s="151" t="s">
        <v>162</v>
      </c>
      <c r="E189" s="152" t="s">
        <v>3</v>
      </c>
      <c r="F189" s="153" t="s">
        <v>1750</v>
      </c>
      <c r="H189" s="154">
        <v>0.50700000000000001</v>
      </c>
      <c r="I189" s="155"/>
      <c r="L189" s="150"/>
      <c r="M189" s="156"/>
      <c r="T189" s="157"/>
      <c r="AT189" s="152" t="s">
        <v>162</v>
      </c>
      <c r="AU189" s="152" t="s">
        <v>79</v>
      </c>
      <c r="AV189" s="12" t="s">
        <v>79</v>
      </c>
      <c r="AW189" s="12" t="s">
        <v>30</v>
      </c>
      <c r="AX189" s="12" t="s">
        <v>69</v>
      </c>
      <c r="AY189" s="152" t="s">
        <v>151</v>
      </c>
    </row>
    <row r="190" spans="2:65" s="14" customFormat="1" ht="11.25">
      <c r="B190" s="165"/>
      <c r="D190" s="151" t="s">
        <v>162</v>
      </c>
      <c r="E190" s="166" t="s">
        <v>3</v>
      </c>
      <c r="F190" s="167" t="s">
        <v>1682</v>
      </c>
      <c r="H190" s="166" t="s">
        <v>3</v>
      </c>
      <c r="I190" s="168"/>
      <c r="L190" s="165"/>
      <c r="M190" s="169"/>
      <c r="T190" s="170"/>
      <c r="AT190" s="166" t="s">
        <v>162</v>
      </c>
      <c r="AU190" s="166" t="s">
        <v>79</v>
      </c>
      <c r="AV190" s="14" t="s">
        <v>77</v>
      </c>
      <c r="AW190" s="14" t="s">
        <v>30</v>
      </c>
      <c r="AX190" s="14" t="s">
        <v>69</v>
      </c>
      <c r="AY190" s="166" t="s">
        <v>151</v>
      </c>
    </row>
    <row r="191" spans="2:65" s="12" customFormat="1" ht="11.25">
      <c r="B191" s="150"/>
      <c r="D191" s="151" t="s">
        <v>162</v>
      </c>
      <c r="E191" s="152" t="s">
        <v>3</v>
      </c>
      <c r="F191" s="153" t="s">
        <v>1751</v>
      </c>
      <c r="H191" s="154">
        <v>1.25</v>
      </c>
      <c r="I191" s="155"/>
      <c r="L191" s="150"/>
      <c r="M191" s="156"/>
      <c r="T191" s="157"/>
      <c r="AT191" s="152" t="s">
        <v>162</v>
      </c>
      <c r="AU191" s="152" t="s">
        <v>79</v>
      </c>
      <c r="AV191" s="12" t="s">
        <v>79</v>
      </c>
      <c r="AW191" s="12" t="s">
        <v>30</v>
      </c>
      <c r="AX191" s="12" t="s">
        <v>69</v>
      </c>
      <c r="AY191" s="152" t="s">
        <v>151</v>
      </c>
    </row>
    <row r="192" spans="2:65" s="14" customFormat="1" ht="11.25">
      <c r="B192" s="165"/>
      <c r="D192" s="151" t="s">
        <v>162</v>
      </c>
      <c r="E192" s="166" t="s">
        <v>3</v>
      </c>
      <c r="F192" s="167" t="s">
        <v>1752</v>
      </c>
      <c r="H192" s="166" t="s">
        <v>3</v>
      </c>
      <c r="I192" s="168"/>
      <c r="L192" s="165"/>
      <c r="M192" s="169"/>
      <c r="T192" s="170"/>
      <c r="AT192" s="166" t="s">
        <v>162</v>
      </c>
      <c r="AU192" s="166" t="s">
        <v>79</v>
      </c>
      <c r="AV192" s="14" t="s">
        <v>77</v>
      </c>
      <c r="AW192" s="14" t="s">
        <v>30</v>
      </c>
      <c r="AX192" s="14" t="s">
        <v>69</v>
      </c>
      <c r="AY192" s="166" t="s">
        <v>151</v>
      </c>
    </row>
    <row r="193" spans="2:65" s="12" customFormat="1" ht="11.25">
      <c r="B193" s="150"/>
      <c r="D193" s="151" t="s">
        <v>162</v>
      </c>
      <c r="E193" s="152" t="s">
        <v>3</v>
      </c>
      <c r="F193" s="153" t="s">
        <v>1753</v>
      </c>
      <c r="H193" s="154">
        <v>13.8</v>
      </c>
      <c r="I193" s="155"/>
      <c r="L193" s="150"/>
      <c r="M193" s="156"/>
      <c r="T193" s="157"/>
      <c r="AT193" s="152" t="s">
        <v>162</v>
      </c>
      <c r="AU193" s="152" t="s">
        <v>79</v>
      </c>
      <c r="AV193" s="12" t="s">
        <v>79</v>
      </c>
      <c r="AW193" s="12" t="s">
        <v>30</v>
      </c>
      <c r="AX193" s="12" t="s">
        <v>69</v>
      </c>
      <c r="AY193" s="152" t="s">
        <v>151</v>
      </c>
    </row>
    <row r="194" spans="2:65" s="14" customFormat="1" ht="11.25">
      <c r="B194" s="165"/>
      <c r="D194" s="151" t="s">
        <v>162</v>
      </c>
      <c r="E194" s="166" t="s">
        <v>3</v>
      </c>
      <c r="F194" s="167" t="s">
        <v>1754</v>
      </c>
      <c r="H194" s="166" t="s">
        <v>3</v>
      </c>
      <c r="I194" s="168"/>
      <c r="L194" s="165"/>
      <c r="M194" s="169"/>
      <c r="T194" s="170"/>
      <c r="AT194" s="166" t="s">
        <v>162</v>
      </c>
      <c r="AU194" s="166" t="s">
        <v>79</v>
      </c>
      <c r="AV194" s="14" t="s">
        <v>77</v>
      </c>
      <c r="AW194" s="14" t="s">
        <v>30</v>
      </c>
      <c r="AX194" s="14" t="s">
        <v>69</v>
      </c>
      <c r="AY194" s="166" t="s">
        <v>151</v>
      </c>
    </row>
    <row r="195" spans="2:65" s="12" customFormat="1" ht="11.25">
      <c r="B195" s="150"/>
      <c r="D195" s="151" t="s">
        <v>162</v>
      </c>
      <c r="E195" s="152" t="s">
        <v>3</v>
      </c>
      <c r="F195" s="153" t="s">
        <v>1755</v>
      </c>
      <c r="H195" s="154">
        <v>1.8720000000000001</v>
      </c>
      <c r="I195" s="155"/>
      <c r="L195" s="150"/>
      <c r="M195" s="156"/>
      <c r="T195" s="157"/>
      <c r="AT195" s="152" t="s">
        <v>162</v>
      </c>
      <c r="AU195" s="152" t="s">
        <v>79</v>
      </c>
      <c r="AV195" s="12" t="s">
        <v>79</v>
      </c>
      <c r="AW195" s="12" t="s">
        <v>30</v>
      </c>
      <c r="AX195" s="12" t="s">
        <v>69</v>
      </c>
      <c r="AY195" s="152" t="s">
        <v>151</v>
      </c>
    </row>
    <row r="196" spans="2:65" s="13" customFormat="1" ht="11.25">
      <c r="B196" s="158"/>
      <c r="D196" s="151" t="s">
        <v>162</v>
      </c>
      <c r="E196" s="159" t="s">
        <v>3</v>
      </c>
      <c r="F196" s="160" t="s">
        <v>167</v>
      </c>
      <c r="H196" s="161">
        <v>17.429000000000002</v>
      </c>
      <c r="I196" s="162"/>
      <c r="L196" s="158"/>
      <c r="M196" s="163"/>
      <c r="T196" s="164"/>
      <c r="AT196" s="159" t="s">
        <v>162</v>
      </c>
      <c r="AU196" s="159" t="s">
        <v>79</v>
      </c>
      <c r="AV196" s="13" t="s">
        <v>158</v>
      </c>
      <c r="AW196" s="13" t="s">
        <v>30</v>
      </c>
      <c r="AX196" s="13" t="s">
        <v>77</v>
      </c>
      <c r="AY196" s="159" t="s">
        <v>151</v>
      </c>
    </row>
    <row r="197" spans="2:65" s="1" customFormat="1" ht="24.2" customHeight="1">
      <c r="B197" s="132"/>
      <c r="C197" s="133" t="s">
        <v>287</v>
      </c>
      <c r="D197" s="133" t="s">
        <v>153</v>
      </c>
      <c r="E197" s="134" t="s">
        <v>1756</v>
      </c>
      <c r="F197" s="135" t="s">
        <v>1757</v>
      </c>
      <c r="G197" s="136" t="s">
        <v>230</v>
      </c>
      <c r="H197" s="137">
        <v>15.5</v>
      </c>
      <c r="I197" s="138"/>
      <c r="J197" s="139">
        <f>ROUND(I197*H197,2)</f>
        <v>0</v>
      </c>
      <c r="K197" s="135" t="s">
        <v>1654</v>
      </c>
      <c r="L197" s="33"/>
      <c r="M197" s="140" t="s">
        <v>3</v>
      </c>
      <c r="N197" s="141" t="s">
        <v>40</v>
      </c>
      <c r="P197" s="142">
        <f>O197*H197</f>
        <v>0</v>
      </c>
      <c r="Q197" s="142">
        <v>6.3200000000000001E-3</v>
      </c>
      <c r="R197" s="142">
        <f>Q197*H197</f>
        <v>9.7960000000000005E-2</v>
      </c>
      <c r="S197" s="142">
        <v>0</v>
      </c>
      <c r="T197" s="143">
        <f>S197*H197</f>
        <v>0</v>
      </c>
      <c r="AR197" s="144" t="s">
        <v>158</v>
      </c>
      <c r="AT197" s="144" t="s">
        <v>153</v>
      </c>
      <c r="AU197" s="144" t="s">
        <v>79</v>
      </c>
      <c r="AY197" s="18" t="s">
        <v>151</v>
      </c>
      <c r="BE197" s="145">
        <f>IF(N197="základní",J197,0)</f>
        <v>0</v>
      </c>
      <c r="BF197" s="145">
        <f>IF(N197="snížená",J197,0)</f>
        <v>0</v>
      </c>
      <c r="BG197" s="145">
        <f>IF(N197="zákl. přenesená",J197,0)</f>
        <v>0</v>
      </c>
      <c r="BH197" s="145">
        <f>IF(N197="sníž. přenesená",J197,0)</f>
        <v>0</v>
      </c>
      <c r="BI197" s="145">
        <f>IF(N197="nulová",J197,0)</f>
        <v>0</v>
      </c>
      <c r="BJ197" s="18" t="s">
        <v>77</v>
      </c>
      <c r="BK197" s="145">
        <f>ROUND(I197*H197,2)</f>
        <v>0</v>
      </c>
      <c r="BL197" s="18" t="s">
        <v>158</v>
      </c>
      <c r="BM197" s="144" t="s">
        <v>1758</v>
      </c>
    </row>
    <row r="198" spans="2:65" s="1" customFormat="1" ht="11.25">
      <c r="B198" s="33"/>
      <c r="D198" s="146" t="s">
        <v>160</v>
      </c>
      <c r="F198" s="147" t="s">
        <v>1759</v>
      </c>
      <c r="I198" s="148"/>
      <c r="L198" s="33"/>
      <c r="M198" s="149"/>
      <c r="T198" s="54"/>
      <c r="AT198" s="18" t="s">
        <v>160</v>
      </c>
      <c r="AU198" s="18" t="s">
        <v>79</v>
      </c>
    </row>
    <row r="199" spans="2:65" s="12" customFormat="1" ht="11.25">
      <c r="B199" s="150"/>
      <c r="D199" s="151" t="s">
        <v>162</v>
      </c>
      <c r="E199" s="152" t="s">
        <v>3</v>
      </c>
      <c r="F199" s="153" t="s">
        <v>1760</v>
      </c>
      <c r="H199" s="154">
        <v>15.5</v>
      </c>
      <c r="I199" s="155"/>
      <c r="L199" s="150"/>
      <c r="M199" s="156"/>
      <c r="T199" s="157"/>
      <c r="AT199" s="152" t="s">
        <v>162</v>
      </c>
      <c r="AU199" s="152" t="s">
        <v>79</v>
      </c>
      <c r="AV199" s="12" t="s">
        <v>79</v>
      </c>
      <c r="AW199" s="12" t="s">
        <v>30</v>
      </c>
      <c r="AX199" s="12" t="s">
        <v>77</v>
      </c>
      <c r="AY199" s="152" t="s">
        <v>151</v>
      </c>
    </row>
    <row r="200" spans="2:65" s="1" customFormat="1" ht="16.5" customHeight="1">
      <c r="B200" s="132"/>
      <c r="C200" s="133" t="s">
        <v>299</v>
      </c>
      <c r="D200" s="133" t="s">
        <v>153</v>
      </c>
      <c r="E200" s="134" t="s">
        <v>1761</v>
      </c>
      <c r="F200" s="135" t="s">
        <v>1762</v>
      </c>
      <c r="G200" s="136" t="s">
        <v>183</v>
      </c>
      <c r="H200" s="137">
        <v>1.427</v>
      </c>
      <c r="I200" s="138"/>
      <c r="J200" s="139">
        <f>ROUND(I200*H200,2)</f>
        <v>0</v>
      </c>
      <c r="K200" s="135" t="s">
        <v>1654</v>
      </c>
      <c r="L200" s="33"/>
      <c r="M200" s="140" t="s">
        <v>3</v>
      </c>
      <c r="N200" s="141" t="s">
        <v>40</v>
      </c>
      <c r="P200" s="142">
        <f>O200*H200</f>
        <v>0</v>
      </c>
      <c r="Q200" s="142">
        <v>1.06277</v>
      </c>
      <c r="R200" s="142">
        <f>Q200*H200</f>
        <v>1.5165727900000001</v>
      </c>
      <c r="S200" s="142">
        <v>0</v>
      </c>
      <c r="T200" s="143">
        <f>S200*H200</f>
        <v>0</v>
      </c>
      <c r="AR200" s="144" t="s">
        <v>158</v>
      </c>
      <c r="AT200" s="144" t="s">
        <v>153</v>
      </c>
      <c r="AU200" s="144" t="s">
        <v>79</v>
      </c>
      <c r="AY200" s="18" t="s">
        <v>151</v>
      </c>
      <c r="BE200" s="145">
        <f>IF(N200="základní",J200,0)</f>
        <v>0</v>
      </c>
      <c r="BF200" s="145">
        <f>IF(N200="snížená",J200,0)</f>
        <v>0</v>
      </c>
      <c r="BG200" s="145">
        <f>IF(N200="zákl. přenesená",J200,0)</f>
        <v>0</v>
      </c>
      <c r="BH200" s="145">
        <f>IF(N200="sníž. přenesená",J200,0)</f>
        <v>0</v>
      </c>
      <c r="BI200" s="145">
        <f>IF(N200="nulová",J200,0)</f>
        <v>0</v>
      </c>
      <c r="BJ200" s="18" t="s">
        <v>77</v>
      </c>
      <c r="BK200" s="145">
        <f>ROUND(I200*H200,2)</f>
        <v>0</v>
      </c>
      <c r="BL200" s="18" t="s">
        <v>158</v>
      </c>
      <c r="BM200" s="144" t="s">
        <v>1763</v>
      </c>
    </row>
    <row r="201" spans="2:65" s="1" customFormat="1" ht="11.25">
      <c r="B201" s="33"/>
      <c r="D201" s="146" t="s">
        <v>160</v>
      </c>
      <c r="F201" s="147" t="s">
        <v>1764</v>
      </c>
      <c r="I201" s="148"/>
      <c r="L201" s="33"/>
      <c r="M201" s="149"/>
      <c r="T201" s="54"/>
      <c r="AT201" s="18" t="s">
        <v>160</v>
      </c>
      <c r="AU201" s="18" t="s">
        <v>79</v>
      </c>
    </row>
    <row r="202" spans="2:65" s="12" customFormat="1" ht="11.25">
      <c r="B202" s="150"/>
      <c r="D202" s="151" t="s">
        <v>162</v>
      </c>
      <c r="E202" s="152" t="s">
        <v>3</v>
      </c>
      <c r="F202" s="153" t="s">
        <v>1765</v>
      </c>
      <c r="H202" s="154">
        <v>1.427</v>
      </c>
      <c r="I202" s="155"/>
      <c r="L202" s="150"/>
      <c r="M202" s="156"/>
      <c r="T202" s="157"/>
      <c r="AT202" s="152" t="s">
        <v>162</v>
      </c>
      <c r="AU202" s="152" t="s">
        <v>79</v>
      </c>
      <c r="AV202" s="12" t="s">
        <v>79</v>
      </c>
      <c r="AW202" s="12" t="s">
        <v>30</v>
      </c>
      <c r="AX202" s="12" t="s">
        <v>69</v>
      </c>
      <c r="AY202" s="152" t="s">
        <v>151</v>
      </c>
    </row>
    <row r="203" spans="2:65" s="13" customFormat="1" ht="11.25">
      <c r="B203" s="158"/>
      <c r="D203" s="151" t="s">
        <v>162</v>
      </c>
      <c r="E203" s="159" t="s">
        <v>3</v>
      </c>
      <c r="F203" s="160" t="s">
        <v>167</v>
      </c>
      <c r="H203" s="161">
        <v>1.427</v>
      </c>
      <c r="I203" s="162"/>
      <c r="L203" s="158"/>
      <c r="M203" s="163"/>
      <c r="T203" s="164"/>
      <c r="AT203" s="159" t="s">
        <v>162</v>
      </c>
      <c r="AU203" s="159" t="s">
        <v>79</v>
      </c>
      <c r="AV203" s="13" t="s">
        <v>158</v>
      </c>
      <c r="AW203" s="13" t="s">
        <v>30</v>
      </c>
      <c r="AX203" s="13" t="s">
        <v>77</v>
      </c>
      <c r="AY203" s="159" t="s">
        <v>151</v>
      </c>
    </row>
    <row r="204" spans="2:65" s="11" customFormat="1" ht="22.9" customHeight="1">
      <c r="B204" s="120"/>
      <c r="D204" s="121" t="s">
        <v>68</v>
      </c>
      <c r="E204" s="130" t="s">
        <v>214</v>
      </c>
      <c r="F204" s="130" t="s">
        <v>1556</v>
      </c>
      <c r="I204" s="123"/>
      <c r="J204" s="131">
        <f>BK204</f>
        <v>0</v>
      </c>
      <c r="L204" s="120"/>
      <c r="M204" s="125"/>
      <c r="P204" s="126">
        <f>SUM(P205:P249)</f>
        <v>0</v>
      </c>
      <c r="R204" s="126">
        <f>SUM(R205:R249)</f>
        <v>1.050001</v>
      </c>
      <c r="T204" s="127">
        <f>SUM(T205:T249)</f>
        <v>0</v>
      </c>
      <c r="AR204" s="121" t="s">
        <v>77</v>
      </c>
      <c r="AT204" s="128" t="s">
        <v>68</v>
      </c>
      <c r="AU204" s="128" t="s">
        <v>77</v>
      </c>
      <c r="AY204" s="121" t="s">
        <v>151</v>
      </c>
      <c r="BK204" s="129">
        <f>SUM(BK205:BK249)</f>
        <v>0</v>
      </c>
    </row>
    <row r="205" spans="2:65" s="1" customFormat="1" ht="16.5" customHeight="1">
      <c r="B205" s="132"/>
      <c r="C205" s="133" t="s">
        <v>306</v>
      </c>
      <c r="D205" s="133" t="s">
        <v>153</v>
      </c>
      <c r="E205" s="134" t="s">
        <v>1766</v>
      </c>
      <c r="F205" s="135" t="s">
        <v>1767</v>
      </c>
      <c r="G205" s="136" t="s">
        <v>198</v>
      </c>
      <c r="H205" s="137">
        <v>13.2</v>
      </c>
      <c r="I205" s="138"/>
      <c r="J205" s="139">
        <f>ROUND(I205*H205,2)</f>
        <v>0</v>
      </c>
      <c r="K205" s="135" t="s">
        <v>157</v>
      </c>
      <c r="L205" s="33"/>
      <c r="M205" s="140" t="s">
        <v>3</v>
      </c>
      <c r="N205" s="141" t="s">
        <v>40</v>
      </c>
      <c r="P205" s="142">
        <f>O205*H205</f>
        <v>0</v>
      </c>
      <c r="Q205" s="142">
        <v>1.0000000000000001E-5</v>
      </c>
      <c r="R205" s="142">
        <f>Q205*H205</f>
        <v>1.3200000000000001E-4</v>
      </c>
      <c r="S205" s="142">
        <v>0</v>
      </c>
      <c r="T205" s="143">
        <f>S205*H205</f>
        <v>0</v>
      </c>
      <c r="AR205" s="144" t="s">
        <v>158</v>
      </c>
      <c r="AT205" s="144" t="s">
        <v>153</v>
      </c>
      <c r="AU205" s="144" t="s">
        <v>79</v>
      </c>
      <c r="AY205" s="18" t="s">
        <v>151</v>
      </c>
      <c r="BE205" s="145">
        <f>IF(N205="základní",J205,0)</f>
        <v>0</v>
      </c>
      <c r="BF205" s="145">
        <f>IF(N205="snížená",J205,0)</f>
        <v>0</v>
      </c>
      <c r="BG205" s="145">
        <f>IF(N205="zákl. přenesená",J205,0)</f>
        <v>0</v>
      </c>
      <c r="BH205" s="145">
        <f>IF(N205="sníž. přenesená",J205,0)</f>
        <v>0</v>
      </c>
      <c r="BI205" s="145">
        <f>IF(N205="nulová",J205,0)</f>
        <v>0</v>
      </c>
      <c r="BJ205" s="18" t="s">
        <v>77</v>
      </c>
      <c r="BK205" s="145">
        <f>ROUND(I205*H205,2)</f>
        <v>0</v>
      </c>
      <c r="BL205" s="18" t="s">
        <v>158</v>
      </c>
      <c r="BM205" s="144" t="s">
        <v>1768</v>
      </c>
    </row>
    <row r="206" spans="2:65" s="1" customFormat="1" ht="11.25">
      <c r="B206" s="33"/>
      <c r="D206" s="146" t="s">
        <v>160</v>
      </c>
      <c r="F206" s="147" t="s">
        <v>1769</v>
      </c>
      <c r="I206" s="148"/>
      <c r="L206" s="33"/>
      <c r="M206" s="149"/>
      <c r="T206" s="54"/>
      <c r="AT206" s="18" t="s">
        <v>160</v>
      </c>
      <c r="AU206" s="18" t="s">
        <v>79</v>
      </c>
    </row>
    <row r="207" spans="2:65" s="12" customFormat="1" ht="11.25">
      <c r="B207" s="150"/>
      <c r="D207" s="151" t="s">
        <v>162</v>
      </c>
      <c r="E207" s="152" t="s">
        <v>3</v>
      </c>
      <c r="F207" s="153" t="s">
        <v>1770</v>
      </c>
      <c r="H207" s="154">
        <v>13.2</v>
      </c>
      <c r="I207" s="155"/>
      <c r="L207" s="150"/>
      <c r="M207" s="156"/>
      <c r="T207" s="157"/>
      <c r="AT207" s="152" t="s">
        <v>162</v>
      </c>
      <c r="AU207" s="152" t="s">
        <v>79</v>
      </c>
      <c r="AV207" s="12" t="s">
        <v>79</v>
      </c>
      <c r="AW207" s="12" t="s">
        <v>30</v>
      </c>
      <c r="AX207" s="12" t="s">
        <v>77</v>
      </c>
      <c r="AY207" s="152" t="s">
        <v>151</v>
      </c>
    </row>
    <row r="208" spans="2:65" s="1" customFormat="1" ht="16.5" customHeight="1">
      <c r="B208" s="132"/>
      <c r="C208" s="172" t="s">
        <v>317</v>
      </c>
      <c r="D208" s="172" t="s">
        <v>436</v>
      </c>
      <c r="E208" s="173" t="s">
        <v>1771</v>
      </c>
      <c r="F208" s="174" t="s">
        <v>1772</v>
      </c>
      <c r="G208" s="175" t="s">
        <v>198</v>
      </c>
      <c r="H208" s="176">
        <v>13.398</v>
      </c>
      <c r="I208" s="177"/>
      <c r="J208" s="178">
        <f>ROUND(I208*H208,2)</f>
        <v>0</v>
      </c>
      <c r="K208" s="174" t="s">
        <v>157</v>
      </c>
      <c r="L208" s="179"/>
      <c r="M208" s="180" t="s">
        <v>3</v>
      </c>
      <c r="N208" s="181" t="s">
        <v>40</v>
      </c>
      <c r="P208" s="142">
        <f>O208*H208</f>
        <v>0</v>
      </c>
      <c r="Q208" s="142">
        <v>3.5999999999999999E-3</v>
      </c>
      <c r="R208" s="142">
        <f>Q208*H208</f>
        <v>4.8232799999999999E-2</v>
      </c>
      <c r="S208" s="142">
        <v>0</v>
      </c>
      <c r="T208" s="143">
        <f>S208*H208</f>
        <v>0</v>
      </c>
      <c r="AR208" s="144" t="s">
        <v>214</v>
      </c>
      <c r="AT208" s="144" t="s">
        <v>436</v>
      </c>
      <c r="AU208" s="144" t="s">
        <v>79</v>
      </c>
      <c r="AY208" s="18" t="s">
        <v>151</v>
      </c>
      <c r="BE208" s="145">
        <f>IF(N208="základní",J208,0)</f>
        <v>0</v>
      </c>
      <c r="BF208" s="145">
        <f>IF(N208="snížená",J208,0)</f>
        <v>0</v>
      </c>
      <c r="BG208" s="145">
        <f>IF(N208="zákl. přenesená",J208,0)</f>
        <v>0</v>
      </c>
      <c r="BH208" s="145">
        <f>IF(N208="sníž. přenesená",J208,0)</f>
        <v>0</v>
      </c>
      <c r="BI208" s="145">
        <f>IF(N208="nulová",J208,0)</f>
        <v>0</v>
      </c>
      <c r="BJ208" s="18" t="s">
        <v>77</v>
      </c>
      <c r="BK208" s="145">
        <f>ROUND(I208*H208,2)</f>
        <v>0</v>
      </c>
      <c r="BL208" s="18" t="s">
        <v>158</v>
      </c>
      <c r="BM208" s="144" t="s">
        <v>1773</v>
      </c>
    </row>
    <row r="209" spans="2:65" s="12" customFormat="1" ht="11.25">
      <c r="B209" s="150"/>
      <c r="D209" s="151" t="s">
        <v>162</v>
      </c>
      <c r="F209" s="153" t="s">
        <v>1774</v>
      </c>
      <c r="H209" s="154">
        <v>13.398</v>
      </c>
      <c r="I209" s="155"/>
      <c r="L209" s="150"/>
      <c r="M209" s="156"/>
      <c r="T209" s="157"/>
      <c r="AT209" s="152" t="s">
        <v>162</v>
      </c>
      <c r="AU209" s="152" t="s">
        <v>79</v>
      </c>
      <c r="AV209" s="12" t="s">
        <v>79</v>
      </c>
      <c r="AW209" s="12" t="s">
        <v>4</v>
      </c>
      <c r="AX209" s="12" t="s">
        <v>77</v>
      </c>
      <c r="AY209" s="152" t="s">
        <v>151</v>
      </c>
    </row>
    <row r="210" spans="2:65" s="1" customFormat="1" ht="16.5" customHeight="1">
      <c r="B210" s="132"/>
      <c r="C210" s="133" t="s">
        <v>8</v>
      </c>
      <c r="D210" s="133" t="s">
        <v>153</v>
      </c>
      <c r="E210" s="134" t="s">
        <v>1775</v>
      </c>
      <c r="F210" s="135" t="s">
        <v>1776</v>
      </c>
      <c r="G210" s="136" t="s">
        <v>198</v>
      </c>
      <c r="H210" s="137">
        <v>22.45</v>
      </c>
      <c r="I210" s="138"/>
      <c r="J210" s="139">
        <f>ROUND(I210*H210,2)</f>
        <v>0</v>
      </c>
      <c r="K210" s="135" t="s">
        <v>1654</v>
      </c>
      <c r="L210" s="33"/>
      <c r="M210" s="140" t="s">
        <v>3</v>
      </c>
      <c r="N210" s="141" t="s">
        <v>40</v>
      </c>
      <c r="P210" s="142">
        <f>O210*H210</f>
        <v>0</v>
      </c>
      <c r="Q210" s="142">
        <v>1.0000000000000001E-5</v>
      </c>
      <c r="R210" s="142">
        <f>Q210*H210</f>
        <v>2.2450000000000001E-4</v>
      </c>
      <c r="S210" s="142">
        <v>0</v>
      </c>
      <c r="T210" s="143">
        <f>S210*H210</f>
        <v>0</v>
      </c>
      <c r="AR210" s="144" t="s">
        <v>158</v>
      </c>
      <c r="AT210" s="144" t="s">
        <v>153</v>
      </c>
      <c r="AU210" s="144" t="s">
        <v>79</v>
      </c>
      <c r="AY210" s="18" t="s">
        <v>151</v>
      </c>
      <c r="BE210" s="145">
        <f>IF(N210="základní",J210,0)</f>
        <v>0</v>
      </c>
      <c r="BF210" s="145">
        <f>IF(N210="snížená",J210,0)</f>
        <v>0</v>
      </c>
      <c r="BG210" s="145">
        <f>IF(N210="zákl. přenesená",J210,0)</f>
        <v>0</v>
      </c>
      <c r="BH210" s="145">
        <f>IF(N210="sníž. přenesená",J210,0)</f>
        <v>0</v>
      </c>
      <c r="BI210" s="145">
        <f>IF(N210="nulová",J210,0)</f>
        <v>0</v>
      </c>
      <c r="BJ210" s="18" t="s">
        <v>77</v>
      </c>
      <c r="BK210" s="145">
        <f>ROUND(I210*H210,2)</f>
        <v>0</v>
      </c>
      <c r="BL210" s="18" t="s">
        <v>158</v>
      </c>
      <c r="BM210" s="144" t="s">
        <v>1777</v>
      </c>
    </row>
    <row r="211" spans="2:65" s="1" customFormat="1" ht="11.25">
      <c r="B211" s="33"/>
      <c r="D211" s="146" t="s">
        <v>160</v>
      </c>
      <c r="F211" s="147" t="s">
        <v>1778</v>
      </c>
      <c r="I211" s="148"/>
      <c r="L211" s="33"/>
      <c r="M211" s="149"/>
      <c r="T211" s="54"/>
      <c r="AT211" s="18" t="s">
        <v>160</v>
      </c>
      <c r="AU211" s="18" t="s">
        <v>79</v>
      </c>
    </row>
    <row r="212" spans="2:65" s="12" customFormat="1" ht="11.25">
      <c r="B212" s="150"/>
      <c r="D212" s="151" t="s">
        <v>162</v>
      </c>
      <c r="E212" s="152" t="s">
        <v>3</v>
      </c>
      <c r="F212" s="153" t="s">
        <v>1779</v>
      </c>
      <c r="H212" s="154">
        <v>22.45</v>
      </c>
      <c r="I212" s="155"/>
      <c r="L212" s="150"/>
      <c r="M212" s="156"/>
      <c r="T212" s="157"/>
      <c r="AT212" s="152" t="s">
        <v>162</v>
      </c>
      <c r="AU212" s="152" t="s">
        <v>79</v>
      </c>
      <c r="AV212" s="12" t="s">
        <v>79</v>
      </c>
      <c r="AW212" s="12" t="s">
        <v>30</v>
      </c>
      <c r="AX212" s="12" t="s">
        <v>69</v>
      </c>
      <c r="AY212" s="152" t="s">
        <v>151</v>
      </c>
    </row>
    <row r="213" spans="2:65" s="13" customFormat="1" ht="11.25">
      <c r="B213" s="158"/>
      <c r="D213" s="151" t="s">
        <v>162</v>
      </c>
      <c r="E213" s="159" t="s">
        <v>3</v>
      </c>
      <c r="F213" s="160" t="s">
        <v>167</v>
      </c>
      <c r="H213" s="161">
        <v>22.45</v>
      </c>
      <c r="I213" s="162"/>
      <c r="L213" s="158"/>
      <c r="M213" s="163"/>
      <c r="T213" s="164"/>
      <c r="AT213" s="159" t="s">
        <v>162</v>
      </c>
      <c r="AU213" s="159" t="s">
        <v>79</v>
      </c>
      <c r="AV213" s="13" t="s">
        <v>158</v>
      </c>
      <c r="AW213" s="13" t="s">
        <v>30</v>
      </c>
      <c r="AX213" s="13" t="s">
        <v>77</v>
      </c>
      <c r="AY213" s="159" t="s">
        <v>151</v>
      </c>
    </row>
    <row r="214" spans="2:65" s="1" customFormat="1" ht="16.5" customHeight="1">
      <c r="B214" s="132"/>
      <c r="C214" s="172" t="s">
        <v>338</v>
      </c>
      <c r="D214" s="172" t="s">
        <v>436</v>
      </c>
      <c r="E214" s="173" t="s">
        <v>1780</v>
      </c>
      <c r="F214" s="174" t="s">
        <v>1781</v>
      </c>
      <c r="G214" s="175" t="s">
        <v>198</v>
      </c>
      <c r="H214" s="176">
        <v>22.786999999999999</v>
      </c>
      <c r="I214" s="177"/>
      <c r="J214" s="178">
        <f>ROUND(I214*H214,2)</f>
        <v>0</v>
      </c>
      <c r="K214" s="174" t="s">
        <v>1654</v>
      </c>
      <c r="L214" s="179"/>
      <c r="M214" s="180" t="s">
        <v>3</v>
      </c>
      <c r="N214" s="181" t="s">
        <v>40</v>
      </c>
      <c r="P214" s="142">
        <f>O214*H214</f>
        <v>0</v>
      </c>
      <c r="Q214" s="142">
        <v>5.1000000000000004E-3</v>
      </c>
      <c r="R214" s="142">
        <f>Q214*H214</f>
        <v>0.1162137</v>
      </c>
      <c r="S214" s="142">
        <v>0</v>
      </c>
      <c r="T214" s="143">
        <f>S214*H214</f>
        <v>0</v>
      </c>
      <c r="AR214" s="144" t="s">
        <v>214</v>
      </c>
      <c r="AT214" s="144" t="s">
        <v>436</v>
      </c>
      <c r="AU214" s="144" t="s">
        <v>79</v>
      </c>
      <c r="AY214" s="18" t="s">
        <v>151</v>
      </c>
      <c r="BE214" s="145">
        <f>IF(N214="základní",J214,0)</f>
        <v>0</v>
      </c>
      <c r="BF214" s="145">
        <f>IF(N214="snížená",J214,0)</f>
        <v>0</v>
      </c>
      <c r="BG214" s="145">
        <f>IF(N214="zákl. přenesená",J214,0)</f>
        <v>0</v>
      </c>
      <c r="BH214" s="145">
        <f>IF(N214="sníž. přenesená",J214,0)</f>
        <v>0</v>
      </c>
      <c r="BI214" s="145">
        <f>IF(N214="nulová",J214,0)</f>
        <v>0</v>
      </c>
      <c r="BJ214" s="18" t="s">
        <v>77</v>
      </c>
      <c r="BK214" s="145">
        <f>ROUND(I214*H214,2)</f>
        <v>0</v>
      </c>
      <c r="BL214" s="18" t="s">
        <v>158</v>
      </c>
      <c r="BM214" s="144" t="s">
        <v>1782</v>
      </c>
    </row>
    <row r="215" spans="2:65" s="12" customFormat="1" ht="11.25">
      <c r="B215" s="150"/>
      <c r="D215" s="151" t="s">
        <v>162</v>
      </c>
      <c r="F215" s="153" t="s">
        <v>1783</v>
      </c>
      <c r="H215" s="154">
        <v>22.786999999999999</v>
      </c>
      <c r="I215" s="155"/>
      <c r="L215" s="150"/>
      <c r="M215" s="156"/>
      <c r="T215" s="157"/>
      <c r="AT215" s="152" t="s">
        <v>162</v>
      </c>
      <c r="AU215" s="152" t="s">
        <v>79</v>
      </c>
      <c r="AV215" s="12" t="s">
        <v>79</v>
      </c>
      <c r="AW215" s="12" t="s">
        <v>4</v>
      </c>
      <c r="AX215" s="12" t="s">
        <v>77</v>
      </c>
      <c r="AY215" s="152" t="s">
        <v>151</v>
      </c>
    </row>
    <row r="216" spans="2:65" s="1" customFormat="1" ht="16.5" customHeight="1">
      <c r="B216" s="132"/>
      <c r="C216" s="133" t="s">
        <v>343</v>
      </c>
      <c r="D216" s="133" t="s">
        <v>153</v>
      </c>
      <c r="E216" s="134" t="s">
        <v>1784</v>
      </c>
      <c r="F216" s="135" t="s">
        <v>1785</v>
      </c>
      <c r="G216" s="136" t="s">
        <v>198</v>
      </c>
      <c r="H216" s="137">
        <v>1.1000000000000001</v>
      </c>
      <c r="I216" s="138"/>
      <c r="J216" s="139">
        <f>ROUND(I216*H216,2)</f>
        <v>0</v>
      </c>
      <c r="K216" s="135" t="s">
        <v>157</v>
      </c>
      <c r="L216" s="33"/>
      <c r="M216" s="140" t="s">
        <v>3</v>
      </c>
      <c r="N216" s="141" t="s">
        <v>40</v>
      </c>
      <c r="P216" s="142">
        <f>O216*H216</f>
        <v>0</v>
      </c>
      <c r="Q216" s="142">
        <v>2.0000000000000002E-5</v>
      </c>
      <c r="R216" s="142">
        <f>Q216*H216</f>
        <v>2.2000000000000003E-5</v>
      </c>
      <c r="S216" s="142">
        <v>0</v>
      </c>
      <c r="T216" s="143">
        <f>S216*H216</f>
        <v>0</v>
      </c>
      <c r="AR216" s="144" t="s">
        <v>158</v>
      </c>
      <c r="AT216" s="144" t="s">
        <v>153</v>
      </c>
      <c r="AU216" s="144" t="s">
        <v>79</v>
      </c>
      <c r="AY216" s="18" t="s">
        <v>151</v>
      </c>
      <c r="BE216" s="145">
        <f>IF(N216="základní",J216,0)</f>
        <v>0</v>
      </c>
      <c r="BF216" s="145">
        <f>IF(N216="snížená",J216,0)</f>
        <v>0</v>
      </c>
      <c r="BG216" s="145">
        <f>IF(N216="zákl. přenesená",J216,0)</f>
        <v>0</v>
      </c>
      <c r="BH216" s="145">
        <f>IF(N216="sníž. přenesená",J216,0)</f>
        <v>0</v>
      </c>
      <c r="BI216" s="145">
        <f>IF(N216="nulová",J216,0)</f>
        <v>0</v>
      </c>
      <c r="BJ216" s="18" t="s">
        <v>77</v>
      </c>
      <c r="BK216" s="145">
        <f>ROUND(I216*H216,2)</f>
        <v>0</v>
      </c>
      <c r="BL216" s="18" t="s">
        <v>158</v>
      </c>
      <c r="BM216" s="144" t="s">
        <v>1786</v>
      </c>
    </row>
    <row r="217" spans="2:65" s="1" customFormat="1" ht="11.25">
      <c r="B217" s="33"/>
      <c r="D217" s="146" t="s">
        <v>160</v>
      </c>
      <c r="F217" s="147" t="s">
        <v>1787</v>
      </c>
      <c r="I217" s="148"/>
      <c r="L217" s="33"/>
      <c r="M217" s="149"/>
      <c r="T217" s="54"/>
      <c r="AT217" s="18" t="s">
        <v>160</v>
      </c>
      <c r="AU217" s="18" t="s">
        <v>79</v>
      </c>
    </row>
    <row r="218" spans="2:65" s="1" customFormat="1" ht="16.5" customHeight="1">
      <c r="B218" s="132"/>
      <c r="C218" s="172" t="s">
        <v>347</v>
      </c>
      <c r="D218" s="172" t="s">
        <v>436</v>
      </c>
      <c r="E218" s="173" t="s">
        <v>1788</v>
      </c>
      <c r="F218" s="174" t="s">
        <v>1789</v>
      </c>
      <c r="G218" s="175" t="s">
        <v>198</v>
      </c>
      <c r="H218" s="176">
        <v>1.117</v>
      </c>
      <c r="I218" s="177"/>
      <c r="J218" s="178">
        <f>ROUND(I218*H218,2)</f>
        <v>0</v>
      </c>
      <c r="K218" s="174" t="s">
        <v>157</v>
      </c>
      <c r="L218" s="179"/>
      <c r="M218" s="180" t="s">
        <v>3</v>
      </c>
      <c r="N218" s="181" t="s">
        <v>40</v>
      </c>
      <c r="P218" s="142">
        <f>O218*H218</f>
        <v>0</v>
      </c>
      <c r="Q218" s="142">
        <v>8.0000000000000002E-3</v>
      </c>
      <c r="R218" s="142">
        <f>Q218*H218</f>
        <v>8.9359999999999995E-3</v>
      </c>
      <c r="S218" s="142">
        <v>0</v>
      </c>
      <c r="T218" s="143">
        <f>S218*H218</f>
        <v>0</v>
      </c>
      <c r="AR218" s="144" t="s">
        <v>214</v>
      </c>
      <c r="AT218" s="144" t="s">
        <v>436</v>
      </c>
      <c r="AU218" s="144" t="s">
        <v>79</v>
      </c>
      <c r="AY218" s="18" t="s">
        <v>151</v>
      </c>
      <c r="BE218" s="145">
        <f>IF(N218="základní",J218,0)</f>
        <v>0</v>
      </c>
      <c r="BF218" s="145">
        <f>IF(N218="snížená",J218,0)</f>
        <v>0</v>
      </c>
      <c r="BG218" s="145">
        <f>IF(N218="zákl. přenesená",J218,0)</f>
        <v>0</v>
      </c>
      <c r="BH218" s="145">
        <f>IF(N218="sníž. přenesená",J218,0)</f>
        <v>0</v>
      </c>
      <c r="BI218" s="145">
        <f>IF(N218="nulová",J218,0)</f>
        <v>0</v>
      </c>
      <c r="BJ218" s="18" t="s">
        <v>77</v>
      </c>
      <c r="BK218" s="145">
        <f>ROUND(I218*H218,2)</f>
        <v>0</v>
      </c>
      <c r="BL218" s="18" t="s">
        <v>158</v>
      </c>
      <c r="BM218" s="144" t="s">
        <v>1790</v>
      </c>
    </row>
    <row r="219" spans="2:65" s="12" customFormat="1" ht="11.25">
      <c r="B219" s="150"/>
      <c r="D219" s="151" t="s">
        <v>162</v>
      </c>
      <c r="F219" s="153" t="s">
        <v>1791</v>
      </c>
      <c r="H219" s="154">
        <v>1.117</v>
      </c>
      <c r="I219" s="155"/>
      <c r="L219" s="150"/>
      <c r="M219" s="156"/>
      <c r="T219" s="157"/>
      <c r="AT219" s="152" t="s">
        <v>162</v>
      </c>
      <c r="AU219" s="152" t="s">
        <v>79</v>
      </c>
      <c r="AV219" s="12" t="s">
        <v>79</v>
      </c>
      <c r="AW219" s="12" t="s">
        <v>4</v>
      </c>
      <c r="AX219" s="12" t="s">
        <v>77</v>
      </c>
      <c r="AY219" s="152" t="s">
        <v>151</v>
      </c>
    </row>
    <row r="220" spans="2:65" s="1" customFormat="1" ht="24.2" customHeight="1">
      <c r="B220" s="132"/>
      <c r="C220" s="133" t="s">
        <v>359</v>
      </c>
      <c r="D220" s="133" t="s">
        <v>153</v>
      </c>
      <c r="E220" s="134" t="s">
        <v>1792</v>
      </c>
      <c r="F220" s="135" t="s">
        <v>1793</v>
      </c>
      <c r="G220" s="136" t="s">
        <v>676</v>
      </c>
      <c r="H220" s="137">
        <v>9</v>
      </c>
      <c r="I220" s="138"/>
      <c r="J220" s="139">
        <f>ROUND(I220*H220,2)</f>
        <v>0</v>
      </c>
      <c r="K220" s="135" t="s">
        <v>157</v>
      </c>
      <c r="L220" s="33"/>
      <c r="M220" s="140" t="s">
        <v>3</v>
      </c>
      <c r="N220" s="141" t="s">
        <v>40</v>
      </c>
      <c r="P220" s="142">
        <f>O220*H220</f>
        <v>0</v>
      </c>
      <c r="Q220" s="142">
        <v>0</v>
      </c>
      <c r="R220" s="142">
        <f>Q220*H220</f>
        <v>0</v>
      </c>
      <c r="S220" s="142">
        <v>0</v>
      </c>
      <c r="T220" s="143">
        <f>S220*H220</f>
        <v>0</v>
      </c>
      <c r="AR220" s="144" t="s">
        <v>158</v>
      </c>
      <c r="AT220" s="144" t="s">
        <v>153</v>
      </c>
      <c r="AU220" s="144" t="s">
        <v>79</v>
      </c>
      <c r="AY220" s="18" t="s">
        <v>151</v>
      </c>
      <c r="BE220" s="145">
        <f>IF(N220="základní",J220,0)</f>
        <v>0</v>
      </c>
      <c r="BF220" s="145">
        <f>IF(N220="snížená",J220,0)</f>
        <v>0</v>
      </c>
      <c r="BG220" s="145">
        <f>IF(N220="zákl. přenesená",J220,0)</f>
        <v>0</v>
      </c>
      <c r="BH220" s="145">
        <f>IF(N220="sníž. přenesená",J220,0)</f>
        <v>0</v>
      </c>
      <c r="BI220" s="145">
        <f>IF(N220="nulová",J220,0)</f>
        <v>0</v>
      </c>
      <c r="BJ220" s="18" t="s">
        <v>77</v>
      </c>
      <c r="BK220" s="145">
        <f>ROUND(I220*H220,2)</f>
        <v>0</v>
      </c>
      <c r="BL220" s="18" t="s">
        <v>158</v>
      </c>
      <c r="BM220" s="144" t="s">
        <v>1794</v>
      </c>
    </row>
    <row r="221" spans="2:65" s="1" customFormat="1" ht="11.25">
      <c r="B221" s="33"/>
      <c r="D221" s="146" t="s">
        <v>160</v>
      </c>
      <c r="F221" s="147" t="s">
        <v>1795</v>
      </c>
      <c r="I221" s="148"/>
      <c r="L221" s="33"/>
      <c r="M221" s="149"/>
      <c r="T221" s="54"/>
      <c r="AT221" s="18" t="s">
        <v>160</v>
      </c>
      <c r="AU221" s="18" t="s">
        <v>79</v>
      </c>
    </row>
    <row r="222" spans="2:65" s="1" customFormat="1" ht="16.5" customHeight="1">
      <c r="B222" s="132"/>
      <c r="C222" s="172" t="s">
        <v>367</v>
      </c>
      <c r="D222" s="172" t="s">
        <v>436</v>
      </c>
      <c r="E222" s="173" t="s">
        <v>1796</v>
      </c>
      <c r="F222" s="174" t="s">
        <v>1797</v>
      </c>
      <c r="G222" s="175" t="s">
        <v>676</v>
      </c>
      <c r="H222" s="176">
        <v>6</v>
      </c>
      <c r="I222" s="177"/>
      <c r="J222" s="178">
        <f>ROUND(I222*H222,2)</f>
        <v>0</v>
      </c>
      <c r="K222" s="174" t="s">
        <v>157</v>
      </c>
      <c r="L222" s="179"/>
      <c r="M222" s="180" t="s">
        <v>3</v>
      </c>
      <c r="N222" s="181" t="s">
        <v>40</v>
      </c>
      <c r="P222" s="142">
        <f>O222*H222</f>
        <v>0</v>
      </c>
      <c r="Q222" s="142">
        <v>8.0000000000000004E-4</v>
      </c>
      <c r="R222" s="142">
        <f>Q222*H222</f>
        <v>4.8000000000000004E-3</v>
      </c>
      <c r="S222" s="142">
        <v>0</v>
      </c>
      <c r="T222" s="143">
        <f>S222*H222</f>
        <v>0</v>
      </c>
      <c r="AR222" s="144" t="s">
        <v>214</v>
      </c>
      <c r="AT222" s="144" t="s">
        <v>436</v>
      </c>
      <c r="AU222" s="144" t="s">
        <v>79</v>
      </c>
      <c r="AY222" s="18" t="s">
        <v>151</v>
      </c>
      <c r="BE222" s="145">
        <f>IF(N222="základní",J222,0)</f>
        <v>0</v>
      </c>
      <c r="BF222" s="145">
        <f>IF(N222="snížená",J222,0)</f>
        <v>0</v>
      </c>
      <c r="BG222" s="145">
        <f>IF(N222="zákl. přenesená",J222,0)</f>
        <v>0</v>
      </c>
      <c r="BH222" s="145">
        <f>IF(N222="sníž. přenesená",J222,0)</f>
        <v>0</v>
      </c>
      <c r="BI222" s="145">
        <f>IF(N222="nulová",J222,0)</f>
        <v>0</v>
      </c>
      <c r="BJ222" s="18" t="s">
        <v>77</v>
      </c>
      <c r="BK222" s="145">
        <f>ROUND(I222*H222,2)</f>
        <v>0</v>
      </c>
      <c r="BL222" s="18" t="s">
        <v>158</v>
      </c>
      <c r="BM222" s="144" t="s">
        <v>1798</v>
      </c>
    </row>
    <row r="223" spans="2:65" s="1" customFormat="1" ht="16.5" customHeight="1">
      <c r="B223" s="132"/>
      <c r="C223" s="172" t="s">
        <v>373</v>
      </c>
      <c r="D223" s="172" t="s">
        <v>436</v>
      </c>
      <c r="E223" s="173" t="s">
        <v>1799</v>
      </c>
      <c r="F223" s="174" t="s">
        <v>1800</v>
      </c>
      <c r="G223" s="175" t="s">
        <v>676</v>
      </c>
      <c r="H223" s="176">
        <v>2</v>
      </c>
      <c r="I223" s="177"/>
      <c r="J223" s="178">
        <f>ROUND(I223*H223,2)</f>
        <v>0</v>
      </c>
      <c r="K223" s="174" t="s">
        <v>157</v>
      </c>
      <c r="L223" s="179"/>
      <c r="M223" s="180" t="s">
        <v>3</v>
      </c>
      <c r="N223" s="181" t="s">
        <v>40</v>
      </c>
      <c r="P223" s="142">
        <f>O223*H223</f>
        <v>0</v>
      </c>
      <c r="Q223" s="142">
        <v>1E-3</v>
      </c>
      <c r="R223" s="142">
        <f>Q223*H223</f>
        <v>2E-3</v>
      </c>
      <c r="S223" s="142">
        <v>0</v>
      </c>
      <c r="T223" s="143">
        <f>S223*H223</f>
        <v>0</v>
      </c>
      <c r="AR223" s="144" t="s">
        <v>214</v>
      </c>
      <c r="AT223" s="144" t="s">
        <v>436</v>
      </c>
      <c r="AU223" s="144" t="s">
        <v>79</v>
      </c>
      <c r="AY223" s="18" t="s">
        <v>151</v>
      </c>
      <c r="BE223" s="145">
        <f>IF(N223="základní",J223,0)</f>
        <v>0</v>
      </c>
      <c r="BF223" s="145">
        <f>IF(N223="snížená",J223,0)</f>
        <v>0</v>
      </c>
      <c r="BG223" s="145">
        <f>IF(N223="zákl. přenesená",J223,0)</f>
        <v>0</v>
      </c>
      <c r="BH223" s="145">
        <f>IF(N223="sníž. přenesená",J223,0)</f>
        <v>0</v>
      </c>
      <c r="BI223" s="145">
        <f>IF(N223="nulová",J223,0)</f>
        <v>0</v>
      </c>
      <c r="BJ223" s="18" t="s">
        <v>77</v>
      </c>
      <c r="BK223" s="145">
        <f>ROUND(I223*H223,2)</f>
        <v>0</v>
      </c>
      <c r="BL223" s="18" t="s">
        <v>158</v>
      </c>
      <c r="BM223" s="144" t="s">
        <v>1801</v>
      </c>
    </row>
    <row r="224" spans="2:65" s="1" customFormat="1" ht="16.5" customHeight="1">
      <c r="B224" s="132"/>
      <c r="C224" s="172" t="s">
        <v>378</v>
      </c>
      <c r="D224" s="172" t="s">
        <v>436</v>
      </c>
      <c r="E224" s="173" t="s">
        <v>1802</v>
      </c>
      <c r="F224" s="174" t="s">
        <v>1803</v>
      </c>
      <c r="G224" s="175" t="s">
        <v>676</v>
      </c>
      <c r="H224" s="176">
        <v>3</v>
      </c>
      <c r="I224" s="177"/>
      <c r="J224" s="178">
        <f>ROUND(I224*H224,2)</f>
        <v>0</v>
      </c>
      <c r="K224" s="174" t="s">
        <v>157</v>
      </c>
      <c r="L224" s="179"/>
      <c r="M224" s="180" t="s">
        <v>3</v>
      </c>
      <c r="N224" s="181" t="s">
        <v>40</v>
      </c>
      <c r="P224" s="142">
        <f>O224*H224</f>
        <v>0</v>
      </c>
      <c r="Q224" s="142">
        <v>1E-3</v>
      </c>
      <c r="R224" s="142">
        <f>Q224*H224</f>
        <v>3.0000000000000001E-3</v>
      </c>
      <c r="S224" s="142">
        <v>0</v>
      </c>
      <c r="T224" s="143">
        <f>S224*H224</f>
        <v>0</v>
      </c>
      <c r="AR224" s="144" t="s">
        <v>214</v>
      </c>
      <c r="AT224" s="144" t="s">
        <v>436</v>
      </c>
      <c r="AU224" s="144" t="s">
        <v>79</v>
      </c>
      <c r="AY224" s="18" t="s">
        <v>151</v>
      </c>
      <c r="BE224" s="145">
        <f>IF(N224="základní",J224,0)</f>
        <v>0</v>
      </c>
      <c r="BF224" s="145">
        <f>IF(N224="snížená",J224,0)</f>
        <v>0</v>
      </c>
      <c r="BG224" s="145">
        <f>IF(N224="zákl. přenesená",J224,0)</f>
        <v>0</v>
      </c>
      <c r="BH224" s="145">
        <f>IF(N224="sníž. přenesená",J224,0)</f>
        <v>0</v>
      </c>
      <c r="BI224" s="145">
        <f>IF(N224="nulová",J224,0)</f>
        <v>0</v>
      </c>
      <c r="BJ224" s="18" t="s">
        <v>77</v>
      </c>
      <c r="BK224" s="145">
        <f>ROUND(I224*H224,2)</f>
        <v>0</v>
      </c>
      <c r="BL224" s="18" t="s">
        <v>158</v>
      </c>
      <c r="BM224" s="144" t="s">
        <v>1804</v>
      </c>
    </row>
    <row r="225" spans="2:65" s="1" customFormat="1" ht="16.5" customHeight="1">
      <c r="B225" s="132"/>
      <c r="C225" s="172" t="s">
        <v>384</v>
      </c>
      <c r="D225" s="172" t="s">
        <v>436</v>
      </c>
      <c r="E225" s="173" t="s">
        <v>1805</v>
      </c>
      <c r="F225" s="174" t="s">
        <v>1806</v>
      </c>
      <c r="G225" s="175" t="s">
        <v>676</v>
      </c>
      <c r="H225" s="176">
        <v>2</v>
      </c>
      <c r="I225" s="177"/>
      <c r="J225" s="178">
        <f>ROUND(I225*H225,2)</f>
        <v>0</v>
      </c>
      <c r="K225" s="174" t="s">
        <v>157</v>
      </c>
      <c r="L225" s="179"/>
      <c r="M225" s="180" t="s">
        <v>3</v>
      </c>
      <c r="N225" s="181" t="s">
        <v>40</v>
      </c>
      <c r="P225" s="142">
        <f>O225*H225</f>
        <v>0</v>
      </c>
      <c r="Q225" s="142">
        <v>8.0000000000000004E-4</v>
      </c>
      <c r="R225" s="142">
        <f>Q225*H225</f>
        <v>1.6000000000000001E-3</v>
      </c>
      <c r="S225" s="142">
        <v>0</v>
      </c>
      <c r="T225" s="143">
        <f>S225*H225</f>
        <v>0</v>
      </c>
      <c r="AR225" s="144" t="s">
        <v>214</v>
      </c>
      <c r="AT225" s="144" t="s">
        <v>436</v>
      </c>
      <c r="AU225" s="144" t="s">
        <v>79</v>
      </c>
      <c r="AY225" s="18" t="s">
        <v>151</v>
      </c>
      <c r="BE225" s="145">
        <f>IF(N225="základní",J225,0)</f>
        <v>0</v>
      </c>
      <c r="BF225" s="145">
        <f>IF(N225="snížená",J225,0)</f>
        <v>0</v>
      </c>
      <c r="BG225" s="145">
        <f>IF(N225="zákl. přenesená",J225,0)</f>
        <v>0</v>
      </c>
      <c r="BH225" s="145">
        <f>IF(N225="sníž. přenesená",J225,0)</f>
        <v>0</v>
      </c>
      <c r="BI225" s="145">
        <f>IF(N225="nulová",J225,0)</f>
        <v>0</v>
      </c>
      <c r="BJ225" s="18" t="s">
        <v>77</v>
      </c>
      <c r="BK225" s="145">
        <f>ROUND(I225*H225,2)</f>
        <v>0</v>
      </c>
      <c r="BL225" s="18" t="s">
        <v>158</v>
      </c>
      <c r="BM225" s="144" t="s">
        <v>1807</v>
      </c>
    </row>
    <row r="226" spans="2:65" s="1" customFormat="1" ht="16.5" customHeight="1">
      <c r="B226" s="132"/>
      <c r="C226" s="133" t="s">
        <v>808</v>
      </c>
      <c r="D226" s="133" t="s">
        <v>153</v>
      </c>
      <c r="E226" s="134" t="s">
        <v>1808</v>
      </c>
      <c r="F226" s="135" t="s">
        <v>1809</v>
      </c>
      <c r="G226" s="136" t="s">
        <v>676</v>
      </c>
      <c r="H226" s="137">
        <v>3</v>
      </c>
      <c r="I226" s="138"/>
      <c r="J226" s="139">
        <f>ROUND(I226*H226,2)</f>
        <v>0</v>
      </c>
      <c r="K226" s="135" t="s">
        <v>157</v>
      </c>
      <c r="L226" s="33"/>
      <c r="M226" s="140" t="s">
        <v>3</v>
      </c>
      <c r="N226" s="141" t="s">
        <v>40</v>
      </c>
      <c r="P226" s="142">
        <f>O226*H226</f>
        <v>0</v>
      </c>
      <c r="Q226" s="142">
        <v>1.5E-3</v>
      </c>
      <c r="R226" s="142">
        <f>Q226*H226</f>
        <v>4.5000000000000005E-3</v>
      </c>
      <c r="S226" s="142">
        <v>0</v>
      </c>
      <c r="T226" s="143">
        <f>S226*H226</f>
        <v>0</v>
      </c>
      <c r="AR226" s="144" t="s">
        <v>282</v>
      </c>
      <c r="AT226" s="144" t="s">
        <v>153</v>
      </c>
      <c r="AU226" s="144" t="s">
        <v>79</v>
      </c>
      <c r="AY226" s="18" t="s">
        <v>151</v>
      </c>
      <c r="BE226" s="145">
        <f>IF(N226="základní",J226,0)</f>
        <v>0</v>
      </c>
      <c r="BF226" s="145">
        <f>IF(N226="snížená",J226,0)</f>
        <v>0</v>
      </c>
      <c r="BG226" s="145">
        <f>IF(N226="zákl. přenesená",J226,0)</f>
        <v>0</v>
      </c>
      <c r="BH226" s="145">
        <f>IF(N226="sníž. přenesená",J226,0)</f>
        <v>0</v>
      </c>
      <c r="BI226" s="145">
        <f>IF(N226="nulová",J226,0)</f>
        <v>0</v>
      </c>
      <c r="BJ226" s="18" t="s">
        <v>77</v>
      </c>
      <c r="BK226" s="145">
        <f>ROUND(I226*H226,2)</f>
        <v>0</v>
      </c>
      <c r="BL226" s="18" t="s">
        <v>282</v>
      </c>
      <c r="BM226" s="144" t="s">
        <v>1810</v>
      </c>
    </row>
    <row r="227" spans="2:65" s="1" customFormat="1" ht="11.25">
      <c r="B227" s="33"/>
      <c r="D227" s="146" t="s">
        <v>160</v>
      </c>
      <c r="F227" s="147" t="s">
        <v>1811</v>
      </c>
      <c r="I227" s="148"/>
      <c r="L227" s="33"/>
      <c r="M227" s="149"/>
      <c r="T227" s="54"/>
      <c r="AT227" s="18" t="s">
        <v>160</v>
      </c>
      <c r="AU227" s="18" t="s">
        <v>79</v>
      </c>
    </row>
    <row r="228" spans="2:65" s="1" customFormat="1" ht="16.5" customHeight="1">
      <c r="B228" s="132"/>
      <c r="C228" s="133" t="s">
        <v>396</v>
      </c>
      <c r="D228" s="133" t="s">
        <v>153</v>
      </c>
      <c r="E228" s="134" t="s">
        <v>1812</v>
      </c>
      <c r="F228" s="135" t="s">
        <v>1813</v>
      </c>
      <c r="G228" s="136" t="s">
        <v>676</v>
      </c>
      <c r="H228" s="137">
        <v>1</v>
      </c>
      <c r="I228" s="138"/>
      <c r="J228" s="139">
        <f>ROUND(I228*H228,2)</f>
        <v>0</v>
      </c>
      <c r="K228" s="135" t="s">
        <v>157</v>
      </c>
      <c r="L228" s="33"/>
      <c r="M228" s="140" t="s">
        <v>3</v>
      </c>
      <c r="N228" s="141" t="s">
        <v>40</v>
      </c>
      <c r="P228" s="142">
        <f>O228*H228</f>
        <v>0</v>
      </c>
      <c r="Q228" s="142">
        <v>0.12526000000000001</v>
      </c>
      <c r="R228" s="142">
        <f>Q228*H228</f>
        <v>0.12526000000000001</v>
      </c>
      <c r="S228" s="142">
        <v>0</v>
      </c>
      <c r="T228" s="143">
        <f>S228*H228</f>
        <v>0</v>
      </c>
      <c r="AR228" s="144" t="s">
        <v>158</v>
      </c>
      <c r="AT228" s="144" t="s">
        <v>153</v>
      </c>
      <c r="AU228" s="144" t="s">
        <v>79</v>
      </c>
      <c r="AY228" s="18" t="s">
        <v>151</v>
      </c>
      <c r="BE228" s="145">
        <f>IF(N228="základní",J228,0)</f>
        <v>0</v>
      </c>
      <c r="BF228" s="145">
        <f>IF(N228="snížená",J228,0)</f>
        <v>0</v>
      </c>
      <c r="BG228" s="145">
        <f>IF(N228="zákl. přenesená",J228,0)</f>
        <v>0</v>
      </c>
      <c r="BH228" s="145">
        <f>IF(N228="sníž. přenesená",J228,0)</f>
        <v>0</v>
      </c>
      <c r="BI228" s="145">
        <f>IF(N228="nulová",J228,0)</f>
        <v>0</v>
      </c>
      <c r="BJ228" s="18" t="s">
        <v>77</v>
      </c>
      <c r="BK228" s="145">
        <f>ROUND(I228*H228,2)</f>
        <v>0</v>
      </c>
      <c r="BL228" s="18" t="s">
        <v>158</v>
      </c>
      <c r="BM228" s="144" t="s">
        <v>1814</v>
      </c>
    </row>
    <row r="229" spans="2:65" s="1" customFormat="1" ht="11.25">
      <c r="B229" s="33"/>
      <c r="D229" s="146" t="s">
        <v>160</v>
      </c>
      <c r="F229" s="147" t="s">
        <v>1815</v>
      </c>
      <c r="I229" s="148"/>
      <c r="L229" s="33"/>
      <c r="M229" s="149"/>
      <c r="T229" s="54"/>
      <c r="AT229" s="18" t="s">
        <v>160</v>
      </c>
      <c r="AU229" s="18" t="s">
        <v>79</v>
      </c>
    </row>
    <row r="230" spans="2:65" s="1" customFormat="1" ht="16.5" customHeight="1">
      <c r="B230" s="132"/>
      <c r="C230" s="172" t="s">
        <v>202</v>
      </c>
      <c r="D230" s="172" t="s">
        <v>436</v>
      </c>
      <c r="E230" s="173" t="s">
        <v>1816</v>
      </c>
      <c r="F230" s="174" t="s">
        <v>1817</v>
      </c>
      <c r="G230" s="175" t="s">
        <v>676</v>
      </c>
      <c r="H230" s="176">
        <v>1</v>
      </c>
      <c r="I230" s="177"/>
      <c r="J230" s="178">
        <f>ROUND(I230*H230,2)</f>
        <v>0</v>
      </c>
      <c r="K230" s="174" t="s">
        <v>157</v>
      </c>
      <c r="L230" s="179"/>
      <c r="M230" s="180" t="s">
        <v>3</v>
      </c>
      <c r="N230" s="181" t="s">
        <v>40</v>
      </c>
      <c r="P230" s="142">
        <f>O230*H230</f>
        <v>0</v>
      </c>
      <c r="Q230" s="142">
        <v>0.17499999999999999</v>
      </c>
      <c r="R230" s="142">
        <f>Q230*H230</f>
        <v>0.17499999999999999</v>
      </c>
      <c r="S230" s="142">
        <v>0</v>
      </c>
      <c r="T230" s="143">
        <f>S230*H230</f>
        <v>0</v>
      </c>
      <c r="AR230" s="144" t="s">
        <v>214</v>
      </c>
      <c r="AT230" s="144" t="s">
        <v>436</v>
      </c>
      <c r="AU230" s="144" t="s">
        <v>79</v>
      </c>
      <c r="AY230" s="18" t="s">
        <v>151</v>
      </c>
      <c r="BE230" s="145">
        <f>IF(N230="základní",J230,0)</f>
        <v>0</v>
      </c>
      <c r="BF230" s="145">
        <f>IF(N230="snížená",J230,0)</f>
        <v>0</v>
      </c>
      <c r="BG230" s="145">
        <f>IF(N230="zákl. přenesená",J230,0)</f>
        <v>0</v>
      </c>
      <c r="BH230" s="145">
        <f>IF(N230="sníž. přenesená",J230,0)</f>
        <v>0</v>
      </c>
      <c r="BI230" s="145">
        <f>IF(N230="nulová",J230,0)</f>
        <v>0</v>
      </c>
      <c r="BJ230" s="18" t="s">
        <v>77</v>
      </c>
      <c r="BK230" s="145">
        <f>ROUND(I230*H230,2)</f>
        <v>0</v>
      </c>
      <c r="BL230" s="18" t="s">
        <v>158</v>
      </c>
      <c r="BM230" s="144" t="s">
        <v>1818</v>
      </c>
    </row>
    <row r="231" spans="2:65" s="1" customFormat="1" ht="16.5" customHeight="1">
      <c r="B231" s="132"/>
      <c r="C231" s="133" t="s">
        <v>405</v>
      </c>
      <c r="D231" s="133" t="s">
        <v>153</v>
      </c>
      <c r="E231" s="134" t="s">
        <v>1819</v>
      </c>
      <c r="F231" s="135" t="s">
        <v>1820</v>
      </c>
      <c r="G231" s="136" t="s">
        <v>676</v>
      </c>
      <c r="H231" s="137">
        <v>1</v>
      </c>
      <c r="I231" s="138"/>
      <c r="J231" s="139">
        <f>ROUND(I231*H231,2)</f>
        <v>0</v>
      </c>
      <c r="K231" s="135" t="s">
        <v>157</v>
      </c>
      <c r="L231" s="33"/>
      <c r="M231" s="140" t="s">
        <v>3</v>
      </c>
      <c r="N231" s="141" t="s">
        <v>40</v>
      </c>
      <c r="P231" s="142">
        <f>O231*H231</f>
        <v>0</v>
      </c>
      <c r="Q231" s="142">
        <v>3.0759999999999999E-2</v>
      </c>
      <c r="R231" s="142">
        <f>Q231*H231</f>
        <v>3.0759999999999999E-2</v>
      </c>
      <c r="S231" s="142">
        <v>0</v>
      </c>
      <c r="T231" s="143">
        <f>S231*H231</f>
        <v>0</v>
      </c>
      <c r="AR231" s="144" t="s">
        <v>158</v>
      </c>
      <c r="AT231" s="144" t="s">
        <v>153</v>
      </c>
      <c r="AU231" s="144" t="s">
        <v>79</v>
      </c>
      <c r="AY231" s="18" t="s">
        <v>151</v>
      </c>
      <c r="BE231" s="145">
        <f>IF(N231="základní",J231,0)</f>
        <v>0</v>
      </c>
      <c r="BF231" s="145">
        <f>IF(N231="snížená",J231,0)</f>
        <v>0</v>
      </c>
      <c r="BG231" s="145">
        <f>IF(N231="zákl. přenesená",J231,0)</f>
        <v>0</v>
      </c>
      <c r="BH231" s="145">
        <f>IF(N231="sníž. přenesená",J231,0)</f>
        <v>0</v>
      </c>
      <c r="BI231" s="145">
        <f>IF(N231="nulová",J231,0)</f>
        <v>0</v>
      </c>
      <c r="BJ231" s="18" t="s">
        <v>77</v>
      </c>
      <c r="BK231" s="145">
        <f>ROUND(I231*H231,2)</f>
        <v>0</v>
      </c>
      <c r="BL231" s="18" t="s">
        <v>158</v>
      </c>
      <c r="BM231" s="144" t="s">
        <v>1821</v>
      </c>
    </row>
    <row r="232" spans="2:65" s="1" customFormat="1" ht="11.25">
      <c r="B232" s="33"/>
      <c r="D232" s="146" t="s">
        <v>160</v>
      </c>
      <c r="F232" s="147" t="s">
        <v>1822</v>
      </c>
      <c r="I232" s="148"/>
      <c r="L232" s="33"/>
      <c r="M232" s="149"/>
      <c r="T232" s="54"/>
      <c r="AT232" s="18" t="s">
        <v>160</v>
      </c>
      <c r="AU232" s="18" t="s">
        <v>79</v>
      </c>
    </row>
    <row r="233" spans="2:65" s="1" customFormat="1" ht="16.5" customHeight="1">
      <c r="B233" s="132"/>
      <c r="C233" s="172" t="s">
        <v>410</v>
      </c>
      <c r="D233" s="172" t="s">
        <v>436</v>
      </c>
      <c r="E233" s="173" t="s">
        <v>1823</v>
      </c>
      <c r="F233" s="174" t="s">
        <v>1824</v>
      </c>
      <c r="G233" s="175" t="s">
        <v>676</v>
      </c>
      <c r="H233" s="176">
        <v>1</v>
      </c>
      <c r="I233" s="177"/>
      <c r="J233" s="178">
        <f>ROUND(I233*H233,2)</f>
        <v>0</v>
      </c>
      <c r="K233" s="174" t="s">
        <v>157</v>
      </c>
      <c r="L233" s="179"/>
      <c r="M233" s="180" t="s">
        <v>3</v>
      </c>
      <c r="N233" s="181" t="s">
        <v>40</v>
      </c>
      <c r="P233" s="142">
        <f>O233*H233</f>
        <v>0</v>
      </c>
      <c r="Q233" s="142">
        <v>7.0000000000000007E-2</v>
      </c>
      <c r="R233" s="142">
        <f>Q233*H233</f>
        <v>7.0000000000000007E-2</v>
      </c>
      <c r="S233" s="142">
        <v>0</v>
      </c>
      <c r="T233" s="143">
        <f>S233*H233</f>
        <v>0</v>
      </c>
      <c r="AR233" s="144" t="s">
        <v>214</v>
      </c>
      <c r="AT233" s="144" t="s">
        <v>436</v>
      </c>
      <c r="AU233" s="144" t="s">
        <v>79</v>
      </c>
      <c r="AY233" s="18" t="s">
        <v>151</v>
      </c>
      <c r="BE233" s="145">
        <f>IF(N233="základní",J233,0)</f>
        <v>0</v>
      </c>
      <c r="BF233" s="145">
        <f>IF(N233="snížená",J233,0)</f>
        <v>0</v>
      </c>
      <c r="BG233" s="145">
        <f>IF(N233="zákl. přenesená",J233,0)</f>
        <v>0</v>
      </c>
      <c r="BH233" s="145">
        <f>IF(N233="sníž. přenesená",J233,0)</f>
        <v>0</v>
      </c>
      <c r="BI233" s="145">
        <f>IF(N233="nulová",J233,0)</f>
        <v>0</v>
      </c>
      <c r="BJ233" s="18" t="s">
        <v>77</v>
      </c>
      <c r="BK233" s="145">
        <f>ROUND(I233*H233,2)</f>
        <v>0</v>
      </c>
      <c r="BL233" s="18" t="s">
        <v>158</v>
      </c>
      <c r="BM233" s="144" t="s">
        <v>1825</v>
      </c>
    </row>
    <row r="234" spans="2:65" s="1" customFormat="1" ht="16.5" customHeight="1">
      <c r="B234" s="132"/>
      <c r="C234" s="172" t="s">
        <v>416</v>
      </c>
      <c r="D234" s="172" t="s">
        <v>436</v>
      </c>
      <c r="E234" s="173" t="s">
        <v>1826</v>
      </c>
      <c r="F234" s="174" t="s">
        <v>1827</v>
      </c>
      <c r="G234" s="175" t="s">
        <v>676</v>
      </c>
      <c r="H234" s="176">
        <v>1</v>
      </c>
      <c r="I234" s="177"/>
      <c r="J234" s="178">
        <f>ROUND(I234*H234,2)</f>
        <v>0</v>
      </c>
      <c r="K234" s="174" t="s">
        <v>157</v>
      </c>
      <c r="L234" s="179"/>
      <c r="M234" s="180" t="s">
        <v>3</v>
      </c>
      <c r="N234" s="181" t="s">
        <v>40</v>
      </c>
      <c r="P234" s="142">
        <f>O234*H234</f>
        <v>0</v>
      </c>
      <c r="Q234" s="142">
        <v>7.3999999999999996E-2</v>
      </c>
      <c r="R234" s="142">
        <f>Q234*H234</f>
        <v>7.3999999999999996E-2</v>
      </c>
      <c r="S234" s="142">
        <v>0</v>
      </c>
      <c r="T234" s="143">
        <f>S234*H234</f>
        <v>0</v>
      </c>
      <c r="AR234" s="144" t="s">
        <v>214</v>
      </c>
      <c r="AT234" s="144" t="s">
        <v>436</v>
      </c>
      <c r="AU234" s="144" t="s">
        <v>79</v>
      </c>
      <c r="AY234" s="18" t="s">
        <v>151</v>
      </c>
      <c r="BE234" s="145">
        <f>IF(N234="základní",J234,0)</f>
        <v>0</v>
      </c>
      <c r="BF234" s="145">
        <f>IF(N234="snížená",J234,0)</f>
        <v>0</v>
      </c>
      <c r="BG234" s="145">
        <f>IF(N234="zákl. přenesená",J234,0)</f>
        <v>0</v>
      </c>
      <c r="BH234" s="145">
        <f>IF(N234="sníž. přenesená",J234,0)</f>
        <v>0</v>
      </c>
      <c r="BI234" s="145">
        <f>IF(N234="nulová",J234,0)</f>
        <v>0</v>
      </c>
      <c r="BJ234" s="18" t="s">
        <v>77</v>
      </c>
      <c r="BK234" s="145">
        <f>ROUND(I234*H234,2)</f>
        <v>0</v>
      </c>
      <c r="BL234" s="18" t="s">
        <v>158</v>
      </c>
      <c r="BM234" s="144" t="s">
        <v>1828</v>
      </c>
    </row>
    <row r="235" spans="2:65" s="1" customFormat="1" ht="16.5" customHeight="1">
      <c r="B235" s="132"/>
      <c r="C235" s="133" t="s">
        <v>423</v>
      </c>
      <c r="D235" s="133" t="s">
        <v>153</v>
      </c>
      <c r="E235" s="134" t="s">
        <v>1829</v>
      </c>
      <c r="F235" s="135" t="s">
        <v>1830</v>
      </c>
      <c r="G235" s="136" t="s">
        <v>676</v>
      </c>
      <c r="H235" s="137">
        <v>1</v>
      </c>
      <c r="I235" s="138"/>
      <c r="J235" s="139">
        <f>ROUND(I235*H235,2)</f>
        <v>0</v>
      </c>
      <c r="K235" s="135" t="s">
        <v>157</v>
      </c>
      <c r="L235" s="33"/>
      <c r="M235" s="140" t="s">
        <v>3</v>
      </c>
      <c r="N235" s="141" t="s">
        <v>40</v>
      </c>
      <c r="P235" s="142">
        <f>O235*H235</f>
        <v>0</v>
      </c>
      <c r="Q235" s="142">
        <v>3.0759999999999999E-2</v>
      </c>
      <c r="R235" s="142">
        <f>Q235*H235</f>
        <v>3.0759999999999999E-2</v>
      </c>
      <c r="S235" s="142">
        <v>0</v>
      </c>
      <c r="T235" s="143">
        <f>S235*H235</f>
        <v>0</v>
      </c>
      <c r="AR235" s="144" t="s">
        <v>158</v>
      </c>
      <c r="AT235" s="144" t="s">
        <v>153</v>
      </c>
      <c r="AU235" s="144" t="s">
        <v>79</v>
      </c>
      <c r="AY235" s="18" t="s">
        <v>151</v>
      </c>
      <c r="BE235" s="145">
        <f>IF(N235="základní",J235,0)</f>
        <v>0</v>
      </c>
      <c r="BF235" s="145">
        <f>IF(N235="snížená",J235,0)</f>
        <v>0</v>
      </c>
      <c r="BG235" s="145">
        <f>IF(N235="zákl. přenesená",J235,0)</f>
        <v>0</v>
      </c>
      <c r="BH235" s="145">
        <f>IF(N235="sníž. přenesená",J235,0)</f>
        <v>0</v>
      </c>
      <c r="BI235" s="145">
        <f>IF(N235="nulová",J235,0)</f>
        <v>0</v>
      </c>
      <c r="BJ235" s="18" t="s">
        <v>77</v>
      </c>
      <c r="BK235" s="145">
        <f>ROUND(I235*H235,2)</f>
        <v>0</v>
      </c>
      <c r="BL235" s="18" t="s">
        <v>158</v>
      </c>
      <c r="BM235" s="144" t="s">
        <v>1831</v>
      </c>
    </row>
    <row r="236" spans="2:65" s="1" customFormat="1" ht="11.25">
      <c r="B236" s="33"/>
      <c r="D236" s="146" t="s">
        <v>160</v>
      </c>
      <c r="F236" s="147" t="s">
        <v>1832</v>
      </c>
      <c r="I236" s="148"/>
      <c r="L236" s="33"/>
      <c r="M236" s="149"/>
      <c r="T236" s="54"/>
      <c r="AT236" s="18" t="s">
        <v>160</v>
      </c>
      <c r="AU236" s="18" t="s">
        <v>79</v>
      </c>
    </row>
    <row r="237" spans="2:65" s="1" customFormat="1" ht="16.5" customHeight="1">
      <c r="B237" s="132"/>
      <c r="C237" s="172" t="s">
        <v>440</v>
      </c>
      <c r="D237" s="172" t="s">
        <v>436</v>
      </c>
      <c r="E237" s="173" t="s">
        <v>1833</v>
      </c>
      <c r="F237" s="174" t="s">
        <v>1834</v>
      </c>
      <c r="G237" s="175" t="s">
        <v>676</v>
      </c>
      <c r="H237" s="176">
        <v>1</v>
      </c>
      <c r="I237" s="177"/>
      <c r="J237" s="178">
        <f>ROUND(I237*H237,2)</f>
        <v>0</v>
      </c>
      <c r="K237" s="174" t="s">
        <v>157</v>
      </c>
      <c r="L237" s="179"/>
      <c r="M237" s="180" t="s">
        <v>3</v>
      </c>
      <c r="N237" s="181" t="s">
        <v>40</v>
      </c>
      <c r="P237" s="142">
        <f>O237*H237</f>
        <v>0</v>
      </c>
      <c r="Q237" s="142">
        <v>0.17</v>
      </c>
      <c r="R237" s="142">
        <f>Q237*H237</f>
        <v>0.17</v>
      </c>
      <c r="S237" s="142">
        <v>0</v>
      </c>
      <c r="T237" s="143">
        <f>S237*H237</f>
        <v>0</v>
      </c>
      <c r="AR237" s="144" t="s">
        <v>214</v>
      </c>
      <c r="AT237" s="144" t="s">
        <v>436</v>
      </c>
      <c r="AU237" s="144" t="s">
        <v>79</v>
      </c>
      <c r="AY237" s="18" t="s">
        <v>151</v>
      </c>
      <c r="BE237" s="145">
        <f>IF(N237="základní",J237,0)</f>
        <v>0</v>
      </c>
      <c r="BF237" s="145">
        <f>IF(N237="snížená",J237,0)</f>
        <v>0</v>
      </c>
      <c r="BG237" s="145">
        <f>IF(N237="zákl. přenesená",J237,0)</f>
        <v>0</v>
      </c>
      <c r="BH237" s="145">
        <f>IF(N237="sníž. přenesená",J237,0)</f>
        <v>0</v>
      </c>
      <c r="BI237" s="145">
        <f>IF(N237="nulová",J237,0)</f>
        <v>0</v>
      </c>
      <c r="BJ237" s="18" t="s">
        <v>77</v>
      </c>
      <c r="BK237" s="145">
        <f>ROUND(I237*H237,2)</f>
        <v>0</v>
      </c>
      <c r="BL237" s="18" t="s">
        <v>158</v>
      </c>
      <c r="BM237" s="144" t="s">
        <v>1835</v>
      </c>
    </row>
    <row r="238" spans="2:65" s="1" customFormat="1" ht="16.5" customHeight="1">
      <c r="B238" s="132"/>
      <c r="C238" s="133" t="s">
        <v>476</v>
      </c>
      <c r="D238" s="133" t="s">
        <v>153</v>
      </c>
      <c r="E238" s="134" t="s">
        <v>1836</v>
      </c>
      <c r="F238" s="135" t="s">
        <v>1837</v>
      </c>
      <c r="G238" s="136" t="s">
        <v>676</v>
      </c>
      <c r="H238" s="137">
        <v>1</v>
      </c>
      <c r="I238" s="138"/>
      <c r="J238" s="139">
        <f>ROUND(I238*H238,2)</f>
        <v>0</v>
      </c>
      <c r="K238" s="135" t="s">
        <v>3</v>
      </c>
      <c r="L238" s="33"/>
      <c r="M238" s="140" t="s">
        <v>3</v>
      </c>
      <c r="N238" s="141" t="s">
        <v>40</v>
      </c>
      <c r="P238" s="142">
        <f>O238*H238</f>
        <v>0</v>
      </c>
      <c r="Q238" s="142">
        <v>3.0759999999999999E-2</v>
      </c>
      <c r="R238" s="142">
        <f>Q238*H238</f>
        <v>3.0759999999999999E-2</v>
      </c>
      <c r="S238" s="142">
        <v>0</v>
      </c>
      <c r="T238" s="143">
        <f>S238*H238</f>
        <v>0</v>
      </c>
      <c r="AR238" s="144" t="s">
        <v>158</v>
      </c>
      <c r="AT238" s="144" t="s">
        <v>153</v>
      </c>
      <c r="AU238" s="144" t="s">
        <v>79</v>
      </c>
      <c r="AY238" s="18" t="s">
        <v>151</v>
      </c>
      <c r="BE238" s="145">
        <f>IF(N238="základní",J238,0)</f>
        <v>0</v>
      </c>
      <c r="BF238" s="145">
        <f>IF(N238="snížená",J238,0)</f>
        <v>0</v>
      </c>
      <c r="BG238" s="145">
        <f>IF(N238="zákl. přenesená",J238,0)</f>
        <v>0</v>
      </c>
      <c r="BH238" s="145">
        <f>IF(N238="sníž. přenesená",J238,0)</f>
        <v>0</v>
      </c>
      <c r="BI238" s="145">
        <f>IF(N238="nulová",J238,0)</f>
        <v>0</v>
      </c>
      <c r="BJ238" s="18" t="s">
        <v>77</v>
      </c>
      <c r="BK238" s="145">
        <f>ROUND(I238*H238,2)</f>
        <v>0</v>
      </c>
      <c r="BL238" s="18" t="s">
        <v>158</v>
      </c>
      <c r="BM238" s="144" t="s">
        <v>1838</v>
      </c>
    </row>
    <row r="239" spans="2:65" s="1" customFormat="1" ht="117">
      <c r="B239" s="33"/>
      <c r="D239" s="151" t="s">
        <v>219</v>
      </c>
      <c r="F239" s="171" t="s">
        <v>1839</v>
      </c>
      <c r="I239" s="148"/>
      <c r="L239" s="33"/>
      <c r="M239" s="149"/>
      <c r="T239" s="54"/>
      <c r="AT239" s="18" t="s">
        <v>219</v>
      </c>
      <c r="AU239" s="18" t="s">
        <v>79</v>
      </c>
    </row>
    <row r="240" spans="2:65" s="1" customFormat="1" ht="16.5" customHeight="1">
      <c r="B240" s="132"/>
      <c r="C240" s="133" t="s">
        <v>481</v>
      </c>
      <c r="D240" s="133" t="s">
        <v>153</v>
      </c>
      <c r="E240" s="134" t="s">
        <v>1840</v>
      </c>
      <c r="F240" s="135" t="s">
        <v>1841</v>
      </c>
      <c r="G240" s="136" t="s">
        <v>676</v>
      </c>
      <c r="H240" s="137">
        <v>1</v>
      </c>
      <c r="I240" s="138"/>
      <c r="J240" s="139">
        <f>ROUND(I240*H240,2)</f>
        <v>0</v>
      </c>
      <c r="K240" s="135" t="s">
        <v>3</v>
      </c>
      <c r="L240" s="33"/>
      <c r="M240" s="140" t="s">
        <v>3</v>
      </c>
      <c r="N240" s="141" t="s">
        <v>40</v>
      </c>
      <c r="P240" s="142">
        <f>O240*H240</f>
        <v>0</v>
      </c>
      <c r="Q240" s="142">
        <v>3.0759999999999999E-2</v>
      </c>
      <c r="R240" s="142">
        <f>Q240*H240</f>
        <v>3.0759999999999999E-2</v>
      </c>
      <c r="S240" s="142">
        <v>0</v>
      </c>
      <c r="T240" s="143">
        <f>S240*H240</f>
        <v>0</v>
      </c>
      <c r="AR240" s="144" t="s">
        <v>158</v>
      </c>
      <c r="AT240" s="144" t="s">
        <v>153</v>
      </c>
      <c r="AU240" s="144" t="s">
        <v>79</v>
      </c>
      <c r="AY240" s="18" t="s">
        <v>151</v>
      </c>
      <c r="BE240" s="145">
        <f>IF(N240="základní",J240,0)</f>
        <v>0</v>
      </c>
      <c r="BF240" s="145">
        <f>IF(N240="snížená",J240,0)</f>
        <v>0</v>
      </c>
      <c r="BG240" s="145">
        <f>IF(N240="zákl. přenesená",J240,0)</f>
        <v>0</v>
      </c>
      <c r="BH240" s="145">
        <f>IF(N240="sníž. přenesená",J240,0)</f>
        <v>0</v>
      </c>
      <c r="BI240" s="145">
        <f>IF(N240="nulová",J240,0)</f>
        <v>0</v>
      </c>
      <c r="BJ240" s="18" t="s">
        <v>77</v>
      </c>
      <c r="BK240" s="145">
        <f>ROUND(I240*H240,2)</f>
        <v>0</v>
      </c>
      <c r="BL240" s="18" t="s">
        <v>158</v>
      </c>
      <c r="BM240" s="144" t="s">
        <v>1842</v>
      </c>
    </row>
    <row r="241" spans="2:65" s="1" customFormat="1" ht="117">
      <c r="B241" s="33"/>
      <c r="D241" s="151" t="s">
        <v>219</v>
      </c>
      <c r="F241" s="171" t="s">
        <v>1843</v>
      </c>
      <c r="I241" s="148"/>
      <c r="L241" s="33"/>
      <c r="M241" s="149"/>
      <c r="T241" s="54"/>
      <c r="AT241" s="18" t="s">
        <v>219</v>
      </c>
      <c r="AU241" s="18" t="s">
        <v>79</v>
      </c>
    </row>
    <row r="242" spans="2:65" s="1" customFormat="1" ht="16.5" customHeight="1">
      <c r="B242" s="132"/>
      <c r="C242" s="133" t="s">
        <v>486</v>
      </c>
      <c r="D242" s="133" t="s">
        <v>153</v>
      </c>
      <c r="E242" s="134" t="s">
        <v>1844</v>
      </c>
      <c r="F242" s="135" t="s">
        <v>1845</v>
      </c>
      <c r="G242" s="136" t="s">
        <v>676</v>
      </c>
      <c r="H242" s="137">
        <v>1</v>
      </c>
      <c r="I242" s="138"/>
      <c r="J242" s="139">
        <f>ROUND(I242*H242,2)</f>
        <v>0</v>
      </c>
      <c r="K242" s="135" t="s">
        <v>3</v>
      </c>
      <c r="L242" s="33"/>
      <c r="M242" s="140" t="s">
        <v>3</v>
      </c>
      <c r="N242" s="141" t="s">
        <v>40</v>
      </c>
      <c r="P242" s="142">
        <f>O242*H242</f>
        <v>0</v>
      </c>
      <c r="Q242" s="142">
        <v>3.0759999999999999E-2</v>
      </c>
      <c r="R242" s="142">
        <f>Q242*H242</f>
        <v>3.0759999999999999E-2</v>
      </c>
      <c r="S242" s="142">
        <v>0</v>
      </c>
      <c r="T242" s="143">
        <f>S242*H242</f>
        <v>0</v>
      </c>
      <c r="AR242" s="144" t="s">
        <v>158</v>
      </c>
      <c r="AT242" s="144" t="s">
        <v>153</v>
      </c>
      <c r="AU242" s="144" t="s">
        <v>79</v>
      </c>
      <c r="AY242" s="18" t="s">
        <v>151</v>
      </c>
      <c r="BE242" s="145">
        <f>IF(N242="základní",J242,0)</f>
        <v>0</v>
      </c>
      <c r="BF242" s="145">
        <f>IF(N242="snížená",J242,0)</f>
        <v>0</v>
      </c>
      <c r="BG242" s="145">
        <f>IF(N242="zákl. přenesená",J242,0)</f>
        <v>0</v>
      </c>
      <c r="BH242" s="145">
        <f>IF(N242="sníž. přenesená",J242,0)</f>
        <v>0</v>
      </c>
      <c r="BI242" s="145">
        <f>IF(N242="nulová",J242,0)</f>
        <v>0</v>
      </c>
      <c r="BJ242" s="18" t="s">
        <v>77</v>
      </c>
      <c r="BK242" s="145">
        <f>ROUND(I242*H242,2)</f>
        <v>0</v>
      </c>
      <c r="BL242" s="18" t="s">
        <v>158</v>
      </c>
      <c r="BM242" s="144" t="s">
        <v>1846</v>
      </c>
    </row>
    <row r="243" spans="2:65" s="1" customFormat="1" ht="19.5">
      <c r="B243" s="33"/>
      <c r="D243" s="151" t="s">
        <v>219</v>
      </c>
      <c r="F243" s="171" t="s">
        <v>1847</v>
      </c>
      <c r="I243" s="148"/>
      <c r="L243" s="33"/>
      <c r="M243" s="149"/>
      <c r="T243" s="54"/>
      <c r="AT243" s="18" t="s">
        <v>219</v>
      </c>
      <c r="AU243" s="18" t="s">
        <v>79</v>
      </c>
    </row>
    <row r="244" spans="2:65" s="1" customFormat="1" ht="16.5" customHeight="1">
      <c r="B244" s="132"/>
      <c r="C244" s="133" t="s">
        <v>490</v>
      </c>
      <c r="D244" s="133" t="s">
        <v>153</v>
      </c>
      <c r="E244" s="134" t="s">
        <v>1848</v>
      </c>
      <c r="F244" s="135" t="s">
        <v>1849</v>
      </c>
      <c r="G244" s="136" t="s">
        <v>676</v>
      </c>
      <c r="H244" s="137">
        <v>1</v>
      </c>
      <c r="I244" s="138"/>
      <c r="J244" s="139">
        <f>ROUND(I244*H244,2)</f>
        <v>0</v>
      </c>
      <c r="K244" s="135" t="s">
        <v>3</v>
      </c>
      <c r="L244" s="33"/>
      <c r="M244" s="140" t="s">
        <v>3</v>
      </c>
      <c r="N244" s="141" t="s">
        <v>40</v>
      </c>
      <c r="P244" s="142">
        <f>O244*H244</f>
        <v>0</v>
      </c>
      <c r="Q244" s="142">
        <v>3.0759999999999999E-2</v>
      </c>
      <c r="R244" s="142">
        <f>Q244*H244</f>
        <v>3.0759999999999999E-2</v>
      </c>
      <c r="S244" s="142">
        <v>0</v>
      </c>
      <c r="T244" s="143">
        <f>S244*H244</f>
        <v>0</v>
      </c>
      <c r="AR244" s="144" t="s">
        <v>158</v>
      </c>
      <c r="AT244" s="144" t="s">
        <v>153</v>
      </c>
      <c r="AU244" s="144" t="s">
        <v>79</v>
      </c>
      <c r="AY244" s="18" t="s">
        <v>151</v>
      </c>
      <c r="BE244" s="145">
        <f>IF(N244="základní",J244,0)</f>
        <v>0</v>
      </c>
      <c r="BF244" s="145">
        <f>IF(N244="snížená",J244,0)</f>
        <v>0</v>
      </c>
      <c r="BG244" s="145">
        <f>IF(N244="zákl. přenesená",J244,0)</f>
        <v>0</v>
      </c>
      <c r="BH244" s="145">
        <f>IF(N244="sníž. přenesená",J244,0)</f>
        <v>0</v>
      </c>
      <c r="BI244" s="145">
        <f>IF(N244="nulová",J244,0)</f>
        <v>0</v>
      </c>
      <c r="BJ244" s="18" t="s">
        <v>77</v>
      </c>
      <c r="BK244" s="145">
        <f>ROUND(I244*H244,2)</f>
        <v>0</v>
      </c>
      <c r="BL244" s="18" t="s">
        <v>158</v>
      </c>
      <c r="BM244" s="144" t="s">
        <v>1850</v>
      </c>
    </row>
    <row r="245" spans="2:65" s="1" customFormat="1" ht="19.5">
      <c r="B245" s="33"/>
      <c r="D245" s="151" t="s">
        <v>219</v>
      </c>
      <c r="F245" s="171" t="s">
        <v>1851</v>
      </c>
      <c r="I245" s="148"/>
      <c r="L245" s="33"/>
      <c r="M245" s="149"/>
      <c r="T245" s="54"/>
      <c r="AT245" s="18" t="s">
        <v>219</v>
      </c>
      <c r="AU245" s="18" t="s">
        <v>79</v>
      </c>
    </row>
    <row r="246" spans="2:65" s="1" customFormat="1" ht="16.5" customHeight="1">
      <c r="B246" s="132"/>
      <c r="C246" s="133" t="s">
        <v>495</v>
      </c>
      <c r="D246" s="133" t="s">
        <v>153</v>
      </c>
      <c r="E246" s="134" t="s">
        <v>1852</v>
      </c>
      <c r="F246" s="135" t="s">
        <v>1853</v>
      </c>
      <c r="G246" s="136" t="s">
        <v>676</v>
      </c>
      <c r="H246" s="137">
        <v>1</v>
      </c>
      <c r="I246" s="138"/>
      <c r="J246" s="139">
        <f>ROUND(I246*H246,2)</f>
        <v>0</v>
      </c>
      <c r="K246" s="135" t="s">
        <v>3</v>
      </c>
      <c r="L246" s="33"/>
      <c r="M246" s="140" t="s">
        <v>3</v>
      </c>
      <c r="N246" s="141" t="s">
        <v>40</v>
      </c>
      <c r="P246" s="142">
        <f>O246*H246</f>
        <v>0</v>
      </c>
      <c r="Q246" s="142">
        <v>3.0759999999999999E-2</v>
      </c>
      <c r="R246" s="142">
        <f>Q246*H246</f>
        <v>3.0759999999999999E-2</v>
      </c>
      <c r="S246" s="142">
        <v>0</v>
      </c>
      <c r="T246" s="143">
        <f>S246*H246</f>
        <v>0</v>
      </c>
      <c r="AR246" s="144" t="s">
        <v>158</v>
      </c>
      <c r="AT246" s="144" t="s">
        <v>153</v>
      </c>
      <c r="AU246" s="144" t="s">
        <v>79</v>
      </c>
      <c r="AY246" s="18" t="s">
        <v>151</v>
      </c>
      <c r="BE246" s="145">
        <f>IF(N246="základní",J246,0)</f>
        <v>0</v>
      </c>
      <c r="BF246" s="145">
        <f>IF(N246="snížená",J246,0)</f>
        <v>0</v>
      </c>
      <c r="BG246" s="145">
        <f>IF(N246="zákl. přenesená",J246,0)</f>
        <v>0</v>
      </c>
      <c r="BH246" s="145">
        <f>IF(N246="sníž. přenesená",J246,0)</f>
        <v>0</v>
      </c>
      <c r="BI246" s="145">
        <f>IF(N246="nulová",J246,0)</f>
        <v>0</v>
      </c>
      <c r="BJ246" s="18" t="s">
        <v>77</v>
      </c>
      <c r="BK246" s="145">
        <f>ROUND(I246*H246,2)</f>
        <v>0</v>
      </c>
      <c r="BL246" s="18" t="s">
        <v>158</v>
      </c>
      <c r="BM246" s="144" t="s">
        <v>1854</v>
      </c>
    </row>
    <row r="247" spans="2:65" s="1" customFormat="1" ht="19.5">
      <c r="B247" s="33"/>
      <c r="D247" s="151" t="s">
        <v>219</v>
      </c>
      <c r="F247" s="171" t="s">
        <v>1851</v>
      </c>
      <c r="I247" s="148"/>
      <c r="L247" s="33"/>
      <c r="M247" s="149"/>
      <c r="T247" s="54"/>
      <c r="AT247" s="18" t="s">
        <v>219</v>
      </c>
      <c r="AU247" s="18" t="s">
        <v>79</v>
      </c>
    </row>
    <row r="248" spans="2:65" s="1" customFormat="1" ht="16.5" customHeight="1">
      <c r="B248" s="132"/>
      <c r="C248" s="133" t="s">
        <v>499</v>
      </c>
      <c r="D248" s="133" t="s">
        <v>153</v>
      </c>
      <c r="E248" s="134" t="s">
        <v>1855</v>
      </c>
      <c r="F248" s="135" t="s">
        <v>1856</v>
      </c>
      <c r="G248" s="136" t="s">
        <v>676</v>
      </c>
      <c r="H248" s="137">
        <v>1</v>
      </c>
      <c r="I248" s="138"/>
      <c r="J248" s="139">
        <f>ROUND(I248*H248,2)</f>
        <v>0</v>
      </c>
      <c r="K248" s="135" t="s">
        <v>3</v>
      </c>
      <c r="L248" s="33"/>
      <c r="M248" s="140" t="s">
        <v>3</v>
      </c>
      <c r="N248" s="141" t="s">
        <v>40</v>
      </c>
      <c r="P248" s="142">
        <f>O248*H248</f>
        <v>0</v>
      </c>
      <c r="Q248" s="142">
        <v>3.0759999999999999E-2</v>
      </c>
      <c r="R248" s="142">
        <f>Q248*H248</f>
        <v>3.0759999999999999E-2</v>
      </c>
      <c r="S248" s="142">
        <v>0</v>
      </c>
      <c r="T248" s="143">
        <f>S248*H248</f>
        <v>0</v>
      </c>
      <c r="AR248" s="144" t="s">
        <v>158</v>
      </c>
      <c r="AT248" s="144" t="s">
        <v>153</v>
      </c>
      <c r="AU248" s="144" t="s">
        <v>79</v>
      </c>
      <c r="AY248" s="18" t="s">
        <v>151</v>
      </c>
      <c r="BE248" s="145">
        <f>IF(N248="základní",J248,0)</f>
        <v>0</v>
      </c>
      <c r="BF248" s="145">
        <f>IF(N248="snížená",J248,0)</f>
        <v>0</v>
      </c>
      <c r="BG248" s="145">
        <f>IF(N248="zákl. přenesená",J248,0)</f>
        <v>0</v>
      </c>
      <c r="BH248" s="145">
        <f>IF(N248="sníž. přenesená",J248,0)</f>
        <v>0</v>
      </c>
      <c r="BI248" s="145">
        <f>IF(N248="nulová",J248,0)</f>
        <v>0</v>
      </c>
      <c r="BJ248" s="18" t="s">
        <v>77</v>
      </c>
      <c r="BK248" s="145">
        <f>ROUND(I248*H248,2)</f>
        <v>0</v>
      </c>
      <c r="BL248" s="18" t="s">
        <v>158</v>
      </c>
      <c r="BM248" s="144" t="s">
        <v>1857</v>
      </c>
    </row>
    <row r="249" spans="2:65" s="1" customFormat="1" ht="19.5">
      <c r="B249" s="33"/>
      <c r="D249" s="151" t="s">
        <v>219</v>
      </c>
      <c r="F249" s="171" t="s">
        <v>1851</v>
      </c>
      <c r="I249" s="148"/>
      <c r="L249" s="33"/>
      <c r="M249" s="149"/>
      <c r="T249" s="54"/>
      <c r="AT249" s="18" t="s">
        <v>219</v>
      </c>
      <c r="AU249" s="18" t="s">
        <v>79</v>
      </c>
    </row>
    <row r="250" spans="2:65" s="11" customFormat="1" ht="22.9" customHeight="1">
      <c r="B250" s="120"/>
      <c r="D250" s="121" t="s">
        <v>68</v>
      </c>
      <c r="E250" s="130" t="s">
        <v>557</v>
      </c>
      <c r="F250" s="130" t="s">
        <v>558</v>
      </c>
      <c r="I250" s="123"/>
      <c r="J250" s="131">
        <f>BK250</f>
        <v>0</v>
      </c>
      <c r="L250" s="120"/>
      <c r="M250" s="125"/>
      <c r="P250" s="126">
        <f>SUM(P251:P252)</f>
        <v>0</v>
      </c>
      <c r="R250" s="126">
        <f>SUM(R251:R252)</f>
        <v>0</v>
      </c>
      <c r="T250" s="127">
        <f>SUM(T251:T252)</f>
        <v>0</v>
      </c>
      <c r="AR250" s="121" t="s">
        <v>77</v>
      </c>
      <c r="AT250" s="128" t="s">
        <v>68</v>
      </c>
      <c r="AU250" s="128" t="s">
        <v>77</v>
      </c>
      <c r="AY250" s="121" t="s">
        <v>151</v>
      </c>
      <c r="BK250" s="129">
        <f>SUM(BK251:BK252)</f>
        <v>0</v>
      </c>
    </row>
    <row r="251" spans="2:65" s="1" customFormat="1" ht="24.2" customHeight="1">
      <c r="B251" s="132"/>
      <c r="C251" s="133" t="s">
        <v>503</v>
      </c>
      <c r="D251" s="133" t="s">
        <v>153</v>
      </c>
      <c r="E251" s="134" t="s">
        <v>1858</v>
      </c>
      <c r="F251" s="135" t="s">
        <v>1859</v>
      </c>
      <c r="G251" s="136" t="s">
        <v>183</v>
      </c>
      <c r="H251" s="137">
        <v>214.98099999999999</v>
      </c>
      <c r="I251" s="138"/>
      <c r="J251" s="139">
        <f>ROUND(I251*H251,2)</f>
        <v>0</v>
      </c>
      <c r="K251" s="135" t="s">
        <v>157</v>
      </c>
      <c r="L251" s="33"/>
      <c r="M251" s="140" t="s">
        <v>3</v>
      </c>
      <c r="N251" s="141" t="s">
        <v>40</v>
      </c>
      <c r="P251" s="142">
        <f>O251*H251</f>
        <v>0</v>
      </c>
      <c r="Q251" s="142">
        <v>0</v>
      </c>
      <c r="R251" s="142">
        <f>Q251*H251</f>
        <v>0</v>
      </c>
      <c r="S251" s="142">
        <v>0</v>
      </c>
      <c r="T251" s="143">
        <f>S251*H251</f>
        <v>0</v>
      </c>
      <c r="AR251" s="144" t="s">
        <v>158</v>
      </c>
      <c r="AT251" s="144" t="s">
        <v>153</v>
      </c>
      <c r="AU251" s="144" t="s">
        <v>79</v>
      </c>
      <c r="AY251" s="18" t="s">
        <v>151</v>
      </c>
      <c r="BE251" s="145">
        <f>IF(N251="základní",J251,0)</f>
        <v>0</v>
      </c>
      <c r="BF251" s="145">
        <f>IF(N251="snížená",J251,0)</f>
        <v>0</v>
      </c>
      <c r="BG251" s="145">
        <f>IF(N251="zákl. přenesená",J251,0)</f>
        <v>0</v>
      </c>
      <c r="BH251" s="145">
        <f>IF(N251="sníž. přenesená",J251,0)</f>
        <v>0</v>
      </c>
      <c r="BI251" s="145">
        <f>IF(N251="nulová",J251,0)</f>
        <v>0</v>
      </c>
      <c r="BJ251" s="18" t="s">
        <v>77</v>
      </c>
      <c r="BK251" s="145">
        <f>ROUND(I251*H251,2)</f>
        <v>0</v>
      </c>
      <c r="BL251" s="18" t="s">
        <v>158</v>
      </c>
      <c r="BM251" s="144" t="s">
        <v>1860</v>
      </c>
    </row>
    <row r="252" spans="2:65" s="1" customFormat="1" ht="11.25">
      <c r="B252" s="33"/>
      <c r="D252" s="146" t="s">
        <v>160</v>
      </c>
      <c r="F252" s="147" t="s">
        <v>1861</v>
      </c>
      <c r="I252" s="148"/>
      <c r="L252" s="33"/>
      <c r="M252" s="182"/>
      <c r="N252" s="183"/>
      <c r="O252" s="183"/>
      <c r="P252" s="183"/>
      <c r="Q252" s="183"/>
      <c r="R252" s="183"/>
      <c r="S252" s="183"/>
      <c r="T252" s="184"/>
      <c r="AT252" s="18" t="s">
        <v>160</v>
      </c>
      <c r="AU252" s="18" t="s">
        <v>79</v>
      </c>
    </row>
    <row r="253" spans="2:65" s="1" customFormat="1" ht="6.95" customHeight="1">
      <c r="B253" s="42"/>
      <c r="C253" s="43"/>
      <c r="D253" s="43"/>
      <c r="E253" s="43"/>
      <c r="F253" s="43"/>
      <c r="G253" s="43"/>
      <c r="H253" s="43"/>
      <c r="I253" s="43"/>
      <c r="J253" s="43"/>
      <c r="K253" s="43"/>
      <c r="L253" s="33"/>
    </row>
  </sheetData>
  <autoFilter ref="C83:K252" xr:uid="{00000000-0009-0000-0000-000009000000}"/>
  <mergeCells count="9">
    <mergeCell ref="E50:H50"/>
    <mergeCell ref="E74:H74"/>
    <mergeCell ref="E76:H76"/>
    <mergeCell ref="L2:V2"/>
    <mergeCell ref="E7:H7"/>
    <mergeCell ref="E9:H9"/>
    <mergeCell ref="E18:H18"/>
    <mergeCell ref="E27:H27"/>
    <mergeCell ref="E48:H48"/>
  </mergeCells>
  <hyperlinks>
    <hyperlink ref="F88" r:id="rId1" xr:uid="{00000000-0004-0000-0900-000000000000}"/>
    <hyperlink ref="F97" r:id="rId2" xr:uid="{00000000-0004-0000-0900-000001000000}"/>
    <hyperlink ref="F110" r:id="rId3" xr:uid="{00000000-0004-0000-0900-000002000000}"/>
    <hyperlink ref="F117" r:id="rId4" xr:uid="{00000000-0004-0000-0900-000003000000}"/>
    <hyperlink ref="F120" r:id="rId5" xr:uid="{00000000-0004-0000-0900-000004000000}"/>
    <hyperlink ref="F123" r:id="rId6" xr:uid="{00000000-0004-0000-0900-000005000000}"/>
    <hyperlink ref="F126" r:id="rId7" xr:uid="{00000000-0004-0000-0900-000006000000}"/>
    <hyperlink ref="F139" r:id="rId8" xr:uid="{00000000-0004-0000-0900-000007000000}"/>
    <hyperlink ref="F154" r:id="rId9" xr:uid="{00000000-0004-0000-0900-000008000000}"/>
    <hyperlink ref="F167" r:id="rId10" xr:uid="{00000000-0004-0000-0900-000009000000}"/>
    <hyperlink ref="F174" r:id="rId11" xr:uid="{00000000-0004-0000-0900-00000A000000}"/>
    <hyperlink ref="F187" r:id="rId12" xr:uid="{00000000-0004-0000-0900-00000B000000}"/>
    <hyperlink ref="F198" r:id="rId13" xr:uid="{00000000-0004-0000-0900-00000C000000}"/>
    <hyperlink ref="F201" r:id="rId14" xr:uid="{00000000-0004-0000-0900-00000D000000}"/>
    <hyperlink ref="F206" r:id="rId15" xr:uid="{00000000-0004-0000-0900-00000E000000}"/>
    <hyperlink ref="F211" r:id="rId16" xr:uid="{00000000-0004-0000-0900-00000F000000}"/>
    <hyperlink ref="F217" r:id="rId17" xr:uid="{00000000-0004-0000-0900-000010000000}"/>
    <hyperlink ref="F221" r:id="rId18" xr:uid="{00000000-0004-0000-0900-000011000000}"/>
    <hyperlink ref="F227" r:id="rId19" xr:uid="{00000000-0004-0000-0900-000012000000}"/>
    <hyperlink ref="F229" r:id="rId20" xr:uid="{00000000-0004-0000-0900-000013000000}"/>
    <hyperlink ref="F232" r:id="rId21" xr:uid="{00000000-0004-0000-0900-000014000000}"/>
    <hyperlink ref="F236" r:id="rId22" xr:uid="{00000000-0004-0000-0900-000015000000}"/>
    <hyperlink ref="F252" r:id="rId23" xr:uid="{00000000-0004-0000-0900-000016000000}"/>
  </hyperlinks>
  <pageMargins left="0.39374999999999999" right="0.39374999999999999" top="0.39374999999999999" bottom="0.39374999999999999" header="0" footer="0"/>
  <pageSetup paperSize="9" fitToHeight="100" orientation="landscape" blackAndWhite="1"/>
  <headerFooter>
    <oddFooter>&amp;CStrana &amp;P z &amp;N</oddFooter>
  </headerFooter>
  <drawing r:id="rId2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BM147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10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304" t="s">
        <v>6</v>
      </c>
      <c r="M2" s="289"/>
      <c r="N2" s="289"/>
      <c r="O2" s="289"/>
      <c r="P2" s="289"/>
      <c r="Q2" s="289"/>
      <c r="R2" s="289"/>
      <c r="S2" s="289"/>
      <c r="T2" s="289"/>
      <c r="U2" s="289"/>
      <c r="V2" s="289"/>
      <c r="AT2" s="18" t="s">
        <v>110</v>
      </c>
    </row>
    <row r="3" spans="2:46" ht="6.9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1"/>
      <c r="AT3" s="18" t="s">
        <v>79</v>
      </c>
    </row>
    <row r="4" spans="2:46" ht="24.95" customHeight="1">
      <c r="B4" s="21"/>
      <c r="D4" s="22" t="s">
        <v>114</v>
      </c>
      <c r="L4" s="21"/>
      <c r="M4" s="91" t="s">
        <v>11</v>
      </c>
      <c r="AT4" s="18" t="s">
        <v>4</v>
      </c>
    </row>
    <row r="5" spans="2:46" ht="6.95" customHeight="1">
      <c r="B5" s="21"/>
      <c r="L5" s="21"/>
    </row>
    <row r="6" spans="2:46" ht="12" customHeight="1">
      <c r="B6" s="21"/>
      <c r="D6" s="28" t="s">
        <v>17</v>
      </c>
      <c r="L6" s="21"/>
    </row>
    <row r="7" spans="2:46" ht="16.5" customHeight="1">
      <c r="B7" s="21"/>
      <c r="E7" s="319" t="str">
        <f>'Rekapitulace stavby'!K6</f>
        <v>SKLAD ŠKROBU P-001</v>
      </c>
      <c r="F7" s="320"/>
      <c r="G7" s="320"/>
      <c r="H7" s="320"/>
      <c r="L7" s="21"/>
    </row>
    <row r="8" spans="2:46" s="1" customFormat="1" ht="12" customHeight="1">
      <c r="B8" s="33"/>
      <c r="D8" s="28" t="s">
        <v>115</v>
      </c>
      <c r="L8" s="33"/>
    </row>
    <row r="9" spans="2:46" s="1" customFormat="1" ht="16.5" customHeight="1">
      <c r="B9" s="33"/>
      <c r="E9" s="282" t="s">
        <v>1862</v>
      </c>
      <c r="F9" s="321"/>
      <c r="G9" s="321"/>
      <c r="H9" s="321"/>
      <c r="L9" s="33"/>
    </row>
    <row r="10" spans="2:46" s="1" customFormat="1" ht="11.25">
      <c r="B10" s="33"/>
      <c r="L10" s="33"/>
    </row>
    <row r="11" spans="2:46" s="1" customFormat="1" ht="12" customHeight="1">
      <c r="B11" s="33"/>
      <c r="D11" s="28" t="s">
        <v>19</v>
      </c>
      <c r="F11" s="26" t="s">
        <v>3</v>
      </c>
      <c r="I11" s="28" t="s">
        <v>20</v>
      </c>
      <c r="J11" s="26" t="s">
        <v>3</v>
      </c>
      <c r="L11" s="33"/>
    </row>
    <row r="12" spans="2:46" s="1" customFormat="1" ht="12" customHeight="1">
      <c r="B12" s="33"/>
      <c r="D12" s="28" t="s">
        <v>21</v>
      </c>
      <c r="F12" s="26" t="s">
        <v>22</v>
      </c>
      <c r="I12" s="28" t="s">
        <v>23</v>
      </c>
      <c r="J12" s="50">
        <f>'Rekapitulace stavby'!AN8</f>
        <v>45167</v>
      </c>
      <c r="L12" s="33"/>
    </row>
    <row r="13" spans="2:46" s="1" customFormat="1" ht="10.9" customHeight="1">
      <c r="B13" s="33"/>
      <c r="L13" s="33"/>
    </row>
    <row r="14" spans="2:46" s="1" customFormat="1" ht="12" customHeight="1">
      <c r="B14" s="33"/>
      <c r="D14" s="28" t="s">
        <v>24</v>
      </c>
      <c r="I14" s="28" t="s">
        <v>25</v>
      </c>
      <c r="J14" s="26" t="str">
        <f>IF('Rekapitulace stavby'!AN10="","",'Rekapitulace stavby'!AN10)</f>
        <v/>
      </c>
      <c r="L14" s="33"/>
    </row>
    <row r="15" spans="2:46" s="1" customFormat="1" ht="18" customHeight="1">
      <c r="B15" s="33"/>
      <c r="E15" s="26" t="str">
        <f>IF('Rekapitulace stavby'!E11="","",'Rekapitulace stavby'!E11)</f>
        <v xml:space="preserve"> </v>
      </c>
      <c r="I15" s="28" t="s">
        <v>26</v>
      </c>
      <c r="J15" s="26" t="str">
        <f>IF('Rekapitulace stavby'!AN11="","",'Rekapitulace stavby'!AN11)</f>
        <v/>
      </c>
      <c r="L15" s="33"/>
    </row>
    <row r="16" spans="2:46" s="1" customFormat="1" ht="6.95" customHeight="1">
      <c r="B16" s="33"/>
      <c r="L16" s="33"/>
    </row>
    <row r="17" spans="2:12" s="1" customFormat="1" ht="12" customHeight="1">
      <c r="B17" s="33"/>
      <c r="D17" s="28" t="s">
        <v>27</v>
      </c>
      <c r="I17" s="28" t="s">
        <v>25</v>
      </c>
      <c r="J17" s="29" t="str">
        <f>'Rekapitulace stavby'!AN13</f>
        <v>Vyplň údaj</v>
      </c>
      <c r="L17" s="33"/>
    </row>
    <row r="18" spans="2:12" s="1" customFormat="1" ht="18" customHeight="1">
      <c r="B18" s="33"/>
      <c r="E18" s="322" t="str">
        <f>'Rekapitulace stavby'!E14</f>
        <v>Vyplň údaj</v>
      </c>
      <c r="F18" s="288"/>
      <c r="G18" s="288"/>
      <c r="H18" s="288"/>
      <c r="I18" s="28" t="s">
        <v>26</v>
      </c>
      <c r="J18" s="29" t="str">
        <f>'Rekapitulace stavby'!AN14</f>
        <v>Vyplň údaj</v>
      </c>
      <c r="L18" s="33"/>
    </row>
    <row r="19" spans="2:12" s="1" customFormat="1" ht="6.95" customHeight="1">
      <c r="B19" s="33"/>
      <c r="L19" s="33"/>
    </row>
    <row r="20" spans="2:12" s="1" customFormat="1" ht="12" customHeight="1">
      <c r="B20" s="33"/>
      <c r="D20" s="28" t="s">
        <v>29</v>
      </c>
      <c r="I20" s="28" t="s">
        <v>25</v>
      </c>
      <c r="J20" s="26" t="str">
        <f>IF('Rekapitulace stavby'!AN16="","",'Rekapitulace stavby'!AN16)</f>
        <v/>
      </c>
      <c r="L20" s="33"/>
    </row>
    <row r="21" spans="2:12" s="1" customFormat="1" ht="18" customHeight="1">
      <c r="B21" s="33"/>
      <c r="E21" s="26" t="str">
        <f>IF('Rekapitulace stavby'!E17="","",'Rekapitulace stavby'!E17)</f>
        <v xml:space="preserve"> </v>
      </c>
      <c r="I21" s="28" t="s">
        <v>26</v>
      </c>
      <c r="J21" s="26" t="str">
        <f>IF('Rekapitulace stavby'!AN17="","",'Rekapitulace stavby'!AN17)</f>
        <v/>
      </c>
      <c r="L21" s="33"/>
    </row>
    <row r="22" spans="2:12" s="1" customFormat="1" ht="6.95" customHeight="1">
      <c r="B22" s="33"/>
      <c r="L22" s="33"/>
    </row>
    <row r="23" spans="2:12" s="1" customFormat="1" ht="12" customHeight="1">
      <c r="B23" s="33"/>
      <c r="D23" s="28" t="s">
        <v>31</v>
      </c>
      <c r="I23" s="28" t="s">
        <v>25</v>
      </c>
      <c r="J23" s="26" t="str">
        <f>IF('Rekapitulace stavby'!AN19="","",'Rekapitulace stavby'!AN19)</f>
        <v/>
      </c>
      <c r="L23" s="33"/>
    </row>
    <row r="24" spans="2:12" s="1" customFormat="1" ht="18" customHeight="1">
      <c r="B24" s="33"/>
      <c r="E24" s="26" t="str">
        <f>IF('Rekapitulace stavby'!E20="","",'Rekapitulace stavby'!E20)</f>
        <v>rostarek s.r.o.</v>
      </c>
      <c r="I24" s="28" t="s">
        <v>26</v>
      </c>
      <c r="J24" s="26" t="str">
        <f>IF('Rekapitulace stavby'!AN20="","",'Rekapitulace stavby'!AN20)</f>
        <v/>
      </c>
      <c r="L24" s="33"/>
    </row>
    <row r="25" spans="2:12" s="1" customFormat="1" ht="6.95" customHeight="1">
      <c r="B25" s="33"/>
      <c r="L25" s="33"/>
    </row>
    <row r="26" spans="2:12" s="1" customFormat="1" ht="12" customHeight="1">
      <c r="B26" s="33"/>
      <c r="D26" s="28" t="s">
        <v>33</v>
      </c>
      <c r="L26" s="33"/>
    </row>
    <row r="27" spans="2:12" s="7" customFormat="1" ht="16.5" customHeight="1">
      <c r="B27" s="92"/>
      <c r="E27" s="293" t="s">
        <v>3</v>
      </c>
      <c r="F27" s="293"/>
      <c r="G27" s="293"/>
      <c r="H27" s="293"/>
      <c r="L27" s="92"/>
    </row>
    <row r="28" spans="2:12" s="1" customFormat="1" ht="6.95" customHeight="1">
      <c r="B28" s="33"/>
      <c r="L28" s="33"/>
    </row>
    <row r="29" spans="2:12" s="1" customFormat="1" ht="6.95" customHeight="1">
      <c r="B29" s="33"/>
      <c r="D29" s="51"/>
      <c r="E29" s="51"/>
      <c r="F29" s="51"/>
      <c r="G29" s="51"/>
      <c r="H29" s="51"/>
      <c r="I29" s="51"/>
      <c r="J29" s="51"/>
      <c r="K29" s="51"/>
      <c r="L29" s="33"/>
    </row>
    <row r="30" spans="2:12" s="1" customFormat="1" ht="25.35" customHeight="1">
      <c r="B30" s="33"/>
      <c r="D30" s="93" t="s">
        <v>35</v>
      </c>
      <c r="J30" s="64">
        <f>ROUND(J84, 2)</f>
        <v>0</v>
      </c>
      <c r="L30" s="33"/>
    </row>
    <row r="31" spans="2:12" s="1" customFormat="1" ht="6.95" customHeight="1">
      <c r="B31" s="33"/>
      <c r="D31" s="51"/>
      <c r="E31" s="51"/>
      <c r="F31" s="51"/>
      <c r="G31" s="51"/>
      <c r="H31" s="51"/>
      <c r="I31" s="51"/>
      <c r="J31" s="51"/>
      <c r="K31" s="51"/>
      <c r="L31" s="33"/>
    </row>
    <row r="32" spans="2:12" s="1" customFormat="1" ht="14.45" customHeight="1">
      <c r="B32" s="33"/>
      <c r="F32" s="36" t="s">
        <v>37</v>
      </c>
      <c r="I32" s="36" t="s">
        <v>36</v>
      </c>
      <c r="J32" s="36" t="s">
        <v>38</v>
      </c>
      <c r="L32" s="33"/>
    </row>
    <row r="33" spans="2:12" s="1" customFormat="1" ht="14.45" customHeight="1">
      <c r="B33" s="33"/>
      <c r="D33" s="53" t="s">
        <v>39</v>
      </c>
      <c r="E33" s="28" t="s">
        <v>40</v>
      </c>
      <c r="F33" s="84">
        <f>ROUND((SUM(BE84:BE146)),  2)</f>
        <v>0</v>
      </c>
      <c r="I33" s="94">
        <v>0.21</v>
      </c>
      <c r="J33" s="84">
        <f>ROUND(((SUM(BE84:BE146))*I33),  2)</f>
        <v>0</v>
      </c>
      <c r="L33" s="33"/>
    </row>
    <row r="34" spans="2:12" s="1" customFormat="1" ht="14.45" customHeight="1">
      <c r="B34" s="33"/>
      <c r="E34" s="28" t="s">
        <v>41</v>
      </c>
      <c r="F34" s="84">
        <f>ROUND((SUM(BF84:BF146)),  2)</f>
        <v>0</v>
      </c>
      <c r="I34" s="94">
        <v>0.15</v>
      </c>
      <c r="J34" s="84">
        <f>ROUND(((SUM(BF84:BF146))*I34),  2)</f>
        <v>0</v>
      </c>
      <c r="L34" s="33"/>
    </row>
    <row r="35" spans="2:12" s="1" customFormat="1" ht="14.45" hidden="1" customHeight="1">
      <c r="B35" s="33"/>
      <c r="E35" s="28" t="s">
        <v>42</v>
      </c>
      <c r="F35" s="84">
        <f>ROUND((SUM(BG84:BG146)),  2)</f>
        <v>0</v>
      </c>
      <c r="I35" s="94">
        <v>0.21</v>
      </c>
      <c r="J35" s="84">
        <f>0</f>
        <v>0</v>
      </c>
      <c r="L35" s="33"/>
    </row>
    <row r="36" spans="2:12" s="1" customFormat="1" ht="14.45" hidden="1" customHeight="1">
      <c r="B36" s="33"/>
      <c r="E36" s="28" t="s">
        <v>43</v>
      </c>
      <c r="F36" s="84">
        <f>ROUND((SUM(BH84:BH146)),  2)</f>
        <v>0</v>
      </c>
      <c r="I36" s="94">
        <v>0.15</v>
      </c>
      <c r="J36" s="84">
        <f>0</f>
        <v>0</v>
      </c>
      <c r="L36" s="33"/>
    </row>
    <row r="37" spans="2:12" s="1" customFormat="1" ht="14.45" hidden="1" customHeight="1">
      <c r="B37" s="33"/>
      <c r="E37" s="28" t="s">
        <v>44</v>
      </c>
      <c r="F37" s="84">
        <f>ROUND((SUM(BI84:BI146)),  2)</f>
        <v>0</v>
      </c>
      <c r="I37" s="94">
        <v>0</v>
      </c>
      <c r="J37" s="84">
        <f>0</f>
        <v>0</v>
      </c>
      <c r="L37" s="33"/>
    </row>
    <row r="38" spans="2:12" s="1" customFormat="1" ht="6.95" customHeight="1">
      <c r="B38" s="33"/>
      <c r="L38" s="33"/>
    </row>
    <row r="39" spans="2:12" s="1" customFormat="1" ht="25.35" customHeight="1">
      <c r="B39" s="33"/>
      <c r="C39" s="95"/>
      <c r="D39" s="96" t="s">
        <v>45</v>
      </c>
      <c r="E39" s="55"/>
      <c r="F39" s="55"/>
      <c r="G39" s="97" t="s">
        <v>46</v>
      </c>
      <c r="H39" s="98" t="s">
        <v>47</v>
      </c>
      <c r="I39" s="55"/>
      <c r="J39" s="99">
        <f>SUM(J30:J37)</f>
        <v>0</v>
      </c>
      <c r="K39" s="100"/>
      <c r="L39" s="33"/>
    </row>
    <row r="40" spans="2:12" s="1" customFormat="1" ht="14.45" customHeight="1"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33"/>
    </row>
    <row r="44" spans="2:12" s="1" customFormat="1" ht="6.95" customHeight="1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33"/>
    </row>
    <row r="45" spans="2:12" s="1" customFormat="1" ht="24.95" customHeight="1">
      <c r="B45" s="33"/>
      <c r="C45" s="22" t="s">
        <v>117</v>
      </c>
      <c r="L45" s="33"/>
    </row>
    <row r="46" spans="2:12" s="1" customFormat="1" ht="6.95" customHeight="1">
      <c r="B46" s="33"/>
      <c r="L46" s="33"/>
    </row>
    <row r="47" spans="2:12" s="1" customFormat="1" ht="12" customHeight="1">
      <c r="B47" s="33"/>
      <c r="C47" s="28" t="s">
        <v>17</v>
      </c>
      <c r="L47" s="33"/>
    </row>
    <row r="48" spans="2:12" s="1" customFormat="1" ht="16.5" customHeight="1">
      <c r="B48" s="33"/>
      <c r="E48" s="319" t="str">
        <f>E7</f>
        <v>SKLAD ŠKROBU P-001</v>
      </c>
      <c r="F48" s="320"/>
      <c r="G48" s="320"/>
      <c r="H48" s="320"/>
      <c r="L48" s="33"/>
    </row>
    <row r="49" spans="2:47" s="1" customFormat="1" ht="12" customHeight="1">
      <c r="B49" s="33"/>
      <c r="C49" s="28" t="s">
        <v>115</v>
      </c>
      <c r="L49" s="33"/>
    </row>
    <row r="50" spans="2:47" s="1" customFormat="1" ht="16.5" customHeight="1">
      <c r="B50" s="33"/>
      <c r="E50" s="282" t="str">
        <f>E9</f>
        <v>2023/003/f - SO-25 - vodovodní přípojka</v>
      </c>
      <c r="F50" s="321"/>
      <c r="G50" s="321"/>
      <c r="H50" s="321"/>
      <c r="L50" s="33"/>
    </row>
    <row r="51" spans="2:47" s="1" customFormat="1" ht="6.95" customHeight="1">
      <c r="B51" s="33"/>
      <c r="L51" s="33"/>
    </row>
    <row r="52" spans="2:47" s="1" customFormat="1" ht="12" customHeight="1">
      <c r="B52" s="33"/>
      <c r="C52" s="28" t="s">
        <v>21</v>
      </c>
      <c r="F52" s="26" t="str">
        <f>F12</f>
        <v xml:space="preserve"> </v>
      </c>
      <c r="I52" s="28" t="s">
        <v>23</v>
      </c>
      <c r="J52" s="50">
        <f>IF(J12="","",J12)</f>
        <v>45167</v>
      </c>
      <c r="L52" s="33"/>
    </row>
    <row r="53" spans="2:47" s="1" customFormat="1" ht="6.95" customHeight="1">
      <c r="B53" s="33"/>
      <c r="L53" s="33"/>
    </row>
    <row r="54" spans="2:47" s="1" customFormat="1" ht="15.2" customHeight="1">
      <c r="B54" s="33"/>
      <c r="C54" s="28" t="s">
        <v>24</v>
      </c>
      <c r="F54" s="26" t="str">
        <f>E15</f>
        <v xml:space="preserve"> </v>
      </c>
      <c r="I54" s="28" t="s">
        <v>29</v>
      </c>
      <c r="J54" s="31" t="str">
        <f>E21</f>
        <v xml:space="preserve"> </v>
      </c>
      <c r="L54" s="33"/>
    </row>
    <row r="55" spans="2:47" s="1" customFormat="1" ht="15.2" customHeight="1">
      <c r="B55" s="33"/>
      <c r="C55" s="28" t="s">
        <v>27</v>
      </c>
      <c r="F55" s="26" t="str">
        <f>IF(E18="","",E18)</f>
        <v>Vyplň údaj</v>
      </c>
      <c r="I55" s="28" t="s">
        <v>31</v>
      </c>
      <c r="J55" s="31" t="str">
        <f>E24</f>
        <v>rostarek s.r.o.</v>
      </c>
      <c r="L55" s="33"/>
    </row>
    <row r="56" spans="2:47" s="1" customFormat="1" ht="10.35" customHeight="1">
      <c r="B56" s="33"/>
      <c r="L56" s="33"/>
    </row>
    <row r="57" spans="2:47" s="1" customFormat="1" ht="29.25" customHeight="1">
      <c r="B57" s="33"/>
      <c r="C57" s="101" t="s">
        <v>118</v>
      </c>
      <c r="D57" s="95"/>
      <c r="E57" s="95"/>
      <c r="F57" s="95"/>
      <c r="G57" s="95"/>
      <c r="H57" s="95"/>
      <c r="I57" s="95"/>
      <c r="J57" s="102" t="s">
        <v>119</v>
      </c>
      <c r="K57" s="95"/>
      <c r="L57" s="33"/>
    </row>
    <row r="58" spans="2:47" s="1" customFormat="1" ht="10.35" customHeight="1">
      <c r="B58" s="33"/>
      <c r="L58" s="33"/>
    </row>
    <row r="59" spans="2:47" s="1" customFormat="1" ht="22.9" customHeight="1">
      <c r="B59" s="33"/>
      <c r="C59" s="103" t="s">
        <v>67</v>
      </c>
      <c r="J59" s="64">
        <f>J84</f>
        <v>0</v>
      </c>
      <c r="L59" s="33"/>
      <c r="AU59" s="18" t="s">
        <v>120</v>
      </c>
    </row>
    <row r="60" spans="2:47" s="8" customFormat="1" ht="24.95" customHeight="1">
      <c r="B60" s="104"/>
      <c r="D60" s="105" t="s">
        <v>1146</v>
      </c>
      <c r="E60" s="106"/>
      <c r="F60" s="106"/>
      <c r="G60" s="106"/>
      <c r="H60" s="106"/>
      <c r="I60" s="106"/>
      <c r="J60" s="107">
        <f>J85</f>
        <v>0</v>
      </c>
      <c r="L60" s="104"/>
    </row>
    <row r="61" spans="2:47" s="9" customFormat="1" ht="19.899999999999999" customHeight="1">
      <c r="B61" s="108"/>
      <c r="D61" s="109" t="s">
        <v>122</v>
      </c>
      <c r="E61" s="110"/>
      <c r="F61" s="110"/>
      <c r="G61" s="110"/>
      <c r="H61" s="110"/>
      <c r="I61" s="110"/>
      <c r="J61" s="111">
        <f>J86</f>
        <v>0</v>
      </c>
      <c r="L61" s="108"/>
    </row>
    <row r="62" spans="2:47" s="9" customFormat="1" ht="19.899999999999999" customHeight="1">
      <c r="B62" s="108"/>
      <c r="D62" s="109" t="s">
        <v>1399</v>
      </c>
      <c r="E62" s="110"/>
      <c r="F62" s="110"/>
      <c r="G62" s="110"/>
      <c r="H62" s="110"/>
      <c r="I62" s="110"/>
      <c r="J62" s="111">
        <f>J121</f>
        <v>0</v>
      </c>
      <c r="L62" s="108"/>
    </row>
    <row r="63" spans="2:47" s="9" customFormat="1" ht="19.899999999999999" customHeight="1">
      <c r="B63" s="108"/>
      <c r="D63" s="109" t="s">
        <v>1400</v>
      </c>
      <c r="E63" s="110"/>
      <c r="F63" s="110"/>
      <c r="G63" s="110"/>
      <c r="H63" s="110"/>
      <c r="I63" s="110"/>
      <c r="J63" s="111">
        <f>J129</f>
        <v>0</v>
      </c>
      <c r="L63" s="108"/>
    </row>
    <row r="64" spans="2:47" s="9" customFormat="1" ht="19.899999999999999" customHeight="1">
      <c r="B64" s="108"/>
      <c r="D64" s="109" t="s">
        <v>127</v>
      </c>
      <c r="E64" s="110"/>
      <c r="F64" s="110"/>
      <c r="G64" s="110"/>
      <c r="H64" s="110"/>
      <c r="I64" s="110"/>
      <c r="J64" s="111">
        <f>J137</f>
        <v>0</v>
      </c>
      <c r="L64" s="108"/>
    </row>
    <row r="65" spans="2:12" s="1" customFormat="1" ht="21.75" customHeight="1">
      <c r="B65" s="33"/>
      <c r="L65" s="33"/>
    </row>
    <row r="66" spans="2:12" s="1" customFormat="1" ht="6.95" customHeight="1">
      <c r="B66" s="42"/>
      <c r="C66" s="43"/>
      <c r="D66" s="43"/>
      <c r="E66" s="43"/>
      <c r="F66" s="43"/>
      <c r="G66" s="43"/>
      <c r="H66" s="43"/>
      <c r="I66" s="43"/>
      <c r="J66" s="43"/>
      <c r="K66" s="43"/>
      <c r="L66" s="33"/>
    </row>
    <row r="70" spans="2:12" s="1" customFormat="1" ht="6.95" customHeight="1">
      <c r="B70" s="44"/>
      <c r="C70" s="45"/>
      <c r="D70" s="45"/>
      <c r="E70" s="45"/>
      <c r="F70" s="45"/>
      <c r="G70" s="45"/>
      <c r="H70" s="45"/>
      <c r="I70" s="45"/>
      <c r="J70" s="45"/>
      <c r="K70" s="45"/>
      <c r="L70" s="33"/>
    </row>
    <row r="71" spans="2:12" s="1" customFormat="1" ht="24.95" customHeight="1">
      <c r="B71" s="33"/>
      <c r="C71" s="22" t="s">
        <v>137</v>
      </c>
      <c r="L71" s="33"/>
    </row>
    <row r="72" spans="2:12" s="1" customFormat="1" ht="6.95" customHeight="1">
      <c r="B72" s="33"/>
      <c r="L72" s="33"/>
    </row>
    <row r="73" spans="2:12" s="1" customFormat="1" ht="12" customHeight="1">
      <c r="B73" s="33"/>
      <c r="C73" s="28" t="s">
        <v>17</v>
      </c>
      <c r="L73" s="33"/>
    </row>
    <row r="74" spans="2:12" s="1" customFormat="1" ht="16.5" customHeight="1">
      <c r="B74" s="33"/>
      <c r="E74" s="319" t="str">
        <f>E7</f>
        <v>SKLAD ŠKROBU P-001</v>
      </c>
      <c r="F74" s="320"/>
      <c r="G74" s="320"/>
      <c r="H74" s="320"/>
      <c r="L74" s="33"/>
    </row>
    <row r="75" spans="2:12" s="1" customFormat="1" ht="12" customHeight="1">
      <c r="B75" s="33"/>
      <c r="C75" s="28" t="s">
        <v>115</v>
      </c>
      <c r="L75" s="33"/>
    </row>
    <row r="76" spans="2:12" s="1" customFormat="1" ht="16.5" customHeight="1">
      <c r="B76" s="33"/>
      <c r="E76" s="282" t="str">
        <f>E9</f>
        <v>2023/003/f - SO-25 - vodovodní přípojka</v>
      </c>
      <c r="F76" s="321"/>
      <c r="G76" s="321"/>
      <c r="H76" s="321"/>
      <c r="L76" s="33"/>
    </row>
    <row r="77" spans="2:12" s="1" customFormat="1" ht="6.95" customHeight="1">
      <c r="B77" s="33"/>
      <c r="L77" s="33"/>
    </row>
    <row r="78" spans="2:12" s="1" customFormat="1" ht="12" customHeight="1">
      <c r="B78" s="33"/>
      <c r="C78" s="28" t="s">
        <v>21</v>
      </c>
      <c r="F78" s="26" t="str">
        <f>F12</f>
        <v xml:space="preserve"> </v>
      </c>
      <c r="I78" s="28" t="s">
        <v>23</v>
      </c>
      <c r="J78" s="50">
        <f>IF(J12="","",J12)</f>
        <v>45167</v>
      </c>
      <c r="L78" s="33"/>
    </row>
    <row r="79" spans="2:12" s="1" customFormat="1" ht="6.95" customHeight="1">
      <c r="B79" s="33"/>
      <c r="L79" s="33"/>
    </row>
    <row r="80" spans="2:12" s="1" customFormat="1" ht="15.2" customHeight="1">
      <c r="B80" s="33"/>
      <c r="C80" s="28" t="s">
        <v>24</v>
      </c>
      <c r="F80" s="26" t="str">
        <f>E15</f>
        <v xml:space="preserve"> </v>
      </c>
      <c r="I80" s="28" t="s">
        <v>29</v>
      </c>
      <c r="J80" s="31" t="str">
        <f>E21</f>
        <v xml:space="preserve"> </v>
      </c>
      <c r="L80" s="33"/>
    </row>
    <row r="81" spans="2:65" s="1" customFormat="1" ht="15.2" customHeight="1">
      <c r="B81" s="33"/>
      <c r="C81" s="28" t="s">
        <v>27</v>
      </c>
      <c r="F81" s="26" t="str">
        <f>IF(E18="","",E18)</f>
        <v>Vyplň údaj</v>
      </c>
      <c r="I81" s="28" t="s">
        <v>31</v>
      </c>
      <c r="J81" s="31" t="str">
        <f>E24</f>
        <v>rostarek s.r.o.</v>
      </c>
      <c r="L81" s="33"/>
    </row>
    <row r="82" spans="2:65" s="1" customFormat="1" ht="10.35" customHeight="1">
      <c r="B82" s="33"/>
      <c r="L82" s="33"/>
    </row>
    <row r="83" spans="2:65" s="10" customFormat="1" ht="29.25" customHeight="1">
      <c r="B83" s="112"/>
      <c r="C83" s="113" t="s">
        <v>138</v>
      </c>
      <c r="D83" s="114" t="s">
        <v>54</v>
      </c>
      <c r="E83" s="114" t="s">
        <v>50</v>
      </c>
      <c r="F83" s="114" t="s">
        <v>51</v>
      </c>
      <c r="G83" s="114" t="s">
        <v>139</v>
      </c>
      <c r="H83" s="114" t="s">
        <v>140</v>
      </c>
      <c r="I83" s="114" t="s">
        <v>141</v>
      </c>
      <c r="J83" s="114" t="s">
        <v>119</v>
      </c>
      <c r="K83" s="115" t="s">
        <v>142</v>
      </c>
      <c r="L83" s="112"/>
      <c r="M83" s="57" t="s">
        <v>3</v>
      </c>
      <c r="N83" s="58" t="s">
        <v>39</v>
      </c>
      <c r="O83" s="58" t="s">
        <v>143</v>
      </c>
      <c r="P83" s="58" t="s">
        <v>144</v>
      </c>
      <c r="Q83" s="58" t="s">
        <v>145</v>
      </c>
      <c r="R83" s="58" t="s">
        <v>146</v>
      </c>
      <c r="S83" s="58" t="s">
        <v>147</v>
      </c>
      <c r="T83" s="59" t="s">
        <v>148</v>
      </c>
    </row>
    <row r="84" spans="2:65" s="1" customFormat="1" ht="22.9" customHeight="1">
      <c r="B84" s="33"/>
      <c r="C84" s="62" t="s">
        <v>149</v>
      </c>
      <c r="J84" s="116">
        <f>BK84</f>
        <v>0</v>
      </c>
      <c r="L84" s="33"/>
      <c r="M84" s="60"/>
      <c r="N84" s="51"/>
      <c r="O84" s="51"/>
      <c r="P84" s="117">
        <f>P85</f>
        <v>0</v>
      </c>
      <c r="Q84" s="51"/>
      <c r="R84" s="117">
        <f>R85</f>
        <v>36.250744499999996</v>
      </c>
      <c r="S84" s="51"/>
      <c r="T84" s="118">
        <f>T85</f>
        <v>10.028</v>
      </c>
      <c r="AT84" s="18" t="s">
        <v>68</v>
      </c>
      <c r="AU84" s="18" t="s">
        <v>120</v>
      </c>
      <c r="BK84" s="119">
        <f>BK85</f>
        <v>0</v>
      </c>
    </row>
    <row r="85" spans="2:65" s="11" customFormat="1" ht="25.9" customHeight="1">
      <c r="B85" s="120"/>
      <c r="D85" s="121" t="s">
        <v>68</v>
      </c>
      <c r="E85" s="122" t="s">
        <v>150</v>
      </c>
      <c r="F85" s="122" t="s">
        <v>1147</v>
      </c>
      <c r="I85" s="123"/>
      <c r="J85" s="124">
        <f>BK85</f>
        <v>0</v>
      </c>
      <c r="L85" s="120"/>
      <c r="M85" s="125"/>
      <c r="P85" s="126">
        <f>P86+P121+P129+P137</f>
        <v>0</v>
      </c>
      <c r="R85" s="126">
        <f>R86+R121+R129+R137</f>
        <v>36.250744499999996</v>
      </c>
      <c r="T85" s="127">
        <f>T86+T121+T129+T137</f>
        <v>10.028</v>
      </c>
      <c r="AR85" s="121" t="s">
        <v>77</v>
      </c>
      <c r="AT85" s="128" t="s">
        <v>68</v>
      </c>
      <c r="AU85" s="128" t="s">
        <v>69</v>
      </c>
      <c r="AY85" s="121" t="s">
        <v>151</v>
      </c>
      <c r="BK85" s="129">
        <f>BK86+BK121+BK129+BK137</f>
        <v>0</v>
      </c>
    </row>
    <row r="86" spans="2:65" s="11" customFormat="1" ht="22.9" customHeight="1">
      <c r="B86" s="120"/>
      <c r="D86" s="121" t="s">
        <v>68</v>
      </c>
      <c r="E86" s="130" t="s">
        <v>77</v>
      </c>
      <c r="F86" s="130" t="s">
        <v>152</v>
      </c>
      <c r="I86" s="123"/>
      <c r="J86" s="131">
        <f>BK86</f>
        <v>0</v>
      </c>
      <c r="L86" s="120"/>
      <c r="M86" s="125"/>
      <c r="P86" s="126">
        <f>SUM(P87:P120)</f>
        <v>0</v>
      </c>
      <c r="R86" s="126">
        <f>SUM(R87:R120)</f>
        <v>36.152999999999999</v>
      </c>
      <c r="T86" s="127">
        <f>SUM(T87:T120)</f>
        <v>10.028</v>
      </c>
      <c r="AR86" s="121" t="s">
        <v>77</v>
      </c>
      <c r="AT86" s="128" t="s">
        <v>68</v>
      </c>
      <c r="AU86" s="128" t="s">
        <v>77</v>
      </c>
      <c r="AY86" s="121" t="s">
        <v>151</v>
      </c>
      <c r="BK86" s="129">
        <f>SUM(BK87:BK120)</f>
        <v>0</v>
      </c>
    </row>
    <row r="87" spans="2:65" s="1" customFormat="1" ht="37.9" customHeight="1">
      <c r="B87" s="132"/>
      <c r="C87" s="133" t="s">
        <v>77</v>
      </c>
      <c r="D87" s="133" t="s">
        <v>153</v>
      </c>
      <c r="E87" s="134" t="s">
        <v>1863</v>
      </c>
      <c r="F87" s="135" t="s">
        <v>1864</v>
      </c>
      <c r="G87" s="136" t="s">
        <v>230</v>
      </c>
      <c r="H87" s="137">
        <v>12</v>
      </c>
      <c r="I87" s="138"/>
      <c r="J87" s="139">
        <f>ROUND(I87*H87,2)</f>
        <v>0</v>
      </c>
      <c r="K87" s="135" t="s">
        <v>157</v>
      </c>
      <c r="L87" s="33"/>
      <c r="M87" s="140" t="s">
        <v>3</v>
      </c>
      <c r="N87" s="141" t="s">
        <v>40</v>
      </c>
      <c r="P87" s="142">
        <f>O87*H87</f>
        <v>0</v>
      </c>
      <c r="Q87" s="142">
        <v>0</v>
      </c>
      <c r="R87" s="142">
        <f>Q87*H87</f>
        <v>0</v>
      </c>
      <c r="S87" s="142">
        <v>0.625</v>
      </c>
      <c r="T87" s="143">
        <f>S87*H87</f>
        <v>7.5</v>
      </c>
      <c r="AR87" s="144" t="s">
        <v>158</v>
      </c>
      <c r="AT87" s="144" t="s">
        <v>153</v>
      </c>
      <c r="AU87" s="144" t="s">
        <v>79</v>
      </c>
      <c r="AY87" s="18" t="s">
        <v>151</v>
      </c>
      <c r="BE87" s="145">
        <f>IF(N87="základní",J87,0)</f>
        <v>0</v>
      </c>
      <c r="BF87" s="145">
        <f>IF(N87="snížená",J87,0)</f>
        <v>0</v>
      </c>
      <c r="BG87" s="145">
        <f>IF(N87="zákl. přenesená",J87,0)</f>
        <v>0</v>
      </c>
      <c r="BH87" s="145">
        <f>IF(N87="sníž. přenesená",J87,0)</f>
        <v>0</v>
      </c>
      <c r="BI87" s="145">
        <f>IF(N87="nulová",J87,0)</f>
        <v>0</v>
      </c>
      <c r="BJ87" s="18" t="s">
        <v>77</v>
      </c>
      <c r="BK87" s="145">
        <f>ROUND(I87*H87,2)</f>
        <v>0</v>
      </c>
      <c r="BL87" s="18" t="s">
        <v>158</v>
      </c>
      <c r="BM87" s="144" t="s">
        <v>1865</v>
      </c>
    </row>
    <row r="88" spans="2:65" s="1" customFormat="1" ht="11.25">
      <c r="B88" s="33"/>
      <c r="D88" s="146" t="s">
        <v>160</v>
      </c>
      <c r="F88" s="147" t="s">
        <v>1866</v>
      </c>
      <c r="I88" s="148"/>
      <c r="L88" s="33"/>
      <c r="M88" s="149"/>
      <c r="T88" s="54"/>
      <c r="AT88" s="18" t="s">
        <v>160</v>
      </c>
      <c r="AU88" s="18" t="s">
        <v>79</v>
      </c>
    </row>
    <row r="89" spans="2:65" s="1" customFormat="1" ht="37.9" customHeight="1">
      <c r="B89" s="132"/>
      <c r="C89" s="133" t="s">
        <v>79</v>
      </c>
      <c r="D89" s="133" t="s">
        <v>153</v>
      </c>
      <c r="E89" s="134" t="s">
        <v>1867</v>
      </c>
      <c r="F89" s="135" t="s">
        <v>1868</v>
      </c>
      <c r="G89" s="136" t="s">
        <v>230</v>
      </c>
      <c r="H89" s="137">
        <v>8</v>
      </c>
      <c r="I89" s="138"/>
      <c r="J89" s="139">
        <f>ROUND(I89*H89,2)</f>
        <v>0</v>
      </c>
      <c r="K89" s="135" t="s">
        <v>157</v>
      </c>
      <c r="L89" s="33"/>
      <c r="M89" s="140" t="s">
        <v>3</v>
      </c>
      <c r="N89" s="141" t="s">
        <v>40</v>
      </c>
      <c r="P89" s="142">
        <f>O89*H89</f>
        <v>0</v>
      </c>
      <c r="Q89" s="142">
        <v>0</v>
      </c>
      <c r="R89" s="142">
        <f>Q89*H89</f>
        <v>0</v>
      </c>
      <c r="S89" s="142">
        <v>0.316</v>
      </c>
      <c r="T89" s="143">
        <f>S89*H89</f>
        <v>2.528</v>
      </c>
      <c r="AR89" s="144" t="s">
        <v>158</v>
      </c>
      <c r="AT89" s="144" t="s">
        <v>153</v>
      </c>
      <c r="AU89" s="144" t="s">
        <v>79</v>
      </c>
      <c r="AY89" s="18" t="s">
        <v>151</v>
      </c>
      <c r="BE89" s="145">
        <f>IF(N89="základní",J89,0)</f>
        <v>0</v>
      </c>
      <c r="BF89" s="145">
        <f>IF(N89="snížená",J89,0)</f>
        <v>0</v>
      </c>
      <c r="BG89" s="145">
        <f>IF(N89="zákl. přenesená",J89,0)</f>
        <v>0</v>
      </c>
      <c r="BH89" s="145">
        <f>IF(N89="sníž. přenesená",J89,0)</f>
        <v>0</v>
      </c>
      <c r="BI89" s="145">
        <f>IF(N89="nulová",J89,0)</f>
        <v>0</v>
      </c>
      <c r="BJ89" s="18" t="s">
        <v>77</v>
      </c>
      <c r="BK89" s="145">
        <f>ROUND(I89*H89,2)</f>
        <v>0</v>
      </c>
      <c r="BL89" s="18" t="s">
        <v>158</v>
      </c>
      <c r="BM89" s="144" t="s">
        <v>1869</v>
      </c>
    </row>
    <row r="90" spans="2:65" s="1" customFormat="1" ht="11.25">
      <c r="B90" s="33"/>
      <c r="D90" s="146" t="s">
        <v>160</v>
      </c>
      <c r="F90" s="147" t="s">
        <v>1870</v>
      </c>
      <c r="I90" s="148"/>
      <c r="L90" s="33"/>
      <c r="M90" s="149"/>
      <c r="T90" s="54"/>
      <c r="AT90" s="18" t="s">
        <v>160</v>
      </c>
      <c r="AU90" s="18" t="s">
        <v>79</v>
      </c>
    </row>
    <row r="91" spans="2:65" s="1" customFormat="1" ht="24.2" customHeight="1">
      <c r="B91" s="132"/>
      <c r="C91" s="133" t="s">
        <v>168</v>
      </c>
      <c r="D91" s="133" t="s">
        <v>153</v>
      </c>
      <c r="E91" s="134" t="s">
        <v>1663</v>
      </c>
      <c r="F91" s="135" t="s">
        <v>1664</v>
      </c>
      <c r="G91" s="136" t="s">
        <v>156</v>
      </c>
      <c r="H91" s="137">
        <v>85.5</v>
      </c>
      <c r="I91" s="138"/>
      <c r="J91" s="139">
        <f>ROUND(I91*H91,2)</f>
        <v>0</v>
      </c>
      <c r="K91" s="135" t="s">
        <v>1654</v>
      </c>
      <c r="L91" s="33"/>
      <c r="M91" s="140" t="s">
        <v>3</v>
      </c>
      <c r="N91" s="141" t="s">
        <v>40</v>
      </c>
      <c r="P91" s="142">
        <f>O91*H91</f>
        <v>0</v>
      </c>
      <c r="Q91" s="142">
        <v>0</v>
      </c>
      <c r="R91" s="142">
        <f>Q91*H91</f>
        <v>0</v>
      </c>
      <c r="S91" s="142">
        <v>0</v>
      </c>
      <c r="T91" s="143">
        <f>S91*H91</f>
        <v>0</v>
      </c>
      <c r="AR91" s="144" t="s">
        <v>158</v>
      </c>
      <c r="AT91" s="144" t="s">
        <v>153</v>
      </c>
      <c r="AU91" s="144" t="s">
        <v>79</v>
      </c>
      <c r="AY91" s="18" t="s">
        <v>151</v>
      </c>
      <c r="BE91" s="145">
        <f>IF(N91="základní",J91,0)</f>
        <v>0</v>
      </c>
      <c r="BF91" s="145">
        <f>IF(N91="snížená",J91,0)</f>
        <v>0</v>
      </c>
      <c r="BG91" s="145">
        <f>IF(N91="zákl. přenesená",J91,0)</f>
        <v>0</v>
      </c>
      <c r="BH91" s="145">
        <f>IF(N91="sníž. přenesená",J91,0)</f>
        <v>0</v>
      </c>
      <c r="BI91" s="145">
        <f>IF(N91="nulová",J91,0)</f>
        <v>0</v>
      </c>
      <c r="BJ91" s="18" t="s">
        <v>77</v>
      </c>
      <c r="BK91" s="145">
        <f>ROUND(I91*H91,2)</f>
        <v>0</v>
      </c>
      <c r="BL91" s="18" t="s">
        <v>158</v>
      </c>
      <c r="BM91" s="144" t="s">
        <v>1871</v>
      </c>
    </row>
    <row r="92" spans="2:65" s="1" customFormat="1" ht="11.25">
      <c r="B92" s="33"/>
      <c r="D92" s="146" t="s">
        <v>160</v>
      </c>
      <c r="F92" s="147" t="s">
        <v>1666</v>
      </c>
      <c r="I92" s="148"/>
      <c r="L92" s="33"/>
      <c r="M92" s="149"/>
      <c r="T92" s="54"/>
      <c r="AT92" s="18" t="s">
        <v>160</v>
      </c>
      <c r="AU92" s="18" t="s">
        <v>79</v>
      </c>
    </row>
    <row r="93" spans="2:65" s="14" customFormat="1" ht="11.25">
      <c r="B93" s="165"/>
      <c r="D93" s="151" t="s">
        <v>162</v>
      </c>
      <c r="E93" s="166" t="s">
        <v>3</v>
      </c>
      <c r="F93" s="167" t="s">
        <v>1872</v>
      </c>
      <c r="H93" s="166" t="s">
        <v>3</v>
      </c>
      <c r="I93" s="168"/>
      <c r="L93" s="165"/>
      <c r="M93" s="169"/>
      <c r="T93" s="170"/>
      <c r="AT93" s="166" t="s">
        <v>162</v>
      </c>
      <c r="AU93" s="166" t="s">
        <v>79</v>
      </c>
      <c r="AV93" s="14" t="s">
        <v>77</v>
      </c>
      <c r="AW93" s="14" t="s">
        <v>30</v>
      </c>
      <c r="AX93" s="14" t="s">
        <v>69</v>
      </c>
      <c r="AY93" s="166" t="s">
        <v>151</v>
      </c>
    </row>
    <row r="94" spans="2:65" s="12" customFormat="1" ht="11.25">
      <c r="B94" s="150"/>
      <c r="D94" s="151" t="s">
        <v>162</v>
      </c>
      <c r="E94" s="152" t="s">
        <v>3</v>
      </c>
      <c r="F94" s="153" t="s">
        <v>1873</v>
      </c>
      <c r="H94" s="154">
        <v>85.5</v>
      </c>
      <c r="I94" s="155"/>
      <c r="L94" s="150"/>
      <c r="M94" s="156"/>
      <c r="T94" s="157"/>
      <c r="AT94" s="152" t="s">
        <v>162</v>
      </c>
      <c r="AU94" s="152" t="s">
        <v>79</v>
      </c>
      <c r="AV94" s="12" t="s">
        <v>79</v>
      </c>
      <c r="AW94" s="12" t="s">
        <v>30</v>
      </c>
      <c r="AX94" s="12" t="s">
        <v>69</v>
      </c>
      <c r="AY94" s="152" t="s">
        <v>151</v>
      </c>
    </row>
    <row r="95" spans="2:65" s="13" customFormat="1" ht="11.25">
      <c r="B95" s="158"/>
      <c r="D95" s="151" t="s">
        <v>162</v>
      </c>
      <c r="E95" s="159" t="s">
        <v>3</v>
      </c>
      <c r="F95" s="160" t="s">
        <v>167</v>
      </c>
      <c r="H95" s="161">
        <v>85.5</v>
      </c>
      <c r="I95" s="162"/>
      <c r="L95" s="158"/>
      <c r="M95" s="163"/>
      <c r="T95" s="164"/>
      <c r="AT95" s="159" t="s">
        <v>162</v>
      </c>
      <c r="AU95" s="159" t="s">
        <v>79</v>
      </c>
      <c r="AV95" s="13" t="s">
        <v>158</v>
      </c>
      <c r="AW95" s="13" t="s">
        <v>30</v>
      </c>
      <c r="AX95" s="13" t="s">
        <v>77</v>
      </c>
      <c r="AY95" s="159" t="s">
        <v>151</v>
      </c>
    </row>
    <row r="96" spans="2:65" s="1" customFormat="1" ht="24.2" customHeight="1">
      <c r="B96" s="132"/>
      <c r="C96" s="133" t="s">
        <v>158</v>
      </c>
      <c r="D96" s="133" t="s">
        <v>153</v>
      </c>
      <c r="E96" s="134" t="s">
        <v>1677</v>
      </c>
      <c r="F96" s="135" t="s">
        <v>1874</v>
      </c>
      <c r="G96" s="136" t="s">
        <v>230</v>
      </c>
      <c r="H96" s="137">
        <v>180</v>
      </c>
      <c r="I96" s="138"/>
      <c r="J96" s="139">
        <f>ROUND(I96*H96,2)</f>
        <v>0</v>
      </c>
      <c r="K96" s="135" t="s">
        <v>1654</v>
      </c>
      <c r="L96" s="33"/>
      <c r="M96" s="140" t="s">
        <v>3</v>
      </c>
      <c r="N96" s="141" t="s">
        <v>40</v>
      </c>
      <c r="P96" s="142">
        <f>O96*H96</f>
        <v>0</v>
      </c>
      <c r="Q96" s="142">
        <v>8.4999999999999995E-4</v>
      </c>
      <c r="R96" s="142">
        <f>Q96*H96</f>
        <v>0.153</v>
      </c>
      <c r="S96" s="142">
        <v>0</v>
      </c>
      <c r="T96" s="143">
        <f>S96*H96</f>
        <v>0</v>
      </c>
      <c r="AR96" s="144" t="s">
        <v>158</v>
      </c>
      <c r="AT96" s="144" t="s">
        <v>153</v>
      </c>
      <c r="AU96" s="144" t="s">
        <v>79</v>
      </c>
      <c r="AY96" s="18" t="s">
        <v>151</v>
      </c>
      <c r="BE96" s="145">
        <f>IF(N96="základní",J96,0)</f>
        <v>0</v>
      </c>
      <c r="BF96" s="145">
        <f>IF(N96="snížená",J96,0)</f>
        <v>0</v>
      </c>
      <c r="BG96" s="145">
        <f>IF(N96="zákl. přenesená",J96,0)</f>
        <v>0</v>
      </c>
      <c r="BH96" s="145">
        <f>IF(N96="sníž. přenesená",J96,0)</f>
        <v>0</v>
      </c>
      <c r="BI96" s="145">
        <f>IF(N96="nulová",J96,0)</f>
        <v>0</v>
      </c>
      <c r="BJ96" s="18" t="s">
        <v>77</v>
      </c>
      <c r="BK96" s="145">
        <f>ROUND(I96*H96,2)</f>
        <v>0</v>
      </c>
      <c r="BL96" s="18" t="s">
        <v>158</v>
      </c>
      <c r="BM96" s="144" t="s">
        <v>1875</v>
      </c>
    </row>
    <row r="97" spans="2:65" s="1" customFormat="1" ht="11.25">
      <c r="B97" s="33"/>
      <c r="D97" s="146" t="s">
        <v>160</v>
      </c>
      <c r="F97" s="147" t="s">
        <v>1680</v>
      </c>
      <c r="I97" s="148"/>
      <c r="L97" s="33"/>
      <c r="M97" s="149"/>
      <c r="T97" s="54"/>
      <c r="AT97" s="18" t="s">
        <v>160</v>
      </c>
      <c r="AU97" s="18" t="s">
        <v>79</v>
      </c>
    </row>
    <row r="98" spans="2:65" s="14" customFormat="1" ht="11.25">
      <c r="B98" s="165"/>
      <c r="D98" s="151" t="s">
        <v>162</v>
      </c>
      <c r="E98" s="166" t="s">
        <v>3</v>
      </c>
      <c r="F98" s="167" t="s">
        <v>1876</v>
      </c>
      <c r="H98" s="166" t="s">
        <v>3</v>
      </c>
      <c r="I98" s="168"/>
      <c r="L98" s="165"/>
      <c r="M98" s="169"/>
      <c r="T98" s="170"/>
      <c r="AT98" s="166" t="s">
        <v>162</v>
      </c>
      <c r="AU98" s="166" t="s">
        <v>79</v>
      </c>
      <c r="AV98" s="14" t="s">
        <v>77</v>
      </c>
      <c r="AW98" s="14" t="s">
        <v>30</v>
      </c>
      <c r="AX98" s="14" t="s">
        <v>69</v>
      </c>
      <c r="AY98" s="166" t="s">
        <v>151</v>
      </c>
    </row>
    <row r="99" spans="2:65" s="12" customFormat="1" ht="11.25">
      <c r="B99" s="150"/>
      <c r="D99" s="151" t="s">
        <v>162</v>
      </c>
      <c r="E99" s="152" t="s">
        <v>3</v>
      </c>
      <c r="F99" s="153" t="s">
        <v>1877</v>
      </c>
      <c r="H99" s="154">
        <v>180</v>
      </c>
      <c r="I99" s="155"/>
      <c r="L99" s="150"/>
      <c r="M99" s="156"/>
      <c r="T99" s="157"/>
      <c r="AT99" s="152" t="s">
        <v>162</v>
      </c>
      <c r="AU99" s="152" t="s">
        <v>79</v>
      </c>
      <c r="AV99" s="12" t="s">
        <v>79</v>
      </c>
      <c r="AW99" s="12" t="s">
        <v>30</v>
      </c>
      <c r="AX99" s="12" t="s">
        <v>69</v>
      </c>
      <c r="AY99" s="152" t="s">
        <v>151</v>
      </c>
    </row>
    <row r="100" spans="2:65" s="13" customFormat="1" ht="11.25">
      <c r="B100" s="158"/>
      <c r="D100" s="151" t="s">
        <v>162</v>
      </c>
      <c r="E100" s="159" t="s">
        <v>3</v>
      </c>
      <c r="F100" s="160" t="s">
        <v>167</v>
      </c>
      <c r="H100" s="161">
        <v>180</v>
      </c>
      <c r="I100" s="162"/>
      <c r="L100" s="158"/>
      <c r="M100" s="163"/>
      <c r="T100" s="164"/>
      <c r="AT100" s="159" t="s">
        <v>162</v>
      </c>
      <c r="AU100" s="159" t="s">
        <v>79</v>
      </c>
      <c r="AV100" s="13" t="s">
        <v>158</v>
      </c>
      <c r="AW100" s="13" t="s">
        <v>30</v>
      </c>
      <c r="AX100" s="13" t="s">
        <v>77</v>
      </c>
      <c r="AY100" s="159" t="s">
        <v>151</v>
      </c>
    </row>
    <row r="101" spans="2:65" s="1" customFormat="1" ht="37.9" customHeight="1">
      <c r="B101" s="132"/>
      <c r="C101" s="133" t="s">
        <v>180</v>
      </c>
      <c r="D101" s="133" t="s">
        <v>153</v>
      </c>
      <c r="E101" s="134" t="s">
        <v>1878</v>
      </c>
      <c r="F101" s="135" t="s">
        <v>1879</v>
      </c>
      <c r="G101" s="136" t="s">
        <v>156</v>
      </c>
      <c r="H101" s="137">
        <v>67.5</v>
      </c>
      <c r="I101" s="138"/>
      <c r="J101" s="139">
        <f>ROUND(I101*H101,2)</f>
        <v>0</v>
      </c>
      <c r="K101" s="135" t="s">
        <v>1654</v>
      </c>
      <c r="L101" s="33"/>
      <c r="M101" s="140" t="s">
        <v>3</v>
      </c>
      <c r="N101" s="141" t="s">
        <v>40</v>
      </c>
      <c r="P101" s="142">
        <f>O101*H101</f>
        <v>0</v>
      </c>
      <c r="Q101" s="142">
        <v>0</v>
      </c>
      <c r="R101" s="142">
        <f>Q101*H101</f>
        <v>0</v>
      </c>
      <c r="S101" s="142">
        <v>0</v>
      </c>
      <c r="T101" s="143">
        <f>S101*H101</f>
        <v>0</v>
      </c>
      <c r="AR101" s="144" t="s">
        <v>158</v>
      </c>
      <c r="AT101" s="144" t="s">
        <v>153</v>
      </c>
      <c r="AU101" s="144" t="s">
        <v>79</v>
      </c>
      <c r="AY101" s="18" t="s">
        <v>151</v>
      </c>
      <c r="BE101" s="145">
        <f>IF(N101="základní",J101,0)</f>
        <v>0</v>
      </c>
      <c r="BF101" s="145">
        <f>IF(N101="snížená",J101,0)</f>
        <v>0</v>
      </c>
      <c r="BG101" s="145">
        <f>IF(N101="zákl. přenesená",J101,0)</f>
        <v>0</v>
      </c>
      <c r="BH101" s="145">
        <f>IF(N101="sníž. přenesená",J101,0)</f>
        <v>0</v>
      </c>
      <c r="BI101" s="145">
        <f>IF(N101="nulová",J101,0)</f>
        <v>0</v>
      </c>
      <c r="BJ101" s="18" t="s">
        <v>77</v>
      </c>
      <c r="BK101" s="145">
        <f>ROUND(I101*H101,2)</f>
        <v>0</v>
      </c>
      <c r="BL101" s="18" t="s">
        <v>158</v>
      </c>
      <c r="BM101" s="144" t="s">
        <v>1880</v>
      </c>
    </row>
    <row r="102" spans="2:65" s="1" customFormat="1" ht="11.25">
      <c r="B102" s="33"/>
      <c r="D102" s="146" t="s">
        <v>160</v>
      </c>
      <c r="F102" s="147" t="s">
        <v>1881</v>
      </c>
      <c r="I102" s="148"/>
      <c r="L102" s="33"/>
      <c r="M102" s="149"/>
      <c r="T102" s="54"/>
      <c r="AT102" s="18" t="s">
        <v>160</v>
      </c>
      <c r="AU102" s="18" t="s">
        <v>79</v>
      </c>
    </row>
    <row r="103" spans="2:65" s="12" customFormat="1" ht="11.25">
      <c r="B103" s="150"/>
      <c r="D103" s="151" t="s">
        <v>162</v>
      </c>
      <c r="E103" s="152" t="s">
        <v>3</v>
      </c>
      <c r="F103" s="153" t="s">
        <v>1882</v>
      </c>
      <c r="H103" s="154">
        <v>67.5</v>
      </c>
      <c r="I103" s="155"/>
      <c r="L103" s="150"/>
      <c r="M103" s="156"/>
      <c r="T103" s="157"/>
      <c r="AT103" s="152" t="s">
        <v>162</v>
      </c>
      <c r="AU103" s="152" t="s">
        <v>79</v>
      </c>
      <c r="AV103" s="12" t="s">
        <v>79</v>
      </c>
      <c r="AW103" s="12" t="s">
        <v>30</v>
      </c>
      <c r="AX103" s="12" t="s">
        <v>77</v>
      </c>
      <c r="AY103" s="152" t="s">
        <v>151</v>
      </c>
    </row>
    <row r="104" spans="2:65" s="1" customFormat="1" ht="37.9" customHeight="1">
      <c r="B104" s="132"/>
      <c r="C104" s="133" t="s">
        <v>195</v>
      </c>
      <c r="D104" s="133" t="s">
        <v>153</v>
      </c>
      <c r="E104" s="134" t="s">
        <v>169</v>
      </c>
      <c r="F104" s="135" t="s">
        <v>170</v>
      </c>
      <c r="G104" s="136" t="s">
        <v>156</v>
      </c>
      <c r="H104" s="137">
        <v>18</v>
      </c>
      <c r="I104" s="138"/>
      <c r="J104" s="139">
        <f>ROUND(I104*H104,2)</f>
        <v>0</v>
      </c>
      <c r="K104" s="135" t="s">
        <v>1654</v>
      </c>
      <c r="L104" s="33"/>
      <c r="M104" s="140" t="s">
        <v>3</v>
      </c>
      <c r="N104" s="141" t="s">
        <v>40</v>
      </c>
      <c r="P104" s="142">
        <f>O104*H104</f>
        <v>0</v>
      </c>
      <c r="Q104" s="142">
        <v>0</v>
      </c>
      <c r="R104" s="142">
        <f>Q104*H104</f>
        <v>0</v>
      </c>
      <c r="S104" s="142">
        <v>0</v>
      </c>
      <c r="T104" s="143">
        <f>S104*H104</f>
        <v>0</v>
      </c>
      <c r="AR104" s="144" t="s">
        <v>158</v>
      </c>
      <c r="AT104" s="144" t="s">
        <v>153</v>
      </c>
      <c r="AU104" s="144" t="s">
        <v>79</v>
      </c>
      <c r="AY104" s="18" t="s">
        <v>151</v>
      </c>
      <c r="BE104" s="145">
        <f>IF(N104="základní",J104,0)</f>
        <v>0</v>
      </c>
      <c r="BF104" s="145">
        <f>IF(N104="snížená",J104,0)</f>
        <v>0</v>
      </c>
      <c r="BG104" s="145">
        <f>IF(N104="zákl. přenesená",J104,0)</f>
        <v>0</v>
      </c>
      <c r="BH104" s="145">
        <f>IF(N104="sníž. přenesená",J104,0)</f>
        <v>0</v>
      </c>
      <c r="BI104" s="145">
        <f>IF(N104="nulová",J104,0)</f>
        <v>0</v>
      </c>
      <c r="BJ104" s="18" t="s">
        <v>77</v>
      </c>
      <c r="BK104" s="145">
        <f>ROUND(I104*H104,2)</f>
        <v>0</v>
      </c>
      <c r="BL104" s="18" t="s">
        <v>158</v>
      </c>
      <c r="BM104" s="144" t="s">
        <v>1883</v>
      </c>
    </row>
    <row r="105" spans="2:65" s="1" customFormat="1" ht="11.25">
      <c r="B105" s="33"/>
      <c r="D105" s="146" t="s">
        <v>160</v>
      </c>
      <c r="F105" s="147" t="s">
        <v>1685</v>
      </c>
      <c r="I105" s="148"/>
      <c r="L105" s="33"/>
      <c r="M105" s="149"/>
      <c r="T105" s="54"/>
      <c r="AT105" s="18" t="s">
        <v>160</v>
      </c>
      <c r="AU105" s="18" t="s">
        <v>79</v>
      </c>
    </row>
    <row r="106" spans="2:65" s="12" customFormat="1" ht="11.25">
      <c r="B106" s="150"/>
      <c r="D106" s="151" t="s">
        <v>162</v>
      </c>
      <c r="E106" s="152" t="s">
        <v>3</v>
      </c>
      <c r="F106" s="153" t="s">
        <v>1884</v>
      </c>
      <c r="H106" s="154">
        <v>18</v>
      </c>
      <c r="I106" s="155"/>
      <c r="L106" s="150"/>
      <c r="M106" s="156"/>
      <c r="T106" s="157"/>
      <c r="AT106" s="152" t="s">
        <v>162</v>
      </c>
      <c r="AU106" s="152" t="s">
        <v>79</v>
      </c>
      <c r="AV106" s="12" t="s">
        <v>79</v>
      </c>
      <c r="AW106" s="12" t="s">
        <v>30</v>
      </c>
      <c r="AX106" s="12" t="s">
        <v>77</v>
      </c>
      <c r="AY106" s="152" t="s">
        <v>151</v>
      </c>
    </row>
    <row r="107" spans="2:65" s="1" customFormat="1" ht="37.9" customHeight="1">
      <c r="B107" s="132"/>
      <c r="C107" s="133" t="s">
        <v>203</v>
      </c>
      <c r="D107" s="133" t="s">
        <v>153</v>
      </c>
      <c r="E107" s="134" t="s">
        <v>175</v>
      </c>
      <c r="F107" s="135" t="s">
        <v>176</v>
      </c>
      <c r="G107" s="136" t="s">
        <v>156</v>
      </c>
      <c r="H107" s="137">
        <v>360</v>
      </c>
      <c r="I107" s="138"/>
      <c r="J107" s="139">
        <f>ROUND(I107*H107,2)</f>
        <v>0</v>
      </c>
      <c r="K107" s="135" t="s">
        <v>1654</v>
      </c>
      <c r="L107" s="33"/>
      <c r="M107" s="140" t="s">
        <v>3</v>
      </c>
      <c r="N107" s="141" t="s">
        <v>40</v>
      </c>
      <c r="P107" s="142">
        <f>O107*H107</f>
        <v>0</v>
      </c>
      <c r="Q107" s="142">
        <v>0</v>
      </c>
      <c r="R107" s="142">
        <f>Q107*H107</f>
        <v>0</v>
      </c>
      <c r="S107" s="142">
        <v>0</v>
      </c>
      <c r="T107" s="143">
        <f>S107*H107</f>
        <v>0</v>
      </c>
      <c r="AR107" s="144" t="s">
        <v>158</v>
      </c>
      <c r="AT107" s="144" t="s">
        <v>153</v>
      </c>
      <c r="AU107" s="144" t="s">
        <v>79</v>
      </c>
      <c r="AY107" s="18" t="s">
        <v>151</v>
      </c>
      <c r="BE107" s="145">
        <f>IF(N107="základní",J107,0)</f>
        <v>0</v>
      </c>
      <c r="BF107" s="145">
        <f>IF(N107="snížená",J107,0)</f>
        <v>0</v>
      </c>
      <c r="BG107" s="145">
        <f>IF(N107="zákl. přenesená",J107,0)</f>
        <v>0</v>
      </c>
      <c r="BH107" s="145">
        <f>IF(N107="sníž. přenesená",J107,0)</f>
        <v>0</v>
      </c>
      <c r="BI107" s="145">
        <f>IF(N107="nulová",J107,0)</f>
        <v>0</v>
      </c>
      <c r="BJ107" s="18" t="s">
        <v>77</v>
      </c>
      <c r="BK107" s="145">
        <f>ROUND(I107*H107,2)</f>
        <v>0</v>
      </c>
      <c r="BL107" s="18" t="s">
        <v>158</v>
      </c>
      <c r="BM107" s="144" t="s">
        <v>1885</v>
      </c>
    </row>
    <row r="108" spans="2:65" s="1" customFormat="1" ht="11.25">
      <c r="B108" s="33"/>
      <c r="D108" s="146" t="s">
        <v>160</v>
      </c>
      <c r="F108" s="147" t="s">
        <v>1688</v>
      </c>
      <c r="I108" s="148"/>
      <c r="L108" s="33"/>
      <c r="M108" s="149"/>
      <c r="T108" s="54"/>
      <c r="AT108" s="18" t="s">
        <v>160</v>
      </c>
      <c r="AU108" s="18" t="s">
        <v>79</v>
      </c>
    </row>
    <row r="109" spans="2:65" s="12" customFormat="1" ht="11.25">
      <c r="B109" s="150"/>
      <c r="D109" s="151" t="s">
        <v>162</v>
      </c>
      <c r="E109" s="152" t="s">
        <v>3</v>
      </c>
      <c r="F109" s="153" t="s">
        <v>1886</v>
      </c>
      <c r="H109" s="154">
        <v>360</v>
      </c>
      <c r="I109" s="155"/>
      <c r="L109" s="150"/>
      <c r="M109" s="156"/>
      <c r="T109" s="157"/>
      <c r="AT109" s="152" t="s">
        <v>162</v>
      </c>
      <c r="AU109" s="152" t="s">
        <v>79</v>
      </c>
      <c r="AV109" s="12" t="s">
        <v>79</v>
      </c>
      <c r="AW109" s="12" t="s">
        <v>30</v>
      </c>
      <c r="AX109" s="12" t="s">
        <v>77</v>
      </c>
      <c r="AY109" s="152" t="s">
        <v>151</v>
      </c>
    </row>
    <row r="110" spans="2:65" s="1" customFormat="1" ht="24.2" customHeight="1">
      <c r="B110" s="132"/>
      <c r="C110" s="133" t="s">
        <v>214</v>
      </c>
      <c r="D110" s="133" t="s">
        <v>153</v>
      </c>
      <c r="E110" s="134" t="s">
        <v>181</v>
      </c>
      <c r="F110" s="135" t="s">
        <v>182</v>
      </c>
      <c r="G110" s="136" t="s">
        <v>183</v>
      </c>
      <c r="H110" s="137">
        <v>32.4</v>
      </c>
      <c r="I110" s="138"/>
      <c r="J110" s="139">
        <f>ROUND(I110*H110,2)</f>
        <v>0</v>
      </c>
      <c r="K110" s="135" t="s">
        <v>1654</v>
      </c>
      <c r="L110" s="33"/>
      <c r="M110" s="140" t="s">
        <v>3</v>
      </c>
      <c r="N110" s="141" t="s">
        <v>40</v>
      </c>
      <c r="P110" s="142">
        <f>O110*H110</f>
        <v>0</v>
      </c>
      <c r="Q110" s="142">
        <v>0</v>
      </c>
      <c r="R110" s="142">
        <f>Q110*H110</f>
        <v>0</v>
      </c>
      <c r="S110" s="142">
        <v>0</v>
      </c>
      <c r="T110" s="143">
        <f>S110*H110</f>
        <v>0</v>
      </c>
      <c r="AR110" s="144" t="s">
        <v>158</v>
      </c>
      <c r="AT110" s="144" t="s">
        <v>153</v>
      </c>
      <c r="AU110" s="144" t="s">
        <v>79</v>
      </c>
      <c r="AY110" s="18" t="s">
        <v>151</v>
      </c>
      <c r="BE110" s="145">
        <f>IF(N110="základní",J110,0)</f>
        <v>0</v>
      </c>
      <c r="BF110" s="145">
        <f>IF(N110="snížená",J110,0)</f>
        <v>0</v>
      </c>
      <c r="BG110" s="145">
        <f>IF(N110="zákl. přenesená",J110,0)</f>
        <v>0</v>
      </c>
      <c r="BH110" s="145">
        <f>IF(N110="sníž. přenesená",J110,0)</f>
        <v>0</v>
      </c>
      <c r="BI110" s="145">
        <f>IF(N110="nulová",J110,0)</f>
        <v>0</v>
      </c>
      <c r="BJ110" s="18" t="s">
        <v>77</v>
      </c>
      <c r="BK110" s="145">
        <f>ROUND(I110*H110,2)</f>
        <v>0</v>
      </c>
      <c r="BL110" s="18" t="s">
        <v>158</v>
      </c>
      <c r="BM110" s="144" t="s">
        <v>1887</v>
      </c>
    </row>
    <row r="111" spans="2:65" s="1" customFormat="1" ht="11.25">
      <c r="B111" s="33"/>
      <c r="D111" s="146" t="s">
        <v>160</v>
      </c>
      <c r="F111" s="147" t="s">
        <v>1691</v>
      </c>
      <c r="I111" s="148"/>
      <c r="L111" s="33"/>
      <c r="M111" s="149"/>
      <c r="T111" s="54"/>
      <c r="AT111" s="18" t="s">
        <v>160</v>
      </c>
      <c r="AU111" s="18" t="s">
        <v>79</v>
      </c>
    </row>
    <row r="112" spans="2:65" s="12" customFormat="1" ht="11.25">
      <c r="B112" s="150"/>
      <c r="D112" s="151" t="s">
        <v>162</v>
      </c>
      <c r="E112" s="152" t="s">
        <v>3</v>
      </c>
      <c r="F112" s="153" t="s">
        <v>1888</v>
      </c>
      <c r="H112" s="154">
        <v>32.4</v>
      </c>
      <c r="I112" s="155"/>
      <c r="L112" s="150"/>
      <c r="M112" s="156"/>
      <c r="T112" s="157"/>
      <c r="AT112" s="152" t="s">
        <v>162</v>
      </c>
      <c r="AU112" s="152" t="s">
        <v>79</v>
      </c>
      <c r="AV112" s="12" t="s">
        <v>79</v>
      </c>
      <c r="AW112" s="12" t="s">
        <v>30</v>
      </c>
      <c r="AX112" s="12" t="s">
        <v>77</v>
      </c>
      <c r="AY112" s="152" t="s">
        <v>151</v>
      </c>
    </row>
    <row r="113" spans="2:65" s="1" customFormat="1" ht="24.2" customHeight="1">
      <c r="B113" s="132"/>
      <c r="C113" s="133" t="s">
        <v>227</v>
      </c>
      <c r="D113" s="133" t="s">
        <v>153</v>
      </c>
      <c r="E113" s="134" t="s">
        <v>188</v>
      </c>
      <c r="F113" s="135" t="s">
        <v>189</v>
      </c>
      <c r="G113" s="136" t="s">
        <v>156</v>
      </c>
      <c r="H113" s="137">
        <v>67.5</v>
      </c>
      <c r="I113" s="138"/>
      <c r="J113" s="139">
        <f>ROUND(I113*H113,2)</f>
        <v>0</v>
      </c>
      <c r="K113" s="135" t="s">
        <v>1654</v>
      </c>
      <c r="L113" s="33"/>
      <c r="M113" s="140" t="s">
        <v>3</v>
      </c>
      <c r="N113" s="141" t="s">
        <v>40</v>
      </c>
      <c r="P113" s="142">
        <f>O113*H113</f>
        <v>0</v>
      </c>
      <c r="Q113" s="142">
        <v>0</v>
      </c>
      <c r="R113" s="142">
        <f>Q113*H113</f>
        <v>0</v>
      </c>
      <c r="S113" s="142">
        <v>0</v>
      </c>
      <c r="T113" s="143">
        <f>S113*H113</f>
        <v>0</v>
      </c>
      <c r="AR113" s="144" t="s">
        <v>158</v>
      </c>
      <c r="AT113" s="144" t="s">
        <v>153</v>
      </c>
      <c r="AU113" s="144" t="s">
        <v>79</v>
      </c>
      <c r="AY113" s="18" t="s">
        <v>151</v>
      </c>
      <c r="BE113" s="145">
        <f>IF(N113="základní",J113,0)</f>
        <v>0</v>
      </c>
      <c r="BF113" s="145">
        <f>IF(N113="snížená",J113,0)</f>
        <v>0</v>
      </c>
      <c r="BG113" s="145">
        <f>IF(N113="zákl. přenesená",J113,0)</f>
        <v>0</v>
      </c>
      <c r="BH113" s="145">
        <f>IF(N113="sníž. přenesená",J113,0)</f>
        <v>0</v>
      </c>
      <c r="BI113" s="145">
        <f>IF(N113="nulová",J113,0)</f>
        <v>0</v>
      </c>
      <c r="BJ113" s="18" t="s">
        <v>77</v>
      </c>
      <c r="BK113" s="145">
        <f>ROUND(I113*H113,2)</f>
        <v>0</v>
      </c>
      <c r="BL113" s="18" t="s">
        <v>158</v>
      </c>
      <c r="BM113" s="144" t="s">
        <v>1889</v>
      </c>
    </row>
    <row r="114" spans="2:65" s="1" customFormat="1" ht="11.25">
      <c r="B114" s="33"/>
      <c r="D114" s="146" t="s">
        <v>160</v>
      </c>
      <c r="F114" s="147" t="s">
        <v>1694</v>
      </c>
      <c r="I114" s="148"/>
      <c r="L114" s="33"/>
      <c r="M114" s="149"/>
      <c r="T114" s="54"/>
      <c r="AT114" s="18" t="s">
        <v>160</v>
      </c>
      <c r="AU114" s="18" t="s">
        <v>79</v>
      </c>
    </row>
    <row r="115" spans="2:65" s="12" customFormat="1" ht="11.25">
      <c r="B115" s="150"/>
      <c r="D115" s="151" t="s">
        <v>162</v>
      </c>
      <c r="E115" s="152" t="s">
        <v>3</v>
      </c>
      <c r="F115" s="153" t="s">
        <v>1890</v>
      </c>
      <c r="H115" s="154">
        <v>67.5</v>
      </c>
      <c r="I115" s="155"/>
      <c r="L115" s="150"/>
      <c r="M115" s="156"/>
      <c r="T115" s="157"/>
      <c r="AT115" s="152" t="s">
        <v>162</v>
      </c>
      <c r="AU115" s="152" t="s">
        <v>79</v>
      </c>
      <c r="AV115" s="12" t="s">
        <v>79</v>
      </c>
      <c r="AW115" s="12" t="s">
        <v>30</v>
      </c>
      <c r="AX115" s="12" t="s">
        <v>77</v>
      </c>
      <c r="AY115" s="152" t="s">
        <v>151</v>
      </c>
    </row>
    <row r="116" spans="2:65" s="1" customFormat="1" ht="37.9" customHeight="1">
      <c r="B116" s="132"/>
      <c r="C116" s="133" t="s">
        <v>235</v>
      </c>
      <c r="D116" s="133" t="s">
        <v>153</v>
      </c>
      <c r="E116" s="134" t="s">
        <v>1700</v>
      </c>
      <c r="F116" s="135" t="s">
        <v>1701</v>
      </c>
      <c r="G116" s="136" t="s">
        <v>156</v>
      </c>
      <c r="H116" s="137">
        <v>18</v>
      </c>
      <c r="I116" s="138"/>
      <c r="J116" s="139">
        <f>ROUND(I116*H116,2)</f>
        <v>0</v>
      </c>
      <c r="K116" s="135" t="s">
        <v>1654</v>
      </c>
      <c r="L116" s="33"/>
      <c r="M116" s="140" t="s">
        <v>3</v>
      </c>
      <c r="N116" s="141" t="s">
        <v>40</v>
      </c>
      <c r="P116" s="142">
        <f>O116*H116</f>
        <v>0</v>
      </c>
      <c r="Q116" s="142">
        <v>0</v>
      </c>
      <c r="R116" s="142">
        <f>Q116*H116</f>
        <v>0</v>
      </c>
      <c r="S116" s="142">
        <v>0</v>
      </c>
      <c r="T116" s="143">
        <f>S116*H116</f>
        <v>0</v>
      </c>
      <c r="AR116" s="144" t="s">
        <v>158</v>
      </c>
      <c r="AT116" s="144" t="s">
        <v>153</v>
      </c>
      <c r="AU116" s="144" t="s">
        <v>79</v>
      </c>
      <c r="AY116" s="18" t="s">
        <v>151</v>
      </c>
      <c r="BE116" s="145">
        <f>IF(N116="základní",J116,0)</f>
        <v>0</v>
      </c>
      <c r="BF116" s="145">
        <f>IF(N116="snížená",J116,0)</f>
        <v>0</v>
      </c>
      <c r="BG116" s="145">
        <f>IF(N116="zákl. přenesená",J116,0)</f>
        <v>0</v>
      </c>
      <c r="BH116" s="145">
        <f>IF(N116="sníž. přenesená",J116,0)</f>
        <v>0</v>
      </c>
      <c r="BI116" s="145">
        <f>IF(N116="nulová",J116,0)</f>
        <v>0</v>
      </c>
      <c r="BJ116" s="18" t="s">
        <v>77</v>
      </c>
      <c r="BK116" s="145">
        <f>ROUND(I116*H116,2)</f>
        <v>0</v>
      </c>
      <c r="BL116" s="18" t="s">
        <v>158</v>
      </c>
      <c r="BM116" s="144" t="s">
        <v>1891</v>
      </c>
    </row>
    <row r="117" spans="2:65" s="1" customFormat="1" ht="11.25">
      <c r="B117" s="33"/>
      <c r="D117" s="146" t="s">
        <v>160</v>
      </c>
      <c r="F117" s="147" t="s">
        <v>1703</v>
      </c>
      <c r="I117" s="148"/>
      <c r="L117" s="33"/>
      <c r="M117" s="149"/>
      <c r="T117" s="54"/>
      <c r="AT117" s="18" t="s">
        <v>160</v>
      </c>
      <c r="AU117" s="18" t="s">
        <v>79</v>
      </c>
    </row>
    <row r="118" spans="2:65" s="12" customFormat="1" ht="11.25">
      <c r="B118" s="150"/>
      <c r="D118" s="151" t="s">
        <v>162</v>
      </c>
      <c r="E118" s="152" t="s">
        <v>3</v>
      </c>
      <c r="F118" s="153" t="s">
        <v>1892</v>
      </c>
      <c r="H118" s="154">
        <v>18</v>
      </c>
      <c r="I118" s="155"/>
      <c r="L118" s="150"/>
      <c r="M118" s="156"/>
      <c r="T118" s="157"/>
      <c r="AT118" s="152" t="s">
        <v>162</v>
      </c>
      <c r="AU118" s="152" t="s">
        <v>79</v>
      </c>
      <c r="AV118" s="12" t="s">
        <v>79</v>
      </c>
      <c r="AW118" s="12" t="s">
        <v>30</v>
      </c>
      <c r="AX118" s="12" t="s">
        <v>77</v>
      </c>
      <c r="AY118" s="152" t="s">
        <v>151</v>
      </c>
    </row>
    <row r="119" spans="2:65" s="1" customFormat="1" ht="16.5" customHeight="1">
      <c r="B119" s="132"/>
      <c r="C119" s="172" t="s">
        <v>240</v>
      </c>
      <c r="D119" s="172" t="s">
        <v>436</v>
      </c>
      <c r="E119" s="173" t="s">
        <v>1709</v>
      </c>
      <c r="F119" s="174" t="s">
        <v>1710</v>
      </c>
      <c r="G119" s="175" t="s">
        <v>183</v>
      </c>
      <c r="H119" s="176">
        <v>36</v>
      </c>
      <c r="I119" s="177"/>
      <c r="J119" s="178">
        <f>ROUND(I119*H119,2)</f>
        <v>0</v>
      </c>
      <c r="K119" s="174" t="s">
        <v>1654</v>
      </c>
      <c r="L119" s="179"/>
      <c r="M119" s="180" t="s">
        <v>3</v>
      </c>
      <c r="N119" s="181" t="s">
        <v>40</v>
      </c>
      <c r="P119" s="142">
        <f>O119*H119</f>
        <v>0</v>
      </c>
      <c r="Q119" s="142">
        <v>1</v>
      </c>
      <c r="R119" s="142">
        <f>Q119*H119</f>
        <v>36</v>
      </c>
      <c r="S119" s="142">
        <v>0</v>
      </c>
      <c r="T119" s="143">
        <f>S119*H119</f>
        <v>0</v>
      </c>
      <c r="AR119" s="144" t="s">
        <v>214</v>
      </c>
      <c r="AT119" s="144" t="s">
        <v>436</v>
      </c>
      <c r="AU119" s="144" t="s">
        <v>79</v>
      </c>
      <c r="AY119" s="18" t="s">
        <v>151</v>
      </c>
      <c r="BE119" s="145">
        <f>IF(N119="základní",J119,0)</f>
        <v>0</v>
      </c>
      <c r="BF119" s="145">
        <f>IF(N119="snížená",J119,0)</f>
        <v>0</v>
      </c>
      <c r="BG119" s="145">
        <f>IF(N119="zákl. přenesená",J119,0)</f>
        <v>0</v>
      </c>
      <c r="BH119" s="145">
        <f>IF(N119="sníž. přenesená",J119,0)</f>
        <v>0</v>
      </c>
      <c r="BI119" s="145">
        <f>IF(N119="nulová",J119,0)</f>
        <v>0</v>
      </c>
      <c r="BJ119" s="18" t="s">
        <v>77</v>
      </c>
      <c r="BK119" s="145">
        <f>ROUND(I119*H119,2)</f>
        <v>0</v>
      </c>
      <c r="BL119" s="18" t="s">
        <v>158</v>
      </c>
      <c r="BM119" s="144" t="s">
        <v>1893</v>
      </c>
    </row>
    <row r="120" spans="2:65" s="12" customFormat="1" ht="11.25">
      <c r="B120" s="150"/>
      <c r="D120" s="151" t="s">
        <v>162</v>
      </c>
      <c r="F120" s="153" t="s">
        <v>1894</v>
      </c>
      <c r="H120" s="154">
        <v>36</v>
      </c>
      <c r="I120" s="155"/>
      <c r="L120" s="150"/>
      <c r="M120" s="156"/>
      <c r="T120" s="157"/>
      <c r="AT120" s="152" t="s">
        <v>162</v>
      </c>
      <c r="AU120" s="152" t="s">
        <v>79</v>
      </c>
      <c r="AV120" s="12" t="s">
        <v>79</v>
      </c>
      <c r="AW120" s="12" t="s">
        <v>4</v>
      </c>
      <c r="AX120" s="12" t="s">
        <v>77</v>
      </c>
      <c r="AY120" s="152" t="s">
        <v>151</v>
      </c>
    </row>
    <row r="121" spans="2:65" s="11" customFormat="1" ht="22.9" customHeight="1">
      <c r="B121" s="120"/>
      <c r="D121" s="121" t="s">
        <v>68</v>
      </c>
      <c r="E121" s="130" t="s">
        <v>180</v>
      </c>
      <c r="F121" s="130" t="s">
        <v>1518</v>
      </c>
      <c r="I121" s="123"/>
      <c r="J121" s="131">
        <f>BK121</f>
        <v>0</v>
      </c>
      <c r="L121" s="120"/>
      <c r="M121" s="125"/>
      <c r="P121" s="126">
        <f>SUM(P122:P128)</f>
        <v>0</v>
      </c>
      <c r="R121" s="126">
        <f>SUM(R122:R128)</f>
        <v>0</v>
      </c>
      <c r="T121" s="127">
        <f>SUM(T122:T128)</f>
        <v>0</v>
      </c>
      <c r="AR121" s="121" t="s">
        <v>77</v>
      </c>
      <c r="AT121" s="128" t="s">
        <v>68</v>
      </c>
      <c r="AU121" s="128" t="s">
        <v>77</v>
      </c>
      <c r="AY121" s="121" t="s">
        <v>151</v>
      </c>
      <c r="BK121" s="129">
        <f>SUM(BK122:BK128)</f>
        <v>0</v>
      </c>
    </row>
    <row r="122" spans="2:65" s="1" customFormat="1" ht="21.75" customHeight="1">
      <c r="B122" s="132"/>
      <c r="C122" s="133" t="s">
        <v>246</v>
      </c>
      <c r="D122" s="133" t="s">
        <v>153</v>
      </c>
      <c r="E122" s="134" t="s">
        <v>1519</v>
      </c>
      <c r="F122" s="135" t="s">
        <v>1895</v>
      </c>
      <c r="G122" s="136" t="s">
        <v>230</v>
      </c>
      <c r="H122" s="137">
        <v>20</v>
      </c>
      <c r="I122" s="138"/>
      <c r="J122" s="139">
        <f>ROUND(I122*H122,2)</f>
        <v>0</v>
      </c>
      <c r="K122" s="135" t="s">
        <v>157</v>
      </c>
      <c r="L122" s="33"/>
      <c r="M122" s="140" t="s">
        <v>3</v>
      </c>
      <c r="N122" s="141" t="s">
        <v>40</v>
      </c>
      <c r="P122" s="142">
        <f>O122*H122</f>
        <v>0</v>
      </c>
      <c r="Q122" s="142">
        <v>0</v>
      </c>
      <c r="R122" s="142">
        <f>Q122*H122</f>
        <v>0</v>
      </c>
      <c r="S122" s="142">
        <v>0</v>
      </c>
      <c r="T122" s="143">
        <f>S122*H122</f>
        <v>0</v>
      </c>
      <c r="AR122" s="144" t="s">
        <v>158</v>
      </c>
      <c r="AT122" s="144" t="s">
        <v>153</v>
      </c>
      <c r="AU122" s="144" t="s">
        <v>79</v>
      </c>
      <c r="AY122" s="18" t="s">
        <v>151</v>
      </c>
      <c r="BE122" s="145">
        <f>IF(N122="základní",J122,0)</f>
        <v>0</v>
      </c>
      <c r="BF122" s="145">
        <f>IF(N122="snížená",J122,0)</f>
        <v>0</v>
      </c>
      <c r="BG122" s="145">
        <f>IF(N122="zákl. přenesená",J122,0)</f>
        <v>0</v>
      </c>
      <c r="BH122" s="145">
        <f>IF(N122="sníž. přenesená",J122,0)</f>
        <v>0</v>
      </c>
      <c r="BI122" s="145">
        <f>IF(N122="nulová",J122,0)</f>
        <v>0</v>
      </c>
      <c r="BJ122" s="18" t="s">
        <v>77</v>
      </c>
      <c r="BK122" s="145">
        <f>ROUND(I122*H122,2)</f>
        <v>0</v>
      </c>
      <c r="BL122" s="18" t="s">
        <v>158</v>
      </c>
      <c r="BM122" s="144" t="s">
        <v>1896</v>
      </c>
    </row>
    <row r="123" spans="2:65" s="1" customFormat="1" ht="11.25">
      <c r="B123" s="33"/>
      <c r="D123" s="146" t="s">
        <v>160</v>
      </c>
      <c r="F123" s="147" t="s">
        <v>1897</v>
      </c>
      <c r="I123" s="148"/>
      <c r="L123" s="33"/>
      <c r="M123" s="149"/>
      <c r="T123" s="54"/>
      <c r="AT123" s="18" t="s">
        <v>160</v>
      </c>
      <c r="AU123" s="18" t="s">
        <v>79</v>
      </c>
    </row>
    <row r="124" spans="2:65" s="12" customFormat="1" ht="11.25">
      <c r="B124" s="150"/>
      <c r="D124" s="151" t="s">
        <v>162</v>
      </c>
      <c r="E124" s="152" t="s">
        <v>3</v>
      </c>
      <c r="F124" s="153" t="s">
        <v>1898</v>
      </c>
      <c r="H124" s="154">
        <v>20</v>
      </c>
      <c r="I124" s="155"/>
      <c r="L124" s="150"/>
      <c r="M124" s="156"/>
      <c r="T124" s="157"/>
      <c r="AT124" s="152" t="s">
        <v>162</v>
      </c>
      <c r="AU124" s="152" t="s">
        <v>79</v>
      </c>
      <c r="AV124" s="12" t="s">
        <v>79</v>
      </c>
      <c r="AW124" s="12" t="s">
        <v>30</v>
      </c>
      <c r="AX124" s="12" t="s">
        <v>77</v>
      </c>
      <c r="AY124" s="152" t="s">
        <v>151</v>
      </c>
    </row>
    <row r="125" spans="2:65" s="1" customFormat="1" ht="24.2" customHeight="1">
      <c r="B125" s="132"/>
      <c r="C125" s="133" t="s">
        <v>251</v>
      </c>
      <c r="D125" s="133" t="s">
        <v>153</v>
      </c>
      <c r="E125" s="134" t="s">
        <v>1899</v>
      </c>
      <c r="F125" s="135" t="s">
        <v>1900</v>
      </c>
      <c r="G125" s="136" t="s">
        <v>230</v>
      </c>
      <c r="H125" s="137">
        <v>8</v>
      </c>
      <c r="I125" s="138"/>
      <c r="J125" s="139">
        <f>ROUND(I125*H125,2)</f>
        <v>0</v>
      </c>
      <c r="K125" s="135" t="s">
        <v>157</v>
      </c>
      <c r="L125" s="33"/>
      <c r="M125" s="140" t="s">
        <v>3</v>
      </c>
      <c r="N125" s="141" t="s">
        <v>40</v>
      </c>
      <c r="P125" s="142">
        <f>O125*H125</f>
        <v>0</v>
      </c>
      <c r="Q125" s="142">
        <v>0</v>
      </c>
      <c r="R125" s="142">
        <f>Q125*H125</f>
        <v>0</v>
      </c>
      <c r="S125" s="142">
        <v>0</v>
      </c>
      <c r="T125" s="143">
        <f>S125*H125</f>
        <v>0</v>
      </c>
      <c r="AR125" s="144" t="s">
        <v>158</v>
      </c>
      <c r="AT125" s="144" t="s">
        <v>153</v>
      </c>
      <c r="AU125" s="144" t="s">
        <v>79</v>
      </c>
      <c r="AY125" s="18" t="s">
        <v>151</v>
      </c>
      <c r="BE125" s="145">
        <f>IF(N125="základní",J125,0)</f>
        <v>0</v>
      </c>
      <c r="BF125" s="145">
        <f>IF(N125="snížená",J125,0)</f>
        <v>0</v>
      </c>
      <c r="BG125" s="145">
        <f>IF(N125="zákl. přenesená",J125,0)</f>
        <v>0</v>
      </c>
      <c r="BH125" s="145">
        <f>IF(N125="sníž. přenesená",J125,0)</f>
        <v>0</v>
      </c>
      <c r="BI125" s="145">
        <f>IF(N125="nulová",J125,0)</f>
        <v>0</v>
      </c>
      <c r="BJ125" s="18" t="s">
        <v>77</v>
      </c>
      <c r="BK125" s="145">
        <f>ROUND(I125*H125,2)</f>
        <v>0</v>
      </c>
      <c r="BL125" s="18" t="s">
        <v>158</v>
      </c>
      <c r="BM125" s="144" t="s">
        <v>1901</v>
      </c>
    </row>
    <row r="126" spans="2:65" s="1" customFormat="1" ht="11.25">
      <c r="B126" s="33"/>
      <c r="D126" s="146" t="s">
        <v>160</v>
      </c>
      <c r="F126" s="147" t="s">
        <v>1902</v>
      </c>
      <c r="I126" s="148"/>
      <c r="L126" s="33"/>
      <c r="M126" s="149"/>
      <c r="T126" s="54"/>
      <c r="AT126" s="18" t="s">
        <v>160</v>
      </c>
      <c r="AU126" s="18" t="s">
        <v>79</v>
      </c>
    </row>
    <row r="127" spans="2:65" s="1" customFormat="1" ht="16.5" customHeight="1">
      <c r="B127" s="132"/>
      <c r="C127" s="133" t="s">
        <v>265</v>
      </c>
      <c r="D127" s="133" t="s">
        <v>153</v>
      </c>
      <c r="E127" s="134" t="s">
        <v>1903</v>
      </c>
      <c r="F127" s="135" t="s">
        <v>1904</v>
      </c>
      <c r="G127" s="136" t="s">
        <v>230</v>
      </c>
      <c r="H127" s="137">
        <v>12</v>
      </c>
      <c r="I127" s="138"/>
      <c r="J127" s="139">
        <f>ROUND(I127*H127,2)</f>
        <v>0</v>
      </c>
      <c r="K127" s="135" t="s">
        <v>157</v>
      </c>
      <c r="L127" s="33"/>
      <c r="M127" s="140" t="s">
        <v>3</v>
      </c>
      <c r="N127" s="141" t="s">
        <v>40</v>
      </c>
      <c r="P127" s="142">
        <f>O127*H127</f>
        <v>0</v>
      </c>
      <c r="Q127" s="142">
        <v>0</v>
      </c>
      <c r="R127" s="142">
        <f>Q127*H127</f>
        <v>0</v>
      </c>
      <c r="S127" s="142">
        <v>0</v>
      </c>
      <c r="T127" s="143">
        <f>S127*H127</f>
        <v>0</v>
      </c>
      <c r="AR127" s="144" t="s">
        <v>158</v>
      </c>
      <c r="AT127" s="144" t="s">
        <v>153</v>
      </c>
      <c r="AU127" s="144" t="s">
        <v>79</v>
      </c>
      <c r="AY127" s="18" t="s">
        <v>151</v>
      </c>
      <c r="BE127" s="145">
        <f>IF(N127="základní",J127,0)</f>
        <v>0</v>
      </c>
      <c r="BF127" s="145">
        <f>IF(N127="snížená",J127,0)</f>
        <v>0</v>
      </c>
      <c r="BG127" s="145">
        <f>IF(N127="zákl. přenesená",J127,0)</f>
        <v>0</v>
      </c>
      <c r="BH127" s="145">
        <f>IF(N127="sníž. přenesená",J127,0)</f>
        <v>0</v>
      </c>
      <c r="BI127" s="145">
        <f>IF(N127="nulová",J127,0)</f>
        <v>0</v>
      </c>
      <c r="BJ127" s="18" t="s">
        <v>77</v>
      </c>
      <c r="BK127" s="145">
        <f>ROUND(I127*H127,2)</f>
        <v>0</v>
      </c>
      <c r="BL127" s="18" t="s">
        <v>158</v>
      </c>
      <c r="BM127" s="144" t="s">
        <v>1905</v>
      </c>
    </row>
    <row r="128" spans="2:65" s="1" customFormat="1" ht="11.25">
      <c r="B128" s="33"/>
      <c r="D128" s="146" t="s">
        <v>160</v>
      </c>
      <c r="F128" s="147" t="s">
        <v>1906</v>
      </c>
      <c r="I128" s="148"/>
      <c r="L128" s="33"/>
      <c r="M128" s="149"/>
      <c r="T128" s="54"/>
      <c r="AT128" s="18" t="s">
        <v>160</v>
      </c>
      <c r="AU128" s="18" t="s">
        <v>79</v>
      </c>
    </row>
    <row r="129" spans="2:65" s="11" customFormat="1" ht="22.9" customHeight="1">
      <c r="B129" s="120"/>
      <c r="D129" s="121" t="s">
        <v>68</v>
      </c>
      <c r="E129" s="130" t="s">
        <v>214</v>
      </c>
      <c r="F129" s="130" t="s">
        <v>1556</v>
      </c>
      <c r="I129" s="123"/>
      <c r="J129" s="131">
        <f>BK129</f>
        <v>0</v>
      </c>
      <c r="L129" s="120"/>
      <c r="M129" s="125"/>
      <c r="P129" s="126">
        <f>SUM(P130:P136)</f>
        <v>0</v>
      </c>
      <c r="R129" s="126">
        <f>SUM(R130:R136)</f>
        <v>9.7744499999999998E-2</v>
      </c>
      <c r="T129" s="127">
        <f>SUM(T130:T136)</f>
        <v>0</v>
      </c>
      <c r="AR129" s="121" t="s">
        <v>77</v>
      </c>
      <c r="AT129" s="128" t="s">
        <v>68</v>
      </c>
      <c r="AU129" s="128" t="s">
        <v>77</v>
      </c>
      <c r="AY129" s="121" t="s">
        <v>151</v>
      </c>
      <c r="BK129" s="129">
        <f>SUM(BK130:BK136)</f>
        <v>0</v>
      </c>
    </row>
    <row r="130" spans="2:65" s="1" customFormat="1" ht="24.2" customHeight="1">
      <c r="B130" s="132"/>
      <c r="C130" s="133" t="s">
        <v>9</v>
      </c>
      <c r="D130" s="133" t="s">
        <v>153</v>
      </c>
      <c r="E130" s="134" t="s">
        <v>1907</v>
      </c>
      <c r="F130" s="135" t="s">
        <v>1908</v>
      </c>
      <c r="G130" s="136" t="s">
        <v>198</v>
      </c>
      <c r="H130" s="137">
        <v>45</v>
      </c>
      <c r="I130" s="138"/>
      <c r="J130" s="139">
        <f>ROUND(I130*H130,2)</f>
        <v>0</v>
      </c>
      <c r="K130" s="135" t="s">
        <v>157</v>
      </c>
      <c r="L130" s="33"/>
      <c r="M130" s="140" t="s">
        <v>3</v>
      </c>
      <c r="N130" s="141" t="s">
        <v>40</v>
      </c>
      <c r="P130" s="142">
        <f>O130*H130</f>
        <v>0</v>
      </c>
      <c r="Q130" s="142">
        <v>0</v>
      </c>
      <c r="R130" s="142">
        <f>Q130*H130</f>
        <v>0</v>
      </c>
      <c r="S130" s="142">
        <v>0</v>
      </c>
      <c r="T130" s="143">
        <f>S130*H130</f>
        <v>0</v>
      </c>
      <c r="AR130" s="144" t="s">
        <v>158</v>
      </c>
      <c r="AT130" s="144" t="s">
        <v>153</v>
      </c>
      <c r="AU130" s="144" t="s">
        <v>79</v>
      </c>
      <c r="AY130" s="18" t="s">
        <v>151</v>
      </c>
      <c r="BE130" s="145">
        <f>IF(N130="základní",J130,0)</f>
        <v>0</v>
      </c>
      <c r="BF130" s="145">
        <f>IF(N130="snížená",J130,0)</f>
        <v>0</v>
      </c>
      <c r="BG130" s="145">
        <f>IF(N130="zákl. přenesená",J130,0)</f>
        <v>0</v>
      </c>
      <c r="BH130" s="145">
        <f>IF(N130="sníž. přenesená",J130,0)</f>
        <v>0</v>
      </c>
      <c r="BI130" s="145">
        <f>IF(N130="nulová",J130,0)</f>
        <v>0</v>
      </c>
      <c r="BJ130" s="18" t="s">
        <v>77</v>
      </c>
      <c r="BK130" s="145">
        <f>ROUND(I130*H130,2)</f>
        <v>0</v>
      </c>
      <c r="BL130" s="18" t="s">
        <v>158</v>
      </c>
      <c r="BM130" s="144" t="s">
        <v>1909</v>
      </c>
    </row>
    <row r="131" spans="2:65" s="1" customFormat="1" ht="11.25">
      <c r="B131" s="33"/>
      <c r="D131" s="146" t="s">
        <v>160</v>
      </c>
      <c r="F131" s="147" t="s">
        <v>1910</v>
      </c>
      <c r="I131" s="148"/>
      <c r="L131" s="33"/>
      <c r="M131" s="149"/>
      <c r="T131" s="54"/>
      <c r="AT131" s="18" t="s">
        <v>160</v>
      </c>
      <c r="AU131" s="18" t="s">
        <v>79</v>
      </c>
    </row>
    <row r="132" spans="2:65" s="1" customFormat="1" ht="16.5" customHeight="1">
      <c r="B132" s="132"/>
      <c r="C132" s="172" t="s">
        <v>282</v>
      </c>
      <c r="D132" s="172" t="s">
        <v>436</v>
      </c>
      <c r="E132" s="173" t="s">
        <v>1911</v>
      </c>
      <c r="F132" s="174" t="s">
        <v>1912</v>
      </c>
      <c r="G132" s="175" t="s">
        <v>198</v>
      </c>
      <c r="H132" s="176">
        <v>45.674999999999997</v>
      </c>
      <c r="I132" s="177"/>
      <c r="J132" s="178">
        <f>ROUND(I132*H132,2)</f>
        <v>0</v>
      </c>
      <c r="K132" s="174" t="s">
        <v>157</v>
      </c>
      <c r="L132" s="179"/>
      <c r="M132" s="180" t="s">
        <v>3</v>
      </c>
      <c r="N132" s="181" t="s">
        <v>40</v>
      </c>
      <c r="P132" s="142">
        <f>O132*H132</f>
        <v>0</v>
      </c>
      <c r="Q132" s="142">
        <v>2.14E-3</v>
      </c>
      <c r="R132" s="142">
        <f>Q132*H132</f>
        <v>9.7744499999999998E-2</v>
      </c>
      <c r="S132" s="142">
        <v>0</v>
      </c>
      <c r="T132" s="143">
        <f>S132*H132</f>
        <v>0</v>
      </c>
      <c r="AR132" s="144" t="s">
        <v>214</v>
      </c>
      <c r="AT132" s="144" t="s">
        <v>436</v>
      </c>
      <c r="AU132" s="144" t="s">
        <v>79</v>
      </c>
      <c r="AY132" s="18" t="s">
        <v>151</v>
      </c>
      <c r="BE132" s="145">
        <f>IF(N132="základní",J132,0)</f>
        <v>0</v>
      </c>
      <c r="BF132" s="145">
        <f>IF(N132="snížená",J132,0)</f>
        <v>0</v>
      </c>
      <c r="BG132" s="145">
        <f>IF(N132="zákl. přenesená",J132,0)</f>
        <v>0</v>
      </c>
      <c r="BH132" s="145">
        <f>IF(N132="sníž. přenesená",J132,0)</f>
        <v>0</v>
      </c>
      <c r="BI132" s="145">
        <f>IF(N132="nulová",J132,0)</f>
        <v>0</v>
      </c>
      <c r="BJ132" s="18" t="s">
        <v>77</v>
      </c>
      <c r="BK132" s="145">
        <f>ROUND(I132*H132,2)</f>
        <v>0</v>
      </c>
      <c r="BL132" s="18" t="s">
        <v>158</v>
      </c>
      <c r="BM132" s="144" t="s">
        <v>1913</v>
      </c>
    </row>
    <row r="133" spans="2:65" s="12" customFormat="1" ht="11.25">
      <c r="B133" s="150"/>
      <c r="D133" s="151" t="s">
        <v>162</v>
      </c>
      <c r="F133" s="153" t="s">
        <v>1914</v>
      </c>
      <c r="H133" s="154">
        <v>45.674999999999997</v>
      </c>
      <c r="I133" s="155"/>
      <c r="L133" s="150"/>
      <c r="M133" s="156"/>
      <c r="T133" s="157"/>
      <c r="AT133" s="152" t="s">
        <v>162</v>
      </c>
      <c r="AU133" s="152" t="s">
        <v>79</v>
      </c>
      <c r="AV133" s="12" t="s">
        <v>79</v>
      </c>
      <c r="AW133" s="12" t="s">
        <v>4</v>
      </c>
      <c r="AX133" s="12" t="s">
        <v>77</v>
      </c>
      <c r="AY133" s="152" t="s">
        <v>151</v>
      </c>
    </row>
    <row r="134" spans="2:65" s="1" customFormat="1" ht="16.5" customHeight="1">
      <c r="B134" s="132"/>
      <c r="C134" s="133" t="s">
        <v>287</v>
      </c>
      <c r="D134" s="133" t="s">
        <v>153</v>
      </c>
      <c r="E134" s="134" t="s">
        <v>1915</v>
      </c>
      <c r="F134" s="135" t="s">
        <v>1916</v>
      </c>
      <c r="G134" s="136" t="s">
        <v>198</v>
      </c>
      <c r="H134" s="137">
        <v>8</v>
      </c>
      <c r="I134" s="138"/>
      <c r="J134" s="139">
        <f>ROUND(I134*H134,2)</f>
        <v>0</v>
      </c>
      <c r="K134" s="135" t="s">
        <v>3</v>
      </c>
      <c r="L134" s="33"/>
      <c r="M134" s="140" t="s">
        <v>3</v>
      </c>
      <c r="N134" s="141" t="s">
        <v>40</v>
      </c>
      <c r="P134" s="142">
        <f>O134*H134</f>
        <v>0</v>
      </c>
      <c r="Q134" s="142">
        <v>0</v>
      </c>
      <c r="R134" s="142">
        <f>Q134*H134</f>
        <v>0</v>
      </c>
      <c r="S134" s="142">
        <v>0</v>
      </c>
      <c r="T134" s="143">
        <f>S134*H134</f>
        <v>0</v>
      </c>
      <c r="AR134" s="144" t="s">
        <v>158</v>
      </c>
      <c r="AT134" s="144" t="s">
        <v>153</v>
      </c>
      <c r="AU134" s="144" t="s">
        <v>79</v>
      </c>
      <c r="AY134" s="18" t="s">
        <v>151</v>
      </c>
      <c r="BE134" s="145">
        <f>IF(N134="základní",J134,0)</f>
        <v>0</v>
      </c>
      <c r="BF134" s="145">
        <f>IF(N134="snížená",J134,0)</f>
        <v>0</v>
      </c>
      <c r="BG134" s="145">
        <f>IF(N134="zákl. přenesená",J134,0)</f>
        <v>0</v>
      </c>
      <c r="BH134" s="145">
        <f>IF(N134="sníž. přenesená",J134,0)</f>
        <v>0</v>
      </c>
      <c r="BI134" s="145">
        <f>IF(N134="nulová",J134,0)</f>
        <v>0</v>
      </c>
      <c r="BJ134" s="18" t="s">
        <v>77</v>
      </c>
      <c r="BK134" s="145">
        <f>ROUND(I134*H134,2)</f>
        <v>0</v>
      </c>
      <c r="BL134" s="18" t="s">
        <v>158</v>
      </c>
      <c r="BM134" s="144" t="s">
        <v>1917</v>
      </c>
    </row>
    <row r="135" spans="2:65" s="1" customFormat="1" ht="16.5" customHeight="1">
      <c r="B135" s="132"/>
      <c r="C135" s="133" t="s">
        <v>299</v>
      </c>
      <c r="D135" s="133" t="s">
        <v>153</v>
      </c>
      <c r="E135" s="134" t="s">
        <v>1918</v>
      </c>
      <c r="F135" s="135" t="s">
        <v>1919</v>
      </c>
      <c r="G135" s="136" t="s">
        <v>523</v>
      </c>
      <c r="H135" s="137">
        <v>1</v>
      </c>
      <c r="I135" s="138"/>
      <c r="J135" s="139">
        <f>ROUND(I135*H135,2)</f>
        <v>0</v>
      </c>
      <c r="K135" s="135" t="s">
        <v>3</v>
      </c>
      <c r="L135" s="33"/>
      <c r="M135" s="140" t="s">
        <v>3</v>
      </c>
      <c r="N135" s="141" t="s">
        <v>40</v>
      </c>
      <c r="P135" s="142">
        <f>O135*H135</f>
        <v>0</v>
      </c>
      <c r="Q135" s="142">
        <v>0</v>
      </c>
      <c r="R135" s="142">
        <f>Q135*H135</f>
        <v>0</v>
      </c>
      <c r="S135" s="142">
        <v>0</v>
      </c>
      <c r="T135" s="143">
        <f>S135*H135</f>
        <v>0</v>
      </c>
      <c r="AR135" s="144" t="s">
        <v>158</v>
      </c>
      <c r="AT135" s="144" t="s">
        <v>153</v>
      </c>
      <c r="AU135" s="144" t="s">
        <v>79</v>
      </c>
      <c r="AY135" s="18" t="s">
        <v>151</v>
      </c>
      <c r="BE135" s="145">
        <f>IF(N135="základní",J135,0)</f>
        <v>0</v>
      </c>
      <c r="BF135" s="145">
        <f>IF(N135="snížená",J135,0)</f>
        <v>0</v>
      </c>
      <c r="BG135" s="145">
        <f>IF(N135="zákl. přenesená",J135,0)</f>
        <v>0</v>
      </c>
      <c r="BH135" s="145">
        <f>IF(N135="sníž. přenesená",J135,0)</f>
        <v>0</v>
      </c>
      <c r="BI135" s="145">
        <f>IF(N135="nulová",J135,0)</f>
        <v>0</v>
      </c>
      <c r="BJ135" s="18" t="s">
        <v>77</v>
      </c>
      <c r="BK135" s="145">
        <f>ROUND(I135*H135,2)</f>
        <v>0</v>
      </c>
      <c r="BL135" s="18" t="s">
        <v>158</v>
      </c>
      <c r="BM135" s="144" t="s">
        <v>1920</v>
      </c>
    </row>
    <row r="136" spans="2:65" s="1" customFormat="1" ht="97.5">
      <c r="B136" s="33"/>
      <c r="D136" s="151" t="s">
        <v>219</v>
      </c>
      <c r="F136" s="171" t="s">
        <v>1921</v>
      </c>
      <c r="I136" s="148"/>
      <c r="L136" s="33"/>
      <c r="M136" s="149"/>
      <c r="T136" s="54"/>
      <c r="AT136" s="18" t="s">
        <v>219</v>
      </c>
      <c r="AU136" s="18" t="s">
        <v>79</v>
      </c>
    </row>
    <row r="137" spans="2:65" s="11" customFormat="1" ht="22.9" customHeight="1">
      <c r="B137" s="120"/>
      <c r="D137" s="121" t="s">
        <v>68</v>
      </c>
      <c r="E137" s="130" t="s">
        <v>451</v>
      </c>
      <c r="F137" s="130" t="s">
        <v>452</v>
      </c>
      <c r="I137" s="123"/>
      <c r="J137" s="131">
        <f>BK137</f>
        <v>0</v>
      </c>
      <c r="L137" s="120"/>
      <c r="M137" s="125"/>
      <c r="P137" s="126">
        <f>SUM(P138:P146)</f>
        <v>0</v>
      </c>
      <c r="R137" s="126">
        <f>SUM(R138:R146)</f>
        <v>0</v>
      </c>
      <c r="T137" s="127">
        <f>SUM(T138:T146)</f>
        <v>0</v>
      </c>
      <c r="AR137" s="121" t="s">
        <v>77</v>
      </c>
      <c r="AT137" s="128" t="s">
        <v>68</v>
      </c>
      <c r="AU137" s="128" t="s">
        <v>77</v>
      </c>
      <c r="AY137" s="121" t="s">
        <v>151</v>
      </c>
      <c r="BK137" s="129">
        <f>SUM(BK138:BK146)</f>
        <v>0</v>
      </c>
    </row>
    <row r="138" spans="2:65" s="1" customFormat="1" ht="24.2" customHeight="1">
      <c r="B138" s="132"/>
      <c r="C138" s="133" t="s">
        <v>306</v>
      </c>
      <c r="D138" s="133" t="s">
        <v>153</v>
      </c>
      <c r="E138" s="134" t="s">
        <v>1352</v>
      </c>
      <c r="F138" s="135" t="s">
        <v>1922</v>
      </c>
      <c r="G138" s="136" t="s">
        <v>183</v>
      </c>
      <c r="H138" s="137">
        <v>10.028</v>
      </c>
      <c r="I138" s="138"/>
      <c r="J138" s="139">
        <f>ROUND(I138*H138,2)</f>
        <v>0</v>
      </c>
      <c r="K138" s="135" t="s">
        <v>157</v>
      </c>
      <c r="L138" s="33"/>
      <c r="M138" s="140" t="s">
        <v>3</v>
      </c>
      <c r="N138" s="141" t="s">
        <v>40</v>
      </c>
      <c r="P138" s="142">
        <f>O138*H138</f>
        <v>0</v>
      </c>
      <c r="Q138" s="142">
        <v>0</v>
      </c>
      <c r="R138" s="142">
        <f>Q138*H138</f>
        <v>0</v>
      </c>
      <c r="S138" s="142">
        <v>0</v>
      </c>
      <c r="T138" s="143">
        <f>S138*H138</f>
        <v>0</v>
      </c>
      <c r="AR138" s="144" t="s">
        <v>158</v>
      </c>
      <c r="AT138" s="144" t="s">
        <v>153</v>
      </c>
      <c r="AU138" s="144" t="s">
        <v>79</v>
      </c>
      <c r="AY138" s="18" t="s">
        <v>151</v>
      </c>
      <c r="BE138" s="145">
        <f>IF(N138="základní",J138,0)</f>
        <v>0</v>
      </c>
      <c r="BF138" s="145">
        <f>IF(N138="snížená",J138,0)</f>
        <v>0</v>
      </c>
      <c r="BG138" s="145">
        <f>IF(N138="zákl. přenesená",J138,0)</f>
        <v>0</v>
      </c>
      <c r="BH138" s="145">
        <f>IF(N138="sníž. přenesená",J138,0)</f>
        <v>0</v>
      </c>
      <c r="BI138" s="145">
        <f>IF(N138="nulová",J138,0)</f>
        <v>0</v>
      </c>
      <c r="BJ138" s="18" t="s">
        <v>77</v>
      </c>
      <c r="BK138" s="145">
        <f>ROUND(I138*H138,2)</f>
        <v>0</v>
      </c>
      <c r="BL138" s="18" t="s">
        <v>158</v>
      </c>
      <c r="BM138" s="144" t="s">
        <v>1923</v>
      </c>
    </row>
    <row r="139" spans="2:65" s="1" customFormat="1" ht="11.25">
      <c r="B139" s="33"/>
      <c r="D139" s="146" t="s">
        <v>160</v>
      </c>
      <c r="F139" s="147" t="s">
        <v>1924</v>
      </c>
      <c r="I139" s="148"/>
      <c r="L139" s="33"/>
      <c r="M139" s="149"/>
      <c r="T139" s="54"/>
      <c r="AT139" s="18" t="s">
        <v>160</v>
      </c>
      <c r="AU139" s="18" t="s">
        <v>79</v>
      </c>
    </row>
    <row r="140" spans="2:65" s="1" customFormat="1" ht="24.2" customHeight="1">
      <c r="B140" s="132"/>
      <c r="C140" s="133" t="s">
        <v>317</v>
      </c>
      <c r="D140" s="133" t="s">
        <v>153</v>
      </c>
      <c r="E140" s="134" t="s">
        <v>1358</v>
      </c>
      <c r="F140" s="135" t="s">
        <v>1925</v>
      </c>
      <c r="G140" s="136" t="s">
        <v>183</v>
      </c>
      <c r="H140" s="137">
        <v>200.56</v>
      </c>
      <c r="I140" s="138"/>
      <c r="J140" s="139">
        <f>ROUND(I140*H140,2)</f>
        <v>0</v>
      </c>
      <c r="K140" s="135" t="s">
        <v>157</v>
      </c>
      <c r="L140" s="33"/>
      <c r="M140" s="140" t="s">
        <v>3</v>
      </c>
      <c r="N140" s="141" t="s">
        <v>40</v>
      </c>
      <c r="P140" s="142">
        <f>O140*H140</f>
        <v>0</v>
      </c>
      <c r="Q140" s="142">
        <v>0</v>
      </c>
      <c r="R140" s="142">
        <f>Q140*H140</f>
        <v>0</v>
      </c>
      <c r="S140" s="142">
        <v>0</v>
      </c>
      <c r="T140" s="143">
        <f>S140*H140</f>
        <v>0</v>
      </c>
      <c r="AR140" s="144" t="s">
        <v>158</v>
      </c>
      <c r="AT140" s="144" t="s">
        <v>153</v>
      </c>
      <c r="AU140" s="144" t="s">
        <v>79</v>
      </c>
      <c r="AY140" s="18" t="s">
        <v>151</v>
      </c>
      <c r="BE140" s="145">
        <f>IF(N140="základní",J140,0)</f>
        <v>0</v>
      </c>
      <c r="BF140" s="145">
        <f>IF(N140="snížená",J140,0)</f>
        <v>0</v>
      </c>
      <c r="BG140" s="145">
        <f>IF(N140="zákl. přenesená",J140,0)</f>
        <v>0</v>
      </c>
      <c r="BH140" s="145">
        <f>IF(N140="sníž. přenesená",J140,0)</f>
        <v>0</v>
      </c>
      <c r="BI140" s="145">
        <f>IF(N140="nulová",J140,0)</f>
        <v>0</v>
      </c>
      <c r="BJ140" s="18" t="s">
        <v>77</v>
      </c>
      <c r="BK140" s="145">
        <f>ROUND(I140*H140,2)</f>
        <v>0</v>
      </c>
      <c r="BL140" s="18" t="s">
        <v>158</v>
      </c>
      <c r="BM140" s="144" t="s">
        <v>1926</v>
      </c>
    </row>
    <row r="141" spans="2:65" s="1" customFormat="1" ht="11.25">
      <c r="B141" s="33"/>
      <c r="D141" s="146" t="s">
        <v>160</v>
      </c>
      <c r="F141" s="147" t="s">
        <v>1927</v>
      </c>
      <c r="I141" s="148"/>
      <c r="L141" s="33"/>
      <c r="M141" s="149"/>
      <c r="T141" s="54"/>
      <c r="AT141" s="18" t="s">
        <v>160</v>
      </c>
      <c r="AU141" s="18" t="s">
        <v>79</v>
      </c>
    </row>
    <row r="142" spans="2:65" s="12" customFormat="1" ht="11.25">
      <c r="B142" s="150"/>
      <c r="D142" s="151" t="s">
        <v>162</v>
      </c>
      <c r="E142" s="152" t="s">
        <v>3</v>
      </c>
      <c r="F142" s="153" t="s">
        <v>1928</v>
      </c>
      <c r="H142" s="154">
        <v>200.56</v>
      </c>
      <c r="I142" s="155"/>
      <c r="L142" s="150"/>
      <c r="M142" s="156"/>
      <c r="T142" s="157"/>
      <c r="AT142" s="152" t="s">
        <v>162</v>
      </c>
      <c r="AU142" s="152" t="s">
        <v>79</v>
      </c>
      <c r="AV142" s="12" t="s">
        <v>79</v>
      </c>
      <c r="AW142" s="12" t="s">
        <v>30</v>
      </c>
      <c r="AX142" s="12" t="s">
        <v>77</v>
      </c>
      <c r="AY142" s="152" t="s">
        <v>151</v>
      </c>
    </row>
    <row r="143" spans="2:65" s="1" customFormat="1" ht="24.2" customHeight="1">
      <c r="B143" s="132"/>
      <c r="C143" s="133" t="s">
        <v>8</v>
      </c>
      <c r="D143" s="133" t="s">
        <v>153</v>
      </c>
      <c r="E143" s="134" t="s">
        <v>1929</v>
      </c>
      <c r="F143" s="135" t="s">
        <v>1930</v>
      </c>
      <c r="G143" s="136" t="s">
        <v>183</v>
      </c>
      <c r="H143" s="137">
        <v>7.5</v>
      </c>
      <c r="I143" s="138"/>
      <c r="J143" s="139">
        <f>ROUND(I143*H143,2)</f>
        <v>0</v>
      </c>
      <c r="K143" s="135" t="s">
        <v>157</v>
      </c>
      <c r="L143" s="33"/>
      <c r="M143" s="140" t="s">
        <v>3</v>
      </c>
      <c r="N143" s="141" t="s">
        <v>40</v>
      </c>
      <c r="P143" s="142">
        <f>O143*H143</f>
        <v>0</v>
      </c>
      <c r="Q143" s="142">
        <v>0</v>
      </c>
      <c r="R143" s="142">
        <f>Q143*H143</f>
        <v>0</v>
      </c>
      <c r="S143" s="142">
        <v>0</v>
      </c>
      <c r="T143" s="143">
        <f>S143*H143</f>
        <v>0</v>
      </c>
      <c r="AR143" s="144" t="s">
        <v>158</v>
      </c>
      <c r="AT143" s="144" t="s">
        <v>153</v>
      </c>
      <c r="AU143" s="144" t="s">
        <v>79</v>
      </c>
      <c r="AY143" s="18" t="s">
        <v>151</v>
      </c>
      <c r="BE143" s="145">
        <f>IF(N143="základní",J143,0)</f>
        <v>0</v>
      </c>
      <c r="BF143" s="145">
        <f>IF(N143="snížená",J143,0)</f>
        <v>0</v>
      </c>
      <c r="BG143" s="145">
        <f>IF(N143="zákl. přenesená",J143,0)</f>
        <v>0</v>
      </c>
      <c r="BH143" s="145">
        <f>IF(N143="sníž. přenesená",J143,0)</f>
        <v>0</v>
      </c>
      <c r="BI143" s="145">
        <f>IF(N143="nulová",J143,0)</f>
        <v>0</v>
      </c>
      <c r="BJ143" s="18" t="s">
        <v>77</v>
      </c>
      <c r="BK143" s="145">
        <f>ROUND(I143*H143,2)</f>
        <v>0</v>
      </c>
      <c r="BL143" s="18" t="s">
        <v>158</v>
      </c>
      <c r="BM143" s="144" t="s">
        <v>1931</v>
      </c>
    </row>
    <row r="144" spans="2:65" s="1" customFormat="1" ht="11.25">
      <c r="B144" s="33"/>
      <c r="D144" s="146" t="s">
        <v>160</v>
      </c>
      <c r="F144" s="147" t="s">
        <v>1932</v>
      </c>
      <c r="I144" s="148"/>
      <c r="L144" s="33"/>
      <c r="M144" s="149"/>
      <c r="T144" s="54"/>
      <c r="AT144" s="18" t="s">
        <v>160</v>
      </c>
      <c r="AU144" s="18" t="s">
        <v>79</v>
      </c>
    </row>
    <row r="145" spans="2:65" s="1" customFormat="1" ht="24.2" customHeight="1">
      <c r="B145" s="132"/>
      <c r="C145" s="133" t="s">
        <v>338</v>
      </c>
      <c r="D145" s="133" t="s">
        <v>153</v>
      </c>
      <c r="E145" s="134" t="s">
        <v>1933</v>
      </c>
      <c r="F145" s="135" t="s">
        <v>1934</v>
      </c>
      <c r="G145" s="136" t="s">
        <v>183</v>
      </c>
      <c r="H145" s="137">
        <v>2.5</v>
      </c>
      <c r="I145" s="138"/>
      <c r="J145" s="139">
        <f>ROUND(I145*H145,2)</f>
        <v>0</v>
      </c>
      <c r="K145" s="135" t="s">
        <v>157</v>
      </c>
      <c r="L145" s="33"/>
      <c r="M145" s="140" t="s">
        <v>3</v>
      </c>
      <c r="N145" s="141" t="s">
        <v>40</v>
      </c>
      <c r="P145" s="142">
        <f>O145*H145</f>
        <v>0</v>
      </c>
      <c r="Q145" s="142">
        <v>0</v>
      </c>
      <c r="R145" s="142">
        <f>Q145*H145</f>
        <v>0</v>
      </c>
      <c r="S145" s="142">
        <v>0</v>
      </c>
      <c r="T145" s="143">
        <f>S145*H145</f>
        <v>0</v>
      </c>
      <c r="AR145" s="144" t="s">
        <v>158</v>
      </c>
      <c r="AT145" s="144" t="s">
        <v>153</v>
      </c>
      <c r="AU145" s="144" t="s">
        <v>79</v>
      </c>
      <c r="AY145" s="18" t="s">
        <v>151</v>
      </c>
      <c r="BE145" s="145">
        <f>IF(N145="základní",J145,0)</f>
        <v>0</v>
      </c>
      <c r="BF145" s="145">
        <f>IF(N145="snížená",J145,0)</f>
        <v>0</v>
      </c>
      <c r="BG145" s="145">
        <f>IF(N145="zákl. přenesená",J145,0)</f>
        <v>0</v>
      </c>
      <c r="BH145" s="145">
        <f>IF(N145="sníž. přenesená",J145,0)</f>
        <v>0</v>
      </c>
      <c r="BI145" s="145">
        <f>IF(N145="nulová",J145,0)</f>
        <v>0</v>
      </c>
      <c r="BJ145" s="18" t="s">
        <v>77</v>
      </c>
      <c r="BK145" s="145">
        <f>ROUND(I145*H145,2)</f>
        <v>0</v>
      </c>
      <c r="BL145" s="18" t="s">
        <v>158</v>
      </c>
      <c r="BM145" s="144" t="s">
        <v>1935</v>
      </c>
    </row>
    <row r="146" spans="2:65" s="1" customFormat="1" ht="11.25">
      <c r="B146" s="33"/>
      <c r="D146" s="146" t="s">
        <v>160</v>
      </c>
      <c r="F146" s="147" t="s">
        <v>1936</v>
      </c>
      <c r="I146" s="148"/>
      <c r="L146" s="33"/>
      <c r="M146" s="182"/>
      <c r="N146" s="183"/>
      <c r="O146" s="183"/>
      <c r="P146" s="183"/>
      <c r="Q146" s="183"/>
      <c r="R146" s="183"/>
      <c r="S146" s="183"/>
      <c r="T146" s="184"/>
      <c r="AT146" s="18" t="s">
        <v>160</v>
      </c>
      <c r="AU146" s="18" t="s">
        <v>79</v>
      </c>
    </row>
    <row r="147" spans="2:65" s="1" customFormat="1" ht="6.95" customHeight="1">
      <c r="B147" s="42"/>
      <c r="C147" s="43"/>
      <c r="D147" s="43"/>
      <c r="E147" s="43"/>
      <c r="F147" s="43"/>
      <c r="G147" s="43"/>
      <c r="H147" s="43"/>
      <c r="I147" s="43"/>
      <c r="J147" s="43"/>
      <c r="K147" s="43"/>
      <c r="L147" s="33"/>
    </row>
  </sheetData>
  <autoFilter ref="C83:K146" xr:uid="{00000000-0009-0000-0000-00000A000000}"/>
  <mergeCells count="9">
    <mergeCell ref="E50:H50"/>
    <mergeCell ref="E74:H74"/>
    <mergeCell ref="E76:H76"/>
    <mergeCell ref="L2:V2"/>
    <mergeCell ref="E7:H7"/>
    <mergeCell ref="E9:H9"/>
    <mergeCell ref="E18:H18"/>
    <mergeCell ref="E27:H27"/>
    <mergeCell ref="E48:H48"/>
  </mergeCells>
  <hyperlinks>
    <hyperlink ref="F88" r:id="rId1" xr:uid="{00000000-0004-0000-0A00-000000000000}"/>
    <hyperlink ref="F90" r:id="rId2" xr:uid="{00000000-0004-0000-0A00-000001000000}"/>
    <hyperlink ref="F92" r:id="rId3" xr:uid="{00000000-0004-0000-0A00-000002000000}"/>
    <hyperlink ref="F97" r:id="rId4" xr:uid="{00000000-0004-0000-0A00-000003000000}"/>
    <hyperlink ref="F102" r:id="rId5" xr:uid="{00000000-0004-0000-0A00-000004000000}"/>
    <hyperlink ref="F105" r:id="rId6" xr:uid="{00000000-0004-0000-0A00-000005000000}"/>
    <hyperlink ref="F108" r:id="rId7" xr:uid="{00000000-0004-0000-0A00-000006000000}"/>
    <hyperlink ref="F111" r:id="rId8" xr:uid="{00000000-0004-0000-0A00-000007000000}"/>
    <hyperlink ref="F114" r:id="rId9" xr:uid="{00000000-0004-0000-0A00-000008000000}"/>
    <hyperlink ref="F117" r:id="rId10" xr:uid="{00000000-0004-0000-0A00-000009000000}"/>
    <hyperlink ref="F123" r:id="rId11" xr:uid="{00000000-0004-0000-0A00-00000A000000}"/>
    <hyperlink ref="F126" r:id="rId12" xr:uid="{00000000-0004-0000-0A00-00000B000000}"/>
    <hyperlink ref="F128" r:id="rId13" xr:uid="{00000000-0004-0000-0A00-00000C000000}"/>
    <hyperlink ref="F131" r:id="rId14" xr:uid="{00000000-0004-0000-0A00-00000D000000}"/>
    <hyperlink ref="F139" r:id="rId15" xr:uid="{00000000-0004-0000-0A00-00000E000000}"/>
    <hyperlink ref="F141" r:id="rId16" xr:uid="{00000000-0004-0000-0A00-00000F000000}"/>
    <hyperlink ref="F144" r:id="rId17" xr:uid="{00000000-0004-0000-0A00-000010000000}"/>
    <hyperlink ref="F146" r:id="rId18" xr:uid="{00000000-0004-0000-0A00-000011000000}"/>
  </hyperlinks>
  <pageMargins left="0.39374999999999999" right="0.39374999999999999" top="0.39374999999999999" bottom="0.39374999999999999" header="0" footer="0"/>
  <pageSetup paperSize="9" fitToHeight="100" orientation="landscape" blackAndWhite="1"/>
  <headerFooter>
    <oddFooter>&amp;CStrana &amp;P z &amp;N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BM96"/>
  <sheetViews>
    <sheetView showGridLines="0" workbookViewId="0"/>
  </sheetViews>
  <sheetFormatPr defaultRowHeight="15"/>
  <cols>
    <col min="1" max="1" width="8.33203125" customWidth="1"/>
    <col min="2" max="2" width="1.1640625" customWidth="1"/>
    <col min="3" max="3" width="4.1640625" customWidth="1"/>
    <col min="4" max="4" width="4.33203125" customWidth="1"/>
    <col min="5" max="5" width="17.1640625" customWidth="1"/>
    <col min="6" max="6" width="100.83203125" customWidth="1"/>
    <col min="7" max="7" width="7.5" customWidth="1"/>
    <col min="8" max="8" width="14" customWidth="1"/>
    <col min="9" max="9" width="15.83203125" customWidth="1"/>
    <col min="10" max="11" width="22.33203125" customWidth="1"/>
    <col min="12" max="12" width="9.33203125" customWidth="1"/>
    <col min="13" max="13" width="10.83203125" hidden="1" customWidth="1"/>
    <col min="14" max="14" width="9.33203125" hidden="1"/>
    <col min="15" max="20" width="14.1640625" hidden="1" customWidth="1"/>
    <col min="21" max="21" width="16.33203125" hidden="1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2" spans="2:46" ht="36.950000000000003" customHeight="1">
      <c r="L2" s="304" t="s">
        <v>6</v>
      </c>
      <c r="M2" s="289"/>
      <c r="N2" s="289"/>
      <c r="O2" s="289"/>
      <c r="P2" s="289"/>
      <c r="Q2" s="289"/>
      <c r="R2" s="289"/>
      <c r="S2" s="289"/>
      <c r="T2" s="289"/>
      <c r="U2" s="289"/>
      <c r="V2" s="289"/>
      <c r="AT2" s="18" t="s">
        <v>113</v>
      </c>
    </row>
    <row r="3" spans="2:46" ht="6.9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1"/>
      <c r="AT3" s="18" t="s">
        <v>79</v>
      </c>
    </row>
    <row r="4" spans="2:46" ht="24.95" customHeight="1">
      <c r="B4" s="21"/>
      <c r="D4" s="22" t="s">
        <v>114</v>
      </c>
      <c r="L4" s="21"/>
      <c r="M4" s="91" t="s">
        <v>11</v>
      </c>
      <c r="AT4" s="18" t="s">
        <v>4</v>
      </c>
    </row>
    <row r="5" spans="2:46" ht="6.95" customHeight="1">
      <c r="B5" s="21"/>
      <c r="L5" s="21"/>
    </row>
    <row r="6" spans="2:46" ht="12" customHeight="1">
      <c r="B6" s="21"/>
      <c r="D6" s="28" t="s">
        <v>17</v>
      </c>
      <c r="L6" s="21"/>
    </row>
    <row r="7" spans="2:46" ht="16.5" customHeight="1">
      <c r="B7" s="21"/>
      <c r="E7" s="319" t="str">
        <f>'Rekapitulace stavby'!K6</f>
        <v>SKLAD ŠKROBU P-001</v>
      </c>
      <c r="F7" s="320"/>
      <c r="G7" s="320"/>
      <c r="H7" s="320"/>
      <c r="L7" s="21"/>
    </row>
    <row r="8" spans="2:46" s="1" customFormat="1" ht="12" customHeight="1">
      <c r="B8" s="33"/>
      <c r="D8" s="28" t="s">
        <v>115</v>
      </c>
      <c r="L8" s="33"/>
    </row>
    <row r="9" spans="2:46" s="1" customFormat="1" ht="16.5" customHeight="1">
      <c r="B9" s="33"/>
      <c r="E9" s="282" t="s">
        <v>1937</v>
      </c>
      <c r="F9" s="321"/>
      <c r="G9" s="321"/>
      <c r="H9" s="321"/>
      <c r="L9" s="33"/>
    </row>
    <row r="10" spans="2:46" s="1" customFormat="1" ht="11.25">
      <c r="B10" s="33"/>
      <c r="L10" s="33"/>
    </row>
    <row r="11" spans="2:46" s="1" customFormat="1" ht="12" customHeight="1">
      <c r="B11" s="33"/>
      <c r="D11" s="28" t="s">
        <v>19</v>
      </c>
      <c r="F11" s="26" t="s">
        <v>3</v>
      </c>
      <c r="I11" s="28" t="s">
        <v>20</v>
      </c>
      <c r="J11" s="26" t="s">
        <v>3</v>
      </c>
      <c r="L11" s="33"/>
    </row>
    <row r="12" spans="2:46" s="1" customFormat="1" ht="12" customHeight="1">
      <c r="B12" s="33"/>
      <c r="D12" s="28" t="s">
        <v>21</v>
      </c>
      <c r="F12" s="26" t="s">
        <v>22</v>
      </c>
      <c r="I12" s="28" t="s">
        <v>23</v>
      </c>
      <c r="J12" s="50">
        <f>'Rekapitulace stavby'!AN8</f>
        <v>45167</v>
      </c>
      <c r="L12" s="33"/>
    </row>
    <row r="13" spans="2:46" s="1" customFormat="1" ht="10.9" customHeight="1">
      <c r="B13" s="33"/>
      <c r="L13" s="33"/>
    </row>
    <row r="14" spans="2:46" s="1" customFormat="1" ht="12" customHeight="1">
      <c r="B14" s="33"/>
      <c r="D14" s="28" t="s">
        <v>24</v>
      </c>
      <c r="I14" s="28" t="s">
        <v>25</v>
      </c>
      <c r="J14" s="26" t="str">
        <f>IF('Rekapitulace stavby'!AN10="","",'Rekapitulace stavby'!AN10)</f>
        <v/>
      </c>
      <c r="L14" s="33"/>
    </row>
    <row r="15" spans="2:46" s="1" customFormat="1" ht="18" customHeight="1">
      <c r="B15" s="33"/>
      <c r="E15" s="26" t="str">
        <f>IF('Rekapitulace stavby'!E11="","",'Rekapitulace stavby'!E11)</f>
        <v xml:space="preserve"> </v>
      </c>
      <c r="I15" s="28" t="s">
        <v>26</v>
      </c>
      <c r="J15" s="26" t="str">
        <f>IF('Rekapitulace stavby'!AN11="","",'Rekapitulace stavby'!AN11)</f>
        <v/>
      </c>
      <c r="L15" s="33"/>
    </row>
    <row r="16" spans="2:46" s="1" customFormat="1" ht="6.95" customHeight="1">
      <c r="B16" s="33"/>
      <c r="L16" s="33"/>
    </row>
    <row r="17" spans="2:12" s="1" customFormat="1" ht="12" customHeight="1">
      <c r="B17" s="33"/>
      <c r="D17" s="28" t="s">
        <v>27</v>
      </c>
      <c r="I17" s="28" t="s">
        <v>25</v>
      </c>
      <c r="J17" s="29" t="str">
        <f>'Rekapitulace stavby'!AN13</f>
        <v>Vyplň údaj</v>
      </c>
      <c r="L17" s="33"/>
    </row>
    <row r="18" spans="2:12" s="1" customFormat="1" ht="18" customHeight="1">
      <c r="B18" s="33"/>
      <c r="E18" s="322" t="str">
        <f>'Rekapitulace stavby'!E14</f>
        <v>Vyplň údaj</v>
      </c>
      <c r="F18" s="288"/>
      <c r="G18" s="288"/>
      <c r="H18" s="288"/>
      <c r="I18" s="28" t="s">
        <v>26</v>
      </c>
      <c r="J18" s="29" t="str">
        <f>'Rekapitulace stavby'!AN14</f>
        <v>Vyplň údaj</v>
      </c>
      <c r="L18" s="33"/>
    </row>
    <row r="19" spans="2:12" s="1" customFormat="1" ht="6.95" customHeight="1">
      <c r="B19" s="33"/>
      <c r="L19" s="33"/>
    </row>
    <row r="20" spans="2:12" s="1" customFormat="1" ht="12" customHeight="1">
      <c r="B20" s="33"/>
      <c r="D20" s="28" t="s">
        <v>29</v>
      </c>
      <c r="I20" s="28" t="s">
        <v>25</v>
      </c>
      <c r="J20" s="26" t="str">
        <f>IF('Rekapitulace stavby'!AN16="","",'Rekapitulace stavby'!AN16)</f>
        <v/>
      </c>
      <c r="L20" s="33"/>
    </row>
    <row r="21" spans="2:12" s="1" customFormat="1" ht="18" customHeight="1">
      <c r="B21" s="33"/>
      <c r="E21" s="26" t="str">
        <f>IF('Rekapitulace stavby'!E17="","",'Rekapitulace stavby'!E17)</f>
        <v xml:space="preserve"> </v>
      </c>
      <c r="I21" s="28" t="s">
        <v>26</v>
      </c>
      <c r="J21" s="26" t="str">
        <f>IF('Rekapitulace stavby'!AN17="","",'Rekapitulace stavby'!AN17)</f>
        <v/>
      </c>
      <c r="L21" s="33"/>
    </row>
    <row r="22" spans="2:12" s="1" customFormat="1" ht="6.95" customHeight="1">
      <c r="B22" s="33"/>
      <c r="L22" s="33"/>
    </row>
    <row r="23" spans="2:12" s="1" customFormat="1" ht="12" customHeight="1">
      <c r="B23" s="33"/>
      <c r="D23" s="28" t="s">
        <v>31</v>
      </c>
      <c r="I23" s="28" t="s">
        <v>25</v>
      </c>
      <c r="J23" s="26" t="str">
        <f>IF('Rekapitulace stavby'!AN19="","",'Rekapitulace stavby'!AN19)</f>
        <v/>
      </c>
      <c r="L23" s="33"/>
    </row>
    <row r="24" spans="2:12" s="1" customFormat="1" ht="18" customHeight="1">
      <c r="B24" s="33"/>
      <c r="E24" s="26" t="str">
        <f>IF('Rekapitulace stavby'!E20="","",'Rekapitulace stavby'!E20)</f>
        <v>rostarek s.r.o.</v>
      </c>
      <c r="I24" s="28" t="s">
        <v>26</v>
      </c>
      <c r="J24" s="26" t="str">
        <f>IF('Rekapitulace stavby'!AN20="","",'Rekapitulace stavby'!AN20)</f>
        <v/>
      </c>
      <c r="L24" s="33"/>
    </row>
    <row r="25" spans="2:12" s="1" customFormat="1" ht="6.95" customHeight="1">
      <c r="B25" s="33"/>
      <c r="L25" s="33"/>
    </row>
    <row r="26" spans="2:12" s="1" customFormat="1" ht="12" customHeight="1">
      <c r="B26" s="33"/>
      <c r="D26" s="28" t="s">
        <v>33</v>
      </c>
      <c r="L26" s="33"/>
    </row>
    <row r="27" spans="2:12" s="7" customFormat="1" ht="16.5" customHeight="1">
      <c r="B27" s="92"/>
      <c r="E27" s="293" t="s">
        <v>3</v>
      </c>
      <c r="F27" s="293"/>
      <c r="G27" s="293"/>
      <c r="H27" s="293"/>
      <c r="L27" s="92"/>
    </row>
    <row r="28" spans="2:12" s="1" customFormat="1" ht="6.95" customHeight="1">
      <c r="B28" s="33"/>
      <c r="L28" s="33"/>
    </row>
    <row r="29" spans="2:12" s="1" customFormat="1" ht="6.95" customHeight="1">
      <c r="B29" s="33"/>
      <c r="D29" s="51"/>
      <c r="E29" s="51"/>
      <c r="F29" s="51"/>
      <c r="G29" s="51"/>
      <c r="H29" s="51"/>
      <c r="I29" s="51"/>
      <c r="J29" s="51"/>
      <c r="K29" s="51"/>
      <c r="L29" s="33"/>
    </row>
    <row r="30" spans="2:12" s="1" customFormat="1" ht="25.35" customHeight="1">
      <c r="B30" s="33"/>
      <c r="D30" s="93" t="s">
        <v>35</v>
      </c>
      <c r="J30" s="64">
        <f>ROUND(J83, 2)</f>
        <v>0</v>
      </c>
      <c r="L30" s="33"/>
    </row>
    <row r="31" spans="2:12" s="1" customFormat="1" ht="6.95" customHeight="1">
      <c r="B31" s="33"/>
      <c r="D31" s="51"/>
      <c r="E31" s="51"/>
      <c r="F31" s="51"/>
      <c r="G31" s="51"/>
      <c r="H31" s="51"/>
      <c r="I31" s="51"/>
      <c r="J31" s="51"/>
      <c r="K31" s="51"/>
      <c r="L31" s="33"/>
    </row>
    <row r="32" spans="2:12" s="1" customFormat="1" ht="14.45" customHeight="1">
      <c r="B32" s="33"/>
      <c r="F32" s="36" t="s">
        <v>37</v>
      </c>
      <c r="I32" s="36" t="s">
        <v>36</v>
      </c>
      <c r="J32" s="36" t="s">
        <v>38</v>
      </c>
      <c r="L32" s="33"/>
    </row>
    <row r="33" spans="2:12" s="1" customFormat="1" ht="14.45" customHeight="1">
      <c r="B33" s="33"/>
      <c r="D33" s="53" t="s">
        <v>39</v>
      </c>
      <c r="E33" s="28" t="s">
        <v>40</v>
      </c>
      <c r="F33" s="84">
        <f>ROUND((SUM(BE83:BE95)),  2)</f>
        <v>0</v>
      </c>
      <c r="I33" s="94">
        <v>0.21</v>
      </c>
      <c r="J33" s="84">
        <f>ROUND(((SUM(BE83:BE95))*I33),  2)</f>
        <v>0</v>
      </c>
      <c r="L33" s="33"/>
    </row>
    <row r="34" spans="2:12" s="1" customFormat="1" ht="14.45" customHeight="1">
      <c r="B34" s="33"/>
      <c r="E34" s="28" t="s">
        <v>41</v>
      </c>
      <c r="F34" s="84">
        <f>ROUND((SUM(BF83:BF95)),  2)</f>
        <v>0</v>
      </c>
      <c r="I34" s="94">
        <v>0.15</v>
      </c>
      <c r="J34" s="84">
        <f>ROUND(((SUM(BF83:BF95))*I34),  2)</f>
        <v>0</v>
      </c>
      <c r="L34" s="33"/>
    </row>
    <row r="35" spans="2:12" s="1" customFormat="1" ht="14.45" hidden="1" customHeight="1">
      <c r="B35" s="33"/>
      <c r="E35" s="28" t="s">
        <v>42</v>
      </c>
      <c r="F35" s="84">
        <f>ROUND((SUM(BG83:BG95)),  2)</f>
        <v>0</v>
      </c>
      <c r="I35" s="94">
        <v>0.21</v>
      </c>
      <c r="J35" s="84">
        <f>0</f>
        <v>0</v>
      </c>
      <c r="L35" s="33"/>
    </row>
    <row r="36" spans="2:12" s="1" customFormat="1" ht="14.45" hidden="1" customHeight="1">
      <c r="B36" s="33"/>
      <c r="E36" s="28" t="s">
        <v>43</v>
      </c>
      <c r="F36" s="84">
        <f>ROUND((SUM(BH83:BH95)),  2)</f>
        <v>0</v>
      </c>
      <c r="I36" s="94">
        <v>0.15</v>
      </c>
      <c r="J36" s="84">
        <f>0</f>
        <v>0</v>
      </c>
      <c r="L36" s="33"/>
    </row>
    <row r="37" spans="2:12" s="1" customFormat="1" ht="14.45" hidden="1" customHeight="1">
      <c r="B37" s="33"/>
      <c r="E37" s="28" t="s">
        <v>44</v>
      </c>
      <c r="F37" s="84">
        <f>ROUND((SUM(BI83:BI95)),  2)</f>
        <v>0</v>
      </c>
      <c r="I37" s="94">
        <v>0</v>
      </c>
      <c r="J37" s="84">
        <f>0</f>
        <v>0</v>
      </c>
      <c r="L37" s="33"/>
    </row>
    <row r="38" spans="2:12" s="1" customFormat="1" ht="6.95" customHeight="1">
      <c r="B38" s="33"/>
      <c r="L38" s="33"/>
    </row>
    <row r="39" spans="2:12" s="1" customFormat="1" ht="25.35" customHeight="1">
      <c r="B39" s="33"/>
      <c r="C39" s="95"/>
      <c r="D39" s="96" t="s">
        <v>45</v>
      </c>
      <c r="E39" s="55"/>
      <c r="F39" s="55"/>
      <c r="G39" s="97" t="s">
        <v>46</v>
      </c>
      <c r="H39" s="98" t="s">
        <v>47</v>
      </c>
      <c r="I39" s="55"/>
      <c r="J39" s="99">
        <f>SUM(J30:J37)</f>
        <v>0</v>
      </c>
      <c r="K39" s="100"/>
      <c r="L39" s="33"/>
    </row>
    <row r="40" spans="2:12" s="1" customFormat="1" ht="14.45" customHeight="1"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33"/>
    </row>
    <row r="44" spans="2:12" s="1" customFormat="1" ht="6.95" customHeight="1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33"/>
    </row>
    <row r="45" spans="2:12" s="1" customFormat="1" ht="24.95" customHeight="1">
      <c r="B45" s="33"/>
      <c r="C45" s="22" t="s">
        <v>117</v>
      </c>
      <c r="L45" s="33"/>
    </row>
    <row r="46" spans="2:12" s="1" customFormat="1" ht="6.95" customHeight="1">
      <c r="B46" s="33"/>
      <c r="L46" s="33"/>
    </row>
    <row r="47" spans="2:12" s="1" customFormat="1" ht="12" customHeight="1">
      <c r="B47" s="33"/>
      <c r="C47" s="28" t="s">
        <v>17</v>
      </c>
      <c r="L47" s="33"/>
    </row>
    <row r="48" spans="2:12" s="1" customFormat="1" ht="16.5" customHeight="1">
      <c r="B48" s="33"/>
      <c r="E48" s="319" t="str">
        <f>E7</f>
        <v>SKLAD ŠKROBU P-001</v>
      </c>
      <c r="F48" s="320"/>
      <c r="G48" s="320"/>
      <c r="H48" s="320"/>
      <c r="L48" s="33"/>
    </row>
    <row r="49" spans="2:47" s="1" customFormat="1" ht="12" customHeight="1">
      <c r="B49" s="33"/>
      <c r="C49" s="28" t="s">
        <v>115</v>
      </c>
      <c r="L49" s="33"/>
    </row>
    <row r="50" spans="2:47" s="1" customFormat="1" ht="16.5" customHeight="1">
      <c r="B50" s="33"/>
      <c r="E50" s="282" t="str">
        <f>E9</f>
        <v>2023/003/j - VRN</v>
      </c>
      <c r="F50" s="321"/>
      <c r="G50" s="321"/>
      <c r="H50" s="321"/>
      <c r="L50" s="33"/>
    </row>
    <row r="51" spans="2:47" s="1" customFormat="1" ht="6.95" customHeight="1">
      <c r="B51" s="33"/>
      <c r="L51" s="33"/>
    </row>
    <row r="52" spans="2:47" s="1" customFormat="1" ht="12" customHeight="1">
      <c r="B52" s="33"/>
      <c r="C52" s="28" t="s">
        <v>21</v>
      </c>
      <c r="F52" s="26" t="str">
        <f>F12</f>
        <v xml:space="preserve"> </v>
      </c>
      <c r="I52" s="28" t="s">
        <v>23</v>
      </c>
      <c r="J52" s="50">
        <f>IF(J12="","",J12)</f>
        <v>45167</v>
      </c>
      <c r="L52" s="33"/>
    </row>
    <row r="53" spans="2:47" s="1" customFormat="1" ht="6.95" customHeight="1">
      <c r="B53" s="33"/>
      <c r="L53" s="33"/>
    </row>
    <row r="54" spans="2:47" s="1" customFormat="1" ht="15.2" customHeight="1">
      <c r="B54" s="33"/>
      <c r="C54" s="28" t="s">
        <v>24</v>
      </c>
      <c r="F54" s="26" t="str">
        <f>E15</f>
        <v xml:space="preserve"> </v>
      </c>
      <c r="I54" s="28" t="s">
        <v>29</v>
      </c>
      <c r="J54" s="31" t="str">
        <f>E21</f>
        <v xml:space="preserve"> </v>
      </c>
      <c r="L54" s="33"/>
    </row>
    <row r="55" spans="2:47" s="1" customFormat="1" ht="15.2" customHeight="1">
      <c r="B55" s="33"/>
      <c r="C55" s="28" t="s">
        <v>27</v>
      </c>
      <c r="F55" s="26" t="str">
        <f>IF(E18="","",E18)</f>
        <v>Vyplň údaj</v>
      </c>
      <c r="I55" s="28" t="s">
        <v>31</v>
      </c>
      <c r="J55" s="31" t="str">
        <f>E24</f>
        <v>rostarek s.r.o.</v>
      </c>
      <c r="L55" s="33"/>
    </row>
    <row r="56" spans="2:47" s="1" customFormat="1" ht="10.35" customHeight="1">
      <c r="B56" s="33"/>
      <c r="L56" s="33"/>
    </row>
    <row r="57" spans="2:47" s="1" customFormat="1" ht="29.25" customHeight="1">
      <c r="B57" s="33"/>
      <c r="C57" s="101" t="s">
        <v>118</v>
      </c>
      <c r="D57" s="95"/>
      <c r="E57" s="95"/>
      <c r="F57" s="95"/>
      <c r="G57" s="95"/>
      <c r="H57" s="95"/>
      <c r="I57" s="95"/>
      <c r="J57" s="102" t="s">
        <v>119</v>
      </c>
      <c r="K57" s="95"/>
      <c r="L57" s="33"/>
    </row>
    <row r="58" spans="2:47" s="1" customFormat="1" ht="10.35" customHeight="1">
      <c r="B58" s="33"/>
      <c r="L58" s="33"/>
    </row>
    <row r="59" spans="2:47" s="1" customFormat="1" ht="22.9" customHeight="1">
      <c r="B59" s="33"/>
      <c r="C59" s="103" t="s">
        <v>67</v>
      </c>
      <c r="J59" s="64">
        <f>J83</f>
        <v>0</v>
      </c>
      <c r="L59" s="33"/>
      <c r="AU59" s="18" t="s">
        <v>120</v>
      </c>
    </row>
    <row r="60" spans="2:47" s="8" customFormat="1" ht="24.95" customHeight="1">
      <c r="B60" s="104"/>
      <c r="D60" s="105" t="s">
        <v>1401</v>
      </c>
      <c r="E60" s="106"/>
      <c r="F60" s="106"/>
      <c r="G60" s="106"/>
      <c r="H60" s="106"/>
      <c r="I60" s="106"/>
      <c r="J60" s="107">
        <f>J84</f>
        <v>0</v>
      </c>
      <c r="L60" s="104"/>
    </row>
    <row r="61" spans="2:47" s="9" customFormat="1" ht="19.899999999999999" customHeight="1">
      <c r="B61" s="108"/>
      <c r="D61" s="109" t="s">
        <v>1938</v>
      </c>
      <c r="E61" s="110"/>
      <c r="F61" s="110"/>
      <c r="G61" s="110"/>
      <c r="H61" s="110"/>
      <c r="I61" s="110"/>
      <c r="J61" s="111">
        <f>J85</f>
        <v>0</v>
      </c>
      <c r="L61" s="108"/>
    </row>
    <row r="62" spans="2:47" s="9" customFormat="1" ht="19.899999999999999" customHeight="1">
      <c r="B62" s="108"/>
      <c r="D62" s="109" t="s">
        <v>1939</v>
      </c>
      <c r="E62" s="110"/>
      <c r="F62" s="110"/>
      <c r="G62" s="110"/>
      <c r="H62" s="110"/>
      <c r="I62" s="110"/>
      <c r="J62" s="111">
        <f>J88</f>
        <v>0</v>
      </c>
      <c r="L62" s="108"/>
    </row>
    <row r="63" spans="2:47" s="9" customFormat="1" ht="19.899999999999999" customHeight="1">
      <c r="B63" s="108"/>
      <c r="D63" s="109" t="s">
        <v>1402</v>
      </c>
      <c r="E63" s="110"/>
      <c r="F63" s="110"/>
      <c r="G63" s="110"/>
      <c r="H63" s="110"/>
      <c r="I63" s="110"/>
      <c r="J63" s="111">
        <f>J91</f>
        <v>0</v>
      </c>
      <c r="L63" s="108"/>
    </row>
    <row r="64" spans="2:47" s="1" customFormat="1" ht="21.75" customHeight="1">
      <c r="B64" s="33"/>
      <c r="L64" s="33"/>
    </row>
    <row r="65" spans="2:12" s="1" customFormat="1" ht="6.95" customHeight="1">
      <c r="B65" s="42"/>
      <c r="C65" s="43"/>
      <c r="D65" s="43"/>
      <c r="E65" s="43"/>
      <c r="F65" s="43"/>
      <c r="G65" s="43"/>
      <c r="H65" s="43"/>
      <c r="I65" s="43"/>
      <c r="J65" s="43"/>
      <c r="K65" s="43"/>
      <c r="L65" s="33"/>
    </row>
    <row r="69" spans="2:12" s="1" customFormat="1" ht="6.95" customHeight="1">
      <c r="B69" s="44"/>
      <c r="C69" s="45"/>
      <c r="D69" s="45"/>
      <c r="E69" s="45"/>
      <c r="F69" s="45"/>
      <c r="G69" s="45"/>
      <c r="H69" s="45"/>
      <c r="I69" s="45"/>
      <c r="J69" s="45"/>
      <c r="K69" s="45"/>
      <c r="L69" s="33"/>
    </row>
    <row r="70" spans="2:12" s="1" customFormat="1" ht="24.95" customHeight="1">
      <c r="B70" s="33"/>
      <c r="C70" s="22" t="s">
        <v>137</v>
      </c>
      <c r="L70" s="33"/>
    </row>
    <row r="71" spans="2:12" s="1" customFormat="1" ht="6.95" customHeight="1">
      <c r="B71" s="33"/>
      <c r="L71" s="33"/>
    </row>
    <row r="72" spans="2:12" s="1" customFormat="1" ht="12" customHeight="1">
      <c r="B72" s="33"/>
      <c r="C72" s="28" t="s">
        <v>17</v>
      </c>
      <c r="L72" s="33"/>
    </row>
    <row r="73" spans="2:12" s="1" customFormat="1" ht="16.5" customHeight="1">
      <c r="B73" s="33"/>
      <c r="E73" s="319" t="str">
        <f>E7</f>
        <v>SKLAD ŠKROBU P-001</v>
      </c>
      <c r="F73" s="320"/>
      <c r="G73" s="320"/>
      <c r="H73" s="320"/>
      <c r="L73" s="33"/>
    </row>
    <row r="74" spans="2:12" s="1" customFormat="1" ht="12" customHeight="1">
      <c r="B74" s="33"/>
      <c r="C74" s="28" t="s">
        <v>115</v>
      </c>
      <c r="L74" s="33"/>
    </row>
    <row r="75" spans="2:12" s="1" customFormat="1" ht="16.5" customHeight="1">
      <c r="B75" s="33"/>
      <c r="E75" s="282" t="str">
        <f>E9</f>
        <v>2023/003/j - VRN</v>
      </c>
      <c r="F75" s="321"/>
      <c r="G75" s="321"/>
      <c r="H75" s="321"/>
      <c r="L75" s="33"/>
    </row>
    <row r="76" spans="2:12" s="1" customFormat="1" ht="6.95" customHeight="1">
      <c r="B76" s="33"/>
      <c r="L76" s="33"/>
    </row>
    <row r="77" spans="2:12" s="1" customFormat="1" ht="12" customHeight="1">
      <c r="B77" s="33"/>
      <c r="C77" s="28" t="s">
        <v>21</v>
      </c>
      <c r="F77" s="26" t="str">
        <f>F12</f>
        <v xml:space="preserve"> </v>
      </c>
      <c r="I77" s="28" t="s">
        <v>23</v>
      </c>
      <c r="J77" s="50">
        <f>IF(J12="","",J12)</f>
        <v>45167</v>
      </c>
      <c r="L77" s="33"/>
    </row>
    <row r="78" spans="2:12" s="1" customFormat="1" ht="6.95" customHeight="1">
      <c r="B78" s="33"/>
      <c r="L78" s="33"/>
    </row>
    <row r="79" spans="2:12" s="1" customFormat="1" ht="15.2" customHeight="1">
      <c r="B79" s="33"/>
      <c r="C79" s="28" t="s">
        <v>24</v>
      </c>
      <c r="F79" s="26" t="str">
        <f>E15</f>
        <v xml:space="preserve"> </v>
      </c>
      <c r="I79" s="28" t="s">
        <v>29</v>
      </c>
      <c r="J79" s="31" t="str">
        <f>E21</f>
        <v xml:space="preserve"> </v>
      </c>
      <c r="L79" s="33"/>
    </row>
    <row r="80" spans="2:12" s="1" customFormat="1" ht="15.2" customHeight="1">
      <c r="B80" s="33"/>
      <c r="C80" s="28" t="s">
        <v>27</v>
      </c>
      <c r="F80" s="26" t="str">
        <f>IF(E18="","",E18)</f>
        <v>Vyplň údaj</v>
      </c>
      <c r="I80" s="28" t="s">
        <v>31</v>
      </c>
      <c r="J80" s="31" t="str">
        <f>E24</f>
        <v>rostarek s.r.o.</v>
      </c>
      <c r="L80" s="33"/>
    </row>
    <row r="81" spans="2:65" s="1" customFormat="1" ht="10.35" customHeight="1">
      <c r="B81" s="33"/>
      <c r="L81" s="33"/>
    </row>
    <row r="82" spans="2:65" s="10" customFormat="1" ht="29.25" customHeight="1">
      <c r="B82" s="112"/>
      <c r="C82" s="113" t="s">
        <v>138</v>
      </c>
      <c r="D82" s="114" t="s">
        <v>54</v>
      </c>
      <c r="E82" s="114" t="s">
        <v>50</v>
      </c>
      <c r="F82" s="114" t="s">
        <v>51</v>
      </c>
      <c r="G82" s="114" t="s">
        <v>139</v>
      </c>
      <c r="H82" s="114" t="s">
        <v>140</v>
      </c>
      <c r="I82" s="114" t="s">
        <v>141</v>
      </c>
      <c r="J82" s="114" t="s">
        <v>119</v>
      </c>
      <c r="K82" s="115" t="s">
        <v>142</v>
      </c>
      <c r="L82" s="112"/>
      <c r="M82" s="57" t="s">
        <v>3</v>
      </c>
      <c r="N82" s="58" t="s">
        <v>39</v>
      </c>
      <c r="O82" s="58" t="s">
        <v>143</v>
      </c>
      <c r="P82" s="58" t="s">
        <v>144</v>
      </c>
      <c r="Q82" s="58" t="s">
        <v>145</v>
      </c>
      <c r="R82" s="58" t="s">
        <v>146</v>
      </c>
      <c r="S82" s="58" t="s">
        <v>147</v>
      </c>
      <c r="T82" s="59" t="s">
        <v>148</v>
      </c>
    </row>
    <row r="83" spans="2:65" s="1" customFormat="1" ht="22.9" customHeight="1">
      <c r="B83" s="33"/>
      <c r="C83" s="62" t="s">
        <v>149</v>
      </c>
      <c r="J83" s="116">
        <f>BK83</f>
        <v>0</v>
      </c>
      <c r="L83" s="33"/>
      <c r="M83" s="60"/>
      <c r="N83" s="51"/>
      <c r="O83" s="51"/>
      <c r="P83" s="117">
        <f>P84</f>
        <v>0</v>
      </c>
      <c r="Q83" s="51"/>
      <c r="R83" s="117">
        <f>R84</f>
        <v>0</v>
      </c>
      <c r="S83" s="51"/>
      <c r="T83" s="118">
        <f>T84</f>
        <v>0</v>
      </c>
      <c r="AT83" s="18" t="s">
        <v>68</v>
      </c>
      <c r="AU83" s="18" t="s">
        <v>120</v>
      </c>
      <c r="BK83" s="119">
        <f>BK84</f>
        <v>0</v>
      </c>
    </row>
    <row r="84" spans="2:65" s="11" customFormat="1" ht="25.9" customHeight="1">
      <c r="B84" s="120"/>
      <c r="D84" s="121" t="s">
        <v>68</v>
      </c>
      <c r="E84" s="122" t="s">
        <v>112</v>
      </c>
      <c r="F84" s="122" t="s">
        <v>1642</v>
      </c>
      <c r="I84" s="123"/>
      <c r="J84" s="124">
        <f>BK84</f>
        <v>0</v>
      </c>
      <c r="L84" s="120"/>
      <c r="M84" s="125"/>
      <c r="P84" s="126">
        <f>P85+P88+P91</f>
        <v>0</v>
      </c>
      <c r="R84" s="126">
        <f>R85+R88+R91</f>
        <v>0</v>
      </c>
      <c r="T84" s="127">
        <f>T85+T88+T91</f>
        <v>0</v>
      </c>
      <c r="AR84" s="121" t="s">
        <v>180</v>
      </c>
      <c r="AT84" s="128" t="s">
        <v>68</v>
      </c>
      <c r="AU84" s="128" t="s">
        <v>69</v>
      </c>
      <c r="AY84" s="121" t="s">
        <v>151</v>
      </c>
      <c r="BK84" s="129">
        <f>BK85+BK88+BK91</f>
        <v>0</v>
      </c>
    </row>
    <row r="85" spans="2:65" s="11" customFormat="1" ht="22.9" customHeight="1">
      <c r="B85" s="120"/>
      <c r="D85" s="121" t="s">
        <v>68</v>
      </c>
      <c r="E85" s="130" t="s">
        <v>1940</v>
      </c>
      <c r="F85" s="130" t="s">
        <v>1941</v>
      </c>
      <c r="I85" s="123"/>
      <c r="J85" s="131">
        <f>BK85</f>
        <v>0</v>
      </c>
      <c r="L85" s="120"/>
      <c r="M85" s="125"/>
      <c r="P85" s="126">
        <f>SUM(P86:P87)</f>
        <v>0</v>
      </c>
      <c r="R85" s="126">
        <f>SUM(R86:R87)</f>
        <v>0</v>
      </c>
      <c r="T85" s="127">
        <f>SUM(T86:T87)</f>
        <v>0</v>
      </c>
      <c r="AR85" s="121" t="s">
        <v>180</v>
      </c>
      <c r="AT85" s="128" t="s">
        <v>68</v>
      </c>
      <c r="AU85" s="128" t="s">
        <v>77</v>
      </c>
      <c r="AY85" s="121" t="s">
        <v>151</v>
      </c>
      <c r="BK85" s="129">
        <f>SUM(BK86:BK87)</f>
        <v>0</v>
      </c>
    </row>
    <row r="86" spans="2:65" s="1" customFormat="1" ht="16.5" customHeight="1">
      <c r="B86" s="132"/>
      <c r="C86" s="133" t="s">
        <v>77</v>
      </c>
      <c r="D86" s="133" t="s">
        <v>153</v>
      </c>
      <c r="E86" s="134" t="s">
        <v>1942</v>
      </c>
      <c r="F86" s="135" t="s">
        <v>1943</v>
      </c>
      <c r="G86" s="136" t="s">
        <v>523</v>
      </c>
      <c r="H86" s="137">
        <v>1</v>
      </c>
      <c r="I86" s="138"/>
      <c r="J86" s="139">
        <f>ROUND(I86*H86,2)</f>
        <v>0</v>
      </c>
      <c r="K86" s="135" t="s">
        <v>157</v>
      </c>
      <c r="L86" s="33"/>
      <c r="M86" s="140" t="s">
        <v>3</v>
      </c>
      <c r="N86" s="141" t="s">
        <v>40</v>
      </c>
      <c r="P86" s="142">
        <f>O86*H86</f>
        <v>0</v>
      </c>
      <c r="Q86" s="142">
        <v>0</v>
      </c>
      <c r="R86" s="142">
        <f>Q86*H86</f>
        <v>0</v>
      </c>
      <c r="S86" s="142">
        <v>0</v>
      </c>
      <c r="T86" s="143">
        <f>S86*H86</f>
        <v>0</v>
      </c>
      <c r="AR86" s="144" t="s">
        <v>1648</v>
      </c>
      <c r="AT86" s="144" t="s">
        <v>153</v>
      </c>
      <c r="AU86" s="144" t="s">
        <v>79</v>
      </c>
      <c r="AY86" s="18" t="s">
        <v>151</v>
      </c>
      <c r="BE86" s="145">
        <f>IF(N86="základní",J86,0)</f>
        <v>0</v>
      </c>
      <c r="BF86" s="145">
        <f>IF(N86="snížená",J86,0)</f>
        <v>0</v>
      </c>
      <c r="BG86" s="145">
        <f>IF(N86="zákl. přenesená",J86,0)</f>
        <v>0</v>
      </c>
      <c r="BH86" s="145">
        <f>IF(N86="sníž. přenesená",J86,0)</f>
        <v>0</v>
      </c>
      <c r="BI86" s="145">
        <f>IF(N86="nulová",J86,0)</f>
        <v>0</v>
      </c>
      <c r="BJ86" s="18" t="s">
        <v>77</v>
      </c>
      <c r="BK86" s="145">
        <f>ROUND(I86*H86,2)</f>
        <v>0</v>
      </c>
      <c r="BL86" s="18" t="s">
        <v>1648</v>
      </c>
      <c r="BM86" s="144" t="s">
        <v>1944</v>
      </c>
    </row>
    <row r="87" spans="2:65" s="1" customFormat="1" ht="11.25">
      <c r="B87" s="33"/>
      <c r="D87" s="146" t="s">
        <v>160</v>
      </c>
      <c r="F87" s="147" t="s">
        <v>1945</v>
      </c>
      <c r="I87" s="148"/>
      <c r="L87" s="33"/>
      <c r="M87" s="149"/>
      <c r="T87" s="54"/>
      <c r="AT87" s="18" t="s">
        <v>160</v>
      </c>
      <c r="AU87" s="18" t="s">
        <v>79</v>
      </c>
    </row>
    <row r="88" spans="2:65" s="11" customFormat="1" ht="22.9" customHeight="1">
      <c r="B88" s="120"/>
      <c r="D88" s="121" t="s">
        <v>68</v>
      </c>
      <c r="E88" s="130" t="s">
        <v>1946</v>
      </c>
      <c r="F88" s="130" t="s">
        <v>1947</v>
      </c>
      <c r="I88" s="123"/>
      <c r="J88" s="131">
        <f>BK88</f>
        <v>0</v>
      </c>
      <c r="L88" s="120"/>
      <c r="M88" s="125"/>
      <c r="P88" s="126">
        <f>SUM(P89:P90)</f>
        <v>0</v>
      </c>
      <c r="R88" s="126">
        <f>SUM(R89:R90)</f>
        <v>0</v>
      </c>
      <c r="T88" s="127">
        <f>SUM(T89:T90)</f>
        <v>0</v>
      </c>
      <c r="AR88" s="121" t="s">
        <v>180</v>
      </c>
      <c r="AT88" s="128" t="s">
        <v>68</v>
      </c>
      <c r="AU88" s="128" t="s">
        <v>77</v>
      </c>
      <c r="AY88" s="121" t="s">
        <v>151</v>
      </c>
      <c r="BK88" s="129">
        <f>SUM(BK89:BK90)</f>
        <v>0</v>
      </c>
    </row>
    <row r="89" spans="2:65" s="1" customFormat="1" ht="16.5" customHeight="1">
      <c r="B89" s="132"/>
      <c r="C89" s="133" t="s">
        <v>79</v>
      </c>
      <c r="D89" s="133" t="s">
        <v>153</v>
      </c>
      <c r="E89" s="134" t="s">
        <v>1948</v>
      </c>
      <c r="F89" s="135" t="s">
        <v>1947</v>
      </c>
      <c r="G89" s="136" t="s">
        <v>523</v>
      </c>
      <c r="H89" s="137">
        <v>1</v>
      </c>
      <c r="I89" s="138"/>
      <c r="J89" s="139">
        <f>ROUND(I89*H89,2)</f>
        <v>0</v>
      </c>
      <c r="K89" s="135" t="s">
        <v>157</v>
      </c>
      <c r="L89" s="33"/>
      <c r="M89" s="140" t="s">
        <v>3</v>
      </c>
      <c r="N89" s="141" t="s">
        <v>40</v>
      </c>
      <c r="P89" s="142">
        <f>O89*H89</f>
        <v>0</v>
      </c>
      <c r="Q89" s="142">
        <v>0</v>
      </c>
      <c r="R89" s="142">
        <f>Q89*H89</f>
        <v>0</v>
      </c>
      <c r="S89" s="142">
        <v>0</v>
      </c>
      <c r="T89" s="143">
        <f>S89*H89</f>
        <v>0</v>
      </c>
      <c r="AR89" s="144" t="s">
        <v>1648</v>
      </c>
      <c r="AT89" s="144" t="s">
        <v>153</v>
      </c>
      <c r="AU89" s="144" t="s">
        <v>79</v>
      </c>
      <c r="AY89" s="18" t="s">
        <v>151</v>
      </c>
      <c r="BE89" s="145">
        <f>IF(N89="základní",J89,0)</f>
        <v>0</v>
      </c>
      <c r="BF89" s="145">
        <f>IF(N89="snížená",J89,0)</f>
        <v>0</v>
      </c>
      <c r="BG89" s="145">
        <f>IF(N89="zákl. přenesená",J89,0)</f>
        <v>0</v>
      </c>
      <c r="BH89" s="145">
        <f>IF(N89="sníž. přenesená",J89,0)</f>
        <v>0</v>
      </c>
      <c r="BI89" s="145">
        <f>IF(N89="nulová",J89,0)</f>
        <v>0</v>
      </c>
      <c r="BJ89" s="18" t="s">
        <v>77</v>
      </c>
      <c r="BK89" s="145">
        <f>ROUND(I89*H89,2)</f>
        <v>0</v>
      </c>
      <c r="BL89" s="18" t="s">
        <v>1648</v>
      </c>
      <c r="BM89" s="144" t="s">
        <v>1949</v>
      </c>
    </row>
    <row r="90" spans="2:65" s="1" customFormat="1" ht="11.25">
      <c r="B90" s="33"/>
      <c r="D90" s="146" t="s">
        <v>160</v>
      </c>
      <c r="F90" s="147" t="s">
        <v>1950</v>
      </c>
      <c r="I90" s="148"/>
      <c r="L90" s="33"/>
      <c r="M90" s="149"/>
      <c r="T90" s="54"/>
      <c r="AT90" s="18" t="s">
        <v>160</v>
      </c>
      <c r="AU90" s="18" t="s">
        <v>79</v>
      </c>
    </row>
    <row r="91" spans="2:65" s="11" customFormat="1" ht="22.9" customHeight="1">
      <c r="B91" s="120"/>
      <c r="D91" s="121" t="s">
        <v>68</v>
      </c>
      <c r="E91" s="130" t="s">
        <v>1643</v>
      </c>
      <c r="F91" s="130" t="s">
        <v>1644</v>
      </c>
      <c r="I91" s="123"/>
      <c r="J91" s="131">
        <f>BK91</f>
        <v>0</v>
      </c>
      <c r="L91" s="120"/>
      <c r="M91" s="125"/>
      <c r="P91" s="126">
        <f>SUM(P92:P95)</f>
        <v>0</v>
      </c>
      <c r="R91" s="126">
        <f>SUM(R92:R95)</f>
        <v>0</v>
      </c>
      <c r="T91" s="127">
        <f>SUM(T92:T95)</f>
        <v>0</v>
      </c>
      <c r="AR91" s="121" t="s">
        <v>180</v>
      </c>
      <c r="AT91" s="128" t="s">
        <v>68</v>
      </c>
      <c r="AU91" s="128" t="s">
        <v>77</v>
      </c>
      <c r="AY91" s="121" t="s">
        <v>151</v>
      </c>
      <c r="BK91" s="129">
        <f>SUM(BK92:BK95)</f>
        <v>0</v>
      </c>
    </row>
    <row r="92" spans="2:65" s="1" customFormat="1" ht="16.5" customHeight="1">
      <c r="B92" s="132"/>
      <c r="C92" s="133" t="s">
        <v>168</v>
      </c>
      <c r="D92" s="133" t="s">
        <v>153</v>
      </c>
      <c r="E92" s="134" t="s">
        <v>1951</v>
      </c>
      <c r="F92" s="135" t="s">
        <v>1952</v>
      </c>
      <c r="G92" s="136" t="s">
        <v>484</v>
      </c>
      <c r="H92" s="137">
        <v>3</v>
      </c>
      <c r="I92" s="138"/>
      <c r="J92" s="139">
        <f>ROUND(I92*H92,2)</f>
        <v>0</v>
      </c>
      <c r="K92" s="135" t="s">
        <v>157</v>
      </c>
      <c r="L92" s="33"/>
      <c r="M92" s="140" t="s">
        <v>3</v>
      </c>
      <c r="N92" s="141" t="s">
        <v>40</v>
      </c>
      <c r="P92" s="142">
        <f>O92*H92</f>
        <v>0</v>
      </c>
      <c r="Q92" s="142">
        <v>0</v>
      </c>
      <c r="R92" s="142">
        <f>Q92*H92</f>
        <v>0</v>
      </c>
      <c r="S92" s="142">
        <v>0</v>
      </c>
      <c r="T92" s="143">
        <f>S92*H92</f>
        <v>0</v>
      </c>
      <c r="AR92" s="144" t="s">
        <v>1648</v>
      </c>
      <c r="AT92" s="144" t="s">
        <v>153</v>
      </c>
      <c r="AU92" s="144" t="s">
        <v>79</v>
      </c>
      <c r="AY92" s="18" t="s">
        <v>151</v>
      </c>
      <c r="BE92" s="145">
        <f>IF(N92="základní",J92,0)</f>
        <v>0</v>
      </c>
      <c r="BF92" s="145">
        <f>IF(N92="snížená",J92,0)</f>
        <v>0</v>
      </c>
      <c r="BG92" s="145">
        <f>IF(N92="zákl. přenesená",J92,0)</f>
        <v>0</v>
      </c>
      <c r="BH92" s="145">
        <f>IF(N92="sníž. přenesená",J92,0)</f>
        <v>0</v>
      </c>
      <c r="BI92" s="145">
        <f>IF(N92="nulová",J92,0)</f>
        <v>0</v>
      </c>
      <c r="BJ92" s="18" t="s">
        <v>77</v>
      </c>
      <c r="BK92" s="145">
        <f>ROUND(I92*H92,2)</f>
        <v>0</v>
      </c>
      <c r="BL92" s="18" t="s">
        <v>1648</v>
      </c>
      <c r="BM92" s="144" t="s">
        <v>1953</v>
      </c>
    </row>
    <row r="93" spans="2:65" s="1" customFormat="1" ht="11.25">
      <c r="B93" s="33"/>
      <c r="D93" s="146" t="s">
        <v>160</v>
      </c>
      <c r="F93" s="147" t="s">
        <v>1954</v>
      </c>
      <c r="I93" s="148"/>
      <c r="L93" s="33"/>
      <c r="M93" s="149"/>
      <c r="T93" s="54"/>
      <c r="AT93" s="18" t="s">
        <v>160</v>
      </c>
      <c r="AU93" s="18" t="s">
        <v>79</v>
      </c>
    </row>
    <row r="94" spans="2:65" s="1" customFormat="1" ht="16.5" customHeight="1">
      <c r="B94" s="132"/>
      <c r="C94" s="133" t="s">
        <v>158</v>
      </c>
      <c r="D94" s="133" t="s">
        <v>153</v>
      </c>
      <c r="E94" s="134" t="s">
        <v>1955</v>
      </c>
      <c r="F94" s="135" t="s">
        <v>1956</v>
      </c>
      <c r="G94" s="136" t="s">
        <v>523</v>
      </c>
      <c r="H94" s="137">
        <v>1</v>
      </c>
      <c r="I94" s="138"/>
      <c r="J94" s="139">
        <f>ROUND(I94*H94,2)</f>
        <v>0</v>
      </c>
      <c r="K94" s="135" t="s">
        <v>157</v>
      </c>
      <c r="L94" s="33"/>
      <c r="M94" s="140" t="s">
        <v>3</v>
      </c>
      <c r="N94" s="141" t="s">
        <v>40</v>
      </c>
      <c r="P94" s="142">
        <f>O94*H94</f>
        <v>0</v>
      </c>
      <c r="Q94" s="142">
        <v>0</v>
      </c>
      <c r="R94" s="142">
        <f>Q94*H94</f>
        <v>0</v>
      </c>
      <c r="S94" s="142">
        <v>0</v>
      </c>
      <c r="T94" s="143">
        <f>S94*H94</f>
        <v>0</v>
      </c>
      <c r="AR94" s="144" t="s">
        <v>1648</v>
      </c>
      <c r="AT94" s="144" t="s">
        <v>153</v>
      </c>
      <c r="AU94" s="144" t="s">
        <v>79</v>
      </c>
      <c r="AY94" s="18" t="s">
        <v>151</v>
      </c>
      <c r="BE94" s="145">
        <f>IF(N94="základní",J94,0)</f>
        <v>0</v>
      </c>
      <c r="BF94" s="145">
        <f>IF(N94="snížená",J94,0)</f>
        <v>0</v>
      </c>
      <c r="BG94" s="145">
        <f>IF(N94="zákl. přenesená",J94,0)</f>
        <v>0</v>
      </c>
      <c r="BH94" s="145">
        <f>IF(N94="sníž. přenesená",J94,0)</f>
        <v>0</v>
      </c>
      <c r="BI94" s="145">
        <f>IF(N94="nulová",J94,0)</f>
        <v>0</v>
      </c>
      <c r="BJ94" s="18" t="s">
        <v>77</v>
      </c>
      <c r="BK94" s="145">
        <f>ROUND(I94*H94,2)</f>
        <v>0</v>
      </c>
      <c r="BL94" s="18" t="s">
        <v>1648</v>
      </c>
      <c r="BM94" s="144" t="s">
        <v>1957</v>
      </c>
    </row>
    <row r="95" spans="2:65" s="1" customFormat="1" ht="11.25">
      <c r="B95" s="33"/>
      <c r="D95" s="146" t="s">
        <v>160</v>
      </c>
      <c r="F95" s="147" t="s">
        <v>1958</v>
      </c>
      <c r="I95" s="148"/>
      <c r="L95" s="33"/>
      <c r="M95" s="182"/>
      <c r="N95" s="183"/>
      <c r="O95" s="183"/>
      <c r="P95" s="183"/>
      <c r="Q95" s="183"/>
      <c r="R95" s="183"/>
      <c r="S95" s="183"/>
      <c r="T95" s="184"/>
      <c r="AT95" s="18" t="s">
        <v>160</v>
      </c>
      <c r="AU95" s="18" t="s">
        <v>79</v>
      </c>
    </row>
    <row r="96" spans="2:65" s="1" customFormat="1" ht="6.95" customHeight="1"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33"/>
    </row>
  </sheetData>
  <autoFilter ref="C82:K95" xr:uid="{00000000-0009-0000-0000-00000B000000}"/>
  <mergeCells count="9">
    <mergeCell ref="E50:H50"/>
    <mergeCell ref="E73:H73"/>
    <mergeCell ref="E75:H75"/>
    <mergeCell ref="L2:V2"/>
    <mergeCell ref="E7:H7"/>
    <mergeCell ref="E9:H9"/>
    <mergeCell ref="E18:H18"/>
    <mergeCell ref="E27:H27"/>
    <mergeCell ref="E48:H48"/>
  </mergeCells>
  <hyperlinks>
    <hyperlink ref="F87" r:id="rId1" xr:uid="{00000000-0004-0000-0B00-000000000000}"/>
    <hyperlink ref="F90" r:id="rId2" xr:uid="{00000000-0004-0000-0B00-000001000000}"/>
    <hyperlink ref="F93" r:id="rId3" xr:uid="{00000000-0004-0000-0B00-000002000000}"/>
    <hyperlink ref="F95" r:id="rId4" xr:uid="{00000000-0004-0000-0B00-000003000000}"/>
  </hyperlinks>
  <pageMargins left="0.39374999999999999" right="0.39374999999999999" top="0.39374999999999999" bottom="0.39374999999999999" header="0" footer="0"/>
  <pageSetup paperSize="9" fitToHeight="100" orientation="landscape" blackAndWhite="1"/>
  <headerFooter>
    <oddFooter>&amp;CStrana &amp;P z &amp;N</oddFooter>
  </headerFooter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218"/>
  <sheetViews>
    <sheetView showGridLines="0" zoomScale="110" zoomScaleNormal="110" workbookViewId="0"/>
  </sheetViews>
  <sheetFormatPr defaultRowHeight="15"/>
  <cols>
    <col min="1" max="1" width="8.33203125" style="198" customWidth="1"/>
    <col min="2" max="2" width="1.6640625" style="198" customWidth="1"/>
    <col min="3" max="4" width="5" style="198" customWidth="1"/>
    <col min="5" max="5" width="11.6640625" style="198" customWidth="1"/>
    <col min="6" max="6" width="9.1640625" style="198" customWidth="1"/>
    <col min="7" max="7" width="5" style="198" customWidth="1"/>
    <col min="8" max="8" width="77.83203125" style="198" customWidth="1"/>
    <col min="9" max="10" width="20" style="198" customWidth="1"/>
    <col min="11" max="11" width="1.6640625" style="198" customWidth="1"/>
  </cols>
  <sheetData>
    <row r="1" spans="2:11" customFormat="1" ht="37.5" customHeight="1"/>
    <row r="2" spans="2:11" customFormat="1" ht="7.5" customHeight="1">
      <c r="B2" s="199"/>
      <c r="C2" s="200"/>
      <c r="D2" s="200"/>
      <c r="E2" s="200"/>
      <c r="F2" s="200"/>
      <c r="G2" s="200"/>
      <c r="H2" s="200"/>
      <c r="I2" s="200"/>
      <c r="J2" s="200"/>
      <c r="K2" s="201"/>
    </row>
    <row r="3" spans="2:11" s="16" customFormat="1" ht="45" customHeight="1">
      <c r="B3" s="202"/>
      <c r="C3" s="324" t="s">
        <v>1959</v>
      </c>
      <c r="D3" s="324"/>
      <c r="E3" s="324"/>
      <c r="F3" s="324"/>
      <c r="G3" s="324"/>
      <c r="H3" s="324"/>
      <c r="I3" s="324"/>
      <c r="J3" s="324"/>
      <c r="K3" s="203"/>
    </row>
    <row r="4" spans="2:11" customFormat="1" ht="25.5" customHeight="1">
      <c r="B4" s="204"/>
      <c r="C4" s="329" t="s">
        <v>1960</v>
      </c>
      <c r="D4" s="329"/>
      <c r="E4" s="329"/>
      <c r="F4" s="329"/>
      <c r="G4" s="329"/>
      <c r="H4" s="329"/>
      <c r="I4" s="329"/>
      <c r="J4" s="329"/>
      <c r="K4" s="205"/>
    </row>
    <row r="5" spans="2:11" customFormat="1" ht="5.25" customHeight="1">
      <c r="B5" s="204"/>
      <c r="C5" s="206"/>
      <c r="D5" s="206"/>
      <c r="E5" s="206"/>
      <c r="F5" s="206"/>
      <c r="G5" s="206"/>
      <c r="H5" s="206"/>
      <c r="I5" s="206"/>
      <c r="J5" s="206"/>
      <c r="K5" s="205"/>
    </row>
    <row r="6" spans="2:11" customFormat="1" ht="15" customHeight="1">
      <c r="B6" s="204"/>
      <c r="C6" s="328" t="s">
        <v>1961</v>
      </c>
      <c r="D6" s="328"/>
      <c r="E6" s="328"/>
      <c r="F6" s="328"/>
      <c r="G6" s="328"/>
      <c r="H6" s="328"/>
      <c r="I6" s="328"/>
      <c r="J6" s="328"/>
      <c r="K6" s="205"/>
    </row>
    <row r="7" spans="2:11" customFormat="1" ht="15" customHeight="1">
      <c r="B7" s="208"/>
      <c r="C7" s="328" t="s">
        <v>1962</v>
      </c>
      <c r="D7" s="328"/>
      <c r="E7" s="328"/>
      <c r="F7" s="328"/>
      <c r="G7" s="328"/>
      <c r="H7" s="328"/>
      <c r="I7" s="328"/>
      <c r="J7" s="328"/>
      <c r="K7" s="205"/>
    </row>
    <row r="8" spans="2:11" customFormat="1" ht="12.75" customHeight="1">
      <c r="B8" s="208"/>
      <c r="C8" s="207"/>
      <c r="D8" s="207"/>
      <c r="E8" s="207"/>
      <c r="F8" s="207"/>
      <c r="G8" s="207"/>
      <c r="H8" s="207"/>
      <c r="I8" s="207"/>
      <c r="J8" s="207"/>
      <c r="K8" s="205"/>
    </row>
    <row r="9" spans="2:11" customFormat="1" ht="15" customHeight="1">
      <c r="B9" s="208"/>
      <c r="C9" s="328" t="s">
        <v>1963</v>
      </c>
      <c r="D9" s="328"/>
      <c r="E9" s="328"/>
      <c r="F9" s="328"/>
      <c r="G9" s="328"/>
      <c r="H9" s="328"/>
      <c r="I9" s="328"/>
      <c r="J9" s="328"/>
      <c r="K9" s="205"/>
    </row>
    <row r="10" spans="2:11" customFormat="1" ht="15" customHeight="1">
      <c r="B10" s="208"/>
      <c r="C10" s="207"/>
      <c r="D10" s="328" t="s">
        <v>1964</v>
      </c>
      <c r="E10" s="328"/>
      <c r="F10" s="328"/>
      <c r="G10" s="328"/>
      <c r="H10" s="328"/>
      <c r="I10" s="328"/>
      <c r="J10" s="328"/>
      <c r="K10" s="205"/>
    </row>
    <row r="11" spans="2:11" customFormat="1" ht="15" customHeight="1">
      <c r="B11" s="208"/>
      <c r="C11" s="209"/>
      <c r="D11" s="328" t="s">
        <v>1965</v>
      </c>
      <c r="E11" s="328"/>
      <c r="F11" s="328"/>
      <c r="G11" s="328"/>
      <c r="H11" s="328"/>
      <c r="I11" s="328"/>
      <c r="J11" s="328"/>
      <c r="K11" s="205"/>
    </row>
    <row r="12" spans="2:11" customFormat="1" ht="15" customHeight="1">
      <c r="B12" s="208"/>
      <c r="C12" s="209"/>
      <c r="D12" s="207"/>
      <c r="E12" s="207"/>
      <c r="F12" s="207"/>
      <c r="G12" s="207"/>
      <c r="H12" s="207"/>
      <c r="I12" s="207"/>
      <c r="J12" s="207"/>
      <c r="K12" s="205"/>
    </row>
    <row r="13" spans="2:11" customFormat="1" ht="15" customHeight="1">
      <c r="B13" s="208"/>
      <c r="C13" s="209"/>
      <c r="D13" s="210" t="s">
        <v>1966</v>
      </c>
      <c r="E13" s="207"/>
      <c r="F13" s="207"/>
      <c r="G13" s="207"/>
      <c r="H13" s="207"/>
      <c r="I13" s="207"/>
      <c r="J13" s="207"/>
      <c r="K13" s="205"/>
    </row>
    <row r="14" spans="2:11" customFormat="1" ht="12.75" customHeight="1">
      <c r="B14" s="208"/>
      <c r="C14" s="209"/>
      <c r="D14" s="209"/>
      <c r="E14" s="209"/>
      <c r="F14" s="209"/>
      <c r="G14" s="209"/>
      <c r="H14" s="209"/>
      <c r="I14" s="209"/>
      <c r="J14" s="209"/>
      <c r="K14" s="205"/>
    </row>
    <row r="15" spans="2:11" customFormat="1" ht="15" customHeight="1">
      <c r="B15" s="208"/>
      <c r="C15" s="209"/>
      <c r="D15" s="328" t="s">
        <v>1967</v>
      </c>
      <c r="E15" s="328"/>
      <c r="F15" s="328"/>
      <c r="G15" s="328"/>
      <c r="H15" s="328"/>
      <c r="I15" s="328"/>
      <c r="J15" s="328"/>
      <c r="K15" s="205"/>
    </row>
    <row r="16" spans="2:11" customFormat="1" ht="15" customHeight="1">
      <c r="B16" s="208"/>
      <c r="C16" s="209"/>
      <c r="D16" s="328" t="s">
        <v>1968</v>
      </c>
      <c r="E16" s="328"/>
      <c r="F16" s="328"/>
      <c r="G16" s="328"/>
      <c r="H16" s="328"/>
      <c r="I16" s="328"/>
      <c r="J16" s="328"/>
      <c r="K16" s="205"/>
    </row>
    <row r="17" spans="2:11" customFormat="1" ht="15" customHeight="1">
      <c r="B17" s="208"/>
      <c r="C17" s="209"/>
      <c r="D17" s="328" t="s">
        <v>1969</v>
      </c>
      <c r="E17" s="328"/>
      <c r="F17" s="328"/>
      <c r="G17" s="328"/>
      <c r="H17" s="328"/>
      <c r="I17" s="328"/>
      <c r="J17" s="328"/>
      <c r="K17" s="205"/>
    </row>
    <row r="18" spans="2:11" customFormat="1" ht="15" customHeight="1">
      <c r="B18" s="208"/>
      <c r="C18" s="209"/>
      <c r="D18" s="209"/>
      <c r="E18" s="211" t="s">
        <v>76</v>
      </c>
      <c r="F18" s="328" t="s">
        <v>1970</v>
      </c>
      <c r="G18" s="328"/>
      <c r="H18" s="328"/>
      <c r="I18" s="328"/>
      <c r="J18" s="328"/>
      <c r="K18" s="205"/>
    </row>
    <row r="19" spans="2:11" customFormat="1" ht="15" customHeight="1">
      <c r="B19" s="208"/>
      <c r="C19" s="209"/>
      <c r="D19" s="209"/>
      <c r="E19" s="211" t="s">
        <v>1971</v>
      </c>
      <c r="F19" s="328" t="s">
        <v>1972</v>
      </c>
      <c r="G19" s="328"/>
      <c r="H19" s="328"/>
      <c r="I19" s="328"/>
      <c r="J19" s="328"/>
      <c r="K19" s="205"/>
    </row>
    <row r="20" spans="2:11" customFormat="1" ht="15" customHeight="1">
      <c r="B20" s="208"/>
      <c r="C20" s="209"/>
      <c r="D20" s="209"/>
      <c r="E20" s="211" t="s">
        <v>1973</v>
      </c>
      <c r="F20" s="328" t="s">
        <v>1974</v>
      </c>
      <c r="G20" s="328"/>
      <c r="H20" s="328"/>
      <c r="I20" s="328"/>
      <c r="J20" s="328"/>
      <c r="K20" s="205"/>
    </row>
    <row r="21" spans="2:11" customFormat="1" ht="15" customHeight="1">
      <c r="B21" s="208"/>
      <c r="C21" s="209"/>
      <c r="D21" s="209"/>
      <c r="E21" s="211" t="s">
        <v>1975</v>
      </c>
      <c r="F21" s="328" t="s">
        <v>1976</v>
      </c>
      <c r="G21" s="328"/>
      <c r="H21" s="328"/>
      <c r="I21" s="328"/>
      <c r="J21" s="328"/>
      <c r="K21" s="205"/>
    </row>
    <row r="22" spans="2:11" customFormat="1" ht="15" customHeight="1">
      <c r="B22" s="208"/>
      <c r="C22" s="209"/>
      <c r="D22" s="209"/>
      <c r="E22" s="211" t="s">
        <v>1977</v>
      </c>
      <c r="F22" s="328" t="s">
        <v>1099</v>
      </c>
      <c r="G22" s="328"/>
      <c r="H22" s="328"/>
      <c r="I22" s="328"/>
      <c r="J22" s="328"/>
      <c r="K22" s="205"/>
    </row>
    <row r="23" spans="2:11" customFormat="1" ht="15" customHeight="1">
      <c r="B23" s="208"/>
      <c r="C23" s="209"/>
      <c r="D23" s="209"/>
      <c r="E23" s="211" t="s">
        <v>100</v>
      </c>
      <c r="F23" s="328" t="s">
        <v>1978</v>
      </c>
      <c r="G23" s="328"/>
      <c r="H23" s="328"/>
      <c r="I23" s="328"/>
      <c r="J23" s="328"/>
      <c r="K23" s="205"/>
    </row>
    <row r="24" spans="2:11" customFormat="1" ht="12.75" customHeight="1">
      <c r="B24" s="208"/>
      <c r="C24" s="209"/>
      <c r="D24" s="209"/>
      <c r="E24" s="209"/>
      <c r="F24" s="209"/>
      <c r="G24" s="209"/>
      <c r="H24" s="209"/>
      <c r="I24" s="209"/>
      <c r="J24" s="209"/>
      <c r="K24" s="205"/>
    </row>
    <row r="25" spans="2:11" customFormat="1" ht="15" customHeight="1">
      <c r="B25" s="208"/>
      <c r="C25" s="328" t="s">
        <v>1979</v>
      </c>
      <c r="D25" s="328"/>
      <c r="E25" s="328"/>
      <c r="F25" s="328"/>
      <c r="G25" s="328"/>
      <c r="H25" s="328"/>
      <c r="I25" s="328"/>
      <c r="J25" s="328"/>
      <c r="K25" s="205"/>
    </row>
    <row r="26" spans="2:11" customFormat="1" ht="15" customHeight="1">
      <c r="B26" s="208"/>
      <c r="C26" s="328" t="s">
        <v>1980</v>
      </c>
      <c r="D26" s="328"/>
      <c r="E26" s="328"/>
      <c r="F26" s="328"/>
      <c r="G26" s="328"/>
      <c r="H26" s="328"/>
      <c r="I26" s="328"/>
      <c r="J26" s="328"/>
      <c r="K26" s="205"/>
    </row>
    <row r="27" spans="2:11" customFormat="1" ht="15" customHeight="1">
      <c r="B27" s="208"/>
      <c r="C27" s="207"/>
      <c r="D27" s="328" t="s">
        <v>1981</v>
      </c>
      <c r="E27" s="328"/>
      <c r="F27" s="328"/>
      <c r="G27" s="328"/>
      <c r="H27" s="328"/>
      <c r="I27" s="328"/>
      <c r="J27" s="328"/>
      <c r="K27" s="205"/>
    </row>
    <row r="28" spans="2:11" customFormat="1" ht="15" customHeight="1">
      <c r="B28" s="208"/>
      <c r="C28" s="209"/>
      <c r="D28" s="328" t="s">
        <v>1982</v>
      </c>
      <c r="E28" s="328"/>
      <c r="F28" s="328"/>
      <c r="G28" s="328"/>
      <c r="H28" s="328"/>
      <c r="I28" s="328"/>
      <c r="J28" s="328"/>
      <c r="K28" s="205"/>
    </row>
    <row r="29" spans="2:11" customFormat="1" ht="12.75" customHeight="1">
      <c r="B29" s="208"/>
      <c r="C29" s="209"/>
      <c r="D29" s="209"/>
      <c r="E29" s="209"/>
      <c r="F29" s="209"/>
      <c r="G29" s="209"/>
      <c r="H29" s="209"/>
      <c r="I29" s="209"/>
      <c r="J29" s="209"/>
      <c r="K29" s="205"/>
    </row>
    <row r="30" spans="2:11" customFormat="1" ht="15" customHeight="1">
      <c r="B30" s="208"/>
      <c r="C30" s="209"/>
      <c r="D30" s="328" t="s">
        <v>1983</v>
      </c>
      <c r="E30" s="328"/>
      <c r="F30" s="328"/>
      <c r="G30" s="328"/>
      <c r="H30" s="328"/>
      <c r="I30" s="328"/>
      <c r="J30" s="328"/>
      <c r="K30" s="205"/>
    </row>
    <row r="31" spans="2:11" customFormat="1" ht="15" customHeight="1">
      <c r="B31" s="208"/>
      <c r="C31" s="209"/>
      <c r="D31" s="328" t="s">
        <v>1984</v>
      </c>
      <c r="E31" s="328"/>
      <c r="F31" s="328"/>
      <c r="G31" s="328"/>
      <c r="H31" s="328"/>
      <c r="I31" s="328"/>
      <c r="J31" s="328"/>
      <c r="K31" s="205"/>
    </row>
    <row r="32" spans="2:11" customFormat="1" ht="12.75" customHeight="1">
      <c r="B32" s="208"/>
      <c r="C32" s="209"/>
      <c r="D32" s="209"/>
      <c r="E32" s="209"/>
      <c r="F32" s="209"/>
      <c r="G32" s="209"/>
      <c r="H32" s="209"/>
      <c r="I32" s="209"/>
      <c r="J32" s="209"/>
      <c r="K32" s="205"/>
    </row>
    <row r="33" spans="2:11" customFormat="1" ht="15" customHeight="1">
      <c r="B33" s="208"/>
      <c r="C33" s="209"/>
      <c r="D33" s="328" t="s">
        <v>1985</v>
      </c>
      <c r="E33" s="328"/>
      <c r="F33" s="328"/>
      <c r="G33" s="328"/>
      <c r="H33" s="328"/>
      <c r="I33" s="328"/>
      <c r="J33" s="328"/>
      <c r="K33" s="205"/>
    </row>
    <row r="34" spans="2:11" customFormat="1" ht="15" customHeight="1">
      <c r="B34" s="208"/>
      <c r="C34" s="209"/>
      <c r="D34" s="328" t="s">
        <v>1986</v>
      </c>
      <c r="E34" s="328"/>
      <c r="F34" s="328"/>
      <c r="G34" s="328"/>
      <c r="H34" s="328"/>
      <c r="I34" s="328"/>
      <c r="J34" s="328"/>
      <c r="K34" s="205"/>
    </row>
    <row r="35" spans="2:11" customFormat="1" ht="15" customHeight="1">
      <c r="B35" s="208"/>
      <c r="C35" s="209"/>
      <c r="D35" s="328" t="s">
        <v>1987</v>
      </c>
      <c r="E35" s="328"/>
      <c r="F35" s="328"/>
      <c r="G35" s="328"/>
      <c r="H35" s="328"/>
      <c r="I35" s="328"/>
      <c r="J35" s="328"/>
      <c r="K35" s="205"/>
    </row>
    <row r="36" spans="2:11" customFormat="1" ht="15" customHeight="1">
      <c r="B36" s="208"/>
      <c r="C36" s="209"/>
      <c r="D36" s="207"/>
      <c r="E36" s="210" t="s">
        <v>138</v>
      </c>
      <c r="F36" s="207"/>
      <c r="G36" s="328" t="s">
        <v>1988</v>
      </c>
      <c r="H36" s="328"/>
      <c r="I36" s="328"/>
      <c r="J36" s="328"/>
      <c r="K36" s="205"/>
    </row>
    <row r="37" spans="2:11" customFormat="1" ht="30.75" customHeight="1">
      <c r="B37" s="208"/>
      <c r="C37" s="209"/>
      <c r="D37" s="207"/>
      <c r="E37" s="210" t="s">
        <v>1989</v>
      </c>
      <c r="F37" s="207"/>
      <c r="G37" s="328" t="s">
        <v>1990</v>
      </c>
      <c r="H37" s="328"/>
      <c r="I37" s="328"/>
      <c r="J37" s="328"/>
      <c r="K37" s="205"/>
    </row>
    <row r="38" spans="2:11" customFormat="1" ht="15" customHeight="1">
      <c r="B38" s="208"/>
      <c r="C38" s="209"/>
      <c r="D38" s="207"/>
      <c r="E38" s="210" t="s">
        <v>50</v>
      </c>
      <c r="F38" s="207"/>
      <c r="G38" s="328" t="s">
        <v>1991</v>
      </c>
      <c r="H38" s="328"/>
      <c r="I38" s="328"/>
      <c r="J38" s="328"/>
      <c r="K38" s="205"/>
    </row>
    <row r="39" spans="2:11" customFormat="1" ht="15" customHeight="1">
      <c r="B39" s="208"/>
      <c r="C39" s="209"/>
      <c r="D39" s="207"/>
      <c r="E39" s="210" t="s">
        <v>51</v>
      </c>
      <c r="F39" s="207"/>
      <c r="G39" s="328" t="s">
        <v>1992</v>
      </c>
      <c r="H39" s="328"/>
      <c r="I39" s="328"/>
      <c r="J39" s="328"/>
      <c r="K39" s="205"/>
    </row>
    <row r="40" spans="2:11" customFormat="1" ht="15" customHeight="1">
      <c r="B40" s="208"/>
      <c r="C40" s="209"/>
      <c r="D40" s="207"/>
      <c r="E40" s="210" t="s">
        <v>139</v>
      </c>
      <c r="F40" s="207"/>
      <c r="G40" s="328" t="s">
        <v>1993</v>
      </c>
      <c r="H40" s="328"/>
      <c r="I40" s="328"/>
      <c r="J40" s="328"/>
      <c r="K40" s="205"/>
    </row>
    <row r="41" spans="2:11" customFormat="1" ht="15" customHeight="1">
      <c r="B41" s="208"/>
      <c r="C41" s="209"/>
      <c r="D41" s="207"/>
      <c r="E41" s="210" t="s">
        <v>140</v>
      </c>
      <c r="F41" s="207"/>
      <c r="G41" s="328" t="s">
        <v>1994</v>
      </c>
      <c r="H41" s="328"/>
      <c r="I41" s="328"/>
      <c r="J41" s="328"/>
      <c r="K41" s="205"/>
    </row>
    <row r="42" spans="2:11" customFormat="1" ht="15" customHeight="1">
      <c r="B42" s="208"/>
      <c r="C42" s="209"/>
      <c r="D42" s="207"/>
      <c r="E42" s="210" t="s">
        <v>1995</v>
      </c>
      <c r="F42" s="207"/>
      <c r="G42" s="328" t="s">
        <v>1996</v>
      </c>
      <c r="H42" s="328"/>
      <c r="I42" s="328"/>
      <c r="J42" s="328"/>
      <c r="K42" s="205"/>
    </row>
    <row r="43" spans="2:11" customFormat="1" ht="15" customHeight="1">
      <c r="B43" s="208"/>
      <c r="C43" s="209"/>
      <c r="D43" s="207"/>
      <c r="E43" s="210"/>
      <c r="F43" s="207"/>
      <c r="G43" s="328" t="s">
        <v>1997</v>
      </c>
      <c r="H43" s="328"/>
      <c r="I43" s="328"/>
      <c r="J43" s="328"/>
      <c r="K43" s="205"/>
    </row>
    <row r="44" spans="2:11" customFormat="1" ht="15" customHeight="1">
      <c r="B44" s="208"/>
      <c r="C44" s="209"/>
      <c r="D44" s="207"/>
      <c r="E44" s="210" t="s">
        <v>1998</v>
      </c>
      <c r="F44" s="207"/>
      <c r="G44" s="328" t="s">
        <v>1999</v>
      </c>
      <c r="H44" s="328"/>
      <c r="I44" s="328"/>
      <c r="J44" s="328"/>
      <c r="K44" s="205"/>
    </row>
    <row r="45" spans="2:11" customFormat="1" ht="15" customHeight="1">
      <c r="B45" s="208"/>
      <c r="C45" s="209"/>
      <c r="D45" s="207"/>
      <c r="E45" s="210" t="s">
        <v>142</v>
      </c>
      <c r="F45" s="207"/>
      <c r="G45" s="328" t="s">
        <v>2000</v>
      </c>
      <c r="H45" s="328"/>
      <c r="I45" s="328"/>
      <c r="J45" s="328"/>
      <c r="K45" s="205"/>
    </row>
    <row r="46" spans="2:11" customFormat="1" ht="12.75" customHeight="1">
      <c r="B46" s="208"/>
      <c r="C46" s="209"/>
      <c r="D46" s="207"/>
      <c r="E46" s="207"/>
      <c r="F46" s="207"/>
      <c r="G46" s="207"/>
      <c r="H46" s="207"/>
      <c r="I46" s="207"/>
      <c r="J46" s="207"/>
      <c r="K46" s="205"/>
    </row>
    <row r="47" spans="2:11" customFormat="1" ht="15" customHeight="1">
      <c r="B47" s="208"/>
      <c r="C47" s="209"/>
      <c r="D47" s="328" t="s">
        <v>2001</v>
      </c>
      <c r="E47" s="328"/>
      <c r="F47" s="328"/>
      <c r="G47" s="328"/>
      <c r="H47" s="328"/>
      <c r="I47" s="328"/>
      <c r="J47" s="328"/>
      <c r="K47" s="205"/>
    </row>
    <row r="48" spans="2:11" customFormat="1" ht="15" customHeight="1">
      <c r="B48" s="208"/>
      <c r="C48" s="209"/>
      <c r="D48" s="209"/>
      <c r="E48" s="328" t="s">
        <v>2002</v>
      </c>
      <c r="F48" s="328"/>
      <c r="G48" s="328"/>
      <c r="H48" s="328"/>
      <c r="I48" s="328"/>
      <c r="J48" s="328"/>
      <c r="K48" s="205"/>
    </row>
    <row r="49" spans="2:11" customFormat="1" ht="15" customHeight="1">
      <c r="B49" s="208"/>
      <c r="C49" s="209"/>
      <c r="D49" s="209"/>
      <c r="E49" s="328" t="s">
        <v>2003</v>
      </c>
      <c r="F49" s="328"/>
      <c r="G49" s="328"/>
      <c r="H49" s="328"/>
      <c r="I49" s="328"/>
      <c r="J49" s="328"/>
      <c r="K49" s="205"/>
    </row>
    <row r="50" spans="2:11" customFormat="1" ht="15" customHeight="1">
      <c r="B50" s="208"/>
      <c r="C50" s="209"/>
      <c r="D50" s="209"/>
      <c r="E50" s="328" t="s">
        <v>2004</v>
      </c>
      <c r="F50" s="328"/>
      <c r="G50" s="328"/>
      <c r="H50" s="328"/>
      <c r="I50" s="328"/>
      <c r="J50" s="328"/>
      <c r="K50" s="205"/>
    </row>
    <row r="51" spans="2:11" customFormat="1" ht="15" customHeight="1">
      <c r="B51" s="208"/>
      <c r="C51" s="209"/>
      <c r="D51" s="328" t="s">
        <v>2005</v>
      </c>
      <c r="E51" s="328"/>
      <c r="F51" s="328"/>
      <c r="G51" s="328"/>
      <c r="H51" s="328"/>
      <c r="I51" s="328"/>
      <c r="J51" s="328"/>
      <c r="K51" s="205"/>
    </row>
    <row r="52" spans="2:11" customFormat="1" ht="25.5" customHeight="1">
      <c r="B52" s="204"/>
      <c r="C52" s="329" t="s">
        <v>2006</v>
      </c>
      <c r="D52" s="329"/>
      <c r="E52" s="329"/>
      <c r="F52" s="329"/>
      <c r="G52" s="329"/>
      <c r="H52" s="329"/>
      <c r="I52" s="329"/>
      <c r="J52" s="329"/>
      <c r="K52" s="205"/>
    </row>
    <row r="53" spans="2:11" customFormat="1" ht="5.25" customHeight="1">
      <c r="B53" s="204"/>
      <c r="C53" s="206"/>
      <c r="D53" s="206"/>
      <c r="E53" s="206"/>
      <c r="F53" s="206"/>
      <c r="G53" s="206"/>
      <c r="H53" s="206"/>
      <c r="I53" s="206"/>
      <c r="J53" s="206"/>
      <c r="K53" s="205"/>
    </row>
    <row r="54" spans="2:11" customFormat="1" ht="15" customHeight="1">
      <c r="B54" s="204"/>
      <c r="C54" s="328" t="s">
        <v>2007</v>
      </c>
      <c r="D54" s="328"/>
      <c r="E54" s="328"/>
      <c r="F54" s="328"/>
      <c r="G54" s="328"/>
      <c r="H54" s="328"/>
      <c r="I54" s="328"/>
      <c r="J54" s="328"/>
      <c r="K54" s="205"/>
    </row>
    <row r="55" spans="2:11" customFormat="1" ht="15" customHeight="1">
      <c r="B55" s="204"/>
      <c r="C55" s="328" t="s">
        <v>2008</v>
      </c>
      <c r="D55" s="328"/>
      <c r="E55" s="328"/>
      <c r="F55" s="328"/>
      <c r="G55" s="328"/>
      <c r="H55" s="328"/>
      <c r="I55" s="328"/>
      <c r="J55" s="328"/>
      <c r="K55" s="205"/>
    </row>
    <row r="56" spans="2:11" customFormat="1" ht="12.75" customHeight="1">
      <c r="B56" s="204"/>
      <c r="C56" s="207"/>
      <c r="D56" s="207"/>
      <c r="E56" s="207"/>
      <c r="F56" s="207"/>
      <c r="G56" s="207"/>
      <c r="H56" s="207"/>
      <c r="I56" s="207"/>
      <c r="J56" s="207"/>
      <c r="K56" s="205"/>
    </row>
    <row r="57" spans="2:11" customFormat="1" ht="15" customHeight="1">
      <c r="B57" s="204"/>
      <c r="C57" s="328" t="s">
        <v>2009</v>
      </c>
      <c r="D57" s="328"/>
      <c r="E57" s="328"/>
      <c r="F57" s="328"/>
      <c r="G57" s="328"/>
      <c r="H57" s="328"/>
      <c r="I57" s="328"/>
      <c r="J57" s="328"/>
      <c r="K57" s="205"/>
    </row>
    <row r="58" spans="2:11" customFormat="1" ht="15" customHeight="1">
      <c r="B58" s="204"/>
      <c r="C58" s="209"/>
      <c r="D58" s="328" t="s">
        <v>2010</v>
      </c>
      <c r="E58" s="328"/>
      <c r="F58" s="328"/>
      <c r="G58" s="328"/>
      <c r="H58" s="328"/>
      <c r="I58" s="328"/>
      <c r="J58" s="328"/>
      <c r="K58" s="205"/>
    </row>
    <row r="59" spans="2:11" customFormat="1" ht="15" customHeight="1">
      <c r="B59" s="204"/>
      <c r="C59" s="209"/>
      <c r="D59" s="328" t="s">
        <v>2011</v>
      </c>
      <c r="E59" s="328"/>
      <c r="F59" s="328"/>
      <c r="G59" s="328"/>
      <c r="H59" s="328"/>
      <c r="I59" s="328"/>
      <c r="J59" s="328"/>
      <c r="K59" s="205"/>
    </row>
    <row r="60" spans="2:11" customFormat="1" ht="15" customHeight="1">
      <c r="B60" s="204"/>
      <c r="C60" s="209"/>
      <c r="D60" s="328" t="s">
        <v>2012</v>
      </c>
      <c r="E60" s="328"/>
      <c r="F60" s="328"/>
      <c r="G60" s="328"/>
      <c r="H60" s="328"/>
      <c r="I60" s="328"/>
      <c r="J60" s="328"/>
      <c r="K60" s="205"/>
    </row>
    <row r="61" spans="2:11" customFormat="1" ht="15" customHeight="1">
      <c r="B61" s="204"/>
      <c r="C61" s="209"/>
      <c r="D61" s="328" t="s">
        <v>2013</v>
      </c>
      <c r="E61" s="328"/>
      <c r="F61" s="328"/>
      <c r="G61" s="328"/>
      <c r="H61" s="328"/>
      <c r="I61" s="328"/>
      <c r="J61" s="328"/>
      <c r="K61" s="205"/>
    </row>
    <row r="62" spans="2:11" customFormat="1" ht="15" customHeight="1">
      <c r="B62" s="204"/>
      <c r="C62" s="209"/>
      <c r="D62" s="330" t="s">
        <v>2014</v>
      </c>
      <c r="E62" s="330"/>
      <c r="F62" s="330"/>
      <c r="G62" s="330"/>
      <c r="H62" s="330"/>
      <c r="I62" s="330"/>
      <c r="J62" s="330"/>
      <c r="K62" s="205"/>
    </row>
    <row r="63" spans="2:11" customFormat="1" ht="15" customHeight="1">
      <c r="B63" s="204"/>
      <c r="C63" s="209"/>
      <c r="D63" s="328" t="s">
        <v>2015</v>
      </c>
      <c r="E63" s="328"/>
      <c r="F63" s="328"/>
      <c r="G63" s="328"/>
      <c r="H63" s="328"/>
      <c r="I63" s="328"/>
      <c r="J63" s="328"/>
      <c r="K63" s="205"/>
    </row>
    <row r="64" spans="2:11" customFormat="1" ht="12.75" customHeight="1">
      <c r="B64" s="204"/>
      <c r="C64" s="209"/>
      <c r="D64" s="209"/>
      <c r="E64" s="212"/>
      <c r="F64" s="209"/>
      <c r="G64" s="209"/>
      <c r="H64" s="209"/>
      <c r="I64" s="209"/>
      <c r="J64" s="209"/>
      <c r="K64" s="205"/>
    </row>
    <row r="65" spans="2:11" customFormat="1" ht="15" customHeight="1">
      <c r="B65" s="204"/>
      <c r="C65" s="209"/>
      <c r="D65" s="328" t="s">
        <v>2016</v>
      </c>
      <c r="E65" s="328"/>
      <c r="F65" s="328"/>
      <c r="G65" s="328"/>
      <c r="H65" s="328"/>
      <c r="I65" s="328"/>
      <c r="J65" s="328"/>
      <c r="K65" s="205"/>
    </row>
    <row r="66" spans="2:11" customFormat="1" ht="15" customHeight="1">
      <c r="B66" s="204"/>
      <c r="C66" s="209"/>
      <c r="D66" s="330" t="s">
        <v>2017</v>
      </c>
      <c r="E66" s="330"/>
      <c r="F66" s="330"/>
      <c r="G66" s="330"/>
      <c r="H66" s="330"/>
      <c r="I66" s="330"/>
      <c r="J66" s="330"/>
      <c r="K66" s="205"/>
    </row>
    <row r="67" spans="2:11" customFormat="1" ht="15" customHeight="1">
      <c r="B67" s="204"/>
      <c r="C67" s="209"/>
      <c r="D67" s="328" t="s">
        <v>2018</v>
      </c>
      <c r="E67" s="328"/>
      <c r="F67" s="328"/>
      <c r="G67" s="328"/>
      <c r="H67" s="328"/>
      <c r="I67" s="328"/>
      <c r="J67" s="328"/>
      <c r="K67" s="205"/>
    </row>
    <row r="68" spans="2:11" customFormat="1" ht="15" customHeight="1">
      <c r="B68" s="204"/>
      <c r="C68" s="209"/>
      <c r="D68" s="328" t="s">
        <v>2019</v>
      </c>
      <c r="E68" s="328"/>
      <c r="F68" s="328"/>
      <c r="G68" s="328"/>
      <c r="H68" s="328"/>
      <c r="I68" s="328"/>
      <c r="J68" s="328"/>
      <c r="K68" s="205"/>
    </row>
    <row r="69" spans="2:11" customFormat="1" ht="15" customHeight="1">
      <c r="B69" s="204"/>
      <c r="C69" s="209"/>
      <c r="D69" s="328" t="s">
        <v>2020</v>
      </c>
      <c r="E69" s="328"/>
      <c r="F69" s="328"/>
      <c r="G69" s="328"/>
      <c r="H69" s="328"/>
      <c r="I69" s="328"/>
      <c r="J69" s="328"/>
      <c r="K69" s="205"/>
    </row>
    <row r="70" spans="2:11" customFormat="1" ht="15" customHeight="1">
      <c r="B70" s="204"/>
      <c r="C70" s="209"/>
      <c r="D70" s="328" t="s">
        <v>2021</v>
      </c>
      <c r="E70" s="328"/>
      <c r="F70" s="328"/>
      <c r="G70" s="328"/>
      <c r="H70" s="328"/>
      <c r="I70" s="328"/>
      <c r="J70" s="328"/>
      <c r="K70" s="205"/>
    </row>
    <row r="71" spans="2:11" customFormat="1" ht="12.75" customHeight="1">
      <c r="B71" s="213"/>
      <c r="C71" s="214"/>
      <c r="D71" s="214"/>
      <c r="E71" s="214"/>
      <c r="F71" s="214"/>
      <c r="G71" s="214"/>
      <c r="H71" s="214"/>
      <c r="I71" s="214"/>
      <c r="J71" s="214"/>
      <c r="K71" s="215"/>
    </row>
    <row r="72" spans="2:11" customFormat="1" ht="18.75" customHeight="1">
      <c r="B72" s="216"/>
      <c r="C72" s="216"/>
      <c r="D72" s="216"/>
      <c r="E72" s="216"/>
      <c r="F72" s="216"/>
      <c r="G72" s="216"/>
      <c r="H72" s="216"/>
      <c r="I72" s="216"/>
      <c r="J72" s="216"/>
      <c r="K72" s="217"/>
    </row>
    <row r="73" spans="2:11" customFormat="1" ht="18.75" customHeight="1">
      <c r="B73" s="217"/>
      <c r="C73" s="217"/>
      <c r="D73" s="217"/>
      <c r="E73" s="217"/>
      <c r="F73" s="217"/>
      <c r="G73" s="217"/>
      <c r="H73" s="217"/>
      <c r="I73" s="217"/>
      <c r="J73" s="217"/>
      <c r="K73" s="217"/>
    </row>
    <row r="74" spans="2:11" customFormat="1" ht="7.5" customHeight="1">
      <c r="B74" s="218"/>
      <c r="C74" s="219"/>
      <c r="D74" s="219"/>
      <c r="E74" s="219"/>
      <c r="F74" s="219"/>
      <c r="G74" s="219"/>
      <c r="H74" s="219"/>
      <c r="I74" s="219"/>
      <c r="J74" s="219"/>
      <c r="K74" s="220"/>
    </row>
    <row r="75" spans="2:11" customFormat="1" ht="45" customHeight="1">
      <c r="B75" s="221"/>
      <c r="C75" s="323" t="s">
        <v>2022</v>
      </c>
      <c r="D75" s="323"/>
      <c r="E75" s="323"/>
      <c r="F75" s="323"/>
      <c r="G75" s="323"/>
      <c r="H75" s="323"/>
      <c r="I75" s="323"/>
      <c r="J75" s="323"/>
      <c r="K75" s="222"/>
    </row>
    <row r="76" spans="2:11" customFormat="1" ht="17.25" customHeight="1">
      <c r="B76" s="221"/>
      <c r="C76" s="223" t="s">
        <v>2023</v>
      </c>
      <c r="D76" s="223"/>
      <c r="E76" s="223"/>
      <c r="F76" s="223" t="s">
        <v>2024</v>
      </c>
      <c r="G76" s="224"/>
      <c r="H76" s="223" t="s">
        <v>51</v>
      </c>
      <c r="I76" s="223" t="s">
        <v>54</v>
      </c>
      <c r="J76" s="223" t="s">
        <v>2025</v>
      </c>
      <c r="K76" s="222"/>
    </row>
    <row r="77" spans="2:11" customFormat="1" ht="17.25" customHeight="1">
      <c r="B77" s="221"/>
      <c r="C77" s="225" t="s">
        <v>2026</v>
      </c>
      <c r="D77" s="225"/>
      <c r="E77" s="225"/>
      <c r="F77" s="226" t="s">
        <v>2027</v>
      </c>
      <c r="G77" s="227"/>
      <c r="H77" s="225"/>
      <c r="I77" s="225"/>
      <c r="J77" s="225" t="s">
        <v>2028</v>
      </c>
      <c r="K77" s="222"/>
    </row>
    <row r="78" spans="2:11" customFormat="1" ht="5.25" customHeight="1">
      <c r="B78" s="221"/>
      <c r="C78" s="228"/>
      <c r="D78" s="228"/>
      <c r="E78" s="228"/>
      <c r="F78" s="228"/>
      <c r="G78" s="229"/>
      <c r="H78" s="228"/>
      <c r="I78" s="228"/>
      <c r="J78" s="228"/>
      <c r="K78" s="222"/>
    </row>
    <row r="79" spans="2:11" customFormat="1" ht="15" customHeight="1">
      <c r="B79" s="221"/>
      <c r="C79" s="210" t="s">
        <v>50</v>
      </c>
      <c r="D79" s="230"/>
      <c r="E79" s="230"/>
      <c r="F79" s="231" t="s">
        <v>2029</v>
      </c>
      <c r="G79" s="232"/>
      <c r="H79" s="210" t="s">
        <v>2030</v>
      </c>
      <c r="I79" s="210" t="s">
        <v>2031</v>
      </c>
      <c r="J79" s="210">
        <v>20</v>
      </c>
      <c r="K79" s="222"/>
    </row>
    <row r="80" spans="2:11" customFormat="1" ht="15" customHeight="1">
      <c r="B80" s="221"/>
      <c r="C80" s="210" t="s">
        <v>2032</v>
      </c>
      <c r="D80" s="210"/>
      <c r="E80" s="210"/>
      <c r="F80" s="231" t="s">
        <v>2029</v>
      </c>
      <c r="G80" s="232"/>
      <c r="H80" s="210" t="s">
        <v>2033</v>
      </c>
      <c r="I80" s="210" t="s">
        <v>2031</v>
      </c>
      <c r="J80" s="210">
        <v>120</v>
      </c>
      <c r="K80" s="222"/>
    </row>
    <row r="81" spans="2:11" customFormat="1" ht="15" customHeight="1">
      <c r="B81" s="233"/>
      <c r="C81" s="210" t="s">
        <v>2034</v>
      </c>
      <c r="D81" s="210"/>
      <c r="E81" s="210"/>
      <c r="F81" s="231" t="s">
        <v>2035</v>
      </c>
      <c r="G81" s="232"/>
      <c r="H81" s="210" t="s">
        <v>2036</v>
      </c>
      <c r="I81" s="210" t="s">
        <v>2031</v>
      </c>
      <c r="J81" s="210">
        <v>50</v>
      </c>
      <c r="K81" s="222"/>
    </row>
    <row r="82" spans="2:11" customFormat="1" ht="15" customHeight="1">
      <c r="B82" s="233"/>
      <c r="C82" s="210" t="s">
        <v>2037</v>
      </c>
      <c r="D82" s="210"/>
      <c r="E82" s="210"/>
      <c r="F82" s="231" t="s">
        <v>2029</v>
      </c>
      <c r="G82" s="232"/>
      <c r="H82" s="210" t="s">
        <v>2038</v>
      </c>
      <c r="I82" s="210" t="s">
        <v>2039</v>
      </c>
      <c r="J82" s="210"/>
      <c r="K82" s="222"/>
    </row>
    <row r="83" spans="2:11" customFormat="1" ht="15" customHeight="1">
      <c r="B83" s="233"/>
      <c r="C83" s="210" t="s">
        <v>2040</v>
      </c>
      <c r="D83" s="210"/>
      <c r="E83" s="210"/>
      <c r="F83" s="231" t="s">
        <v>2035</v>
      </c>
      <c r="G83" s="210"/>
      <c r="H83" s="210" t="s">
        <v>2041</v>
      </c>
      <c r="I83" s="210" t="s">
        <v>2031</v>
      </c>
      <c r="J83" s="210">
        <v>15</v>
      </c>
      <c r="K83" s="222"/>
    </row>
    <row r="84" spans="2:11" customFormat="1" ht="15" customHeight="1">
      <c r="B84" s="233"/>
      <c r="C84" s="210" t="s">
        <v>2042</v>
      </c>
      <c r="D84" s="210"/>
      <c r="E84" s="210"/>
      <c r="F84" s="231" t="s">
        <v>2035</v>
      </c>
      <c r="G84" s="210"/>
      <c r="H84" s="210" t="s">
        <v>2043</v>
      </c>
      <c r="I84" s="210" t="s">
        <v>2031</v>
      </c>
      <c r="J84" s="210">
        <v>15</v>
      </c>
      <c r="K84" s="222"/>
    </row>
    <row r="85" spans="2:11" customFormat="1" ht="15" customHeight="1">
      <c r="B85" s="233"/>
      <c r="C85" s="210" t="s">
        <v>2044</v>
      </c>
      <c r="D85" s="210"/>
      <c r="E85" s="210"/>
      <c r="F85" s="231" t="s">
        <v>2035</v>
      </c>
      <c r="G85" s="210"/>
      <c r="H85" s="210" t="s">
        <v>2045</v>
      </c>
      <c r="I85" s="210" t="s">
        <v>2031</v>
      </c>
      <c r="J85" s="210">
        <v>20</v>
      </c>
      <c r="K85" s="222"/>
    </row>
    <row r="86" spans="2:11" customFormat="1" ht="15" customHeight="1">
      <c r="B86" s="233"/>
      <c r="C86" s="210" t="s">
        <v>2046</v>
      </c>
      <c r="D86" s="210"/>
      <c r="E86" s="210"/>
      <c r="F86" s="231" t="s">
        <v>2035</v>
      </c>
      <c r="G86" s="210"/>
      <c r="H86" s="210" t="s">
        <v>2047</v>
      </c>
      <c r="I86" s="210" t="s">
        <v>2031</v>
      </c>
      <c r="J86" s="210">
        <v>20</v>
      </c>
      <c r="K86" s="222"/>
    </row>
    <row r="87" spans="2:11" customFormat="1" ht="15" customHeight="1">
      <c r="B87" s="233"/>
      <c r="C87" s="210" t="s">
        <v>2048</v>
      </c>
      <c r="D87" s="210"/>
      <c r="E87" s="210"/>
      <c r="F87" s="231" t="s">
        <v>2035</v>
      </c>
      <c r="G87" s="232"/>
      <c r="H87" s="210" t="s">
        <v>2049</v>
      </c>
      <c r="I87" s="210" t="s">
        <v>2031</v>
      </c>
      <c r="J87" s="210">
        <v>50</v>
      </c>
      <c r="K87" s="222"/>
    </row>
    <row r="88" spans="2:11" customFormat="1" ht="15" customHeight="1">
      <c r="B88" s="233"/>
      <c r="C88" s="210" t="s">
        <v>2050</v>
      </c>
      <c r="D88" s="210"/>
      <c r="E88" s="210"/>
      <c r="F88" s="231" t="s">
        <v>2035</v>
      </c>
      <c r="G88" s="232"/>
      <c r="H88" s="210" t="s">
        <v>2051</v>
      </c>
      <c r="I88" s="210" t="s">
        <v>2031</v>
      </c>
      <c r="J88" s="210">
        <v>20</v>
      </c>
      <c r="K88" s="222"/>
    </row>
    <row r="89" spans="2:11" customFormat="1" ht="15" customHeight="1">
      <c r="B89" s="233"/>
      <c r="C89" s="210" t="s">
        <v>2052</v>
      </c>
      <c r="D89" s="210"/>
      <c r="E89" s="210"/>
      <c r="F89" s="231" t="s">
        <v>2035</v>
      </c>
      <c r="G89" s="232"/>
      <c r="H89" s="210" t="s">
        <v>2053</v>
      </c>
      <c r="I89" s="210" t="s">
        <v>2031</v>
      </c>
      <c r="J89" s="210">
        <v>20</v>
      </c>
      <c r="K89" s="222"/>
    </row>
    <row r="90" spans="2:11" customFormat="1" ht="15" customHeight="1">
      <c r="B90" s="233"/>
      <c r="C90" s="210" t="s">
        <v>2054</v>
      </c>
      <c r="D90" s="210"/>
      <c r="E90" s="210"/>
      <c r="F90" s="231" t="s">
        <v>2035</v>
      </c>
      <c r="G90" s="232"/>
      <c r="H90" s="210" t="s">
        <v>2055</v>
      </c>
      <c r="I90" s="210" t="s">
        <v>2031</v>
      </c>
      <c r="J90" s="210">
        <v>50</v>
      </c>
      <c r="K90" s="222"/>
    </row>
    <row r="91" spans="2:11" customFormat="1" ht="15" customHeight="1">
      <c r="B91" s="233"/>
      <c r="C91" s="210" t="s">
        <v>2056</v>
      </c>
      <c r="D91" s="210"/>
      <c r="E91" s="210"/>
      <c r="F91" s="231" t="s">
        <v>2035</v>
      </c>
      <c r="G91" s="232"/>
      <c r="H91" s="210" t="s">
        <v>2056</v>
      </c>
      <c r="I91" s="210" t="s">
        <v>2031</v>
      </c>
      <c r="J91" s="210">
        <v>50</v>
      </c>
      <c r="K91" s="222"/>
    </row>
    <row r="92" spans="2:11" customFormat="1" ht="15" customHeight="1">
      <c r="B92" s="233"/>
      <c r="C92" s="210" t="s">
        <v>2057</v>
      </c>
      <c r="D92" s="210"/>
      <c r="E92" s="210"/>
      <c r="F92" s="231" t="s">
        <v>2035</v>
      </c>
      <c r="G92" s="232"/>
      <c r="H92" s="210" t="s">
        <v>2058</v>
      </c>
      <c r="I92" s="210" t="s">
        <v>2031</v>
      </c>
      <c r="J92" s="210">
        <v>255</v>
      </c>
      <c r="K92" s="222"/>
    </row>
    <row r="93" spans="2:11" customFormat="1" ht="15" customHeight="1">
      <c r="B93" s="233"/>
      <c r="C93" s="210" t="s">
        <v>2059</v>
      </c>
      <c r="D93" s="210"/>
      <c r="E93" s="210"/>
      <c r="F93" s="231" t="s">
        <v>2029</v>
      </c>
      <c r="G93" s="232"/>
      <c r="H93" s="210" t="s">
        <v>2060</v>
      </c>
      <c r="I93" s="210" t="s">
        <v>2061</v>
      </c>
      <c r="J93" s="210"/>
      <c r="K93" s="222"/>
    </row>
    <row r="94" spans="2:11" customFormat="1" ht="15" customHeight="1">
      <c r="B94" s="233"/>
      <c r="C94" s="210" t="s">
        <v>2062</v>
      </c>
      <c r="D94" s="210"/>
      <c r="E94" s="210"/>
      <c r="F94" s="231" t="s">
        <v>2029</v>
      </c>
      <c r="G94" s="232"/>
      <c r="H94" s="210" t="s">
        <v>2063</v>
      </c>
      <c r="I94" s="210" t="s">
        <v>2064</v>
      </c>
      <c r="J94" s="210"/>
      <c r="K94" s="222"/>
    </row>
    <row r="95" spans="2:11" customFormat="1" ht="15" customHeight="1">
      <c r="B95" s="233"/>
      <c r="C95" s="210" t="s">
        <v>2065</v>
      </c>
      <c r="D95" s="210"/>
      <c r="E95" s="210"/>
      <c r="F95" s="231" t="s">
        <v>2029</v>
      </c>
      <c r="G95" s="232"/>
      <c r="H95" s="210" t="s">
        <v>2065</v>
      </c>
      <c r="I95" s="210" t="s">
        <v>2064</v>
      </c>
      <c r="J95" s="210"/>
      <c r="K95" s="222"/>
    </row>
    <row r="96" spans="2:11" customFormat="1" ht="15" customHeight="1">
      <c r="B96" s="233"/>
      <c r="C96" s="210" t="s">
        <v>35</v>
      </c>
      <c r="D96" s="210"/>
      <c r="E96" s="210"/>
      <c r="F96" s="231" t="s">
        <v>2029</v>
      </c>
      <c r="G96" s="232"/>
      <c r="H96" s="210" t="s">
        <v>2066</v>
      </c>
      <c r="I96" s="210" t="s">
        <v>2064</v>
      </c>
      <c r="J96" s="210"/>
      <c r="K96" s="222"/>
    </row>
    <row r="97" spans="2:11" customFormat="1" ht="15" customHeight="1">
      <c r="B97" s="233"/>
      <c r="C97" s="210" t="s">
        <v>45</v>
      </c>
      <c r="D97" s="210"/>
      <c r="E97" s="210"/>
      <c r="F97" s="231" t="s">
        <v>2029</v>
      </c>
      <c r="G97" s="232"/>
      <c r="H97" s="210" t="s">
        <v>2067</v>
      </c>
      <c r="I97" s="210" t="s">
        <v>2064</v>
      </c>
      <c r="J97" s="210"/>
      <c r="K97" s="222"/>
    </row>
    <row r="98" spans="2:11" customFormat="1" ht="15" customHeight="1">
      <c r="B98" s="234"/>
      <c r="C98" s="235"/>
      <c r="D98" s="235"/>
      <c r="E98" s="235"/>
      <c r="F98" s="235"/>
      <c r="G98" s="235"/>
      <c r="H98" s="235"/>
      <c r="I98" s="235"/>
      <c r="J98" s="235"/>
      <c r="K98" s="236"/>
    </row>
    <row r="99" spans="2:11" customFormat="1" ht="18.75" customHeight="1">
      <c r="B99" s="237"/>
      <c r="C99" s="238"/>
      <c r="D99" s="238"/>
      <c r="E99" s="238"/>
      <c r="F99" s="238"/>
      <c r="G99" s="238"/>
      <c r="H99" s="238"/>
      <c r="I99" s="238"/>
      <c r="J99" s="238"/>
      <c r="K99" s="237"/>
    </row>
    <row r="100" spans="2:11" customFormat="1" ht="18.75" customHeight="1"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</row>
    <row r="101" spans="2:11" customFormat="1" ht="7.5" customHeight="1">
      <c r="B101" s="218"/>
      <c r="C101" s="219"/>
      <c r="D101" s="219"/>
      <c r="E101" s="219"/>
      <c r="F101" s="219"/>
      <c r="G101" s="219"/>
      <c r="H101" s="219"/>
      <c r="I101" s="219"/>
      <c r="J101" s="219"/>
      <c r="K101" s="220"/>
    </row>
    <row r="102" spans="2:11" customFormat="1" ht="45" customHeight="1">
      <c r="B102" s="221"/>
      <c r="C102" s="323" t="s">
        <v>2068</v>
      </c>
      <c r="D102" s="323"/>
      <c r="E102" s="323"/>
      <c r="F102" s="323"/>
      <c r="G102" s="323"/>
      <c r="H102" s="323"/>
      <c r="I102" s="323"/>
      <c r="J102" s="323"/>
      <c r="K102" s="222"/>
    </row>
    <row r="103" spans="2:11" customFormat="1" ht="17.25" customHeight="1">
      <c r="B103" s="221"/>
      <c r="C103" s="223" t="s">
        <v>2023</v>
      </c>
      <c r="D103" s="223"/>
      <c r="E103" s="223"/>
      <c r="F103" s="223" t="s">
        <v>2024</v>
      </c>
      <c r="G103" s="224"/>
      <c r="H103" s="223" t="s">
        <v>51</v>
      </c>
      <c r="I103" s="223" t="s">
        <v>54</v>
      </c>
      <c r="J103" s="223" t="s">
        <v>2025</v>
      </c>
      <c r="K103" s="222"/>
    </row>
    <row r="104" spans="2:11" customFormat="1" ht="17.25" customHeight="1">
      <c r="B104" s="221"/>
      <c r="C104" s="225" t="s">
        <v>2026</v>
      </c>
      <c r="D104" s="225"/>
      <c r="E104" s="225"/>
      <c r="F104" s="226" t="s">
        <v>2027</v>
      </c>
      <c r="G104" s="227"/>
      <c r="H104" s="225"/>
      <c r="I104" s="225"/>
      <c r="J104" s="225" t="s">
        <v>2028</v>
      </c>
      <c r="K104" s="222"/>
    </row>
    <row r="105" spans="2:11" customFormat="1" ht="5.25" customHeight="1">
      <c r="B105" s="221"/>
      <c r="C105" s="223"/>
      <c r="D105" s="223"/>
      <c r="E105" s="223"/>
      <c r="F105" s="223"/>
      <c r="G105" s="239"/>
      <c r="H105" s="223"/>
      <c r="I105" s="223"/>
      <c r="J105" s="223"/>
      <c r="K105" s="222"/>
    </row>
    <row r="106" spans="2:11" customFormat="1" ht="15" customHeight="1">
      <c r="B106" s="221"/>
      <c r="C106" s="210" t="s">
        <v>50</v>
      </c>
      <c r="D106" s="230"/>
      <c r="E106" s="230"/>
      <c r="F106" s="231" t="s">
        <v>2029</v>
      </c>
      <c r="G106" s="210"/>
      <c r="H106" s="210" t="s">
        <v>2069</v>
      </c>
      <c r="I106" s="210" t="s">
        <v>2031</v>
      </c>
      <c r="J106" s="210">
        <v>20</v>
      </c>
      <c r="K106" s="222"/>
    </row>
    <row r="107" spans="2:11" customFormat="1" ht="15" customHeight="1">
      <c r="B107" s="221"/>
      <c r="C107" s="210" t="s">
        <v>2032</v>
      </c>
      <c r="D107" s="210"/>
      <c r="E107" s="210"/>
      <c r="F107" s="231" t="s">
        <v>2029</v>
      </c>
      <c r="G107" s="210"/>
      <c r="H107" s="210" t="s">
        <v>2069</v>
      </c>
      <c r="I107" s="210" t="s">
        <v>2031</v>
      </c>
      <c r="J107" s="210">
        <v>120</v>
      </c>
      <c r="K107" s="222"/>
    </row>
    <row r="108" spans="2:11" customFormat="1" ht="15" customHeight="1">
      <c r="B108" s="233"/>
      <c r="C108" s="210" t="s">
        <v>2034</v>
      </c>
      <c r="D108" s="210"/>
      <c r="E108" s="210"/>
      <c r="F108" s="231" t="s">
        <v>2035</v>
      </c>
      <c r="G108" s="210"/>
      <c r="H108" s="210" t="s">
        <v>2069</v>
      </c>
      <c r="I108" s="210" t="s">
        <v>2031</v>
      </c>
      <c r="J108" s="210">
        <v>50</v>
      </c>
      <c r="K108" s="222"/>
    </row>
    <row r="109" spans="2:11" customFormat="1" ht="15" customHeight="1">
      <c r="B109" s="233"/>
      <c r="C109" s="210" t="s">
        <v>2037</v>
      </c>
      <c r="D109" s="210"/>
      <c r="E109" s="210"/>
      <c r="F109" s="231" t="s">
        <v>2029</v>
      </c>
      <c r="G109" s="210"/>
      <c r="H109" s="210" t="s">
        <v>2069</v>
      </c>
      <c r="I109" s="210" t="s">
        <v>2039</v>
      </c>
      <c r="J109" s="210"/>
      <c r="K109" s="222"/>
    </row>
    <row r="110" spans="2:11" customFormat="1" ht="15" customHeight="1">
      <c r="B110" s="233"/>
      <c r="C110" s="210" t="s">
        <v>2048</v>
      </c>
      <c r="D110" s="210"/>
      <c r="E110" s="210"/>
      <c r="F110" s="231" t="s">
        <v>2035</v>
      </c>
      <c r="G110" s="210"/>
      <c r="H110" s="210" t="s">
        <v>2069</v>
      </c>
      <c r="I110" s="210" t="s">
        <v>2031</v>
      </c>
      <c r="J110" s="210">
        <v>50</v>
      </c>
      <c r="K110" s="222"/>
    </row>
    <row r="111" spans="2:11" customFormat="1" ht="15" customHeight="1">
      <c r="B111" s="233"/>
      <c r="C111" s="210" t="s">
        <v>2056</v>
      </c>
      <c r="D111" s="210"/>
      <c r="E111" s="210"/>
      <c r="F111" s="231" t="s">
        <v>2035</v>
      </c>
      <c r="G111" s="210"/>
      <c r="H111" s="210" t="s">
        <v>2069</v>
      </c>
      <c r="I111" s="210" t="s">
        <v>2031</v>
      </c>
      <c r="J111" s="210">
        <v>50</v>
      </c>
      <c r="K111" s="222"/>
    </row>
    <row r="112" spans="2:11" customFormat="1" ht="15" customHeight="1">
      <c r="B112" s="233"/>
      <c r="C112" s="210" t="s">
        <v>2054</v>
      </c>
      <c r="D112" s="210"/>
      <c r="E112" s="210"/>
      <c r="F112" s="231" t="s">
        <v>2035</v>
      </c>
      <c r="G112" s="210"/>
      <c r="H112" s="210" t="s">
        <v>2069</v>
      </c>
      <c r="I112" s="210" t="s">
        <v>2031</v>
      </c>
      <c r="J112" s="210">
        <v>50</v>
      </c>
      <c r="K112" s="222"/>
    </row>
    <row r="113" spans="2:11" customFormat="1" ht="15" customHeight="1">
      <c r="B113" s="233"/>
      <c r="C113" s="210" t="s">
        <v>50</v>
      </c>
      <c r="D113" s="210"/>
      <c r="E113" s="210"/>
      <c r="F113" s="231" t="s">
        <v>2029</v>
      </c>
      <c r="G113" s="210"/>
      <c r="H113" s="210" t="s">
        <v>2070</v>
      </c>
      <c r="I113" s="210" t="s">
        <v>2031</v>
      </c>
      <c r="J113" s="210">
        <v>20</v>
      </c>
      <c r="K113" s="222"/>
    </row>
    <row r="114" spans="2:11" customFormat="1" ht="15" customHeight="1">
      <c r="B114" s="233"/>
      <c r="C114" s="210" t="s">
        <v>2071</v>
      </c>
      <c r="D114" s="210"/>
      <c r="E114" s="210"/>
      <c r="F114" s="231" t="s">
        <v>2029</v>
      </c>
      <c r="G114" s="210"/>
      <c r="H114" s="210" t="s">
        <v>2072</v>
      </c>
      <c r="I114" s="210" t="s">
        <v>2031</v>
      </c>
      <c r="J114" s="210">
        <v>120</v>
      </c>
      <c r="K114" s="222"/>
    </row>
    <row r="115" spans="2:11" customFormat="1" ht="15" customHeight="1">
      <c r="B115" s="233"/>
      <c r="C115" s="210" t="s">
        <v>35</v>
      </c>
      <c r="D115" s="210"/>
      <c r="E115" s="210"/>
      <c r="F115" s="231" t="s">
        <v>2029</v>
      </c>
      <c r="G115" s="210"/>
      <c r="H115" s="210" t="s">
        <v>2073</v>
      </c>
      <c r="I115" s="210" t="s">
        <v>2064</v>
      </c>
      <c r="J115" s="210"/>
      <c r="K115" s="222"/>
    </row>
    <row r="116" spans="2:11" customFormat="1" ht="15" customHeight="1">
      <c r="B116" s="233"/>
      <c r="C116" s="210" t="s">
        <v>45</v>
      </c>
      <c r="D116" s="210"/>
      <c r="E116" s="210"/>
      <c r="F116" s="231" t="s">
        <v>2029</v>
      </c>
      <c r="G116" s="210"/>
      <c r="H116" s="210" t="s">
        <v>2074</v>
      </c>
      <c r="I116" s="210" t="s">
        <v>2064</v>
      </c>
      <c r="J116" s="210"/>
      <c r="K116" s="222"/>
    </row>
    <row r="117" spans="2:11" customFormat="1" ht="15" customHeight="1">
      <c r="B117" s="233"/>
      <c r="C117" s="210" t="s">
        <v>54</v>
      </c>
      <c r="D117" s="210"/>
      <c r="E117" s="210"/>
      <c r="F117" s="231" t="s">
        <v>2029</v>
      </c>
      <c r="G117" s="210"/>
      <c r="H117" s="210" t="s">
        <v>2075</v>
      </c>
      <c r="I117" s="210" t="s">
        <v>2076</v>
      </c>
      <c r="J117" s="210"/>
      <c r="K117" s="222"/>
    </row>
    <row r="118" spans="2:11" customFormat="1" ht="15" customHeight="1">
      <c r="B118" s="234"/>
      <c r="C118" s="240"/>
      <c r="D118" s="240"/>
      <c r="E118" s="240"/>
      <c r="F118" s="240"/>
      <c r="G118" s="240"/>
      <c r="H118" s="240"/>
      <c r="I118" s="240"/>
      <c r="J118" s="240"/>
      <c r="K118" s="236"/>
    </row>
    <row r="119" spans="2:11" customFormat="1" ht="18.75" customHeight="1">
      <c r="B119" s="241"/>
      <c r="C119" s="242"/>
      <c r="D119" s="242"/>
      <c r="E119" s="242"/>
      <c r="F119" s="243"/>
      <c r="G119" s="242"/>
      <c r="H119" s="242"/>
      <c r="I119" s="242"/>
      <c r="J119" s="242"/>
      <c r="K119" s="241"/>
    </row>
    <row r="120" spans="2:11" customFormat="1" ht="18.75" customHeight="1"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</row>
    <row r="121" spans="2:11" customFormat="1" ht="7.5" customHeight="1">
      <c r="B121" s="244"/>
      <c r="C121" s="245"/>
      <c r="D121" s="245"/>
      <c r="E121" s="245"/>
      <c r="F121" s="245"/>
      <c r="G121" s="245"/>
      <c r="H121" s="245"/>
      <c r="I121" s="245"/>
      <c r="J121" s="245"/>
      <c r="K121" s="246"/>
    </row>
    <row r="122" spans="2:11" customFormat="1" ht="45" customHeight="1">
      <c r="B122" s="247"/>
      <c r="C122" s="324" t="s">
        <v>2077</v>
      </c>
      <c r="D122" s="324"/>
      <c r="E122" s="324"/>
      <c r="F122" s="324"/>
      <c r="G122" s="324"/>
      <c r="H122" s="324"/>
      <c r="I122" s="324"/>
      <c r="J122" s="324"/>
      <c r="K122" s="248"/>
    </row>
    <row r="123" spans="2:11" customFormat="1" ht="17.25" customHeight="1">
      <c r="B123" s="249"/>
      <c r="C123" s="223" t="s">
        <v>2023</v>
      </c>
      <c r="D123" s="223"/>
      <c r="E123" s="223"/>
      <c r="F123" s="223" t="s">
        <v>2024</v>
      </c>
      <c r="G123" s="224"/>
      <c r="H123" s="223" t="s">
        <v>51</v>
      </c>
      <c r="I123" s="223" t="s">
        <v>54</v>
      </c>
      <c r="J123" s="223" t="s">
        <v>2025</v>
      </c>
      <c r="K123" s="250"/>
    </row>
    <row r="124" spans="2:11" customFormat="1" ht="17.25" customHeight="1">
      <c r="B124" s="249"/>
      <c r="C124" s="225" t="s">
        <v>2026</v>
      </c>
      <c r="D124" s="225"/>
      <c r="E124" s="225"/>
      <c r="F124" s="226" t="s">
        <v>2027</v>
      </c>
      <c r="G124" s="227"/>
      <c r="H124" s="225"/>
      <c r="I124" s="225"/>
      <c r="J124" s="225" t="s">
        <v>2028</v>
      </c>
      <c r="K124" s="250"/>
    </row>
    <row r="125" spans="2:11" customFormat="1" ht="5.25" customHeight="1">
      <c r="B125" s="251"/>
      <c r="C125" s="228"/>
      <c r="D125" s="228"/>
      <c r="E125" s="228"/>
      <c r="F125" s="228"/>
      <c r="G125" s="252"/>
      <c r="H125" s="228"/>
      <c r="I125" s="228"/>
      <c r="J125" s="228"/>
      <c r="K125" s="253"/>
    </row>
    <row r="126" spans="2:11" customFormat="1" ht="15" customHeight="1">
      <c r="B126" s="251"/>
      <c r="C126" s="210" t="s">
        <v>2032</v>
      </c>
      <c r="D126" s="230"/>
      <c r="E126" s="230"/>
      <c r="F126" s="231" t="s">
        <v>2029</v>
      </c>
      <c r="G126" s="210"/>
      <c r="H126" s="210" t="s">
        <v>2069</v>
      </c>
      <c r="I126" s="210" t="s">
        <v>2031</v>
      </c>
      <c r="J126" s="210">
        <v>120</v>
      </c>
      <c r="K126" s="254"/>
    </row>
    <row r="127" spans="2:11" customFormat="1" ht="15" customHeight="1">
      <c r="B127" s="251"/>
      <c r="C127" s="210" t="s">
        <v>2078</v>
      </c>
      <c r="D127" s="210"/>
      <c r="E127" s="210"/>
      <c r="F127" s="231" t="s">
        <v>2029</v>
      </c>
      <c r="G127" s="210"/>
      <c r="H127" s="210" t="s">
        <v>2079</v>
      </c>
      <c r="I127" s="210" t="s">
        <v>2031</v>
      </c>
      <c r="J127" s="210" t="s">
        <v>2080</v>
      </c>
      <c r="K127" s="254"/>
    </row>
    <row r="128" spans="2:11" customFormat="1" ht="15" customHeight="1">
      <c r="B128" s="251"/>
      <c r="C128" s="210" t="s">
        <v>100</v>
      </c>
      <c r="D128" s="210"/>
      <c r="E128" s="210"/>
      <c r="F128" s="231" t="s">
        <v>2029</v>
      </c>
      <c r="G128" s="210"/>
      <c r="H128" s="210" t="s">
        <v>2081</v>
      </c>
      <c r="I128" s="210" t="s">
        <v>2031</v>
      </c>
      <c r="J128" s="210" t="s">
        <v>2080</v>
      </c>
      <c r="K128" s="254"/>
    </row>
    <row r="129" spans="2:11" customFormat="1" ht="15" customHeight="1">
      <c r="B129" s="251"/>
      <c r="C129" s="210" t="s">
        <v>2040</v>
      </c>
      <c r="D129" s="210"/>
      <c r="E129" s="210"/>
      <c r="F129" s="231" t="s">
        <v>2035</v>
      </c>
      <c r="G129" s="210"/>
      <c r="H129" s="210" t="s">
        <v>2041</v>
      </c>
      <c r="I129" s="210" t="s">
        <v>2031</v>
      </c>
      <c r="J129" s="210">
        <v>15</v>
      </c>
      <c r="K129" s="254"/>
    </row>
    <row r="130" spans="2:11" customFormat="1" ht="15" customHeight="1">
      <c r="B130" s="251"/>
      <c r="C130" s="210" t="s">
        <v>2042</v>
      </c>
      <c r="D130" s="210"/>
      <c r="E130" s="210"/>
      <c r="F130" s="231" t="s">
        <v>2035</v>
      </c>
      <c r="G130" s="210"/>
      <c r="H130" s="210" t="s">
        <v>2043</v>
      </c>
      <c r="I130" s="210" t="s">
        <v>2031</v>
      </c>
      <c r="J130" s="210">
        <v>15</v>
      </c>
      <c r="K130" s="254"/>
    </row>
    <row r="131" spans="2:11" customFormat="1" ht="15" customHeight="1">
      <c r="B131" s="251"/>
      <c r="C131" s="210" t="s">
        <v>2044</v>
      </c>
      <c r="D131" s="210"/>
      <c r="E131" s="210"/>
      <c r="F131" s="231" t="s">
        <v>2035</v>
      </c>
      <c r="G131" s="210"/>
      <c r="H131" s="210" t="s">
        <v>2045</v>
      </c>
      <c r="I131" s="210" t="s">
        <v>2031</v>
      </c>
      <c r="J131" s="210">
        <v>20</v>
      </c>
      <c r="K131" s="254"/>
    </row>
    <row r="132" spans="2:11" customFormat="1" ht="15" customHeight="1">
      <c r="B132" s="251"/>
      <c r="C132" s="210" t="s">
        <v>2046</v>
      </c>
      <c r="D132" s="210"/>
      <c r="E132" s="210"/>
      <c r="F132" s="231" t="s">
        <v>2035</v>
      </c>
      <c r="G132" s="210"/>
      <c r="H132" s="210" t="s">
        <v>2047</v>
      </c>
      <c r="I132" s="210" t="s">
        <v>2031</v>
      </c>
      <c r="J132" s="210">
        <v>20</v>
      </c>
      <c r="K132" s="254"/>
    </row>
    <row r="133" spans="2:11" customFormat="1" ht="15" customHeight="1">
      <c r="B133" s="251"/>
      <c r="C133" s="210" t="s">
        <v>2034</v>
      </c>
      <c r="D133" s="210"/>
      <c r="E133" s="210"/>
      <c r="F133" s="231" t="s">
        <v>2035</v>
      </c>
      <c r="G133" s="210"/>
      <c r="H133" s="210" t="s">
        <v>2069</v>
      </c>
      <c r="I133" s="210" t="s">
        <v>2031</v>
      </c>
      <c r="J133" s="210">
        <v>50</v>
      </c>
      <c r="K133" s="254"/>
    </row>
    <row r="134" spans="2:11" customFormat="1" ht="15" customHeight="1">
      <c r="B134" s="251"/>
      <c r="C134" s="210" t="s">
        <v>2048</v>
      </c>
      <c r="D134" s="210"/>
      <c r="E134" s="210"/>
      <c r="F134" s="231" t="s">
        <v>2035</v>
      </c>
      <c r="G134" s="210"/>
      <c r="H134" s="210" t="s">
        <v>2069</v>
      </c>
      <c r="I134" s="210" t="s">
        <v>2031</v>
      </c>
      <c r="J134" s="210">
        <v>50</v>
      </c>
      <c r="K134" s="254"/>
    </row>
    <row r="135" spans="2:11" customFormat="1" ht="15" customHeight="1">
      <c r="B135" s="251"/>
      <c r="C135" s="210" t="s">
        <v>2054</v>
      </c>
      <c r="D135" s="210"/>
      <c r="E135" s="210"/>
      <c r="F135" s="231" t="s">
        <v>2035</v>
      </c>
      <c r="G135" s="210"/>
      <c r="H135" s="210" t="s">
        <v>2069</v>
      </c>
      <c r="I135" s="210" t="s">
        <v>2031</v>
      </c>
      <c r="J135" s="210">
        <v>50</v>
      </c>
      <c r="K135" s="254"/>
    </row>
    <row r="136" spans="2:11" customFormat="1" ht="15" customHeight="1">
      <c r="B136" s="251"/>
      <c r="C136" s="210" t="s">
        <v>2056</v>
      </c>
      <c r="D136" s="210"/>
      <c r="E136" s="210"/>
      <c r="F136" s="231" t="s">
        <v>2035</v>
      </c>
      <c r="G136" s="210"/>
      <c r="H136" s="210" t="s">
        <v>2069</v>
      </c>
      <c r="I136" s="210" t="s">
        <v>2031</v>
      </c>
      <c r="J136" s="210">
        <v>50</v>
      </c>
      <c r="K136" s="254"/>
    </row>
    <row r="137" spans="2:11" customFormat="1" ht="15" customHeight="1">
      <c r="B137" s="251"/>
      <c r="C137" s="210" t="s">
        <v>2057</v>
      </c>
      <c r="D137" s="210"/>
      <c r="E137" s="210"/>
      <c r="F137" s="231" t="s">
        <v>2035</v>
      </c>
      <c r="G137" s="210"/>
      <c r="H137" s="210" t="s">
        <v>2082</v>
      </c>
      <c r="I137" s="210" t="s">
        <v>2031</v>
      </c>
      <c r="J137" s="210">
        <v>255</v>
      </c>
      <c r="K137" s="254"/>
    </row>
    <row r="138" spans="2:11" customFormat="1" ht="15" customHeight="1">
      <c r="B138" s="251"/>
      <c r="C138" s="210" t="s">
        <v>2059</v>
      </c>
      <c r="D138" s="210"/>
      <c r="E138" s="210"/>
      <c r="F138" s="231" t="s">
        <v>2029</v>
      </c>
      <c r="G138" s="210"/>
      <c r="H138" s="210" t="s">
        <v>2083</v>
      </c>
      <c r="I138" s="210" t="s">
        <v>2061</v>
      </c>
      <c r="J138" s="210"/>
      <c r="K138" s="254"/>
    </row>
    <row r="139" spans="2:11" customFormat="1" ht="15" customHeight="1">
      <c r="B139" s="251"/>
      <c r="C139" s="210" t="s">
        <v>2062</v>
      </c>
      <c r="D139" s="210"/>
      <c r="E139" s="210"/>
      <c r="F139" s="231" t="s">
        <v>2029</v>
      </c>
      <c r="G139" s="210"/>
      <c r="H139" s="210" t="s">
        <v>2084</v>
      </c>
      <c r="I139" s="210" t="s">
        <v>2064</v>
      </c>
      <c r="J139" s="210"/>
      <c r="K139" s="254"/>
    </row>
    <row r="140" spans="2:11" customFormat="1" ht="15" customHeight="1">
      <c r="B140" s="251"/>
      <c r="C140" s="210" t="s">
        <v>2065</v>
      </c>
      <c r="D140" s="210"/>
      <c r="E140" s="210"/>
      <c r="F140" s="231" t="s">
        <v>2029</v>
      </c>
      <c r="G140" s="210"/>
      <c r="H140" s="210" t="s">
        <v>2065</v>
      </c>
      <c r="I140" s="210" t="s">
        <v>2064</v>
      </c>
      <c r="J140" s="210"/>
      <c r="K140" s="254"/>
    </row>
    <row r="141" spans="2:11" customFormat="1" ht="15" customHeight="1">
      <c r="B141" s="251"/>
      <c r="C141" s="210" t="s">
        <v>35</v>
      </c>
      <c r="D141" s="210"/>
      <c r="E141" s="210"/>
      <c r="F141" s="231" t="s">
        <v>2029</v>
      </c>
      <c r="G141" s="210"/>
      <c r="H141" s="210" t="s">
        <v>2085</v>
      </c>
      <c r="I141" s="210" t="s">
        <v>2064</v>
      </c>
      <c r="J141" s="210"/>
      <c r="K141" s="254"/>
    </row>
    <row r="142" spans="2:11" customFormat="1" ht="15" customHeight="1">
      <c r="B142" s="251"/>
      <c r="C142" s="210" t="s">
        <v>2086</v>
      </c>
      <c r="D142" s="210"/>
      <c r="E142" s="210"/>
      <c r="F142" s="231" t="s">
        <v>2029</v>
      </c>
      <c r="G142" s="210"/>
      <c r="H142" s="210" t="s">
        <v>2087</v>
      </c>
      <c r="I142" s="210" t="s">
        <v>2064</v>
      </c>
      <c r="J142" s="210"/>
      <c r="K142" s="254"/>
    </row>
    <row r="143" spans="2:11" customFormat="1" ht="15" customHeight="1">
      <c r="B143" s="255"/>
      <c r="C143" s="256"/>
      <c r="D143" s="256"/>
      <c r="E143" s="256"/>
      <c r="F143" s="256"/>
      <c r="G143" s="256"/>
      <c r="H143" s="256"/>
      <c r="I143" s="256"/>
      <c r="J143" s="256"/>
      <c r="K143" s="257"/>
    </row>
    <row r="144" spans="2:11" customFormat="1" ht="18.75" customHeight="1">
      <c r="B144" s="242"/>
      <c r="C144" s="242"/>
      <c r="D144" s="242"/>
      <c r="E144" s="242"/>
      <c r="F144" s="243"/>
      <c r="G144" s="242"/>
      <c r="H144" s="242"/>
      <c r="I144" s="242"/>
      <c r="J144" s="242"/>
      <c r="K144" s="242"/>
    </row>
    <row r="145" spans="2:11" customFormat="1" ht="18.75" customHeight="1"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</row>
    <row r="146" spans="2:11" customFormat="1" ht="7.5" customHeight="1">
      <c r="B146" s="218"/>
      <c r="C146" s="219"/>
      <c r="D146" s="219"/>
      <c r="E146" s="219"/>
      <c r="F146" s="219"/>
      <c r="G146" s="219"/>
      <c r="H146" s="219"/>
      <c r="I146" s="219"/>
      <c r="J146" s="219"/>
      <c r="K146" s="220"/>
    </row>
    <row r="147" spans="2:11" customFormat="1" ht="45" customHeight="1">
      <c r="B147" s="221"/>
      <c r="C147" s="323" t="s">
        <v>2088</v>
      </c>
      <c r="D147" s="323"/>
      <c r="E147" s="323"/>
      <c r="F147" s="323"/>
      <c r="G147" s="323"/>
      <c r="H147" s="323"/>
      <c r="I147" s="323"/>
      <c r="J147" s="323"/>
      <c r="K147" s="222"/>
    </row>
    <row r="148" spans="2:11" customFormat="1" ht="17.25" customHeight="1">
      <c r="B148" s="221"/>
      <c r="C148" s="223" t="s">
        <v>2023</v>
      </c>
      <c r="D148" s="223"/>
      <c r="E148" s="223"/>
      <c r="F148" s="223" t="s">
        <v>2024</v>
      </c>
      <c r="G148" s="224"/>
      <c r="H148" s="223" t="s">
        <v>51</v>
      </c>
      <c r="I148" s="223" t="s">
        <v>54</v>
      </c>
      <c r="J148" s="223" t="s">
        <v>2025</v>
      </c>
      <c r="K148" s="222"/>
    </row>
    <row r="149" spans="2:11" customFormat="1" ht="17.25" customHeight="1">
      <c r="B149" s="221"/>
      <c r="C149" s="225" t="s">
        <v>2026</v>
      </c>
      <c r="D149" s="225"/>
      <c r="E149" s="225"/>
      <c r="F149" s="226" t="s">
        <v>2027</v>
      </c>
      <c r="G149" s="227"/>
      <c r="H149" s="225"/>
      <c r="I149" s="225"/>
      <c r="J149" s="225" t="s">
        <v>2028</v>
      </c>
      <c r="K149" s="222"/>
    </row>
    <row r="150" spans="2:11" customFormat="1" ht="5.25" customHeight="1">
      <c r="B150" s="233"/>
      <c r="C150" s="228"/>
      <c r="D150" s="228"/>
      <c r="E150" s="228"/>
      <c r="F150" s="228"/>
      <c r="G150" s="229"/>
      <c r="H150" s="228"/>
      <c r="I150" s="228"/>
      <c r="J150" s="228"/>
      <c r="K150" s="254"/>
    </row>
    <row r="151" spans="2:11" customFormat="1" ht="15" customHeight="1">
      <c r="B151" s="233"/>
      <c r="C151" s="258" t="s">
        <v>2032</v>
      </c>
      <c r="D151" s="210"/>
      <c r="E151" s="210"/>
      <c r="F151" s="259" t="s">
        <v>2029</v>
      </c>
      <c r="G151" s="210"/>
      <c r="H151" s="258" t="s">
        <v>2069</v>
      </c>
      <c r="I151" s="258" t="s">
        <v>2031</v>
      </c>
      <c r="J151" s="258">
        <v>120</v>
      </c>
      <c r="K151" s="254"/>
    </row>
    <row r="152" spans="2:11" customFormat="1" ht="15" customHeight="1">
      <c r="B152" s="233"/>
      <c r="C152" s="258" t="s">
        <v>2078</v>
      </c>
      <c r="D152" s="210"/>
      <c r="E152" s="210"/>
      <c r="F152" s="259" t="s">
        <v>2029</v>
      </c>
      <c r="G152" s="210"/>
      <c r="H152" s="258" t="s">
        <v>2089</v>
      </c>
      <c r="I152" s="258" t="s">
        <v>2031</v>
      </c>
      <c r="J152" s="258" t="s">
        <v>2080</v>
      </c>
      <c r="K152" s="254"/>
    </row>
    <row r="153" spans="2:11" customFormat="1" ht="15" customHeight="1">
      <c r="B153" s="233"/>
      <c r="C153" s="258" t="s">
        <v>100</v>
      </c>
      <c r="D153" s="210"/>
      <c r="E153" s="210"/>
      <c r="F153" s="259" t="s">
        <v>2029</v>
      </c>
      <c r="G153" s="210"/>
      <c r="H153" s="258" t="s">
        <v>2090</v>
      </c>
      <c r="I153" s="258" t="s">
        <v>2031</v>
      </c>
      <c r="J153" s="258" t="s">
        <v>2080</v>
      </c>
      <c r="K153" s="254"/>
    </row>
    <row r="154" spans="2:11" customFormat="1" ht="15" customHeight="1">
      <c r="B154" s="233"/>
      <c r="C154" s="258" t="s">
        <v>2034</v>
      </c>
      <c r="D154" s="210"/>
      <c r="E154" s="210"/>
      <c r="F154" s="259" t="s">
        <v>2035</v>
      </c>
      <c r="G154" s="210"/>
      <c r="H154" s="258" t="s">
        <v>2069</v>
      </c>
      <c r="I154" s="258" t="s">
        <v>2031</v>
      </c>
      <c r="J154" s="258">
        <v>50</v>
      </c>
      <c r="K154" s="254"/>
    </row>
    <row r="155" spans="2:11" customFormat="1" ht="15" customHeight="1">
      <c r="B155" s="233"/>
      <c r="C155" s="258" t="s">
        <v>2037</v>
      </c>
      <c r="D155" s="210"/>
      <c r="E155" s="210"/>
      <c r="F155" s="259" t="s">
        <v>2029</v>
      </c>
      <c r="G155" s="210"/>
      <c r="H155" s="258" t="s">
        <v>2069</v>
      </c>
      <c r="I155" s="258" t="s">
        <v>2039</v>
      </c>
      <c r="J155" s="258"/>
      <c r="K155" s="254"/>
    </row>
    <row r="156" spans="2:11" customFormat="1" ht="15" customHeight="1">
      <c r="B156" s="233"/>
      <c r="C156" s="258" t="s">
        <v>2048</v>
      </c>
      <c r="D156" s="210"/>
      <c r="E156" s="210"/>
      <c r="F156" s="259" t="s">
        <v>2035</v>
      </c>
      <c r="G156" s="210"/>
      <c r="H156" s="258" t="s">
        <v>2069</v>
      </c>
      <c r="I156" s="258" t="s">
        <v>2031</v>
      </c>
      <c r="J156" s="258">
        <v>50</v>
      </c>
      <c r="K156" s="254"/>
    </row>
    <row r="157" spans="2:11" customFormat="1" ht="15" customHeight="1">
      <c r="B157" s="233"/>
      <c r="C157" s="258" t="s">
        <v>2056</v>
      </c>
      <c r="D157" s="210"/>
      <c r="E157" s="210"/>
      <c r="F157" s="259" t="s">
        <v>2035</v>
      </c>
      <c r="G157" s="210"/>
      <c r="H157" s="258" t="s">
        <v>2069</v>
      </c>
      <c r="I157" s="258" t="s">
        <v>2031</v>
      </c>
      <c r="J157" s="258">
        <v>50</v>
      </c>
      <c r="K157" s="254"/>
    </row>
    <row r="158" spans="2:11" customFormat="1" ht="15" customHeight="1">
      <c r="B158" s="233"/>
      <c r="C158" s="258" t="s">
        <v>2054</v>
      </c>
      <c r="D158" s="210"/>
      <c r="E158" s="210"/>
      <c r="F158" s="259" t="s">
        <v>2035</v>
      </c>
      <c r="G158" s="210"/>
      <c r="H158" s="258" t="s">
        <v>2069</v>
      </c>
      <c r="I158" s="258" t="s">
        <v>2031</v>
      </c>
      <c r="J158" s="258">
        <v>50</v>
      </c>
      <c r="K158" s="254"/>
    </row>
    <row r="159" spans="2:11" customFormat="1" ht="15" customHeight="1">
      <c r="B159" s="233"/>
      <c r="C159" s="258" t="s">
        <v>118</v>
      </c>
      <c r="D159" s="210"/>
      <c r="E159" s="210"/>
      <c r="F159" s="259" t="s">
        <v>2029</v>
      </c>
      <c r="G159" s="210"/>
      <c r="H159" s="258" t="s">
        <v>2091</v>
      </c>
      <c r="I159" s="258" t="s">
        <v>2031</v>
      </c>
      <c r="J159" s="258" t="s">
        <v>2092</v>
      </c>
      <c r="K159" s="254"/>
    </row>
    <row r="160" spans="2:11" customFormat="1" ht="15" customHeight="1">
      <c r="B160" s="233"/>
      <c r="C160" s="258" t="s">
        <v>2093</v>
      </c>
      <c r="D160" s="210"/>
      <c r="E160" s="210"/>
      <c r="F160" s="259" t="s">
        <v>2029</v>
      </c>
      <c r="G160" s="210"/>
      <c r="H160" s="258" t="s">
        <v>2094</v>
      </c>
      <c r="I160" s="258" t="s">
        <v>2064</v>
      </c>
      <c r="J160" s="258"/>
      <c r="K160" s="254"/>
    </row>
    <row r="161" spans="2:11" customFormat="1" ht="15" customHeight="1">
      <c r="B161" s="260"/>
      <c r="C161" s="240"/>
      <c r="D161" s="240"/>
      <c r="E161" s="240"/>
      <c r="F161" s="240"/>
      <c r="G161" s="240"/>
      <c r="H161" s="240"/>
      <c r="I161" s="240"/>
      <c r="J161" s="240"/>
      <c r="K161" s="261"/>
    </row>
    <row r="162" spans="2:11" customFormat="1" ht="18.75" customHeight="1">
      <c r="B162" s="242"/>
      <c r="C162" s="252"/>
      <c r="D162" s="252"/>
      <c r="E162" s="252"/>
      <c r="F162" s="262"/>
      <c r="G162" s="252"/>
      <c r="H162" s="252"/>
      <c r="I162" s="252"/>
      <c r="J162" s="252"/>
      <c r="K162" s="242"/>
    </row>
    <row r="163" spans="2:11" customFormat="1" ht="18.75" customHeight="1"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</row>
    <row r="164" spans="2:11" customFormat="1" ht="7.5" customHeight="1">
      <c r="B164" s="199"/>
      <c r="C164" s="200"/>
      <c r="D164" s="200"/>
      <c r="E164" s="200"/>
      <c r="F164" s="200"/>
      <c r="G164" s="200"/>
      <c r="H164" s="200"/>
      <c r="I164" s="200"/>
      <c r="J164" s="200"/>
      <c r="K164" s="201"/>
    </row>
    <row r="165" spans="2:11" customFormat="1" ht="45" customHeight="1">
      <c r="B165" s="202"/>
      <c r="C165" s="324" t="s">
        <v>2095</v>
      </c>
      <c r="D165" s="324"/>
      <c r="E165" s="324"/>
      <c r="F165" s="324"/>
      <c r="G165" s="324"/>
      <c r="H165" s="324"/>
      <c r="I165" s="324"/>
      <c r="J165" s="324"/>
      <c r="K165" s="203"/>
    </row>
    <row r="166" spans="2:11" customFormat="1" ht="17.25" customHeight="1">
      <c r="B166" s="202"/>
      <c r="C166" s="223" t="s">
        <v>2023</v>
      </c>
      <c r="D166" s="223"/>
      <c r="E166" s="223"/>
      <c r="F166" s="223" t="s">
        <v>2024</v>
      </c>
      <c r="G166" s="263"/>
      <c r="H166" s="264" t="s">
        <v>51</v>
      </c>
      <c r="I166" s="264" t="s">
        <v>54</v>
      </c>
      <c r="J166" s="223" t="s">
        <v>2025</v>
      </c>
      <c r="K166" s="203"/>
    </row>
    <row r="167" spans="2:11" customFormat="1" ht="17.25" customHeight="1">
      <c r="B167" s="204"/>
      <c r="C167" s="225" t="s">
        <v>2026</v>
      </c>
      <c r="D167" s="225"/>
      <c r="E167" s="225"/>
      <c r="F167" s="226" t="s">
        <v>2027</v>
      </c>
      <c r="G167" s="265"/>
      <c r="H167" s="266"/>
      <c r="I167" s="266"/>
      <c r="J167" s="225" t="s">
        <v>2028</v>
      </c>
      <c r="K167" s="205"/>
    </row>
    <row r="168" spans="2:11" customFormat="1" ht="5.25" customHeight="1">
      <c r="B168" s="233"/>
      <c r="C168" s="228"/>
      <c r="D168" s="228"/>
      <c r="E168" s="228"/>
      <c r="F168" s="228"/>
      <c r="G168" s="229"/>
      <c r="H168" s="228"/>
      <c r="I168" s="228"/>
      <c r="J168" s="228"/>
      <c r="K168" s="254"/>
    </row>
    <row r="169" spans="2:11" customFormat="1" ht="15" customHeight="1">
      <c r="B169" s="233"/>
      <c r="C169" s="210" t="s">
        <v>2032</v>
      </c>
      <c r="D169" s="210"/>
      <c r="E169" s="210"/>
      <c r="F169" s="231" t="s">
        <v>2029</v>
      </c>
      <c r="G169" s="210"/>
      <c r="H169" s="210" t="s">
        <v>2069</v>
      </c>
      <c r="I169" s="210" t="s">
        <v>2031</v>
      </c>
      <c r="J169" s="210">
        <v>120</v>
      </c>
      <c r="K169" s="254"/>
    </row>
    <row r="170" spans="2:11" customFormat="1" ht="15" customHeight="1">
      <c r="B170" s="233"/>
      <c r="C170" s="210" t="s">
        <v>2078</v>
      </c>
      <c r="D170" s="210"/>
      <c r="E170" s="210"/>
      <c r="F170" s="231" t="s">
        <v>2029</v>
      </c>
      <c r="G170" s="210"/>
      <c r="H170" s="210" t="s">
        <v>2079</v>
      </c>
      <c r="I170" s="210" t="s">
        <v>2031</v>
      </c>
      <c r="J170" s="210" t="s">
        <v>2080</v>
      </c>
      <c r="K170" s="254"/>
    </row>
    <row r="171" spans="2:11" customFormat="1" ht="15" customHeight="1">
      <c r="B171" s="233"/>
      <c r="C171" s="210" t="s">
        <v>100</v>
      </c>
      <c r="D171" s="210"/>
      <c r="E171" s="210"/>
      <c r="F171" s="231" t="s">
        <v>2029</v>
      </c>
      <c r="G171" s="210"/>
      <c r="H171" s="210" t="s">
        <v>2096</v>
      </c>
      <c r="I171" s="210" t="s">
        <v>2031</v>
      </c>
      <c r="J171" s="210" t="s">
        <v>2080</v>
      </c>
      <c r="K171" s="254"/>
    </row>
    <row r="172" spans="2:11" customFormat="1" ht="15" customHeight="1">
      <c r="B172" s="233"/>
      <c r="C172" s="210" t="s">
        <v>2034</v>
      </c>
      <c r="D172" s="210"/>
      <c r="E172" s="210"/>
      <c r="F172" s="231" t="s">
        <v>2035</v>
      </c>
      <c r="G172" s="210"/>
      <c r="H172" s="210" t="s">
        <v>2096</v>
      </c>
      <c r="I172" s="210" t="s">
        <v>2031</v>
      </c>
      <c r="J172" s="210">
        <v>50</v>
      </c>
      <c r="K172" s="254"/>
    </row>
    <row r="173" spans="2:11" customFormat="1" ht="15" customHeight="1">
      <c r="B173" s="233"/>
      <c r="C173" s="210" t="s">
        <v>2037</v>
      </c>
      <c r="D173" s="210"/>
      <c r="E173" s="210"/>
      <c r="F173" s="231" t="s">
        <v>2029</v>
      </c>
      <c r="G173" s="210"/>
      <c r="H173" s="210" t="s">
        <v>2096</v>
      </c>
      <c r="I173" s="210" t="s">
        <v>2039</v>
      </c>
      <c r="J173" s="210"/>
      <c r="K173" s="254"/>
    </row>
    <row r="174" spans="2:11" customFormat="1" ht="15" customHeight="1">
      <c r="B174" s="233"/>
      <c r="C174" s="210" t="s">
        <v>2048</v>
      </c>
      <c r="D174" s="210"/>
      <c r="E174" s="210"/>
      <c r="F174" s="231" t="s">
        <v>2035</v>
      </c>
      <c r="G174" s="210"/>
      <c r="H174" s="210" t="s">
        <v>2096</v>
      </c>
      <c r="I174" s="210" t="s">
        <v>2031</v>
      </c>
      <c r="J174" s="210">
        <v>50</v>
      </c>
      <c r="K174" s="254"/>
    </row>
    <row r="175" spans="2:11" customFormat="1" ht="15" customHeight="1">
      <c r="B175" s="233"/>
      <c r="C175" s="210" t="s">
        <v>2056</v>
      </c>
      <c r="D175" s="210"/>
      <c r="E175" s="210"/>
      <c r="F175" s="231" t="s">
        <v>2035</v>
      </c>
      <c r="G175" s="210"/>
      <c r="H175" s="210" t="s">
        <v>2096</v>
      </c>
      <c r="I175" s="210" t="s">
        <v>2031</v>
      </c>
      <c r="J175" s="210">
        <v>50</v>
      </c>
      <c r="K175" s="254"/>
    </row>
    <row r="176" spans="2:11" customFormat="1" ht="15" customHeight="1">
      <c r="B176" s="233"/>
      <c r="C176" s="210" t="s">
        <v>2054</v>
      </c>
      <c r="D176" s="210"/>
      <c r="E176" s="210"/>
      <c r="F176" s="231" t="s">
        <v>2035</v>
      </c>
      <c r="G176" s="210"/>
      <c r="H176" s="210" t="s">
        <v>2096</v>
      </c>
      <c r="I176" s="210" t="s">
        <v>2031</v>
      </c>
      <c r="J176" s="210">
        <v>50</v>
      </c>
      <c r="K176" s="254"/>
    </row>
    <row r="177" spans="2:11" customFormat="1" ht="15" customHeight="1">
      <c r="B177" s="233"/>
      <c r="C177" s="210" t="s">
        <v>138</v>
      </c>
      <c r="D177" s="210"/>
      <c r="E177" s="210"/>
      <c r="F177" s="231" t="s">
        <v>2029</v>
      </c>
      <c r="G177" s="210"/>
      <c r="H177" s="210" t="s">
        <v>2097</v>
      </c>
      <c r="I177" s="210" t="s">
        <v>2098</v>
      </c>
      <c r="J177" s="210"/>
      <c r="K177" s="254"/>
    </row>
    <row r="178" spans="2:11" customFormat="1" ht="15" customHeight="1">
      <c r="B178" s="233"/>
      <c r="C178" s="210" t="s">
        <v>54</v>
      </c>
      <c r="D178" s="210"/>
      <c r="E178" s="210"/>
      <c r="F178" s="231" t="s">
        <v>2029</v>
      </c>
      <c r="G178" s="210"/>
      <c r="H178" s="210" t="s">
        <v>2099</v>
      </c>
      <c r="I178" s="210" t="s">
        <v>2100</v>
      </c>
      <c r="J178" s="210">
        <v>1</v>
      </c>
      <c r="K178" s="254"/>
    </row>
    <row r="179" spans="2:11" customFormat="1" ht="15" customHeight="1">
      <c r="B179" s="233"/>
      <c r="C179" s="210" t="s">
        <v>50</v>
      </c>
      <c r="D179" s="210"/>
      <c r="E179" s="210"/>
      <c r="F179" s="231" t="s">
        <v>2029</v>
      </c>
      <c r="G179" s="210"/>
      <c r="H179" s="210" t="s">
        <v>2101</v>
      </c>
      <c r="I179" s="210" t="s">
        <v>2031</v>
      </c>
      <c r="J179" s="210">
        <v>20</v>
      </c>
      <c r="K179" s="254"/>
    </row>
    <row r="180" spans="2:11" customFormat="1" ht="15" customHeight="1">
      <c r="B180" s="233"/>
      <c r="C180" s="210" t="s">
        <v>51</v>
      </c>
      <c r="D180" s="210"/>
      <c r="E180" s="210"/>
      <c r="F180" s="231" t="s">
        <v>2029</v>
      </c>
      <c r="G180" s="210"/>
      <c r="H180" s="210" t="s">
        <v>2102</v>
      </c>
      <c r="I180" s="210" t="s">
        <v>2031</v>
      </c>
      <c r="J180" s="210">
        <v>255</v>
      </c>
      <c r="K180" s="254"/>
    </row>
    <row r="181" spans="2:11" customFormat="1" ht="15" customHeight="1">
      <c r="B181" s="233"/>
      <c r="C181" s="210" t="s">
        <v>139</v>
      </c>
      <c r="D181" s="210"/>
      <c r="E181" s="210"/>
      <c r="F181" s="231" t="s">
        <v>2029</v>
      </c>
      <c r="G181" s="210"/>
      <c r="H181" s="210" t="s">
        <v>1993</v>
      </c>
      <c r="I181" s="210" t="s">
        <v>2031</v>
      </c>
      <c r="J181" s="210">
        <v>10</v>
      </c>
      <c r="K181" s="254"/>
    </row>
    <row r="182" spans="2:11" customFormat="1" ht="15" customHeight="1">
      <c r="B182" s="233"/>
      <c r="C182" s="210" t="s">
        <v>140</v>
      </c>
      <c r="D182" s="210"/>
      <c r="E182" s="210"/>
      <c r="F182" s="231" t="s">
        <v>2029</v>
      </c>
      <c r="G182" s="210"/>
      <c r="H182" s="210" t="s">
        <v>2103</v>
      </c>
      <c r="I182" s="210" t="s">
        <v>2064</v>
      </c>
      <c r="J182" s="210"/>
      <c r="K182" s="254"/>
    </row>
    <row r="183" spans="2:11" customFormat="1" ht="15" customHeight="1">
      <c r="B183" s="233"/>
      <c r="C183" s="210" t="s">
        <v>2104</v>
      </c>
      <c r="D183" s="210"/>
      <c r="E183" s="210"/>
      <c r="F183" s="231" t="s">
        <v>2029</v>
      </c>
      <c r="G183" s="210"/>
      <c r="H183" s="210" t="s">
        <v>2105</v>
      </c>
      <c r="I183" s="210" t="s">
        <v>2064</v>
      </c>
      <c r="J183" s="210"/>
      <c r="K183" s="254"/>
    </row>
    <row r="184" spans="2:11" customFormat="1" ht="15" customHeight="1">
      <c r="B184" s="233"/>
      <c r="C184" s="210" t="s">
        <v>2093</v>
      </c>
      <c r="D184" s="210"/>
      <c r="E184" s="210"/>
      <c r="F184" s="231" t="s">
        <v>2029</v>
      </c>
      <c r="G184" s="210"/>
      <c r="H184" s="210" t="s">
        <v>2106</v>
      </c>
      <c r="I184" s="210" t="s">
        <v>2064</v>
      </c>
      <c r="J184" s="210"/>
      <c r="K184" s="254"/>
    </row>
    <row r="185" spans="2:11" customFormat="1" ht="15" customHeight="1">
      <c r="B185" s="233"/>
      <c r="C185" s="210" t="s">
        <v>142</v>
      </c>
      <c r="D185" s="210"/>
      <c r="E185" s="210"/>
      <c r="F185" s="231" t="s">
        <v>2035</v>
      </c>
      <c r="G185" s="210"/>
      <c r="H185" s="210" t="s">
        <v>2107</v>
      </c>
      <c r="I185" s="210" t="s">
        <v>2031</v>
      </c>
      <c r="J185" s="210">
        <v>50</v>
      </c>
      <c r="K185" s="254"/>
    </row>
    <row r="186" spans="2:11" customFormat="1" ht="15" customHeight="1">
      <c r="B186" s="233"/>
      <c r="C186" s="210" t="s">
        <v>2108</v>
      </c>
      <c r="D186" s="210"/>
      <c r="E186" s="210"/>
      <c r="F186" s="231" t="s">
        <v>2035</v>
      </c>
      <c r="G186" s="210"/>
      <c r="H186" s="210" t="s">
        <v>2109</v>
      </c>
      <c r="I186" s="210" t="s">
        <v>2110</v>
      </c>
      <c r="J186" s="210"/>
      <c r="K186" s="254"/>
    </row>
    <row r="187" spans="2:11" customFormat="1" ht="15" customHeight="1">
      <c r="B187" s="233"/>
      <c r="C187" s="210" t="s">
        <v>2111</v>
      </c>
      <c r="D187" s="210"/>
      <c r="E187" s="210"/>
      <c r="F187" s="231" t="s">
        <v>2035</v>
      </c>
      <c r="G187" s="210"/>
      <c r="H187" s="210" t="s">
        <v>2112</v>
      </c>
      <c r="I187" s="210" t="s">
        <v>2110</v>
      </c>
      <c r="J187" s="210"/>
      <c r="K187" s="254"/>
    </row>
    <row r="188" spans="2:11" customFormat="1" ht="15" customHeight="1">
      <c r="B188" s="233"/>
      <c r="C188" s="210" t="s">
        <v>2113</v>
      </c>
      <c r="D188" s="210"/>
      <c r="E188" s="210"/>
      <c r="F188" s="231" t="s">
        <v>2035</v>
      </c>
      <c r="G188" s="210"/>
      <c r="H188" s="210" t="s">
        <v>2114</v>
      </c>
      <c r="I188" s="210" t="s">
        <v>2110</v>
      </c>
      <c r="J188" s="210"/>
      <c r="K188" s="254"/>
    </row>
    <row r="189" spans="2:11" customFormat="1" ht="15" customHeight="1">
      <c r="B189" s="233"/>
      <c r="C189" s="267" t="s">
        <v>2115</v>
      </c>
      <c r="D189" s="210"/>
      <c r="E189" s="210"/>
      <c r="F189" s="231" t="s">
        <v>2035</v>
      </c>
      <c r="G189" s="210"/>
      <c r="H189" s="210" t="s">
        <v>2116</v>
      </c>
      <c r="I189" s="210" t="s">
        <v>2117</v>
      </c>
      <c r="J189" s="268" t="s">
        <v>2118</v>
      </c>
      <c r="K189" s="254"/>
    </row>
    <row r="190" spans="2:11" customFormat="1" ht="15" customHeight="1">
      <c r="B190" s="233"/>
      <c r="C190" s="267" t="s">
        <v>39</v>
      </c>
      <c r="D190" s="210"/>
      <c r="E190" s="210"/>
      <c r="F190" s="231" t="s">
        <v>2029</v>
      </c>
      <c r="G190" s="210"/>
      <c r="H190" s="207" t="s">
        <v>2119</v>
      </c>
      <c r="I190" s="210" t="s">
        <v>2120</v>
      </c>
      <c r="J190" s="210"/>
      <c r="K190" s="254"/>
    </row>
    <row r="191" spans="2:11" customFormat="1" ht="15" customHeight="1">
      <c r="B191" s="233"/>
      <c r="C191" s="267" t="s">
        <v>2121</v>
      </c>
      <c r="D191" s="210"/>
      <c r="E191" s="210"/>
      <c r="F191" s="231" t="s">
        <v>2029</v>
      </c>
      <c r="G191" s="210"/>
      <c r="H191" s="210" t="s">
        <v>2122</v>
      </c>
      <c r="I191" s="210" t="s">
        <v>2064</v>
      </c>
      <c r="J191" s="210"/>
      <c r="K191" s="254"/>
    </row>
    <row r="192" spans="2:11" customFormat="1" ht="15" customHeight="1">
      <c r="B192" s="233"/>
      <c r="C192" s="267" t="s">
        <v>2123</v>
      </c>
      <c r="D192" s="210"/>
      <c r="E192" s="210"/>
      <c r="F192" s="231" t="s">
        <v>2029</v>
      </c>
      <c r="G192" s="210"/>
      <c r="H192" s="210" t="s">
        <v>2124</v>
      </c>
      <c r="I192" s="210" t="s">
        <v>2064</v>
      </c>
      <c r="J192" s="210"/>
      <c r="K192" s="254"/>
    </row>
    <row r="193" spans="2:11" customFormat="1" ht="15" customHeight="1">
      <c r="B193" s="233"/>
      <c r="C193" s="267" t="s">
        <v>2125</v>
      </c>
      <c r="D193" s="210"/>
      <c r="E193" s="210"/>
      <c r="F193" s="231" t="s">
        <v>2035</v>
      </c>
      <c r="G193" s="210"/>
      <c r="H193" s="210" t="s">
        <v>2126</v>
      </c>
      <c r="I193" s="210" t="s">
        <v>2064</v>
      </c>
      <c r="J193" s="210"/>
      <c r="K193" s="254"/>
    </row>
    <row r="194" spans="2:11" customFormat="1" ht="15" customHeight="1">
      <c r="B194" s="260"/>
      <c r="C194" s="269"/>
      <c r="D194" s="240"/>
      <c r="E194" s="240"/>
      <c r="F194" s="240"/>
      <c r="G194" s="240"/>
      <c r="H194" s="240"/>
      <c r="I194" s="240"/>
      <c r="J194" s="240"/>
      <c r="K194" s="261"/>
    </row>
    <row r="195" spans="2:11" customFormat="1" ht="18.75" customHeight="1">
      <c r="B195" s="242"/>
      <c r="C195" s="252"/>
      <c r="D195" s="252"/>
      <c r="E195" s="252"/>
      <c r="F195" s="262"/>
      <c r="G195" s="252"/>
      <c r="H195" s="252"/>
      <c r="I195" s="252"/>
      <c r="J195" s="252"/>
      <c r="K195" s="242"/>
    </row>
    <row r="196" spans="2:11" customFormat="1" ht="18.75" customHeight="1">
      <c r="B196" s="242"/>
      <c r="C196" s="252"/>
      <c r="D196" s="252"/>
      <c r="E196" s="252"/>
      <c r="F196" s="262"/>
      <c r="G196" s="252"/>
      <c r="H196" s="252"/>
      <c r="I196" s="252"/>
      <c r="J196" s="252"/>
      <c r="K196" s="242"/>
    </row>
    <row r="197" spans="2:11" customFormat="1" ht="18.75" customHeight="1">
      <c r="B197" s="217"/>
      <c r="C197" s="217"/>
      <c r="D197" s="217"/>
      <c r="E197" s="217"/>
      <c r="F197" s="217"/>
      <c r="G197" s="217"/>
      <c r="H197" s="217"/>
      <c r="I197" s="217"/>
      <c r="J197" s="217"/>
      <c r="K197" s="217"/>
    </row>
    <row r="198" spans="2:11" customFormat="1" ht="13.5">
      <c r="B198" s="199"/>
      <c r="C198" s="200"/>
      <c r="D198" s="200"/>
      <c r="E198" s="200"/>
      <c r="F198" s="200"/>
      <c r="G198" s="200"/>
      <c r="H198" s="200"/>
      <c r="I198" s="200"/>
      <c r="J198" s="200"/>
      <c r="K198" s="201"/>
    </row>
    <row r="199" spans="2:11" customFormat="1" ht="21">
      <c r="B199" s="202"/>
      <c r="C199" s="324" t="s">
        <v>2127</v>
      </c>
      <c r="D199" s="324"/>
      <c r="E199" s="324"/>
      <c r="F199" s="324"/>
      <c r="G199" s="324"/>
      <c r="H199" s="324"/>
      <c r="I199" s="324"/>
      <c r="J199" s="324"/>
      <c r="K199" s="203"/>
    </row>
    <row r="200" spans="2:11" customFormat="1" ht="25.5" customHeight="1">
      <c r="B200" s="202"/>
      <c r="C200" s="270" t="s">
        <v>2128</v>
      </c>
      <c r="D200" s="270"/>
      <c r="E200" s="270"/>
      <c r="F200" s="270" t="s">
        <v>2129</v>
      </c>
      <c r="G200" s="271"/>
      <c r="H200" s="325" t="s">
        <v>2130</v>
      </c>
      <c r="I200" s="325"/>
      <c r="J200" s="325"/>
      <c r="K200" s="203"/>
    </row>
    <row r="201" spans="2:11" customFormat="1" ht="5.25" customHeight="1">
      <c r="B201" s="233"/>
      <c r="C201" s="228"/>
      <c r="D201" s="228"/>
      <c r="E201" s="228"/>
      <c r="F201" s="228"/>
      <c r="G201" s="252"/>
      <c r="H201" s="228"/>
      <c r="I201" s="228"/>
      <c r="J201" s="228"/>
      <c r="K201" s="254"/>
    </row>
    <row r="202" spans="2:11" customFormat="1" ht="15" customHeight="1">
      <c r="B202" s="233"/>
      <c r="C202" s="210" t="s">
        <v>2120</v>
      </c>
      <c r="D202" s="210"/>
      <c r="E202" s="210"/>
      <c r="F202" s="231" t="s">
        <v>40</v>
      </c>
      <c r="G202" s="210"/>
      <c r="H202" s="326" t="s">
        <v>2131</v>
      </c>
      <c r="I202" s="326"/>
      <c r="J202" s="326"/>
      <c r="K202" s="254"/>
    </row>
    <row r="203" spans="2:11" customFormat="1" ht="15" customHeight="1">
      <c r="B203" s="233"/>
      <c r="C203" s="210"/>
      <c r="D203" s="210"/>
      <c r="E203" s="210"/>
      <c r="F203" s="231" t="s">
        <v>41</v>
      </c>
      <c r="G203" s="210"/>
      <c r="H203" s="326" t="s">
        <v>2132</v>
      </c>
      <c r="I203" s="326"/>
      <c r="J203" s="326"/>
      <c r="K203" s="254"/>
    </row>
    <row r="204" spans="2:11" customFormat="1" ht="15" customHeight="1">
      <c r="B204" s="233"/>
      <c r="C204" s="210"/>
      <c r="D204" s="210"/>
      <c r="E204" s="210"/>
      <c r="F204" s="231" t="s">
        <v>44</v>
      </c>
      <c r="G204" s="210"/>
      <c r="H204" s="326" t="s">
        <v>2133</v>
      </c>
      <c r="I204" s="326"/>
      <c r="J204" s="326"/>
      <c r="K204" s="254"/>
    </row>
    <row r="205" spans="2:11" customFormat="1" ht="15" customHeight="1">
      <c r="B205" s="233"/>
      <c r="C205" s="210"/>
      <c r="D205" s="210"/>
      <c r="E205" s="210"/>
      <c r="F205" s="231" t="s">
        <v>42</v>
      </c>
      <c r="G205" s="210"/>
      <c r="H205" s="326" t="s">
        <v>2134</v>
      </c>
      <c r="I205" s="326"/>
      <c r="J205" s="326"/>
      <c r="K205" s="254"/>
    </row>
    <row r="206" spans="2:11" customFormat="1" ht="15" customHeight="1">
      <c r="B206" s="233"/>
      <c r="C206" s="210"/>
      <c r="D206" s="210"/>
      <c r="E206" s="210"/>
      <c r="F206" s="231" t="s">
        <v>43</v>
      </c>
      <c r="G206" s="210"/>
      <c r="H206" s="326" t="s">
        <v>2135</v>
      </c>
      <c r="I206" s="326"/>
      <c r="J206" s="326"/>
      <c r="K206" s="254"/>
    </row>
    <row r="207" spans="2:11" customFormat="1" ht="15" customHeight="1">
      <c r="B207" s="233"/>
      <c r="C207" s="210"/>
      <c r="D207" s="210"/>
      <c r="E207" s="210"/>
      <c r="F207" s="231"/>
      <c r="G207" s="210"/>
      <c r="H207" s="210"/>
      <c r="I207" s="210"/>
      <c r="J207" s="210"/>
      <c r="K207" s="254"/>
    </row>
    <row r="208" spans="2:11" customFormat="1" ht="15" customHeight="1">
      <c r="B208" s="233"/>
      <c r="C208" s="210" t="s">
        <v>2076</v>
      </c>
      <c r="D208" s="210"/>
      <c r="E208" s="210"/>
      <c r="F208" s="231" t="s">
        <v>76</v>
      </c>
      <c r="G208" s="210"/>
      <c r="H208" s="326" t="s">
        <v>2136</v>
      </c>
      <c r="I208" s="326"/>
      <c r="J208" s="326"/>
      <c r="K208" s="254"/>
    </row>
    <row r="209" spans="2:11" customFormat="1" ht="15" customHeight="1">
      <c r="B209" s="233"/>
      <c r="C209" s="210"/>
      <c r="D209" s="210"/>
      <c r="E209" s="210"/>
      <c r="F209" s="231" t="s">
        <v>1973</v>
      </c>
      <c r="G209" s="210"/>
      <c r="H209" s="326" t="s">
        <v>1974</v>
      </c>
      <c r="I209" s="326"/>
      <c r="J209" s="326"/>
      <c r="K209" s="254"/>
    </row>
    <row r="210" spans="2:11" customFormat="1" ht="15" customHeight="1">
      <c r="B210" s="233"/>
      <c r="C210" s="210"/>
      <c r="D210" s="210"/>
      <c r="E210" s="210"/>
      <c r="F210" s="231" t="s">
        <v>1971</v>
      </c>
      <c r="G210" s="210"/>
      <c r="H210" s="326" t="s">
        <v>2137</v>
      </c>
      <c r="I210" s="326"/>
      <c r="J210" s="326"/>
      <c r="K210" s="254"/>
    </row>
    <row r="211" spans="2:11" customFormat="1" ht="15" customHeight="1">
      <c r="B211" s="272"/>
      <c r="C211" s="210"/>
      <c r="D211" s="210"/>
      <c r="E211" s="210"/>
      <c r="F211" s="231" t="s">
        <v>1975</v>
      </c>
      <c r="G211" s="267"/>
      <c r="H211" s="327" t="s">
        <v>1976</v>
      </c>
      <c r="I211" s="327"/>
      <c r="J211" s="327"/>
      <c r="K211" s="273"/>
    </row>
    <row r="212" spans="2:11" customFormat="1" ht="15" customHeight="1">
      <c r="B212" s="272"/>
      <c r="C212" s="210"/>
      <c r="D212" s="210"/>
      <c r="E212" s="210"/>
      <c r="F212" s="231" t="s">
        <v>1977</v>
      </c>
      <c r="G212" s="267"/>
      <c r="H212" s="327" t="s">
        <v>2138</v>
      </c>
      <c r="I212" s="327"/>
      <c r="J212" s="327"/>
      <c r="K212" s="273"/>
    </row>
    <row r="213" spans="2:11" customFormat="1" ht="15" customHeight="1">
      <c r="B213" s="272"/>
      <c r="C213" s="210"/>
      <c r="D213" s="210"/>
      <c r="E213" s="210"/>
      <c r="F213" s="231"/>
      <c r="G213" s="267"/>
      <c r="H213" s="258"/>
      <c r="I213" s="258"/>
      <c r="J213" s="258"/>
      <c r="K213" s="273"/>
    </row>
    <row r="214" spans="2:11" customFormat="1" ht="15" customHeight="1">
      <c r="B214" s="272"/>
      <c r="C214" s="210" t="s">
        <v>2100</v>
      </c>
      <c r="D214" s="210"/>
      <c r="E214" s="210"/>
      <c r="F214" s="231">
        <v>1</v>
      </c>
      <c r="G214" s="267"/>
      <c r="H214" s="327" t="s">
        <v>2139</v>
      </c>
      <c r="I214" s="327"/>
      <c r="J214" s="327"/>
      <c r="K214" s="273"/>
    </row>
    <row r="215" spans="2:11" customFormat="1" ht="15" customHeight="1">
      <c r="B215" s="272"/>
      <c r="C215" s="210"/>
      <c r="D215" s="210"/>
      <c r="E215" s="210"/>
      <c r="F215" s="231">
        <v>2</v>
      </c>
      <c r="G215" s="267"/>
      <c r="H215" s="327" t="s">
        <v>2140</v>
      </c>
      <c r="I215" s="327"/>
      <c r="J215" s="327"/>
      <c r="K215" s="273"/>
    </row>
    <row r="216" spans="2:11" customFormat="1" ht="15" customHeight="1">
      <c r="B216" s="272"/>
      <c r="C216" s="210"/>
      <c r="D216" s="210"/>
      <c r="E216" s="210"/>
      <c r="F216" s="231">
        <v>3</v>
      </c>
      <c r="G216" s="267"/>
      <c r="H216" s="327" t="s">
        <v>2141</v>
      </c>
      <c r="I216" s="327"/>
      <c r="J216" s="327"/>
      <c r="K216" s="273"/>
    </row>
    <row r="217" spans="2:11" customFormat="1" ht="15" customHeight="1">
      <c r="B217" s="272"/>
      <c r="C217" s="210"/>
      <c r="D217" s="210"/>
      <c r="E217" s="210"/>
      <c r="F217" s="231">
        <v>4</v>
      </c>
      <c r="G217" s="267"/>
      <c r="H217" s="327" t="s">
        <v>2142</v>
      </c>
      <c r="I217" s="327"/>
      <c r="J217" s="327"/>
      <c r="K217" s="273"/>
    </row>
    <row r="218" spans="2:11" customFormat="1" ht="12.75" customHeight="1">
      <c r="B218" s="274"/>
      <c r="C218" s="275"/>
      <c r="D218" s="275"/>
      <c r="E218" s="275"/>
      <c r="F218" s="275"/>
      <c r="G218" s="275"/>
      <c r="H218" s="275"/>
      <c r="I218" s="275"/>
      <c r="J218" s="275"/>
      <c r="K218" s="276"/>
    </row>
  </sheetData>
  <sheetProtection formatCells="0" formatColumns="0" formatRows="0" insertColumns="0" insertRows="0" insertHyperlinks="0" deleteColumns="0" deleteRows="0" sort="0" autoFilter="0" pivotTables="0"/>
  <mergeCells count="77">
    <mergeCell ref="G44:J44"/>
    <mergeCell ref="G45:J45"/>
    <mergeCell ref="C3:J3"/>
    <mergeCell ref="C4:J4"/>
    <mergeCell ref="C6:J6"/>
    <mergeCell ref="C7:J7"/>
    <mergeCell ref="G39:J39"/>
    <mergeCell ref="G40:J40"/>
    <mergeCell ref="G41:J41"/>
    <mergeCell ref="G42:J42"/>
    <mergeCell ref="G43:J43"/>
    <mergeCell ref="D34:J34"/>
    <mergeCell ref="D35:J35"/>
    <mergeCell ref="G36:J36"/>
    <mergeCell ref="G37:J37"/>
    <mergeCell ref="G38:J38"/>
    <mergeCell ref="D27:J27"/>
    <mergeCell ref="D28:J28"/>
    <mergeCell ref="D30:J30"/>
    <mergeCell ref="D31:J31"/>
    <mergeCell ref="D33:J33"/>
    <mergeCell ref="D70:J70"/>
    <mergeCell ref="C75:J75"/>
    <mergeCell ref="C9:J9"/>
    <mergeCell ref="D10:J10"/>
    <mergeCell ref="D11:J11"/>
    <mergeCell ref="D15:J15"/>
    <mergeCell ref="D16:J16"/>
    <mergeCell ref="D17:J17"/>
    <mergeCell ref="F18:J18"/>
    <mergeCell ref="F19:J19"/>
    <mergeCell ref="F20:J20"/>
    <mergeCell ref="F21:J21"/>
    <mergeCell ref="F22:J22"/>
    <mergeCell ref="F23:J23"/>
    <mergeCell ref="C25:J25"/>
    <mergeCell ref="C26:J26"/>
    <mergeCell ref="D65:J65"/>
    <mergeCell ref="D66:J66"/>
    <mergeCell ref="D67:J67"/>
    <mergeCell ref="D68:J68"/>
    <mergeCell ref="D69:J69"/>
    <mergeCell ref="D59:J59"/>
    <mergeCell ref="D60:J60"/>
    <mergeCell ref="D61:J61"/>
    <mergeCell ref="D62:J62"/>
    <mergeCell ref="D63:J63"/>
    <mergeCell ref="C52:J52"/>
    <mergeCell ref="C54:J54"/>
    <mergeCell ref="C55:J55"/>
    <mergeCell ref="C57:J57"/>
    <mergeCell ref="D58:J58"/>
    <mergeCell ref="D47:J47"/>
    <mergeCell ref="E48:J48"/>
    <mergeCell ref="E49:J49"/>
    <mergeCell ref="E50:J50"/>
    <mergeCell ref="D51:J51"/>
    <mergeCell ref="H212:J212"/>
    <mergeCell ref="H214:J214"/>
    <mergeCell ref="H215:J215"/>
    <mergeCell ref="H216:J216"/>
    <mergeCell ref="H217:J217"/>
    <mergeCell ref="H206:J206"/>
    <mergeCell ref="H208:J208"/>
    <mergeCell ref="H209:J209"/>
    <mergeCell ref="H210:J210"/>
    <mergeCell ref="H211:J211"/>
    <mergeCell ref="H200:J200"/>
    <mergeCell ref="H202:J202"/>
    <mergeCell ref="H203:J203"/>
    <mergeCell ref="H204:J204"/>
    <mergeCell ref="H205:J205"/>
    <mergeCell ref="C102:J102"/>
    <mergeCell ref="C122:J122"/>
    <mergeCell ref="C147:J147"/>
    <mergeCell ref="C165:J165"/>
    <mergeCell ref="C199:J199"/>
  </mergeCells>
  <pageMargins left="0.59027779999999996" right="0.59027779999999996" top="0.59027779999999996" bottom="0.59027779999999996" header="0" footer="0"/>
  <pageSetup paperSize="9" scale="7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2653EA84198BB45921875CE212399AD" ma:contentTypeVersion="17" ma:contentTypeDescription="Vytvoří nový dokument" ma:contentTypeScope="" ma:versionID="d37aec9adea07f0e86176e4ea25ec1ff">
  <xsd:schema xmlns:xsd="http://www.w3.org/2001/XMLSchema" xmlns:xs="http://www.w3.org/2001/XMLSchema" xmlns:p="http://schemas.microsoft.com/office/2006/metadata/properties" xmlns:ns2="252fd92d-4a95-415f-85c1-c6d947e38658" xmlns:ns3="aa66c430-7097-4280-9973-0f2510a1eaf8" targetNamespace="http://schemas.microsoft.com/office/2006/metadata/properties" ma:root="true" ma:fieldsID="3542ee7ed8385d7a840b42fb4bfdf5a2" ns2:_="" ns3:_="">
    <xsd:import namespace="252fd92d-4a95-415f-85c1-c6d947e38658"/>
    <xsd:import namespace="aa66c430-7097-4280-9973-0f2510a1ea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fd92d-4a95-415f-85c1-c6d947e38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Značky obrázků" ma:readOnly="false" ma:fieldId="{5cf76f15-5ced-4ddc-b409-7134ff3c332f}" ma:taxonomyMulti="true" ma:sspId="6c9f238a-7bcf-4ddd-b79f-3905a05b06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6c430-7097-4280-9973-0f2510a1eaf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99b3a2b-3c2c-4b99-a740-70f0002c4706}" ma:internalName="TaxCatchAll" ma:showField="CatchAllData" ma:web="aa66c430-7097-4280-9973-0f2510a1ea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606BA0-9BD1-4CB3-944D-47C16F0C2BCC}"/>
</file>

<file path=customXml/itemProps2.xml><?xml version="1.0" encoding="utf-8"?>
<ds:datastoreItem xmlns:ds="http://schemas.openxmlformats.org/officeDocument/2006/customXml" ds:itemID="{7965D941-E070-4FF6-A54D-95262001FD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13</vt:i4>
      </vt:variant>
      <vt:variant>
        <vt:lpstr>Pojmenované oblasti</vt:lpstr>
      </vt:variant>
      <vt:variant>
        <vt:i4>25</vt:i4>
      </vt:variant>
    </vt:vector>
  </HeadingPairs>
  <TitlesOfParts>
    <vt:vector size="38" baseType="lpstr">
      <vt:lpstr>Rekapitulace stavby</vt:lpstr>
      <vt:lpstr>2023-003-a - SO-21 - Stav...</vt:lpstr>
      <vt:lpstr>2023-003-b - SO-21 - Elek...</vt:lpstr>
      <vt:lpstr>2023-003-c - SO-21 - Zdra...</vt:lpstr>
      <vt:lpstr>2023-003-d - SO-21 - Vytá...</vt:lpstr>
      <vt:lpstr>2023-003-i - SO-21 - bles...</vt:lpstr>
      <vt:lpstr>2023-003-g - SO-22 - potr...</vt:lpstr>
      <vt:lpstr>a - příprava území</vt:lpstr>
      <vt:lpstr>n - návrh</vt:lpstr>
      <vt:lpstr>2023-003-e - SO-24 - dešť...</vt:lpstr>
      <vt:lpstr>2023-003-f - SO-25 - vodo...</vt:lpstr>
      <vt:lpstr>2023-003-j - VRN</vt:lpstr>
      <vt:lpstr>Pokyny pro vyplnění</vt:lpstr>
      <vt:lpstr>'2023-003-a - SO-21 - Stav...'!Názvy_tisku</vt:lpstr>
      <vt:lpstr>'2023-003-b - SO-21 - Elek...'!Názvy_tisku</vt:lpstr>
      <vt:lpstr>'2023-003-c - SO-21 - Zdra...'!Názvy_tisku</vt:lpstr>
      <vt:lpstr>'2023-003-d - SO-21 - Vytá...'!Názvy_tisku</vt:lpstr>
      <vt:lpstr>'2023-003-e - SO-24 - dešť...'!Názvy_tisku</vt:lpstr>
      <vt:lpstr>'2023-003-f - SO-25 - vodo...'!Názvy_tisku</vt:lpstr>
      <vt:lpstr>'2023-003-g - SO-22 - potr...'!Názvy_tisku</vt:lpstr>
      <vt:lpstr>'2023-003-i - SO-21 - bles...'!Názvy_tisku</vt:lpstr>
      <vt:lpstr>'2023-003-j - VRN'!Názvy_tisku</vt:lpstr>
      <vt:lpstr>'a - příprava území'!Názvy_tisku</vt:lpstr>
      <vt:lpstr>'n - návrh'!Názvy_tisku</vt:lpstr>
      <vt:lpstr>'Rekapitulace stavby'!Názvy_tisku</vt:lpstr>
      <vt:lpstr>'2023-003-a - SO-21 - Stav...'!Oblast_tisku</vt:lpstr>
      <vt:lpstr>'2023-003-b - SO-21 - Elek...'!Oblast_tisku</vt:lpstr>
      <vt:lpstr>'2023-003-c - SO-21 - Zdra...'!Oblast_tisku</vt:lpstr>
      <vt:lpstr>'2023-003-d - SO-21 - Vytá...'!Oblast_tisku</vt:lpstr>
      <vt:lpstr>'2023-003-e - SO-24 - dešť...'!Oblast_tisku</vt:lpstr>
      <vt:lpstr>'2023-003-f - SO-25 - vodo...'!Oblast_tisku</vt:lpstr>
      <vt:lpstr>'2023-003-g - SO-22 - potr...'!Oblast_tisku</vt:lpstr>
      <vt:lpstr>'2023-003-i - SO-21 - bles...'!Oblast_tisku</vt:lpstr>
      <vt:lpstr>'2023-003-j - VRN'!Oblast_tisku</vt:lpstr>
      <vt:lpstr>'a - příprava území'!Oblast_tisku</vt:lpstr>
      <vt:lpstr>'n - návrh'!Oblast_tisku</vt:lpstr>
      <vt:lpstr>'Pokyny pro vyplnění'!Oblast_tisku</vt:lpstr>
      <vt:lpstr>'Rekapitulace stavby'!Oblast_tisku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DESKTOP-M49JM6O\Ondra</dc:creator>
  <cp:lastModifiedBy>Libor</cp:lastModifiedBy>
  <dcterms:created xsi:type="dcterms:W3CDTF">2023-08-01T07:52:07Z</dcterms:created>
  <dcterms:modified xsi:type="dcterms:W3CDTF">2023-08-29T09:33:12Z</dcterms:modified>
</cp:coreProperties>
</file>